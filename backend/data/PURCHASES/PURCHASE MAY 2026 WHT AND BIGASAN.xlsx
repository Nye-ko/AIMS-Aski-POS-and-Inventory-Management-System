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SALES &amp; PURCHASES\WHT AND BIGASAN\MAY\"/>
    </mc:Choice>
  </mc:AlternateContent>
  <bookViews>
    <workbookView xWindow="0" yWindow="0" windowWidth="20490" windowHeight="6825" tabRatio="706"/>
  </bookViews>
  <sheets>
    <sheet name="BIGASAN" sheetId="8" r:id="rId1"/>
    <sheet name="COKE TALAVERA" sheetId="27" state="hidden" r:id="rId2"/>
    <sheet name="CONVIE " sheetId="13" state="hidden" r:id="rId3"/>
    <sheet name="VALUE CHAIN" sheetId="9" state="hidden" r:id="rId4"/>
    <sheet name="WATERHOPE-TALAVERA" sheetId="10" r:id="rId5"/>
  </sheets>
  <definedNames>
    <definedName name="_xlnm._FilterDatabase" localSheetId="0" hidden="1">BIGASAN!$A$5:$Q$25</definedName>
    <definedName name="_xlnm._FilterDatabase" localSheetId="1" hidden="1">'COKE TALAVERA'!$A$5:$R$60</definedName>
    <definedName name="_xlnm._FilterDatabase" localSheetId="2" hidden="1">'CONVIE '!$A$5:$T$5</definedName>
    <definedName name="_xlnm._FilterDatabase" localSheetId="4" hidden="1">'WATERHOPE-TALAVERA'!$A$5:$L$6</definedName>
    <definedName name="_xlnm.Print_Area" localSheetId="1">'COKE TALAVERA'!$B$74:$E$92</definedName>
    <definedName name="_xlnm.Print_Area" localSheetId="2">'CONVIE '!$A$1:$M$194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3" l="1"/>
  <c r="J160" i="13"/>
  <c r="J161" i="13"/>
  <c r="J162" i="13"/>
  <c r="J163" i="13"/>
  <c r="J164" i="13"/>
  <c r="J165" i="13"/>
  <c r="J166" i="13"/>
  <c r="J155" i="13"/>
  <c r="J156" i="13"/>
  <c r="J157" i="13"/>
  <c r="J158" i="13"/>
  <c r="J159" i="13"/>
  <c r="J150" i="13"/>
  <c r="M150" i="13" s="1"/>
  <c r="J151" i="13"/>
  <c r="M151" i="13" s="1"/>
  <c r="J152" i="13"/>
  <c r="M152" i="13" s="1"/>
  <c r="J153" i="13"/>
  <c r="M153" i="13" s="1"/>
  <c r="J154" i="13"/>
  <c r="M154" i="13" s="1"/>
  <c r="I149" i="13"/>
  <c r="J149" i="13"/>
  <c r="M149" i="13" s="1"/>
  <c r="I148" i="13"/>
  <c r="J148" i="13"/>
  <c r="I147" i="13"/>
  <c r="J147" i="13" s="1"/>
  <c r="I145" i="13"/>
  <c r="J145" i="13" s="1"/>
  <c r="J146" i="13"/>
  <c r="H27" i="27"/>
  <c r="K27" i="27" s="1"/>
  <c r="H28" i="27"/>
  <c r="K28" i="27" s="1"/>
  <c r="H29" i="27"/>
  <c r="K29" i="27" s="1"/>
  <c r="G56" i="27"/>
  <c r="H56" i="27" s="1"/>
  <c r="K56" i="27" s="1"/>
  <c r="G55" i="27"/>
  <c r="H55" i="27" s="1"/>
  <c r="K55" i="27" s="1"/>
  <c r="G54" i="27"/>
  <c r="H54" i="27" s="1"/>
  <c r="K54" i="27" s="1"/>
  <c r="G39" i="27"/>
  <c r="H39" i="27" s="1"/>
  <c r="K39" i="27" s="1"/>
  <c r="G53" i="27"/>
  <c r="H53" i="27" s="1"/>
  <c r="K53" i="27" s="1"/>
  <c r="G52" i="27"/>
  <c r="H52" i="27" s="1"/>
  <c r="K52" i="27" s="1"/>
  <c r="G51" i="27"/>
  <c r="H51" i="27" s="1"/>
  <c r="K51" i="27" s="1"/>
  <c r="G50" i="27"/>
  <c r="H50" i="27" s="1"/>
  <c r="K50" i="27" s="1"/>
  <c r="G49" i="27"/>
  <c r="H49" i="27" s="1"/>
  <c r="K49" i="27" s="1"/>
  <c r="G48" i="27"/>
  <c r="H48" i="27" s="1"/>
  <c r="K48" i="27" s="1"/>
  <c r="H57" i="27"/>
  <c r="K57" i="27" s="1"/>
  <c r="I142" i="13"/>
  <c r="I141" i="13"/>
  <c r="I140" i="13"/>
  <c r="J140" i="13" s="1"/>
  <c r="I138" i="13"/>
  <c r="J138" i="13" s="1"/>
  <c r="I137" i="13"/>
  <c r="J137" i="13" s="1"/>
  <c r="I134" i="13"/>
  <c r="J134" i="13" s="1"/>
  <c r="J135" i="13"/>
  <c r="J136" i="13"/>
  <c r="J139" i="13"/>
  <c r="J141" i="13"/>
  <c r="J142" i="13"/>
  <c r="J143" i="13"/>
  <c r="J144" i="13"/>
  <c r="I133" i="13"/>
  <c r="J133" i="13" s="1"/>
  <c r="I132" i="13"/>
  <c r="J132" i="13" s="1"/>
  <c r="I122" i="13"/>
  <c r="I130" i="13"/>
  <c r="J130" i="13" s="1"/>
  <c r="I131" i="13"/>
  <c r="J131" i="13" s="1"/>
  <c r="I129" i="13"/>
  <c r="J129" i="13" s="1"/>
  <c r="I128" i="13"/>
  <c r="J128" i="13" s="1"/>
  <c r="I127" i="13"/>
  <c r="J127" i="13" s="1"/>
  <c r="I126" i="13"/>
  <c r="I125" i="13"/>
  <c r="I124" i="13"/>
  <c r="I123" i="13"/>
  <c r="J123" i="13" s="1"/>
  <c r="J122" i="13"/>
  <c r="J124" i="13"/>
  <c r="J125" i="13"/>
  <c r="J126" i="13"/>
  <c r="G47" i="27"/>
  <c r="G45" i="27"/>
  <c r="H45" i="27" s="1"/>
  <c r="K45" i="27" s="1"/>
  <c r="G44" i="27"/>
  <c r="H44" i="27" s="1"/>
  <c r="K44" i="27" s="1"/>
  <c r="G43" i="27"/>
  <c r="H43" i="27" s="1"/>
  <c r="K43" i="27" s="1"/>
  <c r="G42" i="27"/>
  <c r="H42" i="27" s="1"/>
  <c r="K42" i="27" s="1"/>
  <c r="G41" i="27"/>
  <c r="H41" i="27"/>
  <c r="K41" i="27" s="1"/>
  <c r="H46" i="27"/>
  <c r="K46" i="27" s="1"/>
  <c r="H47" i="27"/>
  <c r="K47" i="27" s="1"/>
  <c r="H58" i="27"/>
  <c r="K58" i="27" s="1"/>
  <c r="G40" i="27"/>
  <c r="H40" i="27" s="1"/>
  <c r="K40" i="27" s="1"/>
  <c r="G38" i="27"/>
  <c r="H38" i="27" s="1"/>
  <c r="G37" i="27"/>
  <c r="H37" i="27" s="1"/>
  <c r="G36" i="27"/>
  <c r="H36" i="27" s="1"/>
  <c r="G35" i="27"/>
  <c r="H35" i="27"/>
  <c r="G34" i="27"/>
  <c r="H34" i="27" s="1"/>
  <c r="K34" i="27" s="1"/>
  <c r="G33" i="27"/>
  <c r="H33" i="27" s="1"/>
  <c r="K33" i="27" s="1"/>
  <c r="G32" i="27"/>
  <c r="H32" i="27" s="1"/>
  <c r="K32" i="27" s="1"/>
  <c r="G31" i="27"/>
  <c r="H31" i="27" s="1"/>
  <c r="K31" i="27" s="1"/>
  <c r="G30" i="27"/>
  <c r="H30" i="27" s="1"/>
  <c r="K30" i="27" s="1"/>
  <c r="G29" i="27"/>
  <c r="G26" i="27"/>
  <c r="I7" i="8"/>
  <c r="L7" i="8" s="1"/>
  <c r="I8" i="8"/>
  <c r="L8" i="8" s="1"/>
  <c r="H24" i="27"/>
  <c r="H25" i="27"/>
  <c r="H23" i="27"/>
  <c r="G22" i="27"/>
  <c r="H22" i="27" s="1"/>
  <c r="G21" i="27"/>
  <c r="H21" i="27" s="1"/>
  <c r="J121" i="13"/>
  <c r="J115" i="13"/>
  <c r="J116" i="13"/>
  <c r="J117" i="13"/>
  <c r="J118" i="13"/>
  <c r="J119" i="13"/>
  <c r="J120" i="13"/>
  <c r="J114" i="13"/>
  <c r="J110" i="13"/>
  <c r="J111" i="13"/>
  <c r="J112" i="13"/>
  <c r="J113" i="13"/>
  <c r="I109" i="13"/>
  <c r="J109" i="13" s="1"/>
  <c r="I108" i="13"/>
  <c r="J108" i="13" s="1"/>
  <c r="I107" i="13"/>
  <c r="J107" i="13" s="1"/>
  <c r="I106" i="13"/>
  <c r="J106" i="13" s="1"/>
  <c r="I105" i="13"/>
  <c r="J105" i="13" s="1"/>
  <c r="I104" i="13"/>
  <c r="J104" i="13" s="1"/>
  <c r="G18" i="27" l="1"/>
  <c r="H18" i="27" s="1"/>
  <c r="G20" i="27"/>
  <c r="H20" i="27" s="1"/>
  <c r="H19" i="27"/>
  <c r="H10" i="27"/>
  <c r="H11" i="27"/>
  <c r="H12" i="27"/>
  <c r="H13" i="27"/>
  <c r="H14" i="27"/>
  <c r="H15" i="27"/>
  <c r="H16" i="27"/>
  <c r="H17" i="27"/>
  <c r="I9" i="8"/>
  <c r="I10" i="8"/>
  <c r="I11" i="8"/>
  <c r="I100" i="13"/>
  <c r="J100" i="13" s="1"/>
  <c r="J94" i="13"/>
  <c r="I103" i="13"/>
  <c r="J103" i="13" s="1"/>
  <c r="I102" i="13"/>
  <c r="J102" i="13" s="1"/>
  <c r="I101" i="13"/>
  <c r="J101" i="13" s="1"/>
  <c r="I99" i="13"/>
  <c r="J99" i="13" s="1"/>
  <c r="I98" i="13"/>
  <c r="J98" i="13" s="1"/>
  <c r="I96" i="13"/>
  <c r="J96" i="13" s="1"/>
  <c r="I97" i="13"/>
  <c r="J97" i="13" s="1"/>
  <c r="I95" i="13"/>
  <c r="J95" i="13" s="1"/>
  <c r="I94" i="13"/>
  <c r="I93" i="13"/>
  <c r="J93" i="13" s="1"/>
  <c r="A3" i="10"/>
  <c r="A3" i="13"/>
  <c r="A3" i="27"/>
  <c r="H8" i="27" l="1"/>
  <c r="H9" i="27"/>
  <c r="H7" i="27"/>
  <c r="H6" i="27"/>
  <c r="J91" i="13"/>
  <c r="J92" i="13"/>
  <c r="J88" i="13"/>
  <c r="J89" i="13"/>
  <c r="J90" i="13"/>
  <c r="J83" i="13"/>
  <c r="J84" i="13"/>
  <c r="J85" i="13"/>
  <c r="J86" i="13"/>
  <c r="J87" i="13"/>
  <c r="J79" i="13"/>
  <c r="J80" i="13"/>
  <c r="J81" i="13"/>
  <c r="J82" i="13"/>
  <c r="J72" i="13"/>
  <c r="J73" i="13"/>
  <c r="J74" i="13"/>
  <c r="J75" i="13"/>
  <c r="J76" i="13"/>
  <c r="J77" i="13"/>
  <c r="J78" i="13"/>
  <c r="J71" i="13"/>
  <c r="J70" i="13"/>
  <c r="J65" i="13"/>
  <c r="J66" i="13"/>
  <c r="J67" i="13"/>
  <c r="J68" i="13"/>
  <c r="J69" i="13"/>
  <c r="I64" i="13"/>
  <c r="J64" i="13" s="1"/>
  <c r="I63" i="13"/>
  <c r="I60" i="13"/>
  <c r="J60" i="13" s="1"/>
  <c r="J58" i="13"/>
  <c r="J56" i="13"/>
  <c r="J57" i="13"/>
  <c r="J59" i="13"/>
  <c r="J61" i="13"/>
  <c r="J62" i="13"/>
  <c r="J63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21" i="13"/>
  <c r="J22" i="13"/>
  <c r="J23" i="13"/>
  <c r="J24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167" i="13" l="1"/>
  <c r="M166" i="13" l="1"/>
  <c r="M165" i="13"/>
  <c r="M164" i="13"/>
  <c r="M163" i="13"/>
  <c r="M162" i="13"/>
  <c r="M158" i="13"/>
  <c r="M159" i="13"/>
  <c r="M160" i="13"/>
  <c r="M161" i="13"/>
  <c r="M157" i="13"/>
  <c r="M155" i="13"/>
  <c r="I16" i="8"/>
  <c r="L16" i="8" s="1"/>
  <c r="I17" i="8"/>
  <c r="L17" i="8" s="1"/>
  <c r="I18" i="8"/>
  <c r="L18" i="8" s="1"/>
  <c r="I19" i="8"/>
  <c r="L19" i="8" s="1"/>
  <c r="I13" i="8"/>
  <c r="I14" i="8"/>
  <c r="I15" i="8"/>
  <c r="M109" i="13"/>
  <c r="M156" i="13" l="1"/>
  <c r="I6" i="8" l="1"/>
  <c r="M167" i="13"/>
  <c r="M147" i="13"/>
  <c r="M148" i="13"/>
  <c r="M146" i="13"/>
  <c r="M145" i="13"/>
  <c r="M144" i="13"/>
  <c r="M143" i="13"/>
  <c r="J173" i="13"/>
  <c r="M139" i="13" l="1"/>
  <c r="M142" i="13"/>
  <c r="M141" i="13"/>
  <c r="M140" i="13"/>
  <c r="M134" i="13"/>
  <c r="M135" i="13"/>
  <c r="M136" i="13"/>
  <c r="M137" i="13"/>
  <c r="M138" i="13"/>
  <c r="I25" i="8"/>
  <c r="I20" i="8"/>
  <c r="K66" i="27" l="1"/>
  <c r="M117" i="13" l="1"/>
  <c r="M116" i="13"/>
  <c r="M111" i="13"/>
  <c r="M112" i="13"/>
  <c r="M113" i="13"/>
  <c r="M114" i="13"/>
  <c r="M115" i="13"/>
  <c r="M118" i="13"/>
  <c r="M119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J168" i="13" l="1"/>
  <c r="M120" i="13"/>
  <c r="M63" i="13"/>
  <c r="I12" i="8" l="1"/>
  <c r="I21" i="8" l="1"/>
  <c r="M110" i="13"/>
  <c r="K168" i="13"/>
  <c r="M108" i="13" l="1"/>
  <c r="M105" i="13"/>
  <c r="M107" i="13"/>
  <c r="M106" i="13"/>
  <c r="M104" i="13"/>
  <c r="M95" i="13"/>
  <c r="M96" i="13"/>
  <c r="M97" i="13"/>
  <c r="M98" i="13"/>
  <c r="M99" i="13"/>
  <c r="M100" i="13"/>
  <c r="M101" i="13"/>
  <c r="M102" i="13"/>
  <c r="M89" i="13"/>
  <c r="M90" i="13"/>
  <c r="M91" i="13"/>
  <c r="M92" i="13"/>
  <c r="M93" i="13"/>
  <c r="M94" i="13"/>
  <c r="M87" i="13"/>
  <c r="M86" i="13"/>
  <c r="M85" i="13"/>
  <c r="M88" i="13"/>
  <c r="M103" i="13"/>
  <c r="M84" i="13"/>
  <c r="M83" i="13"/>
  <c r="M82" i="13"/>
  <c r="M81" i="13"/>
  <c r="M80" i="13"/>
  <c r="M79" i="13"/>
  <c r="M78" i="13"/>
  <c r="M77" i="13"/>
  <c r="M76" i="13"/>
  <c r="M74" i="13"/>
  <c r="M75" i="13"/>
  <c r="M72" i="13"/>
  <c r="M71" i="13"/>
  <c r="M70" i="13"/>
  <c r="M69" i="13"/>
  <c r="M66" i="13"/>
  <c r="M64" i="13"/>
  <c r="M73" i="13"/>
  <c r="M65" i="13"/>
  <c r="M68" i="13"/>
  <c r="M67" i="13"/>
  <c r="M62" i="13"/>
  <c r="M61" i="13" l="1"/>
  <c r="M50" i="13"/>
  <c r="M51" i="13"/>
  <c r="M53" i="13"/>
  <c r="M59" i="13"/>
  <c r="M60" i="13"/>
  <c r="M58" i="13"/>
  <c r="M45" i="13"/>
  <c r="M46" i="13"/>
  <c r="M47" i="13"/>
  <c r="M48" i="13"/>
  <c r="M49" i="13"/>
  <c r="M52" i="13"/>
  <c r="M54" i="13"/>
  <c r="M55" i="13"/>
  <c r="M56" i="13"/>
  <c r="M57" i="13"/>
  <c r="H26" i="27"/>
  <c r="J60" i="27" l="1"/>
  <c r="I6" i="10" l="1"/>
  <c r="M37" i="13" l="1"/>
  <c r="M38" i="13"/>
  <c r="M39" i="13"/>
  <c r="M40" i="13"/>
  <c r="M41" i="13"/>
  <c r="M42" i="13"/>
  <c r="M43" i="13"/>
  <c r="M44" i="13"/>
  <c r="M36" i="13" l="1"/>
  <c r="K35" i="27" l="1"/>
  <c r="K36" i="27"/>
  <c r="K37" i="27"/>
  <c r="K38" i="27"/>
  <c r="H59" i="27"/>
  <c r="K59" i="27" s="1"/>
  <c r="K10" i="27" l="1"/>
  <c r="K11" i="27"/>
  <c r="K12" i="27"/>
  <c r="K13" i="27"/>
  <c r="J21" i="8" l="1"/>
  <c r="K21" i="8"/>
  <c r="L6" i="8"/>
  <c r="L9" i="8"/>
  <c r="M15" i="13" l="1"/>
  <c r="M16" i="13"/>
  <c r="M17" i="13"/>
  <c r="L168" i="13" l="1"/>
  <c r="L13" i="8" l="1"/>
  <c r="L12" i="8"/>
  <c r="L14" i="8"/>
  <c r="K25" i="27" l="1"/>
  <c r="K26" i="27"/>
  <c r="K20" i="27"/>
  <c r="K21" i="27"/>
  <c r="K22" i="27"/>
  <c r="K23" i="27"/>
  <c r="K24" i="27"/>
  <c r="M9" i="13" l="1"/>
  <c r="M10" i="13"/>
  <c r="M11" i="13"/>
  <c r="M12" i="13"/>
  <c r="M13" i="13"/>
  <c r="M14" i="13"/>
  <c r="K15" i="27" l="1"/>
  <c r="K16" i="27"/>
  <c r="K17" i="27"/>
  <c r="K18" i="27"/>
  <c r="K19" i="27"/>
  <c r="K7" i="27"/>
  <c r="K8" i="27"/>
  <c r="K9" i="27"/>
  <c r="K14" i="27" l="1"/>
  <c r="H60" i="27" l="1"/>
  <c r="M33" i="13"/>
  <c r="M34" i="13"/>
  <c r="M35" i="13"/>
  <c r="M7" i="13" l="1"/>
  <c r="M8" i="13"/>
  <c r="M6" i="13" l="1"/>
  <c r="I9" i="10" l="1"/>
  <c r="L9" i="10" s="1"/>
  <c r="J10" i="10"/>
  <c r="K10" i="10"/>
  <c r="I7" i="10" l="1"/>
  <c r="L7" i="10" s="1"/>
  <c r="I8" i="10"/>
  <c r="L8" i="10" s="1"/>
  <c r="K6" i="27" l="1"/>
  <c r="K60" i="27" s="1"/>
  <c r="L20" i="8" l="1"/>
  <c r="I60" i="27" l="1"/>
  <c r="L11" i="8" l="1"/>
  <c r="L15" i="8"/>
  <c r="L10" i="8" l="1"/>
  <c r="L21" i="8" s="1"/>
  <c r="M25" i="13" l="1"/>
  <c r="I10" i="10" l="1"/>
  <c r="M24" i="13" l="1"/>
  <c r="M26" i="13"/>
  <c r="M27" i="13"/>
  <c r="M28" i="13"/>
  <c r="M29" i="13"/>
  <c r="M30" i="13"/>
  <c r="M31" i="13"/>
  <c r="M32" i="13"/>
  <c r="L6" i="10" l="1"/>
  <c r="L10" i="10" s="1"/>
  <c r="L13" i="10" s="1"/>
  <c r="M18" i="13" l="1"/>
  <c r="M19" i="13"/>
  <c r="M20" i="13"/>
  <c r="M21" i="13"/>
  <c r="M22" i="13"/>
  <c r="M23" i="13"/>
  <c r="M168" i="13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A3" i="9"/>
  <c r="L1501" i="9" l="1"/>
  <c r="I1501" i="9"/>
</calcChain>
</file>

<file path=xl/sharedStrings.xml><?xml version="1.0" encoding="utf-8"?>
<sst xmlns="http://schemas.openxmlformats.org/spreadsheetml/2006/main" count="634" uniqueCount="226">
  <si>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</si>
  <si>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</si>
  <si>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</si>
  <si>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</si>
  <si>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</si>
  <si>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</si>
  <si>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</si>
  <si>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</si>
  <si>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</si>
  <si>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</si>
  <si>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</si>
  <si>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</si>
  <si>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</si>
  <si>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COOP STORE</t>
  </si>
  <si>
    <t>SUPPLIER'S NAME</t>
  </si>
  <si>
    <t>PRODUCT NAME</t>
  </si>
  <si>
    <t>PURCHASES BOOK - BIGASAN</t>
  </si>
  <si>
    <t>PURCHASES BOOK - VALUE CHAIN</t>
  </si>
  <si>
    <t>PURCHASES BOOK - TALAVERA</t>
  </si>
  <si>
    <t>RR No.</t>
  </si>
  <si>
    <t>CDB BIGASAN</t>
  </si>
  <si>
    <t>PURCHASES BOOK - COKE TALAVERA</t>
  </si>
  <si>
    <t>CDB WHT</t>
  </si>
  <si>
    <t xml:space="preserve">CDB CONVIE </t>
  </si>
  <si>
    <t>CRB BIGASAN</t>
  </si>
  <si>
    <t>CRB CONVIE</t>
  </si>
  <si>
    <t>NORTHERN ARROW LUBES CORPORATION</t>
  </si>
  <si>
    <t>CDB COKE TAL</t>
  </si>
  <si>
    <t>COCA-COLA EUROPACIFIC ABOITIZ PHILIPPINES, INC.</t>
  </si>
  <si>
    <t>PC/S</t>
  </si>
  <si>
    <t>GAR CLASSIC WHITE BREAD 600G REGULAR SLICE</t>
  </si>
  <si>
    <t>GAR NEUBAKE CLASSIC WHITE BREAD SUPER SLICE 300G</t>
  </si>
  <si>
    <t>GAR NEUBAKE WHEATEN BREAD SUPER SLICE 300G</t>
  </si>
  <si>
    <t>AP-TRADE</t>
  </si>
  <si>
    <t>PROS MARKETING &amp; PHARMAPLUS DRUGSTORE</t>
  </si>
  <si>
    <t>GAR CHEESE BUNS 250G</t>
  </si>
  <si>
    <t xml:space="preserve">FOR JV COKE </t>
  </si>
  <si>
    <t>NISSIN BREADSTIX 20G PACK</t>
  </si>
  <si>
    <t>NISSIN EGGNOG COOKIES 18G PACK</t>
  </si>
  <si>
    <t>FITA CRACKERS 30GX10S</t>
  </si>
  <si>
    <t>GAR CLASSIC WHITE BREAD 400G</t>
  </si>
  <si>
    <t>IBEST CORPORATION</t>
  </si>
  <si>
    <t>GAR NEUBAKE WHEATEN BREAD 480G</t>
  </si>
  <si>
    <t>VALUE CHAIN SOLUTIONS, INC.</t>
  </si>
  <si>
    <t>DOWNY SUNRISE FRESH 800ML</t>
  </si>
  <si>
    <t>JOY DISHWASHING LIQUID KALAMANSI 540ML</t>
  </si>
  <si>
    <t>MAMA SITAS KARE KARE PEANUT SAUCE MIX 57G</t>
  </si>
  <si>
    <t>NISSIN WAFER CHOCO 50G</t>
  </si>
  <si>
    <t>SKYFLAKES CRACKERS 25GX10S</t>
  </si>
  <si>
    <t>DM FRUITY ZING APPLE-LYCHEE 330ML</t>
  </si>
  <si>
    <t>DM FRUITY ZING CALAMANSI-LEMON 330ML</t>
  </si>
  <si>
    <t>MONDE BANANA BAR 10X20G</t>
  </si>
  <si>
    <t>COKE 237ML - 2</t>
  </si>
  <si>
    <t>GAR HIGH FIBER WHEAT BREAD 400G</t>
  </si>
  <si>
    <t>GAR DOUBLE DELIGHTS (UBE &amp; CHEESE) 400G</t>
  </si>
  <si>
    <t>GAR TOASTIES 10X25G</t>
  </si>
  <si>
    <t>BUTTER COCONUT 280G</t>
  </si>
  <si>
    <t>BUTTER COCONUT 168G</t>
  </si>
  <si>
    <t>BINGO ORANGE 280G</t>
  </si>
  <si>
    <t>NISSIN WAFER CHOCO 20X12G</t>
  </si>
  <si>
    <t>LM PANCIT CANTON EXTRA HOT CHILI 80G</t>
  </si>
  <si>
    <t>SKYFLAKES CONDENSADA 30GX10S</t>
  </si>
  <si>
    <t>SKYFLAKES TSOKOLATE 30GX10S</t>
  </si>
  <si>
    <t>SKYFLAKES GARLIC 10S 250G</t>
  </si>
  <si>
    <t>DEL POTATO CRISP BISCUITS ORIGINAL 50G</t>
  </si>
  <si>
    <t>DEL POTATO CRISP BISCUITS SPICY 50G</t>
  </si>
  <si>
    <t>PADSA ENTERPRISES CORPORATION</t>
  </si>
  <si>
    <t>KATINKO OINTMENT 10G</t>
  </si>
  <si>
    <t>KATINKO OINTMENT 30G</t>
  </si>
  <si>
    <t>BETADINE WOUND SOLUTION 7.5ML</t>
  </si>
  <si>
    <t>JB OIL REGULAR 25ML</t>
  </si>
  <si>
    <t>JB OIL REGULAR 50ML</t>
  </si>
  <si>
    <t>BENCH DAILY SCENT INDIAN SUMMER 75ML</t>
  </si>
  <si>
    <t>BENCH DAILY SCENT COLOGNE LAZY AFTERNOON 75ML</t>
  </si>
  <si>
    <t>BENCH DAILY SCENT NINE TO MINE 75ML</t>
  </si>
  <si>
    <t>BENCH DAILY SCENT SPRING BREAK 75ML</t>
  </si>
  <si>
    <t>BENCH DAILY SCENT SUNDAY MORNING 75ML</t>
  </si>
  <si>
    <t>BENCH DAILY SCENT BUBBLE POP 125ML</t>
  </si>
  <si>
    <t>BENCH DAILY SCENT COLOGNE HAPPY HOUR 125ML</t>
  </si>
  <si>
    <t>BENCH DAILY SCENT COLOGNE INDIAN SUMMER 125ML</t>
  </si>
  <si>
    <t>BENCH DAILY SCENT COLOGNE LAZY AFTERNOON 125ML</t>
  </si>
  <si>
    <t>DAILY SCENT COLOGNE NINE TO MINE 125ML</t>
  </si>
  <si>
    <t>BENCH DAILY SCENT COLOGNE SUNDAY MORNING 125ML</t>
  </si>
  <si>
    <t>BENCH EIGHT BODY SPRAY 75ML</t>
  </si>
  <si>
    <t>BENCH ATLANTIS 75ML</t>
  </si>
  <si>
    <t>BENCH SO INLOVE 50ML</t>
  </si>
  <si>
    <t>ALBATROSS APPLE 50G</t>
  </si>
  <si>
    <t>ALBATROSS JASMINE 50G</t>
  </si>
  <si>
    <t>ALBATROSS LEMON 50G</t>
  </si>
  <si>
    <t>ALBATROSS SAMBA 50G</t>
  </si>
  <si>
    <t>ALBATROSS SAMPAGUITA 50G</t>
  </si>
  <si>
    <t>ALBATROSS STRAWBERRY 50G</t>
  </si>
  <si>
    <t>ALBATROSS APPLE 100G</t>
  </si>
  <si>
    <t>ALBATROS JASMINE 100G</t>
  </si>
  <si>
    <t>ALBATROSS LEMON 100G</t>
  </si>
  <si>
    <t>ALBATROSS SAMBA 100G</t>
  </si>
  <si>
    <t>ALBATROSS SAMPAGUITA 100G</t>
  </si>
  <si>
    <t>ALBATROSS STRAWBERRY 100G</t>
  </si>
  <si>
    <t>DOWNY GARDEN BLOOM TRIPID PACK 66ML</t>
  </si>
  <si>
    <t>DOWNY GARDEN BLOOM 800ML</t>
  </si>
  <si>
    <t>GILLETE RUBIE II</t>
  </si>
  <si>
    <t>SAFEGUARD WHITE CAMELLIA 55G</t>
  </si>
  <si>
    <t>DOWNY FABRIC ANTIBAC 690ML</t>
  </si>
  <si>
    <t>PANTENE HAIR FALL CONTROL SHAMPOO 12ML</t>
  </si>
  <si>
    <t>GILLETE BLUE 2 FLEXI</t>
  </si>
  <si>
    <t>MIX MARKET INTEGRATED XPLORATION CORPORATION</t>
  </si>
  <si>
    <t>MASTER GREEN IN RICHER TOMATO SAUCE 155G</t>
  </si>
  <si>
    <t>MASTER SARDINES IN TOMATO SAUCE 155G RED</t>
  </si>
  <si>
    <t>BIRCH TREE 33G</t>
  </si>
  <si>
    <t>SILVER SWAN SOY SAUCE 1L</t>
  </si>
  <si>
    <t>SILVER SWAN PATIS 1L</t>
  </si>
  <si>
    <t>MGQ AIRCON SERVICE CENTER</t>
  </si>
  <si>
    <t>CONVIE CARRIER NEXUS WALL MOUNTED AIRCON 2.5HP</t>
  </si>
  <si>
    <t>CONVIE DISMANTLE OLD UNIT</t>
  </si>
  <si>
    <t>AS-LS DISTRIBUTOR</t>
  </si>
  <si>
    <t>EDELIAS MARKETING</t>
  </si>
  <si>
    <t>BUTTER CREAM CRACKERS CHEESE SPREAD 10X17G</t>
  </si>
  <si>
    <t>BUTTER CREAM CRACKERS CHOCOLATE SPREAD 10X17G</t>
  </si>
  <si>
    <t>HONEY HOUSE CLASSIC 220G</t>
  </si>
  <si>
    <t>SUPERLAMIG CANDY</t>
  </si>
  <si>
    <t>CONVIE MIDEA WALL MOUNTED AIRCON INVERTER 3.0HP</t>
  </si>
  <si>
    <t>CONVIE ELECTRICAL/BREAKER</t>
  </si>
  <si>
    <t>CONVIE EXCESS WIRE #23</t>
  </si>
  <si>
    <t>CONVIE HEALTHCARE MIDEA WALL MOUNTED AIRCON 1.0HP</t>
  </si>
  <si>
    <t>CONVIE EXCESS COPPER TUBE</t>
  </si>
  <si>
    <t>COKE KASALO 750ML -2</t>
  </si>
  <si>
    <t>KIMBERLIN ENTERPRISES</t>
  </si>
  <si>
    <t>MILKY KNOTS MILK 28G</t>
  </si>
  <si>
    <t>BERRY KNOTS STRAW 28G</t>
  </si>
  <si>
    <t>MAXX DALANDAN ORANGE 200G</t>
  </si>
  <si>
    <t>DYNAMITE CHOCO MINT CANDY 200G</t>
  </si>
  <si>
    <t>DYNAMITE MELON MINT FLAVORED CANDY 200G</t>
  </si>
  <si>
    <t>POTATO CHIPS VCUT SPICY BBQ 25G</t>
  </si>
  <si>
    <t>VCUT CHEESE 25G</t>
  </si>
  <si>
    <t>PIATTOS CHEESE 40G</t>
  </si>
  <si>
    <t>MR. CHIPS MANAMIS MAIS 45G</t>
  </si>
  <si>
    <t>POTATO CHIPS VCUT SPICY BBQ FLAVOR 60G</t>
  </si>
  <si>
    <t>PIATTOS CHEESE 85G</t>
  </si>
  <si>
    <t>ROYAL 237ML - 2</t>
  </si>
  <si>
    <t>SPRITE 237ML -2</t>
  </si>
  <si>
    <t>ROYAL KASALO 750ML - 2</t>
  </si>
  <si>
    <t>COKE ZERO MISMO 290ML</t>
  </si>
  <si>
    <t>SPRITE 1LTR.X12</t>
  </si>
  <si>
    <t>COKE 1LTR.X12</t>
  </si>
  <si>
    <t>ROYAL 1LTR.X12</t>
  </si>
  <si>
    <t>COKE SWAKTO 200ML - 2</t>
  </si>
  <si>
    <t>SPRITE MISMO 290ML - 2</t>
  </si>
  <si>
    <t>COKE 1.5L - 2</t>
  </si>
  <si>
    <t>MAXIPLUS MARKETING CORP.</t>
  </si>
  <si>
    <t>ZONROX BLEACH ORIGINAL 500ML</t>
  </si>
  <si>
    <t>ZONROX BLEACH ORIGINAL 250ML</t>
  </si>
  <si>
    <t>ZONROX BLEACH ORIGINAL 100ML</t>
  </si>
  <si>
    <t>ZONROX COLORSAFE BLEACH BLOSSOM FRESH 900ML</t>
  </si>
  <si>
    <t>ZONROX COLORSAFE BLEACH BLOSSOM FRESH 450ML</t>
  </si>
  <si>
    <t>ZONROX BLEACH ORIGINAL 1L</t>
  </si>
  <si>
    <t>OPTIPRIME DISTRIBUTION CORPORATION</t>
  </si>
  <si>
    <t>DATU PUTI VINEGAR 1L</t>
  </si>
  <si>
    <t>UFC HAPI FIESTA VEGETABLE OIL 17KG</t>
  </si>
  <si>
    <t>DATU PUTI VINEGAR 3.785L</t>
  </si>
  <si>
    <t>UFC CREAM OF MUSHROOM 70G</t>
  </si>
  <si>
    <t>DM PARTY COMBO PCK SWEET STYLE</t>
  </si>
  <si>
    <t>GAR HIGH FIBER WHEAT RAISIN LOAF 400G</t>
  </si>
  <si>
    <t>GAR HIGH FIBER WHEAT RAISIN LOAF 600G</t>
  </si>
  <si>
    <t>GAR TOASTIES BUTTER 10X25G</t>
  </si>
  <si>
    <t>PACK/S</t>
  </si>
  <si>
    <t>COCO MAMA FRESH GATA 200ML</t>
  </si>
  <si>
    <t>COKE MISMO 290ML - 2</t>
  </si>
  <si>
    <t>MINUTE MAID ORANGE JUICE 200ML</t>
  </si>
  <si>
    <t>MINUTE MAID APPLE JUICE 200ML</t>
  </si>
  <si>
    <t>SPRITE KASALO 750ML-3</t>
  </si>
  <si>
    <t>ROYAL TRU ORNG TALL 237ML-3</t>
  </si>
  <si>
    <t>COKE TALL 237ML-3</t>
  </si>
  <si>
    <t>SPRITE TALL 237ML-3</t>
  </si>
  <si>
    <t>COKE MISMO 290ML-3</t>
  </si>
  <si>
    <t>1.5L COKE-3</t>
  </si>
  <si>
    <t>1.5L ROYAL-3</t>
  </si>
  <si>
    <t>1.5L SPRITE-3</t>
  </si>
  <si>
    <t>COKE SWAKTO 190ML-3</t>
  </si>
  <si>
    <t>ROYAL KASALO 750ML-3</t>
  </si>
  <si>
    <t>SPRITE 1LTR.-2</t>
  </si>
  <si>
    <t>COKE KASALO 750ML-3</t>
  </si>
  <si>
    <t>CHIP ACCENDO ENTERPRISES INC.</t>
  </si>
  <si>
    <t>DELFI KNICK KNACKS CHOCOLATE 28G</t>
  </si>
  <si>
    <t>DELFI KNICK KNACKS MILK FLAVOR 28G</t>
  </si>
  <si>
    <t>CHIPS DELIGHT PARTY PACK COOKIES 130G</t>
  </si>
  <si>
    <t>CHIPS DELIGHT CHOCOLATE CHIP COOKIES 200G</t>
  </si>
  <si>
    <t>CHIPS DELIGHT CHOCOLATE CHIP COOKIES 80G</t>
  </si>
  <si>
    <t>KUKIS KELAPA COCONUT 60G</t>
  </si>
  <si>
    <t>KUKIS SUSU VANILLA 60G</t>
  </si>
  <si>
    <t>KUKIS BUTTER 218G</t>
  </si>
  <si>
    <t>KUKIS MOCHACHINO 218G</t>
  </si>
  <si>
    <t>KUKIS SUSU VANILA 218G</t>
  </si>
  <si>
    <t>ALASKA CLASSIC EVAPORATED FILLED MILK 370ML</t>
  </si>
  <si>
    <t>ALASKA EVAPORADA CREAMER 360ML</t>
  </si>
  <si>
    <t>ROVEN 168 CORP.</t>
  </si>
  <si>
    <t>MAGNUM MINI VANILLA ALMOND 45ML</t>
  </si>
  <si>
    <t>SELECTA BDAY 3+1 UBE MANGO AVO STRAW 1.25L</t>
  </si>
  <si>
    <t>SEL CREAMDAE 3+1 CHOCO KESO UBE MANGO 1.5L</t>
  </si>
  <si>
    <t>SEL BDAY BASO CHOCO 400ML</t>
  </si>
  <si>
    <t>SEL BDAY BASO UBE 400ML</t>
  </si>
  <si>
    <t>SEL COFFEE CRUMBLE 750ML</t>
  </si>
  <si>
    <t>SEL SUP COOKIES &amp; CREAM 750ML</t>
  </si>
  <si>
    <t>SEL SUP ROCKY ROAD 750ML</t>
  </si>
  <si>
    <t>SEL SUP DOUBLE DUTCH 750ML</t>
  </si>
  <si>
    <t>SEL CORNETTO VANILLA 110ML</t>
  </si>
  <si>
    <t>SEL CORNETTO CLASSIC CHOCO 110ML</t>
  </si>
  <si>
    <t>ROYAL MISMO 290ML-3</t>
  </si>
  <si>
    <t>SPRITE MISMO 290ML-3</t>
  </si>
  <si>
    <t>ROYAL SWAKTO 190ML-3</t>
  </si>
  <si>
    <t>SPRITE SWAKTO 190ML-3</t>
  </si>
  <si>
    <t>NUTRI BOOST CHOCOLATE 6X4 MILK 110ML - 2</t>
  </si>
  <si>
    <t>DIRECT REACH DISTRIBUTORS INC.</t>
  </si>
  <si>
    <t>BENGBENG 26.5G</t>
  </si>
  <si>
    <t>KOPIKO BROWN COFFEE TWINPACK 53G</t>
  </si>
  <si>
    <t>KOPIKO BLANCA TWINPACK 52G</t>
  </si>
  <si>
    <t>WING-AN MARKETING INC.</t>
  </si>
  <si>
    <t>HOME RECIPE - PEANUT BUTTER 560G</t>
  </si>
  <si>
    <t>WAMI FOODS BLACK PEPPER</t>
  </si>
  <si>
    <t>GAR HIGH FIBER WHEAT BREAD 600G</t>
  </si>
  <si>
    <t>GAR BUTTER TOAST 5-SLICE PACK 125G</t>
  </si>
  <si>
    <t>GAR BUTTER TOAST 2-SLICE PACK 50GX10</t>
  </si>
  <si>
    <t>GAR BANANA CHOCO MUFFIN 45G</t>
  </si>
  <si>
    <t>GAR NEUBAKE WHITE BREAD 450G</t>
  </si>
  <si>
    <t>MAY 2026</t>
  </si>
  <si>
    <t>SOLANE</t>
  </si>
  <si>
    <t xml:space="preserve">REFILL SOLANE 11KG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</si>
</sst>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1"/>
      <color rgb="FFFF0000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0" borderId="0">
      <alignment wrapText="1"/>
    </xf>
    <xf numFmtId="0" fontId="9" fillId="0" borderId="0">
      <alignment wrapText="1"/>
    </xf>
    <xf numFmtId="0" fontId="10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8" fillId="0" borderId="0">
      <alignment wrapText="1"/>
    </xf>
  </cellStyleXfs>
  <cellXfs count="28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0" fontId="3" fillId="0" borderId="0" xfId="0" applyFont="1" applyAlignment="1">
      <alignment horizontal="left" vertical="center"/>
    </xf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1" xfId="1" applyFont="1" applyFill="1" applyBorder="1"/>
    <xf numFmtId="0" fontId="3" fillId="0" borderId="1" xfId="0" applyFont="1" applyBorder="1" applyAlignment="1">
      <alignment horizontal="left" vertical="center"/>
    </xf>
    <xf numFmtId="1" fontId="3" fillId="0" borderId="0" xfId="1" applyNumberFormat="1" applyFont="1" applyFill="1" applyAlignment="1">
      <alignment horizontal="center"/>
    </xf>
    <xf numFmtId="1" fontId="3" fillId="0" borderId="0" xfId="1" applyNumberFormat="1" applyFont="1" applyAlignment="1"/>
    <xf numFmtId="1" fontId="4" fillId="0" borderId="0" xfId="1" applyNumberFormat="1" applyFont="1" applyAlignment="1">
      <alignment horizontal="center"/>
    </xf>
    <xf numFmtId="43" fontId="6" fillId="0" borderId="1" xfId="1" applyFont="1" applyFill="1" applyBorder="1"/>
    <xf numFmtId="0" fontId="3" fillId="0" borderId="10" xfId="0" applyFont="1" applyBorder="1" applyAlignment="1">
      <alignment horizontal="left" vertic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" fontId="13" fillId="0" borderId="12" xfId="1" applyNumberFormat="1" applyFont="1" applyFill="1" applyBorder="1" applyAlignment="1">
      <alignment horizontal="center" vertical="center" wrapText="1"/>
    </xf>
    <xf numFmtId="43" fontId="13" fillId="0" borderId="12" xfId="1" applyFont="1" applyFill="1" applyBorder="1" applyAlignment="1">
      <alignment horizontal="center" vertical="center" wrapText="1"/>
    </xf>
    <xf numFmtId="43" fontId="13" fillId="0" borderId="1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12" fillId="0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6" fillId="0" borderId="0" xfId="1" applyFont="1" applyFill="1" applyAlignment="1">
      <alignment horizontal="left" vertical="center"/>
    </xf>
    <xf numFmtId="0" fontId="6" fillId="0" borderId="1" xfId="0" applyFont="1" applyBorder="1"/>
    <xf numFmtId="1" fontId="6" fillId="0" borderId="1" xfId="1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center" vertical="center" wrapText="1"/>
    </xf>
    <xf numFmtId="1" fontId="12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0" xfId="1" applyFont="1" applyFill="1" applyBorder="1"/>
    <xf numFmtId="1" fontId="5" fillId="0" borderId="0" xfId="1" applyNumberFormat="1" applyFont="1" applyFill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1" applyFont="1" applyFill="1" applyAlignment="1">
      <alignment horizontal="center"/>
    </xf>
    <xf numFmtId="43" fontId="5" fillId="0" borderId="0" xfId="1" applyFont="1" applyFill="1" applyAlignment="1">
      <alignment horizontal="center"/>
    </xf>
    <xf numFmtId="43" fontId="5" fillId="0" borderId="0" xfId="1" applyFont="1" applyFill="1"/>
    <xf numFmtId="14" fontId="5" fillId="0" borderId="0" xfId="0" applyNumberFormat="1" applyFont="1" applyAlignment="1">
      <alignment horizontal="center"/>
    </xf>
    <xf numFmtId="3" fontId="6" fillId="0" borderId="0" xfId="0" applyNumberFormat="1" applyFont="1"/>
    <xf numFmtId="43" fontId="6" fillId="0" borderId="0" xfId="1" applyFont="1" applyFill="1" applyAlignment="1">
      <alignment horizontal="center" vertical="center"/>
    </xf>
    <xf numFmtId="43" fontId="5" fillId="0" borderId="13" xfId="1" applyFont="1" applyFill="1" applyBorder="1" applyAlignment="1">
      <alignment horizontal="center" vertical="center" wrapText="1"/>
    </xf>
    <xf numFmtId="43" fontId="6" fillId="0" borderId="15" xfId="1" applyFont="1" applyFill="1" applyBorder="1"/>
    <xf numFmtId="43" fontId="6" fillId="0" borderId="0" xfId="1" applyFont="1" applyFill="1" applyBorder="1"/>
    <xf numFmtId="14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2" xfId="1" applyNumberFormat="1" applyFont="1" applyFill="1" applyBorder="1" applyAlignment="1">
      <alignment horizontal="center" vertical="center" wrapText="1"/>
    </xf>
    <xf numFmtId="43" fontId="5" fillId="0" borderId="12" xfId="1" applyFont="1" applyFill="1" applyBorder="1" applyAlignment="1">
      <alignment horizontal="center" vertical="center" wrapText="1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/>
    </xf>
    <xf numFmtId="0" fontId="6" fillId="0" borderId="2" xfId="0" applyFont="1" applyBorder="1"/>
    <xf numFmtId="1" fontId="6" fillId="0" borderId="8" xfId="1" applyNumberFormat="1" applyFont="1" applyFill="1" applyBorder="1" applyAlignment="1">
      <alignment horizontal="center" vertical="center"/>
    </xf>
    <xf numFmtId="43" fontId="6" fillId="0" borderId="8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1" fontId="6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1" fontId="6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14" fontId="6" fillId="0" borderId="7" xfId="0" applyNumberFormat="1" applyFont="1" applyBorder="1" applyAlignment="1">
      <alignment horizontal="center"/>
    </xf>
    <xf numFmtId="0" fontId="6" fillId="0" borderId="8" xfId="0" applyFont="1" applyBorder="1"/>
    <xf numFmtId="1" fontId="6" fillId="0" borderId="8" xfId="1" applyNumberFormat="1" applyFont="1" applyFill="1" applyBorder="1" applyAlignment="1">
      <alignment horizontal="center"/>
    </xf>
    <xf numFmtId="1" fontId="6" fillId="0" borderId="9" xfId="1" applyNumberFormat="1" applyFont="1" applyFill="1" applyBorder="1" applyAlignment="1">
      <alignment horizontal="center"/>
    </xf>
    <xf numFmtId="43" fontId="6" fillId="0" borderId="8" xfId="1" applyFont="1" applyFill="1" applyBorder="1"/>
    <xf numFmtId="0" fontId="6" fillId="0" borderId="8" xfId="0" applyFont="1" applyBorder="1" applyAlignment="1">
      <alignment horizontal="center"/>
    </xf>
    <xf numFmtId="164" fontId="3" fillId="0" borderId="1" xfId="1" applyNumberFormat="1" applyFont="1" applyFill="1" applyBorder="1"/>
    <xf numFmtId="14" fontId="3" fillId="0" borderId="14" xfId="0" applyNumberFormat="1" applyFont="1" applyBorder="1" applyAlignment="1">
      <alignment horizontal="center"/>
    </xf>
    <xf numFmtId="1" fontId="6" fillId="0" borderId="10" xfId="1" applyNumberFormat="1" applyFont="1" applyFill="1" applyBorder="1" applyAlignment="1">
      <alignment horizontal="center"/>
    </xf>
    <xf numFmtId="164" fontId="6" fillId="0" borderId="10" xfId="1" applyNumberFormat="1" applyFont="1" applyFill="1" applyBorder="1"/>
    <xf numFmtId="0" fontId="6" fillId="0" borderId="10" xfId="0" applyFont="1" applyBorder="1" applyAlignment="1">
      <alignment horizontal="center"/>
    </xf>
    <xf numFmtId="43" fontId="6" fillId="0" borderId="10" xfId="1" applyFont="1" applyFill="1" applyBorder="1"/>
    <xf numFmtId="43" fontId="6" fillId="0" borderId="17" xfId="1" applyFont="1" applyFill="1" applyBorder="1"/>
    <xf numFmtId="164" fontId="6" fillId="0" borderId="1" xfId="1" applyNumberFormat="1" applyFont="1" applyFill="1" applyBorder="1"/>
    <xf numFmtId="0" fontId="6" fillId="0" borderId="1" xfId="0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1" fontId="3" fillId="0" borderId="10" xfId="1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 vertical="center" wrapText="1"/>
    </xf>
    <xf numFmtId="43" fontId="6" fillId="2" borderId="0" xfId="1" applyFont="1" applyFill="1"/>
    <xf numFmtId="1" fontId="12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43" fontId="12" fillId="0" borderId="1" xfId="1" applyFont="1" applyFill="1" applyBorder="1" applyAlignment="1">
      <alignment vertical="center"/>
    </xf>
    <xf numFmtId="43" fontId="12" fillId="0" borderId="15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3" fontId="12" fillId="0" borderId="1" xfId="1" applyFont="1" applyBorder="1" applyAlignment="1">
      <alignment vertical="center" wrapText="1"/>
    </xf>
    <xf numFmtId="43" fontId="6" fillId="0" borderId="0" xfId="1" applyFont="1" applyAlignment="1">
      <alignment horizontal="center"/>
    </xf>
    <xf numFmtId="43" fontId="3" fillId="0" borderId="0" xfId="1" applyFont="1" applyAlignment="1"/>
    <xf numFmtId="0" fontId="16" fillId="0" borderId="1" xfId="0" applyFont="1" applyBorder="1" applyAlignment="1">
      <alignment vertical="top" wrapText="1"/>
    </xf>
    <xf numFmtId="14" fontId="0" fillId="0" borderId="14" xfId="0" applyNumberFormat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 wrapText="1"/>
    </xf>
    <xf numFmtId="14" fontId="12" fillId="0" borderId="14" xfId="0" applyNumberFormat="1" applyFont="1" applyBorder="1" applyAlignment="1">
      <alignment horizontal="center" vertical="center"/>
    </xf>
    <xf numFmtId="43" fontId="6" fillId="0" borderId="19" xfId="1" applyFont="1" applyFill="1" applyBorder="1"/>
    <xf numFmtId="0" fontId="6" fillId="0" borderId="20" xfId="0" applyFont="1" applyBorder="1"/>
    <xf numFmtId="43" fontId="13" fillId="0" borderId="6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vertical="center" wrapText="1"/>
    </xf>
    <xf numFmtId="43" fontId="12" fillId="0" borderId="6" xfId="1" applyFont="1" applyFill="1" applyBorder="1" applyAlignment="1">
      <alignment vertical="center"/>
    </xf>
    <xf numFmtId="43" fontId="12" fillId="0" borderId="21" xfId="1" applyFont="1" applyFill="1" applyBorder="1" applyAlignment="1">
      <alignment vertical="center"/>
    </xf>
    <xf numFmtId="1" fontId="13" fillId="0" borderId="4" xfId="1" applyNumberFormat="1" applyFont="1" applyFill="1" applyBorder="1" applyAlignment="1">
      <alignment horizontal="center" vertical="center" wrapText="1"/>
    </xf>
    <xf numFmtId="43" fontId="13" fillId="0" borderId="4" xfId="1" applyFont="1" applyFill="1" applyBorder="1" applyAlignment="1">
      <alignment horizontal="center" vertical="center" wrapText="1"/>
    </xf>
    <xf numFmtId="43" fontId="13" fillId="0" borderId="5" xfId="1" applyFont="1" applyFill="1" applyBorder="1" applyAlignment="1">
      <alignment horizontal="center" vertical="center" wrapText="1"/>
    </xf>
    <xf numFmtId="43" fontId="12" fillId="0" borderId="24" xfId="1" applyFont="1" applyFill="1" applyBorder="1" applyAlignment="1">
      <alignment vertical="center"/>
    </xf>
    <xf numFmtId="4" fontId="6" fillId="0" borderId="0" xfId="1" applyNumberFormat="1" applyFont="1" applyFill="1" applyAlignment="1">
      <alignment vertical="center"/>
    </xf>
    <xf numFmtId="4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1" fontId="4" fillId="0" borderId="0" xfId="1" applyNumberFormat="1" applyFont="1" applyFill="1" applyAlignment="1">
      <alignment horizontal="left" vertical="center"/>
    </xf>
    <xf numFmtId="43" fontId="2" fillId="0" borderId="0" xfId="1" applyFont="1" applyFill="1" applyAlignment="1">
      <alignment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Alignment="1">
      <alignment horizontal="left" vertical="center"/>
    </xf>
    <xf numFmtId="1" fontId="7" fillId="0" borderId="0" xfId="1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3" fillId="0" borderId="0" xfId="1" applyFont="1" applyFill="1" applyAlignment="1">
      <alignment horizontal="left" vertical="center"/>
    </xf>
    <xf numFmtId="43" fontId="12" fillId="0" borderId="0" xfId="1" applyFont="1" applyFill="1" applyAlignment="1">
      <alignment vertical="center"/>
    </xf>
    <xf numFmtId="1" fontId="12" fillId="0" borderId="0" xfId="1" applyNumberFormat="1" applyFont="1" applyFill="1" applyAlignment="1">
      <alignment horizontal="center" vertical="center"/>
    </xf>
    <xf numFmtId="43" fontId="13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vertical="center"/>
    </xf>
    <xf numFmtId="1" fontId="12" fillId="0" borderId="0" xfId="1" applyNumberFormat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vertical="center"/>
    </xf>
    <xf numFmtId="43" fontId="12" fillId="0" borderId="0" xfId="1" applyFont="1" applyFill="1" applyAlignment="1">
      <alignment horizontal="center" vertical="center"/>
    </xf>
    <xf numFmtId="1" fontId="13" fillId="0" borderId="0" xfId="1" applyNumberFormat="1" applyFont="1" applyFill="1" applyAlignment="1">
      <alignment horizontal="left" vertical="center"/>
    </xf>
    <xf numFmtId="1" fontId="12" fillId="0" borderId="0" xfId="1" applyNumberFormat="1" applyFont="1" applyFill="1" applyAlignment="1">
      <alignment vertical="center"/>
    </xf>
    <xf numFmtId="1" fontId="12" fillId="0" borderId="0" xfId="1" applyNumberFormat="1" applyFont="1" applyFill="1" applyAlignment="1">
      <alignment horizontal="left" vertical="center"/>
    </xf>
    <xf numFmtId="43" fontId="12" fillId="0" borderId="0" xfId="1" applyFont="1" applyFill="1" applyAlignment="1">
      <alignment horizontal="left" vertical="center"/>
    </xf>
    <xf numFmtId="43" fontId="12" fillId="0" borderId="0" xfId="1" applyFont="1" applyFill="1" applyBorder="1" applyAlignment="1">
      <alignment horizontal="center" vertical="center"/>
    </xf>
    <xf numFmtId="1" fontId="13" fillId="0" borderId="0" xfId="1" applyNumberFormat="1" applyFont="1" applyFill="1" applyBorder="1" applyAlignment="1">
      <alignment horizontal="left" vertical="center"/>
    </xf>
    <xf numFmtId="43" fontId="13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vertical="center"/>
    </xf>
    <xf numFmtId="0" fontId="12" fillId="0" borderId="0" xfId="1" applyNumberFormat="1" applyFont="1" applyFill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43" fontId="12" fillId="0" borderId="20" xfId="1" applyFont="1" applyFill="1" applyBorder="1"/>
    <xf numFmtId="1" fontId="12" fillId="0" borderId="6" xfId="1" applyNumberFormat="1" applyFont="1" applyFill="1" applyBorder="1" applyAlignment="1">
      <alignment horizontal="center" vertical="center"/>
    </xf>
    <xf numFmtId="0" fontId="13" fillId="0" borderId="4" xfId="1" applyNumberFormat="1" applyFont="1" applyFill="1" applyBorder="1" applyAlignment="1">
      <alignment horizontal="center" vertical="center" wrapText="1"/>
    </xf>
    <xf numFmtId="43" fontId="14" fillId="0" borderId="1" xfId="1" applyFont="1" applyBorder="1" applyAlignment="1">
      <alignment horizontal="center" vertical="center" wrapText="1"/>
    </xf>
    <xf numFmtId="0" fontId="13" fillId="0" borderId="6" xfId="1" applyNumberFormat="1" applyFont="1" applyFill="1" applyBorder="1" applyAlignment="1">
      <alignment horizontal="center" vertical="center" wrapText="1"/>
    </xf>
    <xf numFmtId="1" fontId="13" fillId="0" borderId="6" xfId="1" applyNumberFormat="1" applyFont="1" applyFill="1" applyBorder="1" applyAlignment="1">
      <alignment horizontal="center" vertical="center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" fontId="12" fillId="0" borderId="6" xfId="1" applyNumberFormat="1" applyFont="1" applyFill="1" applyBorder="1" applyAlignment="1">
      <alignment horizontal="center" vertical="center" wrapText="1"/>
    </xf>
    <xf numFmtId="43" fontId="12" fillId="0" borderId="1" xfId="1" applyFont="1" applyFill="1" applyBorder="1" applyAlignment="1">
      <alignment vertical="center" wrapText="1"/>
    </xf>
    <xf numFmtId="43" fontId="12" fillId="0" borderId="6" xfId="1" applyFont="1" applyFill="1" applyBorder="1" applyAlignment="1">
      <alignment vertical="center" wrapText="1"/>
    </xf>
    <xf numFmtId="43" fontId="14" fillId="0" borderId="6" xfId="1" applyFont="1" applyFill="1" applyBorder="1" applyAlignment="1">
      <alignment horizontal="center" vertical="center" wrapText="1"/>
    </xf>
    <xf numFmtId="43" fontId="14" fillId="0" borderId="6" xfId="1" applyFont="1" applyFill="1" applyBorder="1" applyAlignment="1">
      <alignment vertical="center" wrapText="1"/>
    </xf>
    <xf numFmtId="43" fontId="14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 wrapText="1"/>
    </xf>
    <xf numFmtId="43" fontId="14" fillId="0" borderId="24" xfId="1" applyFont="1" applyFill="1" applyBorder="1" applyAlignment="1">
      <alignment vertical="center" wrapText="1"/>
    </xf>
    <xf numFmtId="43" fontId="6" fillId="0" borderId="8" xfId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12" fillId="0" borderId="0" xfId="0" applyNumberFormat="1" applyFont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 wrapText="1"/>
    </xf>
    <xf numFmtId="43" fontId="17" fillId="0" borderId="0" xfId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4" fillId="0" borderId="0" xfId="0" applyFont="1" applyAlignment="1">
      <alignment vertical="top" wrapText="1"/>
    </xf>
    <xf numFmtId="0" fontId="14" fillId="0" borderId="0" xfId="1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43" fontId="14" fillId="0" borderId="0" xfId="1" applyFont="1" applyFill="1" applyBorder="1" applyAlignment="1">
      <alignment vertical="top" wrapText="1"/>
    </xf>
    <xf numFmtId="0" fontId="13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43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12" fillId="2" borderId="0" xfId="1" applyFont="1" applyFill="1" applyBorder="1" applyAlignment="1">
      <alignment vertical="center"/>
    </xf>
    <xf numFmtId="1" fontId="12" fillId="0" borderId="2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43" fontId="14" fillId="0" borderId="2" xfId="1" applyFont="1" applyFill="1" applyBorder="1" applyAlignment="1">
      <alignment vertical="center" wrapText="1"/>
    </xf>
    <xf numFmtId="14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" fontId="12" fillId="0" borderId="4" xfId="1" applyNumberFormat="1" applyFont="1" applyFill="1" applyBorder="1" applyAlignment="1">
      <alignment horizontal="center" vertical="center"/>
    </xf>
    <xf numFmtId="1" fontId="12" fillId="0" borderId="5" xfId="1" applyNumberFormat="1" applyFont="1" applyFill="1" applyBorder="1" applyAlignment="1">
      <alignment horizontal="center" vertical="center"/>
    </xf>
    <xf numFmtId="43" fontId="12" fillId="0" borderId="3" xfId="1" applyFont="1" applyFill="1" applyBorder="1" applyAlignment="1">
      <alignment vertical="center"/>
    </xf>
    <xf numFmtId="43" fontId="12" fillId="0" borderId="4" xfId="1" applyFont="1" applyFill="1" applyBorder="1" applyAlignment="1">
      <alignment vertical="center"/>
    </xf>
    <xf numFmtId="43" fontId="12" fillId="0" borderId="5" xfId="1" applyFont="1" applyFill="1" applyBorder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5" fillId="0" borderId="2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0" fontId="12" fillId="0" borderId="25" xfId="0" applyFont="1" applyBorder="1" applyAlignment="1">
      <alignment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3" fontId="12" fillId="0" borderId="26" xfId="1" applyFont="1" applyFill="1" applyBorder="1" applyAlignment="1">
      <alignment vertical="center"/>
    </xf>
    <xf numFmtId="14" fontId="0" fillId="0" borderId="27" xfId="0" applyNumberForma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 wrapText="1"/>
    </xf>
    <xf numFmtId="43" fontId="14" fillId="0" borderId="2" xfId="1" applyFont="1" applyBorder="1" applyAlignment="1">
      <alignment horizontal="center" vertical="center" wrapText="1"/>
    </xf>
    <xf numFmtId="43" fontId="12" fillId="0" borderId="2" xfId="1" applyFont="1" applyFill="1" applyBorder="1" applyAlignment="1">
      <alignment vertical="center"/>
    </xf>
    <xf numFmtId="43" fontId="12" fillId="0" borderId="18" xfId="1" applyFont="1" applyFill="1" applyBorder="1" applyAlignment="1">
      <alignment vertical="center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" fontId="12" fillId="0" borderId="4" xfId="1" applyNumberFormat="1" applyFont="1" applyFill="1" applyBorder="1" applyAlignment="1">
      <alignment horizontal="center"/>
    </xf>
    <xf numFmtId="43" fontId="12" fillId="0" borderId="26" xfId="1" applyFont="1" applyFill="1" applyBorder="1"/>
    <xf numFmtId="0" fontId="14" fillId="0" borderId="1" xfId="1" applyNumberFormat="1" applyFont="1" applyFill="1" applyBorder="1" applyAlignment="1">
      <alignment horizontal="center" vertical="center" wrapText="1"/>
    </xf>
    <xf numFmtId="0" fontId="14" fillId="0" borderId="6" xfId="1" applyNumberFormat="1" applyFont="1" applyFill="1" applyBorder="1" applyAlignment="1">
      <alignment horizontal="center" vertical="center" wrapText="1"/>
    </xf>
    <xf numFmtId="43" fontId="3" fillId="2" borderId="0" xfId="1" applyFont="1" applyFill="1" applyAlignment="1">
      <alignment vertical="center"/>
    </xf>
    <xf numFmtId="0" fontId="6" fillId="0" borderId="0" xfId="1" applyNumberFormat="1" applyFont="1" applyFill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 wrapText="1"/>
    </xf>
    <xf numFmtId="0" fontId="6" fillId="0" borderId="8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12" fillId="0" borderId="26" xfId="0" applyFont="1" applyBorder="1" applyAlignment="1">
      <alignment horizontal="center"/>
    </xf>
    <xf numFmtId="1" fontId="12" fillId="0" borderId="25" xfId="1" applyNumberFormat="1" applyFont="1" applyFill="1" applyBorder="1" applyAlignment="1">
      <alignment horizontal="center"/>
    </xf>
    <xf numFmtId="1" fontId="12" fillId="0" borderId="2" xfId="1" applyNumberFormat="1" applyFont="1" applyFill="1" applyBorder="1" applyAlignment="1">
      <alignment horizontal="center" vertical="center" wrapText="1"/>
    </xf>
    <xf numFmtId="1" fontId="12" fillId="0" borderId="20" xfId="1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3" fontId="14" fillId="0" borderId="6" xfId="1" applyNumberFormat="1" applyFont="1" applyFill="1" applyBorder="1" applyAlignment="1">
      <alignment horizontal="center" vertical="center" wrapText="1"/>
    </xf>
    <xf numFmtId="0" fontId="5" fillId="0" borderId="0" xfId="0" quotePrefix="1" applyFont="1" applyAlignment="1">
      <alignment horizontal="left"/>
    </xf>
    <xf numFmtId="43" fontId="16" fillId="0" borderId="1" xfId="1" applyFont="1" applyBorder="1" applyAlignment="1">
      <alignment vertical="top" wrapText="1"/>
    </xf>
    <xf numFmtId="43" fontId="14" fillId="0" borderId="1" xfId="1" applyFont="1" applyBorder="1" applyAlignment="1">
      <alignment vertical="center" wrapText="1"/>
    </xf>
    <xf numFmtId="43" fontId="15" fillId="0" borderId="1" xfId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23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43" fontId="6" fillId="0" borderId="0" xfId="1" applyFont="1" applyFill="1" applyAlignment="1">
      <alignment horizontal="center"/>
    </xf>
  </cellXfs>
  <cellStyles count="8">
    <cellStyle name="Comma" xfId="1" builtinId="3"/>
    <cellStyle name="Normal" xfId="0" builtinId="0"/>
    <cellStyle name="Normal 2" xfId="2"/>
    <cellStyle name="Normal 3" xfId="3"/>
    <cellStyle name="Normal 3 2" xfId="5"/>
    <cellStyle name="Normal 4" xfId="4"/>
    <cellStyle name="Normal 4 2" xfId="6"/>
    <cellStyle name="Normal 5" xfId="7"/>
  </cellStyles>
  <dxfs count="0"/>
  <tableStyles count="0" defaultTableStyle="TableStyleMedium2" defaultPivotStyle="PivotStyleLight16"/>
  <colors>
    <mruColors>
      <color rgb="FFE1E19D"/>
      <color rgb="FFFF6699"/>
      <color rgb="FFE9F08E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showGridLines="0" tabSelected="1" zoomScale="85" zoomScaleNormal="85" workbookViewId="0">
      <pane ySplit="5" topLeftCell="A6" activePane="bottomLeft" state="frozen"/>
      <selection activeCell="C27" sqref="C27"/>
      <selection pane="bottomLeft" activeCell="E30" sqref="E30"/>
    </sheetView>
  </sheetViews>
  <sheetFormatPr defaultColWidth="9.140625" defaultRowHeight="15" x14ac:dyDescent="0.25"/>
  <cols>
    <col min="1" max="1" width="15.42578125" style="26" customWidth="1"/>
    <col min="2" max="2" width="49.5703125" style="21" bestFit="1" customWidth="1"/>
    <col min="3" max="3" width="12.7109375" style="16" customWidth="1"/>
    <col min="4" max="4" width="9.140625" style="16" customWidth="1"/>
    <col min="5" max="5" width="42.42578125" style="21" customWidth="1"/>
    <col min="6" max="6" width="13.140625" style="16" customWidth="1"/>
    <col min="7" max="7" width="12.85546875" style="21" customWidth="1"/>
    <col min="8" max="8" width="22.85546875" style="3" bestFit="1" customWidth="1"/>
    <col min="9" max="9" width="19.140625" style="3" customWidth="1"/>
    <col min="10" max="10" width="16.28515625" style="3" bestFit="1" customWidth="1"/>
    <col min="11" max="11" width="17.140625" style="3" customWidth="1"/>
    <col min="12" max="12" width="17.85546875" style="3" customWidth="1"/>
    <col min="13" max="13" width="20.140625" style="34" bestFit="1" customWidth="1"/>
    <col min="14" max="16" width="9.140625" style="1"/>
    <col min="17" max="17" width="12.140625" style="1" bestFit="1" customWidth="1"/>
    <col min="18" max="16384" width="9.140625" style="1"/>
  </cols>
  <sheetData>
    <row r="1" spans="1:16" x14ac:dyDescent="0.25">
      <c r="A1" s="45" t="s">
        <v>0</v>
      </c>
      <c r="B1" s="48"/>
      <c r="C1" s="47"/>
      <c r="D1" s="47"/>
      <c r="E1" s="48"/>
      <c r="F1" s="47"/>
      <c r="G1" s="48"/>
      <c r="H1" s="49"/>
      <c r="I1" s="49"/>
      <c r="J1" s="49"/>
      <c r="K1" s="49"/>
      <c r="L1" s="49"/>
      <c r="M1" s="50"/>
      <c r="N1" s="46"/>
      <c r="O1" s="46"/>
      <c r="P1" s="46"/>
    </row>
    <row r="2" spans="1:16" x14ac:dyDescent="0.25">
      <c r="A2" s="45" t="s">
        <v>16</v>
      </c>
      <c r="B2" s="48"/>
      <c r="C2" s="47"/>
      <c r="D2" s="47"/>
      <c r="E2" s="48"/>
      <c r="F2" s="47"/>
      <c r="G2" s="48"/>
      <c r="H2" s="49"/>
      <c r="I2" s="49"/>
      <c r="J2" s="49"/>
      <c r="K2" s="49"/>
      <c r="L2" s="49"/>
      <c r="M2" s="50"/>
      <c r="N2" s="46"/>
      <c r="O2" s="46"/>
      <c r="P2" s="46"/>
    </row>
    <row r="3" spans="1:16" x14ac:dyDescent="0.25">
      <c r="A3" s="272" t="s">
        <v>223</v>
      </c>
      <c r="B3" s="48"/>
      <c r="C3" s="47"/>
      <c r="D3" s="47"/>
      <c r="E3" s="48"/>
      <c r="F3" s="47"/>
      <c r="G3" s="48"/>
      <c r="H3" s="49"/>
      <c r="I3" s="49"/>
      <c r="J3" s="49"/>
      <c r="K3" s="49"/>
      <c r="L3" s="49"/>
      <c r="M3" s="50"/>
      <c r="N3" s="46"/>
      <c r="O3" s="46"/>
      <c r="P3" s="46"/>
    </row>
    <row r="4" spans="1:16" ht="15.75" thickBot="1" x14ac:dyDescent="0.3">
      <c r="A4" s="51"/>
      <c r="B4" s="48"/>
      <c r="C4" s="47"/>
      <c r="D4" s="47"/>
      <c r="E4" s="48"/>
      <c r="F4" s="47"/>
      <c r="G4" s="48"/>
      <c r="H4" s="49"/>
      <c r="I4" s="49"/>
      <c r="J4" s="49"/>
      <c r="K4" s="49"/>
      <c r="L4" s="49"/>
      <c r="M4" s="50"/>
      <c r="N4" s="46"/>
      <c r="O4" s="46"/>
      <c r="P4" s="46"/>
    </row>
    <row r="5" spans="1:16" s="2" customFormat="1" ht="30" x14ac:dyDescent="0.25">
      <c r="A5" s="52" t="s">
        <v>1</v>
      </c>
      <c r="B5" s="53" t="s">
        <v>2</v>
      </c>
      <c r="C5" s="54" t="s">
        <v>11</v>
      </c>
      <c r="D5" s="54" t="s">
        <v>12</v>
      </c>
      <c r="E5" s="53" t="s">
        <v>3</v>
      </c>
      <c r="F5" s="54" t="s">
        <v>4</v>
      </c>
      <c r="G5" s="53" t="s">
        <v>5</v>
      </c>
      <c r="H5" s="55" t="s">
        <v>6</v>
      </c>
      <c r="I5" s="55" t="s">
        <v>7</v>
      </c>
      <c r="J5" s="55" t="s">
        <v>8</v>
      </c>
      <c r="K5" s="55" t="s">
        <v>9</v>
      </c>
      <c r="L5" s="56" t="s">
        <v>10</v>
      </c>
      <c r="M5" s="119"/>
      <c r="N5" s="57"/>
      <c r="O5" s="57"/>
      <c r="P5" s="57"/>
    </row>
    <row r="6" spans="1:16" s="2" customFormat="1" x14ac:dyDescent="0.25">
      <c r="A6" s="124">
        <v>46163</v>
      </c>
      <c r="B6" s="59" t="s">
        <v>26</v>
      </c>
      <c r="C6" s="58"/>
      <c r="D6" s="58">
        <v>3526</v>
      </c>
      <c r="E6" s="59" t="s">
        <v>224</v>
      </c>
      <c r="F6" s="59">
        <v>5</v>
      </c>
      <c r="G6" s="59" t="s">
        <v>29</v>
      </c>
      <c r="H6" s="180">
        <v>1461</v>
      </c>
      <c r="I6" s="117">
        <f t="shared" ref="I6:I20" si="0">F6*H6</f>
        <v>7305</v>
      </c>
      <c r="J6" s="175"/>
      <c r="K6" s="129"/>
      <c r="L6" s="118">
        <f t="shared" ref="L6:L9" si="1">I6-J6-K6</f>
        <v>7305</v>
      </c>
      <c r="M6" s="119"/>
      <c r="N6" s="57"/>
      <c r="O6" s="57"/>
      <c r="P6" s="57"/>
    </row>
    <row r="7" spans="1:16" s="2" customFormat="1" x14ac:dyDescent="0.25">
      <c r="A7" s="124">
        <v>46171</v>
      </c>
      <c r="B7" s="59" t="s">
        <v>26</v>
      </c>
      <c r="C7" s="58"/>
      <c r="D7" s="179">
        <v>3727</v>
      </c>
      <c r="E7" s="178" t="s">
        <v>225</v>
      </c>
      <c r="F7" s="178">
        <v>7</v>
      </c>
      <c r="G7" s="59" t="s">
        <v>29</v>
      </c>
      <c r="H7" s="181">
        <v>1379</v>
      </c>
      <c r="I7" s="117">
        <f t="shared" si="0"/>
        <v>9653</v>
      </c>
      <c r="J7" s="175"/>
      <c r="K7" s="129"/>
      <c r="L7" s="118">
        <f t="shared" si="1"/>
        <v>9653</v>
      </c>
      <c r="M7" s="119"/>
      <c r="N7" s="57"/>
      <c r="O7" s="57"/>
      <c r="P7" s="57"/>
    </row>
    <row r="8" spans="1:16" s="2" customFormat="1" ht="15.75" thickBot="1" x14ac:dyDescent="0.3">
      <c r="A8" s="124"/>
      <c r="B8" s="59"/>
      <c r="C8" s="58"/>
      <c r="D8" s="176"/>
      <c r="E8" s="178"/>
      <c r="F8" s="177"/>
      <c r="G8" s="59"/>
      <c r="H8" s="181"/>
      <c r="I8" s="117">
        <f t="shared" si="0"/>
        <v>0</v>
      </c>
      <c r="J8" s="175"/>
      <c r="K8" s="129"/>
      <c r="L8" s="118">
        <f t="shared" si="1"/>
        <v>0</v>
      </c>
      <c r="M8" s="119"/>
      <c r="N8" s="57"/>
      <c r="O8" s="57"/>
      <c r="P8" s="57"/>
    </row>
    <row r="9" spans="1:16" s="2" customFormat="1" hidden="1" x14ac:dyDescent="0.25">
      <c r="A9" s="124"/>
      <c r="B9" s="59"/>
      <c r="C9" s="58"/>
      <c r="D9" s="176"/>
      <c r="E9" s="178"/>
      <c r="F9" s="177"/>
      <c r="G9" s="59"/>
      <c r="H9" s="181"/>
      <c r="I9" s="117">
        <f t="shared" si="0"/>
        <v>0</v>
      </c>
      <c r="J9" s="129"/>
      <c r="K9" s="129"/>
      <c r="L9" s="118">
        <f t="shared" si="1"/>
        <v>0</v>
      </c>
      <c r="M9" s="119"/>
      <c r="N9" s="57"/>
      <c r="O9" s="57"/>
      <c r="P9" s="57"/>
    </row>
    <row r="10" spans="1:16" s="34" customFormat="1" hidden="1" x14ac:dyDescent="0.25">
      <c r="A10" s="124"/>
      <c r="B10" s="59"/>
      <c r="C10" s="58"/>
      <c r="D10" s="84"/>
      <c r="E10" s="178"/>
      <c r="F10" s="116"/>
      <c r="G10" s="59"/>
      <c r="H10" s="120"/>
      <c r="I10" s="117">
        <f t="shared" si="0"/>
        <v>0</v>
      </c>
      <c r="J10" s="273"/>
      <c r="K10" s="123"/>
      <c r="L10" s="118">
        <f t="shared" ref="L10:L11" si="2">I10-J10-K10</f>
        <v>0</v>
      </c>
      <c r="M10" s="50"/>
      <c r="N10" s="50"/>
      <c r="O10" s="50"/>
      <c r="P10" s="50"/>
    </row>
    <row r="11" spans="1:16" s="34" customFormat="1" hidden="1" x14ac:dyDescent="0.25">
      <c r="A11" s="124"/>
      <c r="B11" s="59"/>
      <c r="C11" s="58"/>
      <c r="D11" s="84"/>
      <c r="E11" s="116"/>
      <c r="F11" s="116"/>
      <c r="G11" s="59"/>
      <c r="H11" s="125"/>
      <c r="I11" s="117">
        <f t="shared" si="0"/>
        <v>0</v>
      </c>
      <c r="J11" s="273"/>
      <c r="K11" s="123"/>
      <c r="L11" s="118">
        <f t="shared" si="2"/>
        <v>0</v>
      </c>
      <c r="M11" s="50"/>
      <c r="N11" s="50"/>
      <c r="O11" s="50"/>
      <c r="P11" s="50"/>
    </row>
    <row r="12" spans="1:16" s="34" customFormat="1" hidden="1" x14ac:dyDescent="0.25">
      <c r="A12" s="124"/>
      <c r="B12" s="59"/>
      <c r="C12" s="179"/>
      <c r="D12" s="84"/>
      <c r="E12" s="116"/>
      <c r="F12" s="116"/>
      <c r="G12" s="59"/>
      <c r="H12" s="125"/>
      <c r="I12" s="117">
        <f t="shared" si="0"/>
        <v>0</v>
      </c>
      <c r="J12" s="123"/>
      <c r="K12" s="123"/>
      <c r="L12" s="118">
        <f t="shared" ref="L12:L14" si="3">I12-J12-K12</f>
        <v>0</v>
      </c>
      <c r="M12" s="50"/>
      <c r="N12" s="50"/>
      <c r="O12" s="50"/>
      <c r="P12" s="50"/>
    </row>
    <row r="13" spans="1:16" s="34" customFormat="1" hidden="1" x14ac:dyDescent="0.25">
      <c r="A13" s="124"/>
      <c r="B13" s="59"/>
      <c r="C13" s="179"/>
      <c r="D13" s="84"/>
      <c r="E13" s="59"/>
      <c r="F13" s="116"/>
      <c r="G13" s="59"/>
      <c r="H13" s="125"/>
      <c r="I13" s="251">
        <f t="shared" si="0"/>
        <v>0</v>
      </c>
      <c r="J13" s="123"/>
      <c r="K13" s="123"/>
      <c r="L13" s="118">
        <f t="shared" ref="L13" si="4">I13-J13-K13</f>
        <v>0</v>
      </c>
      <c r="M13" s="50"/>
      <c r="N13" s="50"/>
      <c r="O13" s="50"/>
      <c r="P13" s="50"/>
    </row>
    <row r="14" spans="1:16" s="34" customFormat="1" ht="15" hidden="1" customHeight="1" x14ac:dyDescent="0.25">
      <c r="A14" s="124"/>
      <c r="B14" s="59"/>
      <c r="C14" s="179"/>
      <c r="D14" s="84"/>
      <c r="E14" s="116"/>
      <c r="F14" s="116"/>
      <c r="G14" s="178"/>
      <c r="H14" s="174"/>
      <c r="I14" s="251">
        <f t="shared" si="0"/>
        <v>0</v>
      </c>
      <c r="J14" s="123"/>
      <c r="K14" s="123"/>
      <c r="L14" s="118">
        <f t="shared" si="3"/>
        <v>0</v>
      </c>
      <c r="M14" s="50"/>
      <c r="N14" s="50"/>
      <c r="O14" s="50"/>
      <c r="P14" s="50"/>
    </row>
    <row r="15" spans="1:16" s="34" customFormat="1" hidden="1" x14ac:dyDescent="0.25">
      <c r="A15" s="124"/>
      <c r="B15" s="59"/>
      <c r="C15" s="179"/>
      <c r="D15" s="84"/>
      <c r="E15" s="116"/>
      <c r="F15" s="116"/>
      <c r="G15" s="59"/>
      <c r="H15" s="174"/>
      <c r="I15" s="251">
        <f t="shared" si="0"/>
        <v>0</v>
      </c>
      <c r="J15" s="123"/>
      <c r="K15" s="123"/>
      <c r="L15" s="118">
        <f>I15-J15-K15</f>
        <v>0</v>
      </c>
      <c r="M15" s="50"/>
      <c r="N15" s="50"/>
      <c r="O15" s="50"/>
      <c r="P15" s="50"/>
    </row>
    <row r="16" spans="1:16" s="34" customFormat="1" hidden="1" x14ac:dyDescent="0.25">
      <c r="A16" s="124"/>
      <c r="B16" s="248"/>
      <c r="C16" s="58"/>
      <c r="D16" s="249"/>
      <c r="E16" s="214"/>
      <c r="F16" s="214"/>
      <c r="G16" s="248"/>
      <c r="H16" s="250"/>
      <c r="I16" s="251">
        <f t="shared" ref="I16:I19" si="5">F16*H16</f>
        <v>0</v>
      </c>
      <c r="J16" s="123"/>
      <c r="K16" s="123"/>
      <c r="L16" s="118">
        <f t="shared" ref="L16:L19" si="6">I16-J16-K16</f>
        <v>0</v>
      </c>
      <c r="M16" s="50"/>
      <c r="N16" s="50"/>
      <c r="O16" s="50"/>
      <c r="P16" s="50"/>
    </row>
    <row r="17" spans="1:16" s="34" customFormat="1" hidden="1" x14ac:dyDescent="0.25">
      <c r="A17" s="247"/>
      <c r="B17" s="248"/>
      <c r="C17" s="58"/>
      <c r="D17" s="249"/>
      <c r="E17" s="214"/>
      <c r="F17" s="214"/>
      <c r="G17" s="248"/>
      <c r="H17" s="250"/>
      <c r="I17" s="251">
        <f t="shared" si="5"/>
        <v>0</v>
      </c>
      <c r="J17" s="123"/>
      <c r="K17" s="123"/>
      <c r="L17" s="118">
        <f t="shared" si="6"/>
        <v>0</v>
      </c>
      <c r="M17" s="50"/>
      <c r="N17" s="50"/>
      <c r="O17" s="50"/>
      <c r="P17" s="50"/>
    </row>
    <row r="18" spans="1:16" s="34" customFormat="1" hidden="1" x14ac:dyDescent="0.25">
      <c r="A18" s="247"/>
      <c r="B18" s="248"/>
      <c r="C18" s="58"/>
      <c r="D18" s="249"/>
      <c r="E18" s="214"/>
      <c r="F18" s="214"/>
      <c r="G18" s="248"/>
      <c r="H18" s="250"/>
      <c r="I18" s="251">
        <f t="shared" si="5"/>
        <v>0</v>
      </c>
      <c r="J18" s="123"/>
      <c r="K18" s="123"/>
      <c r="L18" s="118">
        <f t="shared" si="6"/>
        <v>0</v>
      </c>
      <c r="M18" s="50"/>
      <c r="N18" s="50"/>
      <c r="O18" s="50"/>
      <c r="P18" s="50"/>
    </row>
    <row r="19" spans="1:16" s="34" customFormat="1" hidden="1" x14ac:dyDescent="0.25">
      <c r="A19" s="247"/>
      <c r="B19" s="248"/>
      <c r="C19" s="58"/>
      <c r="D19" s="249"/>
      <c r="E19" s="214"/>
      <c r="F19" s="214"/>
      <c r="G19" s="248"/>
      <c r="H19" s="250"/>
      <c r="I19" s="251">
        <f t="shared" si="5"/>
        <v>0</v>
      </c>
      <c r="J19" s="123"/>
      <c r="K19" s="123"/>
      <c r="L19" s="118">
        <f t="shared" si="6"/>
        <v>0</v>
      </c>
      <c r="M19" s="50"/>
      <c r="N19" s="50"/>
      <c r="O19" s="50"/>
      <c r="P19" s="50"/>
    </row>
    <row r="20" spans="1:16" s="2" customFormat="1" ht="17.25" hidden="1" customHeight="1" thickBot="1" x14ac:dyDescent="0.3">
      <c r="A20" s="247"/>
      <c r="B20" s="248"/>
      <c r="C20" s="268"/>
      <c r="D20" s="249"/>
      <c r="E20" s="214"/>
      <c r="F20" s="214"/>
      <c r="G20" s="248"/>
      <c r="H20" s="250"/>
      <c r="I20" s="251">
        <f t="shared" si="0"/>
        <v>0</v>
      </c>
      <c r="J20" s="213"/>
      <c r="K20" s="213"/>
      <c r="L20" s="252">
        <f t="shared" ref="L20" si="7">I20-J20-K20</f>
        <v>0</v>
      </c>
      <c r="M20" s="50"/>
      <c r="N20" s="57"/>
      <c r="O20" s="57"/>
      <c r="P20" s="57"/>
    </row>
    <row r="21" spans="1:16" ht="15.75" thickBot="1" x14ac:dyDescent="0.3">
      <c r="A21" s="253"/>
      <c r="B21" s="266"/>
      <c r="C21" s="269"/>
      <c r="D21" s="267"/>
      <c r="E21" s="254"/>
      <c r="F21" s="255"/>
      <c r="G21" s="254"/>
      <c r="H21" s="256"/>
      <c r="I21" s="171">
        <f>SUM(I6:I20)</f>
        <v>16958</v>
      </c>
      <c r="J21" s="171">
        <f>SUM(J6:J20)</f>
        <v>0</v>
      </c>
      <c r="K21" s="171">
        <f>SUM(K6:K20)</f>
        <v>0</v>
      </c>
      <c r="L21" s="171">
        <f>SUM(L6:L20)</f>
        <v>16958</v>
      </c>
      <c r="M21" s="50"/>
      <c r="N21" s="46"/>
      <c r="O21" s="46"/>
      <c r="P21" s="46"/>
    </row>
    <row r="22" spans="1:16" x14ac:dyDescent="0.25">
      <c r="A22" s="63"/>
      <c r="B22" s="65"/>
      <c r="C22" s="64"/>
      <c r="D22" s="64"/>
      <c r="E22" s="65"/>
      <c r="F22" s="64"/>
      <c r="G22" s="65"/>
      <c r="H22" s="66" t="s">
        <v>33</v>
      </c>
      <c r="I22" s="66"/>
      <c r="J22" s="66"/>
      <c r="K22" s="66"/>
      <c r="L22" s="66"/>
      <c r="M22" s="50"/>
      <c r="N22" s="46"/>
      <c r="O22" s="46"/>
      <c r="P22" s="46"/>
    </row>
    <row r="23" spans="1:16" x14ac:dyDescent="0.25">
      <c r="A23" s="63"/>
      <c r="B23" s="65"/>
      <c r="C23" s="64"/>
      <c r="D23" s="64"/>
      <c r="E23" s="65"/>
      <c r="F23" s="64"/>
      <c r="G23" s="65"/>
      <c r="H23" s="66" t="s">
        <v>24</v>
      </c>
      <c r="I23" s="66"/>
      <c r="J23" s="66"/>
      <c r="K23" s="66"/>
      <c r="L23" s="66"/>
      <c r="M23" s="50"/>
      <c r="N23" s="46"/>
      <c r="O23" s="46"/>
      <c r="P23" s="46"/>
    </row>
    <row r="24" spans="1:16" x14ac:dyDescent="0.25">
      <c r="A24" s="63"/>
      <c r="B24" s="65"/>
      <c r="C24" s="64"/>
      <c r="D24" s="64"/>
      <c r="E24" s="65"/>
      <c r="F24" s="64"/>
      <c r="G24" s="65"/>
      <c r="H24" s="113" t="s">
        <v>20</v>
      </c>
      <c r="I24" s="113">
        <v>16958</v>
      </c>
      <c r="J24" s="66"/>
      <c r="K24" s="49"/>
      <c r="L24" s="66"/>
      <c r="M24" s="50"/>
      <c r="N24" s="46"/>
      <c r="O24" s="46"/>
      <c r="P24" s="46"/>
    </row>
    <row r="25" spans="1:16" x14ac:dyDescent="0.25">
      <c r="A25" s="63"/>
      <c r="B25" s="65"/>
      <c r="C25" s="64"/>
      <c r="D25" s="64"/>
      <c r="E25" s="65"/>
      <c r="F25" s="64"/>
      <c r="G25" s="65"/>
      <c r="H25" s="49"/>
      <c r="I25" s="49">
        <f>I24+I23</f>
        <v>16958</v>
      </c>
      <c r="J25" s="66"/>
      <c r="K25" s="49"/>
      <c r="L25" s="66"/>
      <c r="M25" s="50"/>
      <c r="N25" s="46"/>
      <c r="O25" s="46"/>
      <c r="P25" s="46"/>
    </row>
    <row r="26" spans="1:16" x14ac:dyDescent="0.25">
      <c r="A26" s="67"/>
      <c r="B26" s="48"/>
      <c r="C26" s="68"/>
      <c r="D26" s="49"/>
      <c r="E26" s="48"/>
      <c r="F26" s="47"/>
      <c r="G26" s="69"/>
      <c r="H26" s="49"/>
      <c r="I26" s="49"/>
      <c r="J26" s="49"/>
      <c r="K26" s="49"/>
      <c r="L26" s="49"/>
      <c r="M26" s="50"/>
      <c r="N26" s="46"/>
      <c r="O26" s="46"/>
      <c r="P26" s="46"/>
    </row>
    <row r="27" spans="1:16" x14ac:dyDescent="0.25">
      <c r="A27" s="67"/>
      <c r="B27" s="48"/>
      <c r="C27" s="68"/>
      <c r="D27" s="49"/>
      <c r="E27" s="48"/>
      <c r="F27" s="47"/>
      <c r="G27" s="48"/>
      <c r="H27" s="49"/>
      <c r="I27" s="49"/>
      <c r="J27" s="49"/>
      <c r="K27" s="49"/>
      <c r="L27" s="49"/>
      <c r="M27" s="50"/>
      <c r="N27" s="46"/>
      <c r="O27" s="46"/>
      <c r="P27" s="46"/>
    </row>
    <row r="28" spans="1:16" x14ac:dyDescent="0.25">
      <c r="A28" s="67"/>
      <c r="B28" s="48"/>
      <c r="C28" s="68"/>
      <c r="D28" s="49"/>
      <c r="E28" s="48"/>
      <c r="F28" s="47"/>
      <c r="G28" s="48"/>
      <c r="H28" s="49"/>
      <c r="I28" s="49"/>
      <c r="J28" s="49"/>
      <c r="K28" s="49"/>
      <c r="L28" s="49"/>
      <c r="M28" s="50"/>
      <c r="N28" s="46"/>
      <c r="O28" s="46"/>
      <c r="P28" s="46"/>
    </row>
    <row r="29" spans="1:16" x14ac:dyDescent="0.25">
      <c r="A29" s="47"/>
      <c r="B29" s="119"/>
      <c r="C29" s="57"/>
      <c r="D29" s="69"/>
      <c r="E29" s="69"/>
      <c r="F29" s="47"/>
      <c r="G29" s="48"/>
      <c r="H29" s="49"/>
      <c r="I29" s="49"/>
      <c r="J29" s="49"/>
      <c r="K29" s="49"/>
      <c r="L29" s="49"/>
      <c r="M29" s="60"/>
      <c r="N29" s="46"/>
      <c r="O29" s="46"/>
      <c r="P29" s="46"/>
    </row>
    <row r="30" spans="1:16" x14ac:dyDescent="0.25">
      <c r="A30" s="47"/>
      <c r="B30" s="119"/>
      <c r="C30" s="57"/>
      <c r="D30" s="69"/>
      <c r="E30" s="69"/>
      <c r="F30" s="47"/>
      <c r="G30" s="48"/>
      <c r="H30" s="49"/>
      <c r="I30" s="49"/>
      <c r="J30" s="49"/>
      <c r="K30" s="49"/>
      <c r="L30" s="49"/>
      <c r="M30" s="60"/>
      <c r="N30" s="46"/>
      <c r="O30" s="46"/>
      <c r="P30" s="46"/>
    </row>
    <row r="31" spans="1:16" x14ac:dyDescent="0.25">
      <c r="A31" s="69"/>
      <c r="B31" s="69"/>
      <c r="C31" s="70"/>
      <c r="D31" s="71"/>
      <c r="E31" s="48"/>
      <c r="F31" s="69"/>
      <c r="G31" s="69"/>
      <c r="H31" s="49"/>
      <c r="I31" s="49"/>
      <c r="J31" s="49"/>
      <c r="K31" s="49"/>
      <c r="L31" s="49"/>
      <c r="M31" s="60"/>
      <c r="N31" s="46"/>
      <c r="O31" s="46"/>
      <c r="P31" s="46"/>
    </row>
    <row r="32" spans="1:16" x14ac:dyDescent="0.25">
      <c r="A32" s="69"/>
      <c r="B32" s="69"/>
      <c r="C32" s="70"/>
      <c r="D32" s="49"/>
      <c r="E32" s="69"/>
      <c r="F32" s="69"/>
      <c r="G32" s="69"/>
      <c r="H32" s="49"/>
      <c r="I32" s="49"/>
      <c r="J32" s="49"/>
      <c r="K32" s="49"/>
      <c r="L32" s="49"/>
      <c r="M32" s="60"/>
      <c r="N32" s="46"/>
      <c r="O32" s="46"/>
      <c r="P32" s="46"/>
    </row>
    <row r="33" spans="1:16" x14ac:dyDescent="0.25">
      <c r="A33" s="51"/>
      <c r="B33" s="74"/>
      <c r="C33" s="69"/>
      <c r="D33" s="69"/>
      <c r="E33" s="69"/>
      <c r="F33" s="69"/>
      <c r="G33" s="69"/>
      <c r="H33" s="49"/>
      <c r="I33" s="49"/>
      <c r="J33" s="49"/>
      <c r="K33" s="49"/>
      <c r="L33" s="49"/>
      <c r="M33" s="60"/>
      <c r="N33" s="46"/>
      <c r="O33" s="46"/>
      <c r="P33" s="46"/>
    </row>
    <row r="34" spans="1:16" x14ac:dyDescent="0.25">
      <c r="A34" s="72"/>
      <c r="B34" s="69"/>
      <c r="C34" s="69"/>
      <c r="D34" s="49"/>
      <c r="E34" s="69"/>
      <c r="F34" s="69"/>
      <c r="G34" s="69"/>
      <c r="H34" s="49"/>
      <c r="I34" s="49"/>
      <c r="J34" s="49"/>
      <c r="K34" s="49"/>
      <c r="L34" s="73"/>
      <c r="M34" s="50"/>
      <c r="N34" s="46"/>
      <c r="O34" s="46"/>
      <c r="P34" s="46"/>
    </row>
    <row r="35" spans="1:16" x14ac:dyDescent="0.25">
      <c r="A35" s="51"/>
      <c r="B35" s="74"/>
      <c r="C35" s="74"/>
      <c r="D35" s="49"/>
      <c r="E35" s="69"/>
      <c r="F35" s="69"/>
      <c r="G35" s="69"/>
      <c r="H35" s="49"/>
      <c r="I35" s="49"/>
      <c r="J35" s="49"/>
      <c r="K35" s="49"/>
      <c r="L35" s="69"/>
      <c r="M35" s="50"/>
      <c r="N35" s="46"/>
      <c r="O35" s="46"/>
      <c r="P35" s="46"/>
    </row>
    <row r="36" spans="1:16" x14ac:dyDescent="0.25">
      <c r="A36" s="51"/>
      <c r="B36" s="69"/>
      <c r="C36" s="69"/>
      <c r="D36" s="49"/>
      <c r="E36" s="69"/>
      <c r="F36" s="69"/>
      <c r="G36" s="69"/>
      <c r="H36" s="49"/>
      <c r="I36" s="49"/>
      <c r="J36" s="49"/>
      <c r="K36" s="49"/>
      <c r="L36" s="73"/>
      <c r="M36" s="50"/>
      <c r="N36" s="46"/>
      <c r="O36" s="46"/>
      <c r="P36" s="46"/>
    </row>
    <row r="37" spans="1:16" x14ac:dyDescent="0.25">
      <c r="A37" s="51"/>
      <c r="B37" s="69"/>
      <c r="C37" s="69"/>
      <c r="D37" s="49"/>
      <c r="E37" s="69"/>
      <c r="F37" s="69"/>
      <c r="G37" s="69"/>
      <c r="H37" s="49"/>
      <c r="I37" s="49"/>
      <c r="J37" s="49"/>
      <c r="K37" s="49"/>
      <c r="L37" s="69"/>
      <c r="M37" s="50"/>
      <c r="N37" s="46"/>
      <c r="O37" s="46"/>
      <c r="P37" s="46"/>
    </row>
    <row r="38" spans="1:16" x14ac:dyDescent="0.25">
      <c r="A38" s="51"/>
      <c r="B38" s="280"/>
      <c r="C38" s="280"/>
      <c r="D38" s="280"/>
      <c r="E38" s="280"/>
      <c r="F38" s="280"/>
      <c r="G38" s="280"/>
      <c r="H38" s="280"/>
      <c r="I38" s="280"/>
      <c r="J38" s="49"/>
      <c r="K38" s="49"/>
      <c r="L38" s="69"/>
      <c r="M38" s="50"/>
      <c r="N38" s="46"/>
      <c r="O38" s="46"/>
      <c r="P38" s="46"/>
    </row>
    <row r="39" spans="1:16" x14ac:dyDescent="0.25">
      <c r="A39" s="51"/>
      <c r="B39" s="48"/>
      <c r="C39" s="47"/>
      <c r="D39" s="47"/>
      <c r="E39" s="48"/>
      <c r="F39" s="47"/>
      <c r="G39" s="48"/>
      <c r="H39" s="49"/>
      <c r="I39" s="49"/>
      <c r="J39" s="49"/>
      <c r="K39" s="49"/>
      <c r="L39" s="49"/>
      <c r="M39" s="50"/>
      <c r="N39" s="46"/>
      <c r="O39" s="46"/>
      <c r="P39" s="46"/>
    </row>
    <row r="40" spans="1:16" x14ac:dyDescent="0.25">
      <c r="A40" s="51"/>
      <c r="B40" s="48"/>
      <c r="C40" s="47"/>
      <c r="D40" s="47"/>
      <c r="E40" s="48"/>
      <c r="F40" s="47"/>
      <c r="G40" s="48"/>
      <c r="H40" s="49"/>
      <c r="I40" s="49"/>
      <c r="J40" s="49"/>
      <c r="K40" s="49"/>
      <c r="L40" s="49"/>
      <c r="M40" s="50"/>
      <c r="N40" s="46"/>
      <c r="O40" s="46"/>
      <c r="P40" s="46"/>
    </row>
    <row r="41" spans="1:16" x14ac:dyDescent="0.25">
      <c r="A41" s="51"/>
      <c r="B41" s="48"/>
      <c r="C41" s="69"/>
      <c r="D41" s="70"/>
      <c r="E41" s="70"/>
      <c r="F41" s="48"/>
      <c r="G41" s="69"/>
      <c r="H41" s="49"/>
      <c r="I41" s="49"/>
      <c r="J41" s="49"/>
      <c r="K41" s="49"/>
      <c r="L41" s="49"/>
      <c r="M41" s="50"/>
      <c r="N41" s="46"/>
      <c r="O41" s="46"/>
      <c r="P41" s="46"/>
    </row>
    <row r="42" spans="1:16" x14ac:dyDescent="0.25">
      <c r="A42" s="51"/>
      <c r="B42" s="48"/>
      <c r="C42" s="69"/>
      <c r="D42" s="70"/>
      <c r="E42" s="69"/>
      <c r="F42" s="69"/>
      <c r="G42" s="69"/>
      <c r="H42" s="49"/>
      <c r="I42" s="49"/>
      <c r="J42" s="49"/>
      <c r="K42" s="49"/>
      <c r="L42" s="49"/>
      <c r="M42" s="50"/>
      <c r="N42" s="46"/>
      <c r="O42" s="46"/>
      <c r="P42" s="46"/>
    </row>
    <row r="43" spans="1:16" x14ac:dyDescent="0.25">
      <c r="A43" s="51"/>
      <c r="B43" s="48"/>
      <c r="C43" s="74"/>
      <c r="D43" s="69"/>
      <c r="E43" s="69"/>
      <c r="F43" s="69"/>
      <c r="G43" s="69"/>
      <c r="H43" s="49"/>
      <c r="I43" s="49"/>
      <c r="J43" s="49"/>
      <c r="K43" s="49"/>
      <c r="L43" s="49"/>
      <c r="M43" s="50"/>
      <c r="N43" s="46"/>
      <c r="O43" s="46"/>
      <c r="P43" s="46"/>
    </row>
    <row r="44" spans="1:16" x14ac:dyDescent="0.25">
      <c r="A44" s="51"/>
      <c r="B44" s="48"/>
      <c r="C44" s="69"/>
      <c r="D44" s="69"/>
      <c r="E44" s="69"/>
      <c r="F44" s="69"/>
      <c r="G44" s="69"/>
      <c r="H44" s="49"/>
      <c r="I44" s="49"/>
      <c r="J44" s="49"/>
      <c r="K44" s="49"/>
      <c r="L44" s="49"/>
      <c r="M44" s="50"/>
      <c r="N44" s="46"/>
      <c r="O44" s="46"/>
      <c r="P44" s="46"/>
    </row>
    <row r="45" spans="1:16" x14ac:dyDescent="0.25">
      <c r="A45" s="51"/>
      <c r="B45" s="48"/>
      <c r="C45" s="74"/>
      <c r="D45" s="74"/>
      <c r="E45" s="69"/>
      <c r="F45" s="69"/>
      <c r="G45" s="69"/>
      <c r="H45" s="69"/>
      <c r="I45" s="49"/>
      <c r="J45" s="49"/>
      <c r="K45" s="49"/>
      <c r="L45" s="49"/>
      <c r="M45" s="50"/>
      <c r="N45" s="46"/>
      <c r="O45" s="46"/>
      <c r="P45" s="46"/>
    </row>
    <row r="46" spans="1:16" x14ac:dyDescent="0.25">
      <c r="A46" s="51"/>
      <c r="B46" s="48"/>
      <c r="C46" s="69"/>
      <c r="D46" s="69"/>
      <c r="E46" s="69"/>
      <c r="F46" s="69"/>
      <c r="G46" s="69"/>
      <c r="H46" s="69"/>
      <c r="I46" s="49"/>
      <c r="J46" s="49"/>
      <c r="K46" s="49"/>
      <c r="L46" s="49"/>
      <c r="M46" s="50"/>
      <c r="N46" s="46"/>
      <c r="O46" s="46"/>
      <c r="P46" s="46"/>
    </row>
    <row r="47" spans="1:16" x14ac:dyDescent="0.25">
      <c r="A47" s="51"/>
      <c r="B47" s="48"/>
      <c r="C47" s="69"/>
      <c r="D47" s="69"/>
      <c r="E47" s="69"/>
      <c r="F47" s="69"/>
      <c r="G47" s="69"/>
      <c r="H47" s="69"/>
      <c r="I47" s="49"/>
      <c r="J47" s="49"/>
      <c r="K47" s="49"/>
      <c r="L47" s="49"/>
      <c r="M47" s="50"/>
      <c r="N47" s="46"/>
      <c r="O47" s="46"/>
      <c r="P47" s="46"/>
    </row>
    <row r="48" spans="1:16" x14ac:dyDescent="0.25">
      <c r="A48" s="51"/>
      <c r="B48" s="48"/>
      <c r="C48" s="280"/>
      <c r="D48" s="280"/>
      <c r="E48" s="280"/>
      <c r="F48" s="280"/>
      <c r="G48" s="280"/>
      <c r="H48" s="280"/>
      <c r="I48" s="280"/>
      <c r="J48" s="280"/>
      <c r="K48" s="49"/>
      <c r="L48" s="49"/>
      <c r="M48" s="50"/>
      <c r="N48" s="46"/>
      <c r="O48" s="46"/>
      <c r="P48" s="46"/>
    </row>
    <row r="49" spans="1:16" x14ac:dyDescent="0.25">
      <c r="A49" s="51"/>
      <c r="B49" s="48"/>
      <c r="C49" s="48"/>
      <c r="D49" s="47"/>
      <c r="E49" s="47"/>
      <c r="F49" s="48"/>
      <c r="G49" s="47"/>
      <c r="H49" s="121"/>
      <c r="I49" s="49"/>
      <c r="J49" s="49"/>
      <c r="K49" s="49"/>
      <c r="L49" s="49"/>
      <c r="M49" s="50"/>
      <c r="N49" s="46"/>
      <c r="O49" s="46"/>
      <c r="P49" s="46"/>
    </row>
    <row r="50" spans="1:16" x14ac:dyDescent="0.25">
      <c r="A50" s="51"/>
      <c r="B50" s="48"/>
      <c r="C50" s="47"/>
      <c r="D50" s="47"/>
      <c r="E50" s="48"/>
      <c r="F50" s="47"/>
      <c r="G50" s="48"/>
      <c r="H50" s="49"/>
      <c r="I50" s="49"/>
      <c r="J50" s="49"/>
      <c r="K50" s="49"/>
      <c r="L50" s="49"/>
      <c r="M50" s="50"/>
      <c r="N50" s="46"/>
      <c r="O50" s="46"/>
      <c r="P50" s="46"/>
    </row>
    <row r="51" spans="1:16" x14ac:dyDescent="0.25">
      <c r="A51" s="51"/>
      <c r="B51" s="48"/>
      <c r="C51" s="67"/>
      <c r="D51" s="47"/>
      <c r="E51" s="48"/>
      <c r="F51" s="47"/>
      <c r="G51" s="48"/>
      <c r="H51" s="49"/>
      <c r="I51" s="49"/>
      <c r="J51" s="49"/>
      <c r="K51" s="49"/>
      <c r="L51" s="49"/>
      <c r="M51" s="50"/>
      <c r="N51" s="46"/>
      <c r="O51" s="46"/>
      <c r="P51" s="46"/>
    </row>
    <row r="52" spans="1:16" x14ac:dyDescent="0.25">
      <c r="C52" s="42"/>
    </row>
    <row r="59" spans="1:16" x14ac:dyDescent="0.25">
      <c r="D59" s="41"/>
      <c r="E59" s="16"/>
      <c r="G59" s="16"/>
      <c r="H59" s="122"/>
    </row>
  </sheetData>
  <autoFilter ref="A5:Q25"/>
  <mergeCells count="2">
    <mergeCell ref="B38:I38"/>
    <mergeCell ref="C48:J48"/>
  </mergeCells>
  <pageMargins left="0.7" right="0.7" top="0.75" bottom="0.75" header="0.3" footer="0.3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91"/>
  <sheetViews>
    <sheetView showGridLines="0" zoomScale="85" zoomScaleNormal="85" workbookViewId="0">
      <pane ySplit="5" topLeftCell="A58" activePane="bottomLeft" state="frozen"/>
      <selection activeCell="C27" sqref="C27"/>
      <selection pane="bottomLeft" activeCell="D33" sqref="D33"/>
    </sheetView>
  </sheetViews>
  <sheetFormatPr defaultColWidth="9.140625" defaultRowHeight="15" x14ac:dyDescent="0.25"/>
  <cols>
    <col min="1" max="1" width="12.5703125" style="236" customWidth="1"/>
    <col min="2" max="2" width="23.140625" style="225" customWidth="1"/>
    <col min="3" max="3" width="10.7109375" style="139" customWidth="1"/>
    <col min="4" max="4" width="38.7109375" style="225" customWidth="1"/>
    <col min="5" max="5" width="19" style="264" customWidth="1"/>
    <col min="6" max="6" width="9.5703125" style="140" customWidth="1"/>
    <col min="7" max="7" width="11.7109375" style="92" bestFit="1" customWidth="1"/>
    <col min="8" max="8" width="17.7109375" style="92" customWidth="1"/>
    <col min="9" max="9" width="17" style="92" customWidth="1"/>
    <col min="10" max="10" width="29.28515625" style="92" bestFit="1" customWidth="1"/>
    <col min="11" max="11" width="16.42578125" style="92" bestFit="1" customWidth="1"/>
    <col min="12" max="12" width="20.140625" style="92" customWidth="1"/>
    <col min="13" max="13" width="16.7109375" style="92" customWidth="1"/>
    <col min="14" max="14" width="13.28515625" style="92" bestFit="1" customWidth="1"/>
    <col min="15" max="15" width="9.140625" style="92"/>
    <col min="16" max="16" width="12.140625" style="92" bestFit="1" customWidth="1"/>
    <col min="17" max="17" width="9.85546875" style="92" bestFit="1" customWidth="1"/>
    <col min="18" max="18" width="9.140625" style="92"/>
    <col min="19" max="16384" width="9.140625" style="225"/>
  </cols>
  <sheetData>
    <row r="1" spans="1:18" x14ac:dyDescent="0.25">
      <c r="A1" s="223" t="s">
        <v>0</v>
      </c>
      <c r="B1" s="224"/>
      <c r="C1" s="91"/>
      <c r="D1" s="224"/>
      <c r="E1" s="260"/>
      <c r="F1" s="74"/>
      <c r="G1" s="90"/>
      <c r="H1" s="90"/>
      <c r="I1" s="90"/>
      <c r="J1" s="90"/>
      <c r="K1" s="90"/>
    </row>
    <row r="2" spans="1:18" x14ac:dyDescent="0.25">
      <c r="A2" s="223" t="s">
        <v>21</v>
      </c>
      <c r="B2" s="224"/>
      <c r="C2" s="91"/>
      <c r="D2" s="224"/>
      <c r="E2" s="260"/>
      <c r="F2" s="74"/>
      <c r="G2" s="90"/>
      <c r="H2" s="90"/>
      <c r="I2" s="90"/>
      <c r="J2" s="90"/>
      <c r="K2" s="90"/>
    </row>
    <row r="3" spans="1:18" x14ac:dyDescent="0.25">
      <c r="A3" s="223" t="str">
        <f>BIGASAN!A3</f>
        <v>MAY 2026</v>
      </c>
      <c r="B3" s="50"/>
      <c r="C3" s="226"/>
      <c r="D3" s="224"/>
      <c r="E3" s="260"/>
      <c r="F3" s="74"/>
      <c r="G3" s="90"/>
      <c r="H3" s="90"/>
      <c r="I3" s="90"/>
      <c r="J3" s="90"/>
      <c r="K3" s="90"/>
    </row>
    <row r="4" spans="1:18" ht="6" customHeight="1" thickBot="1" x14ac:dyDescent="0.3">
      <c r="A4" s="227"/>
      <c r="B4" s="224"/>
      <c r="C4" s="91"/>
      <c r="D4" s="224"/>
      <c r="E4" s="260"/>
      <c r="F4" s="74"/>
      <c r="G4" s="90"/>
      <c r="H4" s="90"/>
      <c r="I4" s="90"/>
      <c r="J4" s="90"/>
      <c r="K4" s="90"/>
    </row>
    <row r="5" spans="1:18" s="2" customFormat="1" ht="30" customHeight="1" thickBot="1" x14ac:dyDescent="0.3">
      <c r="A5" s="228" t="s">
        <v>1</v>
      </c>
      <c r="B5" s="229" t="s">
        <v>14</v>
      </c>
      <c r="C5" s="133" t="s">
        <v>11</v>
      </c>
      <c r="D5" s="147" t="s">
        <v>15</v>
      </c>
      <c r="E5" s="173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4" t="s">
        <v>9</v>
      </c>
      <c r="K5" s="135" t="s">
        <v>10</v>
      </c>
      <c r="L5" s="148"/>
      <c r="M5" s="148"/>
      <c r="N5" s="148"/>
      <c r="O5" s="148"/>
      <c r="P5" s="148"/>
      <c r="Q5" s="148"/>
      <c r="R5" s="148"/>
    </row>
    <row r="6" spans="1:18" x14ac:dyDescent="0.25">
      <c r="A6" s="149">
        <v>46120</v>
      </c>
      <c r="B6" s="230" t="s">
        <v>28</v>
      </c>
      <c r="C6" s="231">
        <v>6050</v>
      </c>
      <c r="D6" s="115" t="s">
        <v>52</v>
      </c>
      <c r="E6" s="271">
        <v>18816</v>
      </c>
      <c r="F6" s="182" t="s">
        <v>29</v>
      </c>
      <c r="G6" s="151">
        <v>6.875</v>
      </c>
      <c r="H6" s="117">
        <f>E6*G6</f>
        <v>129360</v>
      </c>
      <c r="I6" s="150"/>
      <c r="J6" s="183"/>
      <c r="K6" s="132">
        <f>+H6-I6-J6</f>
        <v>129360</v>
      </c>
    </row>
    <row r="7" spans="1:18" x14ac:dyDescent="0.25">
      <c r="A7" s="149">
        <v>46120</v>
      </c>
      <c r="B7" s="230" t="s">
        <v>28</v>
      </c>
      <c r="C7" s="231">
        <v>6051</v>
      </c>
      <c r="D7" s="115" t="s">
        <v>125</v>
      </c>
      <c r="E7" s="257">
        <v>5040</v>
      </c>
      <c r="F7" s="184" t="s">
        <v>29</v>
      </c>
      <c r="G7" s="151">
        <v>21</v>
      </c>
      <c r="H7" s="117">
        <f t="shared" ref="H7:H59" si="0">E7*G7</f>
        <v>105840</v>
      </c>
      <c r="I7" s="115"/>
      <c r="J7" s="130"/>
      <c r="K7" s="132">
        <f t="shared" ref="K7:K59" si="1">+H7-I7-J7</f>
        <v>105840</v>
      </c>
    </row>
    <row r="8" spans="1:18" x14ac:dyDescent="0.25">
      <c r="A8" s="149">
        <v>46120</v>
      </c>
      <c r="B8" s="230" t="s">
        <v>28</v>
      </c>
      <c r="C8" s="231">
        <v>6052</v>
      </c>
      <c r="D8" s="115" t="s">
        <v>125</v>
      </c>
      <c r="E8" s="257">
        <v>2520</v>
      </c>
      <c r="F8" s="184" t="s">
        <v>29</v>
      </c>
      <c r="G8" s="151">
        <v>21</v>
      </c>
      <c r="H8" s="117">
        <f t="shared" si="0"/>
        <v>52920</v>
      </c>
      <c r="I8" s="115"/>
      <c r="J8" s="130"/>
      <c r="K8" s="132">
        <f t="shared" si="1"/>
        <v>52920</v>
      </c>
    </row>
    <row r="9" spans="1:18" x14ac:dyDescent="0.25">
      <c r="A9" s="149">
        <v>46120</v>
      </c>
      <c r="B9" s="230" t="s">
        <v>28</v>
      </c>
      <c r="C9" s="231">
        <v>6052</v>
      </c>
      <c r="D9" s="115" t="s">
        <v>52</v>
      </c>
      <c r="E9" s="257">
        <v>9408</v>
      </c>
      <c r="F9" s="184" t="s">
        <v>29</v>
      </c>
      <c r="G9" s="151">
        <v>6.875</v>
      </c>
      <c r="H9" s="117">
        <f t="shared" si="0"/>
        <v>64680</v>
      </c>
      <c r="I9" s="115"/>
      <c r="J9" s="130"/>
      <c r="K9" s="132">
        <f t="shared" si="1"/>
        <v>64680</v>
      </c>
    </row>
    <row r="10" spans="1:18" x14ac:dyDescent="0.25">
      <c r="A10" s="149">
        <v>46126</v>
      </c>
      <c r="B10" s="230" t="s">
        <v>28</v>
      </c>
      <c r="C10" s="231">
        <v>6054</v>
      </c>
      <c r="D10" s="115" t="s">
        <v>138</v>
      </c>
      <c r="E10" s="257">
        <v>4032</v>
      </c>
      <c r="F10" s="184" t="s">
        <v>29</v>
      </c>
      <c r="G10" s="130">
        <v>6.875</v>
      </c>
      <c r="H10" s="117">
        <f t="shared" si="0"/>
        <v>27720</v>
      </c>
      <c r="I10" s="274"/>
      <c r="J10" s="130"/>
      <c r="K10" s="132">
        <f t="shared" si="1"/>
        <v>27720</v>
      </c>
    </row>
    <row r="11" spans="1:18" x14ac:dyDescent="0.25">
      <c r="A11" s="149">
        <v>46126</v>
      </c>
      <c r="B11" s="230" t="s">
        <v>28</v>
      </c>
      <c r="C11" s="231">
        <v>6054</v>
      </c>
      <c r="D11" s="115" t="s">
        <v>139</v>
      </c>
      <c r="E11" s="257">
        <v>4032</v>
      </c>
      <c r="F11" s="184" t="s">
        <v>29</v>
      </c>
      <c r="G11" s="130">
        <v>6.875</v>
      </c>
      <c r="H11" s="117">
        <f t="shared" si="0"/>
        <v>27720</v>
      </c>
      <c r="I11" s="274"/>
      <c r="J11" s="130"/>
      <c r="K11" s="132">
        <f t="shared" si="1"/>
        <v>27720</v>
      </c>
    </row>
    <row r="12" spans="1:18" x14ac:dyDescent="0.25">
      <c r="A12" s="149">
        <v>46126</v>
      </c>
      <c r="B12" s="230" t="s">
        <v>28</v>
      </c>
      <c r="C12" s="231">
        <v>6054</v>
      </c>
      <c r="D12" s="115" t="s">
        <v>140</v>
      </c>
      <c r="E12" s="257">
        <v>1080</v>
      </c>
      <c r="F12" s="184" t="s">
        <v>29</v>
      </c>
      <c r="G12" s="130">
        <v>21</v>
      </c>
      <c r="H12" s="117">
        <f t="shared" si="0"/>
        <v>22680</v>
      </c>
      <c r="I12" s="274"/>
      <c r="J12" s="130"/>
      <c r="K12" s="132">
        <f t="shared" si="1"/>
        <v>22680</v>
      </c>
    </row>
    <row r="13" spans="1:18" x14ac:dyDescent="0.25">
      <c r="A13" s="149">
        <v>46126</v>
      </c>
      <c r="B13" s="230" t="s">
        <v>28</v>
      </c>
      <c r="C13" s="231">
        <v>6054</v>
      </c>
      <c r="D13" s="115" t="s">
        <v>125</v>
      </c>
      <c r="E13" s="257">
        <v>1080</v>
      </c>
      <c r="F13" s="184" t="s">
        <v>29</v>
      </c>
      <c r="G13" s="130">
        <v>21</v>
      </c>
      <c r="H13" s="117">
        <f t="shared" si="0"/>
        <v>22680</v>
      </c>
      <c r="I13" s="274"/>
      <c r="J13" s="130"/>
      <c r="K13" s="132">
        <f t="shared" si="1"/>
        <v>22680</v>
      </c>
    </row>
    <row r="14" spans="1:18" x14ac:dyDescent="0.25">
      <c r="A14" s="149">
        <v>46126</v>
      </c>
      <c r="B14" s="230" t="s">
        <v>28</v>
      </c>
      <c r="C14" s="231">
        <v>6054</v>
      </c>
      <c r="D14" s="115" t="s">
        <v>141</v>
      </c>
      <c r="E14" s="257">
        <v>600</v>
      </c>
      <c r="F14" s="182" t="s">
        <v>29</v>
      </c>
      <c r="G14" s="130">
        <v>15.833333333333334</v>
      </c>
      <c r="H14" s="117">
        <f t="shared" si="0"/>
        <v>9500</v>
      </c>
      <c r="I14" s="274"/>
      <c r="J14" s="117"/>
      <c r="K14" s="132">
        <f t="shared" si="1"/>
        <v>9500</v>
      </c>
    </row>
    <row r="15" spans="1:18" x14ac:dyDescent="0.25">
      <c r="A15" s="149">
        <v>46126</v>
      </c>
      <c r="B15" s="230" t="s">
        <v>28</v>
      </c>
      <c r="C15" s="231">
        <v>6054</v>
      </c>
      <c r="D15" s="115" t="s">
        <v>142</v>
      </c>
      <c r="E15" s="257">
        <v>120</v>
      </c>
      <c r="F15" s="184" t="s">
        <v>29</v>
      </c>
      <c r="G15" s="130">
        <v>36</v>
      </c>
      <c r="H15" s="117">
        <f t="shared" si="0"/>
        <v>4320</v>
      </c>
      <c r="I15" s="274"/>
      <c r="J15" s="117"/>
      <c r="K15" s="132">
        <f t="shared" si="1"/>
        <v>4320</v>
      </c>
    </row>
    <row r="16" spans="1:18" x14ac:dyDescent="0.25">
      <c r="A16" s="149">
        <v>46126</v>
      </c>
      <c r="B16" s="230" t="s">
        <v>28</v>
      </c>
      <c r="C16" s="231">
        <v>6054</v>
      </c>
      <c r="D16" s="115" t="s">
        <v>143</v>
      </c>
      <c r="E16" s="257">
        <v>360</v>
      </c>
      <c r="F16" s="184" t="s">
        <v>29</v>
      </c>
      <c r="G16" s="151">
        <v>36</v>
      </c>
      <c r="H16" s="117">
        <f t="shared" si="0"/>
        <v>12960</v>
      </c>
      <c r="I16" s="274"/>
      <c r="J16" s="117"/>
      <c r="K16" s="132">
        <f t="shared" si="1"/>
        <v>12960</v>
      </c>
    </row>
    <row r="17" spans="1:11" x14ac:dyDescent="0.25">
      <c r="A17" s="149">
        <v>46126</v>
      </c>
      <c r="B17" s="230" t="s">
        <v>28</v>
      </c>
      <c r="C17" s="231">
        <v>6054</v>
      </c>
      <c r="D17" s="115" t="s">
        <v>144</v>
      </c>
      <c r="E17" s="257">
        <v>120</v>
      </c>
      <c r="F17" s="184" t="s">
        <v>29</v>
      </c>
      <c r="G17" s="151">
        <v>36</v>
      </c>
      <c r="H17" s="117">
        <f t="shared" si="0"/>
        <v>4320</v>
      </c>
      <c r="I17" s="274"/>
      <c r="J17" s="117"/>
      <c r="K17" s="132">
        <f t="shared" si="1"/>
        <v>4320</v>
      </c>
    </row>
    <row r="18" spans="1:11" x14ac:dyDescent="0.25">
      <c r="A18" s="149">
        <v>46133</v>
      </c>
      <c r="B18" s="230" t="s">
        <v>28</v>
      </c>
      <c r="C18" s="231">
        <v>6059</v>
      </c>
      <c r="D18" s="115" t="s">
        <v>145</v>
      </c>
      <c r="E18" s="257">
        <v>4224</v>
      </c>
      <c r="F18" s="184" t="s">
        <v>29</v>
      </c>
      <c r="G18" s="130">
        <f>48576/4224</f>
        <v>11.5</v>
      </c>
      <c r="H18" s="131">
        <f t="shared" si="0"/>
        <v>48576</v>
      </c>
      <c r="I18" s="274"/>
      <c r="J18" s="117"/>
      <c r="K18" s="132">
        <f t="shared" si="1"/>
        <v>48576</v>
      </c>
    </row>
    <row r="19" spans="1:11" x14ac:dyDescent="0.25">
      <c r="A19" s="149">
        <v>46133</v>
      </c>
      <c r="B19" s="230" t="s">
        <v>28</v>
      </c>
      <c r="C19" s="231">
        <v>6059</v>
      </c>
      <c r="D19" s="115" t="s">
        <v>146</v>
      </c>
      <c r="E19" s="257">
        <v>1536</v>
      </c>
      <c r="F19" s="184" t="s">
        <v>29</v>
      </c>
      <c r="G19" s="151">
        <v>15.833333333333334</v>
      </c>
      <c r="H19" s="131">
        <f t="shared" si="0"/>
        <v>24320</v>
      </c>
      <c r="I19" s="274"/>
      <c r="J19" s="117"/>
      <c r="K19" s="132">
        <f t="shared" si="1"/>
        <v>24320</v>
      </c>
    </row>
    <row r="20" spans="1:11" x14ac:dyDescent="0.25">
      <c r="A20" s="149">
        <v>46133</v>
      </c>
      <c r="B20" s="230" t="s">
        <v>28</v>
      </c>
      <c r="C20" s="231">
        <v>6059</v>
      </c>
      <c r="D20" s="232" t="s">
        <v>147</v>
      </c>
      <c r="E20" s="261">
        <v>1920</v>
      </c>
      <c r="F20" s="184" t="s">
        <v>29</v>
      </c>
      <c r="G20" s="130">
        <f>112640/1920</f>
        <v>58.666666666666664</v>
      </c>
      <c r="H20" s="131">
        <f t="shared" si="0"/>
        <v>112640</v>
      </c>
      <c r="I20" s="275"/>
      <c r="J20" s="136"/>
      <c r="K20" s="132">
        <f t="shared" si="1"/>
        <v>112640</v>
      </c>
    </row>
    <row r="21" spans="1:11" x14ac:dyDescent="0.25">
      <c r="A21" s="149">
        <v>46136</v>
      </c>
      <c r="B21" s="230" t="s">
        <v>28</v>
      </c>
      <c r="C21" s="231">
        <v>6061</v>
      </c>
      <c r="D21" s="115" t="s">
        <v>166</v>
      </c>
      <c r="E21" s="261">
        <v>12288</v>
      </c>
      <c r="F21" s="184" t="s">
        <v>29</v>
      </c>
      <c r="G21" s="151">
        <f>194560/12288</f>
        <v>15.833333333333334</v>
      </c>
      <c r="H21" s="131">
        <f t="shared" si="0"/>
        <v>194560</v>
      </c>
      <c r="I21" s="275"/>
      <c r="J21" s="186"/>
      <c r="K21" s="132">
        <f t="shared" si="1"/>
        <v>194560</v>
      </c>
    </row>
    <row r="22" spans="1:11" x14ac:dyDescent="0.25">
      <c r="A22" s="149">
        <v>46136</v>
      </c>
      <c r="B22" s="230" t="s">
        <v>28</v>
      </c>
      <c r="C22" s="231">
        <v>6061</v>
      </c>
      <c r="D22" s="115" t="s">
        <v>147</v>
      </c>
      <c r="E22" s="261">
        <v>600</v>
      </c>
      <c r="F22" s="184" t="s">
        <v>29</v>
      </c>
      <c r="G22" s="151">
        <f>35200/600</f>
        <v>58.666666666666664</v>
      </c>
      <c r="H22" s="131">
        <f t="shared" si="0"/>
        <v>35200</v>
      </c>
      <c r="I22" s="275"/>
      <c r="J22" s="186"/>
      <c r="K22" s="132">
        <f t="shared" si="1"/>
        <v>35200</v>
      </c>
    </row>
    <row r="23" spans="1:11" x14ac:dyDescent="0.25">
      <c r="A23" s="149">
        <v>46136</v>
      </c>
      <c r="B23" s="230" t="s">
        <v>28</v>
      </c>
      <c r="C23" s="231">
        <v>6062</v>
      </c>
      <c r="D23" s="232" t="s">
        <v>147</v>
      </c>
      <c r="E23" s="261">
        <v>480</v>
      </c>
      <c r="F23" s="184" t="s">
        <v>29</v>
      </c>
      <c r="G23" s="151">
        <v>58.666666666666664</v>
      </c>
      <c r="H23" s="131">
        <f t="shared" si="0"/>
        <v>28160</v>
      </c>
      <c r="I23" s="275"/>
      <c r="J23" s="186"/>
      <c r="K23" s="132">
        <f t="shared" si="1"/>
        <v>28160</v>
      </c>
    </row>
    <row r="24" spans="1:11" x14ac:dyDescent="0.25">
      <c r="A24" s="149">
        <v>46136</v>
      </c>
      <c r="B24" s="230" t="s">
        <v>28</v>
      </c>
      <c r="C24" s="231">
        <v>6063</v>
      </c>
      <c r="D24" s="232" t="s">
        <v>167</v>
      </c>
      <c r="E24" s="261">
        <v>500</v>
      </c>
      <c r="F24" s="184" t="s">
        <v>29</v>
      </c>
      <c r="G24" s="151">
        <v>8.4</v>
      </c>
      <c r="H24" s="131">
        <f t="shared" si="0"/>
        <v>4200</v>
      </c>
      <c r="I24" s="275"/>
      <c r="J24" s="186"/>
      <c r="K24" s="132">
        <f t="shared" si="1"/>
        <v>4200</v>
      </c>
    </row>
    <row r="25" spans="1:11" x14ac:dyDescent="0.25">
      <c r="A25" s="149">
        <v>46136</v>
      </c>
      <c r="B25" s="230" t="s">
        <v>28</v>
      </c>
      <c r="C25" s="231">
        <v>6063</v>
      </c>
      <c r="D25" s="232" t="s">
        <v>168</v>
      </c>
      <c r="E25" s="261">
        <v>500</v>
      </c>
      <c r="F25" s="184" t="s">
        <v>29</v>
      </c>
      <c r="G25" s="130">
        <v>8.4</v>
      </c>
      <c r="H25" s="131">
        <f t="shared" si="0"/>
        <v>4200</v>
      </c>
      <c r="I25" s="275"/>
      <c r="J25" s="136"/>
      <c r="K25" s="132">
        <f t="shared" si="1"/>
        <v>4200</v>
      </c>
    </row>
    <row r="26" spans="1:11" x14ac:dyDescent="0.25">
      <c r="A26" s="149">
        <v>46141</v>
      </c>
      <c r="B26" s="230" t="s">
        <v>28</v>
      </c>
      <c r="C26" s="231">
        <v>6064</v>
      </c>
      <c r="D26" s="115" t="s">
        <v>169</v>
      </c>
      <c r="E26" s="261">
        <v>1800</v>
      </c>
      <c r="F26" s="184" t="s">
        <v>29</v>
      </c>
      <c r="G26" s="130">
        <f>38400/1800</f>
        <v>21.333333333333332</v>
      </c>
      <c r="H26" s="131">
        <f t="shared" si="0"/>
        <v>38400</v>
      </c>
      <c r="I26" s="233"/>
      <c r="J26" s="136"/>
      <c r="K26" s="132">
        <f t="shared" si="1"/>
        <v>38400</v>
      </c>
    </row>
    <row r="27" spans="1:11" x14ac:dyDescent="0.25">
      <c r="A27" s="149">
        <v>46141</v>
      </c>
      <c r="B27" s="230" t="s">
        <v>28</v>
      </c>
      <c r="C27" s="231">
        <v>6065</v>
      </c>
      <c r="D27" s="115" t="s">
        <v>208</v>
      </c>
      <c r="E27" s="261">
        <v>2112</v>
      </c>
      <c r="F27" s="184" t="s">
        <v>29</v>
      </c>
      <c r="G27" s="130">
        <v>11.583333333333334</v>
      </c>
      <c r="H27" s="131">
        <f t="shared" si="0"/>
        <v>24464</v>
      </c>
      <c r="I27" s="233"/>
      <c r="J27" s="136"/>
      <c r="K27" s="132">
        <f t="shared" si="1"/>
        <v>24464</v>
      </c>
    </row>
    <row r="28" spans="1:11" x14ac:dyDescent="0.25">
      <c r="A28" s="149">
        <v>46141</v>
      </c>
      <c r="B28" s="230" t="s">
        <v>28</v>
      </c>
      <c r="C28" s="231">
        <v>6065</v>
      </c>
      <c r="D28" s="278" t="s">
        <v>209</v>
      </c>
      <c r="E28" s="261">
        <v>2112</v>
      </c>
      <c r="F28" s="184" t="s">
        <v>29</v>
      </c>
      <c r="G28" s="130">
        <v>11.583333333333334</v>
      </c>
      <c r="H28" s="131">
        <f t="shared" si="0"/>
        <v>24464</v>
      </c>
      <c r="I28" s="233"/>
      <c r="J28" s="136"/>
      <c r="K28" s="132">
        <f t="shared" si="1"/>
        <v>24464</v>
      </c>
    </row>
    <row r="29" spans="1:11" x14ac:dyDescent="0.25">
      <c r="A29" s="149">
        <v>46141</v>
      </c>
      <c r="B29" s="230" t="s">
        <v>28</v>
      </c>
      <c r="C29" s="231">
        <v>6066</v>
      </c>
      <c r="D29" s="232" t="s">
        <v>171</v>
      </c>
      <c r="E29" s="261">
        <v>10752</v>
      </c>
      <c r="F29" s="184" t="s">
        <v>29</v>
      </c>
      <c r="G29" s="151">
        <f>75712/10752</f>
        <v>7.041666666666667</v>
      </c>
      <c r="H29" s="131">
        <f t="shared" si="0"/>
        <v>75712</v>
      </c>
      <c r="I29" s="233"/>
      <c r="J29" s="136"/>
      <c r="K29" s="132">
        <f t="shared" si="1"/>
        <v>75712</v>
      </c>
    </row>
    <row r="30" spans="1:11" x14ac:dyDescent="0.25">
      <c r="A30" s="149">
        <v>46141</v>
      </c>
      <c r="B30" s="230" t="s">
        <v>28</v>
      </c>
      <c r="C30" s="231">
        <v>6066</v>
      </c>
      <c r="D30" s="115" t="s">
        <v>172</v>
      </c>
      <c r="E30" s="258">
        <v>4032</v>
      </c>
      <c r="F30" s="184" t="s">
        <v>29</v>
      </c>
      <c r="G30" s="130">
        <f>28392/4032</f>
        <v>7.041666666666667</v>
      </c>
      <c r="H30" s="131">
        <f t="shared" si="0"/>
        <v>28392</v>
      </c>
      <c r="I30" s="150"/>
      <c r="J30" s="117"/>
      <c r="K30" s="132">
        <f t="shared" si="1"/>
        <v>28392</v>
      </c>
    </row>
    <row r="31" spans="1:11" x14ac:dyDescent="0.25">
      <c r="A31" s="149">
        <v>46141</v>
      </c>
      <c r="B31" s="230" t="s">
        <v>28</v>
      </c>
      <c r="C31" s="231">
        <v>6066</v>
      </c>
      <c r="D31" s="115" t="s">
        <v>173</v>
      </c>
      <c r="E31" s="257">
        <v>9216</v>
      </c>
      <c r="F31" s="184" t="s">
        <v>29</v>
      </c>
      <c r="G31" s="130">
        <f>146688/9216</f>
        <v>15.916666666666666</v>
      </c>
      <c r="H31" s="131">
        <f t="shared" si="0"/>
        <v>146688</v>
      </c>
      <c r="I31" s="115"/>
      <c r="J31" s="117"/>
      <c r="K31" s="132">
        <f t="shared" si="1"/>
        <v>146688</v>
      </c>
    </row>
    <row r="32" spans="1:11" x14ac:dyDescent="0.25">
      <c r="A32" s="149">
        <v>46141</v>
      </c>
      <c r="B32" s="230" t="s">
        <v>28</v>
      </c>
      <c r="C32" s="231">
        <v>6067</v>
      </c>
      <c r="D32" s="115" t="s">
        <v>172</v>
      </c>
      <c r="E32" s="257">
        <v>6720</v>
      </c>
      <c r="F32" s="184" t="s">
        <v>29</v>
      </c>
      <c r="G32" s="130">
        <f>47320/6720</f>
        <v>7.041666666666667</v>
      </c>
      <c r="H32" s="131">
        <f t="shared" si="0"/>
        <v>47320</v>
      </c>
      <c r="I32" s="274"/>
      <c r="J32" s="117"/>
      <c r="K32" s="132">
        <f t="shared" si="1"/>
        <v>47320</v>
      </c>
    </row>
    <row r="33" spans="1:11" x14ac:dyDescent="0.25">
      <c r="A33" s="149">
        <v>46141</v>
      </c>
      <c r="B33" s="230" t="s">
        <v>28</v>
      </c>
      <c r="C33" s="231">
        <v>6067</v>
      </c>
      <c r="D33" s="115" t="s">
        <v>170</v>
      </c>
      <c r="E33" s="257">
        <v>6720</v>
      </c>
      <c r="F33" s="184" t="s">
        <v>29</v>
      </c>
      <c r="G33" s="130">
        <f>47320/6720</f>
        <v>7.041666666666667</v>
      </c>
      <c r="H33" s="131">
        <f t="shared" si="0"/>
        <v>47320</v>
      </c>
      <c r="I33" s="274"/>
      <c r="J33" s="117"/>
      <c r="K33" s="132">
        <f t="shared" si="1"/>
        <v>47320</v>
      </c>
    </row>
    <row r="34" spans="1:11" x14ac:dyDescent="0.25">
      <c r="A34" s="149">
        <v>46141</v>
      </c>
      <c r="B34" s="230" t="s">
        <v>28</v>
      </c>
      <c r="C34" s="231">
        <v>6067</v>
      </c>
      <c r="D34" s="115" t="s">
        <v>173</v>
      </c>
      <c r="E34" s="257">
        <v>6144</v>
      </c>
      <c r="F34" s="184" t="s">
        <v>29</v>
      </c>
      <c r="G34" s="130">
        <f>97792/6144</f>
        <v>15.916666666666666</v>
      </c>
      <c r="H34" s="131">
        <f t="shared" si="0"/>
        <v>97792</v>
      </c>
      <c r="I34" s="274"/>
      <c r="J34" s="117"/>
      <c r="K34" s="132">
        <f t="shared" si="1"/>
        <v>97792</v>
      </c>
    </row>
    <row r="35" spans="1:11" x14ac:dyDescent="0.25">
      <c r="A35" s="149">
        <v>46141</v>
      </c>
      <c r="B35" s="230" t="s">
        <v>28</v>
      </c>
      <c r="C35" s="231">
        <v>6068</v>
      </c>
      <c r="D35" s="115" t="s">
        <v>174</v>
      </c>
      <c r="E35" s="257">
        <v>600</v>
      </c>
      <c r="F35" s="184" t="s">
        <v>29</v>
      </c>
      <c r="G35" s="151">
        <f>35500/600</f>
        <v>59.166666666666664</v>
      </c>
      <c r="H35" s="131">
        <f t="shared" si="0"/>
        <v>35500</v>
      </c>
      <c r="I35" s="274"/>
      <c r="J35" s="117"/>
      <c r="K35" s="132">
        <f t="shared" si="1"/>
        <v>35500</v>
      </c>
    </row>
    <row r="36" spans="1:11" x14ac:dyDescent="0.25">
      <c r="A36" s="149">
        <v>46141</v>
      </c>
      <c r="B36" s="230" t="s">
        <v>28</v>
      </c>
      <c r="C36" s="231">
        <v>6068</v>
      </c>
      <c r="D36" s="115" t="s">
        <v>175</v>
      </c>
      <c r="E36" s="257">
        <v>300</v>
      </c>
      <c r="F36" s="184" t="s">
        <v>29</v>
      </c>
      <c r="G36" s="130">
        <f>17750/300</f>
        <v>59.166666666666664</v>
      </c>
      <c r="H36" s="131">
        <f t="shared" si="0"/>
        <v>17750</v>
      </c>
      <c r="I36" s="274"/>
      <c r="J36" s="130"/>
      <c r="K36" s="132">
        <f t="shared" si="1"/>
        <v>17750</v>
      </c>
    </row>
    <row r="37" spans="1:11" x14ac:dyDescent="0.25">
      <c r="A37" s="149">
        <v>46141</v>
      </c>
      <c r="B37" s="230" t="s">
        <v>28</v>
      </c>
      <c r="C37" s="231">
        <v>6068</v>
      </c>
      <c r="D37" s="115" t="s">
        <v>176</v>
      </c>
      <c r="E37" s="257">
        <v>300</v>
      </c>
      <c r="F37" s="184" t="s">
        <v>29</v>
      </c>
      <c r="G37" s="130">
        <f>17750/300</f>
        <v>59.166666666666664</v>
      </c>
      <c r="H37" s="131">
        <f t="shared" si="0"/>
        <v>17750</v>
      </c>
      <c r="I37" s="274"/>
      <c r="J37" s="130"/>
      <c r="K37" s="132">
        <f t="shared" si="1"/>
        <v>17750</v>
      </c>
    </row>
    <row r="38" spans="1:11" x14ac:dyDescent="0.25">
      <c r="A38" s="149">
        <v>46141</v>
      </c>
      <c r="B38" s="230" t="s">
        <v>28</v>
      </c>
      <c r="C38" s="231">
        <v>6068</v>
      </c>
      <c r="D38" s="115" t="s">
        <v>177</v>
      </c>
      <c r="E38" s="257">
        <v>4224</v>
      </c>
      <c r="F38" s="184" t="s">
        <v>29</v>
      </c>
      <c r="G38" s="130">
        <f>48928/4224</f>
        <v>11.583333333333334</v>
      </c>
      <c r="H38" s="131">
        <f t="shared" si="0"/>
        <v>48928</v>
      </c>
      <c r="I38" s="274"/>
      <c r="J38" s="130"/>
      <c r="K38" s="132">
        <f t="shared" si="1"/>
        <v>48928</v>
      </c>
    </row>
    <row r="39" spans="1:11" x14ac:dyDescent="0.25">
      <c r="A39" s="149">
        <v>46141</v>
      </c>
      <c r="B39" s="230" t="s">
        <v>28</v>
      </c>
      <c r="C39" s="231">
        <v>6069</v>
      </c>
      <c r="D39" s="278" t="s">
        <v>170</v>
      </c>
      <c r="E39" s="257">
        <v>4032</v>
      </c>
      <c r="F39" s="184" t="s">
        <v>29</v>
      </c>
      <c r="G39" s="130">
        <f>28392/4032</f>
        <v>7.041666666666667</v>
      </c>
      <c r="H39" s="131">
        <f t="shared" si="0"/>
        <v>28392</v>
      </c>
      <c r="I39" s="274"/>
      <c r="J39" s="130"/>
      <c r="K39" s="132">
        <f t="shared" si="1"/>
        <v>28392</v>
      </c>
    </row>
    <row r="40" spans="1:11" x14ac:dyDescent="0.25">
      <c r="A40" s="149">
        <v>46142</v>
      </c>
      <c r="B40" s="230" t="s">
        <v>28</v>
      </c>
      <c r="C40" s="231">
        <v>6072</v>
      </c>
      <c r="D40" s="232" t="s">
        <v>178</v>
      </c>
      <c r="E40" s="261">
        <v>1800</v>
      </c>
      <c r="F40" s="184" t="s">
        <v>29</v>
      </c>
      <c r="G40" s="151">
        <f>38400/1800</f>
        <v>21.333333333333332</v>
      </c>
      <c r="H40" s="131">
        <f t="shared" si="0"/>
        <v>38400</v>
      </c>
      <c r="I40" s="274"/>
      <c r="J40" s="130"/>
      <c r="K40" s="132">
        <f t="shared" si="1"/>
        <v>38400</v>
      </c>
    </row>
    <row r="41" spans="1:11" x14ac:dyDescent="0.25">
      <c r="A41" s="149">
        <v>46142</v>
      </c>
      <c r="B41" s="230" t="s">
        <v>28</v>
      </c>
      <c r="C41" s="231">
        <v>6072</v>
      </c>
      <c r="D41" s="115" t="s">
        <v>171</v>
      </c>
      <c r="E41" s="261">
        <v>6720</v>
      </c>
      <c r="F41" s="184" t="s">
        <v>29</v>
      </c>
      <c r="G41" s="151">
        <f>47320/6720</f>
        <v>7.041666666666667</v>
      </c>
      <c r="H41" s="131">
        <f t="shared" si="0"/>
        <v>47320</v>
      </c>
      <c r="I41" s="274"/>
      <c r="J41" s="130"/>
      <c r="K41" s="132">
        <f t="shared" si="1"/>
        <v>47320</v>
      </c>
    </row>
    <row r="42" spans="1:11" x14ac:dyDescent="0.25">
      <c r="A42" s="149">
        <v>46142</v>
      </c>
      <c r="B42" s="230" t="s">
        <v>28</v>
      </c>
      <c r="C42" s="231">
        <v>6073</v>
      </c>
      <c r="D42" s="115" t="s">
        <v>173</v>
      </c>
      <c r="E42" s="261">
        <v>9216</v>
      </c>
      <c r="F42" s="184" t="s">
        <v>29</v>
      </c>
      <c r="G42" s="151">
        <f>146688/9216</f>
        <v>15.916666666666666</v>
      </c>
      <c r="H42" s="131">
        <f t="shared" si="0"/>
        <v>146688</v>
      </c>
      <c r="I42" s="274"/>
      <c r="J42" s="130"/>
      <c r="K42" s="132">
        <f t="shared" si="1"/>
        <v>146688</v>
      </c>
    </row>
    <row r="43" spans="1:11" x14ac:dyDescent="0.25">
      <c r="A43" s="149">
        <v>46142</v>
      </c>
      <c r="B43" s="230" t="s">
        <v>28</v>
      </c>
      <c r="C43" s="231">
        <v>6073</v>
      </c>
      <c r="D43" s="115" t="s">
        <v>177</v>
      </c>
      <c r="E43" s="261">
        <v>4224</v>
      </c>
      <c r="F43" s="184" t="s">
        <v>29</v>
      </c>
      <c r="G43" s="151">
        <f>48928/4224</f>
        <v>11.583333333333334</v>
      </c>
      <c r="H43" s="131">
        <f t="shared" si="0"/>
        <v>48928</v>
      </c>
      <c r="I43" s="274"/>
      <c r="J43" s="130"/>
      <c r="K43" s="132">
        <f t="shared" si="1"/>
        <v>48928</v>
      </c>
    </row>
    <row r="44" spans="1:11" x14ac:dyDescent="0.25">
      <c r="A44" s="149">
        <v>46142</v>
      </c>
      <c r="B44" s="230" t="s">
        <v>28</v>
      </c>
      <c r="C44" s="231">
        <v>6073</v>
      </c>
      <c r="D44" s="115" t="s">
        <v>174</v>
      </c>
      <c r="E44" s="261">
        <v>1800</v>
      </c>
      <c r="F44" s="184" t="s">
        <v>29</v>
      </c>
      <c r="G44" s="151">
        <f>106500/1800</f>
        <v>59.166666666666664</v>
      </c>
      <c r="H44" s="131">
        <f t="shared" si="0"/>
        <v>106500</v>
      </c>
      <c r="I44" s="274"/>
      <c r="J44" s="130"/>
      <c r="K44" s="132">
        <f t="shared" si="1"/>
        <v>106500</v>
      </c>
    </row>
    <row r="45" spans="1:11" x14ac:dyDescent="0.25">
      <c r="A45" s="149">
        <v>46142</v>
      </c>
      <c r="B45" s="230" t="s">
        <v>28</v>
      </c>
      <c r="C45" s="231">
        <v>6073</v>
      </c>
      <c r="D45" s="115" t="s">
        <v>175</v>
      </c>
      <c r="E45" s="261">
        <v>600</v>
      </c>
      <c r="F45" s="184" t="s">
        <v>29</v>
      </c>
      <c r="G45" s="151">
        <f>35500/600</f>
        <v>59.166666666666664</v>
      </c>
      <c r="H45" s="131">
        <f t="shared" si="0"/>
        <v>35500</v>
      </c>
      <c r="I45" s="274"/>
      <c r="J45" s="130"/>
      <c r="K45" s="132">
        <f t="shared" si="1"/>
        <v>35500</v>
      </c>
    </row>
    <row r="46" spans="1:11" x14ac:dyDescent="0.25">
      <c r="A46" s="149">
        <v>46142</v>
      </c>
      <c r="B46" s="230" t="s">
        <v>28</v>
      </c>
      <c r="C46" s="231">
        <v>6073</v>
      </c>
      <c r="D46" s="115" t="s">
        <v>179</v>
      </c>
      <c r="E46" s="261">
        <v>120</v>
      </c>
      <c r="F46" s="184" t="s">
        <v>29</v>
      </c>
      <c r="G46" s="151">
        <v>36.5</v>
      </c>
      <c r="H46" s="131">
        <f t="shared" si="0"/>
        <v>4380</v>
      </c>
      <c r="I46" s="274"/>
      <c r="J46" s="130"/>
      <c r="K46" s="132">
        <f t="shared" si="1"/>
        <v>4380</v>
      </c>
    </row>
    <row r="47" spans="1:11" x14ac:dyDescent="0.25">
      <c r="A47" s="149">
        <v>46142</v>
      </c>
      <c r="B47" s="230" t="s">
        <v>28</v>
      </c>
      <c r="C47" s="231">
        <v>6074</v>
      </c>
      <c r="D47" s="115" t="s">
        <v>180</v>
      </c>
      <c r="E47" s="261">
        <v>3588</v>
      </c>
      <c r="F47" s="184" t="s">
        <v>29</v>
      </c>
      <c r="G47" s="151">
        <f>76544/3588</f>
        <v>21.333333333333332</v>
      </c>
      <c r="H47" s="131">
        <f t="shared" si="0"/>
        <v>76544</v>
      </c>
      <c r="I47" s="115"/>
      <c r="J47" s="130"/>
      <c r="K47" s="132">
        <f t="shared" si="1"/>
        <v>76544</v>
      </c>
    </row>
    <row r="48" spans="1:11" x14ac:dyDescent="0.25">
      <c r="A48" s="149">
        <v>46142</v>
      </c>
      <c r="B48" s="230" t="s">
        <v>28</v>
      </c>
      <c r="C48" s="231">
        <v>6076</v>
      </c>
      <c r="D48" s="115" t="s">
        <v>206</v>
      </c>
      <c r="E48" s="261">
        <v>3264</v>
      </c>
      <c r="F48" s="184" t="s">
        <v>29</v>
      </c>
      <c r="G48" s="151">
        <f>51952/3264</f>
        <v>15.916666666666666</v>
      </c>
      <c r="H48" s="131">
        <f t="shared" si="0"/>
        <v>51952</v>
      </c>
      <c r="I48" s="274"/>
      <c r="J48" s="130"/>
      <c r="K48" s="132">
        <f t="shared" si="1"/>
        <v>51952</v>
      </c>
    </row>
    <row r="49" spans="1:11" x14ac:dyDescent="0.25">
      <c r="A49" s="149">
        <v>46142</v>
      </c>
      <c r="B49" s="230" t="s">
        <v>28</v>
      </c>
      <c r="C49" s="231">
        <v>6076</v>
      </c>
      <c r="D49" s="115" t="s">
        <v>207</v>
      </c>
      <c r="E49" s="261">
        <v>3072</v>
      </c>
      <c r="F49" s="184" t="s">
        <v>29</v>
      </c>
      <c r="G49" s="151">
        <f>48896/3072</f>
        <v>15.916666666666666</v>
      </c>
      <c r="H49" s="131">
        <f t="shared" si="0"/>
        <v>48896</v>
      </c>
      <c r="I49" s="274"/>
      <c r="J49" s="130"/>
      <c r="K49" s="132">
        <f t="shared" si="1"/>
        <v>48896</v>
      </c>
    </row>
    <row r="50" spans="1:11" x14ac:dyDescent="0.25">
      <c r="A50" s="149">
        <v>46142</v>
      </c>
      <c r="B50" s="230" t="s">
        <v>28</v>
      </c>
      <c r="C50" s="231">
        <v>6076</v>
      </c>
      <c r="D50" s="115" t="s">
        <v>174</v>
      </c>
      <c r="E50" s="261">
        <v>1200</v>
      </c>
      <c r="F50" s="184" t="s">
        <v>29</v>
      </c>
      <c r="G50" s="151">
        <f>71000/1200</f>
        <v>59.166666666666664</v>
      </c>
      <c r="H50" s="131">
        <f t="shared" si="0"/>
        <v>71000</v>
      </c>
      <c r="I50" s="274"/>
      <c r="J50" s="130"/>
      <c r="K50" s="132">
        <f t="shared" si="1"/>
        <v>71000</v>
      </c>
    </row>
    <row r="51" spans="1:11" x14ac:dyDescent="0.25">
      <c r="A51" s="149">
        <v>46142</v>
      </c>
      <c r="B51" s="230" t="s">
        <v>28</v>
      </c>
      <c r="C51" s="231">
        <v>6076</v>
      </c>
      <c r="D51" s="115" t="s">
        <v>175</v>
      </c>
      <c r="E51" s="261">
        <v>600</v>
      </c>
      <c r="F51" s="184" t="s">
        <v>29</v>
      </c>
      <c r="G51" s="151">
        <f>35500/600</f>
        <v>59.166666666666664</v>
      </c>
      <c r="H51" s="131">
        <f t="shared" si="0"/>
        <v>35500</v>
      </c>
      <c r="I51" s="274"/>
      <c r="J51" s="130"/>
      <c r="K51" s="132">
        <f t="shared" si="1"/>
        <v>35500</v>
      </c>
    </row>
    <row r="52" spans="1:11" x14ac:dyDescent="0.25">
      <c r="A52" s="149">
        <v>46142</v>
      </c>
      <c r="B52" s="230" t="s">
        <v>28</v>
      </c>
      <c r="C52" s="231">
        <v>6076</v>
      </c>
      <c r="D52" s="115" t="s">
        <v>176</v>
      </c>
      <c r="E52" s="261">
        <v>600</v>
      </c>
      <c r="F52" s="184" t="s">
        <v>29</v>
      </c>
      <c r="G52" s="151">
        <f>35500/600</f>
        <v>59.166666666666664</v>
      </c>
      <c r="H52" s="131">
        <f t="shared" si="0"/>
        <v>35500</v>
      </c>
      <c r="I52" s="274"/>
      <c r="J52" s="130"/>
      <c r="K52" s="132">
        <f t="shared" si="1"/>
        <v>35500</v>
      </c>
    </row>
    <row r="53" spans="1:11" x14ac:dyDescent="0.25">
      <c r="A53" s="149">
        <v>46142</v>
      </c>
      <c r="B53" s="230" t="s">
        <v>28</v>
      </c>
      <c r="C53" s="231">
        <v>6076</v>
      </c>
      <c r="D53" s="115" t="s">
        <v>177</v>
      </c>
      <c r="E53" s="261">
        <v>8448</v>
      </c>
      <c r="F53" s="184" t="s">
        <v>29</v>
      </c>
      <c r="G53" s="151">
        <f>97856/8448</f>
        <v>11.583333333333334</v>
      </c>
      <c r="H53" s="131">
        <f t="shared" si="0"/>
        <v>97856</v>
      </c>
      <c r="I53" s="274"/>
      <c r="J53" s="130"/>
      <c r="K53" s="132">
        <f t="shared" si="1"/>
        <v>97856</v>
      </c>
    </row>
    <row r="54" spans="1:11" x14ac:dyDescent="0.25">
      <c r="A54" s="149">
        <v>46142</v>
      </c>
      <c r="B54" s="230" t="s">
        <v>28</v>
      </c>
      <c r="C54" s="231">
        <v>6077</v>
      </c>
      <c r="D54" s="115" t="s">
        <v>208</v>
      </c>
      <c r="E54" s="261">
        <v>2112</v>
      </c>
      <c r="F54" s="185" t="s">
        <v>29</v>
      </c>
      <c r="G54" s="151">
        <f>24464/2112</f>
        <v>11.583333333333334</v>
      </c>
      <c r="H54" s="131">
        <f t="shared" si="0"/>
        <v>24464</v>
      </c>
      <c r="I54" s="115"/>
      <c r="J54" s="130"/>
      <c r="K54" s="132">
        <f t="shared" si="1"/>
        <v>24464</v>
      </c>
    </row>
    <row r="55" spans="1:11" x14ac:dyDescent="0.25">
      <c r="A55" s="149">
        <v>46142</v>
      </c>
      <c r="B55" s="230" t="s">
        <v>28</v>
      </c>
      <c r="C55" s="231">
        <v>6077</v>
      </c>
      <c r="D55" s="115" t="s">
        <v>209</v>
      </c>
      <c r="E55" s="261">
        <v>2112</v>
      </c>
      <c r="F55" s="185" t="s">
        <v>29</v>
      </c>
      <c r="G55" s="151">
        <f>24464/2112</f>
        <v>11.583333333333334</v>
      </c>
      <c r="H55" s="131">
        <f t="shared" si="0"/>
        <v>24464</v>
      </c>
      <c r="I55" s="115"/>
      <c r="J55" s="130"/>
      <c r="K55" s="132">
        <f t="shared" si="1"/>
        <v>24464</v>
      </c>
    </row>
    <row r="56" spans="1:11" x14ac:dyDescent="0.25">
      <c r="A56" s="149">
        <v>46142</v>
      </c>
      <c r="B56" s="230" t="s">
        <v>28</v>
      </c>
      <c r="C56" s="231">
        <v>6078</v>
      </c>
      <c r="D56" s="279" t="s">
        <v>210</v>
      </c>
      <c r="E56" s="261">
        <v>576</v>
      </c>
      <c r="F56" s="185" t="s">
        <v>29</v>
      </c>
      <c r="G56" s="151">
        <f>6528/576</f>
        <v>11.333333333333334</v>
      </c>
      <c r="H56" s="131">
        <f t="shared" si="0"/>
        <v>6528</v>
      </c>
      <c r="I56" s="115"/>
      <c r="J56" s="130"/>
      <c r="K56" s="132">
        <f t="shared" si="1"/>
        <v>6528</v>
      </c>
    </row>
    <row r="57" spans="1:11" x14ac:dyDescent="0.25">
      <c r="A57" s="149"/>
      <c r="B57" s="230"/>
      <c r="C57" s="231"/>
      <c r="D57" s="115"/>
      <c r="E57" s="261"/>
      <c r="F57" s="185"/>
      <c r="G57" s="151"/>
      <c r="H57" s="131">
        <f t="shared" si="0"/>
        <v>0</v>
      </c>
      <c r="I57" s="115"/>
      <c r="J57" s="130"/>
      <c r="K57" s="132">
        <f t="shared" si="1"/>
        <v>0</v>
      </c>
    </row>
    <row r="58" spans="1:11" x14ac:dyDescent="0.25">
      <c r="A58" s="149"/>
      <c r="B58" s="230"/>
      <c r="C58" s="231"/>
      <c r="D58" s="115"/>
      <c r="E58" s="261"/>
      <c r="F58" s="185"/>
      <c r="G58" s="151"/>
      <c r="H58" s="131">
        <f t="shared" si="0"/>
        <v>0</v>
      </c>
      <c r="I58" s="115"/>
      <c r="J58" s="130"/>
      <c r="K58" s="132">
        <f t="shared" si="1"/>
        <v>0</v>
      </c>
    </row>
    <row r="59" spans="1:11" x14ac:dyDescent="0.25">
      <c r="A59" s="149"/>
      <c r="B59" s="230"/>
      <c r="C59" s="231"/>
      <c r="D59" s="115"/>
      <c r="E59" s="261"/>
      <c r="F59" s="185"/>
      <c r="G59" s="151"/>
      <c r="H59" s="131">
        <f t="shared" si="0"/>
        <v>0</v>
      </c>
      <c r="I59" s="115"/>
      <c r="J59" s="130"/>
      <c r="K59" s="132">
        <f t="shared" si="1"/>
        <v>0</v>
      </c>
    </row>
    <row r="60" spans="1:11" ht="15.75" thickBot="1" x14ac:dyDescent="0.3">
      <c r="A60" s="234"/>
      <c r="B60" s="235"/>
      <c r="C60" s="87"/>
      <c r="D60" s="235"/>
      <c r="E60" s="262"/>
      <c r="F60" s="187"/>
      <c r="G60" s="88"/>
      <c r="H60" s="88">
        <f>SUM(H6:H59)</f>
        <v>2515848</v>
      </c>
      <c r="I60" s="88">
        <f>SUM(I6:I59)</f>
        <v>0</v>
      </c>
      <c r="J60" s="88">
        <f>SUM(J6:J59)</f>
        <v>0</v>
      </c>
      <c r="K60" s="89">
        <f>SUM(K6:K59)</f>
        <v>2515848</v>
      </c>
    </row>
    <row r="61" spans="1:11" x14ac:dyDescent="0.25">
      <c r="A61" s="227"/>
      <c r="B61" s="224"/>
      <c r="C61" s="93"/>
      <c r="D61" s="224"/>
      <c r="E61" s="263"/>
      <c r="F61" s="74"/>
      <c r="G61" s="94"/>
      <c r="H61" s="90"/>
      <c r="I61" s="94"/>
      <c r="J61" s="83"/>
      <c r="K61" s="94"/>
    </row>
    <row r="62" spans="1:11" x14ac:dyDescent="0.25">
      <c r="A62" s="227"/>
      <c r="B62" s="224"/>
      <c r="C62" s="93"/>
      <c r="D62" s="224"/>
      <c r="E62" s="263"/>
      <c r="F62" s="74"/>
      <c r="G62" s="94"/>
      <c r="H62" s="94"/>
      <c r="I62" s="94"/>
      <c r="J62" s="83"/>
      <c r="K62" s="94"/>
    </row>
    <row r="63" spans="1:11" x14ac:dyDescent="0.25">
      <c r="A63" s="227"/>
      <c r="B63" s="224"/>
      <c r="C63" s="91"/>
      <c r="D63" s="224"/>
      <c r="E63" s="260"/>
      <c r="F63" s="74"/>
      <c r="G63" s="90"/>
      <c r="H63" s="90"/>
      <c r="I63" s="224"/>
      <c r="J63" s="83"/>
      <c r="K63" s="137"/>
    </row>
    <row r="64" spans="1:11" x14ac:dyDescent="0.25">
      <c r="A64" s="227"/>
      <c r="B64" s="224"/>
      <c r="C64" s="91"/>
      <c r="D64" s="224"/>
      <c r="E64" s="260"/>
      <c r="F64" s="74"/>
      <c r="G64" s="90"/>
      <c r="H64" s="90"/>
      <c r="I64" s="90"/>
      <c r="J64" s="60" t="s">
        <v>27</v>
      </c>
      <c r="K64" s="259">
        <v>2515848</v>
      </c>
    </row>
    <row r="65" spans="1:11" x14ac:dyDescent="0.25">
      <c r="A65" s="227"/>
      <c r="B65" s="224"/>
      <c r="C65" s="91"/>
      <c r="D65" s="224"/>
      <c r="E65" s="260"/>
      <c r="F65" s="74"/>
      <c r="G65" s="90"/>
      <c r="H65" s="90"/>
      <c r="I65" s="90"/>
      <c r="J65" s="90"/>
      <c r="K65" s="137"/>
    </row>
    <row r="66" spans="1:11" x14ac:dyDescent="0.25">
      <c r="A66" s="227"/>
      <c r="B66" s="224"/>
      <c r="C66" s="91"/>
      <c r="D66" s="224"/>
      <c r="E66" s="260"/>
      <c r="F66" s="74"/>
      <c r="G66" s="90"/>
      <c r="H66" s="90"/>
      <c r="I66" s="90"/>
      <c r="J66" s="90"/>
      <c r="K66" s="137">
        <f>K64-K63</f>
        <v>2515848</v>
      </c>
    </row>
    <row r="67" spans="1:11" x14ac:dyDescent="0.25">
      <c r="A67" s="227"/>
      <c r="B67" s="224"/>
      <c r="C67" s="91"/>
      <c r="D67" s="224"/>
      <c r="E67" s="260"/>
      <c r="F67" s="74"/>
      <c r="G67" s="90"/>
      <c r="H67" s="90"/>
      <c r="I67" s="90"/>
      <c r="J67" s="90"/>
      <c r="K67" s="137"/>
    </row>
    <row r="68" spans="1:11" x14ac:dyDescent="0.25">
      <c r="A68" s="227"/>
      <c r="B68" s="224"/>
      <c r="C68" s="91"/>
      <c r="D68" s="224"/>
      <c r="E68" s="260"/>
      <c r="F68" s="74"/>
      <c r="G68" s="90"/>
      <c r="H68" s="90"/>
      <c r="I68" s="90"/>
      <c r="J68" s="90"/>
      <c r="K68" s="137"/>
    </row>
    <row r="69" spans="1:11" x14ac:dyDescent="0.25">
      <c r="A69" s="227"/>
      <c r="B69" s="224"/>
      <c r="C69" s="91"/>
      <c r="D69" s="224"/>
      <c r="E69" s="260"/>
      <c r="F69" s="74"/>
      <c r="G69" s="90"/>
      <c r="H69" s="90"/>
      <c r="I69" s="90"/>
      <c r="J69" s="90"/>
      <c r="K69" s="137"/>
    </row>
    <row r="70" spans="1:11" x14ac:dyDescent="0.25">
      <c r="A70" s="227"/>
      <c r="B70" s="224"/>
      <c r="C70" s="91"/>
      <c r="D70" s="224"/>
      <c r="E70" s="260"/>
      <c r="F70" s="74"/>
      <c r="G70" s="90"/>
      <c r="H70" s="90"/>
      <c r="I70" s="90"/>
      <c r="J70" s="90"/>
      <c r="K70" s="137"/>
    </row>
    <row r="71" spans="1:11" x14ac:dyDescent="0.25">
      <c r="A71" s="227"/>
      <c r="B71" s="224"/>
      <c r="C71" s="91"/>
      <c r="D71" s="224"/>
      <c r="E71" s="260"/>
      <c r="F71" s="74"/>
      <c r="G71" s="90"/>
      <c r="H71" s="90"/>
      <c r="I71" s="90"/>
      <c r="J71" s="90"/>
      <c r="K71" s="137"/>
    </row>
    <row r="72" spans="1:11" x14ac:dyDescent="0.25">
      <c r="A72" s="227"/>
      <c r="B72" s="224"/>
      <c r="C72" s="91"/>
      <c r="D72" s="224"/>
      <c r="E72" s="260"/>
      <c r="F72" s="74"/>
      <c r="G72" s="90"/>
      <c r="H72" s="90"/>
      <c r="I72" s="90"/>
      <c r="J72" s="90"/>
      <c r="K72" s="137"/>
    </row>
    <row r="73" spans="1:11" x14ac:dyDescent="0.25">
      <c r="K73" s="138"/>
    </row>
    <row r="74" spans="1:11" x14ac:dyDescent="0.25">
      <c r="K74" s="138"/>
    </row>
    <row r="76" spans="1:11" s="92" customFormat="1" x14ac:dyDescent="0.25">
      <c r="A76" s="236"/>
      <c r="B76" s="237"/>
      <c r="C76" s="238"/>
      <c r="E76" s="264"/>
      <c r="F76" s="140"/>
    </row>
    <row r="77" spans="1:11" s="92" customFormat="1" x14ac:dyDescent="0.25">
      <c r="A77" s="236"/>
      <c r="B77" s="239"/>
      <c r="C77" s="240"/>
      <c r="E77" s="264"/>
      <c r="F77" s="140"/>
    </row>
    <row r="78" spans="1:11" s="92" customFormat="1" x14ac:dyDescent="0.25">
      <c r="A78" s="236"/>
      <c r="B78" s="34"/>
      <c r="C78" s="238"/>
      <c r="E78" s="264"/>
      <c r="F78" s="140"/>
      <c r="G78" s="152"/>
      <c r="H78" s="141"/>
    </row>
    <row r="79" spans="1:11" s="92" customFormat="1" x14ac:dyDescent="0.25">
      <c r="A79" s="236"/>
      <c r="B79" s="142"/>
      <c r="C79" s="241"/>
      <c r="D79" s="143"/>
      <c r="E79" s="264"/>
      <c r="F79" s="140"/>
      <c r="G79" s="152"/>
      <c r="H79" s="141"/>
    </row>
    <row r="80" spans="1:11" s="92" customFormat="1" x14ac:dyDescent="0.25">
      <c r="A80" s="236"/>
      <c r="B80" s="34"/>
      <c r="C80" s="144"/>
      <c r="D80" s="242"/>
      <c r="E80" s="265"/>
      <c r="F80" s="140"/>
      <c r="G80" s="152"/>
      <c r="H80" s="141"/>
    </row>
    <row r="81" spans="1:11" s="92" customFormat="1" x14ac:dyDescent="0.25">
      <c r="A81" s="236"/>
      <c r="B81" s="225"/>
      <c r="C81" s="238"/>
      <c r="D81" s="143"/>
      <c r="E81" s="264"/>
      <c r="F81" s="140"/>
      <c r="G81" s="140"/>
      <c r="H81" s="140"/>
    </row>
    <row r="82" spans="1:11" s="92" customFormat="1" x14ac:dyDescent="0.25">
      <c r="A82" s="236"/>
      <c r="B82" s="145"/>
      <c r="C82" s="139"/>
      <c r="E82" s="264"/>
      <c r="F82" s="140"/>
      <c r="G82" s="140"/>
      <c r="H82" s="140"/>
    </row>
    <row r="83" spans="1:11" s="92" customFormat="1" x14ac:dyDescent="0.25">
      <c r="A83" s="236"/>
      <c r="B83" s="145"/>
      <c r="C83" s="139"/>
      <c r="E83" s="264"/>
      <c r="F83" s="140"/>
    </row>
    <row r="84" spans="1:11" s="92" customFormat="1" x14ac:dyDescent="0.25">
      <c r="A84" s="236"/>
      <c r="B84" s="237"/>
      <c r="C84" s="139"/>
      <c r="E84" s="264"/>
      <c r="F84" s="140"/>
      <c r="G84" s="152"/>
      <c r="H84" s="141"/>
    </row>
    <row r="85" spans="1:11" s="92" customFormat="1" x14ac:dyDescent="0.25">
      <c r="A85" s="236"/>
      <c r="B85" s="142"/>
      <c r="C85" s="139"/>
      <c r="E85" s="264"/>
      <c r="F85" s="140"/>
    </row>
    <row r="86" spans="1:11" s="92" customFormat="1" x14ac:dyDescent="0.25">
      <c r="A86" s="236"/>
      <c r="B86" s="139"/>
      <c r="C86" s="139"/>
      <c r="E86" s="264"/>
      <c r="F86" s="140"/>
    </row>
    <row r="87" spans="1:11" s="92" customFormat="1" x14ac:dyDescent="0.25">
      <c r="A87" s="236"/>
      <c r="B87" s="139"/>
      <c r="C87" s="241"/>
      <c r="E87" s="264"/>
      <c r="F87" s="140"/>
    </row>
    <row r="88" spans="1:11" s="92" customFormat="1" x14ac:dyDescent="0.25">
      <c r="A88" s="236"/>
      <c r="B88" s="139"/>
      <c r="C88" s="146"/>
      <c r="E88" s="264"/>
      <c r="F88" s="140"/>
    </row>
    <row r="89" spans="1:11" s="92" customFormat="1" x14ac:dyDescent="0.25">
      <c r="A89" s="236"/>
      <c r="B89" s="139"/>
      <c r="C89" s="139"/>
      <c r="D89" s="143"/>
      <c r="E89" s="264"/>
      <c r="F89" s="140"/>
    </row>
    <row r="90" spans="1:11" s="92" customFormat="1" x14ac:dyDescent="0.25">
      <c r="A90" s="236"/>
      <c r="B90" s="139"/>
      <c r="C90" s="139"/>
      <c r="E90" s="264"/>
      <c r="F90" s="140"/>
    </row>
    <row r="91" spans="1:11" s="92" customFormat="1" x14ac:dyDescent="0.25">
      <c r="A91" s="236"/>
      <c r="B91" s="145"/>
      <c r="C91" s="139"/>
      <c r="E91" s="264"/>
      <c r="F91" s="140"/>
      <c r="K91" s="140"/>
    </row>
  </sheetData>
  <autoFilter ref="A5:R60"/>
  <phoneticPr fontId="11" type="noConversion"/>
  <pageMargins left="0.7" right="0.7" top="0.75" bottom="0.75" header="0.3" footer="0.3"/>
  <pageSetup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197"/>
  <sheetViews>
    <sheetView showGridLines="0" topLeftCell="D1" zoomScale="85" zoomScaleNormal="85" workbookViewId="0">
      <pane ySplit="5" topLeftCell="A157" activePane="bottomLeft" state="frozen"/>
      <selection activeCell="C27" sqref="C27"/>
      <selection pane="bottomLeft" activeCell="L168" sqref="L168"/>
    </sheetView>
  </sheetViews>
  <sheetFormatPr defaultColWidth="9.140625" defaultRowHeight="15" x14ac:dyDescent="0.25"/>
  <cols>
    <col min="1" max="1" width="12.5703125" style="206" customWidth="1"/>
    <col min="2" max="2" width="46.28515625" style="207" bestFit="1" customWidth="1"/>
    <col min="3" max="3" width="7.42578125" style="208" bestFit="1" customWidth="1"/>
    <col min="4" max="4" width="6.85546875" style="208" customWidth="1"/>
    <col min="5" max="5" width="6.5703125" style="208" customWidth="1"/>
    <col min="6" max="6" width="57.28515625" style="193" customWidth="1"/>
    <col min="7" max="7" width="9.28515625" style="209" bestFit="1" customWidth="1"/>
    <col min="8" max="8" width="12.28515625" style="210" customWidth="1"/>
    <col min="9" max="9" width="15.7109375" style="156" customWidth="1"/>
    <col min="10" max="10" width="13.5703125" style="156" customWidth="1"/>
    <col min="11" max="11" width="15.85546875" style="156" bestFit="1" customWidth="1"/>
    <col min="12" max="12" width="18.5703125" style="156" bestFit="1" customWidth="1"/>
    <col min="13" max="13" width="13.42578125" style="156" bestFit="1" customWidth="1"/>
    <col min="14" max="14" width="20.140625" style="156" customWidth="1"/>
    <col min="15" max="15" width="16.7109375" style="156" customWidth="1"/>
    <col min="16" max="16" width="13.28515625" style="156" bestFit="1" customWidth="1"/>
    <col min="17" max="17" width="12.28515625" style="156" bestFit="1" customWidth="1"/>
    <col min="18" max="18" width="11" style="156" bestFit="1" customWidth="1"/>
    <col min="19" max="20" width="9.140625" style="156"/>
    <col min="21" max="16384" width="9.140625" style="193"/>
  </cols>
  <sheetData>
    <row r="1" spans="1:20" x14ac:dyDescent="0.25">
      <c r="A1" s="188" t="s">
        <v>0</v>
      </c>
      <c r="B1" s="189"/>
      <c r="C1" s="190"/>
      <c r="D1" s="190"/>
      <c r="E1" s="190"/>
      <c r="F1" s="191"/>
      <c r="G1" s="168"/>
      <c r="H1" s="192"/>
      <c r="I1" s="153"/>
      <c r="J1" s="153"/>
      <c r="K1" s="153"/>
      <c r="L1" s="153"/>
      <c r="M1" s="153"/>
      <c r="N1" s="153"/>
    </row>
    <row r="2" spans="1:20" x14ac:dyDescent="0.25">
      <c r="A2" s="188" t="s">
        <v>13</v>
      </c>
      <c r="B2" s="189"/>
      <c r="C2" s="154"/>
      <c r="D2" s="154"/>
      <c r="E2" s="154"/>
      <c r="F2" s="191"/>
      <c r="G2" s="168"/>
      <c r="H2" s="192"/>
      <c r="I2" s="153"/>
      <c r="J2" s="153"/>
      <c r="K2" s="153"/>
      <c r="L2" s="153"/>
      <c r="M2" s="153"/>
      <c r="N2" s="153"/>
    </row>
    <row r="3" spans="1:20" x14ac:dyDescent="0.25">
      <c r="A3" s="188" t="str">
        <f>BIGASAN!A3</f>
        <v>MAY 2026</v>
      </c>
      <c r="B3" s="189"/>
      <c r="C3" s="189"/>
      <c r="D3" s="154"/>
      <c r="E3" s="154"/>
      <c r="F3" s="191"/>
      <c r="G3" s="168"/>
      <c r="H3" s="192"/>
      <c r="I3" s="153"/>
      <c r="J3" s="153"/>
      <c r="K3" s="153"/>
      <c r="L3" s="153"/>
      <c r="M3" s="153"/>
      <c r="N3" s="153"/>
    </row>
    <row r="4" spans="1:20" ht="6" customHeight="1" thickBot="1" x14ac:dyDescent="0.3">
      <c r="A4" s="194"/>
      <c r="B4" s="189"/>
      <c r="C4" s="154"/>
      <c r="D4" s="154"/>
      <c r="E4" s="154"/>
      <c r="F4" s="191"/>
      <c r="G4" s="168"/>
      <c r="H4" s="192"/>
      <c r="I4" s="153"/>
      <c r="J4" s="153"/>
      <c r="K4" s="153"/>
      <c r="L4" s="153"/>
      <c r="M4" s="153"/>
      <c r="N4" s="153"/>
    </row>
    <row r="5" spans="1:20" s="197" customFormat="1" ht="30" customHeight="1" thickBot="1" x14ac:dyDescent="0.3">
      <c r="A5" s="195" t="s">
        <v>1</v>
      </c>
      <c r="B5" s="276" t="s">
        <v>14</v>
      </c>
      <c r="C5" s="133" t="s">
        <v>11</v>
      </c>
      <c r="D5" s="133" t="s">
        <v>12</v>
      </c>
      <c r="E5" s="133" t="s">
        <v>19</v>
      </c>
      <c r="F5" s="147" t="s">
        <v>15</v>
      </c>
      <c r="G5" s="173" t="s">
        <v>4</v>
      </c>
      <c r="H5" s="147" t="s">
        <v>5</v>
      </c>
      <c r="I5" s="134" t="s">
        <v>6</v>
      </c>
      <c r="J5" s="134" t="s">
        <v>7</v>
      </c>
      <c r="K5" s="134" t="s">
        <v>8</v>
      </c>
      <c r="L5" s="134" t="s">
        <v>9</v>
      </c>
      <c r="M5" s="135" t="s">
        <v>10</v>
      </c>
      <c r="N5" s="155"/>
      <c r="O5" s="196"/>
      <c r="P5" s="196"/>
      <c r="Q5" s="196"/>
      <c r="R5" s="196"/>
      <c r="S5" s="196"/>
      <c r="T5" s="196"/>
    </row>
    <row r="6" spans="1:20" ht="15" customHeight="1" x14ac:dyDescent="0.25">
      <c r="A6" s="149">
        <v>46119</v>
      </c>
      <c r="B6" s="198" t="s">
        <v>34</v>
      </c>
      <c r="C6" s="172">
        <v>1104</v>
      </c>
      <c r="D6" s="172"/>
      <c r="E6" s="172"/>
      <c r="F6" s="150" t="s">
        <v>56</v>
      </c>
      <c r="G6" s="270">
        <v>6</v>
      </c>
      <c r="H6" s="182"/>
      <c r="I6" s="183">
        <v>57.25</v>
      </c>
      <c r="J6" s="117">
        <f t="shared" ref="J6:J71" si="0">G6*I6</f>
        <v>343.5</v>
      </c>
      <c r="K6" s="183"/>
      <c r="L6" s="183"/>
      <c r="M6" s="132">
        <f t="shared" ref="M6:M14" si="1">+J6-K6-L6</f>
        <v>343.5</v>
      </c>
      <c r="N6" s="153"/>
    </row>
    <row r="7" spans="1:20" ht="15" customHeight="1" x14ac:dyDescent="0.25">
      <c r="A7" s="149">
        <v>46119</v>
      </c>
      <c r="B7" s="198" t="s">
        <v>34</v>
      </c>
      <c r="C7" s="172">
        <v>1104</v>
      </c>
      <c r="D7" s="114"/>
      <c r="E7" s="114"/>
      <c r="F7" s="115" t="s">
        <v>57</v>
      </c>
      <c r="G7" s="116">
        <v>6</v>
      </c>
      <c r="H7" s="182"/>
      <c r="I7" s="183">
        <v>37.799999999999997</v>
      </c>
      <c r="J7" s="117">
        <f t="shared" si="0"/>
        <v>226.79999999999998</v>
      </c>
      <c r="K7" s="130"/>
      <c r="L7" s="130"/>
      <c r="M7" s="118">
        <f t="shared" si="1"/>
        <v>226.79999999999998</v>
      </c>
      <c r="N7" s="153"/>
    </row>
    <row r="8" spans="1:20" ht="15" customHeight="1" x14ac:dyDescent="0.25">
      <c r="A8" s="149">
        <v>46119</v>
      </c>
      <c r="B8" s="198" t="s">
        <v>34</v>
      </c>
      <c r="C8" s="172">
        <v>1104</v>
      </c>
      <c r="D8" s="114"/>
      <c r="E8" s="114"/>
      <c r="F8" s="115" t="s">
        <v>58</v>
      </c>
      <c r="G8" s="116">
        <v>6</v>
      </c>
      <c r="H8" s="182"/>
      <c r="I8" s="183">
        <v>59.5</v>
      </c>
      <c r="J8" s="117">
        <f t="shared" si="0"/>
        <v>357</v>
      </c>
      <c r="K8" s="130"/>
      <c r="L8" s="130"/>
      <c r="M8" s="118">
        <f t="shared" si="1"/>
        <v>357</v>
      </c>
      <c r="N8" s="153"/>
    </row>
    <row r="9" spans="1:20" ht="15" customHeight="1" x14ac:dyDescent="0.25">
      <c r="A9" s="149">
        <v>46119</v>
      </c>
      <c r="B9" s="198" t="s">
        <v>34</v>
      </c>
      <c r="C9" s="172">
        <v>1104</v>
      </c>
      <c r="D9" s="114"/>
      <c r="E9" s="114"/>
      <c r="F9" s="115" t="s">
        <v>37</v>
      </c>
      <c r="G9" s="116">
        <v>5</v>
      </c>
      <c r="H9" s="116"/>
      <c r="I9" s="130">
        <v>58.8</v>
      </c>
      <c r="J9" s="117">
        <f t="shared" si="0"/>
        <v>294</v>
      </c>
      <c r="K9" s="130"/>
      <c r="L9" s="130"/>
      <c r="M9" s="118">
        <f t="shared" si="1"/>
        <v>294</v>
      </c>
      <c r="N9" s="153"/>
    </row>
    <row r="10" spans="1:20" ht="15" customHeight="1" x14ac:dyDescent="0.25">
      <c r="A10" s="149">
        <v>46119</v>
      </c>
      <c r="B10" s="198" t="s">
        <v>34</v>
      </c>
      <c r="C10" s="172">
        <v>1104</v>
      </c>
      <c r="D10" s="114"/>
      <c r="E10" s="114"/>
      <c r="F10" s="115" t="s">
        <v>59</v>
      </c>
      <c r="G10" s="116">
        <v>6</v>
      </c>
      <c r="H10" s="116"/>
      <c r="I10" s="130">
        <v>50.5</v>
      </c>
      <c r="J10" s="117">
        <f t="shared" si="0"/>
        <v>303</v>
      </c>
      <c r="K10" s="130"/>
      <c r="L10" s="130"/>
      <c r="M10" s="118">
        <f t="shared" si="1"/>
        <v>303</v>
      </c>
      <c r="N10" s="153"/>
    </row>
    <row r="11" spans="1:20" ht="15" customHeight="1" x14ac:dyDescent="0.25">
      <c r="A11" s="149">
        <v>46119</v>
      </c>
      <c r="B11" s="198" t="s">
        <v>34</v>
      </c>
      <c r="C11" s="172">
        <v>1104</v>
      </c>
      <c r="D11" s="114"/>
      <c r="E11" s="114"/>
      <c r="F11" s="115" t="s">
        <v>38</v>
      </c>
      <c r="G11" s="116">
        <v>5</v>
      </c>
      <c r="H11" s="116"/>
      <c r="I11" s="130">
        <v>58.8</v>
      </c>
      <c r="J11" s="117">
        <f t="shared" si="0"/>
        <v>294</v>
      </c>
      <c r="K11" s="130"/>
      <c r="L11" s="130"/>
      <c r="M11" s="118">
        <f t="shared" si="1"/>
        <v>294</v>
      </c>
      <c r="N11" s="153"/>
    </row>
    <row r="12" spans="1:20" ht="15" customHeight="1" x14ac:dyDescent="0.25">
      <c r="A12" s="149">
        <v>46119</v>
      </c>
      <c r="B12" s="198" t="s">
        <v>34</v>
      </c>
      <c r="C12" s="172">
        <v>1104</v>
      </c>
      <c r="D12" s="114"/>
      <c r="E12" s="114"/>
      <c r="F12" s="115" t="s">
        <v>39</v>
      </c>
      <c r="G12" s="116">
        <v>6</v>
      </c>
      <c r="H12" s="116"/>
      <c r="I12" s="130">
        <v>56.5</v>
      </c>
      <c r="J12" s="117">
        <f t="shared" si="0"/>
        <v>339</v>
      </c>
      <c r="K12" s="130"/>
      <c r="L12" s="130"/>
      <c r="M12" s="118">
        <f t="shared" si="1"/>
        <v>339</v>
      </c>
      <c r="N12" s="153"/>
    </row>
    <row r="13" spans="1:20" ht="15" customHeight="1" x14ac:dyDescent="0.25">
      <c r="A13" s="149">
        <v>46119</v>
      </c>
      <c r="B13" s="198" t="s">
        <v>34</v>
      </c>
      <c r="C13" s="172">
        <v>1104</v>
      </c>
      <c r="D13" s="114"/>
      <c r="E13" s="114"/>
      <c r="F13" s="115" t="s">
        <v>60</v>
      </c>
      <c r="G13" s="116">
        <v>36</v>
      </c>
      <c r="H13" s="116"/>
      <c r="I13" s="183">
        <v>14.25</v>
      </c>
      <c r="J13" s="117">
        <f t="shared" si="0"/>
        <v>513</v>
      </c>
      <c r="K13" s="130"/>
      <c r="L13" s="130"/>
      <c r="M13" s="118">
        <f t="shared" si="1"/>
        <v>513</v>
      </c>
      <c r="N13" s="153"/>
    </row>
    <row r="14" spans="1:20" ht="15" customHeight="1" x14ac:dyDescent="0.25">
      <c r="A14" s="149">
        <v>46119</v>
      </c>
      <c r="B14" s="198" t="s">
        <v>34</v>
      </c>
      <c r="C14" s="172">
        <v>1104</v>
      </c>
      <c r="D14" s="114"/>
      <c r="E14" s="114"/>
      <c r="F14" s="115" t="s">
        <v>51</v>
      </c>
      <c r="G14" s="116">
        <v>6</v>
      </c>
      <c r="H14" s="116"/>
      <c r="I14" s="183">
        <v>85.25</v>
      </c>
      <c r="J14" s="117">
        <f t="shared" si="0"/>
        <v>511.5</v>
      </c>
      <c r="K14" s="130"/>
      <c r="L14" s="130"/>
      <c r="M14" s="118">
        <f t="shared" si="1"/>
        <v>511.5</v>
      </c>
      <c r="N14" s="153"/>
    </row>
    <row r="15" spans="1:20" ht="15" customHeight="1" x14ac:dyDescent="0.25">
      <c r="A15" s="149">
        <v>46119</v>
      </c>
      <c r="B15" s="198" t="s">
        <v>34</v>
      </c>
      <c r="C15" s="172">
        <v>1104</v>
      </c>
      <c r="D15" s="114"/>
      <c r="E15" s="114"/>
      <c r="F15" s="115" t="s">
        <v>46</v>
      </c>
      <c r="G15" s="116">
        <v>24</v>
      </c>
      <c r="H15" s="116"/>
      <c r="I15" s="183">
        <v>35.68</v>
      </c>
      <c r="J15" s="117">
        <f t="shared" si="0"/>
        <v>856.31999999999994</v>
      </c>
      <c r="K15" s="130"/>
      <c r="L15" s="130"/>
      <c r="M15" s="118">
        <f t="shared" ref="M15:M32" si="2">+J15-K15-L15</f>
        <v>856.31999999999994</v>
      </c>
      <c r="N15" s="153"/>
    </row>
    <row r="16" spans="1:20" ht="15" customHeight="1" x14ac:dyDescent="0.25">
      <c r="A16" s="149">
        <v>46119</v>
      </c>
      <c r="B16" s="198" t="s">
        <v>34</v>
      </c>
      <c r="C16" s="172">
        <v>1104</v>
      </c>
      <c r="D16" s="114"/>
      <c r="E16" s="114"/>
      <c r="F16" s="115" t="s">
        <v>47</v>
      </c>
      <c r="G16" s="116">
        <v>12</v>
      </c>
      <c r="H16" s="116"/>
      <c r="I16" s="130">
        <v>12.25</v>
      </c>
      <c r="J16" s="117">
        <f t="shared" si="0"/>
        <v>147</v>
      </c>
      <c r="K16" s="130"/>
      <c r="L16" s="130"/>
      <c r="M16" s="118">
        <f t="shared" si="2"/>
        <v>147</v>
      </c>
      <c r="N16" s="153"/>
    </row>
    <row r="17" spans="1:14" ht="15" customHeight="1" x14ac:dyDescent="0.25">
      <c r="A17" s="149">
        <v>46119</v>
      </c>
      <c r="B17" s="198" t="s">
        <v>34</v>
      </c>
      <c r="C17" s="172">
        <v>1104</v>
      </c>
      <c r="D17" s="114"/>
      <c r="E17" s="114"/>
      <c r="F17" s="115" t="s">
        <v>61</v>
      </c>
      <c r="G17" s="116">
        <v>6</v>
      </c>
      <c r="H17" s="116"/>
      <c r="I17" s="130">
        <v>64</v>
      </c>
      <c r="J17" s="117">
        <f t="shared" si="0"/>
        <v>384</v>
      </c>
      <c r="K17" s="130"/>
      <c r="L17" s="130"/>
      <c r="M17" s="118">
        <f t="shared" si="2"/>
        <v>384</v>
      </c>
      <c r="N17" s="153"/>
    </row>
    <row r="18" spans="1:14" ht="15" customHeight="1" x14ac:dyDescent="0.25">
      <c r="A18" s="149">
        <v>46119</v>
      </c>
      <c r="B18" s="198" t="s">
        <v>34</v>
      </c>
      <c r="C18" s="172">
        <v>1104</v>
      </c>
      <c r="D18" s="114"/>
      <c r="E18" s="114"/>
      <c r="F18" s="115" t="s">
        <v>62</v>
      </c>
      <c r="G18" s="116">
        <v>6</v>
      </c>
      <c r="H18" s="116"/>
      <c r="I18" s="183">
        <v>64</v>
      </c>
      <c r="J18" s="117">
        <f t="shared" si="0"/>
        <v>384</v>
      </c>
      <c r="K18" s="130"/>
      <c r="L18" s="130"/>
      <c r="M18" s="118">
        <f t="shared" si="2"/>
        <v>384</v>
      </c>
      <c r="N18" s="153"/>
    </row>
    <row r="19" spans="1:14" ht="15" customHeight="1" x14ac:dyDescent="0.25">
      <c r="A19" s="149">
        <v>46119</v>
      </c>
      <c r="B19" s="198" t="s">
        <v>34</v>
      </c>
      <c r="C19" s="172">
        <v>1104</v>
      </c>
      <c r="D19" s="114"/>
      <c r="E19" s="114"/>
      <c r="F19" s="115" t="s">
        <v>63</v>
      </c>
      <c r="G19" s="116">
        <v>6</v>
      </c>
      <c r="H19" s="116"/>
      <c r="I19" s="183">
        <v>60.25</v>
      </c>
      <c r="J19" s="117">
        <f t="shared" si="0"/>
        <v>361.5</v>
      </c>
      <c r="K19" s="130"/>
      <c r="L19" s="130"/>
      <c r="M19" s="118">
        <f t="shared" si="2"/>
        <v>361.5</v>
      </c>
      <c r="N19" s="153"/>
    </row>
    <row r="20" spans="1:14" ht="15" customHeight="1" x14ac:dyDescent="0.25">
      <c r="A20" s="149">
        <v>46119</v>
      </c>
      <c r="B20" s="198" t="s">
        <v>34</v>
      </c>
      <c r="C20" s="172">
        <v>1104</v>
      </c>
      <c r="D20" s="114"/>
      <c r="E20" s="114"/>
      <c r="F20" s="115" t="s">
        <v>48</v>
      </c>
      <c r="G20" s="116">
        <v>30</v>
      </c>
      <c r="H20" s="116"/>
      <c r="I20" s="183">
        <v>57.95</v>
      </c>
      <c r="J20" s="117">
        <f t="shared" si="0"/>
        <v>1738.5</v>
      </c>
      <c r="K20" s="130">
        <v>239</v>
      </c>
      <c r="L20" s="130"/>
      <c r="M20" s="118">
        <f t="shared" si="2"/>
        <v>1499.5</v>
      </c>
      <c r="N20" s="153"/>
    </row>
    <row r="21" spans="1:14" ht="15" customHeight="1" x14ac:dyDescent="0.25">
      <c r="A21" s="149">
        <v>46119</v>
      </c>
      <c r="B21" s="198" t="s">
        <v>41</v>
      </c>
      <c r="C21" s="172">
        <v>1105</v>
      </c>
      <c r="D21" s="114"/>
      <c r="E21" s="114"/>
      <c r="F21" s="115" t="s">
        <v>49</v>
      </c>
      <c r="G21" s="116">
        <v>24</v>
      </c>
      <c r="H21" s="116"/>
      <c r="I21" s="183">
        <v>22.73</v>
      </c>
      <c r="J21" s="117">
        <f t="shared" si="0"/>
        <v>545.52</v>
      </c>
      <c r="K21" s="130"/>
      <c r="L21" s="130"/>
      <c r="M21" s="118">
        <f t="shared" si="2"/>
        <v>545.52</v>
      </c>
      <c r="N21" s="153"/>
    </row>
    <row r="22" spans="1:14" ht="15" customHeight="1" x14ac:dyDescent="0.25">
      <c r="A22" s="149">
        <v>46119</v>
      </c>
      <c r="B22" s="198" t="s">
        <v>41</v>
      </c>
      <c r="C22" s="172">
        <v>1105</v>
      </c>
      <c r="D22" s="114"/>
      <c r="E22" s="114"/>
      <c r="F22" s="115" t="s">
        <v>50</v>
      </c>
      <c r="G22" s="116">
        <v>24</v>
      </c>
      <c r="H22" s="116"/>
      <c r="I22" s="183">
        <v>22.73</v>
      </c>
      <c r="J22" s="117">
        <f t="shared" si="0"/>
        <v>545.52</v>
      </c>
      <c r="K22" s="130"/>
      <c r="L22" s="130"/>
      <c r="M22" s="118">
        <f t="shared" si="2"/>
        <v>545.52</v>
      </c>
      <c r="N22" s="153"/>
    </row>
    <row r="23" spans="1:14" ht="15" customHeight="1" x14ac:dyDescent="0.25">
      <c r="A23" s="149">
        <v>46119</v>
      </c>
      <c r="B23" s="198" t="s">
        <v>41</v>
      </c>
      <c r="C23" s="172">
        <v>1105</v>
      </c>
      <c r="D23" s="114"/>
      <c r="E23" s="114"/>
      <c r="F23" s="115" t="s">
        <v>64</v>
      </c>
      <c r="G23" s="116">
        <v>48</v>
      </c>
      <c r="H23" s="116"/>
      <c r="I23" s="130">
        <v>20.68</v>
      </c>
      <c r="J23" s="117">
        <f t="shared" si="0"/>
        <v>992.64</v>
      </c>
      <c r="K23" s="130"/>
      <c r="L23" s="130"/>
      <c r="M23" s="118">
        <f t="shared" si="2"/>
        <v>992.64</v>
      </c>
      <c r="N23" s="153"/>
    </row>
    <row r="24" spans="1:14" ht="15" customHeight="1" x14ac:dyDescent="0.25">
      <c r="A24" s="149">
        <v>46119</v>
      </c>
      <c r="B24" s="198" t="s">
        <v>41</v>
      </c>
      <c r="C24" s="172">
        <v>1105</v>
      </c>
      <c r="D24" s="114"/>
      <c r="E24" s="114"/>
      <c r="F24" s="115" t="s">
        <v>65</v>
      </c>
      <c r="G24" s="116">
        <v>48</v>
      </c>
      <c r="H24" s="116"/>
      <c r="I24" s="130">
        <v>20.68</v>
      </c>
      <c r="J24" s="117">
        <f t="shared" si="0"/>
        <v>992.64</v>
      </c>
      <c r="K24" s="130">
        <v>123.05</v>
      </c>
      <c r="L24" s="130"/>
      <c r="M24" s="118">
        <f t="shared" si="2"/>
        <v>869.59</v>
      </c>
      <c r="N24" s="153"/>
    </row>
    <row r="25" spans="1:14" ht="15" customHeight="1" x14ac:dyDescent="0.25">
      <c r="A25" s="149">
        <v>46119</v>
      </c>
      <c r="B25" s="198" t="s">
        <v>66</v>
      </c>
      <c r="C25" s="172">
        <v>1106</v>
      </c>
      <c r="D25" s="114"/>
      <c r="E25" s="114"/>
      <c r="F25" s="115" t="s">
        <v>67</v>
      </c>
      <c r="G25" s="116">
        <v>12</v>
      </c>
      <c r="H25" s="116"/>
      <c r="I25" s="130">
        <v>30.25</v>
      </c>
      <c r="J25" s="117">
        <f t="shared" si="0"/>
        <v>363</v>
      </c>
      <c r="K25" s="130"/>
      <c r="L25" s="130"/>
      <c r="M25" s="118">
        <f t="shared" si="2"/>
        <v>363</v>
      </c>
      <c r="N25" s="153"/>
    </row>
    <row r="26" spans="1:14" ht="15" customHeight="1" x14ac:dyDescent="0.25">
      <c r="A26" s="149">
        <v>46119</v>
      </c>
      <c r="B26" s="198" t="s">
        <v>66</v>
      </c>
      <c r="C26" s="172">
        <v>1106</v>
      </c>
      <c r="D26" s="114"/>
      <c r="E26" s="114"/>
      <c r="F26" s="115" t="s">
        <v>68</v>
      </c>
      <c r="G26" s="116">
        <v>12</v>
      </c>
      <c r="H26" s="116"/>
      <c r="I26" s="130">
        <v>69.650000000000006</v>
      </c>
      <c r="J26" s="117">
        <f t="shared" si="0"/>
        <v>835.80000000000007</v>
      </c>
      <c r="K26" s="130"/>
      <c r="L26" s="130"/>
      <c r="M26" s="118">
        <f t="shared" si="2"/>
        <v>835.80000000000007</v>
      </c>
      <c r="N26" s="153"/>
    </row>
    <row r="27" spans="1:14" ht="15" customHeight="1" x14ac:dyDescent="0.25">
      <c r="A27" s="149">
        <v>46119</v>
      </c>
      <c r="B27" s="198" t="s">
        <v>66</v>
      </c>
      <c r="C27" s="172">
        <v>1106</v>
      </c>
      <c r="D27" s="114"/>
      <c r="E27" s="114"/>
      <c r="F27" s="115" t="s">
        <v>69</v>
      </c>
      <c r="G27" s="116">
        <v>6</v>
      </c>
      <c r="H27" s="116"/>
      <c r="I27" s="130">
        <f>220.43/6</f>
        <v>36.738333333333337</v>
      </c>
      <c r="J27" s="117">
        <f t="shared" si="0"/>
        <v>220.43</v>
      </c>
      <c r="K27" s="130"/>
      <c r="L27" s="130"/>
      <c r="M27" s="118">
        <f t="shared" si="2"/>
        <v>220.43</v>
      </c>
      <c r="N27" s="153"/>
    </row>
    <row r="28" spans="1:14" ht="15" customHeight="1" x14ac:dyDescent="0.25">
      <c r="A28" s="149">
        <v>46119</v>
      </c>
      <c r="B28" s="198" t="s">
        <v>66</v>
      </c>
      <c r="C28" s="172">
        <v>1106</v>
      </c>
      <c r="D28" s="114"/>
      <c r="E28" s="114"/>
      <c r="F28" s="115" t="s">
        <v>70</v>
      </c>
      <c r="G28" s="116">
        <v>6</v>
      </c>
      <c r="H28" s="116"/>
      <c r="I28" s="130">
        <v>23.62</v>
      </c>
      <c r="J28" s="117">
        <f t="shared" si="0"/>
        <v>141.72</v>
      </c>
      <c r="K28" s="130"/>
      <c r="L28" s="130"/>
      <c r="M28" s="118">
        <f t="shared" si="2"/>
        <v>141.72</v>
      </c>
      <c r="N28" s="153"/>
    </row>
    <row r="29" spans="1:14" ht="15" customHeight="1" x14ac:dyDescent="0.25">
      <c r="A29" s="149">
        <v>46119</v>
      </c>
      <c r="B29" s="198" t="s">
        <v>66</v>
      </c>
      <c r="C29" s="172">
        <v>1106</v>
      </c>
      <c r="D29" s="114"/>
      <c r="E29" s="114"/>
      <c r="F29" s="115" t="s">
        <v>71</v>
      </c>
      <c r="G29" s="116">
        <v>6</v>
      </c>
      <c r="H29" s="116"/>
      <c r="I29" s="130">
        <v>45.36</v>
      </c>
      <c r="J29" s="117">
        <f t="shared" si="0"/>
        <v>272.15999999999997</v>
      </c>
      <c r="K29" s="130"/>
      <c r="L29" s="130"/>
      <c r="M29" s="118">
        <f t="shared" si="2"/>
        <v>272.15999999999997</v>
      </c>
      <c r="N29" s="153"/>
    </row>
    <row r="30" spans="1:14" ht="15" customHeight="1" x14ac:dyDescent="0.25">
      <c r="A30" s="149">
        <v>46119</v>
      </c>
      <c r="B30" s="198" t="s">
        <v>66</v>
      </c>
      <c r="C30" s="172">
        <v>1106</v>
      </c>
      <c r="D30" s="114"/>
      <c r="E30" s="114"/>
      <c r="F30" s="115" t="s">
        <v>72</v>
      </c>
      <c r="G30" s="116">
        <v>6</v>
      </c>
      <c r="H30" s="116"/>
      <c r="I30" s="130">
        <v>37</v>
      </c>
      <c r="J30" s="117">
        <f t="shared" si="0"/>
        <v>222</v>
      </c>
      <c r="K30" s="130"/>
      <c r="L30" s="130"/>
      <c r="M30" s="118">
        <f t="shared" si="2"/>
        <v>222</v>
      </c>
      <c r="N30" s="153"/>
    </row>
    <row r="31" spans="1:14" ht="15" customHeight="1" x14ac:dyDescent="0.25">
      <c r="A31" s="149">
        <v>46119</v>
      </c>
      <c r="B31" s="198" t="s">
        <v>66</v>
      </c>
      <c r="C31" s="172">
        <v>1106</v>
      </c>
      <c r="D31" s="114"/>
      <c r="E31" s="114"/>
      <c r="F31" s="115" t="s">
        <v>73</v>
      </c>
      <c r="G31" s="116">
        <v>6</v>
      </c>
      <c r="H31" s="116"/>
      <c r="I31" s="130">
        <v>37</v>
      </c>
      <c r="J31" s="117">
        <f t="shared" si="0"/>
        <v>222</v>
      </c>
      <c r="K31" s="130"/>
      <c r="L31" s="130"/>
      <c r="M31" s="118">
        <f t="shared" si="2"/>
        <v>222</v>
      </c>
      <c r="N31" s="153"/>
    </row>
    <row r="32" spans="1:14" ht="15" customHeight="1" x14ac:dyDescent="0.25">
      <c r="A32" s="149">
        <v>46119</v>
      </c>
      <c r="B32" s="198" t="s">
        <v>66</v>
      </c>
      <c r="C32" s="172">
        <v>1106</v>
      </c>
      <c r="D32" s="114"/>
      <c r="E32" s="114"/>
      <c r="F32" s="115" t="s">
        <v>74</v>
      </c>
      <c r="G32" s="116">
        <v>6</v>
      </c>
      <c r="H32" s="116"/>
      <c r="I32" s="130">
        <v>37</v>
      </c>
      <c r="J32" s="117">
        <f t="shared" si="0"/>
        <v>222</v>
      </c>
      <c r="K32" s="130"/>
      <c r="L32" s="130"/>
      <c r="M32" s="118">
        <f t="shared" si="2"/>
        <v>222</v>
      </c>
      <c r="N32" s="153"/>
    </row>
    <row r="33" spans="1:14" ht="15" customHeight="1" x14ac:dyDescent="0.25">
      <c r="A33" s="149">
        <v>46119</v>
      </c>
      <c r="B33" s="198" t="s">
        <v>66</v>
      </c>
      <c r="C33" s="172">
        <v>1106</v>
      </c>
      <c r="D33" s="114"/>
      <c r="E33" s="114"/>
      <c r="F33" s="115" t="s">
        <v>75</v>
      </c>
      <c r="G33" s="116">
        <v>6</v>
      </c>
      <c r="H33" s="116"/>
      <c r="I33" s="130">
        <v>37</v>
      </c>
      <c r="J33" s="117">
        <f t="shared" si="0"/>
        <v>222</v>
      </c>
      <c r="K33" s="130"/>
      <c r="L33" s="130"/>
      <c r="M33" s="118">
        <f t="shared" ref="M33:M44" si="3">+J33-K33-L33</f>
        <v>222</v>
      </c>
      <c r="N33" s="153"/>
    </row>
    <row r="34" spans="1:14" ht="15" customHeight="1" x14ac:dyDescent="0.25">
      <c r="A34" s="149">
        <v>46119</v>
      </c>
      <c r="B34" s="198" t="s">
        <v>66</v>
      </c>
      <c r="C34" s="172">
        <v>1106</v>
      </c>
      <c r="D34" s="114"/>
      <c r="E34" s="114"/>
      <c r="F34" s="115" t="s">
        <v>76</v>
      </c>
      <c r="G34" s="116">
        <v>6</v>
      </c>
      <c r="H34" s="116"/>
      <c r="I34" s="130">
        <v>37</v>
      </c>
      <c r="J34" s="117">
        <f t="shared" si="0"/>
        <v>222</v>
      </c>
      <c r="K34" s="130"/>
      <c r="L34" s="130"/>
      <c r="M34" s="118">
        <f t="shared" si="3"/>
        <v>222</v>
      </c>
      <c r="N34" s="153"/>
    </row>
    <row r="35" spans="1:14" ht="15" customHeight="1" x14ac:dyDescent="0.25">
      <c r="A35" s="149">
        <v>46119</v>
      </c>
      <c r="B35" s="198" t="s">
        <v>66</v>
      </c>
      <c r="C35" s="172">
        <v>1106</v>
      </c>
      <c r="D35" s="114"/>
      <c r="E35" s="114"/>
      <c r="F35" s="115" t="s">
        <v>77</v>
      </c>
      <c r="G35" s="116">
        <v>6</v>
      </c>
      <c r="H35" s="116"/>
      <c r="I35" s="130">
        <v>54</v>
      </c>
      <c r="J35" s="117">
        <f t="shared" si="0"/>
        <v>324</v>
      </c>
      <c r="K35" s="130"/>
      <c r="L35" s="130"/>
      <c r="M35" s="118">
        <f t="shared" si="3"/>
        <v>324</v>
      </c>
      <c r="N35" s="153"/>
    </row>
    <row r="36" spans="1:14" ht="15" customHeight="1" x14ac:dyDescent="0.25">
      <c r="A36" s="149">
        <v>46119</v>
      </c>
      <c r="B36" s="198" t="s">
        <v>66</v>
      </c>
      <c r="C36" s="172">
        <v>1106</v>
      </c>
      <c r="D36" s="114"/>
      <c r="E36" s="114"/>
      <c r="F36" s="115" t="s">
        <v>78</v>
      </c>
      <c r="G36" s="116">
        <v>6</v>
      </c>
      <c r="H36" s="116"/>
      <c r="I36" s="130">
        <v>54</v>
      </c>
      <c r="J36" s="117">
        <f t="shared" si="0"/>
        <v>324</v>
      </c>
      <c r="K36" s="130"/>
      <c r="L36" s="130"/>
      <c r="M36" s="118">
        <f t="shared" si="3"/>
        <v>324</v>
      </c>
      <c r="N36" s="153"/>
    </row>
    <row r="37" spans="1:14" ht="15" customHeight="1" x14ac:dyDescent="0.25">
      <c r="A37" s="149">
        <v>46119</v>
      </c>
      <c r="B37" s="198" t="s">
        <v>66</v>
      </c>
      <c r="C37" s="172">
        <v>1106</v>
      </c>
      <c r="D37" s="114"/>
      <c r="E37" s="114"/>
      <c r="F37" s="115" t="s">
        <v>79</v>
      </c>
      <c r="G37" s="116">
        <v>6</v>
      </c>
      <c r="H37" s="116"/>
      <c r="I37" s="130">
        <v>54</v>
      </c>
      <c r="J37" s="117">
        <f t="shared" si="0"/>
        <v>324</v>
      </c>
      <c r="K37" s="130"/>
      <c r="L37" s="130"/>
      <c r="M37" s="118">
        <f t="shared" si="3"/>
        <v>324</v>
      </c>
      <c r="N37" s="153"/>
    </row>
    <row r="38" spans="1:14" ht="15" customHeight="1" x14ac:dyDescent="0.25">
      <c r="A38" s="149">
        <v>46119</v>
      </c>
      <c r="B38" s="198" t="s">
        <v>66</v>
      </c>
      <c r="C38" s="172">
        <v>1106</v>
      </c>
      <c r="D38" s="114"/>
      <c r="E38" s="114"/>
      <c r="F38" s="115" t="s">
        <v>80</v>
      </c>
      <c r="G38" s="116">
        <v>6</v>
      </c>
      <c r="H38" s="116"/>
      <c r="I38" s="130">
        <v>54</v>
      </c>
      <c r="J38" s="117">
        <f t="shared" si="0"/>
        <v>324</v>
      </c>
      <c r="K38" s="130"/>
      <c r="L38" s="130"/>
      <c r="M38" s="118">
        <f t="shared" si="3"/>
        <v>324</v>
      </c>
      <c r="N38" s="153"/>
    </row>
    <row r="39" spans="1:14" ht="15" customHeight="1" x14ac:dyDescent="0.25">
      <c r="A39" s="149">
        <v>46119</v>
      </c>
      <c r="B39" s="198" t="s">
        <v>66</v>
      </c>
      <c r="C39" s="172">
        <v>1106</v>
      </c>
      <c r="D39" s="114"/>
      <c r="E39" s="114"/>
      <c r="F39" s="115" t="s">
        <v>81</v>
      </c>
      <c r="G39" s="116">
        <v>6</v>
      </c>
      <c r="H39" s="116"/>
      <c r="I39" s="130">
        <v>54</v>
      </c>
      <c r="J39" s="117">
        <f t="shared" si="0"/>
        <v>324</v>
      </c>
      <c r="K39" s="130"/>
      <c r="L39" s="130"/>
      <c r="M39" s="118">
        <f t="shared" si="3"/>
        <v>324</v>
      </c>
      <c r="N39" s="153"/>
    </row>
    <row r="40" spans="1:14" ht="15" customHeight="1" x14ac:dyDescent="0.25">
      <c r="A40" s="149">
        <v>46119</v>
      </c>
      <c r="B40" s="198" t="s">
        <v>66</v>
      </c>
      <c r="C40" s="172">
        <v>1106</v>
      </c>
      <c r="D40" s="114"/>
      <c r="E40" s="114"/>
      <c r="F40" s="115" t="s">
        <v>82</v>
      </c>
      <c r="G40" s="116">
        <v>6</v>
      </c>
      <c r="H40" s="116"/>
      <c r="I40" s="130">
        <v>54</v>
      </c>
      <c r="J40" s="117">
        <f t="shared" si="0"/>
        <v>324</v>
      </c>
      <c r="K40" s="130"/>
      <c r="L40" s="130"/>
      <c r="M40" s="118">
        <f t="shared" si="3"/>
        <v>324</v>
      </c>
      <c r="N40" s="153"/>
    </row>
    <row r="41" spans="1:14" ht="15" customHeight="1" x14ac:dyDescent="0.25">
      <c r="A41" s="149">
        <v>46119</v>
      </c>
      <c r="B41" s="198" t="s">
        <v>66</v>
      </c>
      <c r="C41" s="172">
        <v>1106</v>
      </c>
      <c r="D41" s="114"/>
      <c r="E41" s="114"/>
      <c r="F41" s="115" t="s">
        <v>83</v>
      </c>
      <c r="G41" s="116">
        <v>6</v>
      </c>
      <c r="H41" s="116"/>
      <c r="I41" s="130">
        <v>88</v>
      </c>
      <c r="J41" s="117">
        <f t="shared" si="0"/>
        <v>528</v>
      </c>
      <c r="K41" s="130"/>
      <c r="L41" s="130"/>
      <c r="M41" s="118">
        <f t="shared" si="3"/>
        <v>528</v>
      </c>
      <c r="N41" s="153"/>
    </row>
    <row r="42" spans="1:14" ht="15" customHeight="1" x14ac:dyDescent="0.25">
      <c r="A42" s="149">
        <v>46119</v>
      </c>
      <c r="B42" s="198" t="s">
        <v>66</v>
      </c>
      <c r="C42" s="172">
        <v>1106</v>
      </c>
      <c r="D42" s="114"/>
      <c r="E42" s="114"/>
      <c r="F42" s="115" t="s">
        <v>84</v>
      </c>
      <c r="G42" s="116">
        <v>6</v>
      </c>
      <c r="H42" s="116"/>
      <c r="I42" s="130">
        <v>88</v>
      </c>
      <c r="J42" s="117">
        <f t="shared" si="0"/>
        <v>528</v>
      </c>
      <c r="K42" s="130"/>
      <c r="L42" s="130"/>
      <c r="M42" s="118">
        <f t="shared" si="3"/>
        <v>528</v>
      </c>
      <c r="N42" s="153"/>
    </row>
    <row r="43" spans="1:14" ht="15" customHeight="1" x14ac:dyDescent="0.25">
      <c r="A43" s="149">
        <v>46119</v>
      </c>
      <c r="B43" s="198" t="s">
        <v>66</v>
      </c>
      <c r="C43" s="172">
        <v>1106</v>
      </c>
      <c r="D43" s="114"/>
      <c r="E43" s="114"/>
      <c r="F43" s="115" t="s">
        <v>85</v>
      </c>
      <c r="G43" s="116">
        <v>6</v>
      </c>
      <c r="H43" s="116"/>
      <c r="I43" s="130">
        <v>75</v>
      </c>
      <c r="J43" s="117">
        <f t="shared" si="0"/>
        <v>450</v>
      </c>
      <c r="K43" s="130"/>
      <c r="L43" s="130"/>
      <c r="M43" s="118">
        <f t="shared" si="3"/>
        <v>450</v>
      </c>
      <c r="N43" s="153"/>
    </row>
    <row r="44" spans="1:14" ht="15" customHeight="1" x14ac:dyDescent="0.25">
      <c r="A44" s="149">
        <v>46119</v>
      </c>
      <c r="B44" s="198" t="s">
        <v>66</v>
      </c>
      <c r="C44" s="172">
        <v>1106</v>
      </c>
      <c r="D44" s="114"/>
      <c r="E44" s="114"/>
      <c r="F44" s="115" t="s">
        <v>86</v>
      </c>
      <c r="G44" s="116">
        <v>12</v>
      </c>
      <c r="H44" s="116"/>
      <c r="I44" s="130">
        <v>43.5</v>
      </c>
      <c r="J44" s="117">
        <f t="shared" si="0"/>
        <v>522</v>
      </c>
      <c r="K44" s="130"/>
      <c r="L44" s="130"/>
      <c r="M44" s="118">
        <f t="shared" si="3"/>
        <v>522</v>
      </c>
      <c r="N44" s="153"/>
    </row>
    <row r="45" spans="1:14" ht="15" customHeight="1" x14ac:dyDescent="0.25">
      <c r="A45" s="149">
        <v>46119</v>
      </c>
      <c r="B45" s="198" t="s">
        <v>66</v>
      </c>
      <c r="C45" s="172">
        <v>1106</v>
      </c>
      <c r="D45" s="114"/>
      <c r="E45" s="212"/>
      <c r="F45" s="213" t="s">
        <v>87</v>
      </c>
      <c r="G45" s="214">
        <v>12</v>
      </c>
      <c r="H45" s="214"/>
      <c r="I45" s="215">
        <v>43.5</v>
      </c>
      <c r="J45" s="117">
        <f t="shared" si="0"/>
        <v>522</v>
      </c>
      <c r="K45" s="130"/>
      <c r="L45" s="130"/>
      <c r="M45" s="118">
        <f t="shared" ref="M45:M60" si="4">+J45-K45-L45</f>
        <v>522</v>
      </c>
      <c r="N45" s="153"/>
    </row>
    <row r="46" spans="1:14" ht="15" customHeight="1" x14ac:dyDescent="0.25">
      <c r="A46" s="149">
        <v>46119</v>
      </c>
      <c r="B46" s="198" t="s">
        <v>66</v>
      </c>
      <c r="C46" s="172">
        <v>1106</v>
      </c>
      <c r="D46" s="114"/>
      <c r="E46" s="212"/>
      <c r="F46" s="213" t="s">
        <v>88</v>
      </c>
      <c r="G46" s="214">
        <v>12</v>
      </c>
      <c r="H46" s="214"/>
      <c r="I46" s="215">
        <v>43.5</v>
      </c>
      <c r="J46" s="117">
        <f t="shared" si="0"/>
        <v>522</v>
      </c>
      <c r="K46" s="130"/>
      <c r="L46" s="130"/>
      <c r="M46" s="118">
        <f t="shared" si="4"/>
        <v>522</v>
      </c>
      <c r="N46" s="153"/>
    </row>
    <row r="47" spans="1:14" ht="15" customHeight="1" x14ac:dyDescent="0.25">
      <c r="A47" s="149">
        <v>46119</v>
      </c>
      <c r="B47" s="198" t="s">
        <v>66</v>
      </c>
      <c r="C47" s="172">
        <v>1106</v>
      </c>
      <c r="D47" s="212"/>
      <c r="E47" s="212"/>
      <c r="F47" s="213" t="s">
        <v>89</v>
      </c>
      <c r="G47" s="214">
        <v>12</v>
      </c>
      <c r="H47" s="214"/>
      <c r="I47" s="215">
        <v>43.5</v>
      </c>
      <c r="J47" s="117">
        <f t="shared" si="0"/>
        <v>522</v>
      </c>
      <c r="K47" s="130"/>
      <c r="L47" s="130"/>
      <c r="M47" s="118">
        <f t="shared" si="4"/>
        <v>522</v>
      </c>
      <c r="N47" s="153"/>
    </row>
    <row r="48" spans="1:14" ht="15" customHeight="1" x14ac:dyDescent="0.25">
      <c r="A48" s="149">
        <v>46119</v>
      </c>
      <c r="B48" s="198" t="s">
        <v>66</v>
      </c>
      <c r="C48" s="172">
        <v>1106</v>
      </c>
      <c r="D48" s="212"/>
      <c r="E48" s="212"/>
      <c r="F48" s="213" t="s">
        <v>90</v>
      </c>
      <c r="G48" s="214">
        <v>12</v>
      </c>
      <c r="H48" s="214"/>
      <c r="I48" s="215">
        <v>43.5</v>
      </c>
      <c r="J48" s="117">
        <f t="shared" si="0"/>
        <v>522</v>
      </c>
      <c r="K48" s="130"/>
      <c r="L48" s="130"/>
      <c r="M48" s="118">
        <f t="shared" si="4"/>
        <v>522</v>
      </c>
      <c r="N48" s="153"/>
    </row>
    <row r="49" spans="1:14" ht="15" customHeight="1" x14ac:dyDescent="0.25">
      <c r="A49" s="149">
        <v>46119</v>
      </c>
      <c r="B49" s="198" t="s">
        <v>66</v>
      </c>
      <c r="C49" s="172">
        <v>1106</v>
      </c>
      <c r="D49" s="212"/>
      <c r="E49" s="212"/>
      <c r="F49" s="213" t="s">
        <v>91</v>
      </c>
      <c r="G49" s="214">
        <v>12</v>
      </c>
      <c r="H49" s="214"/>
      <c r="I49" s="215">
        <v>43.5</v>
      </c>
      <c r="J49" s="117">
        <f t="shared" si="0"/>
        <v>522</v>
      </c>
      <c r="K49" s="130"/>
      <c r="L49" s="130"/>
      <c r="M49" s="118">
        <f t="shared" si="4"/>
        <v>522</v>
      </c>
      <c r="N49" s="153"/>
    </row>
    <row r="50" spans="1:14" ht="15" customHeight="1" x14ac:dyDescent="0.25">
      <c r="A50" s="149">
        <v>46119</v>
      </c>
      <c r="B50" s="198" t="s">
        <v>66</v>
      </c>
      <c r="C50" s="172">
        <v>1106</v>
      </c>
      <c r="D50" s="212"/>
      <c r="E50" s="212"/>
      <c r="F50" s="213" t="s">
        <v>92</v>
      </c>
      <c r="G50" s="214">
        <v>12</v>
      </c>
      <c r="H50" s="214"/>
      <c r="I50" s="215">
        <v>65</v>
      </c>
      <c r="J50" s="117">
        <f t="shared" si="0"/>
        <v>780</v>
      </c>
      <c r="K50" s="130"/>
      <c r="L50" s="130"/>
      <c r="M50" s="118">
        <f t="shared" si="4"/>
        <v>780</v>
      </c>
      <c r="N50" s="153"/>
    </row>
    <row r="51" spans="1:14" ht="15" customHeight="1" x14ac:dyDescent="0.25">
      <c r="A51" s="149">
        <v>46119</v>
      </c>
      <c r="B51" s="198" t="s">
        <v>66</v>
      </c>
      <c r="C51" s="172">
        <v>1106</v>
      </c>
      <c r="D51" s="212"/>
      <c r="E51" s="212"/>
      <c r="F51" s="213" t="s">
        <v>93</v>
      </c>
      <c r="G51" s="214">
        <v>12</v>
      </c>
      <c r="H51" s="214"/>
      <c r="I51" s="215">
        <v>65</v>
      </c>
      <c r="J51" s="117">
        <f t="shared" si="0"/>
        <v>780</v>
      </c>
      <c r="K51" s="130"/>
      <c r="L51" s="130"/>
      <c r="M51" s="118">
        <f t="shared" si="4"/>
        <v>780</v>
      </c>
      <c r="N51" s="153"/>
    </row>
    <row r="52" spans="1:14" ht="15" customHeight="1" x14ac:dyDescent="0.25">
      <c r="A52" s="149">
        <v>46119</v>
      </c>
      <c r="B52" s="198" t="s">
        <v>66</v>
      </c>
      <c r="C52" s="172">
        <v>1106</v>
      </c>
      <c r="D52" s="212"/>
      <c r="E52" s="212"/>
      <c r="F52" s="213" t="s">
        <v>94</v>
      </c>
      <c r="G52" s="214">
        <v>12</v>
      </c>
      <c r="H52" s="214"/>
      <c r="I52" s="215">
        <v>65</v>
      </c>
      <c r="J52" s="117">
        <f t="shared" si="0"/>
        <v>780</v>
      </c>
      <c r="K52" s="130"/>
      <c r="L52" s="130"/>
      <c r="M52" s="118">
        <f t="shared" si="4"/>
        <v>780</v>
      </c>
      <c r="N52" s="153"/>
    </row>
    <row r="53" spans="1:14" ht="15" customHeight="1" x14ac:dyDescent="0.25">
      <c r="A53" s="149">
        <v>46119</v>
      </c>
      <c r="B53" s="198" t="s">
        <v>66</v>
      </c>
      <c r="C53" s="172">
        <v>1106</v>
      </c>
      <c r="D53" s="212"/>
      <c r="E53" s="212"/>
      <c r="F53" s="213" t="s">
        <v>95</v>
      </c>
      <c r="G53" s="214">
        <v>12</v>
      </c>
      <c r="H53" s="214"/>
      <c r="I53" s="215">
        <v>65</v>
      </c>
      <c r="J53" s="117">
        <f t="shared" si="0"/>
        <v>780</v>
      </c>
      <c r="K53" s="130"/>
      <c r="L53" s="130"/>
      <c r="M53" s="118">
        <f t="shared" si="4"/>
        <v>780</v>
      </c>
      <c r="N53" s="153"/>
    </row>
    <row r="54" spans="1:14" ht="15" customHeight="1" x14ac:dyDescent="0.25">
      <c r="A54" s="149">
        <v>46119</v>
      </c>
      <c r="B54" s="198" t="s">
        <v>66</v>
      </c>
      <c r="C54" s="172">
        <v>1106</v>
      </c>
      <c r="D54" s="212"/>
      <c r="E54" s="212"/>
      <c r="F54" s="213" t="s">
        <v>96</v>
      </c>
      <c r="G54" s="214">
        <v>12</v>
      </c>
      <c r="H54" s="214"/>
      <c r="I54" s="215">
        <v>65</v>
      </c>
      <c r="J54" s="117">
        <f t="shared" si="0"/>
        <v>780</v>
      </c>
      <c r="K54" s="130"/>
      <c r="L54" s="130"/>
      <c r="M54" s="118">
        <f t="shared" si="4"/>
        <v>780</v>
      </c>
      <c r="N54" s="153"/>
    </row>
    <row r="55" spans="1:14" ht="15" customHeight="1" x14ac:dyDescent="0.25">
      <c r="A55" s="149">
        <v>46119</v>
      </c>
      <c r="B55" s="198" t="s">
        <v>66</v>
      </c>
      <c r="C55" s="172">
        <v>1106</v>
      </c>
      <c r="D55" s="212"/>
      <c r="E55" s="212"/>
      <c r="F55" s="213" t="s">
        <v>97</v>
      </c>
      <c r="G55" s="214">
        <v>12</v>
      </c>
      <c r="H55" s="214"/>
      <c r="I55" s="215">
        <v>65</v>
      </c>
      <c r="J55" s="117">
        <f t="shared" si="0"/>
        <v>780</v>
      </c>
      <c r="K55" s="130">
        <v>1226.93</v>
      </c>
      <c r="L55" s="130"/>
      <c r="M55" s="118">
        <f t="shared" si="4"/>
        <v>-446.93000000000006</v>
      </c>
      <c r="N55" s="153"/>
    </row>
    <row r="56" spans="1:14" ht="15" customHeight="1" x14ac:dyDescent="0.25">
      <c r="A56" s="149">
        <v>46126</v>
      </c>
      <c r="B56" s="277" t="s">
        <v>43</v>
      </c>
      <c r="C56" s="114">
        <v>1108</v>
      </c>
      <c r="D56" s="212"/>
      <c r="E56" s="212"/>
      <c r="F56" s="213" t="s">
        <v>98</v>
      </c>
      <c r="G56" s="214">
        <v>12</v>
      </c>
      <c r="H56" s="214"/>
      <c r="I56" s="215">
        <v>13.87</v>
      </c>
      <c r="J56" s="117">
        <f t="shared" si="0"/>
        <v>166.44</v>
      </c>
      <c r="K56" s="130"/>
      <c r="L56" s="130"/>
      <c r="M56" s="118">
        <f t="shared" si="4"/>
        <v>166.44</v>
      </c>
      <c r="N56" s="153"/>
    </row>
    <row r="57" spans="1:14" ht="15" customHeight="1" x14ac:dyDescent="0.25">
      <c r="A57" s="149">
        <v>46126</v>
      </c>
      <c r="B57" s="277" t="s">
        <v>43</v>
      </c>
      <c r="C57" s="114">
        <v>1108</v>
      </c>
      <c r="D57" s="212"/>
      <c r="E57" s="212"/>
      <c r="F57" s="213" t="s">
        <v>99</v>
      </c>
      <c r="G57" s="214">
        <v>8</v>
      </c>
      <c r="H57" s="214"/>
      <c r="I57" s="215">
        <v>160.51</v>
      </c>
      <c r="J57" s="117">
        <f t="shared" si="0"/>
        <v>1284.08</v>
      </c>
      <c r="K57" s="130"/>
      <c r="L57" s="130"/>
      <c r="M57" s="118">
        <f t="shared" si="4"/>
        <v>1284.08</v>
      </c>
      <c r="N57" s="153"/>
    </row>
    <row r="58" spans="1:14" ht="15" customHeight="1" x14ac:dyDescent="0.25">
      <c r="A58" s="149">
        <v>46126</v>
      </c>
      <c r="B58" s="277" t="s">
        <v>43</v>
      </c>
      <c r="C58" s="114">
        <v>1108</v>
      </c>
      <c r="D58" s="212"/>
      <c r="E58" s="212"/>
      <c r="F58" s="213" t="s">
        <v>44</v>
      </c>
      <c r="G58" s="214">
        <v>16</v>
      </c>
      <c r="H58" s="214"/>
      <c r="I58" s="215">
        <v>160.51</v>
      </c>
      <c r="J58" s="117">
        <f>G58*I58</f>
        <v>2568.16</v>
      </c>
      <c r="K58" s="130"/>
      <c r="L58" s="130"/>
      <c r="M58" s="118">
        <f t="shared" si="4"/>
        <v>2568.16</v>
      </c>
      <c r="N58" s="153"/>
    </row>
    <row r="59" spans="1:14" ht="15" customHeight="1" x14ac:dyDescent="0.25">
      <c r="A59" s="149">
        <v>46126</v>
      </c>
      <c r="B59" s="277" t="s">
        <v>43</v>
      </c>
      <c r="C59" s="114">
        <v>1108</v>
      </c>
      <c r="D59" s="212"/>
      <c r="E59" s="212"/>
      <c r="F59" s="213" t="s">
        <v>100</v>
      </c>
      <c r="G59" s="214">
        <v>24</v>
      </c>
      <c r="H59" s="214"/>
      <c r="I59" s="215">
        <v>27.9</v>
      </c>
      <c r="J59" s="117">
        <f t="shared" si="0"/>
        <v>669.59999999999991</v>
      </c>
      <c r="K59" s="130"/>
      <c r="L59" s="130"/>
      <c r="M59" s="118">
        <f t="shared" si="4"/>
        <v>669.59999999999991</v>
      </c>
      <c r="N59" s="153"/>
    </row>
    <row r="60" spans="1:14" ht="15" customHeight="1" x14ac:dyDescent="0.25">
      <c r="A60" s="149">
        <v>46126</v>
      </c>
      <c r="B60" s="277" t="s">
        <v>43</v>
      </c>
      <c r="C60" s="114">
        <v>1108</v>
      </c>
      <c r="D60" s="212"/>
      <c r="E60" s="212"/>
      <c r="F60" s="213" t="s">
        <v>45</v>
      </c>
      <c r="G60" s="214">
        <v>24</v>
      </c>
      <c r="H60" s="214"/>
      <c r="I60" s="215">
        <f>3463.39/24</f>
        <v>144.30791666666667</v>
      </c>
      <c r="J60" s="117">
        <f>G60*I60</f>
        <v>3463.3900000000003</v>
      </c>
      <c r="K60" s="130"/>
      <c r="L60" s="130"/>
      <c r="M60" s="118">
        <f t="shared" si="4"/>
        <v>3463.3900000000003</v>
      </c>
      <c r="N60" s="153"/>
    </row>
    <row r="61" spans="1:14" ht="15" customHeight="1" x14ac:dyDescent="0.25">
      <c r="A61" s="149">
        <v>46126</v>
      </c>
      <c r="B61" s="277" t="s">
        <v>43</v>
      </c>
      <c r="C61" s="114">
        <v>1108</v>
      </c>
      <c r="D61" s="212"/>
      <c r="E61" s="212"/>
      <c r="F61" s="213" t="s">
        <v>101</v>
      </c>
      <c r="G61" s="214">
        <v>6</v>
      </c>
      <c r="H61" s="214"/>
      <c r="I61" s="215">
        <v>19.600000000000001</v>
      </c>
      <c r="J61" s="117">
        <f t="shared" si="0"/>
        <v>117.60000000000001</v>
      </c>
      <c r="K61" s="130"/>
      <c r="L61" s="130"/>
      <c r="M61" s="118">
        <f t="shared" ref="M61" si="5">+J61-K61-L61</f>
        <v>117.60000000000001</v>
      </c>
      <c r="N61" s="153"/>
    </row>
    <row r="62" spans="1:14" ht="15" customHeight="1" x14ac:dyDescent="0.25">
      <c r="A62" s="149">
        <v>46126</v>
      </c>
      <c r="B62" s="277" t="s">
        <v>43</v>
      </c>
      <c r="C62" s="114">
        <v>1108</v>
      </c>
      <c r="D62" s="212"/>
      <c r="E62" s="212"/>
      <c r="F62" s="213" t="s">
        <v>102</v>
      </c>
      <c r="G62" s="214">
        <v>8</v>
      </c>
      <c r="H62" s="214"/>
      <c r="I62" s="215">
        <v>155.63999999999999</v>
      </c>
      <c r="J62" s="117">
        <f t="shared" si="0"/>
        <v>1245.1199999999999</v>
      </c>
      <c r="K62" s="130"/>
      <c r="L62" s="130"/>
      <c r="M62" s="118">
        <f t="shared" ref="M62:M84" si="6">+J62-K62-L62</f>
        <v>1245.1199999999999</v>
      </c>
      <c r="N62" s="153"/>
    </row>
    <row r="63" spans="1:14" ht="15" customHeight="1" x14ac:dyDescent="0.25">
      <c r="A63" s="149">
        <v>46126</v>
      </c>
      <c r="B63" s="277" t="s">
        <v>43</v>
      </c>
      <c r="C63" s="114">
        <v>1108</v>
      </c>
      <c r="D63" s="212"/>
      <c r="E63" s="212"/>
      <c r="F63" s="213" t="s">
        <v>103</v>
      </c>
      <c r="G63" s="214">
        <v>12</v>
      </c>
      <c r="H63" s="214"/>
      <c r="I63" s="215">
        <f>83.58/12</f>
        <v>6.9649999999999999</v>
      </c>
      <c r="J63" s="117">
        <f t="shared" si="0"/>
        <v>83.58</v>
      </c>
      <c r="K63" s="130"/>
      <c r="L63" s="130"/>
      <c r="M63" s="118">
        <f t="shared" si="6"/>
        <v>83.58</v>
      </c>
      <c r="N63" s="153"/>
    </row>
    <row r="64" spans="1:14" ht="15" customHeight="1" x14ac:dyDescent="0.25">
      <c r="A64" s="149">
        <v>46126</v>
      </c>
      <c r="B64" s="277" t="s">
        <v>43</v>
      </c>
      <c r="C64" s="114">
        <v>1108</v>
      </c>
      <c r="D64" s="212"/>
      <c r="E64" s="212"/>
      <c r="F64" s="213" t="s">
        <v>104</v>
      </c>
      <c r="G64" s="214">
        <v>24</v>
      </c>
      <c r="H64" s="214"/>
      <c r="I64" s="130">
        <f>745.1/24</f>
        <v>31.045833333333334</v>
      </c>
      <c r="J64" s="117">
        <f t="shared" si="0"/>
        <v>745.1</v>
      </c>
      <c r="K64" s="130">
        <v>417.22</v>
      </c>
      <c r="L64" s="130"/>
      <c r="M64" s="118">
        <f t="shared" si="6"/>
        <v>327.88</v>
      </c>
      <c r="N64" s="153"/>
    </row>
    <row r="65" spans="1:14" ht="15" customHeight="1" x14ac:dyDescent="0.25">
      <c r="A65" s="126">
        <v>46126</v>
      </c>
      <c r="B65" s="277" t="s">
        <v>105</v>
      </c>
      <c r="C65" s="114">
        <v>1109</v>
      </c>
      <c r="D65" s="212"/>
      <c r="E65" s="212"/>
      <c r="F65" s="213" t="s">
        <v>106</v>
      </c>
      <c r="G65" s="214">
        <v>100</v>
      </c>
      <c r="H65" s="214"/>
      <c r="I65" s="130">
        <v>25.25</v>
      </c>
      <c r="J65" s="117">
        <f t="shared" si="0"/>
        <v>2525</v>
      </c>
      <c r="K65" s="130"/>
      <c r="L65" s="130"/>
      <c r="M65" s="118">
        <f t="shared" si="6"/>
        <v>2525</v>
      </c>
      <c r="N65" s="153"/>
    </row>
    <row r="66" spans="1:14" ht="15" customHeight="1" x14ac:dyDescent="0.25">
      <c r="A66" s="126">
        <v>46126</v>
      </c>
      <c r="B66" s="277" t="s">
        <v>105</v>
      </c>
      <c r="C66" s="114">
        <v>1109</v>
      </c>
      <c r="D66" s="212"/>
      <c r="E66" s="212"/>
      <c r="F66" s="213" t="s">
        <v>107</v>
      </c>
      <c r="G66" s="214">
        <v>100</v>
      </c>
      <c r="H66" s="214"/>
      <c r="I66" s="130">
        <v>25.26</v>
      </c>
      <c r="J66" s="117">
        <f t="shared" si="0"/>
        <v>2526</v>
      </c>
      <c r="K66" s="130"/>
      <c r="L66" s="130"/>
      <c r="M66" s="118">
        <f t="shared" si="6"/>
        <v>2526</v>
      </c>
      <c r="N66" s="153"/>
    </row>
    <row r="67" spans="1:14" ht="15" customHeight="1" x14ac:dyDescent="0.25">
      <c r="A67" s="126">
        <v>46126</v>
      </c>
      <c r="B67" s="277" t="s">
        <v>105</v>
      </c>
      <c r="C67" s="114">
        <v>1109</v>
      </c>
      <c r="D67" s="212"/>
      <c r="E67" s="212"/>
      <c r="F67" s="213" t="s">
        <v>108</v>
      </c>
      <c r="G67" s="214">
        <v>132</v>
      </c>
      <c r="H67" s="214"/>
      <c r="I67" s="130">
        <v>7.8484848484848486</v>
      </c>
      <c r="J67" s="117">
        <f t="shared" si="0"/>
        <v>1036</v>
      </c>
      <c r="K67" s="130"/>
      <c r="L67" s="130"/>
      <c r="M67" s="118">
        <f t="shared" si="6"/>
        <v>1036</v>
      </c>
      <c r="N67" s="153"/>
    </row>
    <row r="68" spans="1:14" ht="15" customHeight="1" x14ac:dyDescent="0.25">
      <c r="A68" s="126">
        <v>46126</v>
      </c>
      <c r="B68" s="277" t="s">
        <v>105</v>
      </c>
      <c r="C68" s="114">
        <v>1109</v>
      </c>
      <c r="D68" s="212"/>
      <c r="E68" s="212"/>
      <c r="F68" s="213" t="s">
        <v>109</v>
      </c>
      <c r="G68" s="214">
        <v>12</v>
      </c>
      <c r="H68" s="214"/>
      <c r="I68" s="130">
        <v>53.2</v>
      </c>
      <c r="J68" s="117">
        <f t="shared" si="0"/>
        <v>638.40000000000009</v>
      </c>
      <c r="K68" s="130"/>
      <c r="L68" s="130"/>
      <c r="M68" s="118">
        <f t="shared" si="6"/>
        <v>638.40000000000009</v>
      </c>
      <c r="N68" s="153"/>
    </row>
    <row r="69" spans="1:14" ht="15" customHeight="1" x14ac:dyDescent="0.25">
      <c r="A69" s="126">
        <v>46126</v>
      </c>
      <c r="B69" s="277" t="s">
        <v>105</v>
      </c>
      <c r="C69" s="114">
        <v>1109</v>
      </c>
      <c r="D69" s="212"/>
      <c r="E69" s="212"/>
      <c r="F69" s="213" t="s">
        <v>110</v>
      </c>
      <c r="G69" s="214">
        <v>12</v>
      </c>
      <c r="H69" s="214"/>
      <c r="I69" s="215">
        <v>63.2</v>
      </c>
      <c r="J69" s="117">
        <f t="shared" si="0"/>
        <v>758.40000000000009</v>
      </c>
      <c r="K69" s="130">
        <v>149.68</v>
      </c>
      <c r="L69" s="130"/>
      <c r="M69" s="118">
        <f t="shared" si="6"/>
        <v>608.72</v>
      </c>
      <c r="N69" s="153"/>
    </row>
    <row r="70" spans="1:14" ht="15" customHeight="1" x14ac:dyDescent="0.25">
      <c r="A70" s="126">
        <v>46126</v>
      </c>
      <c r="B70" s="277" t="s">
        <v>111</v>
      </c>
      <c r="C70" s="114">
        <v>1110</v>
      </c>
      <c r="D70" s="212"/>
      <c r="E70" s="212"/>
      <c r="F70" s="213" t="s">
        <v>112</v>
      </c>
      <c r="G70" s="214">
        <v>1</v>
      </c>
      <c r="H70" s="214"/>
      <c r="I70" s="215">
        <v>39000</v>
      </c>
      <c r="J70" s="117">
        <f t="shared" si="0"/>
        <v>39000</v>
      </c>
      <c r="K70" s="130"/>
      <c r="L70" s="130"/>
      <c r="M70" s="118">
        <f t="shared" si="6"/>
        <v>39000</v>
      </c>
      <c r="N70" s="153"/>
    </row>
    <row r="71" spans="1:14" ht="15" customHeight="1" x14ac:dyDescent="0.25">
      <c r="A71" s="126">
        <v>46126</v>
      </c>
      <c r="B71" s="277" t="s">
        <v>111</v>
      </c>
      <c r="C71" s="114">
        <v>1110</v>
      </c>
      <c r="D71" s="212"/>
      <c r="E71" s="212"/>
      <c r="F71" s="213" t="s">
        <v>113</v>
      </c>
      <c r="G71" s="214">
        <v>1</v>
      </c>
      <c r="H71" s="214"/>
      <c r="I71" s="215">
        <v>2500</v>
      </c>
      <c r="J71" s="117">
        <f t="shared" si="0"/>
        <v>2500</v>
      </c>
      <c r="K71" s="130"/>
      <c r="L71" s="130"/>
      <c r="M71" s="118">
        <f t="shared" si="6"/>
        <v>2500</v>
      </c>
      <c r="N71" s="153"/>
    </row>
    <row r="72" spans="1:14" ht="15" customHeight="1" x14ac:dyDescent="0.25">
      <c r="A72" s="126">
        <v>46128</v>
      </c>
      <c r="B72" s="277" t="s">
        <v>114</v>
      </c>
      <c r="C72" s="114">
        <v>1112</v>
      </c>
      <c r="D72" s="212"/>
      <c r="E72" s="212"/>
      <c r="F72" s="213" t="s">
        <v>30</v>
      </c>
      <c r="G72" s="214">
        <v>1</v>
      </c>
      <c r="H72" s="214"/>
      <c r="I72" s="215">
        <v>77.3</v>
      </c>
      <c r="J72" s="117">
        <f t="shared" ref="J72:J92" si="7">G72*I72</f>
        <v>77.3</v>
      </c>
      <c r="K72" s="130"/>
      <c r="L72" s="130"/>
      <c r="M72" s="118">
        <f t="shared" si="6"/>
        <v>77.3</v>
      </c>
      <c r="N72" s="153"/>
    </row>
    <row r="73" spans="1:14" ht="15" customHeight="1" x14ac:dyDescent="0.25">
      <c r="A73" s="126">
        <v>46128</v>
      </c>
      <c r="B73" s="277" t="s">
        <v>114</v>
      </c>
      <c r="C73" s="114">
        <v>1112</v>
      </c>
      <c r="D73" s="212"/>
      <c r="E73" s="212"/>
      <c r="F73" s="213" t="s">
        <v>53</v>
      </c>
      <c r="G73" s="214">
        <v>1</v>
      </c>
      <c r="H73" s="214"/>
      <c r="I73" s="130">
        <v>66.349999999999994</v>
      </c>
      <c r="J73" s="117">
        <f t="shared" si="7"/>
        <v>66.349999999999994</v>
      </c>
      <c r="K73" s="130"/>
      <c r="L73" s="130"/>
      <c r="M73" s="118">
        <f t="shared" si="6"/>
        <v>66.349999999999994</v>
      </c>
      <c r="N73" s="153"/>
    </row>
    <row r="74" spans="1:14" ht="15" customHeight="1" x14ac:dyDescent="0.25">
      <c r="A74" s="126">
        <v>46128</v>
      </c>
      <c r="B74" s="277" t="s">
        <v>114</v>
      </c>
      <c r="C74" s="114">
        <v>1112</v>
      </c>
      <c r="D74" s="212"/>
      <c r="E74" s="212"/>
      <c r="F74" s="213" t="s">
        <v>54</v>
      </c>
      <c r="G74" s="214">
        <v>1</v>
      </c>
      <c r="H74" s="214"/>
      <c r="I74" s="215">
        <v>81.8</v>
      </c>
      <c r="J74" s="117">
        <f t="shared" si="7"/>
        <v>81.8</v>
      </c>
      <c r="K74" s="130"/>
      <c r="L74" s="130"/>
      <c r="M74" s="118">
        <f t="shared" si="6"/>
        <v>81.8</v>
      </c>
      <c r="N74" s="153"/>
    </row>
    <row r="75" spans="1:14" ht="15" customHeight="1" x14ac:dyDescent="0.25">
      <c r="A75" s="126">
        <v>46128</v>
      </c>
      <c r="B75" s="277" t="s">
        <v>114</v>
      </c>
      <c r="C75" s="114">
        <v>1112</v>
      </c>
      <c r="D75" s="212"/>
      <c r="E75" s="212"/>
      <c r="F75" s="213" t="s">
        <v>55</v>
      </c>
      <c r="G75" s="214">
        <v>6</v>
      </c>
      <c r="H75" s="214"/>
      <c r="I75" s="215">
        <v>68.2</v>
      </c>
      <c r="J75" s="117">
        <f t="shared" si="7"/>
        <v>409.20000000000005</v>
      </c>
      <c r="K75" s="130"/>
      <c r="L75" s="130"/>
      <c r="M75" s="118">
        <f t="shared" si="6"/>
        <v>409.20000000000005</v>
      </c>
      <c r="N75" s="153"/>
    </row>
    <row r="76" spans="1:14" ht="15" customHeight="1" x14ac:dyDescent="0.25">
      <c r="A76" s="126">
        <v>46128</v>
      </c>
      <c r="B76" s="277" t="s">
        <v>114</v>
      </c>
      <c r="C76" s="114">
        <v>1112</v>
      </c>
      <c r="D76" s="212"/>
      <c r="E76" s="212"/>
      <c r="F76" s="213" t="s">
        <v>35</v>
      </c>
      <c r="G76" s="214">
        <v>2</v>
      </c>
      <c r="H76" s="214"/>
      <c r="I76" s="215">
        <v>59.1</v>
      </c>
      <c r="J76" s="117">
        <f t="shared" si="7"/>
        <v>118.2</v>
      </c>
      <c r="K76" s="130"/>
      <c r="L76" s="130"/>
      <c r="M76" s="118">
        <f t="shared" si="6"/>
        <v>118.2</v>
      </c>
      <c r="N76" s="153"/>
    </row>
    <row r="77" spans="1:14" ht="15" customHeight="1" x14ac:dyDescent="0.25">
      <c r="A77" s="126">
        <v>46128</v>
      </c>
      <c r="B77" s="277" t="s">
        <v>114</v>
      </c>
      <c r="C77" s="114">
        <v>1112</v>
      </c>
      <c r="D77" s="212"/>
      <c r="E77" s="212"/>
      <c r="F77" s="213" t="s">
        <v>42</v>
      </c>
      <c r="G77" s="214">
        <v>1</v>
      </c>
      <c r="H77" s="214"/>
      <c r="I77" s="130">
        <v>74.55</v>
      </c>
      <c r="J77" s="117">
        <f t="shared" si="7"/>
        <v>74.55</v>
      </c>
      <c r="K77" s="130"/>
      <c r="L77" s="130"/>
      <c r="M77" s="118">
        <f t="shared" si="6"/>
        <v>74.55</v>
      </c>
      <c r="N77" s="153"/>
    </row>
    <row r="78" spans="1:14" ht="15" customHeight="1" x14ac:dyDescent="0.25">
      <c r="A78" s="126">
        <v>46128</v>
      </c>
      <c r="B78" s="277" t="s">
        <v>114</v>
      </c>
      <c r="C78" s="114">
        <v>1112</v>
      </c>
      <c r="D78" s="212"/>
      <c r="E78" s="212"/>
      <c r="F78" s="213" t="s">
        <v>31</v>
      </c>
      <c r="G78" s="214">
        <v>1</v>
      </c>
      <c r="H78" s="214"/>
      <c r="I78" s="130">
        <v>35.450000000000003</v>
      </c>
      <c r="J78" s="117">
        <f t="shared" si="7"/>
        <v>35.450000000000003</v>
      </c>
      <c r="K78" s="130"/>
      <c r="L78" s="130">
        <v>136.4</v>
      </c>
      <c r="M78" s="118">
        <f t="shared" si="6"/>
        <v>-100.95</v>
      </c>
      <c r="N78" s="153"/>
    </row>
    <row r="79" spans="1:14" ht="15" customHeight="1" x14ac:dyDescent="0.25">
      <c r="A79" s="126">
        <v>46128</v>
      </c>
      <c r="B79" s="277" t="s">
        <v>115</v>
      </c>
      <c r="C79" s="114">
        <v>1112</v>
      </c>
      <c r="D79" s="212"/>
      <c r="E79" s="212"/>
      <c r="F79" s="213" t="s">
        <v>116</v>
      </c>
      <c r="G79" s="214">
        <v>15</v>
      </c>
      <c r="H79" s="214"/>
      <c r="I79" s="130">
        <v>44.8</v>
      </c>
      <c r="J79" s="117">
        <f t="shared" si="7"/>
        <v>672</v>
      </c>
      <c r="K79" s="130"/>
      <c r="L79" s="130"/>
      <c r="M79" s="118">
        <f t="shared" si="6"/>
        <v>672</v>
      </c>
      <c r="N79" s="153"/>
    </row>
    <row r="80" spans="1:14" ht="15" customHeight="1" x14ac:dyDescent="0.25">
      <c r="A80" s="126">
        <v>46128</v>
      </c>
      <c r="B80" s="277" t="s">
        <v>115</v>
      </c>
      <c r="C80" s="114">
        <v>1112</v>
      </c>
      <c r="D80" s="212"/>
      <c r="E80" s="212"/>
      <c r="F80" s="213" t="s">
        <v>117</v>
      </c>
      <c r="G80" s="214">
        <v>15</v>
      </c>
      <c r="H80" s="214"/>
      <c r="I80" s="130">
        <v>44.8</v>
      </c>
      <c r="J80" s="117">
        <f t="shared" si="7"/>
        <v>672</v>
      </c>
      <c r="K80" s="130"/>
      <c r="L80" s="130"/>
      <c r="M80" s="118">
        <f t="shared" si="6"/>
        <v>672</v>
      </c>
      <c r="N80" s="153"/>
    </row>
    <row r="81" spans="1:14" ht="15" customHeight="1" x14ac:dyDescent="0.25">
      <c r="A81" s="126">
        <v>46128</v>
      </c>
      <c r="B81" s="277" t="s">
        <v>115</v>
      </c>
      <c r="C81" s="114">
        <v>1112</v>
      </c>
      <c r="D81" s="212"/>
      <c r="E81" s="212"/>
      <c r="F81" s="213" t="s">
        <v>118</v>
      </c>
      <c r="G81" s="214">
        <v>10</v>
      </c>
      <c r="H81" s="214"/>
      <c r="I81" s="130">
        <v>57.4</v>
      </c>
      <c r="J81" s="117">
        <f t="shared" si="7"/>
        <v>574</v>
      </c>
      <c r="K81" s="130"/>
      <c r="L81" s="130"/>
      <c r="M81" s="118">
        <f t="shared" si="6"/>
        <v>574</v>
      </c>
      <c r="N81" s="153"/>
    </row>
    <row r="82" spans="1:14" ht="15" customHeight="1" x14ac:dyDescent="0.25">
      <c r="A82" s="126">
        <v>46128</v>
      </c>
      <c r="B82" s="277" t="s">
        <v>115</v>
      </c>
      <c r="C82" s="114">
        <v>1112</v>
      </c>
      <c r="D82" s="212"/>
      <c r="E82" s="212"/>
      <c r="F82" s="213" t="s">
        <v>119</v>
      </c>
      <c r="G82" s="214">
        <v>5</v>
      </c>
      <c r="H82" s="214"/>
      <c r="I82" s="130">
        <v>42</v>
      </c>
      <c r="J82" s="117">
        <f t="shared" si="7"/>
        <v>210</v>
      </c>
      <c r="K82" s="130"/>
      <c r="L82" s="130"/>
      <c r="M82" s="118">
        <f t="shared" si="6"/>
        <v>210</v>
      </c>
      <c r="N82" s="153"/>
    </row>
    <row r="83" spans="1:14" ht="15" customHeight="1" x14ac:dyDescent="0.25">
      <c r="A83" s="126">
        <v>46128</v>
      </c>
      <c r="B83" s="277" t="s">
        <v>114</v>
      </c>
      <c r="C83" s="114">
        <v>1112</v>
      </c>
      <c r="D83" s="212"/>
      <c r="E83" s="212"/>
      <c r="F83" s="213" t="s">
        <v>40</v>
      </c>
      <c r="G83" s="214">
        <v>1</v>
      </c>
      <c r="H83" s="214"/>
      <c r="I83" s="183">
        <v>53.2</v>
      </c>
      <c r="J83" s="117">
        <f t="shared" si="7"/>
        <v>53.2</v>
      </c>
      <c r="K83" s="130"/>
      <c r="L83" s="130"/>
      <c r="M83" s="118">
        <f t="shared" si="6"/>
        <v>53.2</v>
      </c>
      <c r="N83" s="153"/>
    </row>
    <row r="84" spans="1:14" ht="15" customHeight="1" x14ac:dyDescent="0.25">
      <c r="A84" s="126">
        <v>46128</v>
      </c>
      <c r="B84" s="277" t="s">
        <v>114</v>
      </c>
      <c r="C84" s="114">
        <v>1112</v>
      </c>
      <c r="D84" s="212"/>
      <c r="E84" s="212"/>
      <c r="F84" s="213" t="s">
        <v>30</v>
      </c>
      <c r="G84" s="214">
        <v>1</v>
      </c>
      <c r="H84" s="214"/>
      <c r="I84" s="215">
        <v>77.3</v>
      </c>
      <c r="J84" s="117">
        <f t="shared" si="7"/>
        <v>77.3</v>
      </c>
      <c r="K84" s="130"/>
      <c r="L84" s="130"/>
      <c r="M84" s="118">
        <f t="shared" si="6"/>
        <v>77.3</v>
      </c>
      <c r="N84" s="153"/>
    </row>
    <row r="85" spans="1:14" ht="15" customHeight="1" x14ac:dyDescent="0.25">
      <c r="A85" s="126">
        <v>46128</v>
      </c>
      <c r="B85" s="277" t="s">
        <v>114</v>
      </c>
      <c r="C85" s="114">
        <v>1112</v>
      </c>
      <c r="D85" s="212"/>
      <c r="E85" s="212"/>
      <c r="F85" s="213" t="s">
        <v>35</v>
      </c>
      <c r="G85" s="214">
        <v>1</v>
      </c>
      <c r="H85" s="214"/>
      <c r="I85" s="215">
        <v>59.1</v>
      </c>
      <c r="J85" s="117">
        <f t="shared" si="7"/>
        <v>59.1</v>
      </c>
      <c r="K85" s="130"/>
      <c r="L85" s="130"/>
      <c r="M85" s="118">
        <f t="shared" ref="M85:M103" si="8">+J85-K85-L85</f>
        <v>59.1</v>
      </c>
      <c r="N85" s="153"/>
    </row>
    <row r="86" spans="1:14" ht="15" customHeight="1" x14ac:dyDescent="0.25">
      <c r="A86" s="126">
        <v>46128</v>
      </c>
      <c r="B86" s="277" t="s">
        <v>114</v>
      </c>
      <c r="C86" s="114">
        <v>1112</v>
      </c>
      <c r="D86" s="212"/>
      <c r="E86" s="212"/>
      <c r="F86" s="213" t="s">
        <v>42</v>
      </c>
      <c r="G86" s="214">
        <v>1</v>
      </c>
      <c r="H86" s="214"/>
      <c r="I86" s="215">
        <v>74.55</v>
      </c>
      <c r="J86" s="117">
        <f t="shared" si="7"/>
        <v>74.55</v>
      </c>
      <c r="K86" s="130"/>
      <c r="L86" s="130">
        <v>98.2</v>
      </c>
      <c r="M86" s="118">
        <f t="shared" si="8"/>
        <v>-23.650000000000006</v>
      </c>
      <c r="N86" s="153"/>
    </row>
    <row r="87" spans="1:14" ht="15" customHeight="1" x14ac:dyDescent="0.25">
      <c r="A87" s="126">
        <v>46128</v>
      </c>
      <c r="B87" s="277" t="s">
        <v>114</v>
      </c>
      <c r="C87" s="114">
        <v>1112</v>
      </c>
      <c r="D87" s="212"/>
      <c r="E87" s="212"/>
      <c r="F87" s="213" t="s">
        <v>32</v>
      </c>
      <c r="G87" s="214">
        <v>1</v>
      </c>
      <c r="H87" s="214"/>
      <c r="I87" s="215">
        <v>53.65</v>
      </c>
      <c r="J87" s="117">
        <f t="shared" si="7"/>
        <v>53.65</v>
      </c>
      <c r="K87" s="130"/>
      <c r="L87" s="130"/>
      <c r="M87" s="118">
        <f t="shared" si="8"/>
        <v>53.65</v>
      </c>
      <c r="N87" s="153"/>
    </row>
    <row r="88" spans="1:14" ht="15" customHeight="1" x14ac:dyDescent="0.25">
      <c r="A88" s="126">
        <v>46129</v>
      </c>
      <c r="B88" s="277" t="s">
        <v>111</v>
      </c>
      <c r="C88" s="114">
        <v>1113</v>
      </c>
      <c r="D88" s="212"/>
      <c r="E88" s="212"/>
      <c r="F88" s="213" t="s">
        <v>120</v>
      </c>
      <c r="G88" s="214">
        <v>9</v>
      </c>
      <c r="H88" s="214"/>
      <c r="I88" s="215">
        <v>46500</v>
      </c>
      <c r="J88" s="117">
        <f t="shared" si="7"/>
        <v>418500</v>
      </c>
      <c r="K88" s="130"/>
      <c r="L88" s="130"/>
      <c r="M88" s="118">
        <f t="shared" si="8"/>
        <v>418500</v>
      </c>
      <c r="N88" s="153"/>
    </row>
    <row r="89" spans="1:14" ht="15" customHeight="1" x14ac:dyDescent="0.25">
      <c r="A89" s="126">
        <v>46129</v>
      </c>
      <c r="B89" s="277" t="s">
        <v>111</v>
      </c>
      <c r="C89" s="114">
        <v>1113</v>
      </c>
      <c r="D89" s="212"/>
      <c r="E89" s="212"/>
      <c r="F89" s="213" t="s">
        <v>121</v>
      </c>
      <c r="G89" s="214">
        <v>9</v>
      </c>
      <c r="H89" s="214"/>
      <c r="I89" s="215">
        <v>1700</v>
      </c>
      <c r="J89" s="117">
        <f t="shared" si="7"/>
        <v>15300</v>
      </c>
      <c r="K89" s="130"/>
      <c r="L89" s="130"/>
      <c r="M89" s="118">
        <f t="shared" ref="M89:M99" si="9">+J89-K89-L89</f>
        <v>15300</v>
      </c>
      <c r="N89" s="153"/>
    </row>
    <row r="90" spans="1:14" ht="15" customHeight="1" x14ac:dyDescent="0.25">
      <c r="A90" s="126">
        <v>46129</v>
      </c>
      <c r="B90" s="277" t="s">
        <v>111</v>
      </c>
      <c r="C90" s="114">
        <v>1113</v>
      </c>
      <c r="D90" s="212"/>
      <c r="E90" s="212"/>
      <c r="F90" s="213" t="s">
        <v>122</v>
      </c>
      <c r="G90" s="214">
        <v>180</v>
      </c>
      <c r="H90" s="214" t="s">
        <v>29</v>
      </c>
      <c r="I90" s="215">
        <v>120</v>
      </c>
      <c r="J90" s="117">
        <f t="shared" si="7"/>
        <v>21600</v>
      </c>
      <c r="K90" s="130"/>
      <c r="L90" s="130"/>
      <c r="M90" s="118">
        <f t="shared" si="9"/>
        <v>21600</v>
      </c>
      <c r="N90" s="153"/>
    </row>
    <row r="91" spans="1:14" ht="15" customHeight="1" x14ac:dyDescent="0.25">
      <c r="A91" s="126">
        <v>46129</v>
      </c>
      <c r="B91" s="277" t="s">
        <v>111</v>
      </c>
      <c r="C91" s="114">
        <v>1114</v>
      </c>
      <c r="D91" s="212"/>
      <c r="E91" s="212"/>
      <c r="F91" s="213" t="s">
        <v>123</v>
      </c>
      <c r="G91" s="214">
        <v>1</v>
      </c>
      <c r="H91" s="214" t="s">
        <v>29</v>
      </c>
      <c r="I91" s="215">
        <v>22000</v>
      </c>
      <c r="J91" s="117">
        <f t="shared" si="7"/>
        <v>22000</v>
      </c>
      <c r="K91" s="130"/>
      <c r="L91" s="130"/>
      <c r="M91" s="118">
        <f t="shared" si="9"/>
        <v>22000</v>
      </c>
      <c r="N91" s="153"/>
    </row>
    <row r="92" spans="1:14" ht="15" customHeight="1" x14ac:dyDescent="0.25">
      <c r="A92" s="126">
        <v>46129</v>
      </c>
      <c r="B92" s="277" t="s">
        <v>111</v>
      </c>
      <c r="C92" s="114">
        <v>1114</v>
      </c>
      <c r="D92" s="212"/>
      <c r="E92" s="212"/>
      <c r="F92" s="213" t="s">
        <v>124</v>
      </c>
      <c r="G92" s="214">
        <v>40</v>
      </c>
      <c r="H92" s="214" t="s">
        <v>29</v>
      </c>
      <c r="I92" s="215">
        <v>380</v>
      </c>
      <c r="J92" s="117">
        <f t="shared" si="7"/>
        <v>15200</v>
      </c>
      <c r="K92" s="130"/>
      <c r="L92" s="130"/>
      <c r="M92" s="118">
        <f t="shared" si="9"/>
        <v>15200</v>
      </c>
      <c r="N92" s="153"/>
    </row>
    <row r="93" spans="1:14" ht="15" customHeight="1" x14ac:dyDescent="0.25">
      <c r="A93" s="126">
        <v>46132</v>
      </c>
      <c r="B93" s="277" t="s">
        <v>126</v>
      </c>
      <c r="C93" s="114">
        <v>1115</v>
      </c>
      <c r="D93" s="212"/>
      <c r="E93" s="212"/>
      <c r="F93" s="213" t="s">
        <v>127</v>
      </c>
      <c r="G93" s="214">
        <v>24</v>
      </c>
      <c r="H93" s="214" t="s">
        <v>29</v>
      </c>
      <c r="I93" s="215">
        <f>169.34/24</f>
        <v>7.0558333333333332</v>
      </c>
      <c r="J93" s="117">
        <f>G93*I93</f>
        <v>169.34</v>
      </c>
      <c r="K93" s="130"/>
      <c r="L93" s="130"/>
      <c r="M93" s="118">
        <f t="shared" si="9"/>
        <v>169.34</v>
      </c>
      <c r="N93" s="153"/>
    </row>
    <row r="94" spans="1:14" ht="15" customHeight="1" x14ac:dyDescent="0.25">
      <c r="A94" s="126">
        <v>46132</v>
      </c>
      <c r="B94" s="277" t="s">
        <v>126</v>
      </c>
      <c r="C94" s="114">
        <v>1115</v>
      </c>
      <c r="D94" s="212"/>
      <c r="E94" s="212"/>
      <c r="F94" s="213" t="s">
        <v>128</v>
      </c>
      <c r="G94" s="214">
        <v>24</v>
      </c>
      <c r="H94" s="214" t="s">
        <v>29</v>
      </c>
      <c r="I94" s="215">
        <f>169.34/24</f>
        <v>7.0558333333333332</v>
      </c>
      <c r="J94" s="117">
        <f t="shared" ref="J94:J103" si="10">G94*I94</f>
        <v>169.34</v>
      </c>
      <c r="K94" s="130"/>
      <c r="L94" s="130"/>
      <c r="M94" s="118">
        <f t="shared" si="9"/>
        <v>169.34</v>
      </c>
      <c r="N94" s="153"/>
    </row>
    <row r="95" spans="1:14" ht="15" customHeight="1" x14ac:dyDescent="0.25">
      <c r="A95" s="126">
        <v>46132</v>
      </c>
      <c r="B95" s="277" t="s">
        <v>126</v>
      </c>
      <c r="C95" s="114">
        <v>1115</v>
      </c>
      <c r="D95" s="212"/>
      <c r="E95" s="212"/>
      <c r="F95" s="213" t="s">
        <v>129</v>
      </c>
      <c r="G95" s="214">
        <v>5</v>
      </c>
      <c r="H95" s="214" t="s">
        <v>29</v>
      </c>
      <c r="I95" s="215">
        <f>190.01/5</f>
        <v>38.001999999999995</v>
      </c>
      <c r="J95" s="117">
        <f t="shared" si="10"/>
        <v>190.01</v>
      </c>
      <c r="K95" s="130"/>
      <c r="L95" s="130"/>
      <c r="M95" s="118">
        <f t="shared" si="9"/>
        <v>190.01</v>
      </c>
      <c r="N95" s="153"/>
    </row>
    <row r="96" spans="1:14" ht="15" customHeight="1" x14ac:dyDescent="0.25">
      <c r="A96" s="126">
        <v>46132</v>
      </c>
      <c r="B96" s="277" t="s">
        <v>126</v>
      </c>
      <c r="C96" s="114">
        <v>1115</v>
      </c>
      <c r="D96" s="212"/>
      <c r="E96" s="212"/>
      <c r="F96" s="213" t="s">
        <v>130</v>
      </c>
      <c r="G96" s="214">
        <v>5</v>
      </c>
      <c r="H96" s="214" t="s">
        <v>29</v>
      </c>
      <c r="I96" s="215">
        <f t="shared" ref="I96:I97" si="11">190.01/5</f>
        <v>38.001999999999995</v>
      </c>
      <c r="J96" s="117">
        <f t="shared" si="10"/>
        <v>190.01</v>
      </c>
      <c r="K96" s="130"/>
      <c r="L96" s="130"/>
      <c r="M96" s="118">
        <f t="shared" si="9"/>
        <v>190.01</v>
      </c>
      <c r="N96" s="153"/>
    </row>
    <row r="97" spans="1:14" ht="15" customHeight="1" x14ac:dyDescent="0.25">
      <c r="A97" s="126">
        <v>46132</v>
      </c>
      <c r="B97" s="277" t="s">
        <v>126</v>
      </c>
      <c r="C97" s="114">
        <v>1115</v>
      </c>
      <c r="D97" s="212"/>
      <c r="E97" s="212"/>
      <c r="F97" s="213" t="s">
        <v>131</v>
      </c>
      <c r="G97" s="214">
        <v>5</v>
      </c>
      <c r="H97" s="214" t="s">
        <v>29</v>
      </c>
      <c r="I97" s="215">
        <f t="shared" si="11"/>
        <v>38.001999999999995</v>
      </c>
      <c r="J97" s="117">
        <f t="shared" si="10"/>
        <v>190.01</v>
      </c>
      <c r="K97" s="130"/>
      <c r="L97" s="130"/>
      <c r="M97" s="118">
        <f t="shared" si="9"/>
        <v>190.01</v>
      </c>
      <c r="N97" s="153"/>
    </row>
    <row r="98" spans="1:14" ht="15" customHeight="1" x14ac:dyDescent="0.25">
      <c r="A98" s="126">
        <v>46132</v>
      </c>
      <c r="B98" s="277" t="s">
        <v>126</v>
      </c>
      <c r="C98" s="114">
        <v>1115</v>
      </c>
      <c r="D98" s="212"/>
      <c r="E98" s="212"/>
      <c r="F98" s="213" t="s">
        <v>132</v>
      </c>
      <c r="G98" s="214">
        <v>80</v>
      </c>
      <c r="H98" s="214" t="s">
        <v>29</v>
      </c>
      <c r="I98" s="215">
        <f>1251.88/80</f>
        <v>15.648500000000002</v>
      </c>
      <c r="J98" s="117">
        <f t="shared" si="10"/>
        <v>1251.8800000000001</v>
      </c>
      <c r="K98" s="130"/>
      <c r="L98" s="130"/>
      <c r="M98" s="118">
        <f t="shared" si="9"/>
        <v>1251.8800000000001</v>
      </c>
      <c r="N98" s="153"/>
    </row>
    <row r="99" spans="1:14" ht="15" customHeight="1" x14ac:dyDescent="0.25">
      <c r="A99" s="126">
        <v>46132</v>
      </c>
      <c r="B99" s="277" t="s">
        <v>126</v>
      </c>
      <c r="C99" s="114">
        <v>1115</v>
      </c>
      <c r="D99" s="212"/>
      <c r="E99" s="212"/>
      <c r="F99" s="213" t="s">
        <v>133</v>
      </c>
      <c r="G99" s="214">
        <v>80</v>
      </c>
      <c r="H99" s="214" t="s">
        <v>29</v>
      </c>
      <c r="I99" s="215">
        <f t="shared" ref="I99" si="12">1251.88/80</f>
        <v>15.648500000000002</v>
      </c>
      <c r="J99" s="117">
        <f t="shared" si="10"/>
        <v>1251.8800000000001</v>
      </c>
      <c r="K99" s="130"/>
      <c r="L99" s="130"/>
      <c r="M99" s="118">
        <f t="shared" si="9"/>
        <v>1251.8800000000001</v>
      </c>
      <c r="N99" s="153"/>
    </row>
    <row r="100" spans="1:14" ht="15" customHeight="1" x14ac:dyDescent="0.25">
      <c r="A100" s="126">
        <v>46132</v>
      </c>
      <c r="B100" s="277" t="s">
        <v>126</v>
      </c>
      <c r="C100" s="114">
        <v>1115</v>
      </c>
      <c r="D100" s="212"/>
      <c r="E100" s="212"/>
      <c r="F100" s="213" t="s">
        <v>134</v>
      </c>
      <c r="G100" s="214">
        <v>80</v>
      </c>
      <c r="H100" s="214" t="s">
        <v>29</v>
      </c>
      <c r="I100" s="215">
        <f>1209.88/80</f>
        <v>15.123500000000002</v>
      </c>
      <c r="J100" s="117">
        <f t="shared" si="10"/>
        <v>1209.8800000000001</v>
      </c>
      <c r="K100" s="130"/>
      <c r="L100" s="130"/>
      <c r="M100" s="118">
        <f t="shared" si="8"/>
        <v>1209.8800000000001</v>
      </c>
      <c r="N100" s="153"/>
    </row>
    <row r="101" spans="1:14" ht="15" customHeight="1" x14ac:dyDescent="0.25">
      <c r="A101" s="126">
        <v>46132</v>
      </c>
      <c r="B101" s="277" t="s">
        <v>126</v>
      </c>
      <c r="C101" s="114">
        <v>1115</v>
      </c>
      <c r="D101" s="212"/>
      <c r="E101" s="212"/>
      <c r="F101" s="213" t="s">
        <v>135</v>
      </c>
      <c r="G101" s="214">
        <v>54</v>
      </c>
      <c r="H101" s="214" t="s">
        <v>29</v>
      </c>
      <c r="I101" s="130">
        <f>411.26/54</f>
        <v>7.615925925925926</v>
      </c>
      <c r="J101" s="117">
        <f t="shared" si="10"/>
        <v>411.26</v>
      </c>
      <c r="K101" s="130"/>
      <c r="L101" s="130"/>
      <c r="M101" s="118">
        <f t="shared" si="8"/>
        <v>411.26</v>
      </c>
      <c r="N101" s="153"/>
    </row>
    <row r="102" spans="1:14" ht="15" customHeight="1" x14ac:dyDescent="0.25">
      <c r="A102" s="126">
        <v>46132</v>
      </c>
      <c r="B102" s="277" t="s">
        <v>126</v>
      </c>
      <c r="C102" s="114">
        <v>1115</v>
      </c>
      <c r="D102" s="212"/>
      <c r="E102" s="212"/>
      <c r="F102" s="213" t="s">
        <v>136</v>
      </c>
      <c r="G102" s="214">
        <v>50</v>
      </c>
      <c r="H102" s="214" t="s">
        <v>29</v>
      </c>
      <c r="I102" s="130">
        <f>1723.46/50</f>
        <v>34.469200000000001</v>
      </c>
      <c r="J102" s="117">
        <f t="shared" si="10"/>
        <v>1723.46</v>
      </c>
      <c r="K102" s="130"/>
      <c r="L102" s="130"/>
      <c r="M102" s="118">
        <f t="shared" si="8"/>
        <v>1723.46</v>
      </c>
      <c r="N102" s="153"/>
    </row>
    <row r="103" spans="1:14" ht="15" customHeight="1" x14ac:dyDescent="0.25">
      <c r="A103" s="126">
        <v>46132</v>
      </c>
      <c r="B103" s="277" t="s">
        <v>126</v>
      </c>
      <c r="C103" s="114">
        <v>1115</v>
      </c>
      <c r="D103" s="212"/>
      <c r="E103" s="212"/>
      <c r="F103" s="213" t="s">
        <v>137</v>
      </c>
      <c r="G103" s="214">
        <v>50</v>
      </c>
      <c r="H103" s="214" t="s">
        <v>29</v>
      </c>
      <c r="I103" s="130">
        <f>1579.76/50</f>
        <v>31.595199999999998</v>
      </c>
      <c r="J103" s="117">
        <f t="shared" si="10"/>
        <v>1579.76</v>
      </c>
      <c r="K103" s="130"/>
      <c r="L103" s="130">
        <v>6408.75</v>
      </c>
      <c r="M103" s="118">
        <f t="shared" si="8"/>
        <v>-4828.99</v>
      </c>
      <c r="N103" s="153"/>
    </row>
    <row r="104" spans="1:14" ht="15" customHeight="1" x14ac:dyDescent="0.25">
      <c r="A104" s="126">
        <v>46135</v>
      </c>
      <c r="B104" s="277" t="s">
        <v>148</v>
      </c>
      <c r="C104" s="114">
        <v>1117</v>
      </c>
      <c r="D104" s="212"/>
      <c r="E104" s="212"/>
      <c r="F104" s="213" t="s">
        <v>149</v>
      </c>
      <c r="G104" s="214">
        <v>36</v>
      </c>
      <c r="H104" s="214" t="s">
        <v>29</v>
      </c>
      <c r="I104" s="130">
        <f>833.54/36</f>
        <v>23.153888888888886</v>
      </c>
      <c r="J104" s="117">
        <f t="shared" ref="J104:J166" si="13">G104*I104</f>
        <v>833.54</v>
      </c>
      <c r="K104" s="130"/>
      <c r="L104" s="130"/>
      <c r="M104" s="118">
        <f t="shared" ref="M104:M109" si="14">+J104-K104-L104</f>
        <v>833.54</v>
      </c>
      <c r="N104" s="153"/>
    </row>
    <row r="105" spans="1:14" ht="15" customHeight="1" x14ac:dyDescent="0.25">
      <c r="A105" s="126">
        <v>46135</v>
      </c>
      <c r="B105" s="277" t="s">
        <v>148</v>
      </c>
      <c r="C105" s="114">
        <v>1117</v>
      </c>
      <c r="D105" s="212"/>
      <c r="E105" s="212"/>
      <c r="F105" s="213" t="s">
        <v>150</v>
      </c>
      <c r="G105" s="214">
        <v>48</v>
      </c>
      <c r="H105" s="214" t="s">
        <v>29</v>
      </c>
      <c r="I105" s="130">
        <f>729.5/48</f>
        <v>15.197916666666666</v>
      </c>
      <c r="J105" s="117">
        <f t="shared" si="13"/>
        <v>729.5</v>
      </c>
      <c r="K105" s="130"/>
      <c r="L105" s="130"/>
      <c r="M105" s="118">
        <f t="shared" si="14"/>
        <v>729.5</v>
      </c>
      <c r="N105" s="153"/>
    </row>
    <row r="106" spans="1:14" ht="15" customHeight="1" x14ac:dyDescent="0.25">
      <c r="A106" s="126">
        <v>46135</v>
      </c>
      <c r="B106" s="277" t="s">
        <v>148</v>
      </c>
      <c r="C106" s="114">
        <v>1117</v>
      </c>
      <c r="D106" s="212"/>
      <c r="E106" s="212"/>
      <c r="F106" s="213" t="s">
        <v>151</v>
      </c>
      <c r="G106" s="214">
        <v>72</v>
      </c>
      <c r="H106" s="214" t="s">
        <v>29</v>
      </c>
      <c r="I106" s="130">
        <f>649.94/72</f>
        <v>9.026944444444446</v>
      </c>
      <c r="J106" s="117">
        <f t="shared" si="13"/>
        <v>649.94000000000005</v>
      </c>
      <c r="K106" s="130"/>
      <c r="L106" s="130"/>
      <c r="M106" s="118">
        <f t="shared" si="14"/>
        <v>649.94000000000005</v>
      </c>
      <c r="N106" s="153"/>
    </row>
    <row r="107" spans="1:14" ht="15" customHeight="1" x14ac:dyDescent="0.25">
      <c r="A107" s="126">
        <v>46135</v>
      </c>
      <c r="B107" s="277" t="s">
        <v>148</v>
      </c>
      <c r="C107" s="114">
        <v>1117</v>
      </c>
      <c r="D107" s="212"/>
      <c r="E107" s="212"/>
      <c r="F107" s="213" t="s">
        <v>152</v>
      </c>
      <c r="G107" s="214">
        <v>24</v>
      </c>
      <c r="H107" s="214" t="s">
        <v>29</v>
      </c>
      <c r="I107" s="130">
        <f>1583.86/24</f>
        <v>65.994166666666658</v>
      </c>
      <c r="J107" s="117">
        <f t="shared" si="13"/>
        <v>1583.8599999999997</v>
      </c>
      <c r="K107" s="130"/>
      <c r="L107" s="130"/>
      <c r="M107" s="118">
        <f t="shared" si="14"/>
        <v>1583.8599999999997</v>
      </c>
      <c r="N107" s="153"/>
    </row>
    <row r="108" spans="1:14" ht="15" customHeight="1" x14ac:dyDescent="0.25">
      <c r="A108" s="126">
        <v>46135</v>
      </c>
      <c r="B108" s="277" t="s">
        <v>148</v>
      </c>
      <c r="C108" s="114">
        <v>1117</v>
      </c>
      <c r="D108" s="212"/>
      <c r="E108" s="212"/>
      <c r="F108" s="213" t="s">
        <v>153</v>
      </c>
      <c r="G108" s="214">
        <v>36</v>
      </c>
      <c r="H108" s="214" t="s">
        <v>29</v>
      </c>
      <c r="I108" s="130">
        <f>1354.97/36</f>
        <v>37.638055555555553</v>
      </c>
      <c r="J108" s="117">
        <f t="shared" si="13"/>
        <v>1354.9699999999998</v>
      </c>
      <c r="K108" s="130"/>
      <c r="L108" s="130"/>
      <c r="M108" s="118">
        <f t="shared" si="14"/>
        <v>1354.9699999999998</v>
      </c>
      <c r="N108" s="153"/>
    </row>
    <row r="109" spans="1:14" ht="15" customHeight="1" x14ac:dyDescent="0.25">
      <c r="A109" s="126">
        <v>46135</v>
      </c>
      <c r="B109" s="277" t="s">
        <v>148</v>
      </c>
      <c r="C109" s="114">
        <v>1117</v>
      </c>
      <c r="D109" s="212"/>
      <c r="E109" s="212"/>
      <c r="F109" s="213" t="s">
        <v>154</v>
      </c>
      <c r="G109" s="214">
        <v>24</v>
      </c>
      <c r="H109" s="214" t="s">
        <v>29</v>
      </c>
      <c r="I109" s="215">
        <f>957.17/24</f>
        <v>39.882083333333334</v>
      </c>
      <c r="J109" s="117">
        <f t="shared" si="13"/>
        <v>957.17000000000007</v>
      </c>
      <c r="K109" s="130"/>
      <c r="L109" s="130"/>
      <c r="M109" s="118">
        <f t="shared" si="14"/>
        <v>957.17000000000007</v>
      </c>
      <c r="N109" s="153"/>
    </row>
    <row r="110" spans="1:14" ht="15" customHeight="1" x14ac:dyDescent="0.25">
      <c r="A110" s="126">
        <v>46135</v>
      </c>
      <c r="B110" s="277" t="s">
        <v>155</v>
      </c>
      <c r="C110" s="114">
        <v>1118</v>
      </c>
      <c r="D110" s="212"/>
      <c r="E110" s="212"/>
      <c r="F110" s="213" t="s">
        <v>156</v>
      </c>
      <c r="G110" s="214">
        <v>12</v>
      </c>
      <c r="H110" s="214" t="s">
        <v>29</v>
      </c>
      <c r="I110" s="215">
        <v>41.25</v>
      </c>
      <c r="J110" s="117">
        <f t="shared" si="13"/>
        <v>495</v>
      </c>
      <c r="K110" s="130"/>
      <c r="L110" s="130"/>
      <c r="M110" s="118">
        <f t="shared" ref="M110" si="15">+J110-K110-L110</f>
        <v>495</v>
      </c>
      <c r="N110" s="153"/>
    </row>
    <row r="111" spans="1:14" ht="15" customHeight="1" x14ac:dyDescent="0.25">
      <c r="A111" s="126">
        <v>46135</v>
      </c>
      <c r="B111" s="277" t="s">
        <v>155</v>
      </c>
      <c r="C111" s="114">
        <v>1118</v>
      </c>
      <c r="D111" s="212"/>
      <c r="E111" s="212"/>
      <c r="F111" s="213" t="s">
        <v>157</v>
      </c>
      <c r="G111" s="214">
        <v>2</v>
      </c>
      <c r="H111" s="214" t="s">
        <v>29</v>
      </c>
      <c r="I111" s="215">
        <v>1638</v>
      </c>
      <c r="J111" s="117">
        <f t="shared" si="13"/>
        <v>3276</v>
      </c>
      <c r="K111" s="130"/>
      <c r="L111" s="130"/>
      <c r="M111" s="118">
        <f t="shared" ref="M111:M112" si="16">+J111-K111-L111</f>
        <v>3276</v>
      </c>
      <c r="N111" s="153"/>
    </row>
    <row r="112" spans="1:14" ht="15" customHeight="1" x14ac:dyDescent="0.25">
      <c r="A112" s="126">
        <v>46135</v>
      </c>
      <c r="B112" s="277" t="s">
        <v>155</v>
      </c>
      <c r="C112" s="114">
        <v>1118</v>
      </c>
      <c r="D112" s="212"/>
      <c r="E112" s="212"/>
      <c r="F112" s="213" t="s">
        <v>158</v>
      </c>
      <c r="G112" s="214">
        <v>4</v>
      </c>
      <c r="H112" s="214" t="s">
        <v>29</v>
      </c>
      <c r="I112" s="215">
        <v>148.25</v>
      </c>
      <c r="J112" s="117">
        <f t="shared" si="13"/>
        <v>593</v>
      </c>
      <c r="K112" s="130"/>
      <c r="L112" s="130"/>
      <c r="M112" s="118">
        <f t="shared" si="16"/>
        <v>593</v>
      </c>
      <c r="N112" s="153"/>
    </row>
    <row r="113" spans="1:14" ht="15" customHeight="1" x14ac:dyDescent="0.25">
      <c r="A113" s="126">
        <v>46135</v>
      </c>
      <c r="B113" s="277" t="s">
        <v>155</v>
      </c>
      <c r="C113" s="114">
        <v>1118</v>
      </c>
      <c r="D113" s="212"/>
      <c r="E113" s="212"/>
      <c r="F113" s="213" t="s">
        <v>159</v>
      </c>
      <c r="G113" s="214">
        <v>24</v>
      </c>
      <c r="H113" s="214" t="s">
        <v>29</v>
      </c>
      <c r="I113" s="215">
        <v>42.75</v>
      </c>
      <c r="J113" s="117">
        <f t="shared" si="13"/>
        <v>1026</v>
      </c>
      <c r="K113" s="130">
        <v>161.69</v>
      </c>
      <c r="L113" s="130"/>
      <c r="M113" s="118">
        <f t="shared" ref="M113:M134" si="17">+J113-K113-L113</f>
        <v>864.31</v>
      </c>
      <c r="N113" s="153"/>
    </row>
    <row r="114" spans="1:14" ht="15" customHeight="1" x14ac:dyDescent="0.25">
      <c r="A114" s="126">
        <v>46135</v>
      </c>
      <c r="B114" s="277" t="s">
        <v>41</v>
      </c>
      <c r="C114" s="114">
        <v>1119</v>
      </c>
      <c r="D114" s="212"/>
      <c r="E114" s="212"/>
      <c r="F114" s="213" t="s">
        <v>160</v>
      </c>
      <c r="G114" s="214">
        <v>16</v>
      </c>
      <c r="H114" s="214" t="s">
        <v>29</v>
      </c>
      <c r="I114" s="215">
        <v>140</v>
      </c>
      <c r="J114" s="117">
        <f t="shared" si="13"/>
        <v>2240</v>
      </c>
      <c r="K114" s="130">
        <v>89.6</v>
      </c>
      <c r="L114" s="130">
        <v>78.290000000000006</v>
      </c>
      <c r="M114" s="118">
        <f t="shared" si="17"/>
        <v>2072.11</v>
      </c>
      <c r="N114" s="153"/>
    </row>
    <row r="115" spans="1:14" ht="15" customHeight="1" x14ac:dyDescent="0.25">
      <c r="A115" s="126">
        <v>46139</v>
      </c>
      <c r="B115" s="277" t="s">
        <v>114</v>
      </c>
      <c r="C115" s="114">
        <v>1121</v>
      </c>
      <c r="D115" s="212"/>
      <c r="E115" s="212"/>
      <c r="F115" s="213" t="s">
        <v>30</v>
      </c>
      <c r="G115" s="214">
        <v>8</v>
      </c>
      <c r="H115" s="214" t="s">
        <v>164</v>
      </c>
      <c r="I115" s="215">
        <v>85</v>
      </c>
      <c r="J115" s="117">
        <f t="shared" si="13"/>
        <v>680</v>
      </c>
      <c r="K115" s="130"/>
      <c r="L115" s="130"/>
      <c r="M115" s="118">
        <f t="shared" si="17"/>
        <v>680</v>
      </c>
      <c r="N115" s="153"/>
    </row>
    <row r="116" spans="1:14" ht="15" customHeight="1" x14ac:dyDescent="0.25">
      <c r="A116" s="126">
        <v>46139</v>
      </c>
      <c r="B116" s="277" t="s">
        <v>114</v>
      </c>
      <c r="C116" s="114">
        <v>1121</v>
      </c>
      <c r="D116" s="212"/>
      <c r="E116" s="212"/>
      <c r="F116" s="213" t="s">
        <v>53</v>
      </c>
      <c r="G116" s="214">
        <v>1</v>
      </c>
      <c r="H116" s="214" t="s">
        <v>164</v>
      </c>
      <c r="I116" s="215">
        <v>73.2</v>
      </c>
      <c r="J116" s="117">
        <f t="shared" si="13"/>
        <v>73.2</v>
      </c>
      <c r="K116" s="130"/>
      <c r="L116" s="130"/>
      <c r="M116" s="118">
        <f t="shared" si="17"/>
        <v>73.2</v>
      </c>
      <c r="N116" s="153"/>
    </row>
    <row r="117" spans="1:14" ht="15" customHeight="1" x14ac:dyDescent="0.25">
      <c r="A117" s="126">
        <v>46139</v>
      </c>
      <c r="B117" s="277" t="s">
        <v>114</v>
      </c>
      <c r="C117" s="114">
        <v>1121</v>
      </c>
      <c r="D117" s="212"/>
      <c r="E117" s="212"/>
      <c r="F117" s="213" t="s">
        <v>161</v>
      </c>
      <c r="G117" s="214">
        <v>1</v>
      </c>
      <c r="H117" s="214" t="s">
        <v>164</v>
      </c>
      <c r="I117" s="215">
        <v>98.2</v>
      </c>
      <c r="J117" s="117">
        <f t="shared" si="13"/>
        <v>98.2</v>
      </c>
      <c r="K117" s="130"/>
      <c r="L117" s="130"/>
      <c r="M117" s="118">
        <f t="shared" si="17"/>
        <v>98.2</v>
      </c>
      <c r="N117" s="153"/>
    </row>
    <row r="118" spans="1:14" ht="15" customHeight="1" x14ac:dyDescent="0.25">
      <c r="A118" s="126">
        <v>46139</v>
      </c>
      <c r="B118" s="277" t="s">
        <v>114</v>
      </c>
      <c r="C118" s="114">
        <v>1121</v>
      </c>
      <c r="D118" s="212"/>
      <c r="E118" s="212"/>
      <c r="F118" s="213" t="s">
        <v>162</v>
      </c>
      <c r="G118" s="214">
        <v>2</v>
      </c>
      <c r="H118" s="214" t="s">
        <v>164</v>
      </c>
      <c r="I118" s="215">
        <v>125</v>
      </c>
      <c r="J118" s="117">
        <f t="shared" si="13"/>
        <v>250</v>
      </c>
      <c r="K118" s="130"/>
      <c r="L118" s="130"/>
      <c r="M118" s="118">
        <f t="shared" si="17"/>
        <v>250</v>
      </c>
      <c r="N118" s="153"/>
    </row>
    <row r="119" spans="1:14" ht="15" customHeight="1" x14ac:dyDescent="0.25">
      <c r="A119" s="126">
        <v>46139</v>
      </c>
      <c r="B119" s="277" t="s">
        <v>114</v>
      </c>
      <c r="C119" s="114">
        <v>1121</v>
      </c>
      <c r="D119" s="212"/>
      <c r="E119" s="212"/>
      <c r="F119" s="213" t="s">
        <v>163</v>
      </c>
      <c r="G119" s="214">
        <v>2</v>
      </c>
      <c r="H119" s="214" t="s">
        <v>164</v>
      </c>
      <c r="I119" s="215">
        <v>75.45</v>
      </c>
      <c r="J119" s="117">
        <f t="shared" si="13"/>
        <v>150.9</v>
      </c>
      <c r="K119" s="130"/>
      <c r="L119" s="117"/>
      <c r="M119" s="118">
        <f t="shared" si="17"/>
        <v>150.9</v>
      </c>
      <c r="N119" s="153"/>
    </row>
    <row r="120" spans="1:14" ht="15" customHeight="1" x14ac:dyDescent="0.25">
      <c r="A120" s="126">
        <v>46139</v>
      </c>
      <c r="B120" s="277" t="s">
        <v>114</v>
      </c>
      <c r="C120" s="114">
        <v>1121</v>
      </c>
      <c r="D120" s="212"/>
      <c r="E120" s="212"/>
      <c r="F120" s="213" t="s">
        <v>32</v>
      </c>
      <c r="G120" s="214">
        <v>3</v>
      </c>
      <c r="H120" s="214" t="s">
        <v>29</v>
      </c>
      <c r="I120" s="215">
        <v>56.35</v>
      </c>
      <c r="J120" s="117">
        <f t="shared" si="13"/>
        <v>169.05</v>
      </c>
      <c r="K120" s="130"/>
      <c r="L120" s="117">
        <v>512.85</v>
      </c>
      <c r="M120" s="118">
        <f t="shared" si="17"/>
        <v>-343.8</v>
      </c>
      <c r="N120" s="153"/>
    </row>
    <row r="121" spans="1:14" ht="15" customHeight="1" x14ac:dyDescent="0.25">
      <c r="A121" s="126">
        <v>46139</v>
      </c>
      <c r="B121" s="277" t="s">
        <v>105</v>
      </c>
      <c r="C121" s="114">
        <v>1122</v>
      </c>
      <c r="D121" s="212"/>
      <c r="E121" s="212"/>
      <c r="F121" s="213" t="s">
        <v>165</v>
      </c>
      <c r="G121" s="214">
        <v>48</v>
      </c>
      <c r="H121" s="214" t="s">
        <v>29</v>
      </c>
      <c r="I121" s="215">
        <v>32.86</v>
      </c>
      <c r="J121" s="117">
        <f t="shared" si="13"/>
        <v>1577.28</v>
      </c>
      <c r="K121" s="130">
        <v>31.55</v>
      </c>
      <c r="L121" s="117"/>
      <c r="M121" s="118">
        <f t="shared" si="17"/>
        <v>1545.73</v>
      </c>
      <c r="N121" s="153"/>
    </row>
    <row r="122" spans="1:14" x14ac:dyDescent="0.25">
      <c r="A122" s="126">
        <v>46141</v>
      </c>
      <c r="B122" s="277" t="s">
        <v>181</v>
      </c>
      <c r="C122" s="114">
        <v>1123</v>
      </c>
      <c r="D122" s="212"/>
      <c r="E122" s="212"/>
      <c r="F122" s="213" t="s">
        <v>182</v>
      </c>
      <c r="G122" s="214">
        <v>20</v>
      </c>
      <c r="H122" s="214" t="s">
        <v>29</v>
      </c>
      <c r="I122" s="215">
        <f>170.55/20</f>
        <v>8.5274999999999999</v>
      </c>
      <c r="J122" s="117">
        <f t="shared" si="13"/>
        <v>170.55</v>
      </c>
      <c r="K122" s="130"/>
      <c r="L122" s="117"/>
      <c r="M122" s="118">
        <f t="shared" si="17"/>
        <v>170.55</v>
      </c>
      <c r="N122" s="153"/>
    </row>
    <row r="123" spans="1:14" x14ac:dyDescent="0.25">
      <c r="A123" s="126">
        <v>46141</v>
      </c>
      <c r="B123" s="277" t="s">
        <v>181</v>
      </c>
      <c r="C123" s="114">
        <v>1123</v>
      </c>
      <c r="D123" s="212"/>
      <c r="E123" s="212"/>
      <c r="F123" s="213" t="s">
        <v>183</v>
      </c>
      <c r="G123" s="214">
        <v>20</v>
      </c>
      <c r="H123" s="214" t="s">
        <v>29</v>
      </c>
      <c r="I123" s="215">
        <f>163.98/20</f>
        <v>8.1989999999999998</v>
      </c>
      <c r="J123" s="117">
        <f t="shared" si="13"/>
        <v>163.98</v>
      </c>
      <c r="K123" s="130"/>
      <c r="L123" s="117"/>
      <c r="M123" s="118">
        <f t="shared" si="17"/>
        <v>163.98</v>
      </c>
      <c r="N123" s="153"/>
    </row>
    <row r="124" spans="1:14" x14ac:dyDescent="0.25">
      <c r="A124" s="126">
        <v>46141</v>
      </c>
      <c r="B124" s="277" t="s">
        <v>181</v>
      </c>
      <c r="C124" s="114">
        <v>1123</v>
      </c>
      <c r="D124" s="212"/>
      <c r="E124" s="212"/>
      <c r="F124" s="213" t="s">
        <v>184</v>
      </c>
      <c r="G124" s="214">
        <v>6</v>
      </c>
      <c r="H124" s="214" t="s">
        <v>29</v>
      </c>
      <c r="I124" s="215">
        <f>324.32/6</f>
        <v>54.053333333333335</v>
      </c>
      <c r="J124" s="117">
        <f t="shared" si="13"/>
        <v>324.32</v>
      </c>
      <c r="K124" s="130"/>
      <c r="L124" s="117"/>
      <c r="M124" s="118">
        <f t="shared" si="17"/>
        <v>324.32</v>
      </c>
      <c r="N124" s="153"/>
    </row>
    <row r="125" spans="1:14" x14ac:dyDescent="0.25">
      <c r="A125" s="126">
        <v>46141</v>
      </c>
      <c r="B125" s="277" t="s">
        <v>181</v>
      </c>
      <c r="C125" s="114">
        <v>1123</v>
      </c>
      <c r="D125" s="212"/>
      <c r="E125" s="212"/>
      <c r="F125" s="213" t="s">
        <v>185</v>
      </c>
      <c r="G125" s="214">
        <v>6</v>
      </c>
      <c r="H125" s="214" t="s">
        <v>29</v>
      </c>
      <c r="I125" s="215">
        <f>410.81/6</f>
        <v>68.468333333333334</v>
      </c>
      <c r="J125" s="117">
        <f t="shared" si="13"/>
        <v>410.81</v>
      </c>
      <c r="K125" s="130"/>
      <c r="L125" s="117"/>
      <c r="M125" s="118">
        <f t="shared" si="17"/>
        <v>410.81</v>
      </c>
      <c r="N125" s="153"/>
    </row>
    <row r="126" spans="1:14" x14ac:dyDescent="0.25">
      <c r="A126" s="126">
        <v>46141</v>
      </c>
      <c r="B126" s="277" t="s">
        <v>181</v>
      </c>
      <c r="C126" s="114">
        <v>1123</v>
      </c>
      <c r="D126" s="212"/>
      <c r="E126" s="212"/>
      <c r="F126" s="213" t="s">
        <v>186</v>
      </c>
      <c r="G126" s="214">
        <v>12</v>
      </c>
      <c r="H126" s="214" t="s">
        <v>29</v>
      </c>
      <c r="I126" s="215">
        <f>360.42/12</f>
        <v>30.035</v>
      </c>
      <c r="J126" s="117">
        <f t="shared" si="13"/>
        <v>360.42</v>
      </c>
      <c r="K126" s="130"/>
      <c r="L126" s="117"/>
      <c r="M126" s="118">
        <f t="shared" si="17"/>
        <v>360.42</v>
      </c>
      <c r="N126" s="153"/>
    </row>
    <row r="127" spans="1:14" x14ac:dyDescent="0.25">
      <c r="A127" s="126">
        <v>46141</v>
      </c>
      <c r="B127" s="277" t="s">
        <v>181</v>
      </c>
      <c r="C127" s="114">
        <v>1123</v>
      </c>
      <c r="D127" s="212"/>
      <c r="E127" s="212"/>
      <c r="F127" s="213" t="s">
        <v>187</v>
      </c>
      <c r="G127" s="214">
        <v>20</v>
      </c>
      <c r="H127" s="214" t="s">
        <v>29</v>
      </c>
      <c r="I127" s="215">
        <f>255.38/20</f>
        <v>12.769</v>
      </c>
      <c r="J127" s="117">
        <f t="shared" si="13"/>
        <v>255.38</v>
      </c>
      <c r="K127" s="130"/>
      <c r="L127" s="117"/>
      <c r="M127" s="118">
        <f t="shared" si="17"/>
        <v>255.38</v>
      </c>
      <c r="N127" s="153"/>
    </row>
    <row r="128" spans="1:14" x14ac:dyDescent="0.25">
      <c r="A128" s="126">
        <v>46141</v>
      </c>
      <c r="B128" s="277" t="s">
        <v>181</v>
      </c>
      <c r="C128" s="114">
        <v>1123</v>
      </c>
      <c r="D128" s="212"/>
      <c r="E128" s="212"/>
      <c r="F128" s="213" t="s">
        <v>188</v>
      </c>
      <c r="G128" s="214">
        <v>20</v>
      </c>
      <c r="H128" s="214" t="s">
        <v>29</v>
      </c>
      <c r="I128" s="215">
        <f>255.38/20</f>
        <v>12.769</v>
      </c>
      <c r="J128" s="117">
        <f t="shared" si="13"/>
        <v>255.38</v>
      </c>
      <c r="K128" s="130"/>
      <c r="L128" s="117"/>
      <c r="M128" s="118">
        <f t="shared" si="17"/>
        <v>255.38</v>
      </c>
      <c r="N128" s="153"/>
    </row>
    <row r="129" spans="1:14" x14ac:dyDescent="0.25">
      <c r="A129" s="126">
        <v>46141</v>
      </c>
      <c r="B129" s="277" t="s">
        <v>181</v>
      </c>
      <c r="C129" s="114">
        <v>1123</v>
      </c>
      <c r="D129" s="212"/>
      <c r="E129" s="212"/>
      <c r="F129" s="213" t="s">
        <v>189</v>
      </c>
      <c r="G129" s="214">
        <v>12</v>
      </c>
      <c r="H129" s="214" t="s">
        <v>29</v>
      </c>
      <c r="I129" s="215">
        <f>480.73/12</f>
        <v>40.060833333333335</v>
      </c>
      <c r="J129" s="117">
        <f t="shared" si="13"/>
        <v>480.73</v>
      </c>
      <c r="K129" s="130"/>
      <c r="L129" s="117"/>
      <c r="M129" s="118">
        <f t="shared" si="17"/>
        <v>480.73</v>
      </c>
      <c r="N129" s="153"/>
    </row>
    <row r="130" spans="1:14" x14ac:dyDescent="0.25">
      <c r="A130" s="126">
        <v>46141</v>
      </c>
      <c r="B130" s="277" t="s">
        <v>181</v>
      </c>
      <c r="C130" s="114">
        <v>1123</v>
      </c>
      <c r="D130" s="212"/>
      <c r="E130" s="212"/>
      <c r="F130" s="213" t="s">
        <v>190</v>
      </c>
      <c r="G130" s="214">
        <v>12</v>
      </c>
      <c r="H130" s="214" t="s">
        <v>29</v>
      </c>
      <c r="I130" s="215">
        <f t="shared" ref="I130:I131" si="18">480.73/12</f>
        <v>40.060833333333335</v>
      </c>
      <c r="J130" s="117">
        <f t="shared" si="13"/>
        <v>480.73</v>
      </c>
      <c r="K130" s="130"/>
      <c r="L130" s="117"/>
      <c r="M130" s="118">
        <f t="shared" si="17"/>
        <v>480.73</v>
      </c>
      <c r="N130" s="153"/>
    </row>
    <row r="131" spans="1:14" x14ac:dyDescent="0.25">
      <c r="A131" s="126">
        <v>46141</v>
      </c>
      <c r="B131" s="277" t="s">
        <v>181</v>
      </c>
      <c r="C131" s="114">
        <v>1123</v>
      </c>
      <c r="D131" s="212"/>
      <c r="E131" s="212"/>
      <c r="F131" s="213" t="s">
        <v>191</v>
      </c>
      <c r="G131" s="214">
        <v>12</v>
      </c>
      <c r="H131" s="214" t="s">
        <v>29</v>
      </c>
      <c r="I131" s="215">
        <f t="shared" si="18"/>
        <v>40.060833333333335</v>
      </c>
      <c r="J131" s="117">
        <f t="shared" si="13"/>
        <v>480.73</v>
      </c>
      <c r="K131" s="130">
        <v>67.67</v>
      </c>
      <c r="L131" s="130"/>
      <c r="M131" s="118">
        <f t="shared" si="17"/>
        <v>413.06</v>
      </c>
      <c r="N131" s="153"/>
    </row>
    <row r="132" spans="1:14" x14ac:dyDescent="0.25">
      <c r="A132" s="126">
        <v>46141</v>
      </c>
      <c r="B132" s="277" t="s">
        <v>181</v>
      </c>
      <c r="C132" s="114">
        <v>1126</v>
      </c>
      <c r="D132" s="212"/>
      <c r="E132" s="212"/>
      <c r="F132" s="213" t="s">
        <v>192</v>
      </c>
      <c r="G132" s="214">
        <v>24</v>
      </c>
      <c r="H132" s="214" t="s">
        <v>29</v>
      </c>
      <c r="I132" s="215">
        <f>1405.5/24</f>
        <v>58.5625</v>
      </c>
      <c r="J132" s="117">
        <f t="shared" si="13"/>
        <v>1405.5</v>
      </c>
      <c r="K132" s="130"/>
      <c r="L132" s="130"/>
      <c r="M132" s="118">
        <f t="shared" si="17"/>
        <v>1405.5</v>
      </c>
      <c r="N132" s="153"/>
    </row>
    <row r="133" spans="1:14" x14ac:dyDescent="0.25">
      <c r="A133" s="126">
        <v>46141</v>
      </c>
      <c r="B133" s="277" t="s">
        <v>181</v>
      </c>
      <c r="C133" s="114">
        <v>1126</v>
      </c>
      <c r="D133" s="212"/>
      <c r="E133" s="212"/>
      <c r="F133" s="213" t="s">
        <v>193</v>
      </c>
      <c r="G133" s="214">
        <v>24</v>
      </c>
      <c r="H133" s="214" t="s">
        <v>29</v>
      </c>
      <c r="I133" s="215">
        <f>885.58/24</f>
        <v>36.899166666666666</v>
      </c>
      <c r="J133" s="117">
        <f t="shared" si="13"/>
        <v>885.57999999999993</v>
      </c>
      <c r="K133" s="130">
        <v>11.46</v>
      </c>
      <c r="L133" s="130"/>
      <c r="M133" s="118">
        <f t="shared" si="17"/>
        <v>874.11999999999989</v>
      </c>
      <c r="N133" s="153"/>
    </row>
    <row r="134" spans="1:14" x14ac:dyDescent="0.25">
      <c r="A134" s="126">
        <v>46141</v>
      </c>
      <c r="B134" s="277" t="s">
        <v>194</v>
      </c>
      <c r="C134" s="114">
        <v>1127</v>
      </c>
      <c r="D134" s="212"/>
      <c r="E134" s="212"/>
      <c r="F134" s="213" t="s">
        <v>195</v>
      </c>
      <c r="G134" s="214">
        <v>36</v>
      </c>
      <c r="H134" s="214" t="s">
        <v>29</v>
      </c>
      <c r="I134" s="215">
        <f>1500/36</f>
        <v>41.666666666666664</v>
      </c>
      <c r="J134" s="117">
        <f t="shared" si="13"/>
        <v>1500</v>
      </c>
      <c r="K134" s="130"/>
      <c r="L134" s="130"/>
      <c r="M134" s="118">
        <f t="shared" si="17"/>
        <v>1500</v>
      </c>
      <c r="N134" s="153"/>
    </row>
    <row r="135" spans="1:14" x14ac:dyDescent="0.25">
      <c r="A135" s="126">
        <v>46141</v>
      </c>
      <c r="B135" s="277" t="s">
        <v>194</v>
      </c>
      <c r="C135" s="114">
        <v>1127</v>
      </c>
      <c r="D135" s="212"/>
      <c r="E135" s="212"/>
      <c r="F135" s="213" t="s">
        <v>196</v>
      </c>
      <c r="G135" s="214">
        <v>2</v>
      </c>
      <c r="H135" s="214" t="s">
        <v>29</v>
      </c>
      <c r="I135" s="215">
        <v>135.44999999999999</v>
      </c>
      <c r="J135" s="117">
        <f t="shared" si="13"/>
        <v>270.89999999999998</v>
      </c>
      <c r="K135" s="130"/>
      <c r="L135" s="130"/>
      <c r="M135" s="118">
        <f t="shared" ref="M135:M142" si="19">+J135-K135-L135</f>
        <v>270.89999999999998</v>
      </c>
      <c r="N135" s="153"/>
    </row>
    <row r="136" spans="1:14" x14ac:dyDescent="0.25">
      <c r="A136" s="126">
        <v>46141</v>
      </c>
      <c r="B136" s="277" t="s">
        <v>194</v>
      </c>
      <c r="C136" s="114">
        <v>1127</v>
      </c>
      <c r="D136" s="212"/>
      <c r="E136" s="212"/>
      <c r="F136" s="213" t="s">
        <v>197</v>
      </c>
      <c r="G136" s="214">
        <v>2</v>
      </c>
      <c r="H136" s="214" t="s">
        <v>29</v>
      </c>
      <c r="I136" s="215">
        <v>135.44999999999999</v>
      </c>
      <c r="J136" s="117">
        <f t="shared" si="13"/>
        <v>270.89999999999998</v>
      </c>
      <c r="K136" s="130"/>
      <c r="L136" s="130"/>
      <c r="M136" s="118">
        <f t="shared" si="19"/>
        <v>270.89999999999998</v>
      </c>
      <c r="N136" s="153"/>
    </row>
    <row r="137" spans="1:14" x14ac:dyDescent="0.25">
      <c r="A137" s="126">
        <v>46141</v>
      </c>
      <c r="B137" s="277" t="s">
        <v>194</v>
      </c>
      <c r="C137" s="114">
        <v>1127</v>
      </c>
      <c r="D137" s="212"/>
      <c r="E137" s="212"/>
      <c r="F137" s="213" t="s">
        <v>198</v>
      </c>
      <c r="G137" s="214">
        <v>3</v>
      </c>
      <c r="H137" s="214" t="s">
        <v>29</v>
      </c>
      <c r="I137" s="215">
        <f>163.67/3</f>
        <v>54.556666666666665</v>
      </c>
      <c r="J137" s="117">
        <f t="shared" si="13"/>
        <v>163.66999999999999</v>
      </c>
      <c r="K137" s="130"/>
      <c r="L137" s="130"/>
      <c r="M137" s="118">
        <f t="shared" si="19"/>
        <v>163.66999999999999</v>
      </c>
      <c r="N137" s="153"/>
    </row>
    <row r="138" spans="1:14" x14ac:dyDescent="0.25">
      <c r="A138" s="126">
        <v>46141</v>
      </c>
      <c r="B138" s="277" t="s">
        <v>194</v>
      </c>
      <c r="C138" s="114">
        <v>1127</v>
      </c>
      <c r="D138" s="212"/>
      <c r="E138" s="212"/>
      <c r="F138" s="213" t="s">
        <v>199</v>
      </c>
      <c r="G138" s="214">
        <v>3</v>
      </c>
      <c r="H138" s="214" t="s">
        <v>29</v>
      </c>
      <c r="I138" s="215">
        <f>163.67/3</f>
        <v>54.556666666666665</v>
      </c>
      <c r="J138" s="117">
        <f t="shared" si="13"/>
        <v>163.66999999999999</v>
      </c>
      <c r="K138" s="130"/>
      <c r="L138" s="130"/>
      <c r="M138" s="118">
        <f t="shared" si="19"/>
        <v>163.66999999999999</v>
      </c>
      <c r="N138" s="153"/>
    </row>
    <row r="139" spans="1:14" x14ac:dyDescent="0.25">
      <c r="A139" s="126">
        <v>46141</v>
      </c>
      <c r="B139" s="277" t="s">
        <v>194</v>
      </c>
      <c r="C139" s="114">
        <v>1127</v>
      </c>
      <c r="D139" s="212"/>
      <c r="E139" s="212"/>
      <c r="F139" s="213" t="s">
        <v>200</v>
      </c>
      <c r="G139" s="214">
        <v>1</v>
      </c>
      <c r="H139" s="214" t="s">
        <v>164</v>
      </c>
      <c r="I139" s="215">
        <v>140.9</v>
      </c>
      <c r="J139" s="117">
        <f t="shared" si="13"/>
        <v>140.9</v>
      </c>
      <c r="K139" s="130"/>
      <c r="L139" s="130"/>
      <c r="M139" s="118">
        <f t="shared" si="19"/>
        <v>140.9</v>
      </c>
      <c r="N139" s="153"/>
    </row>
    <row r="140" spans="1:14" x14ac:dyDescent="0.25">
      <c r="A140" s="126">
        <v>46141</v>
      </c>
      <c r="B140" s="277" t="s">
        <v>194</v>
      </c>
      <c r="C140" s="114">
        <v>1127</v>
      </c>
      <c r="D140" s="212"/>
      <c r="E140" s="212"/>
      <c r="F140" s="213" t="s">
        <v>201</v>
      </c>
      <c r="G140" s="214">
        <v>2</v>
      </c>
      <c r="H140" s="214" t="s">
        <v>29</v>
      </c>
      <c r="I140" s="215">
        <f>281.79/2</f>
        <v>140.89500000000001</v>
      </c>
      <c r="J140" s="117">
        <f t="shared" si="13"/>
        <v>281.79000000000002</v>
      </c>
      <c r="K140" s="130"/>
      <c r="L140" s="130"/>
      <c r="M140" s="118">
        <f t="shared" si="19"/>
        <v>281.79000000000002</v>
      </c>
      <c r="N140" s="153"/>
    </row>
    <row r="141" spans="1:14" x14ac:dyDescent="0.25">
      <c r="A141" s="126">
        <v>46141</v>
      </c>
      <c r="B141" s="277" t="s">
        <v>194</v>
      </c>
      <c r="C141" s="114">
        <v>1127</v>
      </c>
      <c r="D141" s="212"/>
      <c r="E141" s="212"/>
      <c r="F141" s="213" t="s">
        <v>202</v>
      </c>
      <c r="G141" s="214">
        <v>2</v>
      </c>
      <c r="H141" s="214" t="s">
        <v>29</v>
      </c>
      <c r="I141" s="215">
        <f>281.79/2</f>
        <v>140.89500000000001</v>
      </c>
      <c r="J141" s="117">
        <f t="shared" si="13"/>
        <v>281.79000000000002</v>
      </c>
      <c r="K141" s="130"/>
      <c r="L141" s="130"/>
      <c r="M141" s="118">
        <f t="shared" si="19"/>
        <v>281.79000000000002</v>
      </c>
      <c r="N141" s="153"/>
    </row>
    <row r="142" spans="1:14" x14ac:dyDescent="0.25">
      <c r="A142" s="126">
        <v>46141</v>
      </c>
      <c r="B142" s="277" t="s">
        <v>194</v>
      </c>
      <c r="C142" s="114">
        <v>1127</v>
      </c>
      <c r="D142" s="212"/>
      <c r="E142" s="212"/>
      <c r="F142" s="213" t="s">
        <v>203</v>
      </c>
      <c r="G142" s="214">
        <v>2</v>
      </c>
      <c r="H142" s="214" t="s">
        <v>29</v>
      </c>
      <c r="I142" s="215">
        <f>281.79/2</f>
        <v>140.89500000000001</v>
      </c>
      <c r="J142" s="117">
        <f t="shared" si="13"/>
        <v>281.79000000000002</v>
      </c>
      <c r="K142" s="130"/>
      <c r="L142" s="130"/>
      <c r="M142" s="118">
        <f t="shared" si="19"/>
        <v>281.79000000000002</v>
      </c>
      <c r="N142" s="153"/>
    </row>
    <row r="143" spans="1:14" x14ac:dyDescent="0.25">
      <c r="A143" s="126">
        <v>46141</v>
      </c>
      <c r="B143" s="277" t="s">
        <v>194</v>
      </c>
      <c r="C143" s="114">
        <v>1127</v>
      </c>
      <c r="D143" s="212"/>
      <c r="E143" s="212"/>
      <c r="F143" s="213" t="s">
        <v>204</v>
      </c>
      <c r="G143" s="214">
        <v>24</v>
      </c>
      <c r="H143" s="214" t="s">
        <v>29</v>
      </c>
      <c r="I143" s="215">
        <v>18.2</v>
      </c>
      <c r="J143" s="117">
        <f t="shared" si="13"/>
        <v>436.79999999999995</v>
      </c>
      <c r="K143" s="130"/>
      <c r="L143" s="130"/>
      <c r="M143" s="118">
        <f t="shared" ref="M143:M144" si="20">+J143-K143-L143</f>
        <v>436.79999999999995</v>
      </c>
      <c r="N143" s="153"/>
    </row>
    <row r="144" spans="1:14" x14ac:dyDescent="0.25">
      <c r="A144" s="126">
        <v>46141</v>
      </c>
      <c r="B144" s="277" t="s">
        <v>194</v>
      </c>
      <c r="C144" s="114">
        <v>1127</v>
      </c>
      <c r="D144" s="212"/>
      <c r="E144" s="212"/>
      <c r="F144" s="213" t="s">
        <v>205</v>
      </c>
      <c r="G144" s="214">
        <v>48</v>
      </c>
      <c r="H144" s="214" t="s">
        <v>29</v>
      </c>
      <c r="I144" s="215">
        <v>18.2</v>
      </c>
      <c r="J144" s="117">
        <f t="shared" si="13"/>
        <v>873.59999999999991</v>
      </c>
      <c r="K144" s="130">
        <v>233.28</v>
      </c>
      <c r="L144" s="117">
        <v>60.05</v>
      </c>
      <c r="M144" s="118">
        <f t="shared" si="20"/>
        <v>580.27</v>
      </c>
      <c r="N144" s="153"/>
    </row>
    <row r="145" spans="1:14" x14ac:dyDescent="0.25">
      <c r="A145" s="126">
        <v>46141</v>
      </c>
      <c r="B145" s="277" t="s">
        <v>211</v>
      </c>
      <c r="C145" s="114">
        <v>1128</v>
      </c>
      <c r="D145" s="212"/>
      <c r="E145" s="212"/>
      <c r="F145" s="213" t="s">
        <v>212</v>
      </c>
      <c r="G145" s="214">
        <v>36</v>
      </c>
      <c r="H145" s="214" t="s">
        <v>29</v>
      </c>
      <c r="I145" s="215">
        <f>240/36</f>
        <v>6.666666666666667</v>
      </c>
      <c r="J145" s="117">
        <f t="shared" si="13"/>
        <v>240</v>
      </c>
      <c r="K145" s="130"/>
      <c r="L145" s="117"/>
      <c r="M145" s="118">
        <f t="shared" ref="M145:M167" si="21">+J145-K145-L145</f>
        <v>240</v>
      </c>
      <c r="N145" s="153"/>
    </row>
    <row r="146" spans="1:14" x14ac:dyDescent="0.25">
      <c r="A146" s="126">
        <v>46141</v>
      </c>
      <c r="B146" s="277" t="s">
        <v>211</v>
      </c>
      <c r="C146" s="114">
        <v>1128</v>
      </c>
      <c r="D146" s="212"/>
      <c r="E146" s="212"/>
      <c r="F146" s="213" t="s">
        <v>213</v>
      </c>
      <c r="G146" s="214">
        <v>50</v>
      </c>
      <c r="H146" s="214" t="s">
        <v>29</v>
      </c>
      <c r="I146" s="215">
        <v>12.56</v>
      </c>
      <c r="J146" s="117">
        <f t="shared" si="13"/>
        <v>628</v>
      </c>
      <c r="K146" s="130"/>
      <c r="L146" s="117"/>
      <c r="M146" s="118">
        <f t="shared" si="21"/>
        <v>628</v>
      </c>
      <c r="N146" s="153"/>
    </row>
    <row r="147" spans="1:14" x14ac:dyDescent="0.25">
      <c r="A147" s="126">
        <v>46141</v>
      </c>
      <c r="B147" s="277" t="s">
        <v>211</v>
      </c>
      <c r="C147" s="114">
        <v>1128</v>
      </c>
      <c r="D147" s="212"/>
      <c r="E147" s="212"/>
      <c r="F147" s="213" t="s">
        <v>214</v>
      </c>
      <c r="G147" s="214">
        <v>50</v>
      </c>
      <c r="H147" s="214" t="s">
        <v>29</v>
      </c>
      <c r="I147" s="215">
        <f>633.2/50</f>
        <v>12.664000000000001</v>
      </c>
      <c r="J147" s="117">
        <f t="shared" si="13"/>
        <v>633.20000000000005</v>
      </c>
      <c r="K147" s="130"/>
      <c r="L147" s="130">
        <v>628</v>
      </c>
      <c r="M147" s="118">
        <f t="shared" si="21"/>
        <v>5.2000000000000455</v>
      </c>
      <c r="N147" s="153"/>
    </row>
    <row r="148" spans="1:14" x14ac:dyDescent="0.25">
      <c r="A148" s="126">
        <v>46141</v>
      </c>
      <c r="B148" s="277" t="s">
        <v>215</v>
      </c>
      <c r="C148" s="114">
        <v>1128</v>
      </c>
      <c r="D148" s="212"/>
      <c r="E148" s="212"/>
      <c r="F148" s="213" t="s">
        <v>216</v>
      </c>
      <c r="G148" s="214">
        <v>16</v>
      </c>
      <c r="H148" s="214" t="s">
        <v>29</v>
      </c>
      <c r="I148" s="215">
        <f>2008/16</f>
        <v>125.5</v>
      </c>
      <c r="J148" s="117">
        <f t="shared" si="13"/>
        <v>2008</v>
      </c>
      <c r="K148" s="130"/>
      <c r="L148" s="130"/>
      <c r="M148" s="118">
        <f t="shared" si="21"/>
        <v>2008</v>
      </c>
      <c r="N148" s="153"/>
    </row>
    <row r="149" spans="1:14" x14ac:dyDescent="0.25">
      <c r="A149" s="126">
        <v>46141</v>
      </c>
      <c r="B149" s="277" t="s">
        <v>215</v>
      </c>
      <c r="C149" s="114">
        <v>1128</v>
      </c>
      <c r="D149" s="212"/>
      <c r="E149" s="212"/>
      <c r="F149" s="213" t="s">
        <v>217</v>
      </c>
      <c r="G149" s="214">
        <v>24</v>
      </c>
      <c r="H149" s="214" t="s">
        <v>29</v>
      </c>
      <c r="I149" s="215">
        <f>429.6/24</f>
        <v>17.900000000000002</v>
      </c>
      <c r="J149" s="117">
        <f t="shared" si="13"/>
        <v>429.6</v>
      </c>
      <c r="K149" s="130"/>
      <c r="L149" s="130"/>
      <c r="M149" s="118">
        <f t="shared" si="21"/>
        <v>429.6</v>
      </c>
      <c r="N149" s="153"/>
    </row>
    <row r="150" spans="1:14" x14ac:dyDescent="0.25">
      <c r="A150" s="126">
        <v>46141</v>
      </c>
      <c r="B150" s="277" t="s">
        <v>114</v>
      </c>
      <c r="C150" s="114">
        <v>1128</v>
      </c>
      <c r="D150" s="212"/>
      <c r="E150" s="212"/>
      <c r="F150" s="213" t="s">
        <v>161</v>
      </c>
      <c r="G150" s="214">
        <v>1</v>
      </c>
      <c r="H150" s="214" t="s">
        <v>29</v>
      </c>
      <c r="I150" s="215">
        <v>97.95</v>
      </c>
      <c r="J150" s="117">
        <f t="shared" si="13"/>
        <v>97.95</v>
      </c>
      <c r="K150" s="130"/>
      <c r="L150" s="130"/>
      <c r="M150" s="118">
        <f t="shared" si="21"/>
        <v>97.95</v>
      </c>
      <c r="N150" s="153"/>
    </row>
    <row r="151" spans="1:14" x14ac:dyDescent="0.25">
      <c r="A151" s="126">
        <v>46141</v>
      </c>
      <c r="B151" s="277" t="s">
        <v>114</v>
      </c>
      <c r="C151" s="114">
        <v>1128</v>
      </c>
      <c r="D151" s="212"/>
      <c r="E151" s="212"/>
      <c r="F151" s="213" t="s">
        <v>163</v>
      </c>
      <c r="G151" s="214">
        <v>6</v>
      </c>
      <c r="H151" s="214" t="s">
        <v>29</v>
      </c>
      <c r="I151" s="215">
        <v>75</v>
      </c>
      <c r="J151" s="117">
        <f t="shared" si="13"/>
        <v>450</v>
      </c>
      <c r="K151" s="130"/>
      <c r="L151" s="130"/>
      <c r="M151" s="118">
        <f t="shared" si="21"/>
        <v>450</v>
      </c>
      <c r="N151" s="153"/>
    </row>
    <row r="152" spans="1:14" x14ac:dyDescent="0.25">
      <c r="A152" s="126">
        <v>46141</v>
      </c>
      <c r="B152" s="277" t="s">
        <v>114</v>
      </c>
      <c r="C152" s="114">
        <v>1128</v>
      </c>
      <c r="D152" s="212"/>
      <c r="E152" s="212"/>
      <c r="F152" s="213" t="s">
        <v>35</v>
      </c>
      <c r="G152" s="214">
        <v>2</v>
      </c>
      <c r="H152" s="214" t="s">
        <v>29</v>
      </c>
      <c r="I152" s="215">
        <v>65</v>
      </c>
      <c r="J152" s="117">
        <f t="shared" si="13"/>
        <v>130</v>
      </c>
      <c r="K152" s="130"/>
      <c r="L152" s="130"/>
      <c r="M152" s="118">
        <f t="shared" si="21"/>
        <v>130</v>
      </c>
      <c r="N152" s="153"/>
    </row>
    <row r="153" spans="1:14" x14ac:dyDescent="0.25">
      <c r="A153" s="126">
        <v>46141</v>
      </c>
      <c r="B153" s="277" t="s">
        <v>114</v>
      </c>
      <c r="C153" s="114">
        <v>1128</v>
      </c>
      <c r="D153" s="212"/>
      <c r="E153" s="212"/>
      <c r="F153" s="213" t="s">
        <v>42</v>
      </c>
      <c r="G153" s="214">
        <v>1</v>
      </c>
      <c r="H153" s="214" t="s">
        <v>29</v>
      </c>
      <c r="I153" s="215">
        <v>81.849999999999994</v>
      </c>
      <c r="J153" s="117">
        <f t="shared" si="13"/>
        <v>81.849999999999994</v>
      </c>
      <c r="K153" s="130"/>
      <c r="L153" s="130"/>
      <c r="M153" s="118">
        <f t="shared" si="21"/>
        <v>81.849999999999994</v>
      </c>
      <c r="N153" s="153"/>
    </row>
    <row r="154" spans="1:14" x14ac:dyDescent="0.25">
      <c r="A154" s="126">
        <v>46141</v>
      </c>
      <c r="B154" s="277" t="s">
        <v>114</v>
      </c>
      <c r="C154" s="114">
        <v>1128</v>
      </c>
      <c r="D154" s="212"/>
      <c r="E154" s="212"/>
      <c r="F154" s="213" t="s">
        <v>31</v>
      </c>
      <c r="G154" s="214">
        <v>2</v>
      </c>
      <c r="H154" s="214" t="s">
        <v>29</v>
      </c>
      <c r="I154" s="215">
        <v>41.48</v>
      </c>
      <c r="J154" s="117">
        <f t="shared" si="13"/>
        <v>82.96</v>
      </c>
      <c r="K154" s="130"/>
      <c r="L154" s="130"/>
      <c r="M154" s="118">
        <f t="shared" si="21"/>
        <v>82.96</v>
      </c>
      <c r="N154" s="153"/>
    </row>
    <row r="155" spans="1:14" x14ac:dyDescent="0.25">
      <c r="A155" s="126">
        <v>46141</v>
      </c>
      <c r="B155" s="277" t="s">
        <v>114</v>
      </c>
      <c r="C155" s="114">
        <v>1128</v>
      </c>
      <c r="D155" s="212"/>
      <c r="E155" s="212"/>
      <c r="F155" s="213" t="s">
        <v>218</v>
      </c>
      <c r="G155" s="214">
        <v>1</v>
      </c>
      <c r="H155" s="214" t="s">
        <v>164</v>
      </c>
      <c r="I155" s="215">
        <v>100</v>
      </c>
      <c r="J155" s="117">
        <f t="shared" si="13"/>
        <v>100</v>
      </c>
      <c r="K155" s="130"/>
      <c r="L155" s="130"/>
      <c r="M155" s="118">
        <f t="shared" ref="M155:M159" si="22">+J155-K155-L155</f>
        <v>100</v>
      </c>
      <c r="N155" s="153"/>
    </row>
    <row r="156" spans="1:14" x14ac:dyDescent="0.25">
      <c r="A156" s="126">
        <v>46141</v>
      </c>
      <c r="B156" s="277" t="s">
        <v>114</v>
      </c>
      <c r="C156" s="114">
        <v>1128</v>
      </c>
      <c r="D156" s="212"/>
      <c r="E156" s="212"/>
      <c r="F156" s="213" t="s">
        <v>219</v>
      </c>
      <c r="G156" s="214">
        <v>4</v>
      </c>
      <c r="H156" s="214" t="s">
        <v>164</v>
      </c>
      <c r="I156" s="215">
        <v>40.950000000000003</v>
      </c>
      <c r="J156" s="117">
        <f t="shared" si="13"/>
        <v>163.80000000000001</v>
      </c>
      <c r="K156" s="130"/>
      <c r="L156" s="130"/>
      <c r="M156" s="118">
        <f t="shared" si="22"/>
        <v>163.80000000000001</v>
      </c>
      <c r="N156" s="153"/>
    </row>
    <row r="157" spans="1:14" x14ac:dyDescent="0.25">
      <c r="A157" s="126">
        <v>46141</v>
      </c>
      <c r="B157" s="277" t="s">
        <v>114</v>
      </c>
      <c r="C157" s="114">
        <v>1128</v>
      </c>
      <c r="D157" s="212"/>
      <c r="E157" s="212"/>
      <c r="F157" s="213" t="s">
        <v>220</v>
      </c>
      <c r="G157" s="214">
        <v>2</v>
      </c>
      <c r="H157" s="214" t="s">
        <v>164</v>
      </c>
      <c r="I157" s="215">
        <v>169.1</v>
      </c>
      <c r="J157" s="117">
        <f t="shared" si="13"/>
        <v>338.2</v>
      </c>
      <c r="K157" s="130"/>
      <c r="L157" s="130"/>
      <c r="M157" s="118">
        <f t="shared" si="22"/>
        <v>338.2</v>
      </c>
      <c r="N157" s="153"/>
    </row>
    <row r="158" spans="1:14" x14ac:dyDescent="0.25">
      <c r="A158" s="126">
        <v>46141</v>
      </c>
      <c r="B158" s="277" t="s">
        <v>114</v>
      </c>
      <c r="C158" s="114">
        <v>1128</v>
      </c>
      <c r="D158" s="212"/>
      <c r="E158" s="212"/>
      <c r="F158" s="213" t="s">
        <v>221</v>
      </c>
      <c r="G158" s="214">
        <v>8</v>
      </c>
      <c r="H158" s="214" t="s">
        <v>29</v>
      </c>
      <c r="I158" s="215">
        <v>23.9</v>
      </c>
      <c r="J158" s="117">
        <f t="shared" si="13"/>
        <v>191.2</v>
      </c>
      <c r="K158" s="130"/>
      <c r="L158" s="130"/>
      <c r="M158" s="118">
        <f t="shared" si="22"/>
        <v>191.2</v>
      </c>
      <c r="N158" s="153"/>
    </row>
    <row r="159" spans="1:14" x14ac:dyDescent="0.25">
      <c r="A159" s="126">
        <v>46141</v>
      </c>
      <c r="B159" s="277" t="s">
        <v>114</v>
      </c>
      <c r="C159" s="114">
        <v>1128</v>
      </c>
      <c r="D159" s="212"/>
      <c r="E159" s="212"/>
      <c r="F159" s="213" t="s">
        <v>162</v>
      </c>
      <c r="G159" s="214">
        <v>1</v>
      </c>
      <c r="H159" s="214" t="s">
        <v>164</v>
      </c>
      <c r="I159" s="215">
        <v>125</v>
      </c>
      <c r="J159" s="117">
        <f t="shared" si="13"/>
        <v>125</v>
      </c>
      <c r="K159" s="130"/>
      <c r="L159" s="130">
        <v>257.88</v>
      </c>
      <c r="M159" s="118">
        <f t="shared" si="22"/>
        <v>-132.88</v>
      </c>
      <c r="N159" s="153"/>
    </row>
    <row r="160" spans="1:14" x14ac:dyDescent="0.25">
      <c r="A160" s="126">
        <v>46142</v>
      </c>
      <c r="B160" s="277" t="s">
        <v>114</v>
      </c>
      <c r="C160" s="114"/>
      <c r="D160" s="212"/>
      <c r="E160" s="212"/>
      <c r="F160" s="213" t="s">
        <v>40</v>
      </c>
      <c r="G160" s="214">
        <v>2</v>
      </c>
      <c r="H160" s="214" t="s">
        <v>164</v>
      </c>
      <c r="I160" s="215">
        <v>53.2</v>
      </c>
      <c r="J160" s="117">
        <f t="shared" si="13"/>
        <v>106.4</v>
      </c>
      <c r="K160" s="130"/>
      <c r="L160" s="130"/>
      <c r="M160" s="118">
        <f t="shared" ref="M160:M166" si="23">+J160-K160-L160</f>
        <v>106.4</v>
      </c>
      <c r="N160" s="153"/>
    </row>
    <row r="161" spans="1:14" x14ac:dyDescent="0.25">
      <c r="A161" s="126">
        <v>46142</v>
      </c>
      <c r="B161" s="277" t="s">
        <v>114</v>
      </c>
      <c r="C161" s="114"/>
      <c r="D161" s="212"/>
      <c r="E161" s="212"/>
      <c r="F161" s="213" t="s">
        <v>30</v>
      </c>
      <c r="G161" s="214">
        <v>1</v>
      </c>
      <c r="H161" s="214" t="s">
        <v>164</v>
      </c>
      <c r="I161" s="215">
        <v>77.3</v>
      </c>
      <c r="J161" s="117">
        <f t="shared" si="13"/>
        <v>77.3</v>
      </c>
      <c r="K161" s="130"/>
      <c r="L161" s="130"/>
      <c r="M161" s="118">
        <f t="shared" si="23"/>
        <v>77.3</v>
      </c>
      <c r="N161" s="153"/>
    </row>
    <row r="162" spans="1:14" x14ac:dyDescent="0.25">
      <c r="A162" s="126">
        <v>46142</v>
      </c>
      <c r="B162" s="277" t="s">
        <v>114</v>
      </c>
      <c r="C162" s="114"/>
      <c r="D162" s="212"/>
      <c r="E162" s="212"/>
      <c r="F162" s="213" t="s">
        <v>163</v>
      </c>
      <c r="G162" s="214">
        <v>4</v>
      </c>
      <c r="H162" s="214" t="s">
        <v>164</v>
      </c>
      <c r="I162" s="215">
        <v>68.3</v>
      </c>
      <c r="J162" s="117">
        <f t="shared" si="13"/>
        <v>273.2</v>
      </c>
      <c r="K162" s="130"/>
      <c r="L162" s="130"/>
      <c r="M162" s="118">
        <f t="shared" si="23"/>
        <v>273.2</v>
      </c>
      <c r="N162" s="153"/>
    </row>
    <row r="163" spans="1:14" x14ac:dyDescent="0.25">
      <c r="A163" s="126">
        <v>46142</v>
      </c>
      <c r="B163" s="277" t="s">
        <v>114</v>
      </c>
      <c r="C163" s="114"/>
      <c r="D163" s="212"/>
      <c r="E163" s="212"/>
      <c r="F163" s="213" t="s">
        <v>219</v>
      </c>
      <c r="G163" s="214">
        <v>4</v>
      </c>
      <c r="H163" s="214" t="s">
        <v>164</v>
      </c>
      <c r="I163" s="215">
        <v>37.25</v>
      </c>
      <c r="J163" s="117">
        <f t="shared" si="13"/>
        <v>149</v>
      </c>
      <c r="K163" s="130"/>
      <c r="L163" s="130"/>
      <c r="M163" s="118">
        <f t="shared" si="23"/>
        <v>149</v>
      </c>
      <c r="N163" s="153"/>
    </row>
    <row r="164" spans="1:14" x14ac:dyDescent="0.25">
      <c r="A164" s="126">
        <v>46142</v>
      </c>
      <c r="B164" s="277" t="s">
        <v>114</v>
      </c>
      <c r="C164" s="114"/>
      <c r="D164" s="212"/>
      <c r="E164" s="212"/>
      <c r="F164" s="213" t="s">
        <v>222</v>
      </c>
      <c r="G164" s="214">
        <v>2</v>
      </c>
      <c r="H164" s="214" t="s">
        <v>164</v>
      </c>
      <c r="I164" s="215">
        <v>49.1</v>
      </c>
      <c r="J164" s="117">
        <f t="shared" si="13"/>
        <v>98.2</v>
      </c>
      <c r="K164" s="130"/>
      <c r="L164" s="130"/>
      <c r="M164" s="118">
        <f t="shared" si="23"/>
        <v>98.2</v>
      </c>
      <c r="N164" s="153"/>
    </row>
    <row r="165" spans="1:14" x14ac:dyDescent="0.25">
      <c r="A165" s="126">
        <v>46142</v>
      </c>
      <c r="B165" s="277" t="s">
        <v>114</v>
      </c>
      <c r="C165" s="114"/>
      <c r="D165" s="212"/>
      <c r="E165" s="212"/>
      <c r="F165" s="213" t="s">
        <v>42</v>
      </c>
      <c r="G165" s="214">
        <v>1</v>
      </c>
      <c r="H165" s="214" t="s">
        <v>164</v>
      </c>
      <c r="I165" s="215">
        <v>76.55</v>
      </c>
      <c r="J165" s="117">
        <f t="shared" si="13"/>
        <v>76.55</v>
      </c>
      <c r="K165" s="130"/>
      <c r="L165" s="130">
        <v>183.8</v>
      </c>
      <c r="M165" s="118">
        <f t="shared" si="23"/>
        <v>-107.25000000000001</v>
      </c>
      <c r="N165" s="153"/>
    </row>
    <row r="166" spans="1:14" x14ac:dyDescent="0.25">
      <c r="A166" s="126"/>
      <c r="B166" s="277"/>
      <c r="C166" s="114"/>
      <c r="D166" s="212"/>
      <c r="E166" s="212"/>
      <c r="F166" s="213"/>
      <c r="G166" s="214"/>
      <c r="H166" s="214"/>
      <c r="I166" s="215"/>
      <c r="J166" s="117">
        <f t="shared" si="13"/>
        <v>0</v>
      </c>
      <c r="K166" s="130"/>
      <c r="L166" s="130"/>
      <c r="M166" s="118">
        <f t="shared" si="23"/>
        <v>0</v>
      </c>
      <c r="N166" s="153"/>
    </row>
    <row r="167" spans="1:14" ht="15" customHeight="1" thickBot="1" x14ac:dyDescent="0.3">
      <c r="A167" s="126"/>
      <c r="B167" s="277"/>
      <c r="C167" s="114"/>
      <c r="D167" s="212"/>
      <c r="E167" s="212"/>
      <c r="F167" s="213"/>
      <c r="G167" s="214"/>
      <c r="H167" s="214"/>
      <c r="I167" s="215"/>
      <c r="J167" s="117">
        <f t="shared" ref="J167" si="24">G167*I167</f>
        <v>0</v>
      </c>
      <c r="K167" s="130"/>
      <c r="L167" s="130"/>
      <c r="M167" s="118">
        <f t="shared" si="21"/>
        <v>0</v>
      </c>
      <c r="N167" s="153"/>
    </row>
    <row r="168" spans="1:14" ht="15.75" thickBot="1" x14ac:dyDescent="0.3">
      <c r="A168" s="216"/>
      <c r="B168" s="217"/>
      <c r="C168" s="218"/>
      <c r="D168" s="218"/>
      <c r="E168" s="219"/>
      <c r="F168" s="243"/>
      <c r="G168" s="244"/>
      <c r="H168" s="245"/>
      <c r="I168" s="246"/>
      <c r="J168" s="221">
        <f>SUM(J6:J167)</f>
        <v>621464.84000000008</v>
      </c>
      <c r="K168" s="220">
        <f>SUM(K6:K167)</f>
        <v>2751.1300000000006</v>
      </c>
      <c r="L168" s="221">
        <f>SUM(L6:L167)</f>
        <v>8364.2200000000012</v>
      </c>
      <c r="M168" s="222">
        <f>SUM(M6:M167)</f>
        <v>610349.49000000011</v>
      </c>
      <c r="N168" s="153"/>
    </row>
    <row r="169" spans="1:14" x14ac:dyDescent="0.25">
      <c r="A169" s="194"/>
      <c r="B169" s="189"/>
      <c r="C169" s="157"/>
      <c r="D169" s="157"/>
      <c r="E169" s="157"/>
      <c r="F169" s="191"/>
      <c r="G169" s="169"/>
      <c r="H169" s="164"/>
      <c r="J169" s="158"/>
      <c r="K169" s="158"/>
      <c r="L169" s="158"/>
      <c r="M169" s="158"/>
      <c r="N169" s="153"/>
    </row>
    <row r="170" spans="1:14" x14ac:dyDescent="0.25">
      <c r="A170" s="194"/>
      <c r="B170" s="189"/>
      <c r="C170" s="157"/>
      <c r="D170" s="157"/>
      <c r="E170" s="157"/>
      <c r="F170" s="191"/>
      <c r="G170" s="169"/>
      <c r="H170" s="164" t="s">
        <v>36</v>
      </c>
      <c r="J170" s="158"/>
      <c r="K170" s="158"/>
      <c r="L170" s="158"/>
      <c r="M170" s="158"/>
      <c r="N170" s="153"/>
    </row>
    <row r="171" spans="1:14" x14ac:dyDescent="0.25">
      <c r="A171" s="194"/>
      <c r="B171" s="189"/>
      <c r="C171" s="157"/>
      <c r="D171" s="157"/>
      <c r="E171" s="157"/>
      <c r="F171" s="191"/>
      <c r="G171" s="169"/>
      <c r="H171" s="164" t="s">
        <v>25</v>
      </c>
      <c r="J171" s="158"/>
      <c r="K171" s="158"/>
      <c r="L171" s="158"/>
      <c r="M171" s="158"/>
      <c r="N171" s="153"/>
    </row>
    <row r="172" spans="1:14" x14ac:dyDescent="0.25">
      <c r="A172" s="194"/>
      <c r="B172" s="189"/>
      <c r="C172" s="157"/>
      <c r="D172" s="157"/>
      <c r="E172" s="157"/>
      <c r="F172" s="191"/>
      <c r="G172" s="169"/>
      <c r="H172" s="159" t="s">
        <v>23</v>
      </c>
      <c r="J172" s="211">
        <v>621484.84</v>
      </c>
      <c r="K172" s="158"/>
      <c r="L172" s="158"/>
      <c r="M172" s="158"/>
      <c r="N172" s="153"/>
    </row>
    <row r="173" spans="1:14" x14ac:dyDescent="0.25">
      <c r="A173" s="194"/>
      <c r="B173" s="189"/>
      <c r="C173" s="157"/>
      <c r="D173" s="157"/>
      <c r="E173" s="157"/>
      <c r="F173" s="191"/>
      <c r="G173" s="169"/>
      <c r="H173" s="192"/>
      <c r="I173" s="158"/>
      <c r="J173" s="158">
        <f>J172-J169+J171+J170</f>
        <v>621484.84</v>
      </c>
      <c r="K173" s="158"/>
      <c r="L173" s="158"/>
      <c r="M173" s="158"/>
      <c r="N173" s="153"/>
    </row>
    <row r="174" spans="1:14" x14ac:dyDescent="0.25">
      <c r="A174" s="194"/>
      <c r="B174" s="189"/>
      <c r="C174" s="157"/>
      <c r="D174" s="157"/>
      <c r="E174" s="157"/>
      <c r="F174" s="191"/>
      <c r="G174" s="169"/>
      <c r="H174" s="192"/>
      <c r="I174" s="158"/>
      <c r="J174" s="158"/>
      <c r="K174" s="158"/>
      <c r="L174" s="158"/>
      <c r="M174" s="158"/>
      <c r="N174" s="153"/>
    </row>
    <row r="175" spans="1:14" x14ac:dyDescent="0.25">
      <c r="A175" s="194"/>
      <c r="B175" s="189"/>
      <c r="C175" s="157"/>
      <c r="D175" s="157"/>
      <c r="E175" s="157"/>
      <c r="F175" s="191"/>
      <c r="G175" s="169"/>
      <c r="H175" s="192"/>
      <c r="I175" s="158"/>
      <c r="J175" s="158"/>
      <c r="K175" s="158"/>
      <c r="L175" s="158"/>
      <c r="M175" s="158"/>
      <c r="N175" s="153"/>
    </row>
    <row r="176" spans="1:14" x14ac:dyDescent="0.25">
      <c r="A176" s="194"/>
      <c r="B176" s="189"/>
      <c r="C176" s="157"/>
      <c r="D176" s="157"/>
      <c r="E176" s="157"/>
      <c r="F176" s="191"/>
      <c r="G176" s="169"/>
      <c r="H176" s="192"/>
      <c r="I176" s="158"/>
      <c r="J176" s="158"/>
      <c r="K176" s="158"/>
      <c r="L176" s="158"/>
      <c r="M176" s="158"/>
      <c r="N176" s="153"/>
    </row>
    <row r="177" spans="1:14" x14ac:dyDescent="0.25">
      <c r="A177" s="194"/>
      <c r="B177" s="189"/>
      <c r="C177" s="157"/>
      <c r="D177" s="157"/>
      <c r="E177" s="157"/>
      <c r="F177" s="191"/>
      <c r="G177" s="169"/>
      <c r="H177" s="192"/>
      <c r="I177" s="158"/>
      <c r="J177" s="158"/>
      <c r="K177" s="158"/>
      <c r="L177" s="158"/>
      <c r="M177" s="158"/>
      <c r="N177" s="153"/>
    </row>
    <row r="178" spans="1:14" x14ac:dyDescent="0.25">
      <c r="A178" s="194"/>
      <c r="B178" s="189"/>
      <c r="C178" s="157"/>
      <c r="D178" s="157"/>
      <c r="E178" s="157"/>
      <c r="F178" s="191"/>
      <c r="G178" s="169"/>
      <c r="H178" s="192"/>
      <c r="I178" s="158"/>
      <c r="J178" s="158"/>
      <c r="K178" s="158"/>
      <c r="L178" s="158"/>
      <c r="M178" s="158"/>
      <c r="N178" s="153"/>
    </row>
    <row r="179" spans="1:14" x14ac:dyDescent="0.25">
      <c r="A179" s="194"/>
      <c r="B179" s="189"/>
      <c r="C179" s="157"/>
      <c r="D179" s="157"/>
      <c r="E179" s="157"/>
      <c r="F179" s="199"/>
      <c r="G179" s="200"/>
      <c r="H179" s="201"/>
      <c r="I179" s="202"/>
      <c r="J179" s="158"/>
      <c r="K179" s="158"/>
      <c r="L179" s="158"/>
      <c r="M179" s="158"/>
      <c r="N179" s="153"/>
    </row>
    <row r="180" spans="1:14" x14ac:dyDescent="0.25">
      <c r="A180" s="194"/>
      <c r="B180" s="189"/>
      <c r="C180" s="157"/>
      <c r="D180" s="157"/>
      <c r="E180" s="157"/>
      <c r="F180" s="199"/>
      <c r="G180" s="200"/>
      <c r="H180" s="201"/>
      <c r="I180" s="202"/>
      <c r="J180" s="158"/>
      <c r="K180" s="158"/>
      <c r="L180" s="158"/>
      <c r="M180" s="158"/>
      <c r="N180" s="153"/>
    </row>
    <row r="181" spans="1:14" x14ac:dyDescent="0.25">
      <c r="A181" s="194"/>
      <c r="B181" s="189"/>
      <c r="C181" s="157"/>
      <c r="D181" s="157"/>
      <c r="E181" s="157"/>
      <c r="F181" s="199"/>
      <c r="G181" s="200"/>
      <c r="H181" s="201"/>
      <c r="I181" s="202"/>
      <c r="J181" s="158"/>
      <c r="K181" s="158"/>
      <c r="L181" s="158"/>
      <c r="M181" s="158"/>
      <c r="N181" s="158"/>
    </row>
    <row r="182" spans="1:14" x14ac:dyDescent="0.25">
      <c r="A182" s="194"/>
      <c r="B182" s="189"/>
      <c r="C182" s="157"/>
      <c r="D182" s="157"/>
      <c r="E182" s="157"/>
      <c r="F182" s="199"/>
      <c r="G182" s="200"/>
      <c r="H182" s="201"/>
      <c r="I182" s="202"/>
      <c r="J182" s="158"/>
      <c r="K182" s="158"/>
      <c r="L182" s="158"/>
      <c r="M182" s="158"/>
      <c r="N182" s="158"/>
    </row>
    <row r="183" spans="1:14" x14ac:dyDescent="0.25">
      <c r="A183" s="194"/>
      <c r="B183" s="189"/>
      <c r="C183" s="154"/>
      <c r="D183" s="158"/>
      <c r="E183" s="203"/>
      <c r="F183" s="199"/>
      <c r="G183" s="200"/>
      <c r="H183" s="201"/>
      <c r="I183" s="202"/>
      <c r="J183" s="158"/>
      <c r="K183" s="158"/>
      <c r="L183" s="158"/>
      <c r="M183" s="158"/>
      <c r="N183" s="153"/>
    </row>
    <row r="184" spans="1:14" x14ac:dyDescent="0.25">
      <c r="A184" s="194"/>
      <c r="B184" s="189"/>
      <c r="C184" s="154"/>
      <c r="D184" s="204"/>
      <c r="E184" s="188"/>
      <c r="F184" s="199"/>
      <c r="G184" s="200"/>
      <c r="H184" s="201"/>
      <c r="I184" s="202"/>
      <c r="J184" s="158"/>
      <c r="K184" s="158"/>
      <c r="L184" s="158"/>
      <c r="M184" s="158"/>
      <c r="N184" s="153"/>
    </row>
    <row r="185" spans="1:14" x14ac:dyDescent="0.25">
      <c r="A185" s="194"/>
      <c r="B185" s="189"/>
      <c r="C185" s="154"/>
      <c r="D185" s="164"/>
      <c r="E185" s="165"/>
      <c r="F185" s="199"/>
      <c r="G185" s="200"/>
      <c r="H185" s="201"/>
      <c r="I185" s="202"/>
      <c r="J185" s="158"/>
      <c r="K185" s="158"/>
      <c r="L185" s="158"/>
      <c r="M185" s="158"/>
      <c r="N185" s="153"/>
    </row>
    <row r="186" spans="1:14" x14ac:dyDescent="0.25">
      <c r="A186" s="194"/>
      <c r="B186" s="189"/>
      <c r="C186" s="154"/>
      <c r="D186" s="164"/>
      <c r="E186" s="189"/>
      <c r="F186" s="199"/>
      <c r="G186" s="200"/>
      <c r="H186" s="201"/>
      <c r="I186" s="202"/>
      <c r="J186" s="166"/>
      <c r="K186" s="158"/>
      <c r="L186" s="158"/>
      <c r="M186" s="158"/>
      <c r="N186" s="153"/>
    </row>
    <row r="187" spans="1:14" x14ac:dyDescent="0.25">
      <c r="A187" s="194"/>
      <c r="B187" s="189"/>
      <c r="C187" s="154"/>
      <c r="D187" s="157"/>
      <c r="E187" s="191"/>
      <c r="F187" s="199"/>
      <c r="G187" s="200"/>
      <c r="H187" s="201"/>
      <c r="I187" s="202"/>
      <c r="J187" s="158"/>
      <c r="K187" s="158"/>
      <c r="L187" s="158"/>
      <c r="M187" s="158"/>
      <c r="N187" s="153"/>
    </row>
    <row r="188" spans="1:14" x14ac:dyDescent="0.25">
      <c r="A188" s="194"/>
      <c r="B188" s="189"/>
      <c r="C188" s="154"/>
      <c r="D188" s="157"/>
      <c r="E188" s="165"/>
      <c r="F188" s="199"/>
      <c r="G188" s="200"/>
      <c r="H188" s="201"/>
      <c r="I188" s="202"/>
      <c r="J188" s="158"/>
      <c r="K188" s="158"/>
      <c r="L188" s="158"/>
      <c r="M188" s="158"/>
      <c r="N188" s="153"/>
    </row>
    <row r="189" spans="1:14" x14ac:dyDescent="0.25">
      <c r="A189" s="194"/>
      <c r="B189" s="189"/>
      <c r="C189" s="154"/>
      <c r="D189" s="157"/>
      <c r="E189" s="203"/>
      <c r="F189" s="199"/>
      <c r="G189" s="200"/>
      <c r="H189" s="201"/>
      <c r="I189" s="202"/>
      <c r="J189" s="158"/>
      <c r="K189" s="158"/>
      <c r="L189" s="158"/>
      <c r="M189" s="158"/>
      <c r="N189" s="153"/>
    </row>
    <row r="190" spans="1:14" x14ac:dyDescent="0.25">
      <c r="A190" s="194"/>
      <c r="B190" s="189"/>
      <c r="C190" s="154"/>
      <c r="D190" s="157"/>
      <c r="E190" s="165"/>
      <c r="F190" s="191"/>
      <c r="G190" s="169"/>
      <c r="H190" s="192"/>
      <c r="I190" s="158"/>
      <c r="J190" s="158"/>
      <c r="K190" s="158"/>
      <c r="L190" s="158"/>
      <c r="M190" s="158"/>
      <c r="N190" s="153"/>
    </row>
    <row r="191" spans="1:14" x14ac:dyDescent="0.25">
      <c r="A191" s="194"/>
      <c r="B191" s="189"/>
      <c r="C191" s="160"/>
      <c r="D191" s="157"/>
      <c r="E191" s="157"/>
      <c r="F191" s="166"/>
      <c r="G191" s="170"/>
      <c r="H191" s="205"/>
      <c r="I191" s="158"/>
      <c r="J191" s="158"/>
      <c r="K191" s="158"/>
      <c r="L191" s="158"/>
      <c r="M191" s="158"/>
      <c r="N191" s="153"/>
    </row>
    <row r="192" spans="1:14" x14ac:dyDescent="0.25">
      <c r="A192" s="194"/>
      <c r="B192" s="189"/>
      <c r="C192" s="154"/>
      <c r="D192" s="157"/>
      <c r="E192" s="157"/>
      <c r="F192" s="164"/>
      <c r="G192" s="169"/>
      <c r="H192" s="166"/>
      <c r="I192" s="158"/>
      <c r="J192" s="158"/>
      <c r="K192" s="158"/>
      <c r="L192" s="158"/>
      <c r="M192" s="158"/>
      <c r="N192" s="153"/>
    </row>
    <row r="193" spans="1:14" x14ac:dyDescent="0.25">
      <c r="A193" s="194"/>
      <c r="B193" s="189"/>
      <c r="C193" s="161"/>
      <c r="D193" s="157"/>
      <c r="E193" s="157"/>
      <c r="F193" s="203"/>
      <c r="G193" s="169"/>
      <c r="H193" s="192"/>
      <c r="I193" s="167"/>
      <c r="J193" s="158"/>
      <c r="K193" s="158"/>
      <c r="L193" s="158"/>
      <c r="M193" s="158"/>
      <c r="N193" s="153"/>
    </row>
    <row r="194" spans="1:14" x14ac:dyDescent="0.25">
      <c r="A194" s="194"/>
      <c r="B194" s="189"/>
      <c r="C194" s="162"/>
      <c r="D194" s="157"/>
      <c r="E194" s="165"/>
      <c r="F194" s="191"/>
      <c r="G194" s="169"/>
      <c r="H194" s="192"/>
      <c r="I194" s="158"/>
      <c r="J194" s="158"/>
      <c r="K194" s="158"/>
      <c r="L194" s="158"/>
      <c r="M194" s="158"/>
      <c r="N194" s="153"/>
    </row>
    <row r="195" spans="1:14" x14ac:dyDescent="0.25">
      <c r="A195" s="194"/>
      <c r="B195" s="189"/>
      <c r="C195" s="163"/>
      <c r="D195" s="157"/>
      <c r="E195" s="157"/>
      <c r="F195" s="191"/>
      <c r="G195" s="169"/>
      <c r="H195" s="192"/>
      <c r="I195" s="158"/>
      <c r="J195" s="158"/>
      <c r="K195" s="158"/>
      <c r="L195" s="158"/>
      <c r="M195" s="158"/>
      <c r="N195" s="153"/>
    </row>
    <row r="196" spans="1:14" x14ac:dyDescent="0.25">
      <c r="A196" s="194"/>
      <c r="B196" s="189"/>
      <c r="C196" s="163"/>
      <c r="D196" s="157"/>
      <c r="E196" s="157"/>
      <c r="F196" s="191"/>
      <c r="G196" s="169"/>
      <c r="H196" s="192"/>
      <c r="I196" s="158"/>
      <c r="J196" s="158"/>
      <c r="K196" s="158"/>
      <c r="L196" s="158"/>
      <c r="M196" s="158"/>
      <c r="N196" s="153"/>
    </row>
    <row r="197" spans="1:14" x14ac:dyDescent="0.25">
      <c r="A197" s="194"/>
      <c r="B197" s="189"/>
      <c r="C197" s="154"/>
      <c r="D197" s="154"/>
      <c r="E197" s="154"/>
      <c r="F197" s="191"/>
      <c r="G197" s="168"/>
      <c r="H197" s="192"/>
      <c r="I197" s="153"/>
      <c r="J197" s="153"/>
      <c r="K197" s="153"/>
      <c r="L197" s="153"/>
      <c r="M197" s="159"/>
      <c r="N197" s="153"/>
    </row>
  </sheetData>
  <phoneticPr fontId="11" type="noConversion"/>
  <pageMargins left="0.7" right="0.7" top="0.75" bottom="0.75" header="0.3" footer="0.3"/>
  <pageSetup scale="55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17</v>
      </c>
    </row>
    <row r="3" spans="1:12" x14ac:dyDescent="0.25">
      <c r="A3" s="31" t="str">
        <f>+BIGASAN!A3</f>
        <v>MAY 2026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5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6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34"/>
  <sheetViews>
    <sheetView showGridLines="0" zoomScale="80" zoomScaleNormal="80" workbookViewId="0">
      <pane ySplit="5" topLeftCell="A6" activePane="bottomLeft" state="frozen"/>
      <selection activeCell="C27" sqref="C27"/>
      <selection pane="bottomLeft" activeCell="D22" sqref="D22"/>
    </sheetView>
  </sheetViews>
  <sheetFormatPr defaultColWidth="9.140625" defaultRowHeight="15" x14ac:dyDescent="0.25"/>
  <cols>
    <col min="1" max="1" width="16" style="26" customWidth="1"/>
    <col min="2" max="2" width="31.28515625" style="1" customWidth="1"/>
    <col min="3" max="3" width="10.42578125" style="40" customWidth="1"/>
    <col min="4" max="4" width="7.85546875" style="40" customWidth="1"/>
    <col min="5" max="5" width="37.140625" style="1" bestFit="1" customWidth="1"/>
    <col min="6" max="6" width="11.42578125" style="37" customWidth="1"/>
    <col min="7" max="7" width="13.5703125" style="21" customWidth="1"/>
    <col min="8" max="8" width="14.28515625" style="37" customWidth="1"/>
    <col min="9" max="9" width="18.5703125" style="37" customWidth="1"/>
    <col min="10" max="10" width="12.140625" style="37" customWidth="1"/>
    <col min="11" max="11" width="21.42578125" style="37" bestFit="1" customWidth="1"/>
    <col min="12" max="12" width="17.42578125" style="37" customWidth="1"/>
    <col min="13" max="13" width="45.140625" style="1" bestFit="1" customWidth="1"/>
    <col min="14" max="16384" width="9.140625" style="1"/>
  </cols>
  <sheetData>
    <row r="1" spans="1:13" x14ac:dyDescent="0.25">
      <c r="A1" s="45" t="s">
        <v>0</v>
      </c>
      <c r="B1" s="46"/>
      <c r="C1" s="47"/>
      <c r="D1" s="47"/>
      <c r="E1" s="46"/>
      <c r="F1" s="49"/>
      <c r="G1" s="48"/>
      <c r="H1" s="49"/>
      <c r="I1" s="49"/>
      <c r="J1" s="49"/>
      <c r="K1" s="49"/>
      <c r="L1" s="49"/>
      <c r="M1" s="46"/>
    </row>
    <row r="2" spans="1:13" x14ac:dyDescent="0.25">
      <c r="A2" s="45" t="s">
        <v>18</v>
      </c>
      <c r="B2" s="46"/>
      <c r="C2" s="47"/>
      <c r="D2" s="47"/>
      <c r="E2" s="46"/>
      <c r="F2" s="49"/>
      <c r="G2" s="48"/>
      <c r="H2" s="49"/>
      <c r="I2" s="49"/>
      <c r="J2" s="49"/>
      <c r="K2" s="49"/>
      <c r="L2" s="49"/>
      <c r="M2" s="46"/>
    </row>
    <row r="3" spans="1:13" x14ac:dyDescent="0.25">
      <c r="A3" s="45" t="str">
        <f>BIGASAN!A3</f>
        <v>MAY 2026</v>
      </c>
      <c r="B3" s="46"/>
      <c r="C3" s="47"/>
      <c r="D3" s="47"/>
      <c r="E3" s="46"/>
      <c r="F3" s="49"/>
      <c r="G3" s="48"/>
      <c r="H3" s="49"/>
      <c r="I3" s="49"/>
      <c r="J3" s="49"/>
      <c r="K3" s="49"/>
      <c r="L3" s="49"/>
      <c r="M3" s="46"/>
    </row>
    <row r="4" spans="1:13" ht="15.75" thickBot="1" x14ac:dyDescent="0.3">
      <c r="A4" s="51"/>
      <c r="B4" s="46"/>
      <c r="C4" s="47"/>
      <c r="D4" s="47"/>
      <c r="E4" s="46"/>
      <c r="F4" s="49"/>
      <c r="G4" s="48"/>
      <c r="H4" s="49"/>
      <c r="I4" s="49"/>
      <c r="J4" s="49"/>
      <c r="K4" s="49"/>
      <c r="L4" s="49"/>
      <c r="M4" s="46"/>
    </row>
    <row r="5" spans="1:13" s="2" customFormat="1" ht="30" x14ac:dyDescent="0.25">
      <c r="A5" s="78" t="s">
        <v>1</v>
      </c>
      <c r="B5" s="79" t="s">
        <v>2</v>
      </c>
      <c r="C5" s="80" t="s">
        <v>11</v>
      </c>
      <c r="D5" s="80" t="s">
        <v>12</v>
      </c>
      <c r="E5" s="79" t="s">
        <v>3</v>
      </c>
      <c r="F5" s="81" t="s">
        <v>4</v>
      </c>
      <c r="G5" s="79" t="s">
        <v>5</v>
      </c>
      <c r="H5" s="81" t="s">
        <v>6</v>
      </c>
      <c r="I5" s="81" t="s">
        <v>7</v>
      </c>
      <c r="J5" s="81" t="s">
        <v>8</v>
      </c>
      <c r="K5" s="81" t="s">
        <v>9</v>
      </c>
      <c r="L5" s="75" t="s">
        <v>10</v>
      </c>
      <c r="M5" s="57"/>
    </row>
    <row r="6" spans="1:13" x14ac:dyDescent="0.25">
      <c r="A6" s="102"/>
      <c r="B6" s="39"/>
      <c r="C6" s="85"/>
      <c r="D6" s="85"/>
      <c r="E6" s="7"/>
      <c r="F6" s="101"/>
      <c r="G6" s="23"/>
      <c r="H6" s="38"/>
      <c r="I6" s="43">
        <f t="shared" ref="I6:I9" si="0">F6*H6</f>
        <v>0</v>
      </c>
      <c r="J6" s="43"/>
      <c r="K6" s="43"/>
      <c r="L6" s="76">
        <f>I6-J6-K6</f>
        <v>0</v>
      </c>
      <c r="M6" s="112"/>
    </row>
    <row r="7" spans="1:13" x14ac:dyDescent="0.25">
      <c r="A7" s="102"/>
      <c r="B7" s="39"/>
      <c r="C7" s="85"/>
      <c r="D7" s="85"/>
      <c r="E7" s="7"/>
      <c r="F7" s="101"/>
      <c r="G7" s="23"/>
      <c r="H7" s="38"/>
      <c r="I7" s="43">
        <f t="shared" si="0"/>
        <v>0</v>
      </c>
      <c r="J7" s="43"/>
      <c r="K7" s="43"/>
      <c r="L7" s="76">
        <f t="shared" ref="L7:L9" si="1">I7-J7-K7</f>
        <v>0</v>
      </c>
      <c r="M7" s="112"/>
    </row>
    <row r="8" spans="1:13" x14ac:dyDescent="0.25">
      <c r="A8" s="102"/>
      <c r="B8" s="39"/>
      <c r="C8" s="85"/>
      <c r="D8" s="62"/>
      <c r="E8" s="61"/>
      <c r="F8" s="108"/>
      <c r="G8" s="109"/>
      <c r="H8" s="43"/>
      <c r="I8" s="43">
        <f t="shared" si="0"/>
        <v>0</v>
      </c>
      <c r="J8" s="43"/>
      <c r="K8" s="43"/>
      <c r="L8" s="76">
        <f t="shared" si="1"/>
        <v>0</v>
      </c>
      <c r="M8" s="46"/>
    </row>
    <row r="9" spans="1:13" ht="15.75" thickBot="1" x14ac:dyDescent="0.3">
      <c r="A9" s="110"/>
      <c r="B9" s="44"/>
      <c r="C9" s="111"/>
      <c r="D9" s="103"/>
      <c r="E9" s="86"/>
      <c r="F9" s="104"/>
      <c r="G9" s="105"/>
      <c r="H9" s="106"/>
      <c r="I9" s="106">
        <f t="shared" si="0"/>
        <v>0</v>
      </c>
      <c r="J9" s="106"/>
      <c r="K9" s="106"/>
      <c r="L9" s="107">
        <f t="shared" si="1"/>
        <v>0</v>
      </c>
      <c r="M9" s="46"/>
    </row>
    <row r="10" spans="1:13" ht="15.75" thickBot="1" x14ac:dyDescent="0.3">
      <c r="A10" s="95"/>
      <c r="B10" s="96"/>
      <c r="C10" s="97"/>
      <c r="D10" s="98"/>
      <c r="E10" s="128"/>
      <c r="F10" s="127"/>
      <c r="G10" s="100"/>
      <c r="H10" s="99"/>
      <c r="I10" s="99">
        <f>SUM(I6:I9)</f>
        <v>0</v>
      </c>
      <c r="J10" s="99">
        <f t="shared" ref="J10:L10" si="2">SUM(J6:J9)</f>
        <v>0</v>
      </c>
      <c r="K10" s="99">
        <f t="shared" si="2"/>
        <v>0</v>
      </c>
      <c r="L10" s="99">
        <f t="shared" si="2"/>
        <v>0</v>
      </c>
      <c r="M10" s="46"/>
    </row>
    <row r="11" spans="1:13" x14ac:dyDescent="0.25">
      <c r="A11" s="51"/>
      <c r="B11" s="46"/>
      <c r="C11" s="82"/>
      <c r="D11" s="82"/>
      <c r="E11" s="46"/>
      <c r="F11" s="77"/>
      <c r="G11" s="48"/>
      <c r="H11" s="77"/>
      <c r="I11" s="77"/>
      <c r="J11" s="77"/>
      <c r="K11" s="77"/>
      <c r="L11" s="77"/>
      <c r="M11" s="46"/>
    </row>
    <row r="12" spans="1:13" x14ac:dyDescent="0.25">
      <c r="A12" s="51"/>
      <c r="B12" s="46"/>
      <c r="C12" s="47"/>
      <c r="D12" s="47"/>
      <c r="E12" s="46"/>
      <c r="F12" s="49"/>
      <c r="G12" s="48"/>
      <c r="H12" s="49"/>
      <c r="I12" s="49"/>
      <c r="J12" s="49"/>
      <c r="K12" s="113" t="s">
        <v>22</v>
      </c>
      <c r="L12" s="113"/>
      <c r="M12" s="46"/>
    </row>
    <row r="13" spans="1:13" x14ac:dyDescent="0.25">
      <c r="A13" s="51"/>
      <c r="B13" s="46"/>
      <c r="C13" s="47"/>
      <c r="D13" s="47"/>
      <c r="E13" s="46"/>
      <c r="F13" s="49"/>
      <c r="G13" s="48"/>
      <c r="H13" s="49"/>
      <c r="I13" s="49"/>
      <c r="J13" s="49"/>
      <c r="K13" s="49"/>
      <c r="L13" s="49">
        <f>L10-L12</f>
        <v>0</v>
      </c>
      <c r="M13" s="46"/>
    </row>
    <row r="14" spans="1:13" x14ac:dyDescent="0.25">
      <c r="A14" s="51"/>
      <c r="B14" s="50"/>
      <c r="C14" s="47"/>
      <c r="D14" s="47"/>
      <c r="E14" s="46"/>
      <c r="G14" s="48"/>
      <c r="H14" s="49"/>
      <c r="I14" s="49"/>
      <c r="J14" s="49"/>
      <c r="K14" s="49"/>
      <c r="L14" s="49"/>
      <c r="M14" s="46"/>
    </row>
    <row r="15" spans="1:13" x14ac:dyDescent="0.25">
      <c r="A15" s="51"/>
      <c r="B15" s="50"/>
      <c r="C15" s="47"/>
      <c r="D15" s="49"/>
      <c r="E15" s="46"/>
      <c r="G15" s="48"/>
      <c r="H15" s="49"/>
      <c r="I15" s="49"/>
      <c r="J15" s="49"/>
      <c r="K15" s="49"/>
      <c r="L15" s="49"/>
      <c r="M15" s="46"/>
    </row>
    <row r="16" spans="1:13" x14ac:dyDescent="0.25">
      <c r="A16" s="51"/>
      <c r="B16" s="46"/>
      <c r="C16" s="47"/>
      <c r="D16" s="47"/>
      <c r="E16" s="46"/>
      <c r="F16" s="49"/>
      <c r="G16" s="48"/>
      <c r="H16" s="49"/>
      <c r="I16" s="49"/>
      <c r="J16" s="49"/>
      <c r="K16" s="49"/>
      <c r="L16" s="49"/>
      <c r="M16" s="46"/>
    </row>
    <row r="17" spans="1:13" x14ac:dyDescent="0.25">
      <c r="A17" s="51"/>
      <c r="B17" s="46"/>
      <c r="C17" s="47"/>
      <c r="D17" s="47"/>
      <c r="E17" s="46"/>
      <c r="F17" s="49"/>
      <c r="G17" s="48"/>
      <c r="H17" s="49"/>
      <c r="I17" s="49"/>
      <c r="J17" s="49"/>
      <c r="K17" s="49"/>
      <c r="L17" s="49"/>
      <c r="M17" s="46"/>
    </row>
    <row r="18" spans="1:13" x14ac:dyDescent="0.25">
      <c r="A18" s="51"/>
      <c r="B18" s="46"/>
      <c r="C18" s="47"/>
      <c r="D18" s="47"/>
      <c r="E18" s="46"/>
      <c r="F18" s="49"/>
      <c r="G18" s="48"/>
      <c r="H18" s="49"/>
      <c r="I18" s="49"/>
      <c r="J18" s="49"/>
      <c r="K18" s="49"/>
      <c r="L18" s="49"/>
      <c r="M18" s="46"/>
    </row>
    <row r="19" spans="1:13" x14ac:dyDescent="0.25">
      <c r="A19" s="51"/>
      <c r="B19" s="46"/>
      <c r="C19" s="47"/>
      <c r="D19" s="47"/>
      <c r="E19" s="46"/>
      <c r="F19" s="49"/>
      <c r="G19" s="48"/>
      <c r="H19" s="49"/>
      <c r="I19" s="49"/>
      <c r="J19" s="49"/>
      <c r="K19" s="49"/>
      <c r="L19" s="49"/>
      <c r="M19" s="46"/>
    </row>
    <row r="34" spans="6:6" x14ac:dyDescent="0.25">
      <c r="F34" s="49"/>
    </row>
  </sheetData>
  <phoneticPr fontId="11" type="noConversion"/>
  <pageMargins left="0.7" right="0.7" top="0.75" bottom="0.75" header="0.3" footer="0.3"/>
  <pageSetup scale="5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BIGASAN</vt:lpstr>
      <vt:lpstr>COKE TALAVERA</vt:lpstr>
      <vt:lpstr>CONVIE </vt:lpstr>
      <vt:lpstr>VALUE CHAIN</vt:lpstr>
      <vt:lpstr>WATERHOPE-TALAVERA</vt:lpstr>
      <vt:lpstr>'COKE TALAVERA'!Print_Area</vt:lpstr>
      <vt:lpstr>'CONVIE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AMPC</cp:lastModifiedBy>
  <cp:lastPrinted>2025-05-30T03:34:05Z</cp:lastPrinted>
  <dcterms:created xsi:type="dcterms:W3CDTF">2017-09-25T08:57:41Z</dcterms:created>
  <dcterms:modified xsi:type="dcterms:W3CDTF">2026-06-16T06:54:17Z</dcterms:modified>
</cp:coreProperties>
</file>