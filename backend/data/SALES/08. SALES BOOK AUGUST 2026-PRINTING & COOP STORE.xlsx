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3 - BK FILES 2026\08 AUGUST 2026\PRINTING &amp; COOP STORE REPORT AUGUST 2026\01 PRINTING &amp; COOP STORE AUGUST 2026\"/>
    </mc:Choice>
  </mc:AlternateContent>
  <xr:revisionPtr revIDLastSave="0" documentId="13_ncr:1_{877638BF-BF51-4BE4-BDA9-A7861DC08AFD}" xr6:coauthVersionLast="47" xr6:coauthVersionMax="47" xr10:uidLastSave="{00000000-0000-0000-0000-000000000000}"/>
  <bookViews>
    <workbookView xWindow="-120" yWindow="-120" windowWidth="20730" windowHeight="11160" tabRatio="917" firstSheet="11" activeTab="15" xr2:uid="{00000000-000D-0000-FFFF-FFFF00000000}"/>
  </bookViews>
  <sheets>
    <sheet name="    " sheetId="1" state="hidden" r:id="rId1"/>
    <sheet name="JANUARY 2026" sheetId="77" r:id="rId2"/>
    <sheet name="FEBRUARY 2026" sheetId="76" r:id="rId3"/>
    <sheet name="MARCH 2026" sheetId="69" r:id="rId4"/>
    <sheet name="APRIL 2026" sheetId="78" r:id="rId5"/>
    <sheet name="MAY 2026-Printing" sheetId="79" r:id="rId6"/>
    <sheet name="MAY 2026-Convie" sheetId="80" r:id="rId7"/>
    <sheet name="May 2026- Unclaimed Raffle" sheetId="81" r:id="rId8"/>
    <sheet name="JUNE 2026-PRINTING" sheetId="83" r:id="rId9"/>
    <sheet name="JUNE 2026-Convie" sheetId="82" r:id="rId10"/>
    <sheet name="June 2026- Unclaimed Raffle" sheetId="84" r:id="rId11"/>
    <sheet name="JULY 2026-PRINTING" sheetId="85" r:id="rId12"/>
    <sheet name="JULY 2026-Convie" sheetId="86" r:id="rId13"/>
    <sheet name="July 2026- Unclaimed Raffle " sheetId="87" r:id="rId14"/>
    <sheet name="AUG 2026-PRINTING" sheetId="88" r:id="rId15"/>
    <sheet name="AUG 2026-Convie" sheetId="89" r:id="rId16"/>
    <sheet name="AUG 2026- Unclaimed Raffle" sheetId="90" r:id="rId17"/>
    <sheet name="Sheet2" sheetId="74" state="hidden" r:id="rId18"/>
    <sheet name="Sheet3" sheetId="75" state="hidden" r:id="rId19"/>
    <sheet name="WH GAPAN" sheetId="52" state="hidden" r:id="rId20"/>
  </sheets>
  <definedNames>
    <definedName name="_xlnm._FilterDatabase" localSheetId="4" hidden="1">'APRIL 2026'!$A$5:$M$156</definedName>
    <definedName name="_xlnm._FilterDatabase" localSheetId="15" hidden="1">'AUG 2026-Convie'!$A$5:$M$1398</definedName>
    <definedName name="_xlnm._FilterDatabase" localSheetId="2" hidden="1">'FEBRUARY 2026'!$A$5:$M$102</definedName>
    <definedName name="_xlnm._FilterDatabase" localSheetId="1" hidden="1">'JANUARY 2026'!$A$5:$M$102</definedName>
    <definedName name="_xlnm._FilterDatabase" localSheetId="12" hidden="1">'JULY 2026-Convie'!$A$5:$M$1398</definedName>
    <definedName name="_xlnm._FilterDatabase" localSheetId="9" hidden="1">'JUNE 2026-Convie'!$A$5:$M$1501</definedName>
    <definedName name="_xlnm._FilterDatabase" localSheetId="3" hidden="1">'MARCH 2026'!$A$5:$M$102</definedName>
    <definedName name="_xlnm._FilterDatabase" localSheetId="5" hidden="1">'MAY 2026-Printing'!$A$5:$M$153</definedName>
    <definedName name="_xlnm._FilterDatabase" localSheetId="19" hidden="1">'WH GAPAN'!$A$5:$L$879</definedName>
    <definedName name="_xlnm.Print_Area" localSheetId="4">'APRIL 2026'!$A$1:$K$159</definedName>
    <definedName name="_xlnm.Print_Area" localSheetId="2">'FEBRUARY 2026'!$A$1:$K$105</definedName>
    <definedName name="_xlnm.Print_Area" localSheetId="1">'JANUARY 2026'!$A$1:$K$105</definedName>
    <definedName name="_xlnm.Print_Area" localSheetId="3">'MARCH 2026'!$A$1:$K$105</definedName>
    <definedName name="_xlnm.Print_Area" localSheetId="5">'MAY 2026-Printing'!$A$1:$K$156</definedName>
    <definedName name="_xlnm.Print_Area" localSheetId="19">'WH GAPAN'!$A$5:$J$5</definedName>
  </definedNames>
  <calcPr calcId="181029"/>
</workbook>
</file>

<file path=xl/calcChain.xml><?xml version="1.0" encoding="utf-8"?>
<calcChain xmlns="http://schemas.openxmlformats.org/spreadsheetml/2006/main">
  <c r="L1397" i="89" l="1"/>
  <c r="H1067" i="89"/>
  <c r="K1067" i="89" s="1"/>
  <c r="H1068" i="89"/>
  <c r="K1068" i="89" s="1"/>
  <c r="H1069" i="89"/>
  <c r="K1069" i="89" s="1"/>
  <c r="H1070" i="89"/>
  <c r="K1070" i="89" s="1"/>
  <c r="H1071" i="89"/>
  <c r="K1071" i="89" s="1"/>
  <c r="H1072" i="89"/>
  <c r="K1072" i="89" s="1"/>
  <c r="H1073" i="89"/>
  <c r="K1073" i="89" s="1"/>
  <c r="H1074" i="89"/>
  <c r="K1074" i="89" s="1"/>
  <c r="H1075" i="89"/>
  <c r="K1075" i="89" s="1"/>
  <c r="H1076" i="89"/>
  <c r="K1076" i="89" s="1"/>
  <c r="H1077" i="89"/>
  <c r="K1077" i="89" s="1"/>
  <c r="H1078" i="89"/>
  <c r="K1078" i="89" s="1"/>
  <c r="H1079" i="89"/>
  <c r="K1079" i="89" s="1"/>
  <c r="H1080" i="89"/>
  <c r="K1080" i="89" s="1"/>
  <c r="H1081" i="89"/>
  <c r="K1081" i="89" s="1"/>
  <c r="H1082" i="89"/>
  <c r="K1082" i="89" s="1"/>
  <c r="H1083" i="89"/>
  <c r="K1083" i="89" s="1"/>
  <c r="H1084" i="89"/>
  <c r="K1084" i="89" s="1"/>
  <c r="H1085" i="89"/>
  <c r="K1085" i="89" s="1"/>
  <c r="H1086" i="89"/>
  <c r="K1086" i="89" s="1"/>
  <c r="H1087" i="89"/>
  <c r="K1087" i="89" s="1"/>
  <c r="H1088" i="89"/>
  <c r="K1088" i="89" s="1"/>
  <c r="H1089" i="89"/>
  <c r="K1089" i="89" s="1"/>
  <c r="H1090" i="89"/>
  <c r="K1090" i="89" s="1"/>
  <c r="H1091" i="89"/>
  <c r="K1091" i="89" s="1"/>
  <c r="H1092" i="89"/>
  <c r="K1092" i="89" s="1"/>
  <c r="H1093" i="89"/>
  <c r="K1093" i="89" s="1"/>
  <c r="H1094" i="89"/>
  <c r="K1094" i="89" s="1"/>
  <c r="H1095" i="89"/>
  <c r="K1095" i="89" s="1"/>
  <c r="H1096" i="89"/>
  <c r="K1096" i="89" s="1"/>
  <c r="H1097" i="89"/>
  <c r="K1097" i="89" s="1"/>
  <c r="H1098" i="89"/>
  <c r="K1098" i="89" s="1"/>
  <c r="H1099" i="89"/>
  <c r="K1099" i="89" s="1"/>
  <c r="H1100" i="89"/>
  <c r="K1100" i="89" s="1"/>
  <c r="H1101" i="89"/>
  <c r="K1101" i="89" s="1"/>
  <c r="H1102" i="89"/>
  <c r="K1102" i="89" s="1"/>
  <c r="H1103" i="89"/>
  <c r="K1103" i="89" s="1"/>
  <c r="H1104" i="89"/>
  <c r="K1104" i="89" s="1"/>
  <c r="H1105" i="89"/>
  <c r="K1105" i="89" s="1"/>
  <c r="H1106" i="89"/>
  <c r="K1106" i="89" s="1"/>
  <c r="H1107" i="89"/>
  <c r="K1107" i="89" s="1"/>
  <c r="H1108" i="89"/>
  <c r="K1108" i="89" s="1"/>
  <c r="H1109" i="89"/>
  <c r="K1109" i="89" s="1"/>
  <c r="H1110" i="89"/>
  <c r="K1110" i="89" s="1"/>
  <c r="H1111" i="89"/>
  <c r="K1111" i="89" s="1"/>
  <c r="H1112" i="89"/>
  <c r="K1112" i="89" s="1"/>
  <c r="H1113" i="89"/>
  <c r="K1113" i="89" s="1"/>
  <c r="H1114" i="89"/>
  <c r="K1114" i="89" s="1"/>
  <c r="H1115" i="89"/>
  <c r="K1115" i="89" s="1"/>
  <c r="H1116" i="89"/>
  <c r="K1116" i="89" s="1"/>
  <c r="H1117" i="89"/>
  <c r="K1117" i="89" s="1"/>
  <c r="H1118" i="89"/>
  <c r="K1118" i="89" s="1"/>
  <c r="H1119" i="89"/>
  <c r="K1119" i="89" s="1"/>
  <c r="H1120" i="89"/>
  <c r="K1120" i="89" s="1"/>
  <c r="H1121" i="89"/>
  <c r="K1121" i="89" s="1"/>
  <c r="H1122" i="89"/>
  <c r="K1122" i="89" s="1"/>
  <c r="H1123" i="89"/>
  <c r="K1123" i="89" s="1"/>
  <c r="H1124" i="89"/>
  <c r="K1124" i="89" s="1"/>
  <c r="H1125" i="89"/>
  <c r="K1125" i="89" s="1"/>
  <c r="H1126" i="89"/>
  <c r="K1126" i="89" s="1"/>
  <c r="H1127" i="89"/>
  <c r="K1127" i="89" s="1"/>
  <c r="H1128" i="89"/>
  <c r="K1128" i="89" s="1"/>
  <c r="H1129" i="89"/>
  <c r="K1129" i="89" s="1"/>
  <c r="H1130" i="89"/>
  <c r="K1130" i="89" s="1"/>
  <c r="H1131" i="89"/>
  <c r="K1131" i="89" s="1"/>
  <c r="H1132" i="89"/>
  <c r="K1132" i="89" s="1"/>
  <c r="H1133" i="89"/>
  <c r="K1133" i="89" s="1"/>
  <c r="H1134" i="89"/>
  <c r="K1134" i="89" s="1"/>
  <c r="H1135" i="89"/>
  <c r="K1135" i="89" s="1"/>
  <c r="H1136" i="89"/>
  <c r="K1136" i="89" s="1"/>
  <c r="H1137" i="89"/>
  <c r="K1137" i="89" s="1"/>
  <c r="H1138" i="89"/>
  <c r="K1138" i="89" s="1"/>
  <c r="H1139" i="89"/>
  <c r="K1139" i="89" s="1"/>
  <c r="H1140" i="89"/>
  <c r="K1140" i="89" s="1"/>
  <c r="H1141" i="89"/>
  <c r="K1141" i="89" s="1"/>
  <c r="H1142" i="89"/>
  <c r="K1142" i="89" s="1"/>
  <c r="H1143" i="89"/>
  <c r="K1143" i="89" s="1"/>
  <c r="H1144" i="89"/>
  <c r="K1144" i="89" s="1"/>
  <c r="H1145" i="89"/>
  <c r="K1145" i="89" s="1"/>
  <c r="H1146" i="89"/>
  <c r="K1146" i="89" s="1"/>
  <c r="H1147" i="89"/>
  <c r="K1147" i="89" s="1"/>
  <c r="H1148" i="89"/>
  <c r="K1148" i="89" s="1"/>
  <c r="H1149" i="89"/>
  <c r="K1149" i="89" s="1"/>
  <c r="H1150" i="89"/>
  <c r="K1150" i="89" s="1"/>
  <c r="H1151" i="89"/>
  <c r="K1151" i="89" s="1"/>
  <c r="H1152" i="89"/>
  <c r="K1152" i="89" s="1"/>
  <c r="H1153" i="89"/>
  <c r="K1153" i="89" s="1"/>
  <c r="H1154" i="89"/>
  <c r="K1154" i="89" s="1"/>
  <c r="H1155" i="89"/>
  <c r="K1155" i="89" s="1"/>
  <c r="H1156" i="89"/>
  <c r="K1156" i="89" s="1"/>
  <c r="H1157" i="89"/>
  <c r="K1157" i="89" s="1"/>
  <c r="H1158" i="89"/>
  <c r="K1158" i="89" s="1"/>
  <c r="H1159" i="89"/>
  <c r="K1159" i="89" s="1"/>
  <c r="H1160" i="89"/>
  <c r="K1160" i="89" s="1"/>
  <c r="H1161" i="89"/>
  <c r="K1161" i="89" s="1"/>
  <c r="H1162" i="89"/>
  <c r="K1162" i="89" s="1"/>
  <c r="H1163" i="89"/>
  <c r="K1163" i="89" s="1"/>
  <c r="H1164" i="89"/>
  <c r="K1164" i="89" s="1"/>
  <c r="H1165" i="89"/>
  <c r="K1165" i="89" s="1"/>
  <c r="H1166" i="89"/>
  <c r="K1166" i="89" s="1"/>
  <c r="H1167" i="89"/>
  <c r="K1167" i="89" s="1"/>
  <c r="H1168" i="89"/>
  <c r="K1168" i="89" s="1"/>
  <c r="H1169" i="89"/>
  <c r="K1169" i="89" s="1"/>
  <c r="H1170" i="89"/>
  <c r="K1170" i="89" s="1"/>
  <c r="H1171" i="89"/>
  <c r="K1171" i="89" s="1"/>
  <c r="H1172" i="89"/>
  <c r="K1172" i="89" s="1"/>
  <c r="H1173" i="89"/>
  <c r="K1173" i="89" s="1"/>
  <c r="H1174" i="89"/>
  <c r="K1174" i="89" s="1"/>
  <c r="H1175" i="89"/>
  <c r="K1175" i="89" s="1"/>
  <c r="H1176" i="89"/>
  <c r="K1176" i="89" s="1"/>
  <c r="H1177" i="89"/>
  <c r="K1177" i="89" s="1"/>
  <c r="H1178" i="89"/>
  <c r="K1178" i="89" s="1"/>
  <c r="H1179" i="89"/>
  <c r="K1179" i="89" s="1"/>
  <c r="H1180" i="89"/>
  <c r="K1180" i="89" s="1"/>
  <c r="H1181" i="89"/>
  <c r="K1181" i="89" s="1"/>
  <c r="H1182" i="89"/>
  <c r="K1182" i="89" s="1"/>
  <c r="H1183" i="89"/>
  <c r="K1183" i="89" s="1"/>
  <c r="H1184" i="89"/>
  <c r="K1184" i="89" s="1"/>
  <c r="H1185" i="89"/>
  <c r="K1185" i="89" s="1"/>
  <c r="H1186" i="89"/>
  <c r="K1186" i="89" s="1"/>
  <c r="H1187" i="89"/>
  <c r="K1187" i="89" s="1"/>
  <c r="H1188" i="89"/>
  <c r="K1188" i="89" s="1"/>
  <c r="H1189" i="89"/>
  <c r="K1189" i="89" s="1"/>
  <c r="H1190" i="89"/>
  <c r="K1190" i="89" s="1"/>
  <c r="H1191" i="89"/>
  <c r="K1191" i="89" s="1"/>
  <c r="H1192" i="89"/>
  <c r="K1192" i="89" s="1"/>
  <c r="H1193" i="89"/>
  <c r="K1193" i="89" s="1"/>
  <c r="H1194" i="89"/>
  <c r="K1194" i="89" s="1"/>
  <c r="H1195" i="89"/>
  <c r="K1195" i="89" s="1"/>
  <c r="H1196" i="89"/>
  <c r="K1196" i="89" s="1"/>
  <c r="H1197" i="89"/>
  <c r="K1197" i="89" s="1"/>
  <c r="H1198" i="89"/>
  <c r="K1198" i="89" s="1"/>
  <c r="H1199" i="89"/>
  <c r="K1199" i="89" s="1"/>
  <c r="H1200" i="89"/>
  <c r="K1200" i="89" s="1"/>
  <c r="H1201" i="89"/>
  <c r="K1201" i="89" s="1"/>
  <c r="H1202" i="89"/>
  <c r="K1202" i="89" s="1"/>
  <c r="H1203" i="89"/>
  <c r="K1203" i="89" s="1"/>
  <c r="H1204" i="89"/>
  <c r="K1204" i="89" s="1"/>
  <c r="H1205" i="89"/>
  <c r="K1205" i="89" s="1"/>
  <c r="H1206" i="89"/>
  <c r="K1206" i="89" s="1"/>
  <c r="H1207" i="89"/>
  <c r="K1207" i="89" s="1"/>
  <c r="H1208" i="89"/>
  <c r="K1208" i="89" s="1"/>
  <c r="H1209" i="89"/>
  <c r="K1209" i="89" s="1"/>
  <c r="H1210" i="89"/>
  <c r="K1210" i="89" s="1"/>
  <c r="H1211" i="89"/>
  <c r="K1211" i="89" s="1"/>
  <c r="H1212" i="89"/>
  <c r="K1212" i="89" s="1"/>
  <c r="H1213" i="89"/>
  <c r="K1213" i="89" s="1"/>
  <c r="H1214" i="89"/>
  <c r="K1214" i="89" s="1"/>
  <c r="H1215" i="89"/>
  <c r="K1215" i="89" s="1"/>
  <c r="H1216" i="89"/>
  <c r="K1216" i="89" s="1"/>
  <c r="H1217" i="89"/>
  <c r="K1217" i="89" s="1"/>
  <c r="H1218" i="89"/>
  <c r="K1218" i="89" s="1"/>
  <c r="H1219" i="89"/>
  <c r="K1219" i="89" s="1"/>
  <c r="H1220" i="89"/>
  <c r="K1220" i="89" s="1"/>
  <c r="H1221" i="89"/>
  <c r="K1221" i="89" s="1"/>
  <c r="H1222" i="89"/>
  <c r="K1222" i="89" s="1"/>
  <c r="H1223" i="89"/>
  <c r="K1223" i="89" s="1"/>
  <c r="H1224" i="89"/>
  <c r="K1224" i="89" s="1"/>
  <c r="H1225" i="89"/>
  <c r="K1225" i="89" s="1"/>
  <c r="H1226" i="89"/>
  <c r="K1226" i="89" s="1"/>
  <c r="H1227" i="89"/>
  <c r="K1227" i="89" s="1"/>
  <c r="H1228" i="89"/>
  <c r="K1228" i="89" s="1"/>
  <c r="H1229" i="89"/>
  <c r="K1229" i="89" s="1"/>
  <c r="H1230" i="89"/>
  <c r="K1230" i="89" s="1"/>
  <c r="H1231" i="89"/>
  <c r="K1231" i="89" s="1"/>
  <c r="H1232" i="89"/>
  <c r="K1232" i="89" s="1"/>
  <c r="H1233" i="89"/>
  <c r="K1233" i="89" s="1"/>
  <c r="H1234" i="89"/>
  <c r="K1234" i="89" s="1"/>
  <c r="H1235" i="89"/>
  <c r="K1235" i="89" s="1"/>
  <c r="H1236" i="89"/>
  <c r="K1236" i="89" s="1"/>
  <c r="H1237" i="89"/>
  <c r="K1237" i="89" s="1"/>
  <c r="H1238" i="89"/>
  <c r="K1238" i="89" s="1"/>
  <c r="H1239" i="89"/>
  <c r="K1239" i="89" s="1"/>
  <c r="H1240" i="89"/>
  <c r="K1240" i="89" s="1"/>
  <c r="H1241" i="89"/>
  <c r="K1241" i="89" s="1"/>
  <c r="H1242" i="89"/>
  <c r="K1242" i="89" s="1"/>
  <c r="H1243" i="89"/>
  <c r="K1243" i="89" s="1"/>
  <c r="H1244" i="89"/>
  <c r="K1244" i="89" s="1"/>
  <c r="H1245" i="89"/>
  <c r="K1245" i="89" s="1"/>
  <c r="H1246" i="89"/>
  <c r="K1246" i="89" s="1"/>
  <c r="H1247" i="89"/>
  <c r="K1247" i="89" s="1"/>
  <c r="H1248" i="89"/>
  <c r="K1248" i="89" s="1"/>
  <c r="H1249" i="89"/>
  <c r="K1249" i="89" s="1"/>
  <c r="H1250" i="89"/>
  <c r="K1250" i="89" s="1"/>
  <c r="H1251" i="89"/>
  <c r="K1251" i="89" s="1"/>
  <c r="H1252" i="89"/>
  <c r="K1252" i="89" s="1"/>
  <c r="H1253" i="89"/>
  <c r="K1253" i="89" s="1"/>
  <c r="H1254" i="89"/>
  <c r="K1254" i="89" s="1"/>
  <c r="H1255" i="89"/>
  <c r="K1255" i="89" s="1"/>
  <c r="H1256" i="89"/>
  <c r="K1256" i="89" s="1"/>
  <c r="H1257" i="89"/>
  <c r="K1257" i="89" s="1"/>
  <c r="H1258" i="89"/>
  <c r="K1258" i="89" s="1"/>
  <c r="H1259" i="89"/>
  <c r="K1259" i="89" s="1"/>
  <c r="H1260" i="89"/>
  <c r="K1260" i="89" s="1"/>
  <c r="H1261" i="89"/>
  <c r="K1261" i="89" s="1"/>
  <c r="H1262" i="89"/>
  <c r="K1262" i="89" s="1"/>
  <c r="H1263" i="89"/>
  <c r="K1263" i="89" s="1"/>
  <c r="H1264" i="89"/>
  <c r="K1264" i="89" s="1"/>
  <c r="H1265" i="89"/>
  <c r="K1265" i="89" s="1"/>
  <c r="H1266" i="89"/>
  <c r="K1266" i="89" s="1"/>
  <c r="H1267" i="89"/>
  <c r="K1267" i="89" s="1"/>
  <c r="H1268" i="89"/>
  <c r="K1268" i="89" s="1"/>
  <c r="H1269" i="89"/>
  <c r="K1269" i="89" s="1"/>
  <c r="H1270" i="89"/>
  <c r="K1270" i="89" s="1"/>
  <c r="H1271" i="89"/>
  <c r="K1271" i="89" s="1"/>
  <c r="H1272" i="89"/>
  <c r="K1272" i="89" s="1"/>
  <c r="H1273" i="89"/>
  <c r="K1273" i="89" s="1"/>
  <c r="H1274" i="89"/>
  <c r="K1274" i="89" s="1"/>
  <c r="H1275" i="89"/>
  <c r="K1275" i="89" s="1"/>
  <c r="H1276" i="89"/>
  <c r="K1276" i="89" s="1"/>
  <c r="H1277" i="89"/>
  <c r="K1277" i="89" s="1"/>
  <c r="H1278" i="89"/>
  <c r="K1278" i="89" s="1"/>
  <c r="H1279" i="89"/>
  <c r="K1279" i="89" s="1"/>
  <c r="H1280" i="89"/>
  <c r="K1280" i="89" s="1"/>
  <c r="H1281" i="89"/>
  <c r="K1281" i="89" s="1"/>
  <c r="H1282" i="89"/>
  <c r="K1282" i="89" s="1"/>
  <c r="H1283" i="89"/>
  <c r="K1283" i="89" s="1"/>
  <c r="H1284" i="89"/>
  <c r="K1284" i="89" s="1"/>
  <c r="H1285" i="89"/>
  <c r="K1285" i="89" s="1"/>
  <c r="H1286" i="89"/>
  <c r="K1286" i="89" s="1"/>
  <c r="H1287" i="89"/>
  <c r="K1287" i="89" s="1"/>
  <c r="H1288" i="89"/>
  <c r="K1288" i="89" s="1"/>
  <c r="H1289" i="89"/>
  <c r="K1289" i="89" s="1"/>
  <c r="H1290" i="89"/>
  <c r="K1290" i="89" s="1"/>
  <c r="H1291" i="89"/>
  <c r="K1291" i="89" s="1"/>
  <c r="H1292" i="89"/>
  <c r="K1292" i="89" s="1"/>
  <c r="H1293" i="89"/>
  <c r="K1293" i="89" s="1"/>
  <c r="H1294" i="89"/>
  <c r="K1294" i="89" s="1"/>
  <c r="H1295" i="89"/>
  <c r="K1295" i="89" s="1"/>
  <c r="H1296" i="89"/>
  <c r="K1296" i="89" s="1"/>
  <c r="H1297" i="89"/>
  <c r="K1297" i="89" s="1"/>
  <c r="H1298" i="89"/>
  <c r="K1298" i="89" s="1"/>
  <c r="H1299" i="89"/>
  <c r="K1299" i="89" s="1"/>
  <c r="H1300" i="89"/>
  <c r="K1300" i="89" s="1"/>
  <c r="H1301" i="89"/>
  <c r="K1301" i="89" s="1"/>
  <c r="H1302" i="89"/>
  <c r="K1302" i="89" s="1"/>
  <c r="H1303" i="89"/>
  <c r="K1303" i="89" s="1"/>
  <c r="H1304" i="89"/>
  <c r="K1304" i="89" s="1"/>
  <c r="H1305" i="89"/>
  <c r="K1305" i="89" s="1"/>
  <c r="H1306" i="89"/>
  <c r="K1306" i="89" s="1"/>
  <c r="H1307" i="89"/>
  <c r="K1307" i="89" s="1"/>
  <c r="H1308" i="89"/>
  <c r="K1308" i="89" s="1"/>
  <c r="H1309" i="89"/>
  <c r="K1309" i="89" s="1"/>
  <c r="H1310" i="89"/>
  <c r="K1310" i="89" s="1"/>
  <c r="H1311" i="89"/>
  <c r="K1311" i="89" s="1"/>
  <c r="H1312" i="89"/>
  <c r="K1312" i="89" s="1"/>
  <c r="H1313" i="89"/>
  <c r="K1313" i="89" s="1"/>
  <c r="H1314" i="89"/>
  <c r="K1314" i="89" s="1"/>
  <c r="H1315" i="89"/>
  <c r="K1315" i="89" s="1"/>
  <c r="H1316" i="89"/>
  <c r="K1316" i="89" s="1"/>
  <c r="H1317" i="89"/>
  <c r="K1317" i="89" s="1"/>
  <c r="H1318" i="89"/>
  <c r="K1318" i="89" s="1"/>
  <c r="H1319" i="89"/>
  <c r="K1319" i="89" s="1"/>
  <c r="I79" i="88"/>
  <c r="K79" i="88" s="1"/>
  <c r="L79" i="88"/>
  <c r="I80" i="88"/>
  <c r="K80" i="88" s="1"/>
  <c r="L80" i="88"/>
  <c r="I81" i="88"/>
  <c r="K81" i="88" s="1"/>
  <c r="L81" i="88"/>
  <c r="I82" i="88"/>
  <c r="K82" i="88" s="1"/>
  <c r="L82" i="88"/>
  <c r="I83" i="88"/>
  <c r="K83" i="88" s="1"/>
  <c r="L83" i="88"/>
  <c r="I84" i="88"/>
  <c r="K84" i="88" s="1"/>
  <c r="L84" i="88"/>
  <c r="I85" i="88"/>
  <c r="K85" i="88"/>
  <c r="L85" i="88"/>
  <c r="I86" i="88"/>
  <c r="K86" i="88" s="1"/>
  <c r="L86" i="88"/>
  <c r="I87" i="88"/>
  <c r="K87" i="88" s="1"/>
  <c r="L87" i="88"/>
  <c r="I88" i="88"/>
  <c r="K88" i="88" s="1"/>
  <c r="L88" i="88"/>
  <c r="I89" i="88"/>
  <c r="K89" i="88"/>
  <c r="L89" i="88"/>
  <c r="I90" i="88"/>
  <c r="K90" i="88" s="1"/>
  <c r="L90" i="88"/>
  <c r="I91" i="88"/>
  <c r="K91" i="88" s="1"/>
  <c r="L91" i="88"/>
  <c r="I92" i="88"/>
  <c r="K92" i="88" s="1"/>
  <c r="L92" i="88"/>
  <c r="I93" i="88"/>
  <c r="K93" i="88"/>
  <c r="L93" i="88"/>
  <c r="I94" i="88"/>
  <c r="K94" i="88" s="1"/>
  <c r="L94" i="88"/>
  <c r="I95" i="88"/>
  <c r="K95" i="88" s="1"/>
  <c r="L95" i="88"/>
  <c r="I96" i="88"/>
  <c r="K96" i="88" s="1"/>
  <c r="L96" i="88"/>
  <c r="I97" i="88"/>
  <c r="K97" i="88"/>
  <c r="L97" i="88"/>
  <c r="I98" i="88"/>
  <c r="K98" i="88" s="1"/>
  <c r="L98" i="88"/>
  <c r="I99" i="88"/>
  <c r="K99" i="88" s="1"/>
  <c r="L99" i="88"/>
  <c r="I100" i="88"/>
  <c r="K100" i="88" s="1"/>
  <c r="L100" i="88"/>
  <c r="I101" i="88"/>
  <c r="K101" i="88"/>
  <c r="L101" i="88"/>
  <c r="I102" i="88"/>
  <c r="K102" i="88" s="1"/>
  <c r="L102" i="88"/>
  <c r="I103" i="88"/>
  <c r="K103" i="88" s="1"/>
  <c r="L103" i="88"/>
  <c r="I104" i="88"/>
  <c r="K104" i="88" s="1"/>
  <c r="L104" i="88"/>
  <c r="I105" i="88"/>
  <c r="K105" i="88"/>
  <c r="L105" i="88"/>
  <c r="I106" i="88"/>
  <c r="K106" i="88" s="1"/>
  <c r="L106" i="88"/>
  <c r="I107" i="88"/>
  <c r="K107" i="88" s="1"/>
  <c r="L107" i="88"/>
  <c r="I108" i="88"/>
  <c r="K108" i="88" s="1"/>
  <c r="L108" i="88"/>
  <c r="I109" i="88"/>
  <c r="K109" i="88"/>
  <c r="L109" i="88"/>
  <c r="I110" i="88"/>
  <c r="K110" i="88" s="1"/>
  <c r="L110" i="88"/>
  <c r="I111" i="88"/>
  <c r="K111" i="88" s="1"/>
  <c r="L111" i="88"/>
  <c r="I112" i="88"/>
  <c r="K112" i="88" s="1"/>
  <c r="L112" i="88"/>
  <c r="I113" i="88"/>
  <c r="K113" i="88"/>
  <c r="L113" i="88"/>
  <c r="I114" i="88"/>
  <c r="K114" i="88" s="1"/>
  <c r="L114" i="88"/>
  <c r="I115" i="88"/>
  <c r="K115" i="88" s="1"/>
  <c r="L115" i="88"/>
  <c r="I116" i="88"/>
  <c r="K116" i="88" s="1"/>
  <c r="L116" i="88"/>
  <c r="I117" i="88"/>
  <c r="K117" i="88"/>
  <c r="L117" i="88"/>
  <c r="I118" i="88"/>
  <c r="K118" i="88" s="1"/>
  <c r="L118" i="88"/>
  <c r="I119" i="88"/>
  <c r="K119" i="88" s="1"/>
  <c r="L119" i="88"/>
  <c r="I120" i="88"/>
  <c r="K120" i="88" s="1"/>
  <c r="L120" i="88"/>
  <c r="I121" i="88"/>
  <c r="K121" i="88"/>
  <c r="L121" i="88"/>
  <c r="I122" i="88"/>
  <c r="K122" i="88" s="1"/>
  <c r="L122" i="88"/>
  <c r="I123" i="88"/>
  <c r="K123" i="88" s="1"/>
  <c r="L123" i="88"/>
  <c r="I124" i="88"/>
  <c r="K124" i="88" s="1"/>
  <c r="L124" i="88"/>
  <c r="I125" i="88"/>
  <c r="K125" i="88"/>
  <c r="L125" i="88"/>
  <c r="I126" i="88"/>
  <c r="K126" i="88" s="1"/>
  <c r="L126" i="88"/>
  <c r="I127" i="88"/>
  <c r="K127" i="88" s="1"/>
  <c r="L127" i="88"/>
  <c r="I128" i="88"/>
  <c r="K128" i="88" s="1"/>
  <c r="L128" i="88"/>
  <c r="I129" i="88"/>
  <c r="K129" i="88"/>
  <c r="L129" i="88"/>
  <c r="I130" i="88"/>
  <c r="K130" i="88" s="1"/>
  <c r="L130" i="88"/>
  <c r="I131" i="88"/>
  <c r="K131" i="88" s="1"/>
  <c r="L131" i="88"/>
  <c r="I132" i="88"/>
  <c r="K132" i="88" s="1"/>
  <c r="L132" i="88"/>
  <c r="I133" i="88"/>
  <c r="K133" i="88"/>
  <c r="L133" i="88"/>
  <c r="I134" i="88"/>
  <c r="K134" i="88" s="1"/>
  <c r="L134" i="88"/>
  <c r="I135" i="88"/>
  <c r="K135" i="88" s="1"/>
  <c r="L135" i="88"/>
  <c r="I136" i="88"/>
  <c r="K136" i="88" s="1"/>
  <c r="L136" i="88"/>
  <c r="I137" i="88"/>
  <c r="K137" i="88"/>
  <c r="L137" i="88"/>
  <c r="I138" i="88"/>
  <c r="K138" i="88" s="1"/>
  <c r="L138" i="88"/>
  <c r="I139" i="88"/>
  <c r="K139" i="88" s="1"/>
  <c r="L139" i="88"/>
  <c r="I140" i="88"/>
  <c r="K140" i="88" s="1"/>
  <c r="L140" i="88"/>
  <c r="I141" i="88"/>
  <c r="K141" i="88"/>
  <c r="L141" i="88"/>
  <c r="I142" i="88"/>
  <c r="K142" i="88" s="1"/>
  <c r="L142" i="88"/>
  <c r="I143" i="88"/>
  <c r="K143" i="88" s="1"/>
  <c r="L143" i="88"/>
  <c r="I144" i="88"/>
  <c r="K144" i="88" s="1"/>
  <c r="L144" i="88"/>
  <c r="I145" i="88"/>
  <c r="K145" i="88"/>
  <c r="L145" i="88"/>
  <c r="I146" i="88"/>
  <c r="K146" i="88" s="1"/>
  <c r="L146" i="88"/>
  <c r="I147" i="88"/>
  <c r="K147" i="88" s="1"/>
  <c r="L147" i="88"/>
  <c r="I148" i="88"/>
  <c r="K148" i="88" s="1"/>
  <c r="L148" i="88"/>
  <c r="I149" i="88"/>
  <c r="K149" i="88"/>
  <c r="L149" i="88"/>
  <c r="I150" i="88"/>
  <c r="K150" i="88" s="1"/>
  <c r="L150" i="88"/>
  <c r="I151" i="88"/>
  <c r="K151" i="88"/>
  <c r="L151" i="88"/>
  <c r="I152" i="88"/>
  <c r="K152" i="88" s="1"/>
  <c r="L152" i="88"/>
  <c r="I153" i="88"/>
  <c r="K153" i="88" s="1"/>
  <c r="L153" i="88"/>
  <c r="I154" i="88"/>
  <c r="K154" i="88"/>
  <c r="L154" i="88"/>
  <c r="I155" i="88"/>
  <c r="K155" i="88" s="1"/>
  <c r="L155" i="88"/>
  <c r="I156" i="88"/>
  <c r="K156" i="88" s="1"/>
  <c r="L156" i="88"/>
  <c r="I157" i="88"/>
  <c r="K157" i="88"/>
  <c r="L157" i="88"/>
  <c r="I158" i="88"/>
  <c r="K158" i="88" s="1"/>
  <c r="L158" i="88"/>
  <c r="I159" i="88"/>
  <c r="K159" i="88"/>
  <c r="L159" i="88"/>
  <c r="I160" i="88"/>
  <c r="K160" i="88" s="1"/>
  <c r="L160" i="88"/>
  <c r="I161" i="88"/>
  <c r="K161" i="88" s="1"/>
  <c r="L161" i="88"/>
  <c r="I162" i="88"/>
  <c r="K162" i="88"/>
  <c r="L162" i="88"/>
  <c r="I163" i="88"/>
  <c r="K163" i="88" s="1"/>
  <c r="L163" i="88"/>
  <c r="I164" i="88"/>
  <c r="K164" i="88" s="1"/>
  <c r="L164" i="88"/>
  <c r="I165" i="88"/>
  <c r="K165" i="88"/>
  <c r="L165" i="88"/>
  <c r="I166" i="88"/>
  <c r="K166" i="88" s="1"/>
  <c r="L166" i="88"/>
  <c r="I167" i="88"/>
  <c r="K167" i="88"/>
  <c r="L167" i="88"/>
  <c r="I168" i="88"/>
  <c r="K168" i="88" s="1"/>
  <c r="L168" i="88"/>
  <c r="I169" i="88"/>
  <c r="K169" i="88" s="1"/>
  <c r="L169" i="88"/>
  <c r="I170" i="88"/>
  <c r="K170" i="88"/>
  <c r="L170" i="88"/>
  <c r="I171" i="88"/>
  <c r="K171" i="88" s="1"/>
  <c r="L171" i="88"/>
  <c r="I172" i="88"/>
  <c r="K172" i="88" s="1"/>
  <c r="L172" i="88"/>
  <c r="I173" i="88"/>
  <c r="K173" i="88"/>
  <c r="L173" i="88"/>
  <c r="I174" i="88"/>
  <c r="K174" i="88" s="1"/>
  <c r="L174" i="88"/>
  <c r="I72" i="88"/>
  <c r="I73" i="88"/>
  <c r="I74" i="88"/>
  <c r="I75" i="88"/>
  <c r="I76" i="88"/>
  <c r="I77" i="88"/>
  <c r="I78" i="88"/>
  <c r="H1002" i="89" l="1"/>
  <c r="K1002" i="89" s="1"/>
  <c r="H1003" i="89"/>
  <c r="K1003" i="89" s="1"/>
  <c r="H1004" i="89"/>
  <c r="K1004" i="89" s="1"/>
  <c r="H1005" i="89"/>
  <c r="K1005" i="89" s="1"/>
  <c r="H1006" i="89"/>
  <c r="K1006" i="89" s="1"/>
  <c r="H1007" i="89"/>
  <c r="K1007" i="89" s="1"/>
  <c r="H1008" i="89"/>
  <c r="K1008" i="89" s="1"/>
  <c r="H1009" i="89"/>
  <c r="K1009" i="89" s="1"/>
  <c r="H1010" i="89"/>
  <c r="K1010" i="89" s="1"/>
  <c r="H1011" i="89"/>
  <c r="K1011" i="89" s="1"/>
  <c r="H1012" i="89"/>
  <c r="K1012" i="89" s="1"/>
  <c r="H1013" i="89"/>
  <c r="K1013" i="89" s="1"/>
  <c r="H1014" i="89"/>
  <c r="K1014" i="89" s="1"/>
  <c r="H1015" i="89"/>
  <c r="K1015" i="89" s="1"/>
  <c r="H1016" i="89"/>
  <c r="K1016" i="89" s="1"/>
  <c r="H1017" i="89"/>
  <c r="K1017" i="89" s="1"/>
  <c r="H1018" i="89"/>
  <c r="K1018" i="89" s="1"/>
  <c r="H1019" i="89"/>
  <c r="K1019" i="89" s="1"/>
  <c r="H1020" i="89"/>
  <c r="K1020" i="89" s="1"/>
  <c r="H1021" i="89"/>
  <c r="K1021" i="89" s="1"/>
  <c r="H1022" i="89"/>
  <c r="K1022" i="89" s="1"/>
  <c r="H1023" i="89"/>
  <c r="K1023" i="89" s="1"/>
  <c r="H1024" i="89"/>
  <c r="K1024" i="89" s="1"/>
  <c r="H1025" i="89"/>
  <c r="K1025" i="89" s="1"/>
  <c r="H1026" i="89"/>
  <c r="K1026" i="89" s="1"/>
  <c r="H1027" i="89"/>
  <c r="K1027" i="89" s="1"/>
  <c r="H1028" i="89"/>
  <c r="K1028" i="89" s="1"/>
  <c r="H1029" i="89"/>
  <c r="K1029" i="89" s="1"/>
  <c r="H1030" i="89"/>
  <c r="K1030" i="89" s="1"/>
  <c r="H1031" i="89"/>
  <c r="K1031" i="89" s="1"/>
  <c r="H1032" i="89"/>
  <c r="K1032" i="89" s="1"/>
  <c r="H1033" i="89"/>
  <c r="K1033" i="89" s="1"/>
  <c r="H1034" i="89"/>
  <c r="K1034" i="89" s="1"/>
  <c r="H1035" i="89"/>
  <c r="K1035" i="89" s="1"/>
  <c r="H1036" i="89"/>
  <c r="K1036" i="89" s="1"/>
  <c r="H1037" i="89"/>
  <c r="K1037" i="89" s="1"/>
  <c r="H1038" i="89"/>
  <c r="K1038" i="89" s="1"/>
  <c r="H1039" i="89"/>
  <c r="K1039" i="89" s="1"/>
  <c r="H1040" i="89"/>
  <c r="K1040" i="89" s="1"/>
  <c r="H1041" i="89"/>
  <c r="K1041" i="89" s="1"/>
  <c r="H1042" i="89"/>
  <c r="K1042" i="89" s="1"/>
  <c r="H1043" i="89"/>
  <c r="K1043" i="89" s="1"/>
  <c r="H1044" i="89"/>
  <c r="K1044" i="89" s="1"/>
  <c r="H1045" i="89"/>
  <c r="K1045" i="89" s="1"/>
  <c r="H1046" i="89"/>
  <c r="K1046" i="89" s="1"/>
  <c r="H1047" i="89"/>
  <c r="K1047" i="89" s="1"/>
  <c r="H1048" i="89"/>
  <c r="K1048" i="89" s="1"/>
  <c r="H1049" i="89"/>
  <c r="K1049" i="89" s="1"/>
  <c r="H1050" i="89"/>
  <c r="K1050" i="89" s="1"/>
  <c r="H1051" i="89"/>
  <c r="K1051" i="89" s="1"/>
  <c r="H1052" i="89"/>
  <c r="K1052" i="89" s="1"/>
  <c r="H1053" i="89"/>
  <c r="K1053" i="89" s="1"/>
  <c r="H1054" i="89"/>
  <c r="K1054" i="89" s="1"/>
  <c r="H1055" i="89"/>
  <c r="K1055" i="89" s="1"/>
  <c r="H1056" i="89"/>
  <c r="K1056" i="89" s="1"/>
  <c r="H1057" i="89"/>
  <c r="K1057" i="89" s="1"/>
  <c r="H1058" i="89"/>
  <c r="K1058" i="89" s="1"/>
  <c r="H1059" i="89"/>
  <c r="K1059" i="89" s="1"/>
  <c r="H1060" i="89"/>
  <c r="K1060" i="89" s="1"/>
  <c r="H1061" i="89"/>
  <c r="K1061" i="89" s="1"/>
  <c r="H1062" i="89"/>
  <c r="K1062" i="89" s="1"/>
  <c r="H1063" i="89"/>
  <c r="K1063" i="89" s="1"/>
  <c r="H1064" i="89"/>
  <c r="K1064" i="89" s="1"/>
  <c r="H1065" i="89"/>
  <c r="K1065" i="89" s="1"/>
  <c r="H1066" i="89"/>
  <c r="K1066" i="89" s="1"/>
  <c r="I57" i="88" l="1"/>
  <c r="I58" i="88"/>
  <c r="I59" i="88"/>
  <c r="I60" i="88"/>
  <c r="I61" i="88"/>
  <c r="I62" i="88"/>
  <c r="I63" i="88"/>
  <c r="I64" i="88"/>
  <c r="I65" i="88"/>
  <c r="I66" i="88"/>
  <c r="I67" i="88"/>
  <c r="I68" i="88"/>
  <c r="I69" i="88"/>
  <c r="I70" i="88"/>
  <c r="I71" i="88"/>
  <c r="H822" i="89"/>
  <c r="K822" i="89" s="1"/>
  <c r="H823" i="89"/>
  <c r="K823" i="89" s="1"/>
  <c r="H824" i="89"/>
  <c r="K824" i="89" s="1"/>
  <c r="H825" i="89"/>
  <c r="K825" i="89" s="1"/>
  <c r="H826" i="89"/>
  <c r="K826" i="89" s="1"/>
  <c r="H827" i="89"/>
  <c r="K827" i="89" s="1"/>
  <c r="H828" i="89"/>
  <c r="K828" i="89" s="1"/>
  <c r="H829" i="89"/>
  <c r="K829" i="89" s="1"/>
  <c r="H830" i="89"/>
  <c r="K830" i="89" s="1"/>
  <c r="H831" i="89"/>
  <c r="K831" i="89" s="1"/>
  <c r="H832" i="89"/>
  <c r="K832" i="89" s="1"/>
  <c r="H833" i="89"/>
  <c r="K833" i="89" s="1"/>
  <c r="H834" i="89"/>
  <c r="K834" i="89" s="1"/>
  <c r="H835" i="89"/>
  <c r="K835" i="89" s="1"/>
  <c r="H836" i="89"/>
  <c r="K836" i="89" s="1"/>
  <c r="H837" i="89"/>
  <c r="K837" i="89" s="1"/>
  <c r="H838" i="89"/>
  <c r="K838" i="89" s="1"/>
  <c r="H839" i="89"/>
  <c r="K839" i="89" s="1"/>
  <c r="H840" i="89"/>
  <c r="K840" i="89" s="1"/>
  <c r="H841" i="89"/>
  <c r="K841" i="89" s="1"/>
  <c r="H842" i="89"/>
  <c r="K842" i="89" s="1"/>
  <c r="H843" i="89"/>
  <c r="K843" i="89" s="1"/>
  <c r="H844" i="89"/>
  <c r="K844" i="89" s="1"/>
  <c r="H845" i="89"/>
  <c r="K845" i="89" s="1"/>
  <c r="H846" i="89"/>
  <c r="K846" i="89" s="1"/>
  <c r="H847" i="89"/>
  <c r="K847" i="89" s="1"/>
  <c r="H848" i="89"/>
  <c r="K848" i="89" s="1"/>
  <c r="H849" i="89"/>
  <c r="K849" i="89" s="1"/>
  <c r="H850" i="89"/>
  <c r="K850" i="89" s="1"/>
  <c r="H851" i="89"/>
  <c r="K851" i="89" s="1"/>
  <c r="H852" i="89"/>
  <c r="K852" i="89" s="1"/>
  <c r="H853" i="89"/>
  <c r="K853" i="89" s="1"/>
  <c r="H854" i="89"/>
  <c r="K854" i="89" s="1"/>
  <c r="H855" i="89"/>
  <c r="K855" i="89" s="1"/>
  <c r="H856" i="89"/>
  <c r="K856" i="89" s="1"/>
  <c r="H857" i="89"/>
  <c r="K857" i="89" s="1"/>
  <c r="H858" i="89"/>
  <c r="K858" i="89" s="1"/>
  <c r="H859" i="89"/>
  <c r="K859" i="89" s="1"/>
  <c r="H860" i="89"/>
  <c r="K860" i="89" s="1"/>
  <c r="H861" i="89"/>
  <c r="K861" i="89" s="1"/>
  <c r="H862" i="89"/>
  <c r="K862" i="89" s="1"/>
  <c r="H863" i="89"/>
  <c r="K863" i="89" s="1"/>
  <c r="H864" i="89"/>
  <c r="K864" i="89" s="1"/>
  <c r="H865" i="89"/>
  <c r="K865" i="89" s="1"/>
  <c r="H866" i="89"/>
  <c r="K866" i="89" s="1"/>
  <c r="H867" i="89"/>
  <c r="K867" i="89" s="1"/>
  <c r="H868" i="89"/>
  <c r="K868" i="89" s="1"/>
  <c r="H869" i="89"/>
  <c r="K869" i="89" s="1"/>
  <c r="H870" i="89"/>
  <c r="K870" i="89" s="1"/>
  <c r="H871" i="89"/>
  <c r="K871" i="89" s="1"/>
  <c r="H872" i="89"/>
  <c r="K872" i="89" s="1"/>
  <c r="H873" i="89"/>
  <c r="K873" i="89" s="1"/>
  <c r="H874" i="89"/>
  <c r="K874" i="89" s="1"/>
  <c r="H875" i="89"/>
  <c r="K875" i="89" s="1"/>
  <c r="H876" i="89"/>
  <c r="K876" i="89" s="1"/>
  <c r="H877" i="89"/>
  <c r="K877" i="89" s="1"/>
  <c r="H878" i="89"/>
  <c r="K878" i="89" s="1"/>
  <c r="H879" i="89"/>
  <c r="K879" i="89" s="1"/>
  <c r="H880" i="89"/>
  <c r="K880" i="89" s="1"/>
  <c r="H881" i="89"/>
  <c r="K881" i="89" s="1"/>
  <c r="H882" i="89"/>
  <c r="K882" i="89" s="1"/>
  <c r="H883" i="89"/>
  <c r="K883" i="89" s="1"/>
  <c r="H884" i="89"/>
  <c r="K884" i="89" s="1"/>
  <c r="H885" i="89"/>
  <c r="K885" i="89" s="1"/>
  <c r="H886" i="89"/>
  <c r="K886" i="89" s="1"/>
  <c r="H887" i="89"/>
  <c r="K887" i="89" s="1"/>
  <c r="H888" i="89"/>
  <c r="K888" i="89" s="1"/>
  <c r="H889" i="89"/>
  <c r="K889" i="89" s="1"/>
  <c r="H890" i="89"/>
  <c r="K890" i="89" s="1"/>
  <c r="H891" i="89"/>
  <c r="K891" i="89" s="1"/>
  <c r="H892" i="89"/>
  <c r="K892" i="89" s="1"/>
  <c r="H893" i="89"/>
  <c r="K893" i="89" s="1"/>
  <c r="H894" i="89"/>
  <c r="K894" i="89" s="1"/>
  <c r="H895" i="89"/>
  <c r="K895" i="89" s="1"/>
  <c r="H896" i="89"/>
  <c r="K896" i="89" s="1"/>
  <c r="H897" i="89"/>
  <c r="K897" i="89" s="1"/>
  <c r="H898" i="89"/>
  <c r="K898" i="89" s="1"/>
  <c r="H899" i="89"/>
  <c r="K899" i="89" s="1"/>
  <c r="H900" i="89"/>
  <c r="K900" i="89" s="1"/>
  <c r="H901" i="89"/>
  <c r="K901" i="89" s="1"/>
  <c r="H902" i="89"/>
  <c r="K902" i="89" s="1"/>
  <c r="H903" i="89"/>
  <c r="K903" i="89" s="1"/>
  <c r="H904" i="89"/>
  <c r="K904" i="89" s="1"/>
  <c r="H905" i="89"/>
  <c r="K905" i="89" s="1"/>
  <c r="H906" i="89"/>
  <c r="K906" i="89" s="1"/>
  <c r="H907" i="89"/>
  <c r="K907" i="89" s="1"/>
  <c r="H908" i="89"/>
  <c r="K908" i="89" s="1"/>
  <c r="H909" i="89"/>
  <c r="K909" i="89" s="1"/>
  <c r="H910" i="89"/>
  <c r="K910" i="89" s="1"/>
  <c r="H911" i="89"/>
  <c r="K911" i="89" s="1"/>
  <c r="H912" i="89"/>
  <c r="K912" i="89" s="1"/>
  <c r="H913" i="89"/>
  <c r="K913" i="89" s="1"/>
  <c r="H914" i="89"/>
  <c r="K914" i="89" s="1"/>
  <c r="H915" i="89"/>
  <c r="K915" i="89" s="1"/>
  <c r="H916" i="89"/>
  <c r="K916" i="89" s="1"/>
  <c r="H917" i="89"/>
  <c r="K917" i="89" s="1"/>
  <c r="H918" i="89"/>
  <c r="K918" i="89" s="1"/>
  <c r="H919" i="89"/>
  <c r="K919" i="89" s="1"/>
  <c r="H920" i="89"/>
  <c r="K920" i="89" s="1"/>
  <c r="H921" i="89"/>
  <c r="K921" i="89" s="1"/>
  <c r="H922" i="89"/>
  <c r="K922" i="89" s="1"/>
  <c r="H923" i="89"/>
  <c r="K923" i="89" s="1"/>
  <c r="H924" i="89"/>
  <c r="K924" i="89" s="1"/>
  <c r="H925" i="89"/>
  <c r="K925" i="89" s="1"/>
  <c r="H926" i="89"/>
  <c r="K926" i="89" s="1"/>
  <c r="H927" i="89"/>
  <c r="K927" i="89" s="1"/>
  <c r="H928" i="89"/>
  <c r="K928" i="89" s="1"/>
  <c r="H929" i="89"/>
  <c r="K929" i="89" s="1"/>
  <c r="H930" i="89"/>
  <c r="K930" i="89" s="1"/>
  <c r="H931" i="89"/>
  <c r="K931" i="89" s="1"/>
  <c r="H932" i="89"/>
  <c r="K932" i="89" s="1"/>
  <c r="H933" i="89"/>
  <c r="K933" i="89" s="1"/>
  <c r="H934" i="89"/>
  <c r="K934" i="89" s="1"/>
  <c r="H935" i="89"/>
  <c r="K935" i="89" s="1"/>
  <c r="H936" i="89"/>
  <c r="K936" i="89" s="1"/>
  <c r="H937" i="89"/>
  <c r="K937" i="89" s="1"/>
  <c r="H938" i="89"/>
  <c r="K938" i="89" s="1"/>
  <c r="H939" i="89"/>
  <c r="K939" i="89" s="1"/>
  <c r="H940" i="89"/>
  <c r="K940" i="89" s="1"/>
  <c r="H941" i="89"/>
  <c r="K941" i="89" s="1"/>
  <c r="H942" i="89"/>
  <c r="K942" i="89" s="1"/>
  <c r="H943" i="89"/>
  <c r="K943" i="89" s="1"/>
  <c r="H944" i="89"/>
  <c r="K944" i="89" s="1"/>
  <c r="H945" i="89"/>
  <c r="K945" i="89" s="1"/>
  <c r="H946" i="89"/>
  <c r="K946" i="89" s="1"/>
  <c r="H947" i="89"/>
  <c r="K947" i="89" s="1"/>
  <c r="H948" i="89"/>
  <c r="K948" i="89" s="1"/>
  <c r="H949" i="89"/>
  <c r="K949" i="89" s="1"/>
  <c r="H950" i="89"/>
  <c r="K950" i="89" s="1"/>
  <c r="H951" i="89"/>
  <c r="K951" i="89" s="1"/>
  <c r="H952" i="89"/>
  <c r="K952" i="89" s="1"/>
  <c r="H953" i="89"/>
  <c r="K953" i="89" s="1"/>
  <c r="H954" i="89"/>
  <c r="K954" i="89" s="1"/>
  <c r="H955" i="89"/>
  <c r="K955" i="89" s="1"/>
  <c r="H956" i="89"/>
  <c r="K956" i="89" s="1"/>
  <c r="H957" i="89"/>
  <c r="K957" i="89" s="1"/>
  <c r="H958" i="89"/>
  <c r="K958" i="89" s="1"/>
  <c r="H959" i="89"/>
  <c r="K959" i="89" s="1"/>
  <c r="H960" i="89"/>
  <c r="K960" i="89" s="1"/>
  <c r="H961" i="89"/>
  <c r="K961" i="89" s="1"/>
  <c r="H962" i="89"/>
  <c r="K962" i="89" s="1"/>
  <c r="H963" i="89"/>
  <c r="K963" i="89" s="1"/>
  <c r="H964" i="89"/>
  <c r="K964" i="89" s="1"/>
  <c r="H965" i="89"/>
  <c r="K965" i="89" s="1"/>
  <c r="H966" i="89"/>
  <c r="K966" i="89" s="1"/>
  <c r="H967" i="89"/>
  <c r="K967" i="89" s="1"/>
  <c r="H968" i="89"/>
  <c r="K968" i="89" s="1"/>
  <c r="H969" i="89"/>
  <c r="K969" i="89" s="1"/>
  <c r="H970" i="89"/>
  <c r="K970" i="89" s="1"/>
  <c r="H971" i="89"/>
  <c r="K971" i="89" s="1"/>
  <c r="H972" i="89"/>
  <c r="K972" i="89" s="1"/>
  <c r="H973" i="89"/>
  <c r="K973" i="89" s="1"/>
  <c r="H974" i="89"/>
  <c r="K974" i="89" s="1"/>
  <c r="H975" i="89"/>
  <c r="K975" i="89" s="1"/>
  <c r="H976" i="89"/>
  <c r="K976" i="89" s="1"/>
  <c r="H977" i="89"/>
  <c r="K977" i="89" s="1"/>
  <c r="H978" i="89"/>
  <c r="K978" i="89" s="1"/>
  <c r="H979" i="89"/>
  <c r="K979" i="89" s="1"/>
  <c r="H980" i="89"/>
  <c r="K980" i="89" s="1"/>
  <c r="H981" i="89"/>
  <c r="K981" i="89" s="1"/>
  <c r="H982" i="89"/>
  <c r="K982" i="89" s="1"/>
  <c r="H983" i="89"/>
  <c r="K983" i="89" s="1"/>
  <c r="H984" i="89"/>
  <c r="K984" i="89" s="1"/>
  <c r="H985" i="89"/>
  <c r="K985" i="89" s="1"/>
  <c r="H986" i="89"/>
  <c r="K986" i="89" s="1"/>
  <c r="H987" i="89"/>
  <c r="K987" i="89" s="1"/>
  <c r="H988" i="89"/>
  <c r="K988" i="89" s="1"/>
  <c r="H989" i="89"/>
  <c r="K989" i="89" s="1"/>
  <c r="H990" i="89"/>
  <c r="K990" i="89" s="1"/>
  <c r="H991" i="89"/>
  <c r="K991" i="89" s="1"/>
  <c r="H992" i="89"/>
  <c r="K992" i="89" s="1"/>
  <c r="H993" i="89"/>
  <c r="K993" i="89" s="1"/>
  <c r="H994" i="89"/>
  <c r="K994" i="89" s="1"/>
  <c r="H995" i="89"/>
  <c r="K995" i="89" s="1"/>
  <c r="H996" i="89"/>
  <c r="K996" i="89" s="1"/>
  <c r="H997" i="89"/>
  <c r="K997" i="89" s="1"/>
  <c r="H998" i="89"/>
  <c r="K998" i="89" s="1"/>
  <c r="H999" i="89"/>
  <c r="K999" i="89" s="1"/>
  <c r="H1000" i="89"/>
  <c r="K1000" i="89" s="1"/>
  <c r="H1001" i="89"/>
  <c r="K1001" i="89" s="1"/>
  <c r="I36" i="88" l="1"/>
  <c r="I37" i="88"/>
  <c r="I38" i="88"/>
  <c r="I40" i="88"/>
  <c r="I41" i="88"/>
  <c r="I42" i="88"/>
  <c r="I43" i="88"/>
  <c r="I44" i="88"/>
  <c r="I45" i="88"/>
  <c r="I46" i="88"/>
  <c r="I47" i="88"/>
  <c r="I48" i="88"/>
  <c r="I49" i="88"/>
  <c r="I50" i="88"/>
  <c r="I51" i="88"/>
  <c r="I52" i="88"/>
  <c r="I53" i="88"/>
  <c r="I54" i="88"/>
  <c r="I55" i="88"/>
  <c r="I56" i="88"/>
  <c r="H781" i="89"/>
  <c r="H782" i="89"/>
  <c r="H783" i="89"/>
  <c r="H784" i="89"/>
  <c r="H785" i="89"/>
  <c r="H786" i="89"/>
  <c r="H787" i="89"/>
  <c r="H788" i="89"/>
  <c r="H789" i="89"/>
  <c r="H790" i="89"/>
  <c r="H791" i="89"/>
  <c r="H792" i="89"/>
  <c r="H793" i="89"/>
  <c r="H794" i="89"/>
  <c r="H795" i="89"/>
  <c r="H796" i="89"/>
  <c r="H797" i="89"/>
  <c r="H798" i="89"/>
  <c r="H799" i="89"/>
  <c r="H800" i="89"/>
  <c r="H801" i="89"/>
  <c r="H802" i="89"/>
  <c r="H803" i="89"/>
  <c r="H804" i="89"/>
  <c r="H805" i="89"/>
  <c r="H806" i="89"/>
  <c r="H807" i="89"/>
  <c r="H808" i="89"/>
  <c r="H809" i="89"/>
  <c r="H810" i="89"/>
  <c r="H811" i="89"/>
  <c r="H812" i="89"/>
  <c r="H813" i="89"/>
  <c r="H814" i="89"/>
  <c r="H815" i="89"/>
  <c r="H816" i="89"/>
  <c r="H817" i="89"/>
  <c r="H818" i="89"/>
  <c r="H819" i="89"/>
  <c r="H820" i="89"/>
  <c r="K820" i="89" s="1"/>
  <c r="H821" i="89"/>
  <c r="K821" i="89" s="1"/>
  <c r="H697" i="89"/>
  <c r="H698" i="89"/>
  <c r="H699" i="89"/>
  <c r="H700" i="89"/>
  <c r="H701" i="89"/>
  <c r="H702" i="89"/>
  <c r="H703" i="89"/>
  <c r="H704" i="89"/>
  <c r="H705" i="89"/>
  <c r="H706" i="89"/>
  <c r="H707" i="89"/>
  <c r="H708" i="89"/>
  <c r="H709" i="89"/>
  <c r="H710" i="89"/>
  <c r="H711" i="89"/>
  <c r="H712" i="89"/>
  <c r="H713" i="89"/>
  <c r="H714" i="89"/>
  <c r="H715" i="89"/>
  <c r="H716" i="89"/>
  <c r="H717" i="89"/>
  <c r="H718" i="89"/>
  <c r="H719" i="89"/>
  <c r="H720" i="89"/>
  <c r="H721" i="89"/>
  <c r="H722" i="89"/>
  <c r="H723" i="89"/>
  <c r="H724" i="89"/>
  <c r="H725" i="89"/>
  <c r="H726" i="89"/>
  <c r="H727" i="89"/>
  <c r="H728" i="89"/>
  <c r="H729" i="89"/>
  <c r="H730" i="89"/>
  <c r="H731" i="89"/>
  <c r="H732" i="89"/>
  <c r="H733" i="89"/>
  <c r="H734" i="89"/>
  <c r="H735" i="89"/>
  <c r="H736" i="89"/>
  <c r="H737" i="89"/>
  <c r="H738" i="89"/>
  <c r="H739" i="89"/>
  <c r="H740" i="89"/>
  <c r="H741" i="89"/>
  <c r="H742" i="89"/>
  <c r="H743" i="89"/>
  <c r="H744" i="89"/>
  <c r="H745" i="89"/>
  <c r="H746" i="89"/>
  <c r="H747" i="89"/>
  <c r="H748" i="89"/>
  <c r="H749" i="89"/>
  <c r="H750" i="89"/>
  <c r="H751" i="89"/>
  <c r="H752" i="89"/>
  <c r="H753" i="89"/>
  <c r="H754" i="89"/>
  <c r="H755" i="89"/>
  <c r="H756" i="89"/>
  <c r="H757" i="89"/>
  <c r="H758" i="89"/>
  <c r="H759" i="89"/>
  <c r="H760" i="89"/>
  <c r="H761" i="89"/>
  <c r="H762" i="89"/>
  <c r="H763" i="89"/>
  <c r="H764" i="89"/>
  <c r="H765" i="89"/>
  <c r="H766" i="89"/>
  <c r="H767" i="89"/>
  <c r="H768" i="89"/>
  <c r="H769" i="89"/>
  <c r="H770" i="89"/>
  <c r="H771" i="89"/>
  <c r="H772" i="89"/>
  <c r="H773" i="89"/>
  <c r="H774" i="89"/>
  <c r="H775" i="89"/>
  <c r="H776" i="89"/>
  <c r="H777" i="89"/>
  <c r="H778" i="89"/>
  <c r="H779" i="89"/>
  <c r="H780" i="89"/>
  <c r="I27" i="88" l="1"/>
  <c r="I28" i="88"/>
  <c r="I29" i="88"/>
  <c r="I30" i="88"/>
  <c r="I31" i="88"/>
  <c r="I32" i="88"/>
  <c r="I33" i="88"/>
  <c r="I34" i="88"/>
  <c r="I35" i="88"/>
  <c r="H6" i="89"/>
  <c r="K6" i="89" s="1"/>
  <c r="H7" i="89"/>
  <c r="K7" i="89" s="1"/>
  <c r="H8" i="89"/>
  <c r="K8" i="89" s="1"/>
  <c r="H9" i="89"/>
  <c r="K9" i="89" s="1"/>
  <c r="H10" i="89"/>
  <c r="K10" i="89" s="1"/>
  <c r="H11" i="89"/>
  <c r="K11" i="89" s="1"/>
  <c r="H12" i="89"/>
  <c r="K12" i="89" s="1"/>
  <c r="H13" i="89"/>
  <c r="K13" i="89" s="1"/>
  <c r="H14" i="89"/>
  <c r="K14" i="89" s="1"/>
  <c r="H15" i="89"/>
  <c r="K15" i="89" s="1"/>
  <c r="H16" i="89"/>
  <c r="K16" i="89" s="1"/>
  <c r="H17" i="89"/>
  <c r="K17" i="89" s="1"/>
  <c r="H18" i="89"/>
  <c r="K18" i="89" s="1"/>
  <c r="H19" i="89"/>
  <c r="K19" i="89" s="1"/>
  <c r="H20" i="89"/>
  <c r="K20" i="89" s="1"/>
  <c r="H21" i="89"/>
  <c r="K21" i="89" s="1"/>
  <c r="H22" i="89"/>
  <c r="K22" i="89" s="1"/>
  <c r="H23" i="89"/>
  <c r="K23" i="89" s="1"/>
  <c r="H24" i="89"/>
  <c r="K24" i="89" s="1"/>
  <c r="H25" i="89"/>
  <c r="K25" i="89" s="1"/>
  <c r="H26" i="89"/>
  <c r="K26" i="89" s="1"/>
  <c r="H27" i="89"/>
  <c r="K27" i="89" s="1"/>
  <c r="H28" i="89"/>
  <c r="K28" i="89" s="1"/>
  <c r="H29" i="89"/>
  <c r="K29" i="89" s="1"/>
  <c r="H30" i="89"/>
  <c r="K30" i="89" s="1"/>
  <c r="H31" i="89"/>
  <c r="K31" i="89" s="1"/>
  <c r="H32" i="89"/>
  <c r="K32" i="89" s="1"/>
  <c r="H33" i="89"/>
  <c r="K33" i="89" s="1"/>
  <c r="H34" i="89"/>
  <c r="K34" i="89" s="1"/>
  <c r="H35" i="89"/>
  <c r="K35" i="89" s="1"/>
  <c r="H36" i="89"/>
  <c r="K36" i="89" s="1"/>
  <c r="H37" i="89"/>
  <c r="K37" i="89" s="1"/>
  <c r="H38" i="89"/>
  <c r="K38" i="89" s="1"/>
  <c r="H39" i="89"/>
  <c r="K39" i="89" s="1"/>
  <c r="H40" i="89"/>
  <c r="K40" i="89" s="1"/>
  <c r="H41" i="89"/>
  <c r="K41" i="89" s="1"/>
  <c r="H42" i="89"/>
  <c r="K42" i="89" s="1"/>
  <c r="H43" i="89"/>
  <c r="K43" i="89" s="1"/>
  <c r="H44" i="89"/>
  <c r="K44" i="89" s="1"/>
  <c r="H45" i="89"/>
  <c r="K45" i="89" s="1"/>
  <c r="H46" i="89"/>
  <c r="K46" i="89" s="1"/>
  <c r="H47" i="89"/>
  <c r="K47" i="89" s="1"/>
  <c r="H48" i="89"/>
  <c r="K48" i="89" s="1"/>
  <c r="H49" i="89"/>
  <c r="K49" i="89" s="1"/>
  <c r="H50" i="89"/>
  <c r="K50" i="89" s="1"/>
  <c r="H51" i="89"/>
  <c r="K51" i="89" s="1"/>
  <c r="H52" i="89"/>
  <c r="K52" i="89" s="1"/>
  <c r="H53" i="89"/>
  <c r="K53" i="89" s="1"/>
  <c r="H54" i="89"/>
  <c r="K54" i="89" s="1"/>
  <c r="H55" i="89"/>
  <c r="K55" i="89" s="1"/>
  <c r="H56" i="89"/>
  <c r="K56" i="89" s="1"/>
  <c r="H57" i="89"/>
  <c r="K57" i="89" s="1"/>
  <c r="H58" i="89"/>
  <c r="K58" i="89" s="1"/>
  <c r="H59" i="89"/>
  <c r="K59" i="89" s="1"/>
  <c r="H60" i="89"/>
  <c r="K60" i="89" s="1"/>
  <c r="H61" i="89"/>
  <c r="K61" i="89" s="1"/>
  <c r="H62" i="89"/>
  <c r="K62" i="89" s="1"/>
  <c r="H63" i="89"/>
  <c r="K63" i="89" s="1"/>
  <c r="H64" i="89"/>
  <c r="K64" i="89" s="1"/>
  <c r="H65" i="89"/>
  <c r="K65" i="89" s="1"/>
  <c r="H66" i="89"/>
  <c r="K66" i="89" s="1"/>
  <c r="H67" i="89"/>
  <c r="K67" i="89" s="1"/>
  <c r="H68" i="89"/>
  <c r="K68" i="89" s="1"/>
  <c r="H69" i="89"/>
  <c r="K69" i="89" s="1"/>
  <c r="H70" i="89"/>
  <c r="K70" i="89" s="1"/>
  <c r="H71" i="89"/>
  <c r="K71" i="89" s="1"/>
  <c r="H72" i="89"/>
  <c r="K72" i="89" s="1"/>
  <c r="H73" i="89"/>
  <c r="K73" i="89" s="1"/>
  <c r="H74" i="89"/>
  <c r="K74" i="89" s="1"/>
  <c r="H75" i="89"/>
  <c r="K75" i="89" s="1"/>
  <c r="H76" i="89"/>
  <c r="K76" i="89" s="1"/>
  <c r="H77" i="89"/>
  <c r="K77" i="89" s="1"/>
  <c r="H78" i="89"/>
  <c r="K78" i="89" s="1"/>
  <c r="H79" i="89"/>
  <c r="K79" i="89" s="1"/>
  <c r="H80" i="89"/>
  <c r="K80" i="89" s="1"/>
  <c r="H81" i="89"/>
  <c r="K81" i="89" s="1"/>
  <c r="H82" i="89"/>
  <c r="K82" i="89" s="1"/>
  <c r="H83" i="89"/>
  <c r="K83" i="89" s="1"/>
  <c r="H84" i="89"/>
  <c r="K84" i="89" s="1"/>
  <c r="H85" i="89"/>
  <c r="K85" i="89" s="1"/>
  <c r="H86" i="89"/>
  <c r="K86" i="89" s="1"/>
  <c r="H87" i="89"/>
  <c r="K87" i="89" s="1"/>
  <c r="H88" i="89"/>
  <c r="K88" i="89" s="1"/>
  <c r="H89" i="89"/>
  <c r="K89" i="89" s="1"/>
  <c r="H90" i="89"/>
  <c r="K90" i="89" s="1"/>
  <c r="H91" i="89"/>
  <c r="K91" i="89" s="1"/>
  <c r="H92" i="89"/>
  <c r="K92" i="89" s="1"/>
  <c r="H93" i="89"/>
  <c r="K93" i="89" s="1"/>
  <c r="H94" i="89"/>
  <c r="K94" i="89" s="1"/>
  <c r="H95" i="89"/>
  <c r="K95" i="89" s="1"/>
  <c r="H96" i="89"/>
  <c r="K96" i="89" s="1"/>
  <c r="H97" i="89"/>
  <c r="K97" i="89" s="1"/>
  <c r="H98" i="89"/>
  <c r="K98" i="89" s="1"/>
  <c r="H99" i="89"/>
  <c r="K99" i="89" s="1"/>
  <c r="H100" i="89"/>
  <c r="K100" i="89" s="1"/>
  <c r="H101" i="89"/>
  <c r="K101" i="89" s="1"/>
  <c r="H102" i="89"/>
  <c r="K102" i="89" s="1"/>
  <c r="H103" i="89"/>
  <c r="K103" i="89" s="1"/>
  <c r="H104" i="89"/>
  <c r="K104" i="89" s="1"/>
  <c r="H105" i="89"/>
  <c r="K105" i="89" s="1"/>
  <c r="H106" i="89"/>
  <c r="K106" i="89" s="1"/>
  <c r="H107" i="89"/>
  <c r="K107" i="89" s="1"/>
  <c r="H108" i="89"/>
  <c r="K108" i="89" s="1"/>
  <c r="H109" i="89"/>
  <c r="K109" i="89" s="1"/>
  <c r="H110" i="89"/>
  <c r="K110" i="89" s="1"/>
  <c r="H111" i="89"/>
  <c r="K111" i="89" s="1"/>
  <c r="H112" i="89"/>
  <c r="K112" i="89" s="1"/>
  <c r="H113" i="89"/>
  <c r="K113" i="89" s="1"/>
  <c r="H114" i="89"/>
  <c r="K114" i="89" s="1"/>
  <c r="H115" i="89"/>
  <c r="K115" i="89" s="1"/>
  <c r="H116" i="89"/>
  <c r="K116" i="89" s="1"/>
  <c r="H117" i="89"/>
  <c r="K117" i="89" s="1"/>
  <c r="H118" i="89"/>
  <c r="K118" i="89" s="1"/>
  <c r="H119" i="89"/>
  <c r="K119" i="89" s="1"/>
  <c r="H120" i="89"/>
  <c r="K120" i="89" s="1"/>
  <c r="H121" i="89"/>
  <c r="K121" i="89" s="1"/>
  <c r="H122" i="89"/>
  <c r="K122" i="89" s="1"/>
  <c r="H123" i="89"/>
  <c r="K123" i="89" s="1"/>
  <c r="H124" i="89"/>
  <c r="K124" i="89" s="1"/>
  <c r="H125" i="89"/>
  <c r="K125" i="89" s="1"/>
  <c r="H126" i="89"/>
  <c r="K126" i="89" s="1"/>
  <c r="H127" i="89"/>
  <c r="K127" i="89" s="1"/>
  <c r="H128" i="89"/>
  <c r="K128" i="89" s="1"/>
  <c r="H129" i="89"/>
  <c r="K129" i="89" s="1"/>
  <c r="H130" i="89"/>
  <c r="K130" i="89" s="1"/>
  <c r="H131" i="89"/>
  <c r="K131" i="89" s="1"/>
  <c r="H132" i="89"/>
  <c r="K132" i="89" s="1"/>
  <c r="H133" i="89"/>
  <c r="K133" i="89" s="1"/>
  <c r="H134" i="89"/>
  <c r="K134" i="89" s="1"/>
  <c r="H135" i="89"/>
  <c r="K135" i="89" s="1"/>
  <c r="H136" i="89"/>
  <c r="K136" i="89" s="1"/>
  <c r="H137" i="89"/>
  <c r="K137" i="89" s="1"/>
  <c r="H138" i="89"/>
  <c r="K138" i="89" s="1"/>
  <c r="H139" i="89"/>
  <c r="K139" i="89" s="1"/>
  <c r="H140" i="89"/>
  <c r="K140" i="89" s="1"/>
  <c r="H141" i="89"/>
  <c r="K141" i="89" s="1"/>
  <c r="H142" i="89"/>
  <c r="K142" i="89" s="1"/>
  <c r="H143" i="89"/>
  <c r="K143" i="89" s="1"/>
  <c r="H144" i="89"/>
  <c r="K144" i="89" s="1"/>
  <c r="H145" i="89"/>
  <c r="K145" i="89" s="1"/>
  <c r="H146" i="89"/>
  <c r="K146" i="89" s="1"/>
  <c r="H147" i="89"/>
  <c r="K147" i="89" s="1"/>
  <c r="H148" i="89"/>
  <c r="K148" i="89" s="1"/>
  <c r="H149" i="89"/>
  <c r="K149" i="89" s="1"/>
  <c r="H150" i="89"/>
  <c r="K150" i="89" s="1"/>
  <c r="H151" i="89"/>
  <c r="K151" i="89" s="1"/>
  <c r="H152" i="89"/>
  <c r="K152" i="89" s="1"/>
  <c r="H153" i="89"/>
  <c r="K153" i="89" s="1"/>
  <c r="H154" i="89"/>
  <c r="K154" i="89" s="1"/>
  <c r="H155" i="89"/>
  <c r="K155" i="89" s="1"/>
  <c r="H156" i="89"/>
  <c r="K156" i="89" s="1"/>
  <c r="H157" i="89"/>
  <c r="K157" i="89" s="1"/>
  <c r="H158" i="89"/>
  <c r="K158" i="89" s="1"/>
  <c r="H159" i="89"/>
  <c r="K159" i="89" s="1"/>
  <c r="H160" i="89"/>
  <c r="K160" i="89" s="1"/>
  <c r="H161" i="89"/>
  <c r="K161" i="89" s="1"/>
  <c r="H162" i="89"/>
  <c r="K162" i="89" s="1"/>
  <c r="H163" i="89"/>
  <c r="K163" i="89" s="1"/>
  <c r="H164" i="89"/>
  <c r="K164" i="89" s="1"/>
  <c r="H165" i="89"/>
  <c r="K165" i="89" s="1"/>
  <c r="H166" i="89"/>
  <c r="K166" i="89" s="1"/>
  <c r="H167" i="89"/>
  <c r="K167" i="89" s="1"/>
  <c r="H168" i="89"/>
  <c r="K168" i="89" s="1"/>
  <c r="H169" i="89"/>
  <c r="K169" i="89" s="1"/>
  <c r="H170" i="89"/>
  <c r="K170" i="89" s="1"/>
  <c r="H171" i="89"/>
  <c r="K171" i="89" s="1"/>
  <c r="H172" i="89"/>
  <c r="K172" i="89" s="1"/>
  <c r="H173" i="89"/>
  <c r="K173" i="89" s="1"/>
  <c r="H174" i="89"/>
  <c r="K174" i="89" s="1"/>
  <c r="H175" i="89"/>
  <c r="K175" i="89" s="1"/>
  <c r="H176" i="89"/>
  <c r="K176" i="89" s="1"/>
  <c r="H177" i="89"/>
  <c r="K177" i="89" s="1"/>
  <c r="H178" i="89"/>
  <c r="K178" i="89" s="1"/>
  <c r="H179" i="89"/>
  <c r="K179" i="89" s="1"/>
  <c r="H180" i="89"/>
  <c r="K180" i="89" s="1"/>
  <c r="H181" i="89"/>
  <c r="K181" i="89" s="1"/>
  <c r="H182" i="89"/>
  <c r="K182" i="89" s="1"/>
  <c r="H183" i="89"/>
  <c r="K183" i="89" s="1"/>
  <c r="H184" i="89"/>
  <c r="K184" i="89" s="1"/>
  <c r="H185" i="89"/>
  <c r="K185" i="89" s="1"/>
  <c r="H186" i="89"/>
  <c r="K186" i="89" s="1"/>
  <c r="H187" i="89"/>
  <c r="K187" i="89" s="1"/>
  <c r="H188" i="89"/>
  <c r="K188" i="89" s="1"/>
  <c r="H189" i="89"/>
  <c r="K189" i="89" s="1"/>
  <c r="H190" i="89"/>
  <c r="K190" i="89" s="1"/>
  <c r="H191" i="89"/>
  <c r="K191" i="89" s="1"/>
  <c r="H192" i="89"/>
  <c r="K192" i="89" s="1"/>
  <c r="H193" i="89"/>
  <c r="K193" i="89" s="1"/>
  <c r="H194" i="89"/>
  <c r="K194" i="89" s="1"/>
  <c r="H195" i="89"/>
  <c r="K195" i="89" s="1"/>
  <c r="H196" i="89"/>
  <c r="K196" i="89" s="1"/>
  <c r="H197" i="89"/>
  <c r="K197" i="89" s="1"/>
  <c r="H198" i="89"/>
  <c r="K198" i="89" s="1"/>
  <c r="H199" i="89"/>
  <c r="K199" i="89" s="1"/>
  <c r="H200" i="89"/>
  <c r="K200" i="89" s="1"/>
  <c r="H201" i="89"/>
  <c r="K201" i="89" s="1"/>
  <c r="H202" i="89"/>
  <c r="K202" i="89" s="1"/>
  <c r="H203" i="89"/>
  <c r="K203" i="89" s="1"/>
  <c r="H204" i="89"/>
  <c r="K204" i="89" s="1"/>
  <c r="H205" i="89"/>
  <c r="K205" i="89" s="1"/>
  <c r="H206" i="89"/>
  <c r="K206" i="89" s="1"/>
  <c r="H207" i="89"/>
  <c r="K207" i="89" s="1"/>
  <c r="H208" i="89"/>
  <c r="K208" i="89" s="1"/>
  <c r="H209" i="89"/>
  <c r="K209" i="89" s="1"/>
  <c r="H210" i="89"/>
  <c r="K210" i="89" s="1"/>
  <c r="H211" i="89"/>
  <c r="K211" i="89" s="1"/>
  <c r="H212" i="89"/>
  <c r="K212" i="89" s="1"/>
  <c r="H213" i="89"/>
  <c r="K213" i="89" s="1"/>
  <c r="H214" i="89"/>
  <c r="K214" i="89" s="1"/>
  <c r="H215" i="89"/>
  <c r="K215" i="89" s="1"/>
  <c r="H216" i="89"/>
  <c r="K216" i="89" s="1"/>
  <c r="H217" i="89"/>
  <c r="K217" i="89" s="1"/>
  <c r="H218" i="89"/>
  <c r="K218" i="89" s="1"/>
  <c r="H219" i="89"/>
  <c r="K219" i="89" s="1"/>
  <c r="H220" i="89"/>
  <c r="K220" i="89" s="1"/>
  <c r="H221" i="89"/>
  <c r="K221" i="89" s="1"/>
  <c r="H222" i="89"/>
  <c r="K222" i="89" s="1"/>
  <c r="H223" i="89"/>
  <c r="K223" i="89" s="1"/>
  <c r="H224" i="89"/>
  <c r="K224" i="89" s="1"/>
  <c r="H225" i="89"/>
  <c r="K225" i="89" s="1"/>
  <c r="H226" i="89"/>
  <c r="K226" i="89" s="1"/>
  <c r="H227" i="89"/>
  <c r="K227" i="89" s="1"/>
  <c r="H228" i="89"/>
  <c r="K228" i="89" s="1"/>
  <c r="H229" i="89"/>
  <c r="K229" i="89" s="1"/>
  <c r="H230" i="89"/>
  <c r="K230" i="89" s="1"/>
  <c r="H231" i="89"/>
  <c r="K231" i="89" s="1"/>
  <c r="H232" i="89"/>
  <c r="K232" i="89" s="1"/>
  <c r="H233" i="89"/>
  <c r="K233" i="89" s="1"/>
  <c r="H234" i="89"/>
  <c r="K234" i="89" s="1"/>
  <c r="H235" i="89"/>
  <c r="K235" i="89" s="1"/>
  <c r="H236" i="89"/>
  <c r="K236" i="89" s="1"/>
  <c r="H237" i="89"/>
  <c r="K237" i="89" s="1"/>
  <c r="H238" i="89"/>
  <c r="K238" i="89" s="1"/>
  <c r="H239" i="89"/>
  <c r="K239" i="89" s="1"/>
  <c r="H240" i="89"/>
  <c r="K240" i="89" s="1"/>
  <c r="H241" i="89"/>
  <c r="K241" i="89" s="1"/>
  <c r="H242" i="89"/>
  <c r="K242" i="89" s="1"/>
  <c r="H243" i="89"/>
  <c r="K243" i="89" s="1"/>
  <c r="H244" i="89"/>
  <c r="K244" i="89" s="1"/>
  <c r="H245" i="89"/>
  <c r="K245" i="89" s="1"/>
  <c r="H246" i="89"/>
  <c r="K246" i="89" s="1"/>
  <c r="H247" i="89"/>
  <c r="K247" i="89" s="1"/>
  <c r="H248" i="89"/>
  <c r="K248" i="89" s="1"/>
  <c r="H249" i="89"/>
  <c r="K249" i="89" s="1"/>
  <c r="H250" i="89"/>
  <c r="K250" i="89" s="1"/>
  <c r="H251" i="89"/>
  <c r="K251" i="89" s="1"/>
  <c r="H252" i="89"/>
  <c r="K252" i="89" s="1"/>
  <c r="H253" i="89"/>
  <c r="K253" i="89" s="1"/>
  <c r="H254" i="89"/>
  <c r="K254" i="89" s="1"/>
  <c r="H255" i="89"/>
  <c r="K255" i="89" s="1"/>
  <c r="H256" i="89"/>
  <c r="K256" i="89" s="1"/>
  <c r="H257" i="89"/>
  <c r="K257" i="89" s="1"/>
  <c r="H258" i="89"/>
  <c r="K258" i="89" s="1"/>
  <c r="H259" i="89"/>
  <c r="K259" i="89" s="1"/>
  <c r="H260" i="89"/>
  <c r="K260" i="89" s="1"/>
  <c r="H261" i="89"/>
  <c r="K261" i="89" s="1"/>
  <c r="H262" i="89"/>
  <c r="K262" i="89" s="1"/>
  <c r="H263" i="89"/>
  <c r="K263" i="89" s="1"/>
  <c r="H264" i="89"/>
  <c r="K264" i="89" s="1"/>
  <c r="H265" i="89"/>
  <c r="K265" i="89" s="1"/>
  <c r="H266" i="89"/>
  <c r="K266" i="89" s="1"/>
  <c r="H267" i="89"/>
  <c r="K267" i="89" s="1"/>
  <c r="H268" i="89"/>
  <c r="K268" i="89" s="1"/>
  <c r="H269" i="89"/>
  <c r="K269" i="89" s="1"/>
  <c r="H270" i="89"/>
  <c r="K270" i="89" s="1"/>
  <c r="H271" i="89"/>
  <c r="K271" i="89" s="1"/>
  <c r="H272" i="89"/>
  <c r="K272" i="89" s="1"/>
  <c r="H273" i="89"/>
  <c r="K273" i="89" s="1"/>
  <c r="H274" i="89"/>
  <c r="K274" i="89" s="1"/>
  <c r="H275" i="89"/>
  <c r="K275" i="89" s="1"/>
  <c r="H276" i="89"/>
  <c r="K276" i="89" s="1"/>
  <c r="H277" i="89"/>
  <c r="K277" i="89" s="1"/>
  <c r="H278" i="89"/>
  <c r="K278" i="89" s="1"/>
  <c r="H279" i="89"/>
  <c r="K279" i="89" s="1"/>
  <c r="H280" i="89"/>
  <c r="K280" i="89" s="1"/>
  <c r="H281" i="89"/>
  <c r="K281" i="89" s="1"/>
  <c r="H282" i="89"/>
  <c r="K282" i="89" s="1"/>
  <c r="H283" i="89"/>
  <c r="K283" i="89" s="1"/>
  <c r="H284" i="89"/>
  <c r="K284" i="89" s="1"/>
  <c r="H285" i="89"/>
  <c r="K285" i="89" s="1"/>
  <c r="H286" i="89"/>
  <c r="K286" i="89" s="1"/>
  <c r="H287" i="89"/>
  <c r="K287" i="89" s="1"/>
  <c r="H288" i="89"/>
  <c r="K288" i="89" s="1"/>
  <c r="H289" i="89"/>
  <c r="K289" i="89" s="1"/>
  <c r="H290" i="89"/>
  <c r="K290" i="89" s="1"/>
  <c r="H291" i="89"/>
  <c r="K291" i="89" s="1"/>
  <c r="H292" i="89"/>
  <c r="K292" i="89" s="1"/>
  <c r="H293" i="89"/>
  <c r="K293" i="89" s="1"/>
  <c r="H294" i="89"/>
  <c r="K294" i="89" s="1"/>
  <c r="H295" i="89"/>
  <c r="K295" i="89" s="1"/>
  <c r="H296" i="89"/>
  <c r="K296" i="89" s="1"/>
  <c r="H297" i="89"/>
  <c r="K297" i="89" s="1"/>
  <c r="H298" i="89"/>
  <c r="K298" i="89" s="1"/>
  <c r="H299" i="89"/>
  <c r="K299" i="89" s="1"/>
  <c r="H300" i="89"/>
  <c r="K300" i="89" s="1"/>
  <c r="H301" i="89"/>
  <c r="K301" i="89" s="1"/>
  <c r="H302" i="89"/>
  <c r="K302" i="89" s="1"/>
  <c r="H303" i="89"/>
  <c r="K303" i="89" s="1"/>
  <c r="H304" i="89"/>
  <c r="K304" i="89" s="1"/>
  <c r="H305" i="89"/>
  <c r="K305" i="89" s="1"/>
  <c r="H306" i="89"/>
  <c r="K306" i="89" s="1"/>
  <c r="H307" i="89"/>
  <c r="K307" i="89" s="1"/>
  <c r="H308" i="89"/>
  <c r="K308" i="89" s="1"/>
  <c r="H309" i="89"/>
  <c r="K309" i="89" s="1"/>
  <c r="H310" i="89"/>
  <c r="K310" i="89" s="1"/>
  <c r="H311" i="89"/>
  <c r="K311" i="89" s="1"/>
  <c r="H312" i="89"/>
  <c r="K312" i="89" s="1"/>
  <c r="H313" i="89"/>
  <c r="K313" i="89" s="1"/>
  <c r="H314" i="89"/>
  <c r="K314" i="89" s="1"/>
  <c r="H315" i="89"/>
  <c r="K315" i="89" s="1"/>
  <c r="H316" i="89"/>
  <c r="K316" i="89" s="1"/>
  <c r="H317" i="89"/>
  <c r="K317" i="89" s="1"/>
  <c r="H318" i="89"/>
  <c r="K318" i="89" s="1"/>
  <c r="H319" i="89"/>
  <c r="K319" i="89" s="1"/>
  <c r="H320" i="89"/>
  <c r="K320" i="89" s="1"/>
  <c r="H321" i="89"/>
  <c r="K321" i="89" s="1"/>
  <c r="H322" i="89"/>
  <c r="K322" i="89" s="1"/>
  <c r="H323" i="89"/>
  <c r="K323" i="89" s="1"/>
  <c r="H324" i="89"/>
  <c r="K324" i="89" s="1"/>
  <c r="H325" i="89"/>
  <c r="K325" i="89" s="1"/>
  <c r="H326" i="89"/>
  <c r="K326" i="89" s="1"/>
  <c r="H327" i="89"/>
  <c r="K327" i="89" s="1"/>
  <c r="H328" i="89"/>
  <c r="K328" i="89" s="1"/>
  <c r="H329" i="89"/>
  <c r="K329" i="89" s="1"/>
  <c r="H330" i="89"/>
  <c r="K330" i="89" s="1"/>
  <c r="H331" i="89"/>
  <c r="K331" i="89" s="1"/>
  <c r="H355" i="89"/>
  <c r="K355" i="89" s="1"/>
  <c r="H356" i="89"/>
  <c r="K356" i="89" s="1"/>
  <c r="H357" i="89"/>
  <c r="K357" i="89" s="1"/>
  <c r="H358" i="89"/>
  <c r="K358" i="89" s="1"/>
  <c r="H359" i="89"/>
  <c r="K359" i="89" s="1"/>
  <c r="H360" i="89"/>
  <c r="K360" i="89" s="1"/>
  <c r="H373" i="89"/>
  <c r="K373" i="89" s="1"/>
  <c r="H374" i="89"/>
  <c r="K374" i="89" s="1"/>
  <c r="H375" i="89"/>
  <c r="K375" i="89" s="1"/>
  <c r="H420" i="89"/>
  <c r="K420" i="89" s="1"/>
  <c r="H421" i="89"/>
  <c r="K421" i="89" s="1"/>
  <c r="H422" i="89"/>
  <c r="K422" i="89" s="1"/>
  <c r="H423" i="89"/>
  <c r="K423" i="89" s="1"/>
  <c r="H424" i="89"/>
  <c r="K424" i="89" s="1"/>
  <c r="H425" i="89"/>
  <c r="K425" i="89" s="1"/>
  <c r="H426" i="89"/>
  <c r="K426" i="89" s="1"/>
  <c r="H427" i="89"/>
  <c r="K427" i="89" s="1"/>
  <c r="H428" i="89"/>
  <c r="K428" i="89" s="1"/>
  <c r="H429" i="89"/>
  <c r="K429" i="89" s="1"/>
  <c r="H430" i="89"/>
  <c r="K430" i="89" s="1"/>
  <c r="H431" i="89"/>
  <c r="K431" i="89" s="1"/>
  <c r="H432" i="89"/>
  <c r="K432" i="89" s="1"/>
  <c r="H433" i="89"/>
  <c r="K433" i="89" s="1"/>
  <c r="H434" i="89"/>
  <c r="K434" i="89" s="1"/>
  <c r="H435" i="89"/>
  <c r="K435" i="89" s="1"/>
  <c r="H436" i="89"/>
  <c r="K436" i="89" s="1"/>
  <c r="H437" i="89"/>
  <c r="K437" i="89" s="1"/>
  <c r="H438" i="89"/>
  <c r="K438" i="89" s="1"/>
  <c r="H439" i="89"/>
  <c r="K439" i="89" s="1"/>
  <c r="H440" i="89"/>
  <c r="K440" i="89" s="1"/>
  <c r="H441" i="89"/>
  <c r="K441" i="89" s="1"/>
  <c r="H442" i="89"/>
  <c r="K442" i="89" s="1"/>
  <c r="H443" i="89"/>
  <c r="K443" i="89" s="1"/>
  <c r="H444" i="89"/>
  <c r="K444" i="89" s="1"/>
  <c r="H445" i="89"/>
  <c r="K445" i="89" s="1"/>
  <c r="H446" i="89"/>
  <c r="K446" i="89" s="1"/>
  <c r="H447" i="89"/>
  <c r="K447" i="89" s="1"/>
  <c r="H448" i="89"/>
  <c r="K448" i="89" s="1"/>
  <c r="H449" i="89"/>
  <c r="K449" i="89" s="1"/>
  <c r="H450" i="89"/>
  <c r="K450" i="89" s="1"/>
  <c r="H451" i="89"/>
  <c r="K451" i="89" s="1"/>
  <c r="H452" i="89"/>
  <c r="K452" i="89" s="1"/>
  <c r="H453" i="89"/>
  <c r="K453" i="89" s="1"/>
  <c r="H454" i="89"/>
  <c r="K454" i="89" s="1"/>
  <c r="H455" i="89"/>
  <c r="K455" i="89" s="1"/>
  <c r="H456" i="89"/>
  <c r="K456" i="89" s="1"/>
  <c r="H457" i="89"/>
  <c r="K457" i="89" s="1"/>
  <c r="H458" i="89"/>
  <c r="K458" i="89" s="1"/>
  <c r="H459" i="89"/>
  <c r="K459" i="89" s="1"/>
  <c r="H460" i="89"/>
  <c r="K460" i="89" s="1"/>
  <c r="H461" i="89"/>
  <c r="K461" i="89" s="1"/>
  <c r="H462" i="89"/>
  <c r="K462" i="89" s="1"/>
  <c r="H463" i="89"/>
  <c r="K463" i="89" s="1"/>
  <c r="H464" i="89"/>
  <c r="K464" i="89" s="1"/>
  <c r="H465" i="89"/>
  <c r="K465" i="89" s="1"/>
  <c r="H466" i="89"/>
  <c r="K466" i="89" s="1"/>
  <c r="H467" i="89"/>
  <c r="K467" i="89" s="1"/>
  <c r="H468" i="89"/>
  <c r="K468" i="89" s="1"/>
  <c r="H469" i="89"/>
  <c r="K469" i="89" s="1"/>
  <c r="H470" i="89"/>
  <c r="K470" i="89" s="1"/>
  <c r="H471" i="89"/>
  <c r="K471" i="89" s="1"/>
  <c r="H472" i="89"/>
  <c r="K472" i="89" s="1"/>
  <c r="H473" i="89"/>
  <c r="K473" i="89" s="1"/>
  <c r="H474" i="89"/>
  <c r="K474" i="89" s="1"/>
  <c r="H475" i="89"/>
  <c r="K475" i="89" s="1"/>
  <c r="H476" i="89"/>
  <c r="K476" i="89" s="1"/>
  <c r="H477" i="89"/>
  <c r="K477" i="89" s="1"/>
  <c r="H478" i="89"/>
  <c r="K478" i="89" s="1"/>
  <c r="H479" i="89"/>
  <c r="K479" i="89" s="1"/>
  <c r="H480" i="89"/>
  <c r="K480" i="89" s="1"/>
  <c r="H481" i="89"/>
  <c r="K481" i="89" s="1"/>
  <c r="H482" i="89"/>
  <c r="K482" i="89" s="1"/>
  <c r="H483" i="89"/>
  <c r="K483" i="89" s="1"/>
  <c r="H484" i="89"/>
  <c r="K484" i="89" s="1"/>
  <c r="H485" i="89"/>
  <c r="K485" i="89" s="1"/>
  <c r="H486" i="89"/>
  <c r="K486" i="89" s="1"/>
  <c r="H487" i="89"/>
  <c r="K487" i="89" s="1"/>
  <c r="H488" i="89"/>
  <c r="K488" i="89" s="1"/>
  <c r="H489" i="89"/>
  <c r="K489" i="89" s="1"/>
  <c r="H490" i="89"/>
  <c r="K490" i="89" s="1"/>
  <c r="H491" i="89"/>
  <c r="K491" i="89" s="1"/>
  <c r="H492" i="89"/>
  <c r="K492" i="89" s="1"/>
  <c r="H493" i="89"/>
  <c r="K493" i="89" s="1"/>
  <c r="H496" i="89"/>
  <c r="K496" i="89" s="1"/>
  <c r="H497" i="89"/>
  <c r="K497" i="89" s="1"/>
  <c r="H498" i="89"/>
  <c r="K498" i="89" s="1"/>
  <c r="H499" i="89"/>
  <c r="K499" i="89" s="1"/>
  <c r="H500" i="89"/>
  <c r="K500" i="89" s="1"/>
  <c r="H501" i="89"/>
  <c r="K501" i="89" s="1"/>
  <c r="H502" i="89"/>
  <c r="K502" i="89" s="1"/>
  <c r="H503" i="89"/>
  <c r="K503" i="89" s="1"/>
  <c r="H504" i="89"/>
  <c r="K504" i="89" s="1"/>
  <c r="H505" i="89"/>
  <c r="K505" i="89" s="1"/>
  <c r="H506" i="89"/>
  <c r="K506" i="89" s="1"/>
  <c r="H507" i="89"/>
  <c r="K507" i="89" s="1"/>
  <c r="H508" i="89"/>
  <c r="K508" i="89" s="1"/>
  <c r="H509" i="89"/>
  <c r="K509" i="89" s="1"/>
  <c r="H510" i="89"/>
  <c r="K510" i="89" s="1"/>
  <c r="H511" i="89"/>
  <c r="K511" i="89" s="1"/>
  <c r="H512" i="89"/>
  <c r="K512" i="89" s="1"/>
  <c r="H513" i="89"/>
  <c r="K513" i="89" s="1"/>
  <c r="H514" i="89"/>
  <c r="K514" i="89" s="1"/>
  <c r="H515" i="89"/>
  <c r="K515" i="89" s="1"/>
  <c r="H516" i="89"/>
  <c r="K516" i="89" s="1"/>
  <c r="H517" i="89"/>
  <c r="K517" i="89" s="1"/>
  <c r="H518" i="89"/>
  <c r="K518" i="89" s="1"/>
  <c r="H519" i="89"/>
  <c r="K519" i="89" s="1"/>
  <c r="H520" i="89"/>
  <c r="K520" i="89" s="1"/>
  <c r="H521" i="89"/>
  <c r="K521" i="89" s="1"/>
  <c r="H522" i="89"/>
  <c r="K522" i="89" s="1"/>
  <c r="H523" i="89"/>
  <c r="K523" i="89" s="1"/>
  <c r="H524" i="89"/>
  <c r="K524" i="89" s="1"/>
  <c r="H525" i="89"/>
  <c r="K525" i="89" s="1"/>
  <c r="H526" i="89"/>
  <c r="K526" i="89" s="1"/>
  <c r="H527" i="89"/>
  <c r="K527" i="89" s="1"/>
  <c r="H528" i="89"/>
  <c r="K528" i="89" s="1"/>
  <c r="H529" i="89"/>
  <c r="K529" i="89" s="1"/>
  <c r="H530" i="89"/>
  <c r="K530" i="89" s="1"/>
  <c r="H531" i="89"/>
  <c r="K531" i="89" s="1"/>
  <c r="H532" i="89"/>
  <c r="K532" i="89" s="1"/>
  <c r="H533" i="89"/>
  <c r="K533" i="89" s="1"/>
  <c r="H534" i="89"/>
  <c r="K534" i="89" s="1"/>
  <c r="H535" i="89"/>
  <c r="K535" i="89" s="1"/>
  <c r="H536" i="89"/>
  <c r="K536" i="89" s="1"/>
  <c r="H537" i="89"/>
  <c r="K537" i="89" s="1"/>
  <c r="H538" i="89"/>
  <c r="K538" i="89" s="1"/>
  <c r="H539" i="89"/>
  <c r="K539" i="89" s="1"/>
  <c r="H540" i="89"/>
  <c r="K540" i="89" s="1"/>
  <c r="H541" i="89"/>
  <c r="K541" i="89" s="1"/>
  <c r="H542" i="89"/>
  <c r="K542" i="89" s="1"/>
  <c r="H543" i="89"/>
  <c r="K543" i="89" s="1"/>
  <c r="H544" i="89"/>
  <c r="K544" i="89" s="1"/>
  <c r="H545" i="89"/>
  <c r="K545" i="89" s="1"/>
  <c r="H546" i="89"/>
  <c r="K546" i="89" s="1"/>
  <c r="H547" i="89"/>
  <c r="K547" i="89" s="1"/>
  <c r="H548" i="89"/>
  <c r="K548" i="89" s="1"/>
  <c r="H549" i="89"/>
  <c r="K549" i="89" s="1"/>
  <c r="H550" i="89"/>
  <c r="K550" i="89" s="1"/>
  <c r="H551" i="89"/>
  <c r="K551" i="89" s="1"/>
  <c r="H552" i="89"/>
  <c r="K552" i="89" s="1"/>
  <c r="H553" i="89"/>
  <c r="K553" i="89" s="1"/>
  <c r="H554" i="89"/>
  <c r="K554" i="89" s="1"/>
  <c r="H555" i="89"/>
  <c r="K555" i="89" s="1"/>
  <c r="H556" i="89"/>
  <c r="K556" i="89" s="1"/>
  <c r="H557" i="89"/>
  <c r="K557" i="89" s="1"/>
  <c r="H558" i="89"/>
  <c r="K558" i="89" s="1"/>
  <c r="H559" i="89"/>
  <c r="K559" i="89" s="1"/>
  <c r="H560" i="89"/>
  <c r="K560" i="89" s="1"/>
  <c r="H561" i="89"/>
  <c r="K561" i="89" s="1"/>
  <c r="H562" i="89"/>
  <c r="K562" i="89" s="1"/>
  <c r="H563" i="89"/>
  <c r="K563" i="89" s="1"/>
  <c r="H564" i="89"/>
  <c r="K564" i="89" s="1"/>
  <c r="H565" i="89"/>
  <c r="K565" i="89" s="1"/>
  <c r="H566" i="89"/>
  <c r="K566" i="89" s="1"/>
  <c r="H567" i="89"/>
  <c r="K567" i="89" s="1"/>
  <c r="H568" i="89"/>
  <c r="K568" i="89" s="1"/>
  <c r="H569" i="89"/>
  <c r="K569" i="89" s="1"/>
  <c r="H570" i="89"/>
  <c r="K570" i="89" s="1"/>
  <c r="H571" i="89"/>
  <c r="K571" i="89" s="1"/>
  <c r="H572" i="89"/>
  <c r="K572" i="89" s="1"/>
  <c r="H573" i="89"/>
  <c r="K573" i="89" s="1"/>
  <c r="H574" i="89"/>
  <c r="K574" i="89" s="1"/>
  <c r="H575" i="89"/>
  <c r="K575" i="89" s="1"/>
  <c r="H576" i="89"/>
  <c r="K576" i="89" s="1"/>
  <c r="H577" i="89"/>
  <c r="K577" i="89" s="1"/>
  <c r="H578" i="89"/>
  <c r="K578" i="89" s="1"/>
  <c r="H579" i="89"/>
  <c r="K579" i="89" s="1"/>
  <c r="H580" i="89"/>
  <c r="K580" i="89" s="1"/>
  <c r="H581" i="89"/>
  <c r="K581" i="89" s="1"/>
  <c r="H582" i="89"/>
  <c r="K582" i="89" s="1"/>
  <c r="H583" i="89"/>
  <c r="K583" i="89" s="1"/>
  <c r="H584" i="89"/>
  <c r="K584" i="89" s="1"/>
  <c r="H585" i="89"/>
  <c r="K585" i="89" s="1"/>
  <c r="H586" i="89"/>
  <c r="K586" i="89" s="1"/>
  <c r="H587" i="89"/>
  <c r="K587" i="89" s="1"/>
  <c r="H588" i="89"/>
  <c r="K588" i="89" s="1"/>
  <c r="H589" i="89"/>
  <c r="K589" i="89" s="1"/>
  <c r="H590" i="89"/>
  <c r="K590" i="89" s="1"/>
  <c r="H591" i="89"/>
  <c r="K591" i="89" s="1"/>
  <c r="H592" i="89"/>
  <c r="K592" i="89" s="1"/>
  <c r="H593" i="89"/>
  <c r="K593" i="89" s="1"/>
  <c r="H594" i="89"/>
  <c r="K594" i="89" s="1"/>
  <c r="H595" i="89"/>
  <c r="K595" i="89" s="1"/>
  <c r="H596" i="89"/>
  <c r="K596" i="89" s="1"/>
  <c r="H597" i="89"/>
  <c r="K597" i="89" s="1"/>
  <c r="H598" i="89"/>
  <c r="K598" i="89" s="1"/>
  <c r="H599" i="89"/>
  <c r="K599" i="89" s="1"/>
  <c r="H600" i="89"/>
  <c r="K600" i="89" s="1"/>
  <c r="H601" i="89"/>
  <c r="K601" i="89" s="1"/>
  <c r="H602" i="89"/>
  <c r="K602" i="89" s="1"/>
  <c r="H603" i="89"/>
  <c r="K603" i="89" s="1"/>
  <c r="H604" i="89"/>
  <c r="K604" i="89" s="1"/>
  <c r="H605" i="89"/>
  <c r="K605" i="89" s="1"/>
  <c r="H606" i="89"/>
  <c r="K606" i="89" s="1"/>
  <c r="H607" i="89"/>
  <c r="K607" i="89" s="1"/>
  <c r="H608" i="89"/>
  <c r="K608" i="89" s="1"/>
  <c r="H609" i="89"/>
  <c r="K609" i="89" s="1"/>
  <c r="H610" i="89"/>
  <c r="K610" i="89" s="1"/>
  <c r="H611" i="89"/>
  <c r="K611" i="89" s="1"/>
  <c r="H612" i="89"/>
  <c r="K612" i="89" s="1"/>
  <c r="H613" i="89"/>
  <c r="K613" i="89" s="1"/>
  <c r="H614" i="89"/>
  <c r="K614" i="89" s="1"/>
  <c r="H615" i="89"/>
  <c r="K615" i="89" s="1"/>
  <c r="H616" i="89"/>
  <c r="K616" i="89" s="1"/>
  <c r="H617" i="89"/>
  <c r="K617" i="89" s="1"/>
  <c r="H618" i="89"/>
  <c r="K618" i="89" s="1"/>
  <c r="H619" i="89"/>
  <c r="K619" i="89" s="1"/>
  <c r="H620" i="89"/>
  <c r="K620" i="89" s="1"/>
  <c r="H621" i="89"/>
  <c r="K621" i="89" s="1"/>
  <c r="H622" i="89"/>
  <c r="K622" i="89" s="1"/>
  <c r="H623" i="89"/>
  <c r="K623" i="89" s="1"/>
  <c r="H624" i="89"/>
  <c r="K624" i="89" s="1"/>
  <c r="H625" i="89"/>
  <c r="K625" i="89" s="1"/>
  <c r="H626" i="89"/>
  <c r="K626" i="89" s="1"/>
  <c r="H627" i="89"/>
  <c r="K627" i="89" s="1"/>
  <c r="H628" i="89"/>
  <c r="K628" i="89" s="1"/>
  <c r="H629" i="89"/>
  <c r="K629" i="89" s="1"/>
  <c r="H630" i="89"/>
  <c r="K630" i="89" s="1"/>
  <c r="H631" i="89"/>
  <c r="K631" i="89" s="1"/>
  <c r="H632" i="89"/>
  <c r="K632" i="89" s="1"/>
  <c r="H633" i="89"/>
  <c r="K633" i="89" s="1"/>
  <c r="H634" i="89"/>
  <c r="K634" i="89" s="1"/>
  <c r="H635" i="89"/>
  <c r="K635" i="89" s="1"/>
  <c r="H636" i="89"/>
  <c r="K636" i="89" s="1"/>
  <c r="H637" i="89"/>
  <c r="K637" i="89" s="1"/>
  <c r="H638" i="89"/>
  <c r="K638" i="89" s="1"/>
  <c r="H639" i="89"/>
  <c r="K639" i="89" s="1"/>
  <c r="H640" i="89"/>
  <c r="K640" i="89" s="1"/>
  <c r="H641" i="89"/>
  <c r="K641" i="89" s="1"/>
  <c r="H642" i="89"/>
  <c r="K642" i="89" s="1"/>
  <c r="H643" i="89"/>
  <c r="K643" i="89" s="1"/>
  <c r="H644" i="89"/>
  <c r="K644" i="89" s="1"/>
  <c r="H645" i="89"/>
  <c r="K645" i="89" s="1"/>
  <c r="H646" i="89"/>
  <c r="K646" i="89" s="1"/>
  <c r="H647" i="89"/>
  <c r="K647" i="89" s="1"/>
  <c r="H648" i="89"/>
  <c r="K648" i="89" s="1"/>
  <c r="H649" i="89"/>
  <c r="K649" i="89" s="1"/>
  <c r="H650" i="89"/>
  <c r="K650" i="89" s="1"/>
  <c r="H651" i="89"/>
  <c r="K651" i="89" s="1"/>
  <c r="H652" i="89"/>
  <c r="K652" i="89" s="1"/>
  <c r="H653" i="89"/>
  <c r="K653" i="89" s="1"/>
  <c r="H654" i="89"/>
  <c r="K654" i="89" s="1"/>
  <c r="H655" i="89"/>
  <c r="K655" i="89" s="1"/>
  <c r="H656" i="89"/>
  <c r="K656" i="89" s="1"/>
  <c r="H657" i="89"/>
  <c r="K657" i="89" s="1"/>
  <c r="H658" i="89"/>
  <c r="K658" i="89" s="1"/>
  <c r="H659" i="89"/>
  <c r="K659" i="89" s="1"/>
  <c r="H660" i="89"/>
  <c r="K660" i="89" s="1"/>
  <c r="H661" i="89"/>
  <c r="K661" i="89" s="1"/>
  <c r="H662" i="89"/>
  <c r="K662" i="89" s="1"/>
  <c r="H663" i="89"/>
  <c r="K663" i="89" s="1"/>
  <c r="H664" i="89"/>
  <c r="K664" i="89" s="1"/>
  <c r="H665" i="89"/>
  <c r="K665" i="89" s="1"/>
  <c r="H666" i="89"/>
  <c r="K666" i="89" s="1"/>
  <c r="H667" i="89"/>
  <c r="K667" i="89" s="1"/>
  <c r="H668" i="89"/>
  <c r="K668" i="89" s="1"/>
  <c r="H669" i="89"/>
  <c r="K669" i="89" s="1"/>
  <c r="H670" i="89"/>
  <c r="K670" i="89" s="1"/>
  <c r="H671" i="89"/>
  <c r="K671" i="89" s="1"/>
  <c r="H672" i="89"/>
  <c r="K672" i="89" s="1"/>
  <c r="H673" i="89"/>
  <c r="K673" i="89" s="1"/>
  <c r="H674" i="89"/>
  <c r="K674" i="89" s="1"/>
  <c r="H675" i="89"/>
  <c r="K675" i="89" s="1"/>
  <c r="H676" i="89"/>
  <c r="K676" i="89" s="1"/>
  <c r="H677" i="89"/>
  <c r="K677" i="89" s="1"/>
  <c r="H678" i="89"/>
  <c r="K678" i="89" s="1"/>
  <c r="H679" i="89"/>
  <c r="K679" i="89" s="1"/>
  <c r="H680" i="89"/>
  <c r="K680" i="89" s="1"/>
  <c r="H681" i="89"/>
  <c r="K681" i="89" s="1"/>
  <c r="H682" i="89"/>
  <c r="K682" i="89" s="1"/>
  <c r="H683" i="89"/>
  <c r="K683" i="89" s="1"/>
  <c r="H684" i="89"/>
  <c r="K684" i="89" s="1"/>
  <c r="H685" i="89"/>
  <c r="K685" i="89" s="1"/>
  <c r="H686" i="89"/>
  <c r="K686" i="89" s="1"/>
  <c r="H687" i="89"/>
  <c r="K687" i="89" s="1"/>
  <c r="H688" i="89"/>
  <c r="K688" i="89" s="1"/>
  <c r="H689" i="89"/>
  <c r="K689" i="89" s="1"/>
  <c r="H690" i="89"/>
  <c r="K690" i="89" s="1"/>
  <c r="H691" i="89"/>
  <c r="K691" i="89" s="1"/>
  <c r="H692" i="89"/>
  <c r="K692" i="89" s="1"/>
  <c r="H693" i="89"/>
  <c r="K693" i="89" s="1"/>
  <c r="H694" i="89"/>
  <c r="K694" i="89" s="1"/>
  <c r="H695" i="89"/>
  <c r="K695" i="89" s="1"/>
  <c r="H696" i="89"/>
  <c r="K696" i="89" s="1"/>
  <c r="K697" i="89"/>
  <c r="K698" i="89"/>
  <c r="K701" i="89"/>
  <c r="K702" i="89"/>
  <c r="K705" i="89"/>
  <c r="K706" i="89"/>
  <c r="K709" i="89"/>
  <c r="K710" i="89"/>
  <c r="K713" i="89"/>
  <c r="K714" i="89"/>
  <c r="K717" i="89"/>
  <c r="K718" i="89"/>
  <c r="K721" i="89"/>
  <c r="K722" i="89"/>
  <c r="K725" i="89"/>
  <c r="K726" i="89"/>
  <c r="K729" i="89"/>
  <c r="K332" i="89"/>
  <c r="K333" i="89"/>
  <c r="K334" i="89"/>
  <c r="K335" i="89"/>
  <c r="K336" i="89"/>
  <c r="K337" i="89"/>
  <c r="K338" i="89"/>
  <c r="K339" i="89"/>
  <c r="K340" i="89"/>
  <c r="K341" i="89"/>
  <c r="K342" i="89"/>
  <c r="K343" i="89"/>
  <c r="K344" i="89"/>
  <c r="K345" i="89"/>
  <c r="K346" i="89"/>
  <c r="K347" i="89"/>
  <c r="K348" i="89"/>
  <c r="K349" i="89"/>
  <c r="K350" i="89"/>
  <c r="K351" i="89"/>
  <c r="K352" i="89"/>
  <c r="K353" i="89"/>
  <c r="K354" i="89"/>
  <c r="K361" i="89"/>
  <c r="K362" i="89"/>
  <c r="K363" i="89"/>
  <c r="K364" i="89"/>
  <c r="K365" i="89"/>
  <c r="K366" i="89"/>
  <c r="K367" i="89"/>
  <c r="K368" i="89"/>
  <c r="K369" i="89"/>
  <c r="K370" i="89"/>
  <c r="K371" i="89"/>
  <c r="K372" i="89"/>
  <c r="K376" i="89"/>
  <c r="K377" i="89"/>
  <c r="K378" i="89"/>
  <c r="K379" i="89"/>
  <c r="K380" i="89"/>
  <c r="K381" i="89"/>
  <c r="K382" i="89"/>
  <c r="K383" i="89"/>
  <c r="K384" i="89"/>
  <c r="K385" i="89"/>
  <c r="K386" i="89"/>
  <c r="K387" i="89"/>
  <c r="K388" i="89"/>
  <c r="K389" i="89"/>
  <c r="K390" i="89"/>
  <c r="K391" i="89"/>
  <c r="K392" i="89"/>
  <c r="K393" i="89"/>
  <c r="K394" i="89"/>
  <c r="K395" i="89"/>
  <c r="K396" i="89"/>
  <c r="K397" i="89"/>
  <c r="K398" i="89"/>
  <c r="K399" i="89"/>
  <c r="K400" i="89"/>
  <c r="K401" i="89"/>
  <c r="K402" i="89"/>
  <c r="K403" i="89"/>
  <c r="K404" i="89"/>
  <c r="K405" i="89"/>
  <c r="K406" i="89"/>
  <c r="K407" i="89"/>
  <c r="K408" i="89"/>
  <c r="K409" i="89"/>
  <c r="K410" i="89"/>
  <c r="K411" i="89"/>
  <c r="K412" i="89"/>
  <c r="K413" i="89"/>
  <c r="K414" i="89"/>
  <c r="K415" i="89"/>
  <c r="K416" i="89"/>
  <c r="K417" i="89"/>
  <c r="K418" i="89"/>
  <c r="K419" i="89"/>
  <c r="K494" i="89"/>
  <c r="K495" i="89"/>
  <c r="K699" i="89"/>
  <c r="K700" i="89"/>
  <c r="K703" i="89"/>
  <c r="K704" i="89"/>
  <c r="K707" i="89"/>
  <c r="K708" i="89"/>
  <c r="K711" i="89"/>
  <c r="K712" i="89"/>
  <c r="K715" i="89"/>
  <c r="K716" i="89"/>
  <c r="K719" i="89"/>
  <c r="K720" i="89"/>
  <c r="K723" i="89"/>
  <c r="K724" i="89"/>
  <c r="K727" i="89"/>
  <c r="K728" i="89"/>
  <c r="K782" i="89"/>
  <c r="K783" i="89"/>
  <c r="K784" i="89"/>
  <c r="K785" i="89"/>
  <c r="K786" i="89"/>
  <c r="K787" i="89"/>
  <c r="K788" i="89"/>
  <c r="K789" i="89"/>
  <c r="K790" i="89"/>
  <c r="K791" i="89"/>
  <c r="K792" i="89"/>
  <c r="K793" i="89"/>
  <c r="K794" i="89"/>
  <c r="K795" i="89"/>
  <c r="K796" i="89"/>
  <c r="K797" i="89"/>
  <c r="K730" i="89"/>
  <c r="K731" i="89"/>
  <c r="K732" i="89"/>
  <c r="K733" i="89"/>
  <c r="K734" i="89"/>
  <c r="K735" i="89"/>
  <c r="K736" i="89"/>
  <c r="K737" i="89"/>
  <c r="K738" i="89"/>
  <c r="K739" i="89"/>
  <c r="K740" i="89"/>
  <c r="K741" i="89"/>
  <c r="K742" i="89"/>
  <c r="K743" i="89"/>
  <c r="K744" i="89"/>
  <c r="K745" i="89"/>
  <c r="K746" i="89"/>
  <c r="K747" i="89"/>
  <c r="K748" i="89"/>
  <c r="K749" i="89"/>
  <c r="K750" i="89"/>
  <c r="K751" i="89"/>
  <c r="K752" i="89"/>
  <c r="K753" i="89"/>
  <c r="K754" i="89"/>
  <c r="K755" i="89"/>
  <c r="K756" i="89"/>
  <c r="K757" i="89"/>
  <c r="K758" i="89"/>
  <c r="K759" i="89"/>
  <c r="K760" i="89"/>
  <c r="K761" i="89"/>
  <c r="K762" i="89"/>
  <c r="K763" i="89"/>
  <c r="K764" i="89"/>
  <c r="K765" i="89"/>
  <c r="K766" i="89"/>
  <c r="K767" i="89"/>
  <c r="K768" i="89"/>
  <c r="K769" i="89"/>
  <c r="K770" i="89"/>
  <c r="K771" i="89"/>
  <c r="K772" i="89"/>
  <c r="K773" i="89"/>
  <c r="K774" i="89"/>
  <c r="K775" i="89"/>
  <c r="K776" i="89"/>
  <c r="K777" i="89"/>
  <c r="K778" i="89"/>
  <c r="K779" i="89"/>
  <c r="K780" i="89"/>
  <c r="K781" i="89"/>
  <c r="L124" i="89"/>
  <c r="L125" i="89"/>
  <c r="L126" i="89"/>
  <c r="L643" i="89"/>
  <c r="L632" i="89"/>
  <c r="L576" i="89"/>
  <c r="L570" i="89"/>
  <c r="L571" i="89"/>
  <c r="L561" i="89"/>
  <c r="L524" i="89"/>
  <c r="L525" i="89"/>
  <c r="L507" i="89"/>
  <c r="L508" i="89"/>
  <c r="L486" i="89"/>
  <c r="L475" i="89"/>
  <c r="L473" i="89"/>
  <c r="L467" i="89"/>
  <c r="L454" i="89"/>
  <c r="L449" i="89"/>
  <c r="L450" i="89"/>
  <c r="L442" i="89"/>
  <c r="L337" i="89"/>
  <c r="L330" i="89"/>
  <c r="L315" i="89"/>
  <c r="L316" i="89"/>
  <c r="L317" i="89"/>
  <c r="L306" i="89"/>
  <c r="L224" i="89"/>
  <c r="L164" i="89"/>
  <c r="L165" i="89"/>
  <c r="L92" i="89"/>
  <c r="L71" i="89"/>
  <c r="L59" i="89"/>
  <c r="F1394" i="89"/>
  <c r="G1394" i="89"/>
  <c r="I1394" i="89"/>
  <c r="J1394" i="89"/>
  <c r="E1394" i="89"/>
  <c r="I11" i="88" l="1"/>
  <c r="I12" i="88"/>
  <c r="I13" i="88"/>
  <c r="K13" i="88" s="1"/>
  <c r="I14" i="88"/>
  <c r="I15" i="88"/>
  <c r="I16" i="88"/>
  <c r="I17" i="88"/>
  <c r="I18" i="88"/>
  <c r="I19" i="88"/>
  <c r="I20" i="88"/>
  <c r="I21" i="88"/>
  <c r="I22" i="88"/>
  <c r="I23" i="88"/>
  <c r="I24" i="88"/>
  <c r="K71" i="88"/>
  <c r="K75" i="88"/>
  <c r="K9" i="88"/>
  <c r="K17" i="88"/>
  <c r="K21" i="88"/>
  <c r="K25" i="88"/>
  <c r="K28" i="88"/>
  <c r="K29" i="88"/>
  <c r="K32" i="88"/>
  <c r="K33" i="88"/>
  <c r="K35" i="88"/>
  <c r="K37" i="88"/>
  <c r="K41" i="88"/>
  <c r="K45" i="88"/>
  <c r="K49" i="88"/>
  <c r="K53" i="88"/>
  <c r="K57" i="88"/>
  <c r="K61" i="88"/>
  <c r="K65" i="88"/>
  <c r="D10" i="90"/>
  <c r="J9" i="90"/>
  <c r="I9" i="90"/>
  <c r="J8" i="90"/>
  <c r="I8" i="90"/>
  <c r="J7" i="90"/>
  <c r="I7" i="90"/>
  <c r="J6" i="90"/>
  <c r="I6" i="90"/>
  <c r="J5" i="90"/>
  <c r="I5" i="90"/>
  <c r="J4" i="90"/>
  <c r="I4" i="90"/>
  <c r="J3" i="89"/>
  <c r="E3" i="89"/>
  <c r="L1393" i="89"/>
  <c r="H1393" i="89"/>
  <c r="K1393" i="89" s="1"/>
  <c r="L1392" i="89"/>
  <c r="H1392" i="89"/>
  <c r="K1392" i="89" s="1"/>
  <c r="L1391" i="89"/>
  <c r="H1391" i="89"/>
  <c r="K1391" i="89" s="1"/>
  <c r="L1390" i="89"/>
  <c r="H1390" i="89"/>
  <c r="K1390" i="89" s="1"/>
  <c r="L1389" i="89"/>
  <c r="H1389" i="89"/>
  <c r="K1389" i="89" s="1"/>
  <c r="L1388" i="89"/>
  <c r="H1388" i="89"/>
  <c r="K1388" i="89" s="1"/>
  <c r="L1387" i="89"/>
  <c r="H1387" i="89"/>
  <c r="K1387" i="89" s="1"/>
  <c r="L1386" i="89"/>
  <c r="H1386" i="89"/>
  <c r="K1386" i="89" s="1"/>
  <c r="L1385" i="89"/>
  <c r="H1385" i="89"/>
  <c r="K1385" i="89" s="1"/>
  <c r="L1384" i="89"/>
  <c r="H1384" i="89"/>
  <c r="K1384" i="89" s="1"/>
  <c r="L1383" i="89"/>
  <c r="H1383" i="89"/>
  <c r="K1383" i="89" s="1"/>
  <c r="L1382" i="89"/>
  <c r="H1382" i="89"/>
  <c r="K1382" i="89" s="1"/>
  <c r="L1381" i="89"/>
  <c r="H1381" i="89"/>
  <c r="K1381" i="89" s="1"/>
  <c r="L1380" i="89"/>
  <c r="H1380" i="89"/>
  <c r="K1380" i="89" s="1"/>
  <c r="L1379" i="89"/>
  <c r="H1379" i="89"/>
  <c r="K1379" i="89" s="1"/>
  <c r="L1378" i="89"/>
  <c r="H1378" i="89"/>
  <c r="K1378" i="89" s="1"/>
  <c r="L1377" i="89"/>
  <c r="H1377" i="89"/>
  <c r="K1377" i="89" s="1"/>
  <c r="L1376" i="89"/>
  <c r="H1376" i="89"/>
  <c r="K1376" i="89" s="1"/>
  <c r="L1375" i="89"/>
  <c r="H1375" i="89"/>
  <c r="K1375" i="89" s="1"/>
  <c r="L1374" i="89"/>
  <c r="H1374" i="89"/>
  <c r="K1374" i="89" s="1"/>
  <c r="L1373" i="89"/>
  <c r="H1373" i="89"/>
  <c r="K1373" i="89" s="1"/>
  <c r="L1372" i="89"/>
  <c r="H1372" i="89"/>
  <c r="K1372" i="89" s="1"/>
  <c r="L1371" i="89"/>
  <c r="H1371" i="89"/>
  <c r="K1371" i="89" s="1"/>
  <c r="L1370" i="89"/>
  <c r="H1370" i="89"/>
  <c r="K1370" i="89" s="1"/>
  <c r="L1369" i="89"/>
  <c r="H1369" i="89"/>
  <c r="K1369" i="89" s="1"/>
  <c r="L1368" i="89"/>
  <c r="H1368" i="89"/>
  <c r="K1368" i="89" s="1"/>
  <c r="L1367" i="89"/>
  <c r="H1367" i="89"/>
  <c r="K1367" i="89" s="1"/>
  <c r="L1366" i="89"/>
  <c r="H1366" i="89"/>
  <c r="K1366" i="89" s="1"/>
  <c r="L1365" i="89"/>
  <c r="H1365" i="89"/>
  <c r="K1365" i="89" s="1"/>
  <c r="L1364" i="89"/>
  <c r="H1364" i="89"/>
  <c r="K1364" i="89" s="1"/>
  <c r="L1363" i="89"/>
  <c r="H1363" i="89"/>
  <c r="K1363" i="89" s="1"/>
  <c r="L1362" i="89"/>
  <c r="H1362" i="89"/>
  <c r="K1362" i="89" s="1"/>
  <c r="L1361" i="89"/>
  <c r="H1361" i="89"/>
  <c r="K1361" i="89" s="1"/>
  <c r="L1360" i="89"/>
  <c r="H1360" i="89"/>
  <c r="K1360" i="89" s="1"/>
  <c r="L1359" i="89"/>
  <c r="H1359" i="89"/>
  <c r="K1359" i="89" s="1"/>
  <c r="L1358" i="89"/>
  <c r="H1358" i="89"/>
  <c r="K1358" i="89" s="1"/>
  <c r="L1357" i="89"/>
  <c r="H1357" i="89"/>
  <c r="K1357" i="89" s="1"/>
  <c r="L1356" i="89"/>
  <c r="H1356" i="89"/>
  <c r="K1356" i="89" s="1"/>
  <c r="L1355" i="89"/>
  <c r="H1355" i="89"/>
  <c r="K1355" i="89" s="1"/>
  <c r="L1354" i="89"/>
  <c r="H1354" i="89"/>
  <c r="K1354" i="89" s="1"/>
  <c r="L1353" i="89"/>
  <c r="H1353" i="89"/>
  <c r="K1353" i="89" s="1"/>
  <c r="L1352" i="89"/>
  <c r="H1352" i="89"/>
  <c r="K1352" i="89" s="1"/>
  <c r="L1351" i="89"/>
  <c r="H1351" i="89"/>
  <c r="K1351" i="89" s="1"/>
  <c r="L1350" i="89"/>
  <c r="H1350" i="89"/>
  <c r="K1350" i="89" s="1"/>
  <c r="L1349" i="89"/>
  <c r="H1349" i="89"/>
  <c r="K1349" i="89" s="1"/>
  <c r="L1348" i="89"/>
  <c r="H1348" i="89"/>
  <c r="K1348" i="89" s="1"/>
  <c r="L1347" i="89"/>
  <c r="H1347" i="89"/>
  <c r="K1347" i="89" s="1"/>
  <c r="L1346" i="89"/>
  <c r="H1346" i="89"/>
  <c r="K1346" i="89" s="1"/>
  <c r="L1345" i="89"/>
  <c r="H1345" i="89"/>
  <c r="K1345" i="89" s="1"/>
  <c r="L1344" i="89"/>
  <c r="H1344" i="89"/>
  <c r="K1344" i="89" s="1"/>
  <c r="L1343" i="89"/>
  <c r="H1343" i="89"/>
  <c r="K1343" i="89" s="1"/>
  <c r="L1342" i="89"/>
  <c r="H1342" i="89"/>
  <c r="K1342" i="89" s="1"/>
  <c r="L1341" i="89"/>
  <c r="H1341" i="89"/>
  <c r="K1341" i="89" s="1"/>
  <c r="L1340" i="89"/>
  <c r="H1340" i="89"/>
  <c r="K1340" i="89" s="1"/>
  <c r="L1339" i="89"/>
  <c r="H1339" i="89"/>
  <c r="K1339" i="89" s="1"/>
  <c r="L1338" i="89"/>
  <c r="H1338" i="89"/>
  <c r="K1338" i="89" s="1"/>
  <c r="L1337" i="89"/>
  <c r="H1337" i="89"/>
  <c r="K1337" i="89" s="1"/>
  <c r="L1336" i="89"/>
  <c r="H1336" i="89"/>
  <c r="K1336" i="89" s="1"/>
  <c r="L1335" i="89"/>
  <c r="H1335" i="89"/>
  <c r="K1335" i="89" s="1"/>
  <c r="L1334" i="89"/>
  <c r="H1334" i="89"/>
  <c r="K1334" i="89" s="1"/>
  <c r="L1333" i="89"/>
  <c r="H1333" i="89"/>
  <c r="K1333" i="89" s="1"/>
  <c r="L1332" i="89"/>
  <c r="H1332" i="89"/>
  <c r="K1332" i="89" s="1"/>
  <c r="L1331" i="89"/>
  <c r="H1331" i="89"/>
  <c r="K1331" i="89" s="1"/>
  <c r="L1330" i="89"/>
  <c r="H1330" i="89"/>
  <c r="K1330" i="89" s="1"/>
  <c r="L1329" i="89"/>
  <c r="H1329" i="89"/>
  <c r="K1329" i="89" s="1"/>
  <c r="L1328" i="89"/>
  <c r="H1328" i="89"/>
  <c r="K1328" i="89" s="1"/>
  <c r="L1327" i="89"/>
  <c r="H1327" i="89"/>
  <c r="K1327" i="89" s="1"/>
  <c r="L1326" i="89"/>
  <c r="H1326" i="89"/>
  <c r="K1326" i="89" s="1"/>
  <c r="L1325" i="89"/>
  <c r="H1325" i="89"/>
  <c r="K1325" i="89" s="1"/>
  <c r="L1324" i="89"/>
  <c r="H1324" i="89"/>
  <c r="K1324" i="89" s="1"/>
  <c r="L1323" i="89"/>
  <c r="H1323" i="89"/>
  <c r="K1323" i="89" s="1"/>
  <c r="L1322" i="89"/>
  <c r="H1322" i="89"/>
  <c r="K1322" i="89" s="1"/>
  <c r="L1321" i="89"/>
  <c r="H1321" i="89"/>
  <c r="K1321" i="89" s="1"/>
  <c r="L1320" i="89"/>
  <c r="H1320" i="89"/>
  <c r="K1320" i="89" s="1"/>
  <c r="L1319" i="89"/>
  <c r="L1318" i="89"/>
  <c r="L1317" i="89"/>
  <c r="L1316" i="89"/>
  <c r="L1315" i="89"/>
  <c r="L1314" i="89"/>
  <c r="L1313" i="89"/>
  <c r="L1312" i="89"/>
  <c r="L1311" i="89"/>
  <c r="L1310" i="89"/>
  <c r="L1309" i="89"/>
  <c r="L1308" i="89"/>
  <c r="L1307" i="89"/>
  <c r="L1306" i="89"/>
  <c r="L1305" i="89"/>
  <c r="L1304" i="89"/>
  <c r="L1303" i="89"/>
  <c r="L1302" i="89"/>
  <c r="L1301" i="89"/>
  <c r="L1300" i="89"/>
  <c r="L1299" i="89"/>
  <c r="L1298" i="89"/>
  <c r="L1297" i="89"/>
  <c r="L1296" i="89"/>
  <c r="L1295" i="89"/>
  <c r="L1294" i="89"/>
  <c r="L1293" i="89"/>
  <c r="L1292" i="89"/>
  <c r="L1291" i="89"/>
  <c r="L1290" i="89"/>
  <c r="L1289" i="89"/>
  <c r="L1288" i="89"/>
  <c r="L1287" i="89"/>
  <c r="L1286" i="89"/>
  <c r="L1285" i="89"/>
  <c r="L1284" i="89"/>
  <c r="L1283" i="89"/>
  <c r="L1282" i="89"/>
  <c r="L1281" i="89"/>
  <c r="L1280" i="89"/>
  <c r="L1279" i="89"/>
  <c r="L1278" i="89"/>
  <c r="L1277" i="89"/>
  <c r="L1276" i="89"/>
  <c r="L1275" i="89"/>
  <c r="L1274" i="89"/>
  <c r="L1273" i="89"/>
  <c r="L1272" i="89"/>
  <c r="L1271" i="89"/>
  <c r="L1270" i="89"/>
  <c r="L1269" i="89"/>
  <c r="L1268" i="89"/>
  <c r="L1267" i="89"/>
  <c r="L1266" i="89"/>
  <c r="L1265" i="89"/>
  <c r="L1264" i="89"/>
  <c r="L1263" i="89"/>
  <c r="L1262" i="89"/>
  <c r="L1261" i="89"/>
  <c r="L1260" i="89"/>
  <c r="L1259" i="89"/>
  <c r="L1258" i="89"/>
  <c r="L1257" i="89"/>
  <c r="L1256" i="89"/>
  <c r="L1255" i="89"/>
  <c r="L1254" i="89"/>
  <c r="L1253" i="89"/>
  <c r="L1252" i="89"/>
  <c r="L1251" i="89"/>
  <c r="L1250" i="89"/>
  <c r="L1249" i="89"/>
  <c r="L1248" i="89"/>
  <c r="L1247" i="89"/>
  <c r="L1246" i="89"/>
  <c r="L1245" i="89"/>
  <c r="L1244" i="89"/>
  <c r="L1243" i="89"/>
  <c r="L1242" i="89"/>
  <c r="L1241" i="89"/>
  <c r="L1240" i="89"/>
  <c r="L1239" i="89"/>
  <c r="L1238" i="89"/>
  <c r="L1237" i="89"/>
  <c r="L1236" i="89"/>
  <c r="L1235" i="89"/>
  <c r="L1234" i="89"/>
  <c r="L1233" i="89"/>
  <c r="L1232" i="89"/>
  <c r="L1231" i="89"/>
  <c r="L1230" i="89"/>
  <c r="L1229" i="89"/>
  <c r="L1228" i="89"/>
  <c r="L1227" i="89"/>
  <c r="L1226" i="89"/>
  <c r="L1225" i="89"/>
  <c r="L1224" i="89"/>
  <c r="L1223" i="89"/>
  <c r="L1222" i="89"/>
  <c r="L1221" i="89"/>
  <c r="L1220" i="89"/>
  <c r="L1219" i="89"/>
  <c r="L1218" i="89"/>
  <c r="L1217" i="89"/>
  <c r="L1216" i="89"/>
  <c r="L1215" i="89"/>
  <c r="L1214" i="89"/>
  <c r="L1213" i="89"/>
  <c r="L1212" i="89"/>
  <c r="L1211" i="89"/>
  <c r="L1210" i="89"/>
  <c r="L1209" i="89"/>
  <c r="L1208" i="89"/>
  <c r="L1207" i="89"/>
  <c r="L1206" i="89"/>
  <c r="L1205" i="89"/>
  <c r="L1204" i="89"/>
  <c r="L1203" i="89"/>
  <c r="L1202" i="89"/>
  <c r="L1201" i="89"/>
  <c r="L1200" i="89"/>
  <c r="L1199" i="89"/>
  <c r="L1198" i="89"/>
  <c r="L1197" i="89"/>
  <c r="L1196" i="89"/>
  <c r="L1195" i="89"/>
  <c r="L1194" i="89"/>
  <c r="L1193" i="89"/>
  <c r="L1192" i="89"/>
  <c r="L1191" i="89"/>
  <c r="L1190" i="89"/>
  <c r="L1189" i="89"/>
  <c r="L1188" i="89"/>
  <c r="L1187" i="89"/>
  <c r="L1186" i="89"/>
  <c r="L1185" i="89"/>
  <c r="L1184" i="89"/>
  <c r="L1183" i="89"/>
  <c r="L1182" i="89"/>
  <c r="L1181" i="89"/>
  <c r="L1180" i="89"/>
  <c r="L1179" i="89"/>
  <c r="L1178" i="89"/>
  <c r="L1177" i="89"/>
  <c r="L1176" i="89"/>
  <c r="L1175" i="89"/>
  <c r="L1174" i="89"/>
  <c r="L1173" i="89"/>
  <c r="L1172" i="89"/>
  <c r="L1171" i="89"/>
  <c r="L1170" i="89"/>
  <c r="L1169" i="89"/>
  <c r="L1168" i="89"/>
  <c r="L1167" i="89"/>
  <c r="L1166" i="89"/>
  <c r="L1165" i="89"/>
  <c r="L1164" i="89"/>
  <c r="L1163" i="89"/>
  <c r="L1162" i="89"/>
  <c r="L1161" i="89"/>
  <c r="L1160" i="89"/>
  <c r="L1159" i="89"/>
  <c r="L1158" i="89"/>
  <c r="L1157" i="89"/>
  <c r="L1156" i="89"/>
  <c r="L1155" i="89"/>
  <c r="L1154" i="89"/>
  <c r="L1153" i="89"/>
  <c r="L1152" i="89"/>
  <c r="L1151" i="89"/>
  <c r="L1150" i="89"/>
  <c r="L1149" i="89"/>
  <c r="L1148" i="89"/>
  <c r="L1147" i="89"/>
  <c r="L1146" i="89"/>
  <c r="L1145" i="89"/>
  <c r="L1144" i="89"/>
  <c r="L1143" i="89"/>
  <c r="L1142" i="89"/>
  <c r="L1141" i="89"/>
  <c r="L1140" i="89"/>
  <c r="L1139" i="89"/>
  <c r="L1138" i="89"/>
  <c r="L1137" i="89"/>
  <c r="L1136" i="89"/>
  <c r="L1135" i="89"/>
  <c r="L1134" i="89"/>
  <c r="L1133" i="89"/>
  <c r="L1132" i="89"/>
  <c r="L1131" i="89"/>
  <c r="L1130" i="89"/>
  <c r="L1129" i="89"/>
  <c r="L1128" i="89"/>
  <c r="L1127" i="89"/>
  <c r="L1126" i="89"/>
  <c r="L1125" i="89"/>
  <c r="L1124" i="89"/>
  <c r="L1123" i="89"/>
  <c r="L1122" i="89"/>
  <c r="L1121" i="89"/>
  <c r="L1120" i="89"/>
  <c r="L1119" i="89"/>
  <c r="L1118" i="89"/>
  <c r="L1117" i="89"/>
  <c r="L1116" i="89"/>
  <c r="L1115" i="89"/>
  <c r="L1114" i="89"/>
  <c r="L1113" i="89"/>
  <c r="L1112" i="89"/>
  <c r="L1111" i="89"/>
  <c r="L1110" i="89"/>
  <c r="L1109" i="89"/>
  <c r="L1108" i="89"/>
  <c r="L1107" i="89"/>
  <c r="L1106" i="89"/>
  <c r="L1105" i="89"/>
  <c r="L1104" i="89"/>
  <c r="L1103" i="89"/>
  <c r="L1102" i="89"/>
  <c r="L1101" i="89"/>
  <c r="L1100" i="89"/>
  <c r="L1099" i="89"/>
  <c r="L1098" i="89"/>
  <c r="L1097" i="89"/>
  <c r="L1096" i="89"/>
  <c r="L1095" i="89"/>
  <c r="L1094" i="89"/>
  <c r="L1093" i="89"/>
  <c r="L1092" i="89"/>
  <c r="L1091" i="89"/>
  <c r="L1090" i="89"/>
  <c r="L1089" i="89"/>
  <c r="L1088" i="89"/>
  <c r="L1087" i="89"/>
  <c r="L1086" i="89"/>
  <c r="L1085" i="89"/>
  <c r="L1084" i="89"/>
  <c r="L1083" i="89"/>
  <c r="L1082" i="89"/>
  <c r="L1081" i="89"/>
  <c r="L1080" i="89"/>
  <c r="L1079" i="89"/>
  <c r="L1078" i="89"/>
  <c r="L1077" i="89"/>
  <c r="L1076" i="89"/>
  <c r="L1075" i="89"/>
  <c r="L1074" i="89"/>
  <c r="L1073" i="89"/>
  <c r="L1072" i="89"/>
  <c r="L1071" i="89"/>
  <c r="L1070" i="89"/>
  <c r="L1069" i="89"/>
  <c r="L1068" i="89"/>
  <c r="L1067" i="89"/>
  <c r="L1066" i="89"/>
  <c r="L1065" i="89"/>
  <c r="L1064" i="89"/>
  <c r="L1063" i="89"/>
  <c r="L1062" i="89"/>
  <c r="L1061" i="89"/>
  <c r="L1060" i="89"/>
  <c r="L1059" i="89"/>
  <c r="L1058" i="89"/>
  <c r="L1057" i="89"/>
  <c r="L1056" i="89"/>
  <c r="L1055" i="89"/>
  <c r="L1054" i="89"/>
  <c r="L1053" i="89"/>
  <c r="L1052" i="89"/>
  <c r="L1051" i="89"/>
  <c r="L1050" i="89"/>
  <c r="L1049" i="89"/>
  <c r="L1048" i="89"/>
  <c r="L1047" i="89"/>
  <c r="L1046" i="89"/>
  <c r="L1045" i="89"/>
  <c r="L1044" i="89"/>
  <c r="L1043" i="89"/>
  <c r="L1042" i="89"/>
  <c r="L1041" i="89"/>
  <c r="L1040" i="89"/>
  <c r="L1039" i="89"/>
  <c r="L1038" i="89"/>
  <c r="L1037" i="89"/>
  <c r="L1036" i="89"/>
  <c r="L1035" i="89"/>
  <c r="L1034" i="89"/>
  <c r="L1033" i="89"/>
  <c r="L1032" i="89"/>
  <c r="L1031" i="89"/>
  <c r="L1030" i="89"/>
  <c r="L1029" i="89"/>
  <c r="L1028" i="89"/>
  <c r="L1027" i="89"/>
  <c r="L1026" i="89"/>
  <c r="L1025" i="89"/>
  <c r="L1024" i="89"/>
  <c r="L1023" i="89"/>
  <c r="L1022" i="89"/>
  <c r="L1021" i="89"/>
  <c r="L1020" i="89"/>
  <c r="L1019" i="89"/>
  <c r="L1018" i="89"/>
  <c r="L1017" i="89"/>
  <c r="L1016" i="89"/>
  <c r="L1015" i="89"/>
  <c r="L1014" i="89"/>
  <c r="L1013" i="89"/>
  <c r="L1012" i="89"/>
  <c r="L1011" i="89"/>
  <c r="L1010" i="89"/>
  <c r="L1009" i="89"/>
  <c r="L1008" i="89"/>
  <c r="L1007" i="89"/>
  <c r="L1006" i="89"/>
  <c r="L1005" i="89"/>
  <c r="L1004" i="89"/>
  <c r="L1003" i="89"/>
  <c r="L1002" i="89"/>
  <c r="L1001" i="89"/>
  <c r="L1000" i="89"/>
  <c r="L999" i="89"/>
  <c r="L998" i="89"/>
  <c r="L997" i="89"/>
  <c r="L996" i="89"/>
  <c r="L995" i="89"/>
  <c r="L994" i="89"/>
  <c r="L993" i="89"/>
  <c r="L992" i="89"/>
  <c r="L991" i="89"/>
  <c r="L990" i="89"/>
  <c r="L989" i="89"/>
  <c r="L988" i="89"/>
  <c r="L987" i="89"/>
  <c r="L986" i="89"/>
  <c r="L985" i="89"/>
  <c r="L984" i="89"/>
  <c r="L983" i="89"/>
  <c r="L982" i="89"/>
  <c r="L981" i="89"/>
  <c r="L980" i="89"/>
  <c r="L979" i="89"/>
  <c r="L978" i="89"/>
  <c r="L977" i="89"/>
  <c r="L976" i="89"/>
  <c r="L975" i="89"/>
  <c r="L974" i="89"/>
  <c r="L973" i="89"/>
  <c r="L972" i="89"/>
  <c r="L971" i="89"/>
  <c r="L970" i="89"/>
  <c r="L969" i="89"/>
  <c r="L968" i="89"/>
  <c r="L967" i="89"/>
  <c r="L966" i="89"/>
  <c r="L965" i="89"/>
  <c r="L964" i="89"/>
  <c r="L963" i="89"/>
  <c r="L962" i="89"/>
  <c r="L961" i="89"/>
  <c r="L960" i="89"/>
  <c r="L959" i="89"/>
  <c r="L958" i="89"/>
  <c r="L957" i="89"/>
  <c r="L956" i="89"/>
  <c r="L955" i="89"/>
  <c r="L954" i="89"/>
  <c r="L953" i="89"/>
  <c r="L952" i="89"/>
  <c r="L951" i="89"/>
  <c r="L950" i="89"/>
  <c r="L949" i="89"/>
  <c r="L948" i="89"/>
  <c r="L947" i="89"/>
  <c r="L946" i="89"/>
  <c r="L945" i="89"/>
  <c r="L944" i="89"/>
  <c r="L943" i="89"/>
  <c r="L942" i="89"/>
  <c r="L941" i="89"/>
  <c r="L940" i="89"/>
  <c r="L939" i="89"/>
  <c r="L938" i="89"/>
  <c r="L937" i="89"/>
  <c r="L936" i="89"/>
  <c r="L935" i="89"/>
  <c r="L934" i="89"/>
  <c r="L933" i="89"/>
  <c r="L932" i="89"/>
  <c r="L931" i="89"/>
  <c r="L930" i="89"/>
  <c r="L929" i="89"/>
  <c r="L928" i="89"/>
  <c r="L927" i="89"/>
  <c r="L926" i="89"/>
  <c r="L925" i="89"/>
  <c r="L924" i="89"/>
  <c r="L923" i="89"/>
  <c r="L922" i="89"/>
  <c r="L921" i="89"/>
  <c r="L920" i="89"/>
  <c r="L919" i="89"/>
  <c r="L918" i="89"/>
  <c r="L917" i="89"/>
  <c r="L916" i="89"/>
  <c r="L915" i="89"/>
  <c r="L914" i="89"/>
  <c r="L913" i="89"/>
  <c r="L912" i="89"/>
  <c r="L911" i="89"/>
  <c r="L910" i="89"/>
  <c r="L909" i="89"/>
  <c r="L908" i="89"/>
  <c r="L907" i="89"/>
  <c r="L906" i="89"/>
  <c r="L905" i="89"/>
  <c r="L904" i="89"/>
  <c r="L903" i="89"/>
  <c r="L902" i="89"/>
  <c r="L901" i="89"/>
  <c r="L900" i="89"/>
  <c r="L899" i="89"/>
  <c r="L898" i="89"/>
  <c r="L897" i="89"/>
  <c r="L896" i="89"/>
  <c r="L895" i="89"/>
  <c r="L894" i="89"/>
  <c r="L893" i="89"/>
  <c r="L892" i="89"/>
  <c r="L891" i="89"/>
  <c r="L890" i="89"/>
  <c r="L889" i="89"/>
  <c r="L888" i="89"/>
  <c r="L887" i="89"/>
  <c r="L886" i="89"/>
  <c r="L885" i="89"/>
  <c r="L884" i="89"/>
  <c r="L883" i="89"/>
  <c r="L882" i="89"/>
  <c r="L881" i="89"/>
  <c r="L880" i="89"/>
  <c r="L879" i="89"/>
  <c r="L878" i="89"/>
  <c r="L877" i="89"/>
  <c r="L876" i="89"/>
  <c r="L875" i="89"/>
  <c r="L874" i="89"/>
  <c r="L873" i="89"/>
  <c r="L872" i="89"/>
  <c r="L871" i="89"/>
  <c r="L870" i="89"/>
  <c r="L869" i="89"/>
  <c r="L868" i="89"/>
  <c r="L867" i="89"/>
  <c r="L866" i="89"/>
  <c r="L865" i="89"/>
  <c r="L864" i="89"/>
  <c r="L863" i="89"/>
  <c r="L862" i="89"/>
  <c r="L861" i="89"/>
  <c r="L860" i="89"/>
  <c r="L859" i="89"/>
  <c r="L858" i="89"/>
  <c r="L857" i="89"/>
  <c r="L856" i="89"/>
  <c r="L855" i="89"/>
  <c r="L854" i="89"/>
  <c r="L853" i="89"/>
  <c r="L852" i="89"/>
  <c r="L851" i="89"/>
  <c r="L850" i="89"/>
  <c r="L849" i="89"/>
  <c r="L848" i="89"/>
  <c r="L847" i="89"/>
  <c r="L846" i="89"/>
  <c r="L845" i="89"/>
  <c r="L844" i="89"/>
  <c r="L843" i="89"/>
  <c r="L842" i="89"/>
  <c r="L841" i="89"/>
  <c r="L840" i="89"/>
  <c r="L839" i="89"/>
  <c r="L838" i="89"/>
  <c r="L837" i="89"/>
  <c r="L836" i="89"/>
  <c r="L835" i="89"/>
  <c r="L834" i="89"/>
  <c r="L833" i="89"/>
  <c r="L832" i="89"/>
  <c r="L831" i="89"/>
  <c r="L830" i="89"/>
  <c r="L829" i="89"/>
  <c r="L828" i="89"/>
  <c r="L827" i="89"/>
  <c r="L826" i="89"/>
  <c r="L825" i="89"/>
  <c r="L824" i="89"/>
  <c r="L823" i="89"/>
  <c r="L822" i="89"/>
  <c r="L821" i="89"/>
  <c r="L820" i="89"/>
  <c r="L819" i="89"/>
  <c r="K819" i="89"/>
  <c r="L818" i="89"/>
  <c r="K818" i="89"/>
  <c r="L817" i="89"/>
  <c r="K817" i="89"/>
  <c r="L816" i="89"/>
  <c r="K816" i="89"/>
  <c r="L815" i="89"/>
  <c r="K815" i="89"/>
  <c r="L814" i="89"/>
  <c r="K814" i="89"/>
  <c r="L813" i="89"/>
  <c r="K813" i="89"/>
  <c r="L812" i="89"/>
  <c r="K812" i="89"/>
  <c r="L811" i="89"/>
  <c r="K811" i="89"/>
  <c r="L810" i="89"/>
  <c r="K810" i="89"/>
  <c r="L809" i="89"/>
  <c r="K809" i="89"/>
  <c r="L808" i="89"/>
  <c r="K808" i="89"/>
  <c r="L807" i="89"/>
  <c r="K807" i="89"/>
  <c r="L806" i="89"/>
  <c r="K806" i="89"/>
  <c r="L805" i="89"/>
  <c r="K805" i="89"/>
  <c r="L804" i="89"/>
  <c r="K804" i="89"/>
  <c r="L803" i="89"/>
  <c r="K803" i="89"/>
  <c r="L802" i="89"/>
  <c r="K802" i="89"/>
  <c r="L801" i="89"/>
  <c r="K801" i="89"/>
  <c r="L800" i="89"/>
  <c r="K800" i="89"/>
  <c r="L799" i="89"/>
  <c r="K799" i="89"/>
  <c r="L798" i="89"/>
  <c r="K798" i="89"/>
  <c r="L797" i="89"/>
  <c r="L796" i="89"/>
  <c r="L795" i="89"/>
  <c r="L794" i="89"/>
  <c r="L793" i="89"/>
  <c r="L792" i="89"/>
  <c r="L791" i="89"/>
  <c r="L790" i="89"/>
  <c r="L789" i="89"/>
  <c r="L788" i="89"/>
  <c r="L787" i="89"/>
  <c r="L786" i="89"/>
  <c r="L785" i="89"/>
  <c r="L784" i="89"/>
  <c r="L783" i="89"/>
  <c r="L782" i="89"/>
  <c r="L781" i="89"/>
  <c r="L780" i="89"/>
  <c r="L779" i="89"/>
  <c r="L778" i="89"/>
  <c r="L777" i="89"/>
  <c r="L776" i="89"/>
  <c r="L775" i="89"/>
  <c r="L774" i="89"/>
  <c r="L773" i="89"/>
  <c r="L772" i="89"/>
  <c r="L771" i="89"/>
  <c r="L770" i="89"/>
  <c r="L769" i="89"/>
  <c r="L768" i="89"/>
  <c r="L767" i="89"/>
  <c r="L766" i="89"/>
  <c r="L765" i="89"/>
  <c r="L764" i="89"/>
  <c r="L763" i="89"/>
  <c r="L762" i="89"/>
  <c r="L761" i="89"/>
  <c r="L760" i="89"/>
  <c r="L759" i="89"/>
  <c r="L758" i="89"/>
  <c r="L757" i="89"/>
  <c r="L756" i="89"/>
  <c r="L755" i="89"/>
  <c r="L754" i="89"/>
  <c r="L753" i="89"/>
  <c r="L752" i="89"/>
  <c r="L751" i="89"/>
  <c r="L750" i="89"/>
  <c r="L749" i="89"/>
  <c r="L748" i="89"/>
  <c r="L747" i="89"/>
  <c r="L746" i="89"/>
  <c r="L745" i="89"/>
  <c r="L744" i="89"/>
  <c r="L743" i="89"/>
  <c r="L742" i="89"/>
  <c r="L741" i="89"/>
  <c r="L740" i="89"/>
  <c r="L739" i="89"/>
  <c r="L738" i="89"/>
  <c r="L737" i="89"/>
  <c r="L736" i="89"/>
  <c r="L735" i="89"/>
  <c r="L734" i="89"/>
  <c r="L733" i="89"/>
  <c r="L732" i="89"/>
  <c r="L731" i="89"/>
  <c r="L730" i="89"/>
  <c r="L729" i="89"/>
  <c r="L728" i="89"/>
  <c r="L727" i="89"/>
  <c r="L726" i="89"/>
  <c r="L725" i="89"/>
  <c r="L724" i="89"/>
  <c r="L723" i="89"/>
  <c r="L722" i="89"/>
  <c r="L721" i="89"/>
  <c r="L720" i="89"/>
  <c r="L719" i="89"/>
  <c r="L718" i="89"/>
  <c r="L717" i="89"/>
  <c r="L716" i="89"/>
  <c r="L715" i="89"/>
  <c r="L714" i="89"/>
  <c r="L713" i="89"/>
  <c r="L712" i="89"/>
  <c r="L711" i="89"/>
  <c r="L710" i="89"/>
  <c r="L709" i="89"/>
  <c r="L708" i="89"/>
  <c r="L707" i="89"/>
  <c r="L706" i="89"/>
  <c r="L705" i="89"/>
  <c r="L704" i="89"/>
  <c r="L703" i="89"/>
  <c r="L702" i="89"/>
  <c r="L701" i="89"/>
  <c r="L700" i="89"/>
  <c r="L699" i="89"/>
  <c r="L698" i="89"/>
  <c r="L697" i="89"/>
  <c r="L696" i="89"/>
  <c r="L695" i="89"/>
  <c r="L694" i="89"/>
  <c r="L693" i="89"/>
  <c r="L692" i="89"/>
  <c r="L691" i="89"/>
  <c r="L690" i="89"/>
  <c r="L689" i="89"/>
  <c r="L688" i="89"/>
  <c r="L687" i="89"/>
  <c r="L686" i="89"/>
  <c r="L685" i="89"/>
  <c r="L684" i="89"/>
  <c r="L683" i="89"/>
  <c r="L682" i="89"/>
  <c r="L681" i="89"/>
  <c r="L680" i="89"/>
  <c r="L679" i="89"/>
  <c r="L678" i="89"/>
  <c r="L677" i="89"/>
  <c r="L676" i="89"/>
  <c r="L675" i="89"/>
  <c r="L674" i="89"/>
  <c r="L673" i="89"/>
  <c r="L672" i="89"/>
  <c r="L671" i="89"/>
  <c r="L670" i="89"/>
  <c r="L669" i="89"/>
  <c r="L668" i="89"/>
  <c r="L667" i="89"/>
  <c r="L666" i="89"/>
  <c r="L665" i="89"/>
  <c r="L664" i="89"/>
  <c r="L663" i="89"/>
  <c r="L662" i="89"/>
  <c r="L661" i="89"/>
  <c r="L660" i="89"/>
  <c r="L659" i="89"/>
  <c r="L658" i="89"/>
  <c r="L657" i="89"/>
  <c r="L656" i="89"/>
  <c r="L655" i="89"/>
  <c r="L654" i="89"/>
  <c r="L653" i="89"/>
  <c r="L652" i="89"/>
  <c r="L651" i="89"/>
  <c r="L650" i="89"/>
  <c r="L649" i="89"/>
  <c r="L648" i="89"/>
  <c r="L647" i="89"/>
  <c r="L646" i="89"/>
  <c r="L645" i="89"/>
  <c r="L644" i="89"/>
  <c r="L642" i="89"/>
  <c r="L641" i="89"/>
  <c r="L640" i="89"/>
  <c r="L639" i="89"/>
  <c r="L638" i="89"/>
  <c r="L637" i="89"/>
  <c r="L636" i="89"/>
  <c r="L635" i="89"/>
  <c r="L634" i="89"/>
  <c r="L633" i="89"/>
  <c r="L631" i="89"/>
  <c r="L630" i="89"/>
  <c r="L629" i="89"/>
  <c r="L628" i="89"/>
  <c r="L627" i="89"/>
  <c r="L626" i="89"/>
  <c r="L625" i="89"/>
  <c r="L624" i="89"/>
  <c r="L623" i="89"/>
  <c r="L622" i="89"/>
  <c r="L621" i="89"/>
  <c r="L620" i="89"/>
  <c r="L619" i="89"/>
  <c r="L618" i="89"/>
  <c r="L617" i="89"/>
  <c r="L616" i="89"/>
  <c r="L615" i="89"/>
  <c r="L614" i="89"/>
  <c r="L613" i="89"/>
  <c r="L612" i="89"/>
  <c r="L611" i="89"/>
  <c r="L610" i="89"/>
  <c r="L609" i="89"/>
  <c r="L608" i="89"/>
  <c r="L607" i="89"/>
  <c r="L606" i="89"/>
  <c r="L605" i="89"/>
  <c r="L604" i="89"/>
  <c r="L603" i="89"/>
  <c r="L602" i="89"/>
  <c r="L601" i="89"/>
  <c r="L600" i="89"/>
  <c r="L599" i="89"/>
  <c r="L598" i="89"/>
  <c r="L597" i="89"/>
  <c r="L596" i="89"/>
  <c r="L595" i="89"/>
  <c r="L594" i="89"/>
  <c r="L593" i="89"/>
  <c r="L592" i="89"/>
  <c r="L591" i="89"/>
  <c r="L590" i="89"/>
  <c r="L589" i="89"/>
  <c r="L588" i="89"/>
  <c r="L587" i="89"/>
  <c r="L586" i="89"/>
  <c r="L585" i="89"/>
  <c r="L584" i="89"/>
  <c r="L583" i="89"/>
  <c r="L582" i="89"/>
  <c r="L581" i="89"/>
  <c r="L580" i="89"/>
  <c r="L579" i="89"/>
  <c r="L578" i="89"/>
  <c r="L577" i="89"/>
  <c r="L575" i="89"/>
  <c r="L574" i="89"/>
  <c r="L573" i="89"/>
  <c r="L572" i="89"/>
  <c r="L569" i="89"/>
  <c r="L568" i="89"/>
  <c r="L567" i="89"/>
  <c r="L566" i="89"/>
  <c r="L565" i="89"/>
  <c r="L564" i="89"/>
  <c r="L563" i="89"/>
  <c r="L562" i="89"/>
  <c r="L560" i="89"/>
  <c r="L559" i="89"/>
  <c r="L558" i="89"/>
  <c r="L557" i="89"/>
  <c r="L556" i="89"/>
  <c r="L555" i="89"/>
  <c r="L554" i="89"/>
  <c r="L553" i="89"/>
  <c r="L552" i="89"/>
  <c r="L551" i="89"/>
  <c r="L550" i="89"/>
  <c r="L549" i="89"/>
  <c r="L548" i="89"/>
  <c r="L547" i="89"/>
  <c r="L546" i="89"/>
  <c r="L545" i="89"/>
  <c r="L544" i="89"/>
  <c r="L543" i="89"/>
  <c r="L542" i="89"/>
  <c r="L541" i="89"/>
  <c r="L540" i="89"/>
  <c r="L539" i="89"/>
  <c r="L538" i="89"/>
  <c r="L537" i="89"/>
  <c r="L536" i="89"/>
  <c r="L535" i="89"/>
  <c r="L534" i="89"/>
  <c r="L533" i="89"/>
  <c r="L532" i="89"/>
  <c r="L531" i="89"/>
  <c r="L530" i="89"/>
  <c r="L529" i="89"/>
  <c r="L528" i="89"/>
  <c r="L527" i="89"/>
  <c r="L526" i="89"/>
  <c r="L523" i="89"/>
  <c r="L522" i="89"/>
  <c r="L521" i="89"/>
  <c r="L520" i="89"/>
  <c r="L519" i="89"/>
  <c r="L518" i="89"/>
  <c r="L517" i="89"/>
  <c r="L516" i="89"/>
  <c r="L515" i="89"/>
  <c r="L514" i="89"/>
  <c r="L513" i="89"/>
  <c r="L512" i="89"/>
  <c r="L511" i="89"/>
  <c r="L510" i="89"/>
  <c r="L509" i="89"/>
  <c r="L506" i="89"/>
  <c r="L505" i="89"/>
  <c r="L504" i="89"/>
  <c r="L503" i="89"/>
  <c r="L502" i="89"/>
  <c r="L501" i="89"/>
  <c r="L500" i="89"/>
  <c r="L499" i="89"/>
  <c r="L498" i="89"/>
  <c r="L497" i="89"/>
  <c r="L496" i="89"/>
  <c r="L495" i="89"/>
  <c r="L494" i="89"/>
  <c r="L493" i="89"/>
  <c r="L492" i="89"/>
  <c r="L491" i="89"/>
  <c r="L490" i="89"/>
  <c r="L489" i="89"/>
  <c r="L488" i="89"/>
  <c r="L487" i="89"/>
  <c r="L485" i="89"/>
  <c r="L484" i="89"/>
  <c r="L483" i="89"/>
  <c r="L482" i="89"/>
  <c r="L481" i="89"/>
  <c r="L480" i="89"/>
  <c r="L479" i="89"/>
  <c r="L478" i="89"/>
  <c r="L477" i="89"/>
  <c r="L476" i="89"/>
  <c r="L474" i="89"/>
  <c r="L472" i="89"/>
  <c r="L471" i="89"/>
  <c r="L470" i="89"/>
  <c r="L469" i="89"/>
  <c r="L468" i="89"/>
  <c r="L466" i="89"/>
  <c r="L465" i="89"/>
  <c r="L464" i="89"/>
  <c r="L463" i="89"/>
  <c r="L462" i="89"/>
  <c r="L461" i="89"/>
  <c r="L460" i="89"/>
  <c r="L459" i="89"/>
  <c r="L458" i="89"/>
  <c r="L457" i="89"/>
  <c r="L456" i="89"/>
  <c r="L455" i="89"/>
  <c r="L453" i="89"/>
  <c r="L452" i="89"/>
  <c r="L451" i="89"/>
  <c r="L448" i="89"/>
  <c r="L447" i="89"/>
  <c r="L446" i="89"/>
  <c r="L445" i="89"/>
  <c r="L444" i="89"/>
  <c r="L443" i="89"/>
  <c r="L441" i="89"/>
  <c r="L440" i="89"/>
  <c r="L439" i="89"/>
  <c r="L438" i="89"/>
  <c r="L437" i="89"/>
  <c r="L436" i="89"/>
  <c r="L435" i="89"/>
  <c r="L434" i="89"/>
  <c r="L433" i="89"/>
  <c r="L432" i="89"/>
  <c r="L431" i="89"/>
  <c r="L430" i="89"/>
  <c r="L429" i="89"/>
  <c r="L428" i="89"/>
  <c r="L427" i="89"/>
  <c r="L426" i="89"/>
  <c r="L425" i="89"/>
  <c r="L424" i="89"/>
  <c r="L423" i="89"/>
  <c r="L422" i="89"/>
  <c r="L421" i="89"/>
  <c r="L420" i="89"/>
  <c r="L419" i="89"/>
  <c r="L418" i="89"/>
  <c r="L417" i="89"/>
  <c r="L416" i="89"/>
  <c r="L415" i="89"/>
  <c r="L414" i="89"/>
  <c r="L413" i="89"/>
  <c r="L412" i="89"/>
  <c r="L411" i="89"/>
  <c r="L410" i="89"/>
  <c r="L409" i="89"/>
  <c r="L408" i="89"/>
  <c r="L407" i="89"/>
  <c r="L406" i="89"/>
  <c r="L405" i="89"/>
  <c r="L404" i="89"/>
  <c r="L403" i="89"/>
  <c r="L402" i="89"/>
  <c r="L401" i="89"/>
  <c r="L400" i="89"/>
  <c r="L399" i="89"/>
  <c r="L398" i="89"/>
  <c r="L397" i="89"/>
  <c r="L396" i="89"/>
  <c r="L395" i="89"/>
  <c r="L394" i="89"/>
  <c r="L393" i="89"/>
  <c r="L392" i="89"/>
  <c r="L391" i="89"/>
  <c r="L390" i="89"/>
  <c r="L389" i="89"/>
  <c r="L388" i="89"/>
  <c r="L387" i="89"/>
  <c r="L386" i="89"/>
  <c r="L385" i="89"/>
  <c r="L384" i="89"/>
  <c r="L383" i="89"/>
  <c r="L382" i="89"/>
  <c r="L381" i="89"/>
  <c r="L380" i="89"/>
  <c r="L379" i="89"/>
  <c r="L378" i="89"/>
  <c r="L377" i="89"/>
  <c r="L376" i="89"/>
  <c r="L375" i="89"/>
  <c r="L374" i="89"/>
  <c r="L373" i="89"/>
  <c r="L372" i="89"/>
  <c r="L371" i="89"/>
  <c r="L370" i="89"/>
  <c r="L369" i="89"/>
  <c r="L368" i="89"/>
  <c r="L367" i="89"/>
  <c r="L366" i="89"/>
  <c r="L365" i="89"/>
  <c r="L364" i="89"/>
  <c r="L363" i="89"/>
  <c r="L362" i="89"/>
  <c r="L361" i="89"/>
  <c r="L360" i="89"/>
  <c r="L359" i="89"/>
  <c r="L358" i="89"/>
  <c r="L357" i="89"/>
  <c r="L356" i="89"/>
  <c r="L355" i="89"/>
  <c r="L354" i="89"/>
  <c r="L353" i="89"/>
  <c r="L352" i="89"/>
  <c r="L351" i="89"/>
  <c r="L350" i="89"/>
  <c r="L349" i="89"/>
  <c r="L348" i="89"/>
  <c r="L347" i="89"/>
  <c r="L346" i="89"/>
  <c r="L345" i="89"/>
  <c r="L344" i="89"/>
  <c r="L343" i="89"/>
  <c r="L342" i="89"/>
  <c r="L341" i="89"/>
  <c r="L340" i="89"/>
  <c r="L339" i="89"/>
  <c r="L338" i="89"/>
  <c r="L336" i="89"/>
  <c r="L335" i="89"/>
  <c r="L334" i="89"/>
  <c r="L333" i="89"/>
  <c r="L332" i="89"/>
  <c r="L331" i="89"/>
  <c r="L329" i="89"/>
  <c r="L328" i="89"/>
  <c r="L327" i="89"/>
  <c r="L326" i="89"/>
  <c r="L325" i="89"/>
  <c r="L324" i="89"/>
  <c r="L323" i="89"/>
  <c r="L322" i="89"/>
  <c r="L321" i="89"/>
  <c r="L320" i="89"/>
  <c r="L319" i="89"/>
  <c r="L318" i="89"/>
  <c r="L314" i="89"/>
  <c r="L313" i="89"/>
  <c r="L312" i="89"/>
  <c r="L311" i="89"/>
  <c r="L310" i="89"/>
  <c r="L309" i="89"/>
  <c r="L308" i="89"/>
  <c r="L307" i="89"/>
  <c r="L305" i="89"/>
  <c r="L304" i="89"/>
  <c r="L303" i="89"/>
  <c r="L302" i="89"/>
  <c r="L301" i="89"/>
  <c r="L300" i="89"/>
  <c r="L299" i="89"/>
  <c r="L298" i="89"/>
  <c r="L297" i="89"/>
  <c r="L296" i="89"/>
  <c r="L295" i="89"/>
  <c r="L294" i="89"/>
  <c r="L293" i="89"/>
  <c r="L292" i="89"/>
  <c r="L291" i="89"/>
  <c r="L290" i="89"/>
  <c r="L289" i="89"/>
  <c r="L288" i="89"/>
  <c r="L287" i="89"/>
  <c r="L286" i="89"/>
  <c r="L285" i="89"/>
  <c r="L284" i="89"/>
  <c r="L283" i="89"/>
  <c r="L282" i="89"/>
  <c r="L281" i="89"/>
  <c r="L280" i="89"/>
  <c r="L279" i="89"/>
  <c r="L278" i="89"/>
  <c r="L277" i="89"/>
  <c r="L276" i="89"/>
  <c r="L275" i="89"/>
  <c r="L274" i="89"/>
  <c r="L273" i="89"/>
  <c r="L272" i="89"/>
  <c r="L271" i="89"/>
  <c r="L270" i="89"/>
  <c r="L269" i="89"/>
  <c r="L268" i="89"/>
  <c r="L267" i="89"/>
  <c r="L266" i="89"/>
  <c r="L265" i="89"/>
  <c r="L264" i="89"/>
  <c r="L263" i="89"/>
  <c r="L262" i="89"/>
  <c r="L261" i="89"/>
  <c r="L260" i="89"/>
  <c r="L259" i="89"/>
  <c r="L258" i="89"/>
  <c r="L257" i="89"/>
  <c r="L256" i="89"/>
  <c r="L255" i="89"/>
  <c r="L254" i="89"/>
  <c r="L253" i="89"/>
  <c r="L252" i="89"/>
  <c r="L251" i="89"/>
  <c r="L250" i="89"/>
  <c r="L249" i="89"/>
  <c r="L248" i="89"/>
  <c r="L247" i="89"/>
  <c r="L246" i="89"/>
  <c r="L245" i="89"/>
  <c r="L244" i="89"/>
  <c r="L243" i="89"/>
  <c r="L242" i="89"/>
  <c r="L241" i="89"/>
  <c r="L240" i="89"/>
  <c r="L239" i="89"/>
  <c r="L238" i="89"/>
  <c r="L237" i="89"/>
  <c r="L236" i="89"/>
  <c r="L235" i="89"/>
  <c r="L234" i="89"/>
  <c r="L233" i="89"/>
  <c r="L232" i="89"/>
  <c r="L231" i="89"/>
  <c r="L230" i="89"/>
  <c r="L229" i="89"/>
  <c r="L228" i="89"/>
  <c r="L227" i="89"/>
  <c r="L226" i="89"/>
  <c r="L225" i="89"/>
  <c r="L223" i="89"/>
  <c r="L222" i="89"/>
  <c r="L221" i="89"/>
  <c r="L220" i="89"/>
  <c r="L219" i="89"/>
  <c r="L218" i="89"/>
  <c r="L217" i="89"/>
  <c r="L216" i="89"/>
  <c r="L215" i="89"/>
  <c r="L214" i="89"/>
  <c r="L213" i="89"/>
  <c r="L212" i="89"/>
  <c r="L211" i="89"/>
  <c r="L210" i="89"/>
  <c r="L209" i="89"/>
  <c r="L208" i="89"/>
  <c r="L207" i="89"/>
  <c r="L206" i="89"/>
  <c r="L205" i="89"/>
  <c r="L204" i="89"/>
  <c r="L203" i="89"/>
  <c r="L202" i="89"/>
  <c r="L201" i="89"/>
  <c r="L200" i="89"/>
  <c r="L199" i="89"/>
  <c r="L198" i="89"/>
  <c r="L197" i="89"/>
  <c r="L196" i="89"/>
  <c r="L195" i="89"/>
  <c r="L194" i="89"/>
  <c r="L193" i="89"/>
  <c r="L192" i="89"/>
  <c r="L191" i="89"/>
  <c r="L190" i="89"/>
  <c r="L189" i="89"/>
  <c r="L188" i="89"/>
  <c r="L187" i="89"/>
  <c r="L186" i="89"/>
  <c r="L185" i="89"/>
  <c r="L184" i="89"/>
  <c r="L183" i="89"/>
  <c r="L182" i="89"/>
  <c r="L181" i="89"/>
  <c r="L180" i="89"/>
  <c r="L179" i="89"/>
  <c r="L178" i="89"/>
  <c r="L177" i="89"/>
  <c r="L176" i="89"/>
  <c r="L175" i="89"/>
  <c r="L174" i="89"/>
  <c r="L173" i="89"/>
  <c r="L172" i="89"/>
  <c r="L171" i="89"/>
  <c r="L170" i="89"/>
  <c r="L169" i="89"/>
  <c r="L168" i="89"/>
  <c r="L167" i="89"/>
  <c r="L166" i="89"/>
  <c r="L163" i="89"/>
  <c r="L162" i="89"/>
  <c r="L161" i="89"/>
  <c r="L160" i="89"/>
  <c r="L159" i="89"/>
  <c r="L158" i="89"/>
  <c r="L157" i="89"/>
  <c r="L156" i="89"/>
  <c r="L155" i="89"/>
  <c r="L154" i="89"/>
  <c r="L153" i="89"/>
  <c r="L152" i="89"/>
  <c r="L151" i="89"/>
  <c r="L150" i="89"/>
  <c r="L149" i="89"/>
  <c r="L148" i="89"/>
  <c r="L147" i="89"/>
  <c r="L146" i="89"/>
  <c r="L145" i="89"/>
  <c r="L144" i="89"/>
  <c r="L143" i="89"/>
  <c r="L142" i="89"/>
  <c r="L141" i="89"/>
  <c r="L140" i="89"/>
  <c r="L139" i="89"/>
  <c r="L138" i="89"/>
  <c r="L137" i="89"/>
  <c r="L136" i="89"/>
  <c r="L135" i="89"/>
  <c r="L134" i="89"/>
  <c r="L133" i="89"/>
  <c r="L132" i="89"/>
  <c r="L131" i="89"/>
  <c r="L130" i="89"/>
  <c r="L129" i="89"/>
  <c r="L128" i="89"/>
  <c r="L127" i="89"/>
  <c r="L123" i="89"/>
  <c r="L122" i="89"/>
  <c r="L121" i="89"/>
  <c r="L120" i="89"/>
  <c r="L119" i="89"/>
  <c r="L118" i="89"/>
  <c r="L117" i="89"/>
  <c r="L116" i="89"/>
  <c r="L115" i="89"/>
  <c r="L114" i="89"/>
  <c r="L113" i="89"/>
  <c r="L112" i="89"/>
  <c r="L111" i="89"/>
  <c r="L110" i="89"/>
  <c r="L109" i="89"/>
  <c r="L108" i="89"/>
  <c r="L107" i="89"/>
  <c r="L106" i="89"/>
  <c r="L105" i="89"/>
  <c r="L104" i="89"/>
  <c r="L103" i="89"/>
  <c r="L102" i="89"/>
  <c r="L101" i="89"/>
  <c r="L100" i="89"/>
  <c r="L99" i="89"/>
  <c r="L98" i="89"/>
  <c r="L97" i="89"/>
  <c r="L96" i="89"/>
  <c r="L95" i="89"/>
  <c r="L94" i="89"/>
  <c r="L93" i="89"/>
  <c r="L91" i="89"/>
  <c r="L90" i="89"/>
  <c r="L89" i="89"/>
  <c r="L88" i="89"/>
  <c r="L87" i="89"/>
  <c r="L86" i="89"/>
  <c r="L85" i="89"/>
  <c r="L84" i="89"/>
  <c r="L83" i="89"/>
  <c r="L82" i="89"/>
  <c r="L81" i="89"/>
  <c r="L80" i="89"/>
  <c r="L79" i="89"/>
  <c r="L78" i="89"/>
  <c r="L77" i="89"/>
  <c r="L76" i="89"/>
  <c r="L75" i="89"/>
  <c r="L74" i="89"/>
  <c r="L73" i="89"/>
  <c r="L72" i="89"/>
  <c r="L70" i="89"/>
  <c r="L69" i="89"/>
  <c r="L68" i="89"/>
  <c r="L67" i="89"/>
  <c r="L66" i="89"/>
  <c r="L65" i="89"/>
  <c r="L64" i="89"/>
  <c r="L63" i="89"/>
  <c r="L62" i="89"/>
  <c r="L61" i="89"/>
  <c r="L60" i="89"/>
  <c r="L58" i="89"/>
  <c r="L57" i="89"/>
  <c r="L56" i="89"/>
  <c r="L55" i="89"/>
  <c r="L54" i="89"/>
  <c r="L53" i="89"/>
  <c r="L52" i="89"/>
  <c r="L51" i="89"/>
  <c r="L50" i="89"/>
  <c r="L49" i="89"/>
  <c r="L48" i="89"/>
  <c r="L47" i="89"/>
  <c r="L46" i="89"/>
  <c r="L45" i="89"/>
  <c r="L44" i="89"/>
  <c r="L43" i="89"/>
  <c r="L42" i="89"/>
  <c r="L41" i="89"/>
  <c r="L40" i="89"/>
  <c r="L39" i="89"/>
  <c r="L38" i="89"/>
  <c r="L37" i="89"/>
  <c r="L36" i="89"/>
  <c r="L35" i="89"/>
  <c r="L34" i="89"/>
  <c r="L33" i="89"/>
  <c r="L32" i="89"/>
  <c r="L31" i="89"/>
  <c r="L30" i="89"/>
  <c r="L29" i="89"/>
  <c r="L28" i="89"/>
  <c r="L27" i="89"/>
  <c r="L26" i="89"/>
  <c r="L25" i="89"/>
  <c r="L24" i="89"/>
  <c r="L23" i="89"/>
  <c r="L22" i="89"/>
  <c r="L21" i="89"/>
  <c r="L20" i="89"/>
  <c r="L19" i="89"/>
  <c r="L18" i="89"/>
  <c r="L17" i="89"/>
  <c r="L16" i="89"/>
  <c r="L15" i="89"/>
  <c r="L14" i="89"/>
  <c r="L13" i="89"/>
  <c r="L12" i="89"/>
  <c r="L11" i="89"/>
  <c r="L10" i="89"/>
  <c r="L9" i="89"/>
  <c r="L8" i="89"/>
  <c r="L7" i="89"/>
  <c r="L6" i="89"/>
  <c r="L178" i="88"/>
  <c r="J175" i="88"/>
  <c r="J3" i="88" s="1"/>
  <c r="H175" i="88"/>
  <c r="H3" i="88" s="1"/>
  <c r="G175" i="88"/>
  <c r="F175" i="88"/>
  <c r="E175" i="88"/>
  <c r="E3" i="88" s="1"/>
  <c r="L78" i="88"/>
  <c r="K78" i="88"/>
  <c r="L77" i="88"/>
  <c r="K77" i="88"/>
  <c r="L76" i="88"/>
  <c r="K76" i="88"/>
  <c r="L75" i="88"/>
  <c r="L74" i="88"/>
  <c r="K74" i="88"/>
  <c r="L73" i="88"/>
  <c r="K73" i="88"/>
  <c r="L72" i="88"/>
  <c r="K72" i="88"/>
  <c r="L71" i="88"/>
  <c r="L70" i="88"/>
  <c r="K70" i="88"/>
  <c r="L69" i="88"/>
  <c r="K69" i="88"/>
  <c r="L68" i="88"/>
  <c r="K68" i="88"/>
  <c r="L67" i="88"/>
  <c r="K67" i="88"/>
  <c r="L66" i="88"/>
  <c r="K66" i="88"/>
  <c r="L65" i="88"/>
  <c r="L64" i="88"/>
  <c r="K64" i="88"/>
  <c r="L63" i="88"/>
  <c r="K63" i="88"/>
  <c r="L62" i="88"/>
  <c r="K62" i="88"/>
  <c r="L61" i="88"/>
  <c r="L60" i="88"/>
  <c r="K60" i="88"/>
  <c r="L59" i="88"/>
  <c r="K59" i="88"/>
  <c r="L58" i="88"/>
  <c r="K58" i="88"/>
  <c r="L57" i="88"/>
  <c r="L56" i="88"/>
  <c r="K56" i="88"/>
  <c r="L55" i="88"/>
  <c r="K55" i="88"/>
  <c r="L54" i="88"/>
  <c r="K54" i="88"/>
  <c r="L53" i="88"/>
  <c r="L52" i="88"/>
  <c r="K52" i="88"/>
  <c r="L51" i="88"/>
  <c r="K51" i="88"/>
  <c r="L50" i="88"/>
  <c r="K50" i="88"/>
  <c r="L49" i="88"/>
  <c r="L48" i="88"/>
  <c r="K48" i="88"/>
  <c r="L47" i="88"/>
  <c r="K47" i="88"/>
  <c r="L46" i="88"/>
  <c r="K46" i="88"/>
  <c r="L45" i="88"/>
  <c r="L44" i="88"/>
  <c r="K44" i="88"/>
  <c r="L43" i="88"/>
  <c r="K43" i="88"/>
  <c r="L42" i="88"/>
  <c r="K42" i="88"/>
  <c r="L41" i="88"/>
  <c r="L40" i="88"/>
  <c r="K40" i="88"/>
  <c r="L39" i="88"/>
  <c r="K39" i="88"/>
  <c r="L38" i="88"/>
  <c r="K38" i="88"/>
  <c r="L37" i="88"/>
  <c r="L36" i="88"/>
  <c r="K36" i="88"/>
  <c r="L35" i="88"/>
  <c r="L34" i="88"/>
  <c r="K34" i="88"/>
  <c r="L33" i="88"/>
  <c r="L32" i="88"/>
  <c r="L31" i="88"/>
  <c r="K31" i="88"/>
  <c r="L30" i="88"/>
  <c r="K30" i="88"/>
  <c r="L29" i="88"/>
  <c r="L28" i="88"/>
  <c r="L27" i="88"/>
  <c r="K27" i="88"/>
  <c r="L26" i="88"/>
  <c r="K26" i="88"/>
  <c r="L25" i="88"/>
  <c r="L24" i="88"/>
  <c r="K24" i="88"/>
  <c r="L23" i="88"/>
  <c r="K23" i="88"/>
  <c r="L22" i="88"/>
  <c r="K22" i="88"/>
  <c r="L21" i="88"/>
  <c r="L20" i="88"/>
  <c r="K20" i="88"/>
  <c r="L19" i="88"/>
  <c r="K19" i="88"/>
  <c r="L18" i="88"/>
  <c r="K18" i="88"/>
  <c r="L17" i="88"/>
  <c r="L16" i="88"/>
  <c r="K16" i="88"/>
  <c r="L15" i="88"/>
  <c r="K15" i="88"/>
  <c r="L14" i="88"/>
  <c r="K14" i="88"/>
  <c r="L13" i="88"/>
  <c r="L12" i="88"/>
  <c r="K12" i="88"/>
  <c r="L11" i="88"/>
  <c r="K11" i="88"/>
  <c r="L10" i="88"/>
  <c r="K10" i="88"/>
  <c r="L9" i="88"/>
  <c r="L8" i="88"/>
  <c r="K8" i="88"/>
  <c r="L7" i="88"/>
  <c r="K7" i="88"/>
  <c r="L6" i="88"/>
  <c r="K6" i="88"/>
  <c r="L771" i="86"/>
  <c r="H771" i="86"/>
  <c r="K771" i="86" s="1"/>
  <c r="D11" i="87"/>
  <c r="J10" i="87"/>
  <c r="I10" i="87"/>
  <c r="J9" i="87"/>
  <c r="I9" i="87"/>
  <c r="J8" i="87"/>
  <c r="I8" i="87"/>
  <c r="J7" i="87"/>
  <c r="I7" i="87"/>
  <c r="J6" i="87"/>
  <c r="I6" i="87"/>
  <c r="J5" i="87"/>
  <c r="I5" i="87"/>
  <c r="J4" i="87"/>
  <c r="I4" i="87"/>
  <c r="H1394" i="89" l="1"/>
  <c r="H3" i="89" s="1"/>
  <c r="L1394" i="89"/>
  <c r="I3" i="89"/>
  <c r="I10" i="90"/>
  <c r="F15" i="90" s="1"/>
  <c r="J10" i="90"/>
  <c r="L175" i="88"/>
  <c r="K1394" i="89"/>
  <c r="K175" i="88"/>
  <c r="I175" i="88"/>
  <c r="I3" i="88" s="1"/>
  <c r="J11" i="87"/>
  <c r="I11" i="87"/>
  <c r="G17" i="87" s="1"/>
  <c r="G16" i="90" l="1"/>
  <c r="L1398" i="89"/>
  <c r="K3" i="89"/>
  <c r="L179" i="88"/>
  <c r="K3" i="88"/>
  <c r="F16" i="87"/>
  <c r="L177" i="85" l="1"/>
  <c r="L172" i="85"/>
  <c r="L173" i="85"/>
  <c r="L174" i="85"/>
  <c r="L171" i="85"/>
  <c r="F175" i="85"/>
  <c r="G175" i="85"/>
  <c r="H175" i="85"/>
  <c r="I175" i="85"/>
  <c r="J175" i="85"/>
  <c r="K175" i="85"/>
  <c r="E175" i="85"/>
  <c r="L175" i="85"/>
  <c r="I174" i="85"/>
  <c r="K174" i="85" s="1"/>
  <c r="I168" i="85"/>
  <c r="K168" i="85" s="1"/>
  <c r="L168" i="85"/>
  <c r="I169" i="85"/>
  <c r="K169" i="85" s="1"/>
  <c r="L169" i="85"/>
  <c r="I170" i="85"/>
  <c r="K170" i="85" s="1"/>
  <c r="L170" i="85"/>
  <c r="I171" i="85"/>
  <c r="K171" i="85" s="1"/>
  <c r="I172" i="85"/>
  <c r="K172" i="85" s="1"/>
  <c r="H1335" i="86"/>
  <c r="H1336" i="86"/>
  <c r="H1337" i="86"/>
  <c r="H1338" i="86"/>
  <c r="H1339" i="86"/>
  <c r="H1340" i="86"/>
  <c r="H1341" i="86"/>
  <c r="H1342" i="86"/>
  <c r="H1343" i="86"/>
  <c r="H1344" i="86"/>
  <c r="H1345" i="86"/>
  <c r="H1346" i="86"/>
  <c r="H1347" i="86"/>
  <c r="H1348" i="86"/>
  <c r="H1349" i="86"/>
  <c r="H1350" i="86"/>
  <c r="H1351" i="86"/>
  <c r="H1352" i="86"/>
  <c r="H1353" i="86"/>
  <c r="H1354" i="86"/>
  <c r="H1355" i="86"/>
  <c r="H1356" i="86"/>
  <c r="H1357" i="86"/>
  <c r="H1358" i="86"/>
  <c r="H1359" i="86"/>
  <c r="H1360" i="86"/>
  <c r="H1361" i="86"/>
  <c r="H1362" i="86"/>
  <c r="H1363" i="86"/>
  <c r="H1364" i="86"/>
  <c r="H1365" i="86"/>
  <c r="H1366" i="86"/>
  <c r="H1367" i="86"/>
  <c r="H1368" i="86"/>
  <c r="H1369" i="86"/>
  <c r="H1370" i="86"/>
  <c r="H1371" i="86"/>
  <c r="H1372" i="86"/>
  <c r="H1373" i="86"/>
  <c r="H1374" i="86"/>
  <c r="H1375" i="86"/>
  <c r="H1376" i="86"/>
  <c r="H1377" i="86"/>
  <c r="H1378" i="86"/>
  <c r="H1379" i="86"/>
  <c r="H1380" i="86"/>
  <c r="H1381" i="86"/>
  <c r="H1382" i="86"/>
  <c r="H1383" i="86"/>
  <c r="H1384" i="86"/>
  <c r="H1385" i="86"/>
  <c r="H1386" i="86"/>
  <c r="H1387" i="86"/>
  <c r="H1388" i="86"/>
  <c r="H1389" i="86"/>
  <c r="H1390" i="86"/>
  <c r="H1391" i="86"/>
  <c r="H1392" i="86"/>
  <c r="H1393" i="86"/>
  <c r="L176" i="85"/>
  <c r="I167" i="85"/>
  <c r="I173" i="85"/>
  <c r="K173" i="85" s="1"/>
  <c r="H1233" i="86"/>
  <c r="H1234" i="86"/>
  <c r="H1235" i="86"/>
  <c r="H1236" i="86"/>
  <c r="H1237" i="86"/>
  <c r="H1238" i="86"/>
  <c r="H1239" i="86"/>
  <c r="H1240" i="86"/>
  <c r="H1241" i="86"/>
  <c r="H1242" i="86"/>
  <c r="H1243" i="86"/>
  <c r="H1244" i="86"/>
  <c r="H1245" i="86"/>
  <c r="H1246" i="86"/>
  <c r="H1247" i="86"/>
  <c r="H1248" i="86"/>
  <c r="H1249" i="86"/>
  <c r="H1250" i="86"/>
  <c r="H1251" i="86"/>
  <c r="H1252" i="86"/>
  <c r="H1253" i="86"/>
  <c r="H1254" i="86"/>
  <c r="H1255" i="86"/>
  <c r="H1256" i="86"/>
  <c r="H1257" i="86"/>
  <c r="H1258" i="86"/>
  <c r="H1259" i="86"/>
  <c r="H1260" i="86"/>
  <c r="H1261" i="86"/>
  <c r="H1262" i="86"/>
  <c r="H1263" i="86"/>
  <c r="H1264" i="86"/>
  <c r="H1265" i="86"/>
  <c r="H1266" i="86"/>
  <c r="H1267" i="86"/>
  <c r="H1268" i="86"/>
  <c r="H1269" i="86"/>
  <c r="H1270" i="86"/>
  <c r="H1271" i="86"/>
  <c r="H1272" i="86"/>
  <c r="H1273" i="86"/>
  <c r="H1274" i="86"/>
  <c r="H1275" i="86"/>
  <c r="H1276" i="86"/>
  <c r="H1277" i="86"/>
  <c r="H1278" i="86"/>
  <c r="H1279" i="86"/>
  <c r="H1280" i="86"/>
  <c r="H1281" i="86"/>
  <c r="H1282" i="86"/>
  <c r="H1283" i="86"/>
  <c r="H1284" i="86"/>
  <c r="H1285" i="86"/>
  <c r="H1286" i="86"/>
  <c r="H1287" i="86"/>
  <c r="H1288" i="86"/>
  <c r="H1289" i="86"/>
  <c r="H1290" i="86"/>
  <c r="H1291" i="86"/>
  <c r="H1292" i="86"/>
  <c r="H1293" i="86"/>
  <c r="H1294" i="86"/>
  <c r="H1295" i="86"/>
  <c r="H1296" i="86"/>
  <c r="H1297" i="86"/>
  <c r="H1298" i="86"/>
  <c r="H1299" i="86"/>
  <c r="H1300" i="86"/>
  <c r="H1301" i="86"/>
  <c r="H1302" i="86"/>
  <c r="H1303" i="86"/>
  <c r="H1304" i="86"/>
  <c r="H1305" i="86"/>
  <c r="H1306" i="86"/>
  <c r="H1307" i="86"/>
  <c r="H1308" i="86"/>
  <c r="H1309" i="86"/>
  <c r="H1310" i="86"/>
  <c r="H1311" i="86"/>
  <c r="H1312" i="86"/>
  <c r="H1313" i="86"/>
  <c r="H1314" i="86"/>
  <c r="H1315" i="86"/>
  <c r="H1316" i="86"/>
  <c r="H1317" i="86"/>
  <c r="H1318" i="86"/>
  <c r="H1319" i="86"/>
  <c r="H1320" i="86"/>
  <c r="H1321" i="86"/>
  <c r="H1322" i="86"/>
  <c r="H1323" i="86"/>
  <c r="H1324" i="86"/>
  <c r="H1325" i="86"/>
  <c r="H1326" i="86"/>
  <c r="H1327" i="86"/>
  <c r="H1328" i="86"/>
  <c r="H1329" i="86"/>
  <c r="H1330" i="86"/>
  <c r="H1331" i="86"/>
  <c r="H1332" i="86"/>
  <c r="H1333" i="86"/>
  <c r="H1334" i="86"/>
  <c r="L95" i="85" l="1"/>
  <c r="L96" i="85"/>
  <c r="L97" i="85"/>
  <c r="L98" i="85"/>
  <c r="L99" i="85"/>
  <c r="L100" i="85"/>
  <c r="L101" i="85"/>
  <c r="L102" i="85"/>
  <c r="L103" i="85"/>
  <c r="L104" i="85"/>
  <c r="L105" i="85"/>
  <c r="L106" i="85"/>
  <c r="L107" i="85"/>
  <c r="L108" i="85"/>
  <c r="L109" i="85"/>
  <c r="L110" i="85"/>
  <c r="L111" i="85"/>
  <c r="L112" i="85"/>
  <c r="L113" i="85"/>
  <c r="L114" i="85"/>
  <c r="L115" i="85"/>
  <c r="L116" i="85"/>
  <c r="L117" i="85"/>
  <c r="L118" i="85"/>
  <c r="L119" i="85"/>
  <c r="L120" i="85"/>
  <c r="L121" i="85"/>
  <c r="L122" i="85"/>
  <c r="L123" i="85"/>
  <c r="L124" i="85"/>
  <c r="L125" i="85"/>
  <c r="L126" i="85"/>
  <c r="L127" i="85"/>
  <c r="L128" i="85"/>
  <c r="L129" i="85"/>
  <c r="L130" i="85"/>
  <c r="L131" i="85"/>
  <c r="L132" i="85"/>
  <c r="L133" i="85"/>
  <c r="L134" i="85"/>
  <c r="L135" i="85"/>
  <c r="L136" i="85"/>
  <c r="L137" i="85"/>
  <c r="L138" i="85"/>
  <c r="L139" i="85"/>
  <c r="L140" i="85"/>
  <c r="L141" i="85"/>
  <c r="L142" i="85"/>
  <c r="L143" i="85"/>
  <c r="L144" i="85"/>
  <c r="L145" i="85"/>
  <c r="L146" i="85"/>
  <c r="L147" i="85"/>
  <c r="L148" i="85"/>
  <c r="L149" i="85"/>
  <c r="L150" i="85"/>
  <c r="L151" i="85"/>
  <c r="L152" i="85"/>
  <c r="L153" i="85"/>
  <c r="L154" i="85"/>
  <c r="L155" i="85"/>
  <c r="L156" i="85"/>
  <c r="L157" i="85"/>
  <c r="L158" i="85"/>
  <c r="L159" i="85"/>
  <c r="L160" i="85"/>
  <c r="L167" i="85"/>
  <c r="I104" i="85"/>
  <c r="K104" i="85" s="1"/>
  <c r="I105" i="85"/>
  <c r="K105" i="85" s="1"/>
  <c r="I106" i="85"/>
  <c r="K106" i="85" s="1"/>
  <c r="I107" i="85"/>
  <c r="K107" i="85" s="1"/>
  <c r="I108" i="85"/>
  <c r="K108" i="85" s="1"/>
  <c r="I109" i="85"/>
  <c r="K109" i="85" s="1"/>
  <c r="I110" i="85"/>
  <c r="K110" i="85" s="1"/>
  <c r="I111" i="85"/>
  <c r="K111" i="85" s="1"/>
  <c r="I112" i="85"/>
  <c r="K112" i="85" s="1"/>
  <c r="I113" i="85"/>
  <c r="K113" i="85" s="1"/>
  <c r="I114" i="85"/>
  <c r="K114" i="85" s="1"/>
  <c r="I115" i="85"/>
  <c r="K115" i="85" s="1"/>
  <c r="I116" i="85"/>
  <c r="K116" i="85" s="1"/>
  <c r="I117" i="85"/>
  <c r="K117" i="85" s="1"/>
  <c r="I118" i="85"/>
  <c r="K118" i="85" s="1"/>
  <c r="I119" i="85"/>
  <c r="K119" i="85" s="1"/>
  <c r="I120" i="85"/>
  <c r="K120" i="85" s="1"/>
  <c r="I121" i="85"/>
  <c r="K121" i="85" s="1"/>
  <c r="I122" i="85"/>
  <c r="K122" i="85" s="1"/>
  <c r="I123" i="85"/>
  <c r="K123" i="85" s="1"/>
  <c r="I124" i="85"/>
  <c r="K124" i="85" s="1"/>
  <c r="I125" i="85"/>
  <c r="K125" i="85" s="1"/>
  <c r="I126" i="85"/>
  <c r="K126" i="85" s="1"/>
  <c r="I127" i="85"/>
  <c r="K127" i="85" s="1"/>
  <c r="I128" i="85"/>
  <c r="K128" i="85" s="1"/>
  <c r="I129" i="85"/>
  <c r="K129" i="85" s="1"/>
  <c r="I130" i="85"/>
  <c r="K130" i="85" s="1"/>
  <c r="I131" i="85"/>
  <c r="K131" i="85" s="1"/>
  <c r="I132" i="85"/>
  <c r="K132" i="85" s="1"/>
  <c r="I133" i="85"/>
  <c r="K133" i="85" s="1"/>
  <c r="I134" i="85"/>
  <c r="K134" i="85" s="1"/>
  <c r="I135" i="85"/>
  <c r="K135" i="85" s="1"/>
  <c r="I136" i="85"/>
  <c r="K136" i="85" s="1"/>
  <c r="I137" i="85"/>
  <c r="K137" i="85" s="1"/>
  <c r="I138" i="85"/>
  <c r="K138" i="85" s="1"/>
  <c r="I139" i="85"/>
  <c r="K139" i="85" s="1"/>
  <c r="I140" i="85"/>
  <c r="K140" i="85" s="1"/>
  <c r="I141" i="85"/>
  <c r="K141" i="85" s="1"/>
  <c r="I142" i="85"/>
  <c r="K142" i="85" s="1"/>
  <c r="I143" i="85"/>
  <c r="K143" i="85" s="1"/>
  <c r="I144" i="85"/>
  <c r="K144" i="85" s="1"/>
  <c r="I145" i="85"/>
  <c r="K145" i="85" s="1"/>
  <c r="I146" i="85"/>
  <c r="K146" i="85" s="1"/>
  <c r="I147" i="85"/>
  <c r="K147" i="85" s="1"/>
  <c r="I148" i="85"/>
  <c r="K148" i="85" s="1"/>
  <c r="I149" i="85"/>
  <c r="K149" i="85" s="1"/>
  <c r="I150" i="85"/>
  <c r="K150" i="85" s="1"/>
  <c r="I151" i="85"/>
  <c r="K151" i="85" s="1"/>
  <c r="I152" i="85"/>
  <c r="K152" i="85" s="1"/>
  <c r="I153" i="85"/>
  <c r="K153" i="85" s="1"/>
  <c r="I154" i="85"/>
  <c r="K154" i="85" s="1"/>
  <c r="I155" i="85"/>
  <c r="K155" i="85" s="1"/>
  <c r="I156" i="85"/>
  <c r="K156" i="85" s="1"/>
  <c r="I157" i="85"/>
  <c r="K157" i="85" s="1"/>
  <c r="I158" i="85"/>
  <c r="K158" i="85" s="1"/>
  <c r="I159" i="85"/>
  <c r="K159" i="85" s="1"/>
  <c r="I160" i="85"/>
  <c r="K160" i="85" s="1"/>
  <c r="I161" i="85"/>
  <c r="I162" i="85"/>
  <c r="I163" i="85"/>
  <c r="I164" i="85"/>
  <c r="I165" i="85"/>
  <c r="I166" i="85"/>
  <c r="I89" i="85"/>
  <c r="I95" i="85"/>
  <c r="K95" i="85" s="1"/>
  <c r="I96" i="85"/>
  <c r="K96" i="85" s="1"/>
  <c r="I97" i="85"/>
  <c r="K97" i="85" s="1"/>
  <c r="I98" i="85"/>
  <c r="K98" i="85" s="1"/>
  <c r="I99" i="85"/>
  <c r="K99" i="85" s="1"/>
  <c r="I100" i="85"/>
  <c r="K100" i="85" s="1"/>
  <c r="I101" i="85"/>
  <c r="K101" i="85" s="1"/>
  <c r="I102" i="85"/>
  <c r="K102" i="85" s="1"/>
  <c r="I103" i="85"/>
  <c r="K103" i="85" s="1"/>
  <c r="H1187" i="86"/>
  <c r="H1188" i="86"/>
  <c r="H1189" i="86"/>
  <c r="H1190" i="86"/>
  <c r="H1191" i="86"/>
  <c r="H1192" i="86"/>
  <c r="H1193" i="86"/>
  <c r="H1194" i="86"/>
  <c r="H1195" i="86"/>
  <c r="H1196" i="86"/>
  <c r="H1197" i="86"/>
  <c r="H1198" i="86"/>
  <c r="H1199" i="86"/>
  <c r="H1200" i="86"/>
  <c r="H1201" i="86"/>
  <c r="H1202" i="86"/>
  <c r="H1203" i="86"/>
  <c r="H1204" i="86"/>
  <c r="H1205" i="86"/>
  <c r="H1206" i="86"/>
  <c r="H1207" i="86"/>
  <c r="H1208" i="86"/>
  <c r="H1209" i="86"/>
  <c r="H1210" i="86"/>
  <c r="H1211" i="86"/>
  <c r="H1212" i="86"/>
  <c r="H1213" i="86"/>
  <c r="H1214" i="86"/>
  <c r="H1215" i="86"/>
  <c r="H1216" i="86"/>
  <c r="H1217" i="86"/>
  <c r="H1218" i="86"/>
  <c r="H1219" i="86"/>
  <c r="H1220" i="86"/>
  <c r="H1221" i="86"/>
  <c r="H1222" i="86"/>
  <c r="H1223" i="86"/>
  <c r="H1224" i="86"/>
  <c r="H1225" i="86"/>
  <c r="H1226" i="86"/>
  <c r="H1227" i="86"/>
  <c r="H1228" i="86"/>
  <c r="H1229" i="86"/>
  <c r="H1230" i="86"/>
  <c r="H1231" i="86"/>
  <c r="H1232" i="86"/>
  <c r="K167" i="85" l="1"/>
  <c r="H1139" i="86"/>
  <c r="K1139" i="86" s="1"/>
  <c r="H1140" i="86"/>
  <c r="K1140" i="86" s="1"/>
  <c r="H1141" i="86"/>
  <c r="K1141" i="86" s="1"/>
  <c r="H1142" i="86"/>
  <c r="K1142" i="86" s="1"/>
  <c r="H1143" i="86"/>
  <c r="H1144" i="86"/>
  <c r="H1145" i="86"/>
  <c r="H1146" i="86"/>
  <c r="H1147" i="86"/>
  <c r="H1148" i="86"/>
  <c r="H1149" i="86"/>
  <c r="H1150" i="86"/>
  <c r="H1151" i="86"/>
  <c r="H1152" i="86"/>
  <c r="H1153" i="86"/>
  <c r="H1154" i="86"/>
  <c r="H1155" i="86"/>
  <c r="H1156" i="86"/>
  <c r="H1157" i="86"/>
  <c r="H1158" i="86"/>
  <c r="H1159" i="86"/>
  <c r="H1160" i="86"/>
  <c r="H1161" i="86"/>
  <c r="H1162" i="86"/>
  <c r="H1163" i="86"/>
  <c r="H1164" i="86"/>
  <c r="H1165" i="86"/>
  <c r="H1166" i="86"/>
  <c r="H1167" i="86"/>
  <c r="H1168" i="86"/>
  <c r="H1169" i="86"/>
  <c r="H1170" i="86"/>
  <c r="H1171" i="86"/>
  <c r="H1172" i="86"/>
  <c r="H1173" i="86"/>
  <c r="H1174" i="86"/>
  <c r="H1175" i="86"/>
  <c r="H1176" i="86"/>
  <c r="H1177" i="86"/>
  <c r="H1178" i="86"/>
  <c r="H1179" i="86"/>
  <c r="H1181" i="86"/>
  <c r="H1182" i="86"/>
  <c r="H1183" i="86"/>
  <c r="H1184" i="86"/>
  <c r="H1185" i="86"/>
  <c r="H1186" i="86"/>
  <c r="H961" i="86"/>
  <c r="H962" i="86"/>
  <c r="K962" i="86" s="1"/>
  <c r="H963" i="86"/>
  <c r="K963" i="86" s="1"/>
  <c r="H964" i="86"/>
  <c r="K964" i="86" s="1"/>
  <c r="H965" i="86"/>
  <c r="H966" i="86"/>
  <c r="H967" i="86"/>
  <c r="K967" i="86" s="1"/>
  <c r="H968" i="86"/>
  <c r="K968" i="86" s="1"/>
  <c r="H969" i="86"/>
  <c r="H970" i="86"/>
  <c r="K970" i="86" s="1"/>
  <c r="H971" i="86"/>
  <c r="K971" i="86" s="1"/>
  <c r="H972" i="86"/>
  <c r="K972" i="86" s="1"/>
  <c r="H973" i="86"/>
  <c r="H974" i="86"/>
  <c r="H975" i="86"/>
  <c r="K975" i="86" s="1"/>
  <c r="H976" i="86"/>
  <c r="K976" i="86" s="1"/>
  <c r="H977" i="86"/>
  <c r="H978" i="86"/>
  <c r="K978" i="86" s="1"/>
  <c r="H979" i="86"/>
  <c r="K979" i="86" s="1"/>
  <c r="H980" i="86"/>
  <c r="K980" i="86" s="1"/>
  <c r="H981" i="86"/>
  <c r="H982" i="86"/>
  <c r="H983" i="86"/>
  <c r="K983" i="86" s="1"/>
  <c r="H984" i="86"/>
  <c r="K984" i="86" s="1"/>
  <c r="H985" i="86"/>
  <c r="H986" i="86"/>
  <c r="K986" i="86" s="1"/>
  <c r="H987" i="86"/>
  <c r="K987" i="86" s="1"/>
  <c r="H988" i="86"/>
  <c r="K988" i="86" s="1"/>
  <c r="H989" i="86"/>
  <c r="H990" i="86"/>
  <c r="K990" i="86" s="1"/>
  <c r="H991" i="86"/>
  <c r="K991" i="86" s="1"/>
  <c r="H992" i="86"/>
  <c r="K992" i="86" s="1"/>
  <c r="H993" i="86"/>
  <c r="H994" i="86"/>
  <c r="H995" i="86"/>
  <c r="K995" i="86" s="1"/>
  <c r="H996" i="86"/>
  <c r="K996" i="86" s="1"/>
  <c r="H997" i="86"/>
  <c r="H998" i="86"/>
  <c r="K998" i="86" s="1"/>
  <c r="H999" i="86"/>
  <c r="K999" i="86" s="1"/>
  <c r="H1000" i="86"/>
  <c r="K1000" i="86" s="1"/>
  <c r="H1001" i="86"/>
  <c r="H1002" i="86"/>
  <c r="H1003" i="86"/>
  <c r="K1003" i="86" s="1"/>
  <c r="H1004" i="86"/>
  <c r="K1004" i="86" s="1"/>
  <c r="H1005" i="86"/>
  <c r="H1006" i="86"/>
  <c r="H1007" i="86"/>
  <c r="K1007" i="86" s="1"/>
  <c r="H1008" i="86"/>
  <c r="K1008" i="86" s="1"/>
  <c r="H1009" i="86"/>
  <c r="H1010" i="86"/>
  <c r="K1010" i="86" s="1"/>
  <c r="H1011" i="86"/>
  <c r="K1011" i="86" s="1"/>
  <c r="H1012" i="86"/>
  <c r="K1012" i="86" s="1"/>
  <c r="H1013" i="86"/>
  <c r="H1014" i="86"/>
  <c r="H1015" i="86"/>
  <c r="K1015" i="86" s="1"/>
  <c r="H1016" i="86"/>
  <c r="K1016" i="86" s="1"/>
  <c r="H1017" i="86"/>
  <c r="H1018" i="86"/>
  <c r="K1018" i="86" s="1"/>
  <c r="H1019" i="86"/>
  <c r="K1019" i="86" s="1"/>
  <c r="H1020" i="86"/>
  <c r="K1020" i="86" s="1"/>
  <c r="H1021" i="86"/>
  <c r="H1022" i="86"/>
  <c r="H1023" i="86"/>
  <c r="H1024" i="86"/>
  <c r="K1024" i="86" s="1"/>
  <c r="H1025" i="86"/>
  <c r="H1026" i="86"/>
  <c r="K1026" i="86" s="1"/>
  <c r="H1027" i="86"/>
  <c r="K1027" i="86" s="1"/>
  <c r="H1028" i="86"/>
  <c r="K1028" i="86" s="1"/>
  <c r="H1029" i="86"/>
  <c r="H1030" i="86"/>
  <c r="H1031" i="86"/>
  <c r="K1031" i="86" s="1"/>
  <c r="H1032" i="86"/>
  <c r="K1032" i="86" s="1"/>
  <c r="H1033" i="86"/>
  <c r="H1034" i="86"/>
  <c r="K1034" i="86" s="1"/>
  <c r="H1035" i="86"/>
  <c r="K1035" i="86" s="1"/>
  <c r="H1036" i="86"/>
  <c r="K1036" i="86" s="1"/>
  <c r="H1037" i="86"/>
  <c r="H1038" i="86"/>
  <c r="K1038" i="86" s="1"/>
  <c r="H1039" i="86"/>
  <c r="K1039" i="86" s="1"/>
  <c r="H1040" i="86"/>
  <c r="K1040" i="86" s="1"/>
  <c r="H1041" i="86"/>
  <c r="H1042" i="86"/>
  <c r="K1042" i="86" s="1"/>
  <c r="H1043" i="86"/>
  <c r="K1043" i="86" s="1"/>
  <c r="H1044" i="86"/>
  <c r="K1044" i="86" s="1"/>
  <c r="H1045" i="86"/>
  <c r="H1046" i="86"/>
  <c r="H1047" i="86"/>
  <c r="K1047" i="86" s="1"/>
  <c r="H1048" i="86"/>
  <c r="K1048" i="86" s="1"/>
  <c r="H1049" i="86"/>
  <c r="H1050" i="86"/>
  <c r="K1050" i="86" s="1"/>
  <c r="H1051" i="86"/>
  <c r="K1051" i="86" s="1"/>
  <c r="H1052" i="86"/>
  <c r="K1052" i="86" s="1"/>
  <c r="H1053" i="86"/>
  <c r="H1054" i="86"/>
  <c r="H1055" i="86"/>
  <c r="H1056" i="86"/>
  <c r="K1056" i="86" s="1"/>
  <c r="H1057" i="86"/>
  <c r="H1058" i="86"/>
  <c r="K1058" i="86" s="1"/>
  <c r="H1059" i="86"/>
  <c r="K1059" i="86" s="1"/>
  <c r="H1060" i="86"/>
  <c r="K1060" i="86" s="1"/>
  <c r="H1061" i="86"/>
  <c r="H1062" i="86"/>
  <c r="H1063" i="86"/>
  <c r="K1063" i="86" s="1"/>
  <c r="H1064" i="86"/>
  <c r="K1064" i="86" s="1"/>
  <c r="H1065" i="86"/>
  <c r="H1066" i="86"/>
  <c r="K1066" i="86" s="1"/>
  <c r="H1067" i="86"/>
  <c r="K1067" i="86" s="1"/>
  <c r="H1068" i="86"/>
  <c r="K1068" i="86" s="1"/>
  <c r="H1069" i="86"/>
  <c r="H1070" i="86"/>
  <c r="K1070" i="86" s="1"/>
  <c r="H1071" i="86"/>
  <c r="K1071" i="86" s="1"/>
  <c r="H1072" i="86"/>
  <c r="K1072" i="86" s="1"/>
  <c r="H1073" i="86"/>
  <c r="H1074" i="86"/>
  <c r="K1074" i="86" s="1"/>
  <c r="H1075" i="86"/>
  <c r="K1075" i="86" s="1"/>
  <c r="H1076" i="86"/>
  <c r="K1076" i="86" s="1"/>
  <c r="H1077" i="86"/>
  <c r="H1078" i="86"/>
  <c r="H1079" i="86"/>
  <c r="K1079" i="86" s="1"/>
  <c r="H1080" i="86"/>
  <c r="K1080" i="86" s="1"/>
  <c r="H1081" i="86"/>
  <c r="H1082" i="86"/>
  <c r="K1082" i="86" s="1"/>
  <c r="H1083" i="86"/>
  <c r="K1083" i="86" s="1"/>
  <c r="H1084" i="86"/>
  <c r="K1084" i="86" s="1"/>
  <c r="H1085" i="86"/>
  <c r="H1086" i="86"/>
  <c r="H1087" i="86"/>
  <c r="K1087" i="86" s="1"/>
  <c r="H1088" i="86"/>
  <c r="K1088" i="86" s="1"/>
  <c r="H1089" i="86"/>
  <c r="H1090" i="86"/>
  <c r="K1090" i="86" s="1"/>
  <c r="H1091" i="86"/>
  <c r="K1091" i="86" s="1"/>
  <c r="H1092" i="86"/>
  <c r="K1092" i="86" s="1"/>
  <c r="H1093" i="86"/>
  <c r="H1094" i="86"/>
  <c r="H1095" i="86"/>
  <c r="K1095" i="86" s="1"/>
  <c r="H1096" i="86"/>
  <c r="K1096" i="86" s="1"/>
  <c r="H1097" i="86"/>
  <c r="H1098" i="86"/>
  <c r="K1098" i="86" s="1"/>
  <c r="H1099" i="86"/>
  <c r="K1099" i="86" s="1"/>
  <c r="H1100" i="86"/>
  <c r="K1100" i="86" s="1"/>
  <c r="H1101" i="86"/>
  <c r="H1102" i="86"/>
  <c r="K1102" i="86" s="1"/>
  <c r="H1103" i="86"/>
  <c r="K1103" i="86" s="1"/>
  <c r="H1104" i="86"/>
  <c r="K1104" i="86" s="1"/>
  <c r="H1105" i="86"/>
  <c r="H1106" i="86"/>
  <c r="K1106" i="86" s="1"/>
  <c r="H1107" i="86"/>
  <c r="K1107" i="86" s="1"/>
  <c r="H1108" i="86"/>
  <c r="K1108" i="86" s="1"/>
  <c r="H1109" i="86"/>
  <c r="H1110" i="86"/>
  <c r="H1111" i="86"/>
  <c r="K1111" i="86" s="1"/>
  <c r="H1112" i="86"/>
  <c r="K1112" i="86" s="1"/>
  <c r="H1113" i="86"/>
  <c r="H1114" i="86"/>
  <c r="K1114" i="86" s="1"/>
  <c r="H1115" i="86"/>
  <c r="K1115" i="86" s="1"/>
  <c r="H1116" i="86"/>
  <c r="K1116" i="86" s="1"/>
  <c r="H1117" i="86"/>
  <c r="H1118" i="86"/>
  <c r="H1119" i="86"/>
  <c r="K1119" i="86" s="1"/>
  <c r="H1120" i="86"/>
  <c r="K1120" i="86" s="1"/>
  <c r="H1121" i="86"/>
  <c r="H1122" i="86"/>
  <c r="K1122" i="86" s="1"/>
  <c r="H1123" i="86"/>
  <c r="K1123" i="86" s="1"/>
  <c r="H1124" i="86"/>
  <c r="K1124" i="86" s="1"/>
  <c r="H1125" i="86"/>
  <c r="H1126" i="86"/>
  <c r="H1127" i="86"/>
  <c r="K1127" i="86" s="1"/>
  <c r="H1128" i="86"/>
  <c r="K1128" i="86" s="1"/>
  <c r="H1129" i="86"/>
  <c r="H1130" i="86"/>
  <c r="K1130" i="86" s="1"/>
  <c r="H1131" i="86"/>
  <c r="K1131" i="86" s="1"/>
  <c r="H1132" i="86"/>
  <c r="K1132" i="86" s="1"/>
  <c r="H1133" i="86"/>
  <c r="H1134" i="86"/>
  <c r="K1134" i="86" s="1"/>
  <c r="H1135" i="86"/>
  <c r="K1135" i="86" s="1"/>
  <c r="H1136" i="86"/>
  <c r="K1136" i="86" s="1"/>
  <c r="H1137" i="86"/>
  <c r="H1138" i="86"/>
  <c r="K1138" i="86" s="1"/>
  <c r="K961" i="86"/>
  <c r="K965" i="86"/>
  <c r="K966" i="86"/>
  <c r="K969" i="86"/>
  <c r="K973" i="86"/>
  <c r="K974" i="86"/>
  <c r="K977" i="86"/>
  <c r="K981" i="86"/>
  <c r="K982" i="86"/>
  <c r="K985" i="86"/>
  <c r="K989" i="86"/>
  <c r="K993" i="86"/>
  <c r="K994" i="86"/>
  <c r="K997" i="86"/>
  <c r="K1001" i="86"/>
  <c r="K1002" i="86"/>
  <c r="K1005" i="86"/>
  <c r="K1006" i="86"/>
  <c r="K1009" i="86"/>
  <c r="K1013" i="86"/>
  <c r="K1014" i="86"/>
  <c r="K1017" i="86"/>
  <c r="K1021" i="86"/>
  <c r="K1022" i="86"/>
  <c r="K1023" i="86"/>
  <c r="K1025" i="86"/>
  <c r="K1029" i="86"/>
  <c r="K1030" i="86"/>
  <c r="K1033" i="86"/>
  <c r="K1037" i="86"/>
  <c r="K1041" i="86"/>
  <c r="K1045" i="86"/>
  <c r="K1046" i="86"/>
  <c r="K1049" i="86"/>
  <c r="K1053" i="86"/>
  <c r="K1054" i="86"/>
  <c r="K1055" i="86"/>
  <c r="K1057" i="86"/>
  <c r="K1061" i="86"/>
  <c r="K1062" i="86"/>
  <c r="K1065" i="86"/>
  <c r="K1069" i="86"/>
  <c r="K1073" i="86"/>
  <c r="K1077" i="86"/>
  <c r="K1078" i="86"/>
  <c r="K1081" i="86"/>
  <c r="K1085" i="86"/>
  <c r="K1086" i="86"/>
  <c r="K1089" i="86"/>
  <c r="K1093" i="86"/>
  <c r="K1094" i="86"/>
  <c r="K1097" i="86"/>
  <c r="K1101" i="86"/>
  <c r="K1105" i="86"/>
  <c r="K1109" i="86"/>
  <c r="K1110" i="86"/>
  <c r="K1113" i="86"/>
  <c r="K1117" i="86"/>
  <c r="K1118" i="86"/>
  <c r="K1121" i="86"/>
  <c r="K1125" i="86"/>
  <c r="K1126" i="86"/>
  <c r="K1129" i="86"/>
  <c r="K1133" i="86"/>
  <c r="K1137" i="86"/>
  <c r="K1143" i="86"/>
  <c r="H814" i="86"/>
  <c r="H815" i="86"/>
  <c r="K815" i="86" s="1"/>
  <c r="H816" i="86"/>
  <c r="K816" i="86" s="1"/>
  <c r="H817" i="86"/>
  <c r="K817" i="86" s="1"/>
  <c r="H818" i="86"/>
  <c r="K818" i="86" s="1"/>
  <c r="H819" i="86"/>
  <c r="K819" i="86" s="1"/>
  <c r="H820" i="86"/>
  <c r="K820" i="86" s="1"/>
  <c r="H821" i="86"/>
  <c r="K821" i="86" s="1"/>
  <c r="H822" i="86"/>
  <c r="K822" i="86" s="1"/>
  <c r="H823" i="86"/>
  <c r="K823" i="86" s="1"/>
  <c r="H824" i="86"/>
  <c r="K824" i="86" s="1"/>
  <c r="H825" i="86"/>
  <c r="K825" i="86" s="1"/>
  <c r="H826" i="86"/>
  <c r="K826" i="86" s="1"/>
  <c r="H827" i="86"/>
  <c r="K827" i="86" s="1"/>
  <c r="H828" i="86"/>
  <c r="K828" i="86" s="1"/>
  <c r="H829" i="86"/>
  <c r="K829" i="86" s="1"/>
  <c r="H830" i="86"/>
  <c r="K830" i="86" s="1"/>
  <c r="H831" i="86"/>
  <c r="K831" i="86" s="1"/>
  <c r="H832" i="86"/>
  <c r="K832" i="86" s="1"/>
  <c r="H833" i="86"/>
  <c r="K833" i="86" s="1"/>
  <c r="H834" i="86"/>
  <c r="K834" i="86" s="1"/>
  <c r="H835" i="86"/>
  <c r="K835" i="86" s="1"/>
  <c r="H836" i="86"/>
  <c r="K836" i="86" s="1"/>
  <c r="H837" i="86"/>
  <c r="K837" i="86" s="1"/>
  <c r="H838" i="86"/>
  <c r="K838" i="86" s="1"/>
  <c r="H839" i="86"/>
  <c r="K839" i="86" s="1"/>
  <c r="H840" i="86"/>
  <c r="K840" i="86" s="1"/>
  <c r="H841" i="86"/>
  <c r="K841" i="86" s="1"/>
  <c r="H842" i="86"/>
  <c r="K842" i="86" s="1"/>
  <c r="H843" i="86"/>
  <c r="K843" i="86" s="1"/>
  <c r="H844" i="86"/>
  <c r="K844" i="86" s="1"/>
  <c r="H845" i="86"/>
  <c r="K845" i="86" s="1"/>
  <c r="H846" i="86"/>
  <c r="K846" i="86" s="1"/>
  <c r="H847" i="86"/>
  <c r="K847" i="86" s="1"/>
  <c r="H848" i="86"/>
  <c r="K848" i="86" s="1"/>
  <c r="H849" i="86"/>
  <c r="K849" i="86" s="1"/>
  <c r="H850" i="86"/>
  <c r="K850" i="86" s="1"/>
  <c r="H851" i="86"/>
  <c r="K851" i="86" s="1"/>
  <c r="H852" i="86"/>
  <c r="K852" i="86" s="1"/>
  <c r="H853" i="86"/>
  <c r="K853" i="86" s="1"/>
  <c r="H854" i="86"/>
  <c r="K854" i="86" s="1"/>
  <c r="H855" i="86"/>
  <c r="K855" i="86" s="1"/>
  <c r="H856" i="86"/>
  <c r="K856" i="86" s="1"/>
  <c r="H857" i="86"/>
  <c r="K857" i="86" s="1"/>
  <c r="H858" i="86"/>
  <c r="K858" i="86" s="1"/>
  <c r="H859" i="86"/>
  <c r="K859" i="86" s="1"/>
  <c r="H860" i="86"/>
  <c r="K860" i="86" s="1"/>
  <c r="H861" i="86"/>
  <c r="K861" i="86" s="1"/>
  <c r="H862" i="86"/>
  <c r="K862" i="86" s="1"/>
  <c r="H863" i="86"/>
  <c r="K863" i="86" s="1"/>
  <c r="H864" i="86"/>
  <c r="K864" i="86" s="1"/>
  <c r="H865" i="86"/>
  <c r="K865" i="86" s="1"/>
  <c r="H866" i="86"/>
  <c r="K866" i="86" s="1"/>
  <c r="H867" i="86"/>
  <c r="K867" i="86" s="1"/>
  <c r="H868" i="86"/>
  <c r="K868" i="86" s="1"/>
  <c r="H869" i="86"/>
  <c r="K869" i="86" s="1"/>
  <c r="H870" i="86"/>
  <c r="K870" i="86" s="1"/>
  <c r="H871" i="86"/>
  <c r="K871" i="86" s="1"/>
  <c r="H872" i="86"/>
  <c r="K872" i="86" s="1"/>
  <c r="H873" i="86"/>
  <c r="K873" i="86" s="1"/>
  <c r="H874" i="86"/>
  <c r="K874" i="86" s="1"/>
  <c r="H875" i="86"/>
  <c r="K875" i="86" s="1"/>
  <c r="H876" i="86"/>
  <c r="K876" i="86" s="1"/>
  <c r="H877" i="86"/>
  <c r="K877" i="86" s="1"/>
  <c r="H878" i="86"/>
  <c r="K878" i="86" s="1"/>
  <c r="H879" i="86"/>
  <c r="K879" i="86" s="1"/>
  <c r="H880" i="86"/>
  <c r="K880" i="86" s="1"/>
  <c r="H881" i="86"/>
  <c r="K881" i="86" s="1"/>
  <c r="H882" i="86"/>
  <c r="K882" i="86" s="1"/>
  <c r="H883" i="86"/>
  <c r="K883" i="86" s="1"/>
  <c r="H884" i="86"/>
  <c r="K884" i="86" s="1"/>
  <c r="H885" i="86"/>
  <c r="K885" i="86" s="1"/>
  <c r="H886" i="86"/>
  <c r="K886" i="86" s="1"/>
  <c r="H887" i="86"/>
  <c r="K887" i="86" s="1"/>
  <c r="H888" i="86"/>
  <c r="K888" i="86" s="1"/>
  <c r="H889" i="86"/>
  <c r="K889" i="86" s="1"/>
  <c r="H890" i="86"/>
  <c r="K890" i="86" s="1"/>
  <c r="H891" i="86"/>
  <c r="K891" i="86" s="1"/>
  <c r="H892" i="86"/>
  <c r="K892" i="86" s="1"/>
  <c r="H893" i="86"/>
  <c r="K893" i="86" s="1"/>
  <c r="H894" i="86"/>
  <c r="K894" i="86" s="1"/>
  <c r="H895" i="86"/>
  <c r="K895" i="86" s="1"/>
  <c r="H896" i="86"/>
  <c r="K896" i="86" s="1"/>
  <c r="H897" i="86"/>
  <c r="K897" i="86" s="1"/>
  <c r="H898" i="86"/>
  <c r="K898" i="86" s="1"/>
  <c r="H899" i="86"/>
  <c r="K899" i="86" s="1"/>
  <c r="H900" i="86"/>
  <c r="K900" i="86" s="1"/>
  <c r="H901" i="86"/>
  <c r="K901" i="86" s="1"/>
  <c r="H902" i="86"/>
  <c r="K902" i="86" s="1"/>
  <c r="H903" i="86"/>
  <c r="K903" i="86" s="1"/>
  <c r="H904" i="86"/>
  <c r="K904" i="86" s="1"/>
  <c r="H905" i="86"/>
  <c r="K905" i="86" s="1"/>
  <c r="H906" i="86"/>
  <c r="K906" i="86" s="1"/>
  <c r="H907" i="86"/>
  <c r="K907" i="86" s="1"/>
  <c r="H908" i="86"/>
  <c r="K908" i="86" s="1"/>
  <c r="H909" i="86"/>
  <c r="K909" i="86" s="1"/>
  <c r="H910" i="86"/>
  <c r="K910" i="86" s="1"/>
  <c r="H911" i="86"/>
  <c r="K911" i="86" s="1"/>
  <c r="H912" i="86"/>
  <c r="K912" i="86" s="1"/>
  <c r="H913" i="86"/>
  <c r="K913" i="86" s="1"/>
  <c r="H914" i="86"/>
  <c r="K914" i="86" s="1"/>
  <c r="H915" i="86"/>
  <c r="K915" i="86" s="1"/>
  <c r="H916" i="86"/>
  <c r="K916" i="86" s="1"/>
  <c r="H917" i="86"/>
  <c r="K917" i="86" s="1"/>
  <c r="H918" i="86"/>
  <c r="K918" i="86" s="1"/>
  <c r="H919" i="86"/>
  <c r="K919" i="86" s="1"/>
  <c r="H920" i="86"/>
  <c r="K920" i="86" s="1"/>
  <c r="H921" i="86"/>
  <c r="K921" i="86" s="1"/>
  <c r="H922" i="86"/>
  <c r="K922" i="86" s="1"/>
  <c r="H923" i="86"/>
  <c r="K923" i="86" s="1"/>
  <c r="H924" i="86"/>
  <c r="K924" i="86" s="1"/>
  <c r="H925" i="86"/>
  <c r="K925" i="86" s="1"/>
  <c r="H926" i="86"/>
  <c r="K926" i="86" s="1"/>
  <c r="H927" i="86"/>
  <c r="K927" i="86" s="1"/>
  <c r="H928" i="86"/>
  <c r="K928" i="86" s="1"/>
  <c r="H929" i="86"/>
  <c r="K929" i="86" s="1"/>
  <c r="H930" i="86"/>
  <c r="K930" i="86" s="1"/>
  <c r="H931" i="86"/>
  <c r="K931" i="86" s="1"/>
  <c r="H932" i="86"/>
  <c r="K932" i="86" s="1"/>
  <c r="H933" i="86"/>
  <c r="K933" i="86" s="1"/>
  <c r="H934" i="86"/>
  <c r="K934" i="86" s="1"/>
  <c r="H935" i="86"/>
  <c r="K935" i="86" s="1"/>
  <c r="H936" i="86"/>
  <c r="K936" i="86" s="1"/>
  <c r="H937" i="86"/>
  <c r="K937" i="86" s="1"/>
  <c r="H938" i="86"/>
  <c r="K938" i="86" s="1"/>
  <c r="H939" i="86"/>
  <c r="K939" i="86" s="1"/>
  <c r="H940" i="86"/>
  <c r="K940" i="86" s="1"/>
  <c r="H941" i="86"/>
  <c r="K941" i="86" s="1"/>
  <c r="H942" i="86"/>
  <c r="K942" i="86" s="1"/>
  <c r="H943" i="86"/>
  <c r="K943" i="86" s="1"/>
  <c r="H944" i="86"/>
  <c r="K944" i="86" s="1"/>
  <c r="H945" i="86"/>
  <c r="K945" i="86" s="1"/>
  <c r="H946" i="86"/>
  <c r="K946" i="86" s="1"/>
  <c r="H947" i="86"/>
  <c r="K947" i="86" s="1"/>
  <c r="H948" i="86"/>
  <c r="K948" i="86" s="1"/>
  <c r="H949" i="86"/>
  <c r="K949" i="86" s="1"/>
  <c r="H950" i="86"/>
  <c r="K950" i="86" s="1"/>
  <c r="H951" i="86"/>
  <c r="K951" i="86" s="1"/>
  <c r="H952" i="86"/>
  <c r="K952" i="86" s="1"/>
  <c r="H953" i="86"/>
  <c r="K953" i="86" s="1"/>
  <c r="H954" i="86"/>
  <c r="K954" i="86" s="1"/>
  <c r="H955" i="86"/>
  <c r="K955" i="86" s="1"/>
  <c r="H956" i="86"/>
  <c r="K956" i="86" s="1"/>
  <c r="H957" i="86"/>
  <c r="K957" i="86" s="1"/>
  <c r="H958" i="86"/>
  <c r="K958" i="86" s="1"/>
  <c r="H959" i="86"/>
  <c r="K959" i="86" s="1"/>
  <c r="H960" i="86"/>
  <c r="K960" i="86" s="1"/>
  <c r="I62" i="85" l="1"/>
  <c r="I63" i="85"/>
  <c r="I64" i="85"/>
  <c r="I65" i="85"/>
  <c r="I66" i="85"/>
  <c r="I67" i="85"/>
  <c r="I68" i="85"/>
  <c r="I69" i="85"/>
  <c r="I70" i="85"/>
  <c r="I71" i="85"/>
  <c r="I72" i="85"/>
  <c r="I73" i="85"/>
  <c r="I74" i="85"/>
  <c r="I75" i="85"/>
  <c r="I76" i="85"/>
  <c r="I77" i="85"/>
  <c r="I78" i="85"/>
  <c r="I79" i="85"/>
  <c r="I80" i="85"/>
  <c r="I81" i="85"/>
  <c r="I82" i="85"/>
  <c r="I83" i="85"/>
  <c r="I84" i="85"/>
  <c r="I85" i="85"/>
  <c r="I86" i="85"/>
  <c r="I87" i="85"/>
  <c r="I88" i="85"/>
  <c r="L7" i="86"/>
  <c r="L8" i="86"/>
  <c r="L9" i="86"/>
  <c r="L10" i="86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6" i="86"/>
  <c r="L27" i="86"/>
  <c r="L28" i="86"/>
  <c r="L29" i="86"/>
  <c r="L30" i="86"/>
  <c r="L31" i="86"/>
  <c r="L32" i="86"/>
  <c r="L33" i="86"/>
  <c r="L34" i="86"/>
  <c r="L35" i="86"/>
  <c r="L36" i="86"/>
  <c r="L37" i="86"/>
  <c r="L38" i="86"/>
  <c r="L39" i="86"/>
  <c r="L40" i="86"/>
  <c r="L41" i="86"/>
  <c r="L42" i="86"/>
  <c r="L43" i="86"/>
  <c r="L44" i="86"/>
  <c r="L45" i="86"/>
  <c r="L46" i="86"/>
  <c r="L47" i="86"/>
  <c r="L48" i="86"/>
  <c r="L49" i="86"/>
  <c r="L50" i="86"/>
  <c r="L51" i="86"/>
  <c r="L52" i="86"/>
  <c r="L53" i="86"/>
  <c r="L54" i="86"/>
  <c r="L55" i="86"/>
  <c r="L56" i="86"/>
  <c r="L57" i="86"/>
  <c r="L58" i="86"/>
  <c r="L59" i="86"/>
  <c r="L60" i="86"/>
  <c r="L61" i="86"/>
  <c r="L62" i="86"/>
  <c r="L63" i="86"/>
  <c r="L64" i="86"/>
  <c r="L65" i="86"/>
  <c r="L66" i="86"/>
  <c r="L67" i="86"/>
  <c r="L68" i="86"/>
  <c r="L69" i="86"/>
  <c r="L70" i="86"/>
  <c r="L71" i="86"/>
  <c r="L72" i="86"/>
  <c r="L73" i="86"/>
  <c r="L74" i="86"/>
  <c r="L75" i="86"/>
  <c r="L76" i="86"/>
  <c r="L77" i="86"/>
  <c r="L78" i="86"/>
  <c r="L79" i="86"/>
  <c r="L80" i="86"/>
  <c r="L81" i="86"/>
  <c r="L82" i="86"/>
  <c r="L83" i="86"/>
  <c r="L84" i="86"/>
  <c r="L85" i="86"/>
  <c r="L86" i="86"/>
  <c r="L87" i="86"/>
  <c r="L88" i="86"/>
  <c r="L89" i="86"/>
  <c r="L90" i="86"/>
  <c r="L91" i="86"/>
  <c r="L92" i="86"/>
  <c r="L93" i="86"/>
  <c r="L94" i="86"/>
  <c r="L95" i="86"/>
  <c r="L96" i="86"/>
  <c r="L97" i="86"/>
  <c r="L98" i="86"/>
  <c r="L99" i="86"/>
  <c r="L100" i="86"/>
  <c r="L101" i="86"/>
  <c r="L102" i="86"/>
  <c r="L103" i="86"/>
  <c r="L104" i="86"/>
  <c r="L105" i="86"/>
  <c r="L106" i="86"/>
  <c r="L107" i="86"/>
  <c r="L108" i="86"/>
  <c r="L109" i="86"/>
  <c r="L110" i="86"/>
  <c r="L111" i="86"/>
  <c r="L112" i="86"/>
  <c r="L113" i="86"/>
  <c r="L114" i="86"/>
  <c r="L115" i="86"/>
  <c r="L116" i="86"/>
  <c r="L117" i="86"/>
  <c r="L118" i="86"/>
  <c r="L119" i="86"/>
  <c r="L120" i="86"/>
  <c r="L121" i="86"/>
  <c r="L122" i="86"/>
  <c r="L123" i="86"/>
  <c r="L124" i="86"/>
  <c r="L125" i="86"/>
  <c r="L126" i="86"/>
  <c r="L127" i="86"/>
  <c r="L128" i="86"/>
  <c r="L129" i="86"/>
  <c r="L130" i="86"/>
  <c r="L131" i="86"/>
  <c r="L132" i="86"/>
  <c r="L133" i="86"/>
  <c r="L134" i="86"/>
  <c r="L135" i="86"/>
  <c r="L136" i="86"/>
  <c r="L137" i="86"/>
  <c r="L138" i="86"/>
  <c r="L139" i="86"/>
  <c r="L140" i="86"/>
  <c r="L141" i="86"/>
  <c r="L142" i="86"/>
  <c r="L143" i="86"/>
  <c r="L144" i="86"/>
  <c r="L145" i="86"/>
  <c r="L146" i="86"/>
  <c r="L147" i="86"/>
  <c r="L148" i="86"/>
  <c r="L149" i="86"/>
  <c r="L150" i="86"/>
  <c r="L151" i="86"/>
  <c r="L152" i="86"/>
  <c r="L153" i="86"/>
  <c r="L154" i="86"/>
  <c r="L155" i="86"/>
  <c r="L156" i="86"/>
  <c r="L157" i="86"/>
  <c r="L158" i="86"/>
  <c r="L159" i="86"/>
  <c r="L160" i="86"/>
  <c r="L161" i="86"/>
  <c r="L162" i="86"/>
  <c r="L163" i="86"/>
  <c r="L164" i="86"/>
  <c r="L165" i="86"/>
  <c r="L166" i="86"/>
  <c r="L167" i="86"/>
  <c r="L168" i="86"/>
  <c r="L169" i="86"/>
  <c r="L170" i="86"/>
  <c r="L171" i="86"/>
  <c r="L172" i="86"/>
  <c r="L173" i="86"/>
  <c r="L174" i="86"/>
  <c r="L175" i="86"/>
  <c r="L176" i="86"/>
  <c r="L177" i="86"/>
  <c r="L178" i="86"/>
  <c r="L179" i="86"/>
  <c r="L180" i="86"/>
  <c r="L181" i="86"/>
  <c r="L182" i="86"/>
  <c r="L183" i="86"/>
  <c r="L184" i="86"/>
  <c r="L185" i="86"/>
  <c r="L186" i="86"/>
  <c r="L187" i="86"/>
  <c r="L188" i="86"/>
  <c r="L189" i="86"/>
  <c r="L190" i="86"/>
  <c r="L191" i="86"/>
  <c r="L192" i="86"/>
  <c r="L193" i="86"/>
  <c r="L194" i="86"/>
  <c r="L195" i="86"/>
  <c r="L196" i="86"/>
  <c r="L197" i="86"/>
  <c r="L198" i="86"/>
  <c r="L199" i="86"/>
  <c r="L200" i="86"/>
  <c r="L201" i="86"/>
  <c r="L202" i="86"/>
  <c r="L203" i="86"/>
  <c r="L204" i="86"/>
  <c r="L205" i="86"/>
  <c r="L206" i="86"/>
  <c r="L207" i="86"/>
  <c r="L208" i="86"/>
  <c r="L209" i="86"/>
  <c r="L210" i="86"/>
  <c r="L211" i="86"/>
  <c r="L212" i="86"/>
  <c r="L213" i="86"/>
  <c r="L214" i="86"/>
  <c r="L215" i="86"/>
  <c r="L216" i="86"/>
  <c r="L217" i="86"/>
  <c r="L218" i="86"/>
  <c r="L219" i="86"/>
  <c r="L220" i="86"/>
  <c r="L221" i="86"/>
  <c r="L222" i="86"/>
  <c r="L223" i="86"/>
  <c r="L224" i="86"/>
  <c r="L225" i="86"/>
  <c r="L226" i="86"/>
  <c r="L227" i="86"/>
  <c r="L228" i="86"/>
  <c r="L229" i="86"/>
  <c r="L230" i="86"/>
  <c r="L231" i="86"/>
  <c r="L232" i="86"/>
  <c r="L233" i="86"/>
  <c r="L234" i="86"/>
  <c r="L235" i="86"/>
  <c r="L236" i="86"/>
  <c r="L237" i="86"/>
  <c r="L238" i="86"/>
  <c r="L239" i="86"/>
  <c r="L240" i="86"/>
  <c r="L241" i="86"/>
  <c r="L242" i="86"/>
  <c r="L243" i="86"/>
  <c r="L244" i="86"/>
  <c r="L245" i="86"/>
  <c r="L246" i="86"/>
  <c r="L247" i="86"/>
  <c r="L248" i="86"/>
  <c r="L249" i="86"/>
  <c r="L250" i="86"/>
  <c r="L251" i="86"/>
  <c r="L252" i="86"/>
  <c r="L253" i="86"/>
  <c r="L254" i="86"/>
  <c r="L255" i="86"/>
  <c r="L256" i="86"/>
  <c r="L257" i="86"/>
  <c r="L258" i="86"/>
  <c r="L259" i="86"/>
  <c r="L260" i="86"/>
  <c r="L261" i="86"/>
  <c r="L262" i="86"/>
  <c r="L263" i="86"/>
  <c r="L264" i="86"/>
  <c r="L265" i="86"/>
  <c r="L266" i="86"/>
  <c r="L267" i="86"/>
  <c r="L268" i="86"/>
  <c r="L269" i="86"/>
  <c r="L270" i="86"/>
  <c r="L271" i="86"/>
  <c r="L272" i="86"/>
  <c r="L273" i="86"/>
  <c r="L274" i="86"/>
  <c r="L275" i="86"/>
  <c r="L276" i="86"/>
  <c r="L277" i="86"/>
  <c r="L278" i="86"/>
  <c r="L279" i="86"/>
  <c r="L280" i="86"/>
  <c r="L281" i="86"/>
  <c r="L282" i="86"/>
  <c r="L283" i="86"/>
  <c r="L284" i="86"/>
  <c r="L285" i="86"/>
  <c r="L286" i="86"/>
  <c r="L287" i="86"/>
  <c r="L288" i="86"/>
  <c r="L289" i="86"/>
  <c r="L290" i="86"/>
  <c r="L291" i="86"/>
  <c r="L292" i="86"/>
  <c r="L293" i="86"/>
  <c r="L294" i="86"/>
  <c r="L295" i="86"/>
  <c r="L296" i="86"/>
  <c r="L297" i="86"/>
  <c r="L298" i="86"/>
  <c r="L299" i="86"/>
  <c r="L300" i="86"/>
  <c r="L301" i="86"/>
  <c r="L302" i="86"/>
  <c r="L303" i="86"/>
  <c r="L304" i="86"/>
  <c r="L305" i="86"/>
  <c r="L306" i="86"/>
  <c r="L307" i="86"/>
  <c r="L308" i="86"/>
  <c r="L309" i="86"/>
  <c r="L310" i="86"/>
  <c r="L311" i="86"/>
  <c r="L312" i="86"/>
  <c r="L313" i="86"/>
  <c r="L314" i="86"/>
  <c r="L315" i="86"/>
  <c r="L316" i="86"/>
  <c r="L317" i="86"/>
  <c r="L318" i="86"/>
  <c r="L319" i="86"/>
  <c r="L320" i="86"/>
  <c r="L321" i="86"/>
  <c r="L322" i="86"/>
  <c r="L323" i="86"/>
  <c r="L324" i="86"/>
  <c r="L325" i="86"/>
  <c r="L326" i="86"/>
  <c r="L327" i="86"/>
  <c r="L328" i="86"/>
  <c r="L329" i="86"/>
  <c r="L330" i="86"/>
  <c r="L331" i="86"/>
  <c r="L332" i="86"/>
  <c r="L333" i="86"/>
  <c r="L334" i="86"/>
  <c r="L335" i="86"/>
  <c r="L336" i="86"/>
  <c r="L337" i="86"/>
  <c r="L338" i="86"/>
  <c r="L339" i="86"/>
  <c r="L340" i="86"/>
  <c r="L341" i="86"/>
  <c r="L342" i="86"/>
  <c r="L343" i="86"/>
  <c r="L344" i="86"/>
  <c r="L345" i="86"/>
  <c r="L346" i="86"/>
  <c r="L347" i="86"/>
  <c r="L348" i="86"/>
  <c r="L349" i="86"/>
  <c r="L350" i="86"/>
  <c r="L351" i="86"/>
  <c r="L352" i="86"/>
  <c r="L353" i="86"/>
  <c r="L354" i="86"/>
  <c r="L355" i="86"/>
  <c r="L356" i="86"/>
  <c r="L357" i="86"/>
  <c r="L358" i="86"/>
  <c r="L359" i="86"/>
  <c r="L360" i="86"/>
  <c r="L361" i="86"/>
  <c r="L362" i="86"/>
  <c r="L363" i="86"/>
  <c r="L364" i="86"/>
  <c r="L365" i="86"/>
  <c r="L366" i="86"/>
  <c r="L367" i="86"/>
  <c r="L368" i="86"/>
  <c r="L369" i="86"/>
  <c r="L370" i="86"/>
  <c r="L371" i="86"/>
  <c r="L372" i="86"/>
  <c r="L373" i="86"/>
  <c r="L374" i="86"/>
  <c r="L375" i="86"/>
  <c r="L376" i="86"/>
  <c r="L377" i="86"/>
  <c r="L378" i="86"/>
  <c r="L379" i="86"/>
  <c r="L380" i="86"/>
  <c r="L381" i="86"/>
  <c r="L382" i="86"/>
  <c r="L383" i="86"/>
  <c r="L384" i="86"/>
  <c r="L385" i="86"/>
  <c r="L386" i="86"/>
  <c r="L387" i="86"/>
  <c r="L388" i="86"/>
  <c r="L389" i="86"/>
  <c r="L390" i="86"/>
  <c r="L391" i="86"/>
  <c r="L392" i="86"/>
  <c r="L393" i="86"/>
  <c r="L394" i="86"/>
  <c r="L395" i="86"/>
  <c r="L396" i="86"/>
  <c r="L397" i="86"/>
  <c r="L398" i="86"/>
  <c r="L399" i="86"/>
  <c r="L400" i="86"/>
  <c r="L401" i="86"/>
  <c r="L402" i="86"/>
  <c r="L403" i="86"/>
  <c r="L404" i="86"/>
  <c r="L405" i="86"/>
  <c r="L406" i="86"/>
  <c r="L407" i="86"/>
  <c r="L408" i="86"/>
  <c r="L409" i="86"/>
  <c r="L410" i="86"/>
  <c r="L411" i="86"/>
  <c r="L412" i="86"/>
  <c r="L413" i="86"/>
  <c r="L414" i="86"/>
  <c r="L415" i="86"/>
  <c r="L416" i="86"/>
  <c r="L417" i="86"/>
  <c r="L418" i="86"/>
  <c r="L419" i="86"/>
  <c r="L420" i="86"/>
  <c r="L421" i="86"/>
  <c r="L422" i="86"/>
  <c r="L423" i="86"/>
  <c r="L424" i="86"/>
  <c r="L425" i="86"/>
  <c r="L426" i="86"/>
  <c r="L427" i="86"/>
  <c r="L428" i="86"/>
  <c r="L429" i="86"/>
  <c r="L430" i="86"/>
  <c r="L431" i="86"/>
  <c r="L432" i="86"/>
  <c r="L433" i="86"/>
  <c r="L434" i="86"/>
  <c r="L435" i="86"/>
  <c r="L436" i="86"/>
  <c r="L437" i="86"/>
  <c r="L438" i="86"/>
  <c r="L439" i="86"/>
  <c r="L440" i="86"/>
  <c r="L441" i="86"/>
  <c r="L442" i="86"/>
  <c r="L443" i="86"/>
  <c r="L444" i="86"/>
  <c r="L445" i="86"/>
  <c r="L446" i="86"/>
  <c r="L447" i="86"/>
  <c r="L448" i="86"/>
  <c r="L449" i="86"/>
  <c r="L450" i="86"/>
  <c r="L451" i="86"/>
  <c r="L452" i="86"/>
  <c r="L453" i="86"/>
  <c r="L454" i="86"/>
  <c r="L455" i="86"/>
  <c r="L456" i="86"/>
  <c r="L457" i="86"/>
  <c r="L458" i="86"/>
  <c r="L459" i="86"/>
  <c r="L460" i="86"/>
  <c r="L461" i="86"/>
  <c r="L462" i="86"/>
  <c r="L463" i="86"/>
  <c r="L464" i="86"/>
  <c r="L465" i="86"/>
  <c r="L466" i="86"/>
  <c r="L467" i="86"/>
  <c r="L468" i="86"/>
  <c r="L469" i="86"/>
  <c r="L470" i="86"/>
  <c r="L471" i="86"/>
  <c r="L472" i="86"/>
  <c r="L473" i="86"/>
  <c r="L474" i="86"/>
  <c r="L475" i="86"/>
  <c r="L476" i="86"/>
  <c r="L477" i="86"/>
  <c r="L478" i="86"/>
  <c r="L479" i="86"/>
  <c r="L480" i="86"/>
  <c r="L481" i="86"/>
  <c r="L482" i="86"/>
  <c r="L483" i="86"/>
  <c r="L484" i="86"/>
  <c r="L485" i="86"/>
  <c r="L486" i="86"/>
  <c r="L487" i="86"/>
  <c r="L488" i="86"/>
  <c r="L489" i="86"/>
  <c r="L490" i="86"/>
  <c r="L491" i="86"/>
  <c r="L492" i="86"/>
  <c r="L493" i="86"/>
  <c r="L494" i="86"/>
  <c r="L495" i="86"/>
  <c r="L496" i="86"/>
  <c r="L497" i="86"/>
  <c r="L498" i="86"/>
  <c r="L499" i="86"/>
  <c r="L500" i="86"/>
  <c r="L501" i="86"/>
  <c r="L502" i="86"/>
  <c r="L503" i="86"/>
  <c r="L504" i="86"/>
  <c r="L505" i="86"/>
  <c r="L506" i="86"/>
  <c r="L507" i="86"/>
  <c r="L508" i="86"/>
  <c r="L509" i="86"/>
  <c r="L510" i="86"/>
  <c r="L511" i="86"/>
  <c r="L512" i="86"/>
  <c r="L513" i="86"/>
  <c r="L514" i="86"/>
  <c r="L515" i="86"/>
  <c r="L516" i="86"/>
  <c r="L517" i="86"/>
  <c r="L518" i="86"/>
  <c r="L519" i="86"/>
  <c r="L520" i="86"/>
  <c r="L521" i="86"/>
  <c r="L522" i="86"/>
  <c r="L523" i="86"/>
  <c r="L524" i="86"/>
  <c r="L525" i="86"/>
  <c r="L526" i="86"/>
  <c r="L527" i="86"/>
  <c r="L528" i="86"/>
  <c r="L529" i="86"/>
  <c r="L530" i="86"/>
  <c r="L531" i="86"/>
  <c r="L532" i="86"/>
  <c r="L533" i="86"/>
  <c r="L534" i="86"/>
  <c r="L535" i="86"/>
  <c r="L536" i="86"/>
  <c r="L537" i="86"/>
  <c r="L538" i="86"/>
  <c r="L539" i="86"/>
  <c r="L540" i="86"/>
  <c r="L541" i="86"/>
  <c r="L542" i="86"/>
  <c r="L543" i="86"/>
  <c r="L544" i="86"/>
  <c r="L545" i="86"/>
  <c r="L546" i="86"/>
  <c r="L547" i="86"/>
  <c r="L548" i="86"/>
  <c r="L549" i="86"/>
  <c r="L550" i="86"/>
  <c r="L551" i="86"/>
  <c r="L552" i="86"/>
  <c r="L553" i="86"/>
  <c r="L554" i="86"/>
  <c r="L555" i="86"/>
  <c r="L556" i="86"/>
  <c r="L557" i="86"/>
  <c r="L558" i="86"/>
  <c r="L559" i="86"/>
  <c r="L560" i="86"/>
  <c r="L561" i="86"/>
  <c r="L562" i="86"/>
  <c r="L563" i="86"/>
  <c r="L564" i="86"/>
  <c r="L565" i="86"/>
  <c r="L566" i="86"/>
  <c r="L567" i="86"/>
  <c r="L568" i="86"/>
  <c r="L569" i="86"/>
  <c r="L570" i="86"/>
  <c r="L571" i="86"/>
  <c r="L572" i="86"/>
  <c r="L573" i="86"/>
  <c r="L574" i="86"/>
  <c r="L575" i="86"/>
  <c r="L576" i="86"/>
  <c r="L577" i="86"/>
  <c r="L578" i="86"/>
  <c r="L579" i="86"/>
  <c r="L580" i="86"/>
  <c r="L581" i="86"/>
  <c r="L582" i="86"/>
  <c r="L583" i="86"/>
  <c r="L584" i="86"/>
  <c r="L585" i="86"/>
  <c r="L586" i="86"/>
  <c r="L587" i="86"/>
  <c r="L588" i="86"/>
  <c r="L589" i="86"/>
  <c r="L590" i="86"/>
  <c r="L591" i="86"/>
  <c r="L592" i="86"/>
  <c r="L593" i="86"/>
  <c r="L594" i="86"/>
  <c r="L595" i="86"/>
  <c r="L596" i="86"/>
  <c r="L597" i="86"/>
  <c r="L598" i="86"/>
  <c r="L599" i="86"/>
  <c r="L600" i="86"/>
  <c r="L601" i="86"/>
  <c r="L602" i="86"/>
  <c r="L603" i="86"/>
  <c r="L604" i="86"/>
  <c r="L605" i="86"/>
  <c r="L606" i="86"/>
  <c r="L607" i="86"/>
  <c r="L608" i="86"/>
  <c r="L609" i="86"/>
  <c r="L610" i="86"/>
  <c r="L611" i="86"/>
  <c r="L612" i="86"/>
  <c r="L613" i="86"/>
  <c r="L614" i="86"/>
  <c r="L615" i="86"/>
  <c r="L616" i="86"/>
  <c r="L617" i="86"/>
  <c r="L618" i="86"/>
  <c r="L619" i="86"/>
  <c r="L620" i="86"/>
  <c r="L621" i="86"/>
  <c r="L622" i="86"/>
  <c r="L623" i="86"/>
  <c r="L624" i="86"/>
  <c r="L625" i="86"/>
  <c r="L626" i="86"/>
  <c r="L627" i="86"/>
  <c r="L628" i="86"/>
  <c r="L629" i="86"/>
  <c r="L630" i="86"/>
  <c r="L631" i="86"/>
  <c r="L632" i="86"/>
  <c r="L633" i="86"/>
  <c r="L634" i="86"/>
  <c r="L635" i="86"/>
  <c r="L636" i="86"/>
  <c r="L637" i="86"/>
  <c r="L638" i="86"/>
  <c r="L639" i="86"/>
  <c r="L640" i="86"/>
  <c r="L641" i="86"/>
  <c r="L642" i="86"/>
  <c r="L643" i="86"/>
  <c r="L644" i="86"/>
  <c r="L645" i="86"/>
  <c r="L646" i="86"/>
  <c r="L647" i="86"/>
  <c r="L648" i="86"/>
  <c r="L649" i="86"/>
  <c r="L650" i="86"/>
  <c r="L651" i="86"/>
  <c r="L652" i="86"/>
  <c r="L653" i="86"/>
  <c r="L654" i="86"/>
  <c r="L655" i="86"/>
  <c r="L656" i="86"/>
  <c r="L657" i="86"/>
  <c r="L658" i="86"/>
  <c r="L659" i="86"/>
  <c r="L660" i="86"/>
  <c r="L661" i="86"/>
  <c r="L662" i="86"/>
  <c r="L663" i="86"/>
  <c r="L664" i="86"/>
  <c r="L665" i="86"/>
  <c r="L666" i="86"/>
  <c r="L667" i="86"/>
  <c r="L668" i="86"/>
  <c r="L669" i="86"/>
  <c r="L670" i="86"/>
  <c r="L671" i="86"/>
  <c r="L672" i="86"/>
  <c r="L673" i="86"/>
  <c r="L674" i="86"/>
  <c r="L675" i="86"/>
  <c r="L676" i="86"/>
  <c r="L677" i="86"/>
  <c r="L678" i="86"/>
  <c r="L679" i="86"/>
  <c r="L680" i="86"/>
  <c r="L681" i="86"/>
  <c r="L682" i="86"/>
  <c r="L683" i="86"/>
  <c r="L684" i="86"/>
  <c r="L685" i="86"/>
  <c r="L686" i="86"/>
  <c r="L687" i="86"/>
  <c r="L688" i="86"/>
  <c r="L689" i="86"/>
  <c r="L690" i="86"/>
  <c r="L691" i="86"/>
  <c r="L692" i="86"/>
  <c r="L693" i="86"/>
  <c r="L694" i="86"/>
  <c r="L695" i="86"/>
  <c r="L696" i="86"/>
  <c r="L697" i="86"/>
  <c r="L698" i="86"/>
  <c r="L699" i="86"/>
  <c r="L700" i="86"/>
  <c r="L701" i="86"/>
  <c r="L702" i="86"/>
  <c r="L703" i="86"/>
  <c r="L704" i="86"/>
  <c r="L705" i="86"/>
  <c r="L706" i="86"/>
  <c r="L707" i="86"/>
  <c r="L708" i="86"/>
  <c r="L709" i="86"/>
  <c r="L710" i="86"/>
  <c r="L711" i="86"/>
  <c r="L712" i="86"/>
  <c r="L713" i="86"/>
  <c r="L714" i="86"/>
  <c r="L715" i="86"/>
  <c r="L716" i="86"/>
  <c r="L717" i="86"/>
  <c r="L718" i="86"/>
  <c r="L719" i="86"/>
  <c r="L720" i="86"/>
  <c r="L721" i="86"/>
  <c r="L722" i="86"/>
  <c r="L723" i="86"/>
  <c r="L724" i="86"/>
  <c r="L725" i="86"/>
  <c r="L726" i="86"/>
  <c r="L727" i="86"/>
  <c r="L728" i="86"/>
  <c r="L729" i="86"/>
  <c r="L730" i="86"/>
  <c r="L731" i="86"/>
  <c r="L732" i="86"/>
  <c r="L733" i="86"/>
  <c r="L734" i="86"/>
  <c r="L735" i="86"/>
  <c r="L736" i="86"/>
  <c r="L737" i="86"/>
  <c r="L738" i="86"/>
  <c r="L739" i="86"/>
  <c r="L740" i="86"/>
  <c r="L741" i="86"/>
  <c r="L742" i="86"/>
  <c r="L743" i="86"/>
  <c r="L744" i="86"/>
  <c r="L745" i="86"/>
  <c r="L746" i="86"/>
  <c r="L747" i="86"/>
  <c r="L748" i="86"/>
  <c r="L749" i="86"/>
  <c r="L750" i="86"/>
  <c r="L751" i="86"/>
  <c r="L752" i="86"/>
  <c r="L753" i="86"/>
  <c r="L754" i="86"/>
  <c r="L755" i="86"/>
  <c r="L756" i="86"/>
  <c r="L757" i="86"/>
  <c r="L758" i="86"/>
  <c r="L759" i="86"/>
  <c r="L760" i="86"/>
  <c r="L761" i="86"/>
  <c r="L762" i="86"/>
  <c r="L763" i="86"/>
  <c r="L764" i="86"/>
  <c r="L765" i="86"/>
  <c r="L766" i="86"/>
  <c r="L767" i="86"/>
  <c r="L768" i="86"/>
  <c r="L769" i="86"/>
  <c r="L770" i="86"/>
  <c r="L772" i="86"/>
  <c r="L773" i="86"/>
  <c r="L774" i="86"/>
  <c r="L775" i="86"/>
  <c r="L776" i="86"/>
  <c r="L777" i="86"/>
  <c r="L778" i="86"/>
  <c r="L779" i="86"/>
  <c r="L780" i="86"/>
  <c r="L781" i="86"/>
  <c r="L782" i="86"/>
  <c r="L783" i="86"/>
  <c r="L784" i="86"/>
  <c r="L785" i="86"/>
  <c r="L786" i="86"/>
  <c r="L787" i="86"/>
  <c r="L788" i="86"/>
  <c r="L789" i="86"/>
  <c r="L790" i="86"/>
  <c r="L791" i="86"/>
  <c r="L792" i="86"/>
  <c r="L793" i="86"/>
  <c r="L794" i="86"/>
  <c r="L795" i="86"/>
  <c r="L796" i="86"/>
  <c r="L797" i="86"/>
  <c r="L798" i="86"/>
  <c r="L799" i="86"/>
  <c r="L800" i="86"/>
  <c r="L801" i="86"/>
  <c r="L802" i="86"/>
  <c r="L803" i="86"/>
  <c r="L804" i="86"/>
  <c r="L805" i="86"/>
  <c r="L806" i="86"/>
  <c r="L807" i="86"/>
  <c r="L808" i="86"/>
  <c r="L809" i="86"/>
  <c r="L810" i="86"/>
  <c r="L811" i="86"/>
  <c r="L812" i="86"/>
  <c r="L813" i="86"/>
  <c r="L814" i="86"/>
  <c r="L815" i="86"/>
  <c r="L816" i="86"/>
  <c r="L817" i="86"/>
  <c r="L818" i="86"/>
  <c r="L819" i="86"/>
  <c r="L820" i="86"/>
  <c r="L821" i="86"/>
  <c r="L822" i="86"/>
  <c r="L823" i="86"/>
  <c r="L824" i="86"/>
  <c r="L825" i="86"/>
  <c r="L826" i="86"/>
  <c r="L827" i="86"/>
  <c r="L828" i="86"/>
  <c r="L829" i="86"/>
  <c r="L830" i="86"/>
  <c r="L831" i="86"/>
  <c r="L832" i="86"/>
  <c r="L833" i="86"/>
  <c r="L834" i="86"/>
  <c r="L835" i="86"/>
  <c r="L836" i="86"/>
  <c r="L837" i="86"/>
  <c r="L838" i="86"/>
  <c r="L839" i="86"/>
  <c r="L840" i="86"/>
  <c r="L841" i="86"/>
  <c r="L842" i="86"/>
  <c r="L843" i="86"/>
  <c r="L844" i="86"/>
  <c r="L845" i="86"/>
  <c r="L846" i="86"/>
  <c r="L847" i="86"/>
  <c r="L848" i="86"/>
  <c r="L849" i="86"/>
  <c r="L850" i="86"/>
  <c r="L851" i="86"/>
  <c r="L852" i="86"/>
  <c r="L853" i="86"/>
  <c r="L854" i="86"/>
  <c r="L855" i="86"/>
  <c r="L856" i="86"/>
  <c r="L857" i="86"/>
  <c r="L858" i="86"/>
  <c r="L859" i="86"/>
  <c r="L860" i="86"/>
  <c r="L861" i="86"/>
  <c r="L862" i="86"/>
  <c r="L863" i="86"/>
  <c r="L864" i="86"/>
  <c r="L865" i="86"/>
  <c r="L866" i="86"/>
  <c r="L867" i="86"/>
  <c r="L868" i="86"/>
  <c r="L869" i="86"/>
  <c r="L870" i="86"/>
  <c r="L871" i="86"/>
  <c r="L872" i="86"/>
  <c r="L873" i="86"/>
  <c r="L874" i="86"/>
  <c r="L875" i="86"/>
  <c r="L876" i="86"/>
  <c r="L877" i="86"/>
  <c r="L878" i="86"/>
  <c r="L879" i="86"/>
  <c r="L880" i="86"/>
  <c r="L881" i="86"/>
  <c r="L882" i="86"/>
  <c r="L883" i="86"/>
  <c r="L884" i="86"/>
  <c r="L885" i="86"/>
  <c r="L886" i="86"/>
  <c r="L887" i="86"/>
  <c r="L888" i="86"/>
  <c r="L889" i="86"/>
  <c r="L890" i="86"/>
  <c r="L891" i="86"/>
  <c r="L892" i="86"/>
  <c r="L893" i="86"/>
  <c r="L894" i="86"/>
  <c r="L895" i="86"/>
  <c r="L896" i="86"/>
  <c r="L897" i="86"/>
  <c r="L898" i="86"/>
  <c r="L899" i="86"/>
  <c r="L900" i="86"/>
  <c r="L901" i="86"/>
  <c r="L902" i="86"/>
  <c r="L903" i="86"/>
  <c r="L904" i="86"/>
  <c r="L905" i="86"/>
  <c r="L906" i="86"/>
  <c r="L907" i="86"/>
  <c r="L908" i="86"/>
  <c r="L909" i="86"/>
  <c r="L910" i="86"/>
  <c r="L911" i="86"/>
  <c r="L912" i="86"/>
  <c r="L913" i="86"/>
  <c r="L914" i="86"/>
  <c r="L915" i="86"/>
  <c r="L916" i="86"/>
  <c r="L917" i="86"/>
  <c r="L918" i="86"/>
  <c r="L919" i="86"/>
  <c r="L920" i="86"/>
  <c r="L921" i="86"/>
  <c r="L922" i="86"/>
  <c r="L923" i="86"/>
  <c r="L924" i="86"/>
  <c r="L925" i="86"/>
  <c r="L926" i="86"/>
  <c r="L927" i="86"/>
  <c r="L928" i="86"/>
  <c r="L929" i="86"/>
  <c r="L930" i="86"/>
  <c r="L931" i="86"/>
  <c r="L932" i="86"/>
  <c r="L933" i="86"/>
  <c r="L934" i="86"/>
  <c r="L935" i="86"/>
  <c r="L936" i="86"/>
  <c r="L937" i="86"/>
  <c r="L938" i="86"/>
  <c r="L939" i="86"/>
  <c r="L940" i="86"/>
  <c r="L941" i="86"/>
  <c r="L942" i="86"/>
  <c r="L943" i="86"/>
  <c r="L944" i="86"/>
  <c r="L945" i="86"/>
  <c r="L946" i="86"/>
  <c r="L947" i="86"/>
  <c r="L948" i="86"/>
  <c r="L949" i="86"/>
  <c r="L950" i="86"/>
  <c r="L951" i="86"/>
  <c r="L952" i="86"/>
  <c r="L953" i="86"/>
  <c r="L954" i="86"/>
  <c r="L955" i="86"/>
  <c r="L956" i="86"/>
  <c r="L957" i="86"/>
  <c r="L958" i="86"/>
  <c r="L959" i="86"/>
  <c r="L960" i="86"/>
  <c r="L961" i="86"/>
  <c r="L962" i="86"/>
  <c r="L963" i="86"/>
  <c r="L964" i="86"/>
  <c r="L965" i="86"/>
  <c r="L966" i="86"/>
  <c r="L967" i="86"/>
  <c r="L968" i="86"/>
  <c r="L969" i="86"/>
  <c r="L970" i="86"/>
  <c r="L971" i="86"/>
  <c r="L972" i="86"/>
  <c r="L973" i="86"/>
  <c r="L974" i="86"/>
  <c r="L975" i="86"/>
  <c r="L976" i="86"/>
  <c r="L977" i="86"/>
  <c r="L978" i="86"/>
  <c r="L979" i="86"/>
  <c r="L980" i="86"/>
  <c r="L981" i="86"/>
  <c r="L982" i="86"/>
  <c r="L983" i="86"/>
  <c r="L984" i="86"/>
  <c r="L985" i="86"/>
  <c r="L986" i="86"/>
  <c r="L987" i="86"/>
  <c r="L988" i="86"/>
  <c r="L989" i="86"/>
  <c r="L990" i="86"/>
  <c r="L991" i="86"/>
  <c r="L992" i="86"/>
  <c r="L993" i="86"/>
  <c r="L994" i="86"/>
  <c r="L995" i="86"/>
  <c r="L996" i="86"/>
  <c r="L997" i="86"/>
  <c r="L998" i="86"/>
  <c r="L999" i="86"/>
  <c r="L1000" i="86"/>
  <c r="L1001" i="86"/>
  <c r="L1002" i="86"/>
  <c r="L1003" i="86"/>
  <c r="L1004" i="86"/>
  <c r="L1005" i="86"/>
  <c r="L1006" i="86"/>
  <c r="L1007" i="86"/>
  <c r="L1008" i="86"/>
  <c r="L1009" i="86"/>
  <c r="L1010" i="86"/>
  <c r="L1011" i="86"/>
  <c r="L1012" i="86"/>
  <c r="L1013" i="86"/>
  <c r="L1014" i="86"/>
  <c r="L1015" i="86"/>
  <c r="L1016" i="86"/>
  <c r="L1017" i="86"/>
  <c r="L1018" i="86"/>
  <c r="L1019" i="86"/>
  <c r="L1020" i="86"/>
  <c r="L1021" i="86"/>
  <c r="L1022" i="86"/>
  <c r="L1023" i="86"/>
  <c r="L1024" i="86"/>
  <c r="L1025" i="86"/>
  <c r="L1026" i="86"/>
  <c r="L1027" i="86"/>
  <c r="L1028" i="86"/>
  <c r="L1029" i="86"/>
  <c r="L1030" i="86"/>
  <c r="L1031" i="86"/>
  <c r="L1032" i="86"/>
  <c r="L1033" i="86"/>
  <c r="L1034" i="86"/>
  <c r="L1035" i="86"/>
  <c r="L1036" i="86"/>
  <c r="L1037" i="86"/>
  <c r="L1038" i="86"/>
  <c r="L1039" i="86"/>
  <c r="L1040" i="86"/>
  <c r="L1041" i="86"/>
  <c r="L1042" i="86"/>
  <c r="L1043" i="86"/>
  <c r="L1044" i="86"/>
  <c r="L1045" i="86"/>
  <c r="L1046" i="86"/>
  <c r="L1047" i="86"/>
  <c r="L1048" i="86"/>
  <c r="L1049" i="86"/>
  <c r="L1050" i="86"/>
  <c r="L1051" i="86"/>
  <c r="L1052" i="86"/>
  <c r="L1053" i="86"/>
  <c r="L1054" i="86"/>
  <c r="L1055" i="86"/>
  <c r="L1056" i="86"/>
  <c r="L1057" i="86"/>
  <c r="L1058" i="86"/>
  <c r="L1059" i="86"/>
  <c r="L1060" i="86"/>
  <c r="L1061" i="86"/>
  <c r="L1062" i="86"/>
  <c r="L1063" i="86"/>
  <c r="L1064" i="86"/>
  <c r="L1065" i="86"/>
  <c r="L1066" i="86"/>
  <c r="L1067" i="86"/>
  <c r="L1068" i="86"/>
  <c r="L1069" i="86"/>
  <c r="L1070" i="86"/>
  <c r="L1071" i="86"/>
  <c r="L1072" i="86"/>
  <c r="L1073" i="86"/>
  <c r="L1074" i="86"/>
  <c r="L1075" i="86"/>
  <c r="L1076" i="86"/>
  <c r="L1077" i="86"/>
  <c r="L1078" i="86"/>
  <c r="L1079" i="86"/>
  <c r="L1080" i="86"/>
  <c r="L1081" i="86"/>
  <c r="L1082" i="86"/>
  <c r="L1083" i="86"/>
  <c r="L1084" i="86"/>
  <c r="L1085" i="86"/>
  <c r="L1086" i="86"/>
  <c r="L1087" i="86"/>
  <c r="L1088" i="86"/>
  <c r="L1089" i="86"/>
  <c r="L1090" i="86"/>
  <c r="L1091" i="86"/>
  <c r="L1092" i="86"/>
  <c r="L1093" i="86"/>
  <c r="L1094" i="86"/>
  <c r="L1095" i="86"/>
  <c r="L1096" i="86"/>
  <c r="L1097" i="86"/>
  <c r="L1098" i="86"/>
  <c r="L1099" i="86"/>
  <c r="L1100" i="86"/>
  <c r="L1101" i="86"/>
  <c r="L1102" i="86"/>
  <c r="L1103" i="86"/>
  <c r="L1104" i="86"/>
  <c r="L1105" i="86"/>
  <c r="L1106" i="86"/>
  <c r="L1107" i="86"/>
  <c r="L1108" i="86"/>
  <c r="L1109" i="86"/>
  <c r="L1110" i="86"/>
  <c r="L1111" i="86"/>
  <c r="L1112" i="86"/>
  <c r="L1113" i="86"/>
  <c r="L1114" i="86"/>
  <c r="L1115" i="86"/>
  <c r="L1116" i="86"/>
  <c r="L1117" i="86"/>
  <c r="L1118" i="86"/>
  <c r="L1119" i="86"/>
  <c r="L1120" i="86"/>
  <c r="L1121" i="86"/>
  <c r="L1122" i="86"/>
  <c r="L1123" i="86"/>
  <c r="L1124" i="86"/>
  <c r="L1125" i="86"/>
  <c r="L1126" i="86"/>
  <c r="L1127" i="86"/>
  <c r="L1128" i="86"/>
  <c r="L1129" i="86"/>
  <c r="L1130" i="86"/>
  <c r="L1131" i="86"/>
  <c r="L1132" i="86"/>
  <c r="L1133" i="86"/>
  <c r="L1134" i="86"/>
  <c r="L1135" i="86"/>
  <c r="L1136" i="86"/>
  <c r="L1137" i="86"/>
  <c r="L1138" i="86"/>
  <c r="L1139" i="86"/>
  <c r="L1140" i="86"/>
  <c r="L1141" i="86"/>
  <c r="L1142" i="86"/>
  <c r="L1143" i="86"/>
  <c r="L1144" i="86"/>
  <c r="L1145" i="86"/>
  <c r="L1146" i="86"/>
  <c r="L1147" i="86"/>
  <c r="L1148" i="86"/>
  <c r="L1149" i="86"/>
  <c r="L1150" i="86"/>
  <c r="L1151" i="86"/>
  <c r="L1152" i="86"/>
  <c r="L1153" i="86"/>
  <c r="L1154" i="86"/>
  <c r="L1155" i="86"/>
  <c r="L1156" i="86"/>
  <c r="L1157" i="86"/>
  <c r="L1158" i="86"/>
  <c r="L1159" i="86"/>
  <c r="L1160" i="86"/>
  <c r="L1161" i="86"/>
  <c r="L1162" i="86"/>
  <c r="L1163" i="86"/>
  <c r="L1164" i="86"/>
  <c r="L1165" i="86"/>
  <c r="L1166" i="86"/>
  <c r="L1167" i="86"/>
  <c r="L1168" i="86"/>
  <c r="L1169" i="86"/>
  <c r="L1170" i="86"/>
  <c r="L1171" i="86"/>
  <c r="L1172" i="86"/>
  <c r="L1173" i="86"/>
  <c r="L1174" i="86"/>
  <c r="L1175" i="86"/>
  <c r="L1176" i="86"/>
  <c r="L1177" i="86"/>
  <c r="L1178" i="86"/>
  <c r="L1179" i="86"/>
  <c r="L1180" i="86"/>
  <c r="L1181" i="86"/>
  <c r="L1182" i="86"/>
  <c r="L1183" i="86"/>
  <c r="L1184" i="86"/>
  <c r="L1185" i="86"/>
  <c r="L1186" i="86"/>
  <c r="L1187" i="86"/>
  <c r="L1188" i="86"/>
  <c r="L1189" i="86"/>
  <c r="L1190" i="86"/>
  <c r="L1191" i="86"/>
  <c r="L1192" i="86"/>
  <c r="L1193" i="86"/>
  <c r="L1194" i="86"/>
  <c r="L1195" i="86"/>
  <c r="L1196" i="86"/>
  <c r="L1197" i="86"/>
  <c r="L1198" i="86"/>
  <c r="L1199" i="86"/>
  <c r="L1200" i="86"/>
  <c r="L1201" i="86"/>
  <c r="L1202" i="86"/>
  <c r="L1203" i="86"/>
  <c r="L1204" i="86"/>
  <c r="L1205" i="86"/>
  <c r="L1206" i="86"/>
  <c r="L1207" i="86"/>
  <c r="L1208" i="86"/>
  <c r="L1209" i="86"/>
  <c r="L1210" i="86"/>
  <c r="L1211" i="86"/>
  <c r="L1212" i="86"/>
  <c r="L1213" i="86"/>
  <c r="L1214" i="86"/>
  <c r="L1215" i="86"/>
  <c r="L1216" i="86"/>
  <c r="L1217" i="86"/>
  <c r="L1218" i="86"/>
  <c r="L1219" i="86"/>
  <c r="L1220" i="86"/>
  <c r="L1221" i="86"/>
  <c r="L1222" i="86"/>
  <c r="L1223" i="86"/>
  <c r="L1224" i="86"/>
  <c r="L1225" i="86"/>
  <c r="L1226" i="86"/>
  <c r="L1227" i="86"/>
  <c r="L1228" i="86"/>
  <c r="L1229" i="86"/>
  <c r="L1230" i="86"/>
  <c r="L1231" i="86"/>
  <c r="L1232" i="86"/>
  <c r="L1233" i="86"/>
  <c r="L1234" i="86"/>
  <c r="L1235" i="86"/>
  <c r="L1236" i="86"/>
  <c r="L1237" i="86"/>
  <c r="L1238" i="86"/>
  <c r="L1239" i="86"/>
  <c r="L1240" i="86"/>
  <c r="L1241" i="86"/>
  <c r="L1242" i="86"/>
  <c r="L1243" i="86"/>
  <c r="L1244" i="86"/>
  <c r="L1245" i="86"/>
  <c r="L1246" i="86"/>
  <c r="L1247" i="86"/>
  <c r="L1248" i="86"/>
  <c r="L1249" i="86"/>
  <c r="L1250" i="86"/>
  <c r="L1251" i="86"/>
  <c r="L1252" i="86"/>
  <c r="L1253" i="86"/>
  <c r="L1254" i="86"/>
  <c r="L1255" i="86"/>
  <c r="L1256" i="86"/>
  <c r="L1257" i="86"/>
  <c r="L1258" i="86"/>
  <c r="L1259" i="86"/>
  <c r="L1260" i="86"/>
  <c r="L1261" i="86"/>
  <c r="L1262" i="86"/>
  <c r="L1263" i="86"/>
  <c r="L1264" i="86"/>
  <c r="L1265" i="86"/>
  <c r="L1266" i="86"/>
  <c r="L1267" i="86"/>
  <c r="L1268" i="86"/>
  <c r="L1269" i="86"/>
  <c r="L1270" i="86"/>
  <c r="L1271" i="86"/>
  <c r="L1272" i="86"/>
  <c r="L1273" i="86"/>
  <c r="L1274" i="86"/>
  <c r="L1275" i="86"/>
  <c r="L1276" i="86"/>
  <c r="L1277" i="86"/>
  <c r="L1278" i="86"/>
  <c r="L1279" i="86"/>
  <c r="L1280" i="86"/>
  <c r="L1281" i="86"/>
  <c r="L1282" i="86"/>
  <c r="L1283" i="86"/>
  <c r="L1284" i="86"/>
  <c r="L1285" i="86"/>
  <c r="L1286" i="86"/>
  <c r="L1287" i="86"/>
  <c r="L1288" i="86"/>
  <c r="L1289" i="86"/>
  <c r="L1290" i="86"/>
  <c r="L1291" i="86"/>
  <c r="L1292" i="86"/>
  <c r="L1293" i="86"/>
  <c r="L1294" i="86"/>
  <c r="L1295" i="86"/>
  <c r="L1296" i="86"/>
  <c r="L1297" i="86"/>
  <c r="L1298" i="86"/>
  <c r="L1299" i="86"/>
  <c r="L1300" i="86"/>
  <c r="L1301" i="86"/>
  <c r="L1302" i="86"/>
  <c r="L1303" i="86"/>
  <c r="L1304" i="86"/>
  <c r="L1305" i="86"/>
  <c r="L1306" i="86"/>
  <c r="L1307" i="86"/>
  <c r="L1308" i="86"/>
  <c r="L1309" i="86"/>
  <c r="L1310" i="86"/>
  <c r="L1311" i="86"/>
  <c r="L1312" i="86"/>
  <c r="L1313" i="86"/>
  <c r="L1314" i="86"/>
  <c r="L1315" i="86"/>
  <c r="L1316" i="86"/>
  <c r="L1317" i="86"/>
  <c r="L1318" i="86"/>
  <c r="L1319" i="86"/>
  <c r="L1320" i="86"/>
  <c r="L1321" i="86"/>
  <c r="L1322" i="86"/>
  <c r="L1323" i="86"/>
  <c r="L1324" i="86"/>
  <c r="L1325" i="86"/>
  <c r="L1326" i="86"/>
  <c r="L1327" i="86"/>
  <c r="L1328" i="86"/>
  <c r="L1329" i="86"/>
  <c r="L1330" i="86"/>
  <c r="L1331" i="86"/>
  <c r="L1332" i="86"/>
  <c r="L1333" i="86"/>
  <c r="L1334" i="86"/>
  <c r="L1335" i="86"/>
  <c r="L1336" i="86"/>
  <c r="L1337" i="86"/>
  <c r="L1338" i="86"/>
  <c r="L1339" i="86"/>
  <c r="L1340" i="86"/>
  <c r="L1341" i="86"/>
  <c r="L1342" i="86"/>
  <c r="L1343" i="86"/>
  <c r="L1344" i="86"/>
  <c r="L1345" i="86"/>
  <c r="L1346" i="86"/>
  <c r="L1347" i="86"/>
  <c r="L1348" i="86"/>
  <c r="L1349" i="86"/>
  <c r="L1350" i="86"/>
  <c r="L1351" i="86"/>
  <c r="L1352" i="86"/>
  <c r="L1353" i="86"/>
  <c r="L1354" i="86"/>
  <c r="L1355" i="86"/>
  <c r="L1356" i="86"/>
  <c r="L1357" i="86"/>
  <c r="L1358" i="86"/>
  <c r="L1359" i="86"/>
  <c r="L1360" i="86"/>
  <c r="L1361" i="86"/>
  <c r="L1362" i="86"/>
  <c r="L1363" i="86"/>
  <c r="L1364" i="86"/>
  <c r="L1365" i="86"/>
  <c r="L1366" i="86"/>
  <c r="L1367" i="86"/>
  <c r="L1368" i="86"/>
  <c r="L1369" i="86"/>
  <c r="L1370" i="86"/>
  <c r="L1371" i="86"/>
  <c r="L1372" i="86"/>
  <c r="L1373" i="86"/>
  <c r="L1374" i="86"/>
  <c r="L1375" i="86"/>
  <c r="L1376" i="86"/>
  <c r="L1377" i="86"/>
  <c r="L1378" i="86"/>
  <c r="L1379" i="86"/>
  <c r="L1380" i="86"/>
  <c r="L1381" i="86"/>
  <c r="L1382" i="86"/>
  <c r="L1383" i="86"/>
  <c r="L1384" i="86"/>
  <c r="L1385" i="86"/>
  <c r="L1386" i="86"/>
  <c r="L1387" i="86"/>
  <c r="L1388" i="86"/>
  <c r="L1389" i="86"/>
  <c r="L1390" i="86"/>
  <c r="L1391" i="86"/>
  <c r="L1392" i="86"/>
  <c r="L1393" i="86"/>
  <c r="K814" i="86"/>
  <c r="H608" i="86"/>
  <c r="K608" i="86" s="1"/>
  <c r="H609" i="86"/>
  <c r="K609" i="86" s="1"/>
  <c r="H610" i="86"/>
  <c r="K610" i="86" s="1"/>
  <c r="H611" i="86"/>
  <c r="K611" i="86" s="1"/>
  <c r="H612" i="86"/>
  <c r="K612" i="86" s="1"/>
  <c r="H613" i="86"/>
  <c r="K613" i="86" s="1"/>
  <c r="H614" i="86"/>
  <c r="K614" i="86" s="1"/>
  <c r="H615" i="86"/>
  <c r="K615" i="86" s="1"/>
  <c r="H616" i="86"/>
  <c r="K616" i="86" s="1"/>
  <c r="H617" i="86"/>
  <c r="K617" i="86" s="1"/>
  <c r="H618" i="86"/>
  <c r="K618" i="86" s="1"/>
  <c r="H619" i="86"/>
  <c r="K619" i="86" s="1"/>
  <c r="H620" i="86"/>
  <c r="K620" i="86" s="1"/>
  <c r="H621" i="86"/>
  <c r="K621" i="86" s="1"/>
  <c r="H622" i="86"/>
  <c r="K622" i="86" s="1"/>
  <c r="H623" i="86"/>
  <c r="K623" i="86" s="1"/>
  <c r="H624" i="86"/>
  <c r="K624" i="86" s="1"/>
  <c r="H625" i="86"/>
  <c r="K625" i="86" s="1"/>
  <c r="H626" i="86"/>
  <c r="K626" i="86" s="1"/>
  <c r="H627" i="86"/>
  <c r="K627" i="86" s="1"/>
  <c r="H628" i="86"/>
  <c r="K628" i="86" s="1"/>
  <c r="H629" i="86"/>
  <c r="K629" i="86" s="1"/>
  <c r="H630" i="86"/>
  <c r="K630" i="86" s="1"/>
  <c r="H631" i="86"/>
  <c r="K631" i="86" s="1"/>
  <c r="H632" i="86"/>
  <c r="K632" i="86" s="1"/>
  <c r="H633" i="86"/>
  <c r="K633" i="86" s="1"/>
  <c r="H634" i="86"/>
  <c r="K634" i="86" s="1"/>
  <c r="H635" i="86"/>
  <c r="K635" i="86" s="1"/>
  <c r="H636" i="86"/>
  <c r="K636" i="86" s="1"/>
  <c r="H637" i="86"/>
  <c r="K637" i="86" s="1"/>
  <c r="H638" i="86"/>
  <c r="K638" i="86" s="1"/>
  <c r="H639" i="86"/>
  <c r="K639" i="86" s="1"/>
  <c r="H640" i="86"/>
  <c r="K640" i="86" s="1"/>
  <c r="H641" i="86"/>
  <c r="K641" i="86" s="1"/>
  <c r="H642" i="86"/>
  <c r="K642" i="86" s="1"/>
  <c r="H643" i="86"/>
  <c r="K643" i="86" s="1"/>
  <c r="H644" i="86"/>
  <c r="K644" i="86" s="1"/>
  <c r="H645" i="86"/>
  <c r="K645" i="86" s="1"/>
  <c r="H646" i="86"/>
  <c r="K646" i="86" s="1"/>
  <c r="H647" i="86"/>
  <c r="K647" i="86" s="1"/>
  <c r="H648" i="86"/>
  <c r="K648" i="86" s="1"/>
  <c r="H649" i="86"/>
  <c r="K649" i="86" s="1"/>
  <c r="H650" i="86"/>
  <c r="K650" i="86" s="1"/>
  <c r="H651" i="86"/>
  <c r="K651" i="86" s="1"/>
  <c r="H652" i="86"/>
  <c r="K652" i="86" s="1"/>
  <c r="H653" i="86"/>
  <c r="K653" i="86" s="1"/>
  <c r="H654" i="86"/>
  <c r="K654" i="86" s="1"/>
  <c r="H655" i="86"/>
  <c r="K655" i="86" s="1"/>
  <c r="H656" i="86"/>
  <c r="K656" i="86" s="1"/>
  <c r="H657" i="86"/>
  <c r="K657" i="86" s="1"/>
  <c r="H658" i="86"/>
  <c r="K658" i="86" s="1"/>
  <c r="H659" i="86"/>
  <c r="K659" i="86" s="1"/>
  <c r="H660" i="86"/>
  <c r="K660" i="86" s="1"/>
  <c r="H661" i="86"/>
  <c r="K661" i="86" s="1"/>
  <c r="H662" i="86"/>
  <c r="K662" i="86" s="1"/>
  <c r="H663" i="86"/>
  <c r="K663" i="86" s="1"/>
  <c r="H664" i="86"/>
  <c r="K664" i="86" s="1"/>
  <c r="H665" i="86"/>
  <c r="K665" i="86" s="1"/>
  <c r="H666" i="86"/>
  <c r="K666" i="86" s="1"/>
  <c r="H667" i="86"/>
  <c r="K667" i="86" s="1"/>
  <c r="H668" i="86"/>
  <c r="K668" i="86" s="1"/>
  <c r="H669" i="86"/>
  <c r="K669" i="86" s="1"/>
  <c r="H670" i="86"/>
  <c r="K670" i="86" s="1"/>
  <c r="H671" i="86"/>
  <c r="K671" i="86" s="1"/>
  <c r="H672" i="86"/>
  <c r="K672" i="86" s="1"/>
  <c r="H673" i="86"/>
  <c r="K673" i="86" s="1"/>
  <c r="H674" i="86"/>
  <c r="K674" i="86" s="1"/>
  <c r="H675" i="86"/>
  <c r="K675" i="86" s="1"/>
  <c r="H676" i="86"/>
  <c r="K676" i="86" s="1"/>
  <c r="H677" i="86"/>
  <c r="K677" i="86" s="1"/>
  <c r="H678" i="86"/>
  <c r="K678" i="86" s="1"/>
  <c r="H679" i="86"/>
  <c r="K679" i="86" s="1"/>
  <c r="H680" i="86"/>
  <c r="K680" i="86" s="1"/>
  <c r="H681" i="86"/>
  <c r="K681" i="86" s="1"/>
  <c r="H682" i="86"/>
  <c r="K682" i="86" s="1"/>
  <c r="H683" i="86"/>
  <c r="K683" i="86" s="1"/>
  <c r="H684" i="86"/>
  <c r="K684" i="86" s="1"/>
  <c r="H685" i="86"/>
  <c r="K685" i="86" s="1"/>
  <c r="H686" i="86"/>
  <c r="K686" i="86" s="1"/>
  <c r="H687" i="86"/>
  <c r="K687" i="86" s="1"/>
  <c r="H688" i="86"/>
  <c r="K688" i="86" s="1"/>
  <c r="H689" i="86"/>
  <c r="K689" i="86" s="1"/>
  <c r="H690" i="86"/>
  <c r="K690" i="86" s="1"/>
  <c r="H691" i="86"/>
  <c r="K691" i="86" s="1"/>
  <c r="H692" i="86"/>
  <c r="K692" i="86" s="1"/>
  <c r="H693" i="86"/>
  <c r="K693" i="86" s="1"/>
  <c r="H694" i="86"/>
  <c r="K694" i="86" s="1"/>
  <c r="H695" i="86"/>
  <c r="K695" i="86" s="1"/>
  <c r="H696" i="86"/>
  <c r="K696" i="86" s="1"/>
  <c r="H697" i="86"/>
  <c r="K697" i="86" s="1"/>
  <c r="H698" i="86"/>
  <c r="K698" i="86" s="1"/>
  <c r="H699" i="86"/>
  <c r="K699" i="86" s="1"/>
  <c r="H700" i="86"/>
  <c r="K700" i="86" s="1"/>
  <c r="H701" i="86"/>
  <c r="K701" i="86" s="1"/>
  <c r="H702" i="86"/>
  <c r="K702" i="86" s="1"/>
  <c r="H703" i="86"/>
  <c r="K703" i="86" s="1"/>
  <c r="H704" i="86"/>
  <c r="K704" i="86" s="1"/>
  <c r="H705" i="86"/>
  <c r="K705" i="86" s="1"/>
  <c r="H706" i="86"/>
  <c r="K706" i="86" s="1"/>
  <c r="H707" i="86"/>
  <c r="K707" i="86" s="1"/>
  <c r="H708" i="86"/>
  <c r="K708" i="86" s="1"/>
  <c r="H709" i="86"/>
  <c r="K709" i="86" s="1"/>
  <c r="H710" i="86"/>
  <c r="K710" i="86" s="1"/>
  <c r="H711" i="86"/>
  <c r="K711" i="86" s="1"/>
  <c r="H712" i="86"/>
  <c r="K712" i="86" s="1"/>
  <c r="H713" i="86"/>
  <c r="K713" i="86" s="1"/>
  <c r="H714" i="86"/>
  <c r="K714" i="86" s="1"/>
  <c r="H715" i="86"/>
  <c r="K715" i="86" s="1"/>
  <c r="H716" i="86"/>
  <c r="K716" i="86" s="1"/>
  <c r="H717" i="86"/>
  <c r="K717" i="86" s="1"/>
  <c r="H718" i="86"/>
  <c r="K718" i="86" s="1"/>
  <c r="H719" i="86"/>
  <c r="K719" i="86" s="1"/>
  <c r="H720" i="86"/>
  <c r="K720" i="86" s="1"/>
  <c r="H721" i="86"/>
  <c r="K721" i="86" s="1"/>
  <c r="H722" i="86"/>
  <c r="K722" i="86" s="1"/>
  <c r="H723" i="86"/>
  <c r="K723" i="86" s="1"/>
  <c r="H724" i="86"/>
  <c r="K724" i="86" s="1"/>
  <c r="H725" i="86"/>
  <c r="K725" i="86" s="1"/>
  <c r="H726" i="86"/>
  <c r="K726" i="86" s="1"/>
  <c r="H727" i="86"/>
  <c r="K727" i="86" s="1"/>
  <c r="H728" i="86"/>
  <c r="K728" i="86" s="1"/>
  <c r="H729" i="86"/>
  <c r="K729" i="86" s="1"/>
  <c r="H730" i="86"/>
  <c r="K730" i="86" s="1"/>
  <c r="H731" i="86"/>
  <c r="K731" i="86" s="1"/>
  <c r="H732" i="86"/>
  <c r="K732" i="86" s="1"/>
  <c r="H733" i="86"/>
  <c r="K733" i="86" s="1"/>
  <c r="H734" i="86"/>
  <c r="K734" i="86" s="1"/>
  <c r="H735" i="86"/>
  <c r="K735" i="86" s="1"/>
  <c r="H736" i="86"/>
  <c r="K736" i="86" s="1"/>
  <c r="H737" i="86"/>
  <c r="K737" i="86" s="1"/>
  <c r="H738" i="86"/>
  <c r="K738" i="86" s="1"/>
  <c r="H739" i="86"/>
  <c r="K739" i="86" s="1"/>
  <c r="H740" i="86"/>
  <c r="K740" i="86" s="1"/>
  <c r="H741" i="86"/>
  <c r="K741" i="86" s="1"/>
  <c r="H742" i="86"/>
  <c r="K742" i="86" s="1"/>
  <c r="H743" i="86"/>
  <c r="K743" i="86" s="1"/>
  <c r="H744" i="86"/>
  <c r="K744" i="86" s="1"/>
  <c r="H745" i="86"/>
  <c r="K745" i="86" s="1"/>
  <c r="H746" i="86"/>
  <c r="K746" i="86" s="1"/>
  <c r="H747" i="86"/>
  <c r="K747" i="86" s="1"/>
  <c r="H748" i="86"/>
  <c r="K748" i="86" s="1"/>
  <c r="H749" i="86"/>
  <c r="K749" i="86" s="1"/>
  <c r="H750" i="86"/>
  <c r="K750" i="86" s="1"/>
  <c r="H751" i="86"/>
  <c r="K751" i="86" s="1"/>
  <c r="H752" i="86"/>
  <c r="K752" i="86" s="1"/>
  <c r="H753" i="86"/>
  <c r="K753" i="86" s="1"/>
  <c r="H754" i="86"/>
  <c r="K754" i="86" s="1"/>
  <c r="H755" i="86"/>
  <c r="K755" i="86" s="1"/>
  <c r="H756" i="86"/>
  <c r="K756" i="86" s="1"/>
  <c r="H757" i="86"/>
  <c r="K757" i="86" s="1"/>
  <c r="H758" i="86"/>
  <c r="K758" i="86" s="1"/>
  <c r="H759" i="86"/>
  <c r="K759" i="86" s="1"/>
  <c r="H760" i="86"/>
  <c r="K760" i="86" s="1"/>
  <c r="H761" i="86"/>
  <c r="K761" i="86" s="1"/>
  <c r="H762" i="86"/>
  <c r="K762" i="86" s="1"/>
  <c r="H763" i="86"/>
  <c r="K763" i="86" s="1"/>
  <c r="H764" i="86"/>
  <c r="K764" i="86" s="1"/>
  <c r="H765" i="86"/>
  <c r="K765" i="86" s="1"/>
  <c r="H766" i="86"/>
  <c r="K766" i="86" s="1"/>
  <c r="H767" i="86"/>
  <c r="K767" i="86" s="1"/>
  <c r="H768" i="86"/>
  <c r="K768" i="86" s="1"/>
  <c r="H769" i="86"/>
  <c r="K769" i="86" s="1"/>
  <c r="H770" i="86"/>
  <c r="K770" i="86" s="1"/>
  <c r="H772" i="86"/>
  <c r="K772" i="86" s="1"/>
  <c r="H773" i="86"/>
  <c r="K773" i="86" s="1"/>
  <c r="H774" i="86"/>
  <c r="K774" i="86" s="1"/>
  <c r="H775" i="86"/>
  <c r="K775" i="86" s="1"/>
  <c r="H776" i="86"/>
  <c r="K776" i="86" s="1"/>
  <c r="H777" i="86"/>
  <c r="K777" i="86" s="1"/>
  <c r="H778" i="86"/>
  <c r="K778" i="86" s="1"/>
  <c r="H779" i="86"/>
  <c r="K779" i="86" s="1"/>
  <c r="H780" i="86"/>
  <c r="K780" i="86" s="1"/>
  <c r="H781" i="86"/>
  <c r="K781" i="86" s="1"/>
  <c r="H782" i="86"/>
  <c r="K782" i="86" s="1"/>
  <c r="H783" i="86"/>
  <c r="K783" i="86" s="1"/>
  <c r="H784" i="86"/>
  <c r="K784" i="86" s="1"/>
  <c r="H785" i="86"/>
  <c r="K785" i="86" s="1"/>
  <c r="H786" i="86"/>
  <c r="K786" i="86" s="1"/>
  <c r="H787" i="86"/>
  <c r="K787" i="86" s="1"/>
  <c r="H788" i="86"/>
  <c r="K788" i="86" s="1"/>
  <c r="H789" i="86"/>
  <c r="K789" i="86" s="1"/>
  <c r="H790" i="86"/>
  <c r="K790" i="86" s="1"/>
  <c r="H791" i="86"/>
  <c r="K791" i="86" s="1"/>
  <c r="H792" i="86"/>
  <c r="K792" i="86" s="1"/>
  <c r="H793" i="86"/>
  <c r="K793" i="86" s="1"/>
  <c r="H794" i="86"/>
  <c r="K794" i="86" s="1"/>
  <c r="H795" i="86"/>
  <c r="K795" i="86" s="1"/>
  <c r="H796" i="86"/>
  <c r="K796" i="86" s="1"/>
  <c r="H797" i="86"/>
  <c r="K797" i="86" s="1"/>
  <c r="H798" i="86"/>
  <c r="K798" i="86" s="1"/>
  <c r="H799" i="86"/>
  <c r="K799" i="86" s="1"/>
  <c r="H800" i="86"/>
  <c r="K800" i="86" s="1"/>
  <c r="H801" i="86"/>
  <c r="K801" i="86" s="1"/>
  <c r="H802" i="86"/>
  <c r="K802" i="86" s="1"/>
  <c r="H803" i="86"/>
  <c r="K803" i="86" s="1"/>
  <c r="H804" i="86"/>
  <c r="K804" i="86" s="1"/>
  <c r="H805" i="86"/>
  <c r="K805" i="86" s="1"/>
  <c r="H806" i="86"/>
  <c r="K806" i="86" s="1"/>
  <c r="H807" i="86"/>
  <c r="K807" i="86" s="1"/>
  <c r="H808" i="86"/>
  <c r="K808" i="86" s="1"/>
  <c r="H809" i="86"/>
  <c r="K809" i="86" s="1"/>
  <c r="H810" i="86"/>
  <c r="K810" i="86" s="1"/>
  <c r="H811" i="86"/>
  <c r="K811" i="86" s="1"/>
  <c r="H812" i="86"/>
  <c r="K812" i="86" s="1"/>
  <c r="H813" i="86"/>
  <c r="K813" i="86" s="1"/>
  <c r="H574" i="86"/>
  <c r="K574" i="86" s="1"/>
  <c r="H575" i="86"/>
  <c r="K575" i="86" s="1"/>
  <c r="H576" i="86"/>
  <c r="K576" i="86" s="1"/>
  <c r="H577" i="86"/>
  <c r="K577" i="86" s="1"/>
  <c r="H578" i="86"/>
  <c r="K578" i="86" s="1"/>
  <c r="H579" i="86"/>
  <c r="K579" i="86" s="1"/>
  <c r="H580" i="86"/>
  <c r="K580" i="86" s="1"/>
  <c r="H581" i="86"/>
  <c r="K581" i="86" s="1"/>
  <c r="H582" i="86"/>
  <c r="K582" i="86" s="1"/>
  <c r="H583" i="86"/>
  <c r="K583" i="86" s="1"/>
  <c r="H584" i="86"/>
  <c r="K584" i="86" s="1"/>
  <c r="H585" i="86"/>
  <c r="K585" i="86" s="1"/>
  <c r="H586" i="86"/>
  <c r="K586" i="86" s="1"/>
  <c r="H587" i="86"/>
  <c r="K587" i="86" s="1"/>
  <c r="H588" i="86"/>
  <c r="K588" i="86" s="1"/>
  <c r="H589" i="86"/>
  <c r="K589" i="86" s="1"/>
  <c r="H590" i="86"/>
  <c r="K590" i="86" s="1"/>
  <c r="H591" i="86"/>
  <c r="K591" i="86" s="1"/>
  <c r="H592" i="86"/>
  <c r="K592" i="86" s="1"/>
  <c r="H593" i="86"/>
  <c r="K593" i="86" s="1"/>
  <c r="H594" i="86"/>
  <c r="K594" i="86" s="1"/>
  <c r="H595" i="86"/>
  <c r="K595" i="86" s="1"/>
  <c r="H596" i="86"/>
  <c r="K596" i="86" s="1"/>
  <c r="H597" i="86"/>
  <c r="K597" i="86" s="1"/>
  <c r="H598" i="86"/>
  <c r="K598" i="86" s="1"/>
  <c r="H599" i="86"/>
  <c r="K599" i="86" s="1"/>
  <c r="H600" i="86"/>
  <c r="K600" i="86" s="1"/>
  <c r="H601" i="86"/>
  <c r="K601" i="86" s="1"/>
  <c r="H602" i="86"/>
  <c r="K602" i="86" s="1"/>
  <c r="H603" i="86"/>
  <c r="K603" i="86" s="1"/>
  <c r="H604" i="86"/>
  <c r="K604" i="86" s="1"/>
  <c r="H605" i="86"/>
  <c r="K605" i="86" s="1"/>
  <c r="H606" i="86"/>
  <c r="K606" i="86" s="1"/>
  <c r="H607" i="86"/>
  <c r="K607" i="86" s="1"/>
  <c r="I44" i="85" l="1"/>
  <c r="I45" i="85"/>
  <c r="I46" i="85"/>
  <c r="I47" i="85"/>
  <c r="I48" i="85"/>
  <c r="I49" i="85"/>
  <c r="I50" i="85"/>
  <c r="I51" i="85"/>
  <c r="I52" i="85"/>
  <c r="I53" i="85"/>
  <c r="I54" i="85"/>
  <c r="I55" i="85"/>
  <c r="I56" i="85"/>
  <c r="I57" i="85"/>
  <c r="I58" i="85"/>
  <c r="I59" i="85"/>
  <c r="I60" i="85"/>
  <c r="I43" i="85"/>
  <c r="H503" i="86"/>
  <c r="H504" i="86"/>
  <c r="H505" i="86"/>
  <c r="H506" i="86"/>
  <c r="H507" i="86"/>
  <c r="H508" i="86"/>
  <c r="H509" i="86"/>
  <c r="H510" i="86"/>
  <c r="H511" i="86"/>
  <c r="H512" i="86"/>
  <c r="H513" i="86"/>
  <c r="H514" i="86"/>
  <c r="H515" i="86"/>
  <c r="H516" i="86"/>
  <c r="H517" i="86"/>
  <c r="H518" i="86"/>
  <c r="H519" i="86"/>
  <c r="H520" i="86"/>
  <c r="H521" i="86"/>
  <c r="H522" i="86"/>
  <c r="H523" i="86"/>
  <c r="H524" i="86"/>
  <c r="H525" i="86"/>
  <c r="H526" i="86"/>
  <c r="H527" i="86"/>
  <c r="H528" i="86"/>
  <c r="H529" i="86"/>
  <c r="H530" i="86"/>
  <c r="H531" i="86"/>
  <c r="H532" i="86"/>
  <c r="H533" i="86"/>
  <c r="H534" i="86"/>
  <c r="H535" i="86"/>
  <c r="H536" i="86"/>
  <c r="H537" i="86"/>
  <c r="H538" i="86"/>
  <c r="H539" i="86"/>
  <c r="H540" i="86"/>
  <c r="H541" i="86"/>
  <c r="H542" i="86"/>
  <c r="H543" i="86"/>
  <c r="H544" i="86"/>
  <c r="H545" i="86"/>
  <c r="H546" i="86"/>
  <c r="H547" i="86"/>
  <c r="H548" i="86"/>
  <c r="H549" i="86"/>
  <c r="H550" i="86"/>
  <c r="H551" i="86"/>
  <c r="H552" i="86"/>
  <c r="H553" i="86"/>
  <c r="H554" i="86"/>
  <c r="H555" i="86"/>
  <c r="H556" i="86"/>
  <c r="H557" i="86"/>
  <c r="H558" i="86"/>
  <c r="H559" i="86"/>
  <c r="H560" i="86"/>
  <c r="H561" i="86"/>
  <c r="H562" i="86"/>
  <c r="H563" i="86"/>
  <c r="H564" i="86"/>
  <c r="H565" i="86"/>
  <c r="H566" i="86"/>
  <c r="H567" i="86"/>
  <c r="H568" i="86"/>
  <c r="H569" i="86"/>
  <c r="H570" i="86"/>
  <c r="H571" i="86"/>
  <c r="H572" i="86"/>
  <c r="H573" i="86"/>
  <c r="K573" i="86" s="1"/>
  <c r="I24" i="85" l="1"/>
  <c r="I25" i="85"/>
  <c r="I26" i="85"/>
  <c r="I27" i="85"/>
  <c r="I28" i="85"/>
  <c r="I29" i="85"/>
  <c r="I30" i="85"/>
  <c r="I31" i="85"/>
  <c r="I32" i="85"/>
  <c r="I33" i="85"/>
  <c r="I34" i="85"/>
  <c r="I21" i="85"/>
  <c r="H377" i="86"/>
  <c r="H378" i="86"/>
  <c r="H379" i="86"/>
  <c r="K379" i="86" s="1"/>
  <c r="H380" i="86"/>
  <c r="K380" i="86" s="1"/>
  <c r="H381" i="86"/>
  <c r="H382" i="86"/>
  <c r="H383" i="86"/>
  <c r="K383" i="86" s="1"/>
  <c r="H384" i="86"/>
  <c r="K384" i="86" s="1"/>
  <c r="H385" i="86"/>
  <c r="H386" i="86"/>
  <c r="H387" i="86"/>
  <c r="K387" i="86" s="1"/>
  <c r="H388" i="86"/>
  <c r="K388" i="86" s="1"/>
  <c r="H389" i="86"/>
  <c r="K389" i="86" s="1"/>
  <c r="H390" i="86"/>
  <c r="H391" i="86"/>
  <c r="K391" i="86" s="1"/>
  <c r="H392" i="86"/>
  <c r="K392" i="86" s="1"/>
  <c r="H393" i="86"/>
  <c r="H394" i="86"/>
  <c r="H395" i="86"/>
  <c r="K395" i="86" s="1"/>
  <c r="H396" i="86"/>
  <c r="K396" i="86" s="1"/>
  <c r="H397" i="86"/>
  <c r="H398" i="86"/>
  <c r="H399" i="86"/>
  <c r="K399" i="86" s="1"/>
  <c r="H400" i="86"/>
  <c r="K400" i="86" s="1"/>
  <c r="H401" i="86"/>
  <c r="H402" i="86"/>
  <c r="H403" i="86"/>
  <c r="K403" i="86" s="1"/>
  <c r="H404" i="86"/>
  <c r="K404" i="86" s="1"/>
  <c r="H405" i="86"/>
  <c r="K405" i="86" s="1"/>
  <c r="H406" i="86"/>
  <c r="H407" i="86"/>
  <c r="K407" i="86" s="1"/>
  <c r="H408" i="86"/>
  <c r="K408" i="86" s="1"/>
  <c r="H409" i="86"/>
  <c r="H410" i="86"/>
  <c r="H411" i="86"/>
  <c r="K411" i="86" s="1"/>
  <c r="H412" i="86"/>
  <c r="K412" i="86" s="1"/>
  <c r="H413" i="86"/>
  <c r="H414" i="86"/>
  <c r="H415" i="86"/>
  <c r="K415" i="86" s="1"/>
  <c r="H416" i="86"/>
  <c r="K416" i="86" s="1"/>
  <c r="H417" i="86"/>
  <c r="H418" i="86"/>
  <c r="H419" i="86"/>
  <c r="K419" i="86" s="1"/>
  <c r="H420" i="86"/>
  <c r="K420" i="86" s="1"/>
  <c r="H421" i="86"/>
  <c r="K421" i="86" s="1"/>
  <c r="H422" i="86"/>
  <c r="H423" i="86"/>
  <c r="K423" i="86" s="1"/>
  <c r="H424" i="86"/>
  <c r="K424" i="86" s="1"/>
  <c r="H425" i="86"/>
  <c r="H426" i="86"/>
  <c r="H427" i="86"/>
  <c r="K427" i="86" s="1"/>
  <c r="H428" i="86"/>
  <c r="K428" i="86" s="1"/>
  <c r="H429" i="86"/>
  <c r="H430" i="86"/>
  <c r="H431" i="86"/>
  <c r="K431" i="86" s="1"/>
  <c r="H432" i="86"/>
  <c r="K432" i="86" s="1"/>
  <c r="H433" i="86"/>
  <c r="H434" i="86"/>
  <c r="H435" i="86"/>
  <c r="K435" i="86" s="1"/>
  <c r="H436" i="86"/>
  <c r="K436" i="86" s="1"/>
  <c r="H437" i="86"/>
  <c r="K437" i="86" s="1"/>
  <c r="H438" i="86"/>
  <c r="H439" i="86"/>
  <c r="K439" i="86" s="1"/>
  <c r="H440" i="86"/>
  <c r="K440" i="86" s="1"/>
  <c r="H441" i="86"/>
  <c r="H442" i="86"/>
  <c r="H443" i="86"/>
  <c r="K443" i="86" s="1"/>
  <c r="H444" i="86"/>
  <c r="K444" i="86" s="1"/>
  <c r="H445" i="86"/>
  <c r="H446" i="86"/>
  <c r="H447" i="86"/>
  <c r="K447" i="86" s="1"/>
  <c r="H448" i="86"/>
  <c r="K448" i="86" s="1"/>
  <c r="H449" i="86"/>
  <c r="H450" i="86"/>
  <c r="H451" i="86"/>
  <c r="K451" i="86" s="1"/>
  <c r="H452" i="86"/>
  <c r="K452" i="86" s="1"/>
  <c r="H453" i="86"/>
  <c r="K453" i="86" s="1"/>
  <c r="H454" i="86"/>
  <c r="H455" i="86"/>
  <c r="K455" i="86" s="1"/>
  <c r="H456" i="86"/>
  <c r="K456" i="86" s="1"/>
  <c r="H457" i="86"/>
  <c r="H458" i="86"/>
  <c r="H459" i="86"/>
  <c r="K459" i="86" s="1"/>
  <c r="H460" i="86"/>
  <c r="K460" i="86" s="1"/>
  <c r="H461" i="86"/>
  <c r="H462" i="86"/>
  <c r="H463" i="86"/>
  <c r="K463" i="86" s="1"/>
  <c r="H464" i="86"/>
  <c r="K464" i="86" s="1"/>
  <c r="H465" i="86"/>
  <c r="H466" i="86"/>
  <c r="H467" i="86"/>
  <c r="K467" i="86" s="1"/>
  <c r="H468" i="86"/>
  <c r="K468" i="86" s="1"/>
  <c r="H469" i="86"/>
  <c r="K469" i="86" s="1"/>
  <c r="H470" i="86"/>
  <c r="H471" i="86"/>
  <c r="H472" i="86"/>
  <c r="K472" i="86" s="1"/>
  <c r="H473" i="86"/>
  <c r="H474" i="86"/>
  <c r="H475" i="86"/>
  <c r="K475" i="86" s="1"/>
  <c r="H476" i="86"/>
  <c r="K476" i="86" s="1"/>
  <c r="H477" i="86"/>
  <c r="H478" i="86"/>
  <c r="H479" i="86"/>
  <c r="K479" i="86" s="1"/>
  <c r="H480" i="86"/>
  <c r="K480" i="86" s="1"/>
  <c r="H481" i="86"/>
  <c r="H482" i="86"/>
  <c r="H483" i="86"/>
  <c r="H484" i="86"/>
  <c r="K484" i="86" s="1"/>
  <c r="H485" i="86"/>
  <c r="K485" i="86" s="1"/>
  <c r="H486" i="86"/>
  <c r="H487" i="86"/>
  <c r="K487" i="86" s="1"/>
  <c r="H488" i="86"/>
  <c r="K488" i="86" s="1"/>
  <c r="H489" i="86"/>
  <c r="H490" i="86"/>
  <c r="H491" i="86"/>
  <c r="K491" i="86" s="1"/>
  <c r="H492" i="86"/>
  <c r="K492" i="86" s="1"/>
  <c r="H493" i="86"/>
  <c r="H494" i="86"/>
  <c r="H495" i="86"/>
  <c r="K495" i="86" s="1"/>
  <c r="H496" i="86"/>
  <c r="K496" i="86" s="1"/>
  <c r="H497" i="86"/>
  <c r="H498" i="86"/>
  <c r="H499" i="86"/>
  <c r="K499" i="86" s="1"/>
  <c r="H500" i="86"/>
  <c r="K500" i="86" s="1"/>
  <c r="H501" i="86"/>
  <c r="K501" i="86" s="1"/>
  <c r="H502" i="86"/>
  <c r="K503" i="86"/>
  <c r="K504" i="86"/>
  <c r="K511" i="86"/>
  <c r="K512" i="86"/>
  <c r="K514" i="86"/>
  <c r="K515" i="86"/>
  <c r="K516" i="86"/>
  <c r="H7" i="86"/>
  <c r="H8" i="86"/>
  <c r="K8" i="86" s="1"/>
  <c r="H9" i="86"/>
  <c r="K9" i="86" s="1"/>
  <c r="H10" i="86"/>
  <c r="K10" i="86" s="1"/>
  <c r="H11" i="86"/>
  <c r="H12" i="86"/>
  <c r="H13" i="86"/>
  <c r="K13" i="86" s="1"/>
  <c r="H14" i="86"/>
  <c r="K14" i="86" s="1"/>
  <c r="H15" i="86"/>
  <c r="H16" i="86"/>
  <c r="K16" i="86" s="1"/>
  <c r="H17" i="86"/>
  <c r="K17" i="86" s="1"/>
  <c r="H18" i="86"/>
  <c r="H19" i="86"/>
  <c r="H20" i="86"/>
  <c r="K20" i="86" s="1"/>
  <c r="H21" i="86"/>
  <c r="K21" i="86" s="1"/>
  <c r="H22" i="86"/>
  <c r="H23" i="86"/>
  <c r="H24" i="86"/>
  <c r="K24" i="86" s="1"/>
  <c r="H25" i="86"/>
  <c r="K25" i="86" s="1"/>
  <c r="H26" i="86"/>
  <c r="K26" i="86" s="1"/>
  <c r="H27" i="86"/>
  <c r="H28" i="86"/>
  <c r="K28" i="86" s="1"/>
  <c r="H29" i="86"/>
  <c r="K29" i="86" s="1"/>
  <c r="H30" i="86"/>
  <c r="H31" i="86"/>
  <c r="H32" i="86"/>
  <c r="K32" i="86" s="1"/>
  <c r="H33" i="86"/>
  <c r="K33" i="86" s="1"/>
  <c r="H34" i="86"/>
  <c r="K34" i="86" s="1"/>
  <c r="H35" i="86"/>
  <c r="H36" i="86"/>
  <c r="K36" i="86" s="1"/>
  <c r="H37" i="86"/>
  <c r="K37" i="86" s="1"/>
  <c r="H38" i="86"/>
  <c r="H39" i="86"/>
  <c r="H40" i="86"/>
  <c r="K40" i="86" s="1"/>
  <c r="H41" i="86"/>
  <c r="K41" i="86" s="1"/>
  <c r="H42" i="86"/>
  <c r="H43" i="86"/>
  <c r="H44" i="86"/>
  <c r="K44" i="86" s="1"/>
  <c r="H45" i="86"/>
  <c r="K45" i="86" s="1"/>
  <c r="H46" i="86"/>
  <c r="H47" i="86"/>
  <c r="H48" i="86"/>
  <c r="K48" i="86" s="1"/>
  <c r="H49" i="86"/>
  <c r="K49" i="86" s="1"/>
  <c r="H50" i="86"/>
  <c r="H51" i="86"/>
  <c r="H52" i="86"/>
  <c r="K52" i="86" s="1"/>
  <c r="H53" i="86"/>
  <c r="K53" i="86" s="1"/>
  <c r="H54" i="86"/>
  <c r="H55" i="86"/>
  <c r="H56" i="86"/>
  <c r="H57" i="86"/>
  <c r="K57" i="86" s="1"/>
  <c r="H58" i="86"/>
  <c r="K58" i="86" s="1"/>
  <c r="H59" i="86"/>
  <c r="H60" i="86"/>
  <c r="K60" i="86" s="1"/>
  <c r="H61" i="86"/>
  <c r="K61" i="86" s="1"/>
  <c r="H62" i="86"/>
  <c r="K62" i="86" s="1"/>
  <c r="H63" i="86"/>
  <c r="H64" i="86"/>
  <c r="K64" i="86" s="1"/>
  <c r="H65" i="86"/>
  <c r="K65" i="86" s="1"/>
  <c r="H66" i="86"/>
  <c r="H67" i="86"/>
  <c r="H68" i="86"/>
  <c r="K68" i="86" s="1"/>
  <c r="H69" i="86"/>
  <c r="K69" i="86" s="1"/>
  <c r="H70" i="86"/>
  <c r="K70" i="86" s="1"/>
  <c r="H71" i="86"/>
  <c r="H72" i="86"/>
  <c r="K72" i="86" s="1"/>
  <c r="H73" i="86"/>
  <c r="K73" i="86" s="1"/>
  <c r="H74" i="86"/>
  <c r="H75" i="86"/>
  <c r="H76" i="86"/>
  <c r="K76" i="86" s="1"/>
  <c r="H77" i="86"/>
  <c r="K77" i="86" s="1"/>
  <c r="H78" i="86"/>
  <c r="H79" i="86"/>
  <c r="H80" i="86"/>
  <c r="K80" i="86" s="1"/>
  <c r="H81" i="86"/>
  <c r="K81" i="86" s="1"/>
  <c r="H82" i="86"/>
  <c r="H83" i="86"/>
  <c r="H84" i="86"/>
  <c r="K84" i="86" s="1"/>
  <c r="H85" i="86"/>
  <c r="K85" i="86" s="1"/>
  <c r="H86" i="86"/>
  <c r="H87" i="86"/>
  <c r="H88" i="86"/>
  <c r="K88" i="86" s="1"/>
  <c r="H89" i="86"/>
  <c r="K89" i="86" s="1"/>
  <c r="H90" i="86"/>
  <c r="K90" i="86" s="1"/>
  <c r="H91" i="86"/>
  <c r="H92" i="86"/>
  <c r="K92" i="86" s="1"/>
  <c r="H93" i="86"/>
  <c r="K93" i="86" s="1"/>
  <c r="H94" i="86"/>
  <c r="H95" i="86"/>
  <c r="H96" i="86"/>
  <c r="K96" i="86" s="1"/>
  <c r="H97" i="86"/>
  <c r="K97" i="86" s="1"/>
  <c r="H98" i="86"/>
  <c r="K98" i="86" s="1"/>
  <c r="H99" i="86"/>
  <c r="H100" i="86"/>
  <c r="K100" i="86" s="1"/>
  <c r="H101" i="86"/>
  <c r="K101" i="86" s="1"/>
  <c r="H102" i="86"/>
  <c r="H103" i="86"/>
  <c r="H104" i="86"/>
  <c r="K104" i="86" s="1"/>
  <c r="H105" i="86"/>
  <c r="K105" i="86" s="1"/>
  <c r="H106" i="86"/>
  <c r="H107" i="86"/>
  <c r="H108" i="86"/>
  <c r="K108" i="86" s="1"/>
  <c r="H109" i="86"/>
  <c r="K109" i="86" s="1"/>
  <c r="H110" i="86"/>
  <c r="H111" i="86"/>
  <c r="H112" i="86"/>
  <c r="K112" i="86" s="1"/>
  <c r="H113" i="86"/>
  <c r="K113" i="86" s="1"/>
  <c r="H114" i="86"/>
  <c r="H115" i="86"/>
  <c r="H116" i="86"/>
  <c r="K116" i="86" s="1"/>
  <c r="H117" i="86"/>
  <c r="K117" i="86" s="1"/>
  <c r="H118" i="86"/>
  <c r="H119" i="86"/>
  <c r="H120" i="86"/>
  <c r="K120" i="86" s="1"/>
  <c r="H121" i="86"/>
  <c r="K121" i="86" s="1"/>
  <c r="H122" i="86"/>
  <c r="K122" i="86" s="1"/>
  <c r="H123" i="86"/>
  <c r="H124" i="86"/>
  <c r="K124" i="86" s="1"/>
  <c r="H125" i="86"/>
  <c r="K125" i="86" s="1"/>
  <c r="H126" i="86"/>
  <c r="K126" i="86" s="1"/>
  <c r="H127" i="86"/>
  <c r="H128" i="86"/>
  <c r="K128" i="86" s="1"/>
  <c r="H129" i="86"/>
  <c r="K129" i="86" s="1"/>
  <c r="H130" i="86"/>
  <c r="H131" i="86"/>
  <c r="H132" i="86"/>
  <c r="K132" i="86" s="1"/>
  <c r="H133" i="86"/>
  <c r="K133" i="86" s="1"/>
  <c r="H134" i="86"/>
  <c r="K134" i="86" s="1"/>
  <c r="H135" i="86"/>
  <c r="H136" i="86"/>
  <c r="K136" i="86" s="1"/>
  <c r="H137" i="86"/>
  <c r="K137" i="86" s="1"/>
  <c r="H138" i="86"/>
  <c r="H139" i="86"/>
  <c r="H140" i="86"/>
  <c r="K140" i="86" s="1"/>
  <c r="H141" i="86"/>
  <c r="K141" i="86" s="1"/>
  <c r="H142" i="86"/>
  <c r="H143" i="86"/>
  <c r="H144" i="86"/>
  <c r="K144" i="86" s="1"/>
  <c r="H145" i="86"/>
  <c r="K145" i="86" s="1"/>
  <c r="H146" i="86"/>
  <c r="H147" i="86"/>
  <c r="H148" i="86"/>
  <c r="K148" i="86" s="1"/>
  <c r="H149" i="86"/>
  <c r="K149" i="86" s="1"/>
  <c r="H150" i="86"/>
  <c r="H151" i="86"/>
  <c r="H152" i="86"/>
  <c r="K152" i="86" s="1"/>
  <c r="H153" i="86"/>
  <c r="K153" i="86" s="1"/>
  <c r="H154" i="86"/>
  <c r="K154" i="86" s="1"/>
  <c r="H155" i="86"/>
  <c r="H156" i="86"/>
  <c r="K156" i="86" s="1"/>
  <c r="H157" i="86"/>
  <c r="K157" i="86" s="1"/>
  <c r="H158" i="86"/>
  <c r="H159" i="86"/>
  <c r="H160" i="86"/>
  <c r="K160" i="86" s="1"/>
  <c r="H161" i="86"/>
  <c r="K161" i="86" s="1"/>
  <c r="H162" i="86"/>
  <c r="K162" i="86" s="1"/>
  <c r="H163" i="86"/>
  <c r="H164" i="86"/>
  <c r="K164" i="86" s="1"/>
  <c r="H165" i="86"/>
  <c r="K165" i="86" s="1"/>
  <c r="H166" i="86"/>
  <c r="H167" i="86"/>
  <c r="H168" i="86"/>
  <c r="K168" i="86" s="1"/>
  <c r="H169" i="86"/>
  <c r="K169" i="86" s="1"/>
  <c r="H170" i="86"/>
  <c r="H171" i="86"/>
  <c r="H172" i="86"/>
  <c r="K172" i="86" s="1"/>
  <c r="H173" i="86"/>
  <c r="K173" i="86" s="1"/>
  <c r="H174" i="86"/>
  <c r="H175" i="86"/>
  <c r="H176" i="86"/>
  <c r="K176" i="86" s="1"/>
  <c r="H177" i="86"/>
  <c r="K177" i="86" s="1"/>
  <c r="H178" i="86"/>
  <c r="H179" i="86"/>
  <c r="H180" i="86"/>
  <c r="K180" i="86" s="1"/>
  <c r="H181" i="86"/>
  <c r="K181" i="86" s="1"/>
  <c r="H182" i="86"/>
  <c r="H183" i="86"/>
  <c r="H184" i="86"/>
  <c r="H185" i="86"/>
  <c r="K185" i="86" s="1"/>
  <c r="H186" i="86"/>
  <c r="K186" i="86" s="1"/>
  <c r="H187" i="86"/>
  <c r="H188" i="86"/>
  <c r="K188" i="86" s="1"/>
  <c r="H189" i="86"/>
  <c r="K189" i="86" s="1"/>
  <c r="H190" i="86"/>
  <c r="K190" i="86" s="1"/>
  <c r="H191" i="86"/>
  <c r="H192" i="86"/>
  <c r="K192" i="86" s="1"/>
  <c r="H193" i="86"/>
  <c r="K193" i="86" s="1"/>
  <c r="H194" i="86"/>
  <c r="H195" i="86"/>
  <c r="H196" i="86"/>
  <c r="K196" i="86" s="1"/>
  <c r="H197" i="86"/>
  <c r="K197" i="86" s="1"/>
  <c r="H198" i="86"/>
  <c r="K198" i="86" s="1"/>
  <c r="H199" i="86"/>
  <c r="H200" i="86"/>
  <c r="K200" i="86" s="1"/>
  <c r="H201" i="86"/>
  <c r="K201" i="86" s="1"/>
  <c r="H202" i="86"/>
  <c r="H203" i="86"/>
  <c r="H204" i="86"/>
  <c r="K204" i="86" s="1"/>
  <c r="H205" i="86"/>
  <c r="K205" i="86" s="1"/>
  <c r="H206" i="86"/>
  <c r="H207" i="86"/>
  <c r="H208" i="86"/>
  <c r="K208" i="86" s="1"/>
  <c r="H209" i="86"/>
  <c r="K209" i="86" s="1"/>
  <c r="H210" i="86"/>
  <c r="H211" i="86"/>
  <c r="H212" i="86"/>
  <c r="K212" i="86" s="1"/>
  <c r="H213" i="86"/>
  <c r="K213" i="86" s="1"/>
  <c r="H214" i="86"/>
  <c r="H215" i="86"/>
  <c r="H216" i="86"/>
  <c r="K216" i="86" s="1"/>
  <c r="H217" i="86"/>
  <c r="K217" i="86" s="1"/>
  <c r="H218" i="86"/>
  <c r="K218" i="86" s="1"/>
  <c r="H219" i="86"/>
  <c r="H220" i="86"/>
  <c r="H221" i="86"/>
  <c r="K221" i="86" s="1"/>
  <c r="H222" i="86"/>
  <c r="H223" i="86"/>
  <c r="H224" i="86"/>
  <c r="K224" i="86" s="1"/>
  <c r="H225" i="86"/>
  <c r="K225" i="86" s="1"/>
  <c r="H226" i="86"/>
  <c r="K226" i="86" s="1"/>
  <c r="H227" i="86"/>
  <c r="H228" i="86"/>
  <c r="K228" i="86" s="1"/>
  <c r="H229" i="86"/>
  <c r="K229" i="86" s="1"/>
  <c r="H230" i="86"/>
  <c r="H231" i="86"/>
  <c r="H232" i="86"/>
  <c r="K232" i="86" s="1"/>
  <c r="H233" i="86"/>
  <c r="K233" i="86" s="1"/>
  <c r="H234" i="86"/>
  <c r="H235" i="86"/>
  <c r="H236" i="86"/>
  <c r="K236" i="86" s="1"/>
  <c r="H237" i="86"/>
  <c r="K237" i="86" s="1"/>
  <c r="H238" i="86"/>
  <c r="H239" i="86"/>
  <c r="H240" i="86"/>
  <c r="K240" i="86" s="1"/>
  <c r="H241" i="86"/>
  <c r="K241" i="86" s="1"/>
  <c r="H242" i="86"/>
  <c r="H243" i="86"/>
  <c r="H244" i="86"/>
  <c r="K244" i="86" s="1"/>
  <c r="H245" i="86"/>
  <c r="K245" i="86" s="1"/>
  <c r="H246" i="86"/>
  <c r="H247" i="86"/>
  <c r="H248" i="86"/>
  <c r="K248" i="86" s="1"/>
  <c r="H249" i="86"/>
  <c r="K249" i="86" s="1"/>
  <c r="H250" i="86"/>
  <c r="K250" i="86" s="1"/>
  <c r="H251" i="86"/>
  <c r="H252" i="86"/>
  <c r="K252" i="86" s="1"/>
  <c r="H253" i="86"/>
  <c r="K253" i="86" s="1"/>
  <c r="H254" i="86"/>
  <c r="K254" i="86" s="1"/>
  <c r="H255" i="86"/>
  <c r="H256" i="86"/>
  <c r="K256" i="86" s="1"/>
  <c r="H257" i="86"/>
  <c r="K257" i="86" s="1"/>
  <c r="H258" i="86"/>
  <c r="H259" i="86"/>
  <c r="H260" i="86"/>
  <c r="K260" i="86" s="1"/>
  <c r="H261" i="86"/>
  <c r="K261" i="86" s="1"/>
  <c r="H262" i="86"/>
  <c r="K262" i="86" s="1"/>
  <c r="H263" i="86"/>
  <c r="H264" i="86"/>
  <c r="K264" i="86" s="1"/>
  <c r="H265" i="86"/>
  <c r="K265" i="86" s="1"/>
  <c r="H266" i="86"/>
  <c r="H267" i="86"/>
  <c r="H268" i="86"/>
  <c r="K268" i="86" s="1"/>
  <c r="H269" i="86"/>
  <c r="K269" i="86" s="1"/>
  <c r="H270" i="86"/>
  <c r="H271" i="86"/>
  <c r="H272" i="86"/>
  <c r="K272" i="86" s="1"/>
  <c r="H273" i="86"/>
  <c r="K273" i="86" s="1"/>
  <c r="H274" i="86"/>
  <c r="H275" i="86"/>
  <c r="H276" i="86"/>
  <c r="K276" i="86" s="1"/>
  <c r="H277" i="86"/>
  <c r="K277" i="86" s="1"/>
  <c r="H278" i="86"/>
  <c r="H279" i="86"/>
  <c r="H280" i="86"/>
  <c r="K280" i="86" s="1"/>
  <c r="H281" i="86"/>
  <c r="K281" i="86" s="1"/>
  <c r="H282" i="86"/>
  <c r="K282" i="86" s="1"/>
  <c r="H283" i="86"/>
  <c r="H284" i="86"/>
  <c r="K284" i="86" s="1"/>
  <c r="H285" i="86"/>
  <c r="K285" i="86" s="1"/>
  <c r="H286" i="86"/>
  <c r="H287" i="86"/>
  <c r="H288" i="86"/>
  <c r="K288" i="86" s="1"/>
  <c r="H289" i="86"/>
  <c r="K289" i="86" s="1"/>
  <c r="H290" i="86"/>
  <c r="K290" i="86" s="1"/>
  <c r="H291" i="86"/>
  <c r="H292" i="86"/>
  <c r="K292" i="86" s="1"/>
  <c r="H293" i="86"/>
  <c r="K293" i="86" s="1"/>
  <c r="H294" i="86"/>
  <c r="K294" i="86" s="1"/>
  <c r="H295" i="86"/>
  <c r="H296" i="86"/>
  <c r="K296" i="86" s="1"/>
  <c r="H297" i="86"/>
  <c r="K297" i="86" s="1"/>
  <c r="H298" i="86"/>
  <c r="H299" i="86"/>
  <c r="H300" i="86"/>
  <c r="K300" i="86" s="1"/>
  <c r="H301" i="86"/>
  <c r="K301" i="86" s="1"/>
  <c r="H302" i="86"/>
  <c r="K302" i="86" s="1"/>
  <c r="H303" i="86"/>
  <c r="H304" i="86"/>
  <c r="K304" i="86" s="1"/>
  <c r="H305" i="86"/>
  <c r="K305" i="86" s="1"/>
  <c r="H306" i="86"/>
  <c r="H307" i="86"/>
  <c r="H308" i="86"/>
  <c r="K308" i="86" s="1"/>
  <c r="H309" i="86"/>
  <c r="K309" i="86" s="1"/>
  <c r="H310" i="86"/>
  <c r="K310" i="86" s="1"/>
  <c r="H311" i="86"/>
  <c r="H312" i="86"/>
  <c r="K312" i="86" s="1"/>
  <c r="H313" i="86"/>
  <c r="K313" i="86" s="1"/>
  <c r="H314" i="86"/>
  <c r="K314" i="86" s="1"/>
  <c r="H315" i="86"/>
  <c r="H316" i="86"/>
  <c r="K316" i="86" s="1"/>
  <c r="H317" i="86"/>
  <c r="K317" i="86" s="1"/>
  <c r="H318" i="86"/>
  <c r="K318" i="86" s="1"/>
  <c r="H319" i="86"/>
  <c r="H320" i="86"/>
  <c r="K320" i="86" s="1"/>
  <c r="H321" i="86"/>
  <c r="K321" i="86" s="1"/>
  <c r="H322" i="86"/>
  <c r="H323" i="86"/>
  <c r="H324" i="86"/>
  <c r="K324" i="86" s="1"/>
  <c r="H325" i="86"/>
  <c r="K325" i="86" s="1"/>
  <c r="H326" i="86"/>
  <c r="K326" i="86" s="1"/>
  <c r="H327" i="86"/>
  <c r="H328" i="86"/>
  <c r="K328" i="86" s="1"/>
  <c r="H329" i="86"/>
  <c r="K329" i="86" s="1"/>
  <c r="H330" i="86"/>
  <c r="H331" i="86"/>
  <c r="H332" i="86"/>
  <c r="K332" i="86" s="1"/>
  <c r="H333" i="86"/>
  <c r="K333" i="86" s="1"/>
  <c r="H334" i="86"/>
  <c r="K334" i="86" s="1"/>
  <c r="H335" i="86"/>
  <c r="H336" i="86"/>
  <c r="K336" i="86" s="1"/>
  <c r="H337" i="86"/>
  <c r="K337" i="86" s="1"/>
  <c r="H338" i="86"/>
  <c r="H339" i="86"/>
  <c r="H340" i="86"/>
  <c r="K340" i="86" s="1"/>
  <c r="H341" i="86"/>
  <c r="K341" i="86" s="1"/>
  <c r="H342" i="86"/>
  <c r="K342" i="86" s="1"/>
  <c r="H343" i="86"/>
  <c r="H344" i="86"/>
  <c r="K344" i="86" s="1"/>
  <c r="H345" i="86"/>
  <c r="K345" i="86" s="1"/>
  <c r="H346" i="86"/>
  <c r="K346" i="86" s="1"/>
  <c r="H347" i="86"/>
  <c r="H348" i="86"/>
  <c r="K348" i="86" s="1"/>
  <c r="H349" i="86"/>
  <c r="K349" i="86" s="1"/>
  <c r="H350" i="86"/>
  <c r="K350" i="86" s="1"/>
  <c r="H351" i="86"/>
  <c r="H352" i="86"/>
  <c r="K352" i="86" s="1"/>
  <c r="H353" i="86"/>
  <c r="K353" i="86" s="1"/>
  <c r="H354" i="86"/>
  <c r="K354" i="86" s="1"/>
  <c r="H355" i="86"/>
  <c r="H356" i="86"/>
  <c r="K356" i="86" s="1"/>
  <c r="H357" i="86"/>
  <c r="K357" i="86" s="1"/>
  <c r="H358" i="86"/>
  <c r="K358" i="86" s="1"/>
  <c r="H359" i="86"/>
  <c r="H360" i="86"/>
  <c r="K360" i="86" s="1"/>
  <c r="H361" i="86"/>
  <c r="K361" i="86" s="1"/>
  <c r="H362" i="86"/>
  <c r="K362" i="86" s="1"/>
  <c r="H363" i="86"/>
  <c r="H364" i="86"/>
  <c r="K364" i="86" s="1"/>
  <c r="H365" i="86"/>
  <c r="K365" i="86" s="1"/>
  <c r="H366" i="86"/>
  <c r="H367" i="86"/>
  <c r="H368" i="86"/>
  <c r="K368" i="86" s="1"/>
  <c r="H369" i="86"/>
  <c r="K369" i="86" s="1"/>
  <c r="H370" i="86"/>
  <c r="K370" i="86" s="1"/>
  <c r="H371" i="86"/>
  <c r="H372" i="86"/>
  <c r="K372" i="86" s="1"/>
  <c r="H373" i="86"/>
  <c r="K373" i="86" s="1"/>
  <c r="H374" i="86"/>
  <c r="H375" i="86"/>
  <c r="H376" i="86"/>
  <c r="K376" i="86" s="1"/>
  <c r="K381" i="86"/>
  <c r="K385" i="86"/>
  <c r="K393" i="86"/>
  <c r="K397" i="86"/>
  <c r="K401" i="86"/>
  <c r="K409" i="86"/>
  <c r="K413" i="86"/>
  <c r="K417" i="86"/>
  <c r="K425" i="86"/>
  <c r="K429" i="86"/>
  <c r="K433" i="86"/>
  <c r="K441" i="86"/>
  <c r="K445" i="86"/>
  <c r="K449" i="86"/>
  <c r="K457" i="86"/>
  <c r="K461" i="86"/>
  <c r="K465" i="86"/>
  <c r="K473" i="86"/>
  <c r="K477" i="86"/>
  <c r="K481" i="86"/>
  <c r="K489" i="86"/>
  <c r="K493" i="86"/>
  <c r="K497" i="86"/>
  <c r="K505" i="86"/>
  <c r="K506" i="86"/>
  <c r="K508" i="86"/>
  <c r="K509" i="86"/>
  <c r="K513" i="86"/>
  <c r="H6" i="86"/>
  <c r="K6" i="86" s="1"/>
  <c r="K7" i="86"/>
  <c r="K11" i="86"/>
  <c r="K12" i="86"/>
  <c r="K15" i="86"/>
  <c r="K18" i="86"/>
  <c r="K19" i="86"/>
  <c r="K22" i="86"/>
  <c r="K23" i="86"/>
  <c r="K27" i="86"/>
  <c r="K30" i="86"/>
  <c r="K31" i="86"/>
  <c r="K35" i="86"/>
  <c r="K38" i="86"/>
  <c r="K39" i="86"/>
  <c r="K42" i="86"/>
  <c r="K43" i="86"/>
  <c r="K46" i="86"/>
  <c r="K47" i="86"/>
  <c r="K50" i="86"/>
  <c r="K51" i="86"/>
  <c r="K54" i="86"/>
  <c r="K55" i="86"/>
  <c r="K56" i="86"/>
  <c r="K59" i="86"/>
  <c r="K63" i="86"/>
  <c r="K66" i="86"/>
  <c r="K67" i="86"/>
  <c r="K71" i="86"/>
  <c r="K74" i="86"/>
  <c r="K75" i="86"/>
  <c r="K78" i="86"/>
  <c r="K79" i="86"/>
  <c r="K82" i="86"/>
  <c r="K83" i="86"/>
  <c r="K86" i="86"/>
  <c r="K87" i="86"/>
  <c r="K91" i="86"/>
  <c r="K94" i="86"/>
  <c r="K95" i="86"/>
  <c r="K99" i="86"/>
  <c r="K102" i="86"/>
  <c r="K103" i="86"/>
  <c r="K106" i="86"/>
  <c r="K107" i="86"/>
  <c r="K110" i="86"/>
  <c r="K111" i="86"/>
  <c r="K114" i="86"/>
  <c r="K115" i="86"/>
  <c r="K118" i="86"/>
  <c r="K119" i="86"/>
  <c r="K123" i="86"/>
  <c r="K127" i="86"/>
  <c r="K130" i="86"/>
  <c r="K131" i="86"/>
  <c r="K135" i="86"/>
  <c r="K138" i="86"/>
  <c r="K139" i="86"/>
  <c r="K142" i="86"/>
  <c r="K143" i="86"/>
  <c r="K146" i="86"/>
  <c r="K147" i="86"/>
  <c r="K150" i="86"/>
  <c r="K151" i="86"/>
  <c r="K155" i="86"/>
  <c r="K158" i="86"/>
  <c r="K159" i="86"/>
  <c r="K163" i="86"/>
  <c r="K166" i="86"/>
  <c r="K167" i="86"/>
  <c r="K170" i="86"/>
  <c r="K171" i="86"/>
  <c r="K174" i="86"/>
  <c r="K175" i="86"/>
  <c r="K178" i="86"/>
  <c r="K179" i="86"/>
  <c r="K182" i="86"/>
  <c r="K183" i="86"/>
  <c r="K184" i="86"/>
  <c r="K187" i="86"/>
  <c r="K191" i="86"/>
  <c r="K194" i="86"/>
  <c r="K195" i="86"/>
  <c r="K199" i="86"/>
  <c r="K202" i="86"/>
  <c r="K203" i="86"/>
  <c r="K206" i="86"/>
  <c r="K207" i="86"/>
  <c r="K210" i="86"/>
  <c r="K211" i="86"/>
  <c r="K214" i="86"/>
  <c r="K215" i="86"/>
  <c r="K219" i="86"/>
  <c r="K220" i="86"/>
  <c r="K222" i="86"/>
  <c r="K223" i="86"/>
  <c r="K227" i="86"/>
  <c r="K230" i="86"/>
  <c r="K231" i="86"/>
  <c r="K234" i="86"/>
  <c r="K235" i="86"/>
  <c r="K238" i="86"/>
  <c r="K239" i="86"/>
  <c r="K242" i="86"/>
  <c r="K243" i="86"/>
  <c r="K246" i="86"/>
  <c r="K247" i="86"/>
  <c r="K251" i="86"/>
  <c r="K255" i="86"/>
  <c r="K258" i="86"/>
  <c r="K259" i="86"/>
  <c r="K263" i="86"/>
  <c r="K266" i="86"/>
  <c r="K267" i="86"/>
  <c r="K270" i="86"/>
  <c r="K271" i="86"/>
  <c r="K274" i="86"/>
  <c r="K275" i="86"/>
  <c r="K278" i="86"/>
  <c r="K279" i="86"/>
  <c r="K283" i="86"/>
  <c r="K286" i="86"/>
  <c r="K287" i="86"/>
  <c r="K291" i="86"/>
  <c r="K295" i="86"/>
  <c r="K298" i="86"/>
  <c r="K299" i="86"/>
  <c r="K303" i="86"/>
  <c r="K306" i="86"/>
  <c r="K307" i="86"/>
  <c r="K311" i="86"/>
  <c r="K315" i="86"/>
  <c r="K319" i="86"/>
  <c r="K322" i="86"/>
  <c r="K323" i="86"/>
  <c r="K327" i="86"/>
  <c r="K330" i="86"/>
  <c r="K331" i="86"/>
  <c r="K335" i="86"/>
  <c r="K338" i="86"/>
  <c r="K339" i="86"/>
  <c r="K343" i="86"/>
  <c r="K347" i="86"/>
  <c r="K351" i="86"/>
  <c r="K355" i="86"/>
  <c r="K359" i="86"/>
  <c r="K363" i="86"/>
  <c r="K366" i="86"/>
  <c r="K367" i="86"/>
  <c r="K371" i="86"/>
  <c r="K374" i="86"/>
  <c r="K375" i="86"/>
  <c r="K377" i="86"/>
  <c r="K378" i="86"/>
  <c r="K382" i="86"/>
  <c r="K386" i="86"/>
  <c r="K390" i="86"/>
  <c r="K394" i="86"/>
  <c r="K398" i="86"/>
  <c r="K402" i="86"/>
  <c r="K406" i="86"/>
  <c r="K410" i="86"/>
  <c r="K414" i="86"/>
  <c r="K418" i="86"/>
  <c r="K422" i="86"/>
  <c r="K426" i="86"/>
  <c r="K430" i="86"/>
  <c r="K434" i="86"/>
  <c r="K438" i="86"/>
  <c r="K442" i="86"/>
  <c r="K446" i="86"/>
  <c r="K450" i="86"/>
  <c r="K454" i="86"/>
  <c r="K458" i="86"/>
  <c r="K462" i="86"/>
  <c r="K466" i="86"/>
  <c r="K470" i="86"/>
  <c r="K471" i="86"/>
  <c r="K474" i="86"/>
  <c r="K478" i="86"/>
  <c r="K482" i="86"/>
  <c r="K483" i="86"/>
  <c r="K486" i="86"/>
  <c r="K490" i="86"/>
  <c r="K494" i="86"/>
  <c r="K498" i="86"/>
  <c r="K502" i="86"/>
  <c r="K507" i="86"/>
  <c r="K510" i="86"/>
  <c r="L6" i="86"/>
  <c r="F1394" i="86"/>
  <c r="G1394" i="86"/>
  <c r="I1394" i="86"/>
  <c r="J1394" i="86"/>
  <c r="E1394" i="86"/>
  <c r="K517" i="86" l="1"/>
  <c r="K518" i="86"/>
  <c r="K519" i="86"/>
  <c r="K520" i="86"/>
  <c r="K521" i="86"/>
  <c r="K522" i="86"/>
  <c r="K523" i="86"/>
  <c r="K524" i="86"/>
  <c r="K525" i="86"/>
  <c r="K526" i="86"/>
  <c r="K527" i="86"/>
  <c r="K528" i="86"/>
  <c r="K529" i="86"/>
  <c r="K530" i="86"/>
  <c r="K531" i="86"/>
  <c r="K532" i="86"/>
  <c r="K533" i="86"/>
  <c r="K534" i="86"/>
  <c r="K535" i="86"/>
  <c r="K536" i="86"/>
  <c r="K537" i="86"/>
  <c r="K538" i="86"/>
  <c r="K539" i="86"/>
  <c r="K540" i="86"/>
  <c r="K541" i="86"/>
  <c r="K542" i="86"/>
  <c r="K543" i="86"/>
  <c r="K544" i="86"/>
  <c r="K545" i="86"/>
  <c r="K546" i="86"/>
  <c r="K547" i="86"/>
  <c r="K548" i="86"/>
  <c r="K549" i="86"/>
  <c r="K550" i="86"/>
  <c r="K551" i="86"/>
  <c r="K552" i="86"/>
  <c r="K553" i="86"/>
  <c r="K554" i="86"/>
  <c r="K555" i="86"/>
  <c r="K556" i="86"/>
  <c r="K557" i="86"/>
  <c r="K558" i="86"/>
  <c r="K559" i="86"/>
  <c r="K560" i="86"/>
  <c r="K561" i="86"/>
  <c r="K562" i="86"/>
  <c r="K563" i="86"/>
  <c r="K564" i="86"/>
  <c r="K565" i="86"/>
  <c r="K566" i="86"/>
  <c r="K567" i="86"/>
  <c r="K568" i="86"/>
  <c r="K569" i="86"/>
  <c r="K570" i="86"/>
  <c r="K571" i="86"/>
  <c r="K572" i="86"/>
  <c r="K1144" i="86"/>
  <c r="K1145" i="86"/>
  <c r="K1146" i="86"/>
  <c r="K1147" i="86"/>
  <c r="K1148" i="86"/>
  <c r="K1149" i="86"/>
  <c r="K1150" i="86"/>
  <c r="K1151" i="86"/>
  <c r="K1152" i="86"/>
  <c r="K1153" i="86"/>
  <c r="K1154" i="86"/>
  <c r="K1155" i="86"/>
  <c r="K1156" i="86"/>
  <c r="K1157" i="86"/>
  <c r="K1158" i="86"/>
  <c r="K1159" i="86"/>
  <c r="K1160" i="86"/>
  <c r="K1161" i="86"/>
  <c r="K1162" i="86"/>
  <c r="K1163" i="86"/>
  <c r="K1164" i="86"/>
  <c r="K1165" i="86"/>
  <c r="K1166" i="86"/>
  <c r="K1167" i="86"/>
  <c r="K1168" i="86"/>
  <c r="K1169" i="86"/>
  <c r="K1170" i="86"/>
  <c r="K1171" i="86"/>
  <c r="K1172" i="86"/>
  <c r="K1173" i="86"/>
  <c r="K1174" i="86"/>
  <c r="K1175" i="86"/>
  <c r="K1176" i="86"/>
  <c r="K1177" i="86"/>
  <c r="K1178" i="86"/>
  <c r="K1179" i="86"/>
  <c r="K1180" i="86"/>
  <c r="K1181" i="86"/>
  <c r="K1182" i="86"/>
  <c r="K1183" i="86"/>
  <c r="K1184" i="86"/>
  <c r="K1185" i="86"/>
  <c r="K1186" i="86"/>
  <c r="K1187" i="86"/>
  <c r="K1188" i="86"/>
  <c r="K1189" i="86"/>
  <c r="K1190" i="86"/>
  <c r="K1191" i="86"/>
  <c r="K1192" i="86"/>
  <c r="K1193" i="86"/>
  <c r="K1194" i="86"/>
  <c r="K1195" i="86"/>
  <c r="K1196" i="86"/>
  <c r="K1197" i="86"/>
  <c r="K1198" i="86"/>
  <c r="K1199" i="86"/>
  <c r="K1200" i="86"/>
  <c r="K1201" i="86"/>
  <c r="K1202" i="86"/>
  <c r="K1203" i="86"/>
  <c r="K1204" i="86"/>
  <c r="K1205" i="86"/>
  <c r="K1206" i="86"/>
  <c r="K1207" i="86"/>
  <c r="K1208" i="86"/>
  <c r="K1209" i="86"/>
  <c r="K1210" i="86"/>
  <c r="K1211" i="86"/>
  <c r="K1212" i="86"/>
  <c r="K1213" i="86"/>
  <c r="K1214" i="86"/>
  <c r="K1215" i="86"/>
  <c r="K1216" i="86"/>
  <c r="K1217" i="86"/>
  <c r="K1218" i="86"/>
  <c r="K1219" i="86"/>
  <c r="K1220" i="86"/>
  <c r="K1221" i="86"/>
  <c r="K1222" i="86"/>
  <c r="K1223" i="86"/>
  <c r="K1224" i="86"/>
  <c r="K1225" i="86"/>
  <c r="K1226" i="86"/>
  <c r="K1227" i="86"/>
  <c r="K1228" i="86"/>
  <c r="K1229" i="86"/>
  <c r="K1230" i="86"/>
  <c r="K1231" i="86"/>
  <c r="K1232" i="86"/>
  <c r="K1233" i="86"/>
  <c r="K1234" i="86"/>
  <c r="K1235" i="86"/>
  <c r="K1236" i="86"/>
  <c r="K1237" i="86"/>
  <c r="K1238" i="86"/>
  <c r="K1239" i="86"/>
  <c r="K1240" i="86"/>
  <c r="K1241" i="86"/>
  <c r="K1242" i="86"/>
  <c r="K1243" i="86"/>
  <c r="K1244" i="86"/>
  <c r="K1245" i="86"/>
  <c r="K1246" i="86"/>
  <c r="K1247" i="86"/>
  <c r="K1248" i="86"/>
  <c r="K1249" i="86"/>
  <c r="K1250" i="86"/>
  <c r="K1251" i="86"/>
  <c r="K1252" i="86"/>
  <c r="K1253" i="86"/>
  <c r="K1254" i="86"/>
  <c r="K1255" i="86"/>
  <c r="K1256" i="86"/>
  <c r="K1257" i="86"/>
  <c r="K1258" i="86"/>
  <c r="K1259" i="86"/>
  <c r="K1260" i="86"/>
  <c r="K1261" i="86"/>
  <c r="K1262" i="86"/>
  <c r="K1263" i="86"/>
  <c r="K1264" i="86"/>
  <c r="K1265" i="86"/>
  <c r="K1266" i="86"/>
  <c r="K1267" i="86"/>
  <c r="K1268" i="86"/>
  <c r="K1269" i="86"/>
  <c r="K1270" i="86"/>
  <c r="K1271" i="86"/>
  <c r="K1272" i="86"/>
  <c r="K1273" i="86"/>
  <c r="K1274" i="86"/>
  <c r="K1275" i="86"/>
  <c r="K1276" i="86"/>
  <c r="K1277" i="86"/>
  <c r="K1278" i="86"/>
  <c r="K1279" i="86"/>
  <c r="K1280" i="86"/>
  <c r="K1281" i="86"/>
  <c r="K1282" i="86"/>
  <c r="K1283" i="86"/>
  <c r="K1284" i="86"/>
  <c r="K1285" i="86"/>
  <c r="K1286" i="86"/>
  <c r="K1287" i="86"/>
  <c r="K1288" i="86"/>
  <c r="K1289" i="86"/>
  <c r="K1290" i="86"/>
  <c r="K1291" i="86"/>
  <c r="K1292" i="86"/>
  <c r="K1293" i="86"/>
  <c r="K1294" i="86"/>
  <c r="K1295" i="86"/>
  <c r="K1296" i="86"/>
  <c r="K1297" i="86"/>
  <c r="K1298" i="86"/>
  <c r="K1299" i="86"/>
  <c r="K1300" i="86"/>
  <c r="K1301" i="86"/>
  <c r="K1302" i="86"/>
  <c r="K1303" i="86"/>
  <c r="K1304" i="86"/>
  <c r="K1305" i="86"/>
  <c r="K1306" i="86"/>
  <c r="K1307" i="86"/>
  <c r="K1308" i="86"/>
  <c r="K1309" i="86"/>
  <c r="K1310" i="86"/>
  <c r="K1311" i="86"/>
  <c r="K1312" i="86"/>
  <c r="K1313" i="86"/>
  <c r="K1314" i="86"/>
  <c r="K1315" i="86"/>
  <c r="K1316" i="86"/>
  <c r="K1317" i="86"/>
  <c r="K1318" i="86"/>
  <c r="K1319" i="86"/>
  <c r="K1320" i="86"/>
  <c r="K1321" i="86"/>
  <c r="K1322" i="86"/>
  <c r="K1323" i="86"/>
  <c r="K1324" i="86"/>
  <c r="K1325" i="86"/>
  <c r="K1326" i="86"/>
  <c r="K1327" i="86"/>
  <c r="K1328" i="86"/>
  <c r="K1329" i="86"/>
  <c r="K1330" i="86"/>
  <c r="K1331" i="86"/>
  <c r="K1332" i="86"/>
  <c r="K1333" i="86"/>
  <c r="K1334" i="86"/>
  <c r="K1335" i="86"/>
  <c r="K1336" i="86"/>
  <c r="K1337" i="86"/>
  <c r="K1338" i="86"/>
  <c r="K1339" i="86"/>
  <c r="K1340" i="86"/>
  <c r="K1341" i="86"/>
  <c r="K1342" i="86"/>
  <c r="K1343" i="86"/>
  <c r="K1344" i="86"/>
  <c r="K1345" i="86"/>
  <c r="K1346" i="86"/>
  <c r="K1347" i="86"/>
  <c r="K1348" i="86"/>
  <c r="K1349" i="86"/>
  <c r="K1350" i="86"/>
  <c r="K1351" i="86"/>
  <c r="K1352" i="86"/>
  <c r="K1353" i="86"/>
  <c r="K1354" i="86"/>
  <c r="K1355" i="86"/>
  <c r="K1356" i="86"/>
  <c r="K1357" i="86"/>
  <c r="K1358" i="86"/>
  <c r="K1359" i="86"/>
  <c r="K1360" i="86"/>
  <c r="K1361" i="86"/>
  <c r="K1362" i="86"/>
  <c r="K1363" i="86"/>
  <c r="K1364" i="86"/>
  <c r="K1365" i="86"/>
  <c r="K1366" i="86"/>
  <c r="K1367" i="86"/>
  <c r="K1368" i="86"/>
  <c r="K1369" i="86"/>
  <c r="K1370" i="86"/>
  <c r="K1371" i="86"/>
  <c r="K1372" i="86"/>
  <c r="K1373" i="86"/>
  <c r="K1374" i="86"/>
  <c r="K1375" i="86"/>
  <c r="K1376" i="86"/>
  <c r="K1377" i="86"/>
  <c r="K1378" i="86"/>
  <c r="K1379" i="86"/>
  <c r="K1380" i="86"/>
  <c r="K1381" i="86"/>
  <c r="K1382" i="86"/>
  <c r="K1383" i="86"/>
  <c r="K1384" i="86"/>
  <c r="K1385" i="86"/>
  <c r="K1386" i="86"/>
  <c r="K1387" i="86"/>
  <c r="K1388" i="86"/>
  <c r="K1389" i="86"/>
  <c r="K1390" i="86"/>
  <c r="K1391" i="86"/>
  <c r="K1392" i="86"/>
  <c r="K1393" i="86"/>
  <c r="K9" i="85"/>
  <c r="K17" i="85"/>
  <c r="L1397" i="86"/>
  <c r="J3" i="86"/>
  <c r="E3" i="86"/>
  <c r="K10" i="85"/>
  <c r="K11" i="85"/>
  <c r="K13" i="85"/>
  <c r="K14" i="85"/>
  <c r="K18" i="85"/>
  <c r="K22" i="85"/>
  <c r="K26" i="85"/>
  <c r="K27" i="85"/>
  <c r="K30" i="85"/>
  <c r="K33" i="85"/>
  <c r="K34" i="85"/>
  <c r="K38" i="85"/>
  <c r="K41" i="85"/>
  <c r="K42" i="85"/>
  <c r="K46" i="85"/>
  <c r="K50" i="85"/>
  <c r="K54" i="85"/>
  <c r="K58" i="85"/>
  <c r="K62" i="85"/>
  <c r="K66" i="85"/>
  <c r="K70" i="85"/>
  <c r="K74" i="85"/>
  <c r="K78" i="85"/>
  <c r="K82" i="85"/>
  <c r="K86" i="85"/>
  <c r="K90" i="85"/>
  <c r="K94" i="85"/>
  <c r="L178" i="85"/>
  <c r="J3" i="85"/>
  <c r="E3" i="85"/>
  <c r="L166" i="85"/>
  <c r="K166" i="85"/>
  <c r="L165" i="85"/>
  <c r="L164" i="85"/>
  <c r="K164" i="85"/>
  <c r="L163" i="85"/>
  <c r="L162" i="85"/>
  <c r="K162" i="85"/>
  <c r="L161" i="85"/>
  <c r="L94" i="85"/>
  <c r="L93" i="85"/>
  <c r="K93" i="85"/>
  <c r="L92" i="85"/>
  <c r="K92" i="85"/>
  <c r="L91" i="85"/>
  <c r="K91" i="85"/>
  <c r="L90" i="85"/>
  <c r="L89" i="85"/>
  <c r="K89" i="85"/>
  <c r="L88" i="85"/>
  <c r="K88" i="85"/>
  <c r="L87" i="85"/>
  <c r="K87" i="85"/>
  <c r="L86" i="85"/>
  <c r="L85" i="85"/>
  <c r="K85" i="85"/>
  <c r="L84" i="85"/>
  <c r="K84" i="85"/>
  <c r="L83" i="85"/>
  <c r="K83" i="85"/>
  <c r="L82" i="85"/>
  <c r="L81" i="85"/>
  <c r="K81" i="85"/>
  <c r="L80" i="85"/>
  <c r="K80" i="85"/>
  <c r="L79" i="85"/>
  <c r="K79" i="85"/>
  <c r="L78" i="85"/>
  <c r="L77" i="85"/>
  <c r="K77" i="85"/>
  <c r="L76" i="85"/>
  <c r="K76" i="85"/>
  <c r="L75" i="85"/>
  <c r="K75" i="85"/>
  <c r="L74" i="85"/>
  <c r="L73" i="85"/>
  <c r="K73" i="85"/>
  <c r="L72" i="85"/>
  <c r="K72" i="85"/>
  <c r="L71" i="85"/>
  <c r="K71" i="85"/>
  <c r="L70" i="85"/>
  <c r="L69" i="85"/>
  <c r="K69" i="85"/>
  <c r="L68" i="85"/>
  <c r="K68" i="85"/>
  <c r="L67" i="85"/>
  <c r="K67" i="85"/>
  <c r="L66" i="85"/>
  <c r="L65" i="85"/>
  <c r="K65" i="85"/>
  <c r="L64" i="85"/>
  <c r="K64" i="85"/>
  <c r="L63" i="85"/>
  <c r="K63" i="85"/>
  <c r="L62" i="85"/>
  <c r="L61" i="85"/>
  <c r="K61" i="85"/>
  <c r="L60" i="85"/>
  <c r="K60" i="85"/>
  <c r="L59" i="85"/>
  <c r="K59" i="85"/>
  <c r="L58" i="85"/>
  <c r="L57" i="85"/>
  <c r="K57" i="85"/>
  <c r="L56" i="85"/>
  <c r="K56" i="85"/>
  <c r="L55" i="85"/>
  <c r="K55" i="85"/>
  <c r="L54" i="85"/>
  <c r="L53" i="85"/>
  <c r="K53" i="85"/>
  <c r="L52" i="85"/>
  <c r="K52" i="85"/>
  <c r="L51" i="85"/>
  <c r="K51" i="85"/>
  <c r="L50" i="85"/>
  <c r="L49" i="85"/>
  <c r="K49" i="85"/>
  <c r="L48" i="85"/>
  <c r="K48" i="85"/>
  <c r="L47" i="85"/>
  <c r="K47" i="85"/>
  <c r="L46" i="85"/>
  <c r="L45" i="85"/>
  <c r="K45" i="85"/>
  <c r="L44" i="85"/>
  <c r="K44" i="85"/>
  <c r="L43" i="85"/>
  <c r="K43" i="85"/>
  <c r="L42" i="85"/>
  <c r="L41" i="85"/>
  <c r="L40" i="85"/>
  <c r="K40" i="85"/>
  <c r="L39" i="85"/>
  <c r="K39" i="85"/>
  <c r="L38" i="85"/>
  <c r="L37" i="85"/>
  <c r="K37" i="85"/>
  <c r="L36" i="85"/>
  <c r="K36" i="85"/>
  <c r="L35" i="85"/>
  <c r="K35" i="85"/>
  <c r="L34" i="85"/>
  <c r="L33" i="85"/>
  <c r="L32" i="85"/>
  <c r="K32" i="85"/>
  <c r="L31" i="85"/>
  <c r="K31" i="85"/>
  <c r="L30" i="85"/>
  <c r="L29" i="85"/>
  <c r="K29" i="85"/>
  <c r="L28" i="85"/>
  <c r="K28" i="85"/>
  <c r="L27" i="85"/>
  <c r="L26" i="85"/>
  <c r="L25" i="85"/>
  <c r="K25" i="85"/>
  <c r="L24" i="85"/>
  <c r="K24" i="85"/>
  <c r="L23" i="85"/>
  <c r="K23" i="85"/>
  <c r="L22" i="85"/>
  <c r="L21" i="85"/>
  <c r="K21" i="85"/>
  <c r="L20" i="85"/>
  <c r="K20" i="85"/>
  <c r="L19" i="85"/>
  <c r="K19" i="85"/>
  <c r="L18" i="85"/>
  <c r="L17" i="85"/>
  <c r="L16" i="85"/>
  <c r="K16" i="85"/>
  <c r="L15" i="85"/>
  <c r="K15" i="85"/>
  <c r="L14" i="85"/>
  <c r="L13" i="85"/>
  <c r="L12" i="85"/>
  <c r="K12" i="85"/>
  <c r="L11" i="85"/>
  <c r="L10" i="85"/>
  <c r="L9" i="85"/>
  <c r="L8" i="85"/>
  <c r="K8" i="85"/>
  <c r="L7" i="85"/>
  <c r="K7" i="85"/>
  <c r="L6" i="85"/>
  <c r="L820" i="82"/>
  <c r="I821" i="82"/>
  <c r="I820" i="82"/>
  <c r="K820" i="82" s="1"/>
  <c r="K1385" i="80"/>
  <c r="L1385" i="80"/>
  <c r="K1402" i="80"/>
  <c r="L127" i="83"/>
  <c r="L128" i="83" s="1"/>
  <c r="I4" i="84"/>
  <c r="L1500" i="82"/>
  <c r="E1497" i="82"/>
  <c r="L7" i="82"/>
  <c r="L8" i="82"/>
  <c r="L9" i="82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L58" i="82"/>
  <c r="L59" i="82"/>
  <c r="L60" i="82"/>
  <c r="L61" i="82"/>
  <c r="L62" i="82"/>
  <c r="L63" i="82"/>
  <c r="L64" i="82"/>
  <c r="L65" i="82"/>
  <c r="L66" i="82"/>
  <c r="L67" i="82"/>
  <c r="L68" i="82"/>
  <c r="L69" i="82"/>
  <c r="L70" i="82"/>
  <c r="L71" i="82"/>
  <c r="L72" i="82"/>
  <c r="L73" i="82"/>
  <c r="L74" i="82"/>
  <c r="L75" i="82"/>
  <c r="L76" i="82"/>
  <c r="L77" i="82"/>
  <c r="L78" i="82"/>
  <c r="L79" i="82"/>
  <c r="L80" i="82"/>
  <c r="L81" i="82"/>
  <c r="L82" i="82"/>
  <c r="L83" i="82"/>
  <c r="L84" i="82"/>
  <c r="L85" i="82"/>
  <c r="L86" i="82"/>
  <c r="L87" i="82"/>
  <c r="L88" i="82"/>
  <c r="L89" i="82"/>
  <c r="L90" i="82"/>
  <c r="L91" i="82"/>
  <c r="L92" i="82"/>
  <c r="L93" i="82"/>
  <c r="L94" i="82"/>
  <c r="L95" i="82"/>
  <c r="L96" i="82"/>
  <c r="L97" i="82"/>
  <c r="L98" i="82"/>
  <c r="L99" i="82"/>
  <c r="L100" i="82"/>
  <c r="L101" i="82"/>
  <c r="L102" i="82"/>
  <c r="L103" i="82"/>
  <c r="L104" i="82"/>
  <c r="L105" i="82"/>
  <c r="L106" i="82"/>
  <c r="L107" i="82"/>
  <c r="L108" i="82"/>
  <c r="L109" i="82"/>
  <c r="L110" i="82"/>
  <c r="L111" i="82"/>
  <c r="L112" i="82"/>
  <c r="L113" i="82"/>
  <c r="L114" i="82"/>
  <c r="L115" i="82"/>
  <c r="L116" i="82"/>
  <c r="L117" i="82"/>
  <c r="L118" i="82"/>
  <c r="L119" i="82"/>
  <c r="L120" i="82"/>
  <c r="L121" i="82"/>
  <c r="L122" i="82"/>
  <c r="L123" i="82"/>
  <c r="L124" i="82"/>
  <c r="L125" i="82"/>
  <c r="L126" i="82"/>
  <c r="L127" i="82"/>
  <c r="L128" i="82"/>
  <c r="L129" i="82"/>
  <c r="L130" i="82"/>
  <c r="L131" i="82"/>
  <c r="L132" i="82"/>
  <c r="L133" i="82"/>
  <c r="L134" i="82"/>
  <c r="L135" i="82"/>
  <c r="L136" i="82"/>
  <c r="L137" i="82"/>
  <c r="L138" i="82"/>
  <c r="L139" i="82"/>
  <c r="L140" i="82"/>
  <c r="L141" i="82"/>
  <c r="L142" i="82"/>
  <c r="L143" i="82"/>
  <c r="L144" i="82"/>
  <c r="L145" i="82"/>
  <c r="L146" i="82"/>
  <c r="L147" i="82"/>
  <c r="L148" i="82"/>
  <c r="L149" i="82"/>
  <c r="L150" i="82"/>
  <c r="L151" i="82"/>
  <c r="L152" i="82"/>
  <c r="L153" i="82"/>
  <c r="L154" i="82"/>
  <c r="L155" i="82"/>
  <c r="L156" i="82"/>
  <c r="L157" i="82"/>
  <c r="L158" i="82"/>
  <c r="L159" i="82"/>
  <c r="L160" i="82"/>
  <c r="L161" i="82"/>
  <c r="L162" i="82"/>
  <c r="L163" i="82"/>
  <c r="L164" i="82"/>
  <c r="L165" i="82"/>
  <c r="L166" i="82"/>
  <c r="L167" i="82"/>
  <c r="L168" i="82"/>
  <c r="L169" i="82"/>
  <c r="L170" i="82"/>
  <c r="L171" i="82"/>
  <c r="L172" i="82"/>
  <c r="L173" i="82"/>
  <c r="L174" i="82"/>
  <c r="L175" i="82"/>
  <c r="L176" i="82"/>
  <c r="L177" i="82"/>
  <c r="L178" i="82"/>
  <c r="L179" i="82"/>
  <c r="L180" i="82"/>
  <c r="L181" i="82"/>
  <c r="L182" i="82"/>
  <c r="L183" i="82"/>
  <c r="L184" i="82"/>
  <c r="L185" i="82"/>
  <c r="L186" i="82"/>
  <c r="L187" i="82"/>
  <c r="L188" i="82"/>
  <c r="L189" i="82"/>
  <c r="L190" i="82"/>
  <c r="L191" i="82"/>
  <c r="L192" i="82"/>
  <c r="L193" i="82"/>
  <c r="L194" i="82"/>
  <c r="L195" i="82"/>
  <c r="L196" i="82"/>
  <c r="L197" i="82"/>
  <c r="L198" i="82"/>
  <c r="L199" i="82"/>
  <c r="L200" i="82"/>
  <c r="L201" i="82"/>
  <c r="L202" i="82"/>
  <c r="L203" i="82"/>
  <c r="L204" i="82"/>
  <c r="L205" i="82"/>
  <c r="L206" i="82"/>
  <c r="L207" i="82"/>
  <c r="L208" i="82"/>
  <c r="L209" i="82"/>
  <c r="L210" i="82"/>
  <c r="L211" i="82"/>
  <c r="L212" i="82"/>
  <c r="L213" i="82"/>
  <c r="L214" i="82"/>
  <c r="L215" i="82"/>
  <c r="L216" i="82"/>
  <c r="L217" i="82"/>
  <c r="L218" i="82"/>
  <c r="L219" i="82"/>
  <c r="L220" i="82"/>
  <c r="L221" i="82"/>
  <c r="L222" i="82"/>
  <c r="L223" i="82"/>
  <c r="L224" i="82"/>
  <c r="L225" i="82"/>
  <c r="L226" i="82"/>
  <c r="L227" i="82"/>
  <c r="L228" i="82"/>
  <c r="L229" i="82"/>
  <c r="L230" i="82"/>
  <c r="L231" i="82"/>
  <c r="L232" i="82"/>
  <c r="L233" i="82"/>
  <c r="L234" i="82"/>
  <c r="L235" i="82"/>
  <c r="L236" i="82"/>
  <c r="L237" i="82"/>
  <c r="L238" i="82"/>
  <c r="L239" i="82"/>
  <c r="L240" i="82"/>
  <c r="L241" i="82"/>
  <c r="L242" i="82"/>
  <c r="L243" i="82"/>
  <c r="L244" i="82"/>
  <c r="L245" i="82"/>
  <c r="L246" i="82"/>
  <c r="L247" i="82"/>
  <c r="L248" i="82"/>
  <c r="L249" i="82"/>
  <c r="L250" i="82"/>
  <c r="L251" i="82"/>
  <c r="L252" i="82"/>
  <c r="L253" i="82"/>
  <c r="L254" i="82"/>
  <c r="L255" i="82"/>
  <c r="L256" i="82"/>
  <c r="L257" i="82"/>
  <c r="L258" i="82"/>
  <c r="L259" i="82"/>
  <c r="L260" i="82"/>
  <c r="L261" i="82"/>
  <c r="L262" i="82"/>
  <c r="L263" i="82"/>
  <c r="L264" i="82"/>
  <c r="L265" i="82"/>
  <c r="L266" i="82"/>
  <c r="L267" i="82"/>
  <c r="L268" i="82"/>
  <c r="L269" i="82"/>
  <c r="L270" i="82"/>
  <c r="L271" i="82"/>
  <c r="L272" i="82"/>
  <c r="L273" i="82"/>
  <c r="L274" i="82"/>
  <c r="L275" i="82"/>
  <c r="L276" i="82"/>
  <c r="L277" i="82"/>
  <c r="L278" i="82"/>
  <c r="L279" i="82"/>
  <c r="L280" i="82"/>
  <c r="L281" i="82"/>
  <c r="L282" i="82"/>
  <c r="L283" i="82"/>
  <c r="L284" i="82"/>
  <c r="L285" i="82"/>
  <c r="L286" i="82"/>
  <c r="L287" i="82"/>
  <c r="L288" i="82"/>
  <c r="L289" i="82"/>
  <c r="L290" i="82"/>
  <c r="L291" i="82"/>
  <c r="L292" i="82"/>
  <c r="L293" i="82"/>
  <c r="L294" i="82"/>
  <c r="L295" i="82"/>
  <c r="L296" i="82"/>
  <c r="L297" i="82"/>
  <c r="L298" i="82"/>
  <c r="L299" i="82"/>
  <c r="L300" i="82"/>
  <c r="L301" i="82"/>
  <c r="L302" i="82"/>
  <c r="L303" i="82"/>
  <c r="L304" i="82"/>
  <c r="L305" i="82"/>
  <c r="L306" i="82"/>
  <c r="L307" i="82"/>
  <c r="L308" i="82"/>
  <c r="L309" i="82"/>
  <c r="L310" i="82"/>
  <c r="L311" i="82"/>
  <c r="L312" i="82"/>
  <c r="L313" i="82"/>
  <c r="L314" i="82"/>
  <c r="L315" i="82"/>
  <c r="L316" i="82"/>
  <c r="L317" i="82"/>
  <c r="L318" i="82"/>
  <c r="L319" i="82"/>
  <c r="L320" i="82"/>
  <c r="L321" i="82"/>
  <c r="L322" i="82"/>
  <c r="L323" i="82"/>
  <c r="L324" i="82"/>
  <c r="L325" i="82"/>
  <c r="L326" i="82"/>
  <c r="L327" i="82"/>
  <c r="L328" i="82"/>
  <c r="L329" i="82"/>
  <c r="L330" i="82"/>
  <c r="L331" i="82"/>
  <c r="L332" i="82"/>
  <c r="L333" i="82"/>
  <c r="L334" i="82"/>
  <c r="L335" i="82"/>
  <c r="L336" i="82"/>
  <c r="L337" i="82"/>
  <c r="L338" i="82"/>
  <c r="L339" i="82"/>
  <c r="L340" i="82"/>
  <c r="L341" i="82"/>
  <c r="L342" i="82"/>
  <c r="L343" i="82"/>
  <c r="L344" i="82"/>
  <c r="L345" i="82"/>
  <c r="L346" i="82"/>
  <c r="L347" i="82"/>
  <c r="L348" i="82"/>
  <c r="L349" i="82"/>
  <c r="L350" i="82"/>
  <c r="L351" i="82"/>
  <c r="L352" i="82"/>
  <c r="L353" i="82"/>
  <c r="L354" i="82"/>
  <c r="L355" i="82"/>
  <c r="L356" i="82"/>
  <c r="L357" i="82"/>
  <c r="L358" i="82"/>
  <c r="L359" i="82"/>
  <c r="L360" i="82"/>
  <c r="L361" i="82"/>
  <c r="L362" i="82"/>
  <c r="L363" i="82"/>
  <c r="L364" i="82"/>
  <c r="L365" i="82"/>
  <c r="L366" i="82"/>
  <c r="L367" i="82"/>
  <c r="L368" i="82"/>
  <c r="L369" i="82"/>
  <c r="L370" i="82"/>
  <c r="L371" i="82"/>
  <c r="L372" i="82"/>
  <c r="L373" i="82"/>
  <c r="L374" i="82"/>
  <c r="L375" i="82"/>
  <c r="L376" i="82"/>
  <c r="L377" i="82"/>
  <c r="L378" i="82"/>
  <c r="L379" i="82"/>
  <c r="L380" i="82"/>
  <c r="L381" i="82"/>
  <c r="L382" i="82"/>
  <c r="L383" i="82"/>
  <c r="L384" i="82"/>
  <c r="L385" i="82"/>
  <c r="L386" i="82"/>
  <c r="L387" i="82"/>
  <c r="L388" i="82"/>
  <c r="L389" i="82"/>
  <c r="L390" i="82"/>
  <c r="L391" i="82"/>
  <c r="L392" i="82"/>
  <c r="L393" i="82"/>
  <c r="L394" i="82"/>
  <c r="L395" i="82"/>
  <c r="L396" i="82"/>
  <c r="L397" i="82"/>
  <c r="L398" i="82"/>
  <c r="L399" i="82"/>
  <c r="L400" i="82"/>
  <c r="L401" i="82"/>
  <c r="L402" i="82"/>
  <c r="L403" i="82"/>
  <c r="L404" i="82"/>
  <c r="L405" i="82"/>
  <c r="L406" i="82"/>
  <c r="L407" i="82"/>
  <c r="L408" i="82"/>
  <c r="L409" i="82"/>
  <c r="L410" i="82"/>
  <c r="L411" i="82"/>
  <c r="L412" i="82"/>
  <c r="L413" i="82"/>
  <c r="L414" i="82"/>
  <c r="L415" i="82"/>
  <c r="L416" i="82"/>
  <c r="L417" i="82"/>
  <c r="L418" i="82"/>
  <c r="L419" i="82"/>
  <c r="L420" i="82"/>
  <c r="L421" i="82"/>
  <c r="L422" i="82"/>
  <c r="L423" i="82"/>
  <c r="L424" i="82"/>
  <c r="L425" i="82"/>
  <c r="L426" i="82"/>
  <c r="L427" i="82"/>
  <c r="L428" i="82"/>
  <c r="L429" i="82"/>
  <c r="L430" i="82"/>
  <c r="L431" i="82"/>
  <c r="L432" i="82"/>
  <c r="L433" i="82"/>
  <c r="L434" i="82"/>
  <c r="L435" i="82"/>
  <c r="L436" i="82"/>
  <c r="L437" i="82"/>
  <c r="L438" i="82"/>
  <c r="L439" i="82"/>
  <c r="L440" i="82"/>
  <c r="L441" i="82"/>
  <c r="L442" i="82"/>
  <c r="L443" i="82"/>
  <c r="L444" i="82"/>
  <c r="L445" i="82"/>
  <c r="L446" i="82"/>
  <c r="L447" i="82"/>
  <c r="L448" i="82"/>
  <c r="L449" i="82"/>
  <c r="L450" i="82"/>
  <c r="L451" i="82"/>
  <c r="L452" i="82"/>
  <c r="L453" i="82"/>
  <c r="L454" i="82"/>
  <c r="L455" i="82"/>
  <c r="L456" i="82"/>
  <c r="L457" i="82"/>
  <c r="L458" i="82"/>
  <c r="L459" i="82"/>
  <c r="L460" i="82"/>
  <c r="L461" i="82"/>
  <c r="L462" i="82"/>
  <c r="L463" i="82"/>
  <c r="L464" i="82"/>
  <c r="L465" i="82"/>
  <c r="L466" i="82"/>
  <c r="L467" i="82"/>
  <c r="L468" i="82"/>
  <c r="L469" i="82"/>
  <c r="L470" i="82"/>
  <c r="L471" i="82"/>
  <c r="L472" i="82"/>
  <c r="L473" i="82"/>
  <c r="L474" i="82"/>
  <c r="L475" i="82"/>
  <c r="L476" i="82"/>
  <c r="L477" i="82"/>
  <c r="L478" i="82"/>
  <c r="L479" i="82"/>
  <c r="L480" i="82"/>
  <c r="L481" i="82"/>
  <c r="L482" i="82"/>
  <c r="L483" i="82"/>
  <c r="L484" i="82"/>
  <c r="L485" i="82"/>
  <c r="L486" i="82"/>
  <c r="L487" i="82"/>
  <c r="L488" i="82"/>
  <c r="L489" i="82"/>
  <c r="L490" i="82"/>
  <c r="L491" i="82"/>
  <c r="L492" i="82"/>
  <c r="L493" i="82"/>
  <c r="L494" i="82"/>
  <c r="L495" i="82"/>
  <c r="L496" i="82"/>
  <c r="L497" i="82"/>
  <c r="L498" i="82"/>
  <c r="L499" i="82"/>
  <c r="L500" i="82"/>
  <c r="L501" i="82"/>
  <c r="L502" i="82"/>
  <c r="L503" i="82"/>
  <c r="L504" i="82"/>
  <c r="L505" i="82"/>
  <c r="L506" i="82"/>
  <c r="L507" i="82"/>
  <c r="L508" i="82"/>
  <c r="L509" i="82"/>
  <c r="L510" i="82"/>
  <c r="L511" i="82"/>
  <c r="L512" i="82"/>
  <c r="L513" i="82"/>
  <c r="L514" i="82"/>
  <c r="L515" i="82"/>
  <c r="L516" i="82"/>
  <c r="L517" i="82"/>
  <c r="L518" i="82"/>
  <c r="L519" i="82"/>
  <c r="L520" i="82"/>
  <c r="L521" i="82"/>
  <c r="L522" i="82"/>
  <c r="L523" i="82"/>
  <c r="L524" i="82"/>
  <c r="L525" i="82"/>
  <c r="L526" i="82"/>
  <c r="L527" i="82"/>
  <c r="L528" i="82"/>
  <c r="L529" i="82"/>
  <c r="L530" i="82"/>
  <c r="L531" i="82"/>
  <c r="L532" i="82"/>
  <c r="L533" i="82"/>
  <c r="L534" i="82"/>
  <c r="L535" i="82"/>
  <c r="L536" i="82"/>
  <c r="L537" i="82"/>
  <c r="L538" i="82"/>
  <c r="L539" i="82"/>
  <c r="L540" i="82"/>
  <c r="L541" i="82"/>
  <c r="L542" i="82"/>
  <c r="L543" i="82"/>
  <c r="L544" i="82"/>
  <c r="L545" i="82"/>
  <c r="L546" i="82"/>
  <c r="L547" i="82"/>
  <c r="L548" i="82"/>
  <c r="L549" i="82"/>
  <c r="L550" i="82"/>
  <c r="L551" i="82"/>
  <c r="L552" i="82"/>
  <c r="L553" i="82"/>
  <c r="L554" i="82"/>
  <c r="L555" i="82"/>
  <c r="L556" i="82"/>
  <c r="L557" i="82"/>
  <c r="L558" i="82"/>
  <c r="L559" i="82"/>
  <c r="L560" i="82"/>
  <c r="L561" i="82"/>
  <c r="L562" i="82"/>
  <c r="L563" i="82"/>
  <c r="L564" i="82"/>
  <c r="L565" i="82"/>
  <c r="L566" i="82"/>
  <c r="L567" i="82"/>
  <c r="L568" i="82"/>
  <c r="L569" i="82"/>
  <c r="L570" i="82"/>
  <c r="L571" i="82"/>
  <c r="L572" i="82"/>
  <c r="L573" i="82"/>
  <c r="L574" i="82"/>
  <c r="L575" i="82"/>
  <c r="L576" i="82"/>
  <c r="L577" i="82"/>
  <c r="L578" i="82"/>
  <c r="L579" i="82"/>
  <c r="L580" i="82"/>
  <c r="L581" i="82"/>
  <c r="L582" i="82"/>
  <c r="L583" i="82"/>
  <c r="L584" i="82"/>
  <c r="L585" i="82"/>
  <c r="L586" i="82"/>
  <c r="L587" i="82"/>
  <c r="L588" i="82"/>
  <c r="L589" i="82"/>
  <c r="L590" i="82"/>
  <c r="L591" i="82"/>
  <c r="L592" i="82"/>
  <c r="L593" i="82"/>
  <c r="L594" i="82"/>
  <c r="L595" i="82"/>
  <c r="L596" i="82"/>
  <c r="L597" i="82"/>
  <c r="L598" i="82"/>
  <c r="L599" i="82"/>
  <c r="L600" i="82"/>
  <c r="L601" i="82"/>
  <c r="L602" i="82"/>
  <c r="L603" i="82"/>
  <c r="L604" i="82"/>
  <c r="L605" i="82"/>
  <c r="L606" i="82"/>
  <c r="L607" i="82"/>
  <c r="L608" i="82"/>
  <c r="L609" i="82"/>
  <c r="L610" i="82"/>
  <c r="L611" i="82"/>
  <c r="L612" i="82"/>
  <c r="L613" i="82"/>
  <c r="L614" i="82"/>
  <c r="L615" i="82"/>
  <c r="L616" i="82"/>
  <c r="L617" i="82"/>
  <c r="L618" i="82"/>
  <c r="L619" i="82"/>
  <c r="L620" i="82"/>
  <c r="L621" i="82"/>
  <c r="L622" i="82"/>
  <c r="L623" i="82"/>
  <c r="L624" i="82"/>
  <c r="L625" i="82"/>
  <c r="L626" i="82"/>
  <c r="L627" i="82"/>
  <c r="L628" i="82"/>
  <c r="L629" i="82"/>
  <c r="L630" i="82"/>
  <c r="L631" i="82"/>
  <c r="L632" i="82"/>
  <c r="L633" i="82"/>
  <c r="L634" i="82"/>
  <c r="L635" i="82"/>
  <c r="L636" i="82"/>
  <c r="L637" i="82"/>
  <c r="L638" i="82"/>
  <c r="L639" i="82"/>
  <c r="L640" i="82"/>
  <c r="L641" i="82"/>
  <c r="L642" i="82"/>
  <c r="L643" i="82"/>
  <c r="L644" i="82"/>
  <c r="L645" i="82"/>
  <c r="L646" i="82"/>
  <c r="L647" i="82"/>
  <c r="L648" i="82"/>
  <c r="L649" i="82"/>
  <c r="L650" i="82"/>
  <c r="L651" i="82"/>
  <c r="L652" i="82"/>
  <c r="L653" i="82"/>
  <c r="L654" i="82"/>
  <c r="L655" i="82"/>
  <c r="L656" i="82"/>
  <c r="L657" i="82"/>
  <c r="L658" i="82"/>
  <c r="L659" i="82"/>
  <c r="L660" i="82"/>
  <c r="L661" i="82"/>
  <c r="L662" i="82"/>
  <c r="L663" i="82"/>
  <c r="L664" i="82"/>
  <c r="L665" i="82"/>
  <c r="L666" i="82"/>
  <c r="L667" i="82"/>
  <c r="L668" i="82"/>
  <c r="L669" i="82"/>
  <c r="L670" i="82"/>
  <c r="L671" i="82"/>
  <c r="L672" i="82"/>
  <c r="L673" i="82"/>
  <c r="L674" i="82"/>
  <c r="L675" i="82"/>
  <c r="L676" i="82"/>
  <c r="L677" i="82"/>
  <c r="L678" i="82"/>
  <c r="L679" i="82"/>
  <c r="L680" i="82"/>
  <c r="L681" i="82"/>
  <c r="L682" i="82"/>
  <c r="L683" i="82"/>
  <c r="L684" i="82"/>
  <c r="L685" i="82"/>
  <c r="L686" i="82"/>
  <c r="L687" i="82"/>
  <c r="L688" i="82"/>
  <c r="L689" i="82"/>
  <c r="L690" i="82"/>
  <c r="L691" i="82"/>
  <c r="L692" i="82"/>
  <c r="L693" i="82"/>
  <c r="L694" i="82"/>
  <c r="L695" i="82"/>
  <c r="L696" i="82"/>
  <c r="L697" i="82"/>
  <c r="L698" i="82"/>
  <c r="L699" i="82"/>
  <c r="L700" i="82"/>
  <c r="L701" i="82"/>
  <c r="L702" i="82"/>
  <c r="L703" i="82"/>
  <c r="L704" i="82"/>
  <c r="L705" i="82"/>
  <c r="L706" i="82"/>
  <c r="L707" i="82"/>
  <c r="K708" i="82"/>
  <c r="L708" i="82"/>
  <c r="K709" i="82"/>
  <c r="L709" i="82"/>
  <c r="K710" i="82"/>
  <c r="L710" i="82"/>
  <c r="K711" i="82"/>
  <c r="L711" i="82"/>
  <c r="K712" i="82"/>
  <c r="L712" i="82"/>
  <c r="K713" i="82"/>
  <c r="L713" i="82"/>
  <c r="K714" i="82"/>
  <c r="L714" i="82"/>
  <c r="K715" i="82"/>
  <c r="L715" i="82"/>
  <c r="K716" i="82"/>
  <c r="L716" i="82"/>
  <c r="K717" i="82"/>
  <c r="L717" i="82"/>
  <c r="K718" i="82"/>
  <c r="L718" i="82"/>
  <c r="K719" i="82"/>
  <c r="L719" i="82"/>
  <c r="K720" i="82"/>
  <c r="L720" i="82"/>
  <c r="K721" i="82"/>
  <c r="L721" i="82"/>
  <c r="K722" i="82"/>
  <c r="L722" i="82"/>
  <c r="K723" i="82"/>
  <c r="L723" i="82"/>
  <c r="K724" i="82"/>
  <c r="L724" i="82"/>
  <c r="K725" i="82"/>
  <c r="L725" i="82"/>
  <c r="K726" i="82"/>
  <c r="L726" i="82"/>
  <c r="K727" i="82"/>
  <c r="L727" i="82"/>
  <c r="K728" i="82"/>
  <c r="L728" i="82"/>
  <c r="K729" i="82"/>
  <c r="L729" i="82"/>
  <c r="K730" i="82"/>
  <c r="L730" i="82"/>
  <c r="K731" i="82"/>
  <c r="L731" i="82"/>
  <c r="K732" i="82"/>
  <c r="L732" i="82"/>
  <c r="K733" i="82"/>
  <c r="L733" i="82"/>
  <c r="K734" i="82"/>
  <c r="L734" i="82"/>
  <c r="K735" i="82"/>
  <c r="L735" i="82"/>
  <c r="K736" i="82"/>
  <c r="L736" i="82"/>
  <c r="K737" i="82"/>
  <c r="L737" i="82"/>
  <c r="K738" i="82"/>
  <c r="L738" i="82"/>
  <c r="K739" i="82"/>
  <c r="L739" i="82"/>
  <c r="K740" i="82"/>
  <c r="L740" i="82"/>
  <c r="K741" i="82"/>
  <c r="L741" i="82"/>
  <c r="K742" i="82"/>
  <c r="L742" i="82"/>
  <c r="K743" i="82"/>
  <c r="L743" i="82"/>
  <c r="K744" i="82"/>
  <c r="L744" i="82"/>
  <c r="K745" i="82"/>
  <c r="L745" i="82"/>
  <c r="K746" i="82"/>
  <c r="L746" i="82"/>
  <c r="K747" i="82"/>
  <c r="L747" i="82"/>
  <c r="K748" i="82"/>
  <c r="L748" i="82"/>
  <c r="K749" i="82"/>
  <c r="L749" i="82"/>
  <c r="K750" i="82"/>
  <c r="L750" i="82"/>
  <c r="K751" i="82"/>
  <c r="L751" i="82"/>
  <c r="K752" i="82"/>
  <c r="L752" i="82"/>
  <c r="K753" i="82"/>
  <c r="L753" i="82"/>
  <c r="K754" i="82"/>
  <c r="L754" i="82"/>
  <c r="K755" i="82"/>
  <c r="L755" i="82"/>
  <c r="K756" i="82"/>
  <c r="L756" i="82"/>
  <c r="K757" i="82"/>
  <c r="L757" i="82"/>
  <c r="K758" i="82"/>
  <c r="L758" i="82"/>
  <c r="K759" i="82"/>
  <c r="L759" i="82"/>
  <c r="K760" i="82"/>
  <c r="L760" i="82"/>
  <c r="K761" i="82"/>
  <c r="L761" i="82"/>
  <c r="K762" i="82"/>
  <c r="L762" i="82"/>
  <c r="K763" i="82"/>
  <c r="L763" i="82"/>
  <c r="K764" i="82"/>
  <c r="L764" i="82"/>
  <c r="K765" i="82"/>
  <c r="L765" i="82"/>
  <c r="K766" i="82"/>
  <c r="L766" i="82"/>
  <c r="K767" i="82"/>
  <c r="L767" i="82"/>
  <c r="K768" i="82"/>
  <c r="L768" i="82"/>
  <c r="K769" i="82"/>
  <c r="L769" i="82"/>
  <c r="K770" i="82"/>
  <c r="L770" i="82"/>
  <c r="K771" i="82"/>
  <c r="L771" i="82"/>
  <c r="K772" i="82"/>
  <c r="L772" i="82"/>
  <c r="K773" i="82"/>
  <c r="L773" i="82"/>
  <c r="K774" i="82"/>
  <c r="L774" i="82"/>
  <c r="K775" i="82"/>
  <c r="L775" i="82"/>
  <c r="K776" i="82"/>
  <c r="L776" i="82"/>
  <c r="K777" i="82"/>
  <c r="L777" i="82"/>
  <c r="K778" i="82"/>
  <c r="L778" i="82"/>
  <c r="K779" i="82"/>
  <c r="L779" i="82"/>
  <c r="K780" i="82"/>
  <c r="L780" i="82"/>
  <c r="K781" i="82"/>
  <c r="L781" i="82"/>
  <c r="K782" i="82"/>
  <c r="L782" i="82"/>
  <c r="K783" i="82"/>
  <c r="L783" i="82"/>
  <c r="K784" i="82"/>
  <c r="L784" i="82"/>
  <c r="K785" i="82"/>
  <c r="L785" i="82"/>
  <c r="K786" i="82"/>
  <c r="L786" i="82"/>
  <c r="K787" i="82"/>
  <c r="L787" i="82"/>
  <c r="K788" i="82"/>
  <c r="L788" i="82"/>
  <c r="K789" i="82"/>
  <c r="L789" i="82"/>
  <c r="K790" i="82"/>
  <c r="L790" i="82"/>
  <c r="K791" i="82"/>
  <c r="L791" i="82"/>
  <c r="K792" i="82"/>
  <c r="L792" i="82"/>
  <c r="K793" i="82"/>
  <c r="L793" i="82"/>
  <c r="K794" i="82"/>
  <c r="L794" i="82"/>
  <c r="K795" i="82"/>
  <c r="L795" i="82"/>
  <c r="K796" i="82"/>
  <c r="L796" i="82"/>
  <c r="K797" i="82"/>
  <c r="L797" i="82"/>
  <c r="K798" i="82"/>
  <c r="L798" i="82"/>
  <c r="K799" i="82"/>
  <c r="L799" i="82"/>
  <c r="K800" i="82"/>
  <c r="L800" i="82"/>
  <c r="K801" i="82"/>
  <c r="L801" i="82"/>
  <c r="K802" i="82"/>
  <c r="L802" i="82"/>
  <c r="K803" i="82"/>
  <c r="L803" i="82"/>
  <c r="K804" i="82"/>
  <c r="L804" i="82"/>
  <c r="K805" i="82"/>
  <c r="L805" i="82"/>
  <c r="K806" i="82"/>
  <c r="L806" i="82"/>
  <c r="K807" i="82"/>
  <c r="L807" i="82"/>
  <c r="K808" i="82"/>
  <c r="L808" i="82"/>
  <c r="K809" i="82"/>
  <c r="L809" i="82"/>
  <c r="K810" i="82"/>
  <c r="L810" i="82"/>
  <c r="K811" i="82"/>
  <c r="L811" i="82"/>
  <c r="K812" i="82"/>
  <c r="L812" i="82"/>
  <c r="K813" i="82"/>
  <c r="L813" i="82"/>
  <c r="K814" i="82"/>
  <c r="L814" i="82"/>
  <c r="K815" i="82"/>
  <c r="L815" i="82"/>
  <c r="K816" i="82"/>
  <c r="L816" i="82"/>
  <c r="K817" i="82"/>
  <c r="L817" i="82"/>
  <c r="K818" i="82"/>
  <c r="L818" i="82"/>
  <c r="K819" i="82"/>
  <c r="L819" i="82"/>
  <c r="K821" i="82"/>
  <c r="L821" i="82"/>
  <c r="K822" i="82"/>
  <c r="L822" i="82"/>
  <c r="K823" i="82"/>
  <c r="L823" i="82"/>
  <c r="K824" i="82"/>
  <c r="L824" i="82"/>
  <c r="K825" i="82"/>
  <c r="L825" i="82"/>
  <c r="K826" i="82"/>
  <c r="L826" i="82"/>
  <c r="K827" i="82"/>
  <c r="L827" i="82"/>
  <c r="K828" i="82"/>
  <c r="L828" i="82"/>
  <c r="K829" i="82"/>
  <c r="L829" i="82"/>
  <c r="K830" i="82"/>
  <c r="L830" i="82"/>
  <c r="K831" i="82"/>
  <c r="L831" i="82"/>
  <c r="K832" i="82"/>
  <c r="L832" i="82"/>
  <c r="K833" i="82"/>
  <c r="L833" i="82"/>
  <c r="K834" i="82"/>
  <c r="L834" i="82"/>
  <c r="K835" i="82"/>
  <c r="L835" i="82"/>
  <c r="K836" i="82"/>
  <c r="L836" i="82"/>
  <c r="K837" i="82"/>
  <c r="L837" i="82"/>
  <c r="K838" i="82"/>
  <c r="L838" i="82"/>
  <c r="K839" i="82"/>
  <c r="L839" i="82"/>
  <c r="K840" i="82"/>
  <c r="L840" i="82"/>
  <c r="K841" i="82"/>
  <c r="L841" i="82"/>
  <c r="K842" i="82"/>
  <c r="L842" i="82"/>
  <c r="K843" i="82"/>
  <c r="L843" i="82"/>
  <c r="K844" i="82"/>
  <c r="L844" i="82"/>
  <c r="K845" i="82"/>
  <c r="L845" i="82"/>
  <c r="K846" i="82"/>
  <c r="L846" i="82"/>
  <c r="K847" i="82"/>
  <c r="L847" i="82"/>
  <c r="K848" i="82"/>
  <c r="L848" i="82"/>
  <c r="K849" i="82"/>
  <c r="L849" i="82"/>
  <c r="K850" i="82"/>
  <c r="L850" i="82"/>
  <c r="K851" i="82"/>
  <c r="L851" i="82"/>
  <c r="K852" i="82"/>
  <c r="L852" i="82"/>
  <c r="K853" i="82"/>
  <c r="L853" i="82"/>
  <c r="K854" i="82"/>
  <c r="L854" i="82"/>
  <c r="K855" i="82"/>
  <c r="L855" i="82"/>
  <c r="K856" i="82"/>
  <c r="L856" i="82"/>
  <c r="K857" i="82"/>
  <c r="L857" i="82"/>
  <c r="K858" i="82"/>
  <c r="L858" i="82"/>
  <c r="K859" i="82"/>
  <c r="L859" i="82"/>
  <c r="K860" i="82"/>
  <c r="L860" i="82"/>
  <c r="K861" i="82"/>
  <c r="L861" i="82"/>
  <c r="L862" i="82"/>
  <c r="L863" i="82"/>
  <c r="L864" i="82"/>
  <c r="L865" i="82"/>
  <c r="L866" i="82"/>
  <c r="L867" i="82"/>
  <c r="L868" i="82"/>
  <c r="L869" i="82"/>
  <c r="L870" i="82"/>
  <c r="L871" i="82"/>
  <c r="L872" i="82"/>
  <c r="L873" i="82"/>
  <c r="L874" i="82"/>
  <c r="L875" i="82"/>
  <c r="L876" i="82"/>
  <c r="L877" i="82"/>
  <c r="L878" i="82"/>
  <c r="L879" i="82"/>
  <c r="L880" i="82"/>
  <c r="L881" i="82"/>
  <c r="L882" i="82"/>
  <c r="L883" i="82"/>
  <c r="L884" i="82"/>
  <c r="L885" i="82"/>
  <c r="L886" i="82"/>
  <c r="L887" i="82"/>
  <c r="L888" i="82"/>
  <c r="L889" i="82"/>
  <c r="L890" i="82"/>
  <c r="L891" i="82"/>
  <c r="L892" i="82"/>
  <c r="L893" i="82"/>
  <c r="L894" i="82"/>
  <c r="L895" i="82"/>
  <c r="L896" i="82"/>
  <c r="L897" i="82"/>
  <c r="L898" i="82"/>
  <c r="L899" i="82"/>
  <c r="L900" i="82"/>
  <c r="L901" i="82"/>
  <c r="L902" i="82"/>
  <c r="L903" i="82"/>
  <c r="L904" i="82"/>
  <c r="L905" i="82"/>
  <c r="L906" i="82"/>
  <c r="L907" i="82"/>
  <c r="L908" i="82"/>
  <c r="L909" i="82"/>
  <c r="L910" i="82"/>
  <c r="L911" i="82"/>
  <c r="L912" i="82"/>
  <c r="L913" i="82"/>
  <c r="L914" i="82"/>
  <c r="L915" i="82"/>
  <c r="L916" i="82"/>
  <c r="L917" i="82"/>
  <c r="L918" i="82"/>
  <c r="L919" i="82"/>
  <c r="L920" i="82"/>
  <c r="L921" i="82"/>
  <c r="L922" i="82"/>
  <c r="L923" i="82"/>
  <c r="L924" i="82"/>
  <c r="L925" i="82"/>
  <c r="L926" i="82"/>
  <c r="L927" i="82"/>
  <c r="L928" i="82"/>
  <c r="L929" i="82"/>
  <c r="L930" i="82"/>
  <c r="L931" i="82"/>
  <c r="L932" i="82"/>
  <c r="L933" i="82"/>
  <c r="L934" i="82"/>
  <c r="L935" i="82"/>
  <c r="L936" i="82"/>
  <c r="L937" i="82"/>
  <c r="L938" i="82"/>
  <c r="L939" i="82"/>
  <c r="L940" i="82"/>
  <c r="L941" i="82"/>
  <c r="L942" i="82"/>
  <c r="L943" i="82"/>
  <c r="L944" i="82"/>
  <c r="L945" i="82"/>
  <c r="L946" i="82"/>
  <c r="L947" i="82"/>
  <c r="L948" i="82"/>
  <c r="L949" i="82"/>
  <c r="L950" i="82"/>
  <c r="L951" i="82"/>
  <c r="L952" i="82"/>
  <c r="L953" i="82"/>
  <c r="L954" i="82"/>
  <c r="L955" i="82"/>
  <c r="L956" i="82"/>
  <c r="L957" i="82"/>
  <c r="L958" i="82"/>
  <c r="L959" i="82"/>
  <c r="L960" i="82"/>
  <c r="L961" i="82"/>
  <c r="L962" i="82"/>
  <c r="L963" i="82"/>
  <c r="L964" i="82"/>
  <c r="L965" i="82"/>
  <c r="L966" i="82"/>
  <c r="L967" i="82"/>
  <c r="L968" i="82"/>
  <c r="L969" i="82"/>
  <c r="L970" i="82"/>
  <c r="L971" i="82"/>
  <c r="L972" i="82"/>
  <c r="L973" i="82"/>
  <c r="L974" i="82"/>
  <c r="L975" i="82"/>
  <c r="L976" i="82"/>
  <c r="L977" i="82"/>
  <c r="L978" i="82"/>
  <c r="L979" i="82"/>
  <c r="L980" i="82"/>
  <c r="L981" i="82"/>
  <c r="L982" i="82"/>
  <c r="L983" i="82"/>
  <c r="L984" i="82"/>
  <c r="L985" i="82"/>
  <c r="L986" i="82"/>
  <c r="L987" i="82"/>
  <c r="L988" i="82"/>
  <c r="L989" i="82"/>
  <c r="L990" i="82"/>
  <c r="L991" i="82"/>
  <c r="L992" i="82"/>
  <c r="L993" i="82"/>
  <c r="L994" i="82"/>
  <c r="L995" i="82"/>
  <c r="L996" i="82"/>
  <c r="L997" i="82"/>
  <c r="L998" i="82"/>
  <c r="L999" i="82"/>
  <c r="L1000" i="82"/>
  <c r="L1001" i="82"/>
  <c r="L1002" i="82"/>
  <c r="L1003" i="82"/>
  <c r="L1004" i="82"/>
  <c r="L1005" i="82"/>
  <c r="L1006" i="82"/>
  <c r="L1007" i="82"/>
  <c r="L1008" i="82"/>
  <c r="L1009" i="82"/>
  <c r="L1010" i="82"/>
  <c r="L1011" i="82"/>
  <c r="L1012" i="82"/>
  <c r="L1013" i="82"/>
  <c r="L1014" i="82"/>
  <c r="L1015" i="82"/>
  <c r="L1016" i="82"/>
  <c r="L1017" i="82"/>
  <c r="L1018" i="82"/>
  <c r="L1019" i="82"/>
  <c r="L1020" i="82"/>
  <c r="L1021" i="82"/>
  <c r="L1022" i="82"/>
  <c r="L1023" i="82"/>
  <c r="L1024" i="82"/>
  <c r="L1025" i="82"/>
  <c r="L1026" i="82"/>
  <c r="L1027" i="82"/>
  <c r="L1028" i="82"/>
  <c r="L1029" i="82"/>
  <c r="L1030" i="82"/>
  <c r="L1031" i="82"/>
  <c r="L1032" i="82"/>
  <c r="L1033" i="82"/>
  <c r="L1034" i="82"/>
  <c r="L1035" i="82"/>
  <c r="L1036" i="82"/>
  <c r="L1037" i="82"/>
  <c r="L1038" i="82"/>
  <c r="L1039" i="82"/>
  <c r="L1040" i="82"/>
  <c r="L1041" i="82"/>
  <c r="L1042" i="82"/>
  <c r="L1043" i="82"/>
  <c r="L1044" i="82"/>
  <c r="L1045" i="82"/>
  <c r="L1046" i="82"/>
  <c r="L1047" i="82"/>
  <c r="L1048" i="82"/>
  <c r="L1049" i="82"/>
  <c r="L1050" i="82"/>
  <c r="L1051" i="82"/>
  <c r="L1052" i="82"/>
  <c r="L1053" i="82"/>
  <c r="L1054" i="82"/>
  <c r="L1055" i="82"/>
  <c r="L1056" i="82"/>
  <c r="L1057" i="82"/>
  <c r="L1058" i="82"/>
  <c r="L1059" i="82"/>
  <c r="L1060" i="82"/>
  <c r="L1061" i="82"/>
  <c r="L1062" i="82"/>
  <c r="L1063" i="82"/>
  <c r="L1064" i="82"/>
  <c r="L1065" i="82"/>
  <c r="L1066" i="82"/>
  <c r="L1067" i="82"/>
  <c r="L1068" i="82"/>
  <c r="L1069" i="82"/>
  <c r="L1070" i="82"/>
  <c r="L1071" i="82"/>
  <c r="L1072" i="82"/>
  <c r="L1073" i="82"/>
  <c r="L1074" i="82"/>
  <c r="L1075" i="82"/>
  <c r="L1076" i="82"/>
  <c r="L1077" i="82"/>
  <c r="L1078" i="82"/>
  <c r="L1079" i="82"/>
  <c r="L1080" i="82"/>
  <c r="L1081" i="82"/>
  <c r="L1082" i="82"/>
  <c r="L1083" i="82"/>
  <c r="L1084" i="82"/>
  <c r="L1085" i="82"/>
  <c r="L1086" i="82"/>
  <c r="L1087" i="82"/>
  <c r="L1088" i="82"/>
  <c r="L1089" i="82"/>
  <c r="L1090" i="82"/>
  <c r="L1091" i="82"/>
  <c r="L1092" i="82"/>
  <c r="L1093" i="82"/>
  <c r="L1094" i="82"/>
  <c r="L1095" i="82"/>
  <c r="L1096" i="82"/>
  <c r="L1097" i="82"/>
  <c r="L1098" i="82"/>
  <c r="L1099" i="82"/>
  <c r="L1100" i="82"/>
  <c r="L1101" i="82"/>
  <c r="L1102" i="82"/>
  <c r="L1103" i="82"/>
  <c r="L1104" i="82"/>
  <c r="L1105" i="82"/>
  <c r="L1106" i="82"/>
  <c r="L1107" i="82"/>
  <c r="L1108" i="82"/>
  <c r="L1109" i="82"/>
  <c r="L1110" i="82"/>
  <c r="L1111" i="82"/>
  <c r="L1112" i="82"/>
  <c r="L1113" i="82"/>
  <c r="L1114" i="82"/>
  <c r="L1115" i="82"/>
  <c r="L1116" i="82"/>
  <c r="L1117" i="82"/>
  <c r="L1118" i="82"/>
  <c r="L1119" i="82"/>
  <c r="L1120" i="82"/>
  <c r="L1121" i="82"/>
  <c r="L1122" i="82"/>
  <c r="L1123" i="82"/>
  <c r="L1124" i="82"/>
  <c r="L1125" i="82"/>
  <c r="L1126" i="82"/>
  <c r="L1127" i="82"/>
  <c r="L1128" i="82"/>
  <c r="L1129" i="82"/>
  <c r="L1130" i="82"/>
  <c r="L1131" i="82"/>
  <c r="L1132" i="82"/>
  <c r="L1133" i="82"/>
  <c r="L1134" i="82"/>
  <c r="L1135" i="82"/>
  <c r="L1136" i="82"/>
  <c r="L1137" i="82"/>
  <c r="L1138" i="82"/>
  <c r="L1139" i="82"/>
  <c r="L1140" i="82"/>
  <c r="L1141" i="82"/>
  <c r="L1142" i="82"/>
  <c r="L1143" i="82"/>
  <c r="L1144" i="82"/>
  <c r="L1145" i="82"/>
  <c r="L1146" i="82"/>
  <c r="L1147" i="82"/>
  <c r="L1148" i="82"/>
  <c r="L1149" i="82"/>
  <c r="L1150" i="82"/>
  <c r="L1151" i="82"/>
  <c r="L1152" i="82"/>
  <c r="L1153" i="82"/>
  <c r="L1154" i="82"/>
  <c r="L1155" i="82"/>
  <c r="L1156" i="82"/>
  <c r="L1157" i="82"/>
  <c r="L1158" i="82"/>
  <c r="L1159" i="82"/>
  <c r="L1160" i="82"/>
  <c r="L1161" i="82"/>
  <c r="L1162" i="82"/>
  <c r="L1163" i="82"/>
  <c r="L1164" i="82"/>
  <c r="L1165" i="82"/>
  <c r="L1166" i="82"/>
  <c r="L1167" i="82"/>
  <c r="L1168" i="82"/>
  <c r="L1169" i="82"/>
  <c r="L1170" i="82"/>
  <c r="L1171" i="82"/>
  <c r="L1172" i="82"/>
  <c r="L1173" i="82"/>
  <c r="L1174" i="82"/>
  <c r="L1175" i="82"/>
  <c r="L1176" i="82"/>
  <c r="L1177" i="82"/>
  <c r="L1178" i="82"/>
  <c r="L1179" i="82"/>
  <c r="L1180" i="82"/>
  <c r="L1181" i="82"/>
  <c r="L1182" i="82"/>
  <c r="L1183" i="82"/>
  <c r="L1184" i="82"/>
  <c r="L1185" i="82"/>
  <c r="L1186" i="82"/>
  <c r="L1187" i="82"/>
  <c r="L1188" i="82"/>
  <c r="L1189" i="82"/>
  <c r="L1190" i="82"/>
  <c r="L1191" i="82"/>
  <c r="L1192" i="82"/>
  <c r="L1193" i="82"/>
  <c r="L1194" i="82"/>
  <c r="L1195" i="82"/>
  <c r="L1196" i="82"/>
  <c r="L1197" i="82"/>
  <c r="L1198" i="82"/>
  <c r="L1199" i="82"/>
  <c r="L1200" i="82"/>
  <c r="L1201" i="82"/>
  <c r="L1202" i="82"/>
  <c r="L1203" i="82"/>
  <c r="L1204" i="82"/>
  <c r="L1205" i="82"/>
  <c r="L1206" i="82"/>
  <c r="L1207" i="82"/>
  <c r="L1208" i="82"/>
  <c r="L1209" i="82"/>
  <c r="L1210" i="82"/>
  <c r="L1211" i="82"/>
  <c r="L1212" i="82"/>
  <c r="L1213" i="82"/>
  <c r="L1214" i="82"/>
  <c r="L1215" i="82"/>
  <c r="L1216" i="82"/>
  <c r="L1217" i="82"/>
  <c r="L1218" i="82"/>
  <c r="L1219" i="82"/>
  <c r="L1220" i="82"/>
  <c r="L1221" i="82"/>
  <c r="L1222" i="82"/>
  <c r="L1223" i="82"/>
  <c r="L1224" i="82"/>
  <c r="L1225" i="82"/>
  <c r="L1226" i="82"/>
  <c r="L1227" i="82"/>
  <c r="L1228" i="82"/>
  <c r="L1229" i="82"/>
  <c r="L1230" i="82"/>
  <c r="L1231" i="82"/>
  <c r="L1232" i="82"/>
  <c r="L1233" i="82"/>
  <c r="L1234" i="82"/>
  <c r="L1235" i="82"/>
  <c r="L1236" i="82"/>
  <c r="L1237" i="82"/>
  <c r="L1238" i="82"/>
  <c r="L1239" i="82"/>
  <c r="L1240" i="82"/>
  <c r="L1241" i="82"/>
  <c r="L1242" i="82"/>
  <c r="L1243" i="82"/>
  <c r="L1244" i="82"/>
  <c r="L1245" i="82"/>
  <c r="L1246" i="82"/>
  <c r="L1247" i="82"/>
  <c r="L1248" i="82"/>
  <c r="L1249" i="82"/>
  <c r="L1250" i="82"/>
  <c r="L1251" i="82"/>
  <c r="L1252" i="82"/>
  <c r="L1253" i="82"/>
  <c r="L1254" i="82"/>
  <c r="L1255" i="82"/>
  <c r="L1256" i="82"/>
  <c r="L1257" i="82"/>
  <c r="L1258" i="82"/>
  <c r="L1259" i="82"/>
  <c r="L1260" i="82"/>
  <c r="L1261" i="82"/>
  <c r="L1262" i="82"/>
  <c r="L1263" i="82"/>
  <c r="L1264" i="82"/>
  <c r="L1265" i="82"/>
  <c r="L1266" i="82"/>
  <c r="L1267" i="82"/>
  <c r="L1268" i="82"/>
  <c r="L1269" i="82"/>
  <c r="L1270" i="82"/>
  <c r="L1271" i="82"/>
  <c r="L1272" i="82"/>
  <c r="L1273" i="82"/>
  <c r="L1274" i="82"/>
  <c r="L1275" i="82"/>
  <c r="L1276" i="82"/>
  <c r="L1277" i="82"/>
  <c r="L1278" i="82"/>
  <c r="L1279" i="82"/>
  <c r="L1280" i="82"/>
  <c r="L1281" i="82"/>
  <c r="L1282" i="82"/>
  <c r="L1283" i="82"/>
  <c r="L1284" i="82"/>
  <c r="L1285" i="82"/>
  <c r="L1286" i="82"/>
  <c r="L1287" i="82"/>
  <c r="L1288" i="82"/>
  <c r="L1289" i="82"/>
  <c r="L1290" i="82"/>
  <c r="L1291" i="82"/>
  <c r="L1292" i="82"/>
  <c r="L1293" i="82"/>
  <c r="L1294" i="82"/>
  <c r="L1295" i="82"/>
  <c r="L1296" i="82"/>
  <c r="L1297" i="82"/>
  <c r="L1298" i="82"/>
  <c r="L1299" i="82"/>
  <c r="L1300" i="82"/>
  <c r="L1301" i="82"/>
  <c r="L1302" i="82"/>
  <c r="L1303" i="82"/>
  <c r="L1304" i="82"/>
  <c r="L1305" i="82"/>
  <c r="L1306" i="82"/>
  <c r="L1307" i="82"/>
  <c r="L1308" i="82"/>
  <c r="L1309" i="82"/>
  <c r="L1310" i="82"/>
  <c r="L1311" i="82"/>
  <c r="L1312" i="82"/>
  <c r="L1313" i="82"/>
  <c r="L1314" i="82"/>
  <c r="L1315" i="82"/>
  <c r="L1316" i="82"/>
  <c r="L1317" i="82"/>
  <c r="L1318" i="82"/>
  <c r="L1319" i="82"/>
  <c r="L1320" i="82"/>
  <c r="L1321" i="82"/>
  <c r="L1322" i="82"/>
  <c r="L1323" i="82"/>
  <c r="L1324" i="82"/>
  <c r="L1325" i="82"/>
  <c r="L1326" i="82"/>
  <c r="L1327" i="82"/>
  <c r="L1328" i="82"/>
  <c r="L1329" i="82"/>
  <c r="L1330" i="82"/>
  <c r="L1331" i="82"/>
  <c r="L1332" i="82"/>
  <c r="L1333" i="82"/>
  <c r="L1334" i="82"/>
  <c r="L1335" i="82"/>
  <c r="L1336" i="82"/>
  <c r="L1337" i="82"/>
  <c r="L1338" i="82"/>
  <c r="L1339" i="82"/>
  <c r="L1340" i="82"/>
  <c r="L1341" i="82"/>
  <c r="L1342" i="82"/>
  <c r="L1343" i="82"/>
  <c r="L1344" i="82"/>
  <c r="L1345" i="82"/>
  <c r="L1346" i="82"/>
  <c r="L1347" i="82"/>
  <c r="L1348" i="82"/>
  <c r="L1349" i="82"/>
  <c r="L1350" i="82"/>
  <c r="L1351" i="82"/>
  <c r="L1352" i="82"/>
  <c r="L1353" i="82"/>
  <c r="L1354" i="82"/>
  <c r="L1355" i="82"/>
  <c r="L1356" i="82"/>
  <c r="L1357" i="82"/>
  <c r="L1358" i="82"/>
  <c r="L1359" i="82"/>
  <c r="L1360" i="82"/>
  <c r="L1361" i="82"/>
  <c r="L1362" i="82"/>
  <c r="L1363" i="82"/>
  <c r="L1364" i="82"/>
  <c r="L1365" i="82"/>
  <c r="L1366" i="82"/>
  <c r="L1367" i="82"/>
  <c r="L1368" i="82"/>
  <c r="L1369" i="82"/>
  <c r="L1370" i="82"/>
  <c r="L1371" i="82"/>
  <c r="L1372" i="82"/>
  <c r="L1373" i="82"/>
  <c r="L1374" i="82"/>
  <c r="L1375" i="82"/>
  <c r="L1376" i="82"/>
  <c r="L1377" i="82"/>
  <c r="L1378" i="82"/>
  <c r="L1379" i="82"/>
  <c r="L1380" i="82"/>
  <c r="L1381" i="82"/>
  <c r="L1382" i="82"/>
  <c r="L1383" i="82"/>
  <c r="L1384" i="82"/>
  <c r="L1385" i="82"/>
  <c r="L1386" i="82"/>
  <c r="L1387" i="82"/>
  <c r="L1388" i="82"/>
  <c r="L1389" i="82"/>
  <c r="L1390" i="82"/>
  <c r="L1391" i="82"/>
  <c r="L1392" i="82"/>
  <c r="L1393" i="82"/>
  <c r="L1394" i="82"/>
  <c r="L1395" i="82"/>
  <c r="L1396" i="82"/>
  <c r="L1397" i="82"/>
  <c r="L1398" i="82"/>
  <c r="L1399" i="82"/>
  <c r="L1400" i="82"/>
  <c r="L1401" i="82"/>
  <c r="L1402" i="82"/>
  <c r="L1403" i="82"/>
  <c r="L1404" i="82"/>
  <c r="L1405" i="82"/>
  <c r="K1406" i="82"/>
  <c r="L1406" i="82"/>
  <c r="K1407" i="82"/>
  <c r="L1407" i="82"/>
  <c r="K1408" i="82"/>
  <c r="L1408" i="82"/>
  <c r="K1409" i="82"/>
  <c r="L1409" i="82"/>
  <c r="K1410" i="82"/>
  <c r="L1410" i="82"/>
  <c r="K1411" i="82"/>
  <c r="L1411" i="82"/>
  <c r="K1412" i="82"/>
  <c r="L1412" i="82"/>
  <c r="K1413" i="82"/>
  <c r="L1413" i="82"/>
  <c r="K1414" i="82"/>
  <c r="L1414" i="82"/>
  <c r="K1415" i="82"/>
  <c r="L1415" i="82"/>
  <c r="K1416" i="82"/>
  <c r="L1416" i="82"/>
  <c r="K1417" i="82"/>
  <c r="L1417" i="82"/>
  <c r="K1418" i="82"/>
  <c r="L1418" i="82"/>
  <c r="K1419" i="82"/>
  <c r="L1419" i="82"/>
  <c r="K1420" i="82"/>
  <c r="L1420" i="82"/>
  <c r="K1421" i="82"/>
  <c r="L1421" i="82"/>
  <c r="K1422" i="82"/>
  <c r="L1422" i="82"/>
  <c r="K1423" i="82"/>
  <c r="L1423" i="82"/>
  <c r="K1424" i="82"/>
  <c r="L1424" i="82"/>
  <c r="K1425" i="82"/>
  <c r="L1425" i="82"/>
  <c r="K1426" i="82"/>
  <c r="L1426" i="82"/>
  <c r="K1427" i="82"/>
  <c r="L1427" i="82"/>
  <c r="K1428" i="82"/>
  <c r="L1428" i="82"/>
  <c r="K1429" i="82"/>
  <c r="L1429" i="82"/>
  <c r="K1430" i="82"/>
  <c r="L1430" i="82"/>
  <c r="K1431" i="82"/>
  <c r="L1431" i="82"/>
  <c r="K1432" i="82"/>
  <c r="L1432" i="82"/>
  <c r="K1433" i="82"/>
  <c r="L1433" i="82"/>
  <c r="K1434" i="82"/>
  <c r="L1434" i="82"/>
  <c r="K1435" i="82"/>
  <c r="L1435" i="82"/>
  <c r="K1436" i="82"/>
  <c r="L1436" i="82"/>
  <c r="K1437" i="82"/>
  <c r="L1437" i="82"/>
  <c r="K1438" i="82"/>
  <c r="L1438" i="82"/>
  <c r="K1439" i="82"/>
  <c r="L1439" i="82"/>
  <c r="K1440" i="82"/>
  <c r="L1440" i="82"/>
  <c r="K1441" i="82"/>
  <c r="L1441" i="82"/>
  <c r="K1442" i="82"/>
  <c r="L1442" i="82"/>
  <c r="K1443" i="82"/>
  <c r="L1443" i="82"/>
  <c r="K1444" i="82"/>
  <c r="L1444" i="82"/>
  <c r="K1445" i="82"/>
  <c r="L1445" i="82"/>
  <c r="K1446" i="82"/>
  <c r="L1446" i="82"/>
  <c r="K1447" i="82"/>
  <c r="L1447" i="82"/>
  <c r="K1448" i="82"/>
  <c r="L1448" i="82"/>
  <c r="K1449" i="82"/>
  <c r="L1449" i="82"/>
  <c r="K1450" i="82"/>
  <c r="L1450" i="82"/>
  <c r="K1451" i="82"/>
  <c r="L1451" i="82"/>
  <c r="K1452" i="82"/>
  <c r="L1452" i="82"/>
  <c r="K1453" i="82"/>
  <c r="L1453" i="82"/>
  <c r="K1454" i="82"/>
  <c r="L1454" i="82"/>
  <c r="K1455" i="82"/>
  <c r="L1455" i="82"/>
  <c r="K1456" i="82"/>
  <c r="L1456" i="82"/>
  <c r="K1457" i="82"/>
  <c r="L1457" i="82"/>
  <c r="K1458" i="82"/>
  <c r="L1458" i="82"/>
  <c r="K1459" i="82"/>
  <c r="L1459" i="82"/>
  <c r="K1460" i="82"/>
  <c r="L1460" i="82"/>
  <c r="K1461" i="82"/>
  <c r="L1461" i="82"/>
  <c r="K1462" i="82"/>
  <c r="L1462" i="82"/>
  <c r="K1463" i="82"/>
  <c r="L1463" i="82"/>
  <c r="K1464" i="82"/>
  <c r="L1464" i="82"/>
  <c r="K1465" i="82"/>
  <c r="L1465" i="82"/>
  <c r="K1466" i="82"/>
  <c r="L1466" i="82"/>
  <c r="K1467" i="82"/>
  <c r="L1467" i="82"/>
  <c r="K1468" i="82"/>
  <c r="L1468" i="82"/>
  <c r="K1469" i="82"/>
  <c r="L1469" i="82"/>
  <c r="K1470" i="82"/>
  <c r="L1470" i="82"/>
  <c r="K1471" i="82"/>
  <c r="L1471" i="82"/>
  <c r="K1472" i="82"/>
  <c r="L1472" i="82"/>
  <c r="K1473" i="82"/>
  <c r="L1473" i="82"/>
  <c r="K1474" i="82"/>
  <c r="L1474" i="82"/>
  <c r="K1475" i="82"/>
  <c r="L1475" i="82"/>
  <c r="K1476" i="82"/>
  <c r="L1476" i="82"/>
  <c r="K1477" i="82"/>
  <c r="L1477" i="82"/>
  <c r="K1478" i="82"/>
  <c r="L1478" i="82"/>
  <c r="K1479" i="82"/>
  <c r="L1479" i="82"/>
  <c r="K1480" i="82"/>
  <c r="L1480" i="82"/>
  <c r="K1481" i="82"/>
  <c r="L1481" i="82"/>
  <c r="K1482" i="82"/>
  <c r="L1482" i="82"/>
  <c r="K1483" i="82"/>
  <c r="L1483" i="82"/>
  <c r="K1484" i="82"/>
  <c r="L1484" i="82"/>
  <c r="K1485" i="82"/>
  <c r="L1485" i="82"/>
  <c r="K1486" i="82"/>
  <c r="L1486" i="82"/>
  <c r="K1487" i="82"/>
  <c r="L1487" i="82"/>
  <c r="K1488" i="82"/>
  <c r="L1488" i="82"/>
  <c r="K1489" i="82"/>
  <c r="L1489" i="82"/>
  <c r="K1490" i="82"/>
  <c r="L1490" i="82"/>
  <c r="K1491" i="82"/>
  <c r="L1491" i="82"/>
  <c r="K1492" i="82"/>
  <c r="L1492" i="82"/>
  <c r="K1493" i="82"/>
  <c r="L1493" i="82"/>
  <c r="K1494" i="82"/>
  <c r="L1494" i="82"/>
  <c r="K1495" i="82"/>
  <c r="L1495" i="82"/>
  <c r="K1496" i="82"/>
  <c r="L1496" i="82"/>
  <c r="L6" i="82"/>
  <c r="H6" i="82"/>
  <c r="K6" i="82" s="1"/>
  <c r="K7" i="80"/>
  <c r="L7" i="80"/>
  <c r="H1388" i="82"/>
  <c r="K1388" i="82" s="1"/>
  <c r="H1389" i="82"/>
  <c r="K1389" i="82" s="1"/>
  <c r="H1390" i="82"/>
  <c r="K1390" i="82" s="1"/>
  <c r="H1391" i="82"/>
  <c r="K1391" i="82" s="1"/>
  <c r="H1392" i="82"/>
  <c r="K1392" i="82" s="1"/>
  <c r="H1393" i="82"/>
  <c r="K1393" i="82" s="1"/>
  <c r="H1394" i="82"/>
  <c r="K1394" i="82" s="1"/>
  <c r="H1395" i="82"/>
  <c r="K1395" i="82" s="1"/>
  <c r="H1396" i="82"/>
  <c r="K1396" i="82" s="1"/>
  <c r="H1397" i="82"/>
  <c r="K1397" i="82" s="1"/>
  <c r="H1398" i="82"/>
  <c r="K1398" i="82" s="1"/>
  <c r="H1399" i="82"/>
  <c r="K1399" i="82" s="1"/>
  <c r="H1400" i="82"/>
  <c r="K1400" i="82" s="1"/>
  <c r="H1401" i="82"/>
  <c r="K1401" i="82" s="1"/>
  <c r="H1402" i="82"/>
  <c r="K1402" i="82" s="1"/>
  <c r="H1403" i="82"/>
  <c r="K1403" i="82" s="1"/>
  <c r="H1404" i="82"/>
  <c r="K1404" i="82" s="1"/>
  <c r="H1405" i="82"/>
  <c r="K1405" i="82" s="1"/>
  <c r="F1497" i="82"/>
  <c r="G1497" i="82"/>
  <c r="I1497" i="82"/>
  <c r="J1497" i="82"/>
  <c r="H7" i="82"/>
  <c r="K7" i="82" s="1"/>
  <c r="H8" i="82"/>
  <c r="K8" i="82" s="1"/>
  <c r="H9" i="82"/>
  <c r="K9" i="82" s="1"/>
  <c r="H10" i="82"/>
  <c r="K10" i="82" s="1"/>
  <c r="H11" i="82"/>
  <c r="K11" i="82" s="1"/>
  <c r="H12" i="82"/>
  <c r="K12" i="82" s="1"/>
  <c r="H13" i="82"/>
  <c r="K13" i="82" s="1"/>
  <c r="H14" i="82"/>
  <c r="K14" i="82" s="1"/>
  <c r="H15" i="82"/>
  <c r="K15" i="82" s="1"/>
  <c r="H16" i="82"/>
  <c r="K16" i="82" s="1"/>
  <c r="H17" i="82"/>
  <c r="K17" i="82" s="1"/>
  <c r="H18" i="82"/>
  <c r="K18" i="82" s="1"/>
  <c r="H19" i="82"/>
  <c r="K19" i="82" s="1"/>
  <c r="H20" i="82"/>
  <c r="K20" i="82" s="1"/>
  <c r="H21" i="82"/>
  <c r="K21" i="82" s="1"/>
  <c r="H22" i="82"/>
  <c r="K22" i="82" s="1"/>
  <c r="H23" i="82"/>
  <c r="K23" i="82" s="1"/>
  <c r="H24" i="82"/>
  <c r="K24" i="82" s="1"/>
  <c r="H25" i="82"/>
  <c r="K25" i="82" s="1"/>
  <c r="H26" i="82"/>
  <c r="K26" i="82" s="1"/>
  <c r="H27" i="82"/>
  <c r="K27" i="82" s="1"/>
  <c r="H28" i="82"/>
  <c r="K28" i="82" s="1"/>
  <c r="H29" i="82"/>
  <c r="K29" i="82" s="1"/>
  <c r="H30" i="82"/>
  <c r="K30" i="82" s="1"/>
  <c r="H31" i="82"/>
  <c r="K31" i="82" s="1"/>
  <c r="H32" i="82"/>
  <c r="K32" i="82" s="1"/>
  <c r="H33" i="82"/>
  <c r="K33" i="82" s="1"/>
  <c r="H34" i="82"/>
  <c r="K34" i="82" s="1"/>
  <c r="H35" i="82"/>
  <c r="K35" i="82" s="1"/>
  <c r="H36" i="82"/>
  <c r="K36" i="82" s="1"/>
  <c r="H37" i="82"/>
  <c r="K37" i="82" s="1"/>
  <c r="H38" i="82"/>
  <c r="K38" i="82" s="1"/>
  <c r="H39" i="82"/>
  <c r="K39" i="82" s="1"/>
  <c r="H40" i="82"/>
  <c r="K40" i="82" s="1"/>
  <c r="H41" i="82"/>
  <c r="K41" i="82" s="1"/>
  <c r="H42" i="82"/>
  <c r="K42" i="82" s="1"/>
  <c r="H43" i="82"/>
  <c r="K43" i="82" s="1"/>
  <c r="H44" i="82"/>
  <c r="K44" i="82" s="1"/>
  <c r="H45" i="82"/>
  <c r="K45" i="82" s="1"/>
  <c r="H46" i="82"/>
  <c r="K46" i="82" s="1"/>
  <c r="H47" i="82"/>
  <c r="K47" i="82" s="1"/>
  <c r="H48" i="82"/>
  <c r="K48" i="82" s="1"/>
  <c r="H49" i="82"/>
  <c r="K49" i="82" s="1"/>
  <c r="H50" i="82"/>
  <c r="K50" i="82" s="1"/>
  <c r="H51" i="82"/>
  <c r="K51" i="82" s="1"/>
  <c r="H52" i="82"/>
  <c r="K52" i="82" s="1"/>
  <c r="H53" i="82"/>
  <c r="K53" i="82" s="1"/>
  <c r="H54" i="82"/>
  <c r="K54" i="82" s="1"/>
  <c r="H55" i="82"/>
  <c r="K55" i="82" s="1"/>
  <c r="H56" i="82"/>
  <c r="K56" i="82" s="1"/>
  <c r="H57" i="82"/>
  <c r="K57" i="82" s="1"/>
  <c r="H58" i="82"/>
  <c r="K58" i="82" s="1"/>
  <c r="H59" i="82"/>
  <c r="K59" i="82" s="1"/>
  <c r="H60" i="82"/>
  <c r="K60" i="82" s="1"/>
  <c r="H61" i="82"/>
  <c r="K61" i="82" s="1"/>
  <c r="H62" i="82"/>
  <c r="K62" i="82" s="1"/>
  <c r="H63" i="82"/>
  <c r="K63" i="82" s="1"/>
  <c r="H64" i="82"/>
  <c r="K64" i="82" s="1"/>
  <c r="H65" i="82"/>
  <c r="K65" i="82" s="1"/>
  <c r="H66" i="82"/>
  <c r="K66" i="82" s="1"/>
  <c r="H67" i="82"/>
  <c r="K67" i="82" s="1"/>
  <c r="H68" i="82"/>
  <c r="K68" i="82" s="1"/>
  <c r="H69" i="82"/>
  <c r="K69" i="82" s="1"/>
  <c r="H70" i="82"/>
  <c r="K70" i="82" s="1"/>
  <c r="H71" i="82"/>
  <c r="K71" i="82" s="1"/>
  <c r="H72" i="82"/>
  <c r="K72" i="82" s="1"/>
  <c r="H73" i="82"/>
  <c r="K73" i="82" s="1"/>
  <c r="H74" i="82"/>
  <c r="K74" i="82" s="1"/>
  <c r="H75" i="82"/>
  <c r="K75" i="82" s="1"/>
  <c r="H76" i="82"/>
  <c r="K76" i="82" s="1"/>
  <c r="H77" i="82"/>
  <c r="K77" i="82" s="1"/>
  <c r="H78" i="82"/>
  <c r="K78" i="82" s="1"/>
  <c r="H79" i="82"/>
  <c r="K79" i="82" s="1"/>
  <c r="H80" i="82"/>
  <c r="K80" i="82" s="1"/>
  <c r="H81" i="82"/>
  <c r="K81" i="82" s="1"/>
  <c r="H82" i="82"/>
  <c r="K82" i="82" s="1"/>
  <c r="H83" i="82"/>
  <c r="K83" i="82" s="1"/>
  <c r="H84" i="82"/>
  <c r="K84" i="82" s="1"/>
  <c r="H85" i="82"/>
  <c r="K85" i="82" s="1"/>
  <c r="H86" i="82"/>
  <c r="K86" i="82" s="1"/>
  <c r="H87" i="82"/>
  <c r="K87" i="82" s="1"/>
  <c r="H88" i="82"/>
  <c r="K88" i="82" s="1"/>
  <c r="H89" i="82"/>
  <c r="K89" i="82" s="1"/>
  <c r="H90" i="82"/>
  <c r="K90" i="82" s="1"/>
  <c r="H91" i="82"/>
  <c r="K91" i="82" s="1"/>
  <c r="H92" i="82"/>
  <c r="K92" i="82" s="1"/>
  <c r="H93" i="82"/>
  <c r="K93" i="82" s="1"/>
  <c r="H94" i="82"/>
  <c r="K94" i="82" s="1"/>
  <c r="H95" i="82"/>
  <c r="K95" i="82" s="1"/>
  <c r="H96" i="82"/>
  <c r="K96" i="82" s="1"/>
  <c r="H97" i="82"/>
  <c r="K97" i="82" s="1"/>
  <c r="H98" i="82"/>
  <c r="K98" i="82" s="1"/>
  <c r="H99" i="82"/>
  <c r="K99" i="82" s="1"/>
  <c r="H100" i="82"/>
  <c r="K100" i="82" s="1"/>
  <c r="H101" i="82"/>
  <c r="K101" i="82" s="1"/>
  <c r="H102" i="82"/>
  <c r="K102" i="82" s="1"/>
  <c r="H103" i="82"/>
  <c r="K103" i="82" s="1"/>
  <c r="H104" i="82"/>
  <c r="K104" i="82" s="1"/>
  <c r="H105" i="82"/>
  <c r="K105" i="82" s="1"/>
  <c r="H106" i="82"/>
  <c r="K106" i="82" s="1"/>
  <c r="H107" i="82"/>
  <c r="K107" i="82" s="1"/>
  <c r="H108" i="82"/>
  <c r="K108" i="82" s="1"/>
  <c r="H109" i="82"/>
  <c r="K109" i="82" s="1"/>
  <c r="H110" i="82"/>
  <c r="K110" i="82" s="1"/>
  <c r="H111" i="82"/>
  <c r="K111" i="82" s="1"/>
  <c r="H112" i="82"/>
  <c r="K112" i="82" s="1"/>
  <c r="H113" i="82"/>
  <c r="K113" i="82" s="1"/>
  <c r="H114" i="82"/>
  <c r="K114" i="82" s="1"/>
  <c r="H115" i="82"/>
  <c r="K115" i="82" s="1"/>
  <c r="H116" i="82"/>
  <c r="K116" i="82" s="1"/>
  <c r="H117" i="82"/>
  <c r="K117" i="82" s="1"/>
  <c r="H118" i="82"/>
  <c r="K118" i="82" s="1"/>
  <c r="H119" i="82"/>
  <c r="K119" i="82" s="1"/>
  <c r="H120" i="82"/>
  <c r="K120" i="82" s="1"/>
  <c r="H121" i="82"/>
  <c r="K121" i="82" s="1"/>
  <c r="H122" i="82"/>
  <c r="K122" i="82" s="1"/>
  <c r="H123" i="82"/>
  <c r="K123" i="82" s="1"/>
  <c r="H124" i="82"/>
  <c r="K124" i="82" s="1"/>
  <c r="H125" i="82"/>
  <c r="K125" i="82" s="1"/>
  <c r="H126" i="82"/>
  <c r="K126" i="82" s="1"/>
  <c r="H127" i="82"/>
  <c r="K127" i="82" s="1"/>
  <c r="H128" i="82"/>
  <c r="K128" i="82" s="1"/>
  <c r="H129" i="82"/>
  <c r="K129" i="82" s="1"/>
  <c r="H130" i="82"/>
  <c r="K130" i="82" s="1"/>
  <c r="H131" i="82"/>
  <c r="K131" i="82" s="1"/>
  <c r="H132" i="82"/>
  <c r="K132" i="82" s="1"/>
  <c r="H133" i="82"/>
  <c r="K133" i="82" s="1"/>
  <c r="H134" i="82"/>
  <c r="K134" i="82" s="1"/>
  <c r="H135" i="82"/>
  <c r="K135" i="82" s="1"/>
  <c r="H136" i="82"/>
  <c r="K136" i="82" s="1"/>
  <c r="H137" i="82"/>
  <c r="K137" i="82" s="1"/>
  <c r="H138" i="82"/>
  <c r="K138" i="82" s="1"/>
  <c r="H139" i="82"/>
  <c r="K139" i="82" s="1"/>
  <c r="H140" i="82"/>
  <c r="K140" i="82" s="1"/>
  <c r="H141" i="82"/>
  <c r="K141" i="82" s="1"/>
  <c r="H142" i="82"/>
  <c r="K142" i="82" s="1"/>
  <c r="H143" i="82"/>
  <c r="K143" i="82" s="1"/>
  <c r="H144" i="82"/>
  <c r="K144" i="82" s="1"/>
  <c r="H145" i="82"/>
  <c r="K145" i="82" s="1"/>
  <c r="H146" i="82"/>
  <c r="K146" i="82" s="1"/>
  <c r="H147" i="82"/>
  <c r="K147" i="82" s="1"/>
  <c r="H148" i="82"/>
  <c r="K148" i="82" s="1"/>
  <c r="H149" i="82"/>
  <c r="K149" i="82" s="1"/>
  <c r="H150" i="82"/>
  <c r="K150" i="82" s="1"/>
  <c r="H151" i="82"/>
  <c r="K151" i="82" s="1"/>
  <c r="H152" i="82"/>
  <c r="K152" i="82" s="1"/>
  <c r="H153" i="82"/>
  <c r="K153" i="82" s="1"/>
  <c r="H154" i="82"/>
  <c r="K154" i="82" s="1"/>
  <c r="H155" i="82"/>
  <c r="K155" i="82" s="1"/>
  <c r="H156" i="82"/>
  <c r="K156" i="82" s="1"/>
  <c r="H157" i="82"/>
  <c r="K157" i="82" s="1"/>
  <c r="H158" i="82"/>
  <c r="K158" i="82" s="1"/>
  <c r="H159" i="82"/>
  <c r="K159" i="82" s="1"/>
  <c r="H160" i="82"/>
  <c r="K160" i="82" s="1"/>
  <c r="H161" i="82"/>
  <c r="K161" i="82" s="1"/>
  <c r="H162" i="82"/>
  <c r="K162" i="82" s="1"/>
  <c r="H163" i="82"/>
  <c r="K163" i="82" s="1"/>
  <c r="H164" i="82"/>
  <c r="K164" i="82" s="1"/>
  <c r="H165" i="82"/>
  <c r="K165" i="82" s="1"/>
  <c r="H166" i="82"/>
  <c r="K166" i="82" s="1"/>
  <c r="H167" i="82"/>
  <c r="K167" i="82" s="1"/>
  <c r="H168" i="82"/>
  <c r="K168" i="82" s="1"/>
  <c r="H169" i="82"/>
  <c r="K169" i="82" s="1"/>
  <c r="H170" i="82"/>
  <c r="K170" i="82" s="1"/>
  <c r="H171" i="82"/>
  <c r="K171" i="82" s="1"/>
  <c r="H172" i="82"/>
  <c r="K172" i="82" s="1"/>
  <c r="H173" i="82"/>
  <c r="K173" i="82" s="1"/>
  <c r="H174" i="82"/>
  <c r="K174" i="82" s="1"/>
  <c r="H175" i="82"/>
  <c r="K175" i="82" s="1"/>
  <c r="H176" i="82"/>
  <c r="K176" i="82" s="1"/>
  <c r="H177" i="82"/>
  <c r="K177" i="82" s="1"/>
  <c r="H178" i="82"/>
  <c r="K178" i="82" s="1"/>
  <c r="H179" i="82"/>
  <c r="K179" i="82" s="1"/>
  <c r="H180" i="82"/>
  <c r="K180" i="82" s="1"/>
  <c r="H181" i="82"/>
  <c r="K181" i="82" s="1"/>
  <c r="H182" i="82"/>
  <c r="K182" i="82" s="1"/>
  <c r="H183" i="82"/>
  <c r="K183" i="82" s="1"/>
  <c r="H184" i="82"/>
  <c r="K184" i="82" s="1"/>
  <c r="H185" i="82"/>
  <c r="K185" i="82" s="1"/>
  <c r="H186" i="82"/>
  <c r="K186" i="82" s="1"/>
  <c r="H187" i="82"/>
  <c r="K187" i="82" s="1"/>
  <c r="H188" i="82"/>
  <c r="K188" i="82" s="1"/>
  <c r="H189" i="82"/>
  <c r="K189" i="82" s="1"/>
  <c r="H190" i="82"/>
  <c r="K190" i="82" s="1"/>
  <c r="H191" i="82"/>
  <c r="K191" i="82" s="1"/>
  <c r="H192" i="82"/>
  <c r="K192" i="82" s="1"/>
  <c r="H193" i="82"/>
  <c r="K193" i="82" s="1"/>
  <c r="H194" i="82"/>
  <c r="K194" i="82" s="1"/>
  <c r="H195" i="82"/>
  <c r="K195" i="82" s="1"/>
  <c r="H196" i="82"/>
  <c r="K196" i="82" s="1"/>
  <c r="H197" i="82"/>
  <c r="K197" i="82" s="1"/>
  <c r="H198" i="82"/>
  <c r="K198" i="82" s="1"/>
  <c r="H199" i="82"/>
  <c r="K199" i="82" s="1"/>
  <c r="H200" i="82"/>
  <c r="K200" i="82" s="1"/>
  <c r="H201" i="82"/>
  <c r="K201" i="82" s="1"/>
  <c r="H202" i="82"/>
  <c r="K202" i="82" s="1"/>
  <c r="H203" i="82"/>
  <c r="K203" i="82" s="1"/>
  <c r="H204" i="82"/>
  <c r="K204" i="82" s="1"/>
  <c r="H205" i="82"/>
  <c r="K205" i="82" s="1"/>
  <c r="H206" i="82"/>
  <c r="K206" i="82" s="1"/>
  <c r="H207" i="82"/>
  <c r="K207" i="82" s="1"/>
  <c r="H208" i="82"/>
  <c r="K208" i="82" s="1"/>
  <c r="H209" i="82"/>
  <c r="K209" i="82" s="1"/>
  <c r="H210" i="82"/>
  <c r="K210" i="82" s="1"/>
  <c r="H211" i="82"/>
  <c r="K211" i="82" s="1"/>
  <c r="H212" i="82"/>
  <c r="K212" i="82" s="1"/>
  <c r="H213" i="82"/>
  <c r="K213" i="82" s="1"/>
  <c r="H214" i="82"/>
  <c r="K214" i="82" s="1"/>
  <c r="H215" i="82"/>
  <c r="K215" i="82" s="1"/>
  <c r="H216" i="82"/>
  <c r="K216" i="82" s="1"/>
  <c r="H217" i="82"/>
  <c r="K217" i="82" s="1"/>
  <c r="H218" i="82"/>
  <c r="K218" i="82" s="1"/>
  <c r="H219" i="82"/>
  <c r="K219" i="82" s="1"/>
  <c r="H220" i="82"/>
  <c r="K220" i="82" s="1"/>
  <c r="H221" i="82"/>
  <c r="K221" i="82" s="1"/>
  <c r="H222" i="82"/>
  <c r="K222" i="82" s="1"/>
  <c r="H223" i="82"/>
  <c r="K223" i="82" s="1"/>
  <c r="H224" i="82"/>
  <c r="K224" i="82" s="1"/>
  <c r="H225" i="82"/>
  <c r="K225" i="82" s="1"/>
  <c r="H226" i="82"/>
  <c r="K226" i="82" s="1"/>
  <c r="H227" i="82"/>
  <c r="K227" i="82" s="1"/>
  <c r="H228" i="82"/>
  <c r="K228" i="82" s="1"/>
  <c r="H229" i="82"/>
  <c r="K229" i="82" s="1"/>
  <c r="H230" i="82"/>
  <c r="K230" i="82" s="1"/>
  <c r="H231" i="82"/>
  <c r="K231" i="82" s="1"/>
  <c r="H232" i="82"/>
  <c r="K232" i="82" s="1"/>
  <c r="H233" i="82"/>
  <c r="K233" i="82" s="1"/>
  <c r="H234" i="82"/>
  <c r="K234" i="82" s="1"/>
  <c r="H235" i="82"/>
  <c r="K235" i="82" s="1"/>
  <c r="H236" i="82"/>
  <c r="K236" i="82" s="1"/>
  <c r="H237" i="82"/>
  <c r="K237" i="82" s="1"/>
  <c r="H238" i="82"/>
  <c r="K238" i="82" s="1"/>
  <c r="H239" i="82"/>
  <c r="K239" i="82" s="1"/>
  <c r="H240" i="82"/>
  <c r="K240" i="82" s="1"/>
  <c r="H241" i="82"/>
  <c r="K241" i="82" s="1"/>
  <c r="H242" i="82"/>
  <c r="K242" i="82" s="1"/>
  <c r="H243" i="82"/>
  <c r="K243" i="82" s="1"/>
  <c r="H244" i="82"/>
  <c r="K244" i="82" s="1"/>
  <c r="H245" i="82"/>
  <c r="K245" i="82" s="1"/>
  <c r="H246" i="82"/>
  <c r="K246" i="82" s="1"/>
  <c r="H247" i="82"/>
  <c r="K247" i="82" s="1"/>
  <c r="H248" i="82"/>
  <c r="K248" i="82" s="1"/>
  <c r="H249" i="82"/>
  <c r="K249" i="82" s="1"/>
  <c r="H250" i="82"/>
  <c r="K250" i="82" s="1"/>
  <c r="H251" i="82"/>
  <c r="K251" i="82" s="1"/>
  <c r="H252" i="82"/>
  <c r="K252" i="82" s="1"/>
  <c r="H253" i="82"/>
  <c r="K253" i="82" s="1"/>
  <c r="H254" i="82"/>
  <c r="K254" i="82" s="1"/>
  <c r="H255" i="82"/>
  <c r="K255" i="82" s="1"/>
  <c r="H256" i="82"/>
  <c r="K256" i="82" s="1"/>
  <c r="H257" i="82"/>
  <c r="K257" i="82" s="1"/>
  <c r="H258" i="82"/>
  <c r="K258" i="82" s="1"/>
  <c r="H259" i="82"/>
  <c r="K259" i="82" s="1"/>
  <c r="H260" i="82"/>
  <c r="K260" i="82" s="1"/>
  <c r="H261" i="82"/>
  <c r="K261" i="82" s="1"/>
  <c r="H262" i="82"/>
  <c r="K262" i="82" s="1"/>
  <c r="H263" i="82"/>
  <c r="K263" i="82" s="1"/>
  <c r="H264" i="82"/>
  <c r="K264" i="82" s="1"/>
  <c r="H265" i="82"/>
  <c r="K265" i="82" s="1"/>
  <c r="H266" i="82"/>
  <c r="K266" i="82" s="1"/>
  <c r="H267" i="82"/>
  <c r="K267" i="82" s="1"/>
  <c r="H268" i="82"/>
  <c r="K268" i="82" s="1"/>
  <c r="H269" i="82"/>
  <c r="K269" i="82" s="1"/>
  <c r="H270" i="82"/>
  <c r="K270" i="82" s="1"/>
  <c r="H271" i="82"/>
  <c r="K271" i="82" s="1"/>
  <c r="H272" i="82"/>
  <c r="K272" i="82" s="1"/>
  <c r="H273" i="82"/>
  <c r="K273" i="82" s="1"/>
  <c r="H274" i="82"/>
  <c r="K274" i="82" s="1"/>
  <c r="H275" i="82"/>
  <c r="K275" i="82" s="1"/>
  <c r="H276" i="82"/>
  <c r="K276" i="82" s="1"/>
  <c r="H277" i="82"/>
  <c r="K277" i="82" s="1"/>
  <c r="H278" i="82"/>
  <c r="K278" i="82" s="1"/>
  <c r="H279" i="82"/>
  <c r="K279" i="82" s="1"/>
  <c r="H280" i="82"/>
  <c r="K280" i="82" s="1"/>
  <c r="H281" i="82"/>
  <c r="K281" i="82" s="1"/>
  <c r="H282" i="82"/>
  <c r="K282" i="82" s="1"/>
  <c r="H283" i="82"/>
  <c r="K283" i="82" s="1"/>
  <c r="H284" i="82"/>
  <c r="K284" i="82" s="1"/>
  <c r="H285" i="82"/>
  <c r="K285" i="82" s="1"/>
  <c r="H286" i="82"/>
  <c r="K286" i="82" s="1"/>
  <c r="H287" i="82"/>
  <c r="K287" i="82" s="1"/>
  <c r="H288" i="82"/>
  <c r="K288" i="82" s="1"/>
  <c r="H289" i="82"/>
  <c r="K289" i="82" s="1"/>
  <c r="H290" i="82"/>
  <c r="K290" i="82" s="1"/>
  <c r="H291" i="82"/>
  <c r="K291" i="82" s="1"/>
  <c r="H292" i="82"/>
  <c r="K292" i="82" s="1"/>
  <c r="H293" i="82"/>
  <c r="K293" i="82" s="1"/>
  <c r="H294" i="82"/>
  <c r="K294" i="82" s="1"/>
  <c r="H295" i="82"/>
  <c r="K295" i="82" s="1"/>
  <c r="H296" i="82"/>
  <c r="K296" i="82" s="1"/>
  <c r="H297" i="82"/>
  <c r="K297" i="82" s="1"/>
  <c r="H298" i="82"/>
  <c r="K298" i="82" s="1"/>
  <c r="H299" i="82"/>
  <c r="K299" i="82" s="1"/>
  <c r="H300" i="82"/>
  <c r="K300" i="82" s="1"/>
  <c r="H301" i="82"/>
  <c r="K301" i="82" s="1"/>
  <c r="H302" i="82"/>
  <c r="K302" i="82" s="1"/>
  <c r="H303" i="82"/>
  <c r="K303" i="82" s="1"/>
  <c r="H304" i="82"/>
  <c r="K304" i="82" s="1"/>
  <c r="H305" i="82"/>
  <c r="K305" i="82" s="1"/>
  <c r="H306" i="82"/>
  <c r="K306" i="82" s="1"/>
  <c r="H307" i="82"/>
  <c r="K307" i="82" s="1"/>
  <c r="H308" i="82"/>
  <c r="K308" i="82" s="1"/>
  <c r="H309" i="82"/>
  <c r="K309" i="82" s="1"/>
  <c r="H310" i="82"/>
  <c r="K310" i="82" s="1"/>
  <c r="H311" i="82"/>
  <c r="K311" i="82" s="1"/>
  <c r="H312" i="82"/>
  <c r="K312" i="82" s="1"/>
  <c r="H313" i="82"/>
  <c r="K313" i="82" s="1"/>
  <c r="H314" i="82"/>
  <c r="K314" i="82" s="1"/>
  <c r="H315" i="82"/>
  <c r="K315" i="82" s="1"/>
  <c r="H316" i="82"/>
  <c r="K316" i="82" s="1"/>
  <c r="H317" i="82"/>
  <c r="K317" i="82" s="1"/>
  <c r="H318" i="82"/>
  <c r="K318" i="82" s="1"/>
  <c r="H319" i="82"/>
  <c r="K319" i="82" s="1"/>
  <c r="H320" i="82"/>
  <c r="K320" i="82" s="1"/>
  <c r="H321" i="82"/>
  <c r="K321" i="82" s="1"/>
  <c r="H322" i="82"/>
  <c r="K322" i="82" s="1"/>
  <c r="H323" i="82"/>
  <c r="K323" i="82" s="1"/>
  <c r="H324" i="82"/>
  <c r="K324" i="82" s="1"/>
  <c r="H325" i="82"/>
  <c r="K325" i="82" s="1"/>
  <c r="H326" i="82"/>
  <c r="K326" i="82" s="1"/>
  <c r="H327" i="82"/>
  <c r="K327" i="82" s="1"/>
  <c r="H328" i="82"/>
  <c r="K328" i="82" s="1"/>
  <c r="H329" i="82"/>
  <c r="K329" i="82" s="1"/>
  <c r="H330" i="82"/>
  <c r="K330" i="82" s="1"/>
  <c r="H331" i="82"/>
  <c r="K331" i="82" s="1"/>
  <c r="H332" i="82"/>
  <c r="K332" i="82" s="1"/>
  <c r="H333" i="82"/>
  <c r="K333" i="82" s="1"/>
  <c r="H334" i="82"/>
  <c r="K334" i="82" s="1"/>
  <c r="H335" i="82"/>
  <c r="K335" i="82" s="1"/>
  <c r="H336" i="82"/>
  <c r="K336" i="82" s="1"/>
  <c r="H337" i="82"/>
  <c r="K337" i="82" s="1"/>
  <c r="H338" i="82"/>
  <c r="K338" i="82" s="1"/>
  <c r="H339" i="82"/>
  <c r="K339" i="82" s="1"/>
  <c r="H340" i="82"/>
  <c r="K340" i="82" s="1"/>
  <c r="H341" i="82"/>
  <c r="K341" i="82" s="1"/>
  <c r="H342" i="82"/>
  <c r="K342" i="82" s="1"/>
  <c r="H343" i="82"/>
  <c r="K343" i="82" s="1"/>
  <c r="H344" i="82"/>
  <c r="K344" i="82" s="1"/>
  <c r="H345" i="82"/>
  <c r="K345" i="82" s="1"/>
  <c r="H346" i="82"/>
  <c r="K346" i="82" s="1"/>
  <c r="H347" i="82"/>
  <c r="K347" i="82" s="1"/>
  <c r="H348" i="82"/>
  <c r="K348" i="82" s="1"/>
  <c r="H349" i="82"/>
  <c r="K349" i="82" s="1"/>
  <c r="H350" i="82"/>
  <c r="K350" i="82" s="1"/>
  <c r="H351" i="82"/>
  <c r="K351" i="82" s="1"/>
  <c r="H352" i="82"/>
  <c r="K352" i="82" s="1"/>
  <c r="H353" i="82"/>
  <c r="K353" i="82" s="1"/>
  <c r="H354" i="82"/>
  <c r="K354" i="82" s="1"/>
  <c r="H355" i="82"/>
  <c r="K355" i="82" s="1"/>
  <c r="H356" i="82"/>
  <c r="K356" i="82" s="1"/>
  <c r="H357" i="82"/>
  <c r="K357" i="82" s="1"/>
  <c r="H358" i="82"/>
  <c r="K358" i="82" s="1"/>
  <c r="H359" i="82"/>
  <c r="K359" i="82" s="1"/>
  <c r="H360" i="82"/>
  <c r="K360" i="82" s="1"/>
  <c r="H361" i="82"/>
  <c r="K361" i="82" s="1"/>
  <c r="H362" i="82"/>
  <c r="K362" i="82" s="1"/>
  <c r="H363" i="82"/>
  <c r="K363" i="82" s="1"/>
  <c r="H364" i="82"/>
  <c r="K364" i="82" s="1"/>
  <c r="H365" i="82"/>
  <c r="K365" i="82" s="1"/>
  <c r="H366" i="82"/>
  <c r="K366" i="82" s="1"/>
  <c r="H367" i="82"/>
  <c r="K367" i="82" s="1"/>
  <c r="H368" i="82"/>
  <c r="K368" i="82" s="1"/>
  <c r="H369" i="82"/>
  <c r="K369" i="82" s="1"/>
  <c r="H370" i="82"/>
  <c r="K370" i="82" s="1"/>
  <c r="H371" i="82"/>
  <c r="K371" i="82" s="1"/>
  <c r="H372" i="82"/>
  <c r="K372" i="82" s="1"/>
  <c r="H373" i="82"/>
  <c r="K373" i="82" s="1"/>
  <c r="H374" i="82"/>
  <c r="K374" i="82" s="1"/>
  <c r="H375" i="82"/>
  <c r="K375" i="82" s="1"/>
  <c r="H376" i="82"/>
  <c r="K376" i="82" s="1"/>
  <c r="H377" i="82"/>
  <c r="K377" i="82" s="1"/>
  <c r="H378" i="82"/>
  <c r="K378" i="82" s="1"/>
  <c r="H379" i="82"/>
  <c r="K379" i="82" s="1"/>
  <c r="H380" i="82"/>
  <c r="K380" i="82" s="1"/>
  <c r="H381" i="82"/>
  <c r="K381" i="82" s="1"/>
  <c r="H382" i="82"/>
  <c r="K382" i="82" s="1"/>
  <c r="H383" i="82"/>
  <c r="K383" i="82" s="1"/>
  <c r="H384" i="82"/>
  <c r="K384" i="82" s="1"/>
  <c r="H385" i="82"/>
  <c r="K385" i="82" s="1"/>
  <c r="H386" i="82"/>
  <c r="K386" i="82" s="1"/>
  <c r="H387" i="82"/>
  <c r="K387" i="82" s="1"/>
  <c r="H388" i="82"/>
  <c r="K388" i="82" s="1"/>
  <c r="H389" i="82"/>
  <c r="K389" i="82" s="1"/>
  <c r="H390" i="82"/>
  <c r="K390" i="82" s="1"/>
  <c r="H391" i="82"/>
  <c r="K391" i="82" s="1"/>
  <c r="H392" i="82"/>
  <c r="K392" i="82" s="1"/>
  <c r="H393" i="82"/>
  <c r="K393" i="82" s="1"/>
  <c r="H394" i="82"/>
  <c r="K394" i="82" s="1"/>
  <c r="H395" i="82"/>
  <c r="K395" i="82" s="1"/>
  <c r="H396" i="82"/>
  <c r="K396" i="82" s="1"/>
  <c r="H397" i="82"/>
  <c r="K397" i="82" s="1"/>
  <c r="H398" i="82"/>
  <c r="K398" i="82" s="1"/>
  <c r="H399" i="82"/>
  <c r="K399" i="82" s="1"/>
  <c r="H400" i="82"/>
  <c r="K400" i="82" s="1"/>
  <c r="H401" i="82"/>
  <c r="K401" i="82" s="1"/>
  <c r="H402" i="82"/>
  <c r="K402" i="82" s="1"/>
  <c r="H403" i="82"/>
  <c r="K403" i="82" s="1"/>
  <c r="H404" i="82"/>
  <c r="K404" i="82" s="1"/>
  <c r="H405" i="82"/>
  <c r="K405" i="82" s="1"/>
  <c r="H406" i="82"/>
  <c r="K406" i="82" s="1"/>
  <c r="H407" i="82"/>
  <c r="K407" i="82" s="1"/>
  <c r="H408" i="82"/>
  <c r="K408" i="82" s="1"/>
  <c r="H409" i="82"/>
  <c r="K409" i="82" s="1"/>
  <c r="H410" i="82"/>
  <c r="K410" i="82" s="1"/>
  <c r="H411" i="82"/>
  <c r="K411" i="82" s="1"/>
  <c r="H412" i="82"/>
  <c r="K412" i="82" s="1"/>
  <c r="H413" i="82"/>
  <c r="K413" i="82" s="1"/>
  <c r="H414" i="82"/>
  <c r="K414" i="82" s="1"/>
  <c r="H415" i="82"/>
  <c r="K415" i="82" s="1"/>
  <c r="H416" i="82"/>
  <c r="K416" i="82" s="1"/>
  <c r="H417" i="82"/>
  <c r="K417" i="82" s="1"/>
  <c r="H418" i="82"/>
  <c r="K418" i="82" s="1"/>
  <c r="H419" i="82"/>
  <c r="K419" i="82" s="1"/>
  <c r="H420" i="82"/>
  <c r="K420" i="82" s="1"/>
  <c r="H421" i="82"/>
  <c r="K421" i="82" s="1"/>
  <c r="H422" i="82"/>
  <c r="K422" i="82" s="1"/>
  <c r="H423" i="82"/>
  <c r="K423" i="82" s="1"/>
  <c r="H424" i="82"/>
  <c r="K424" i="82" s="1"/>
  <c r="H425" i="82"/>
  <c r="K425" i="82" s="1"/>
  <c r="H426" i="82"/>
  <c r="K426" i="82" s="1"/>
  <c r="H427" i="82"/>
  <c r="K427" i="82" s="1"/>
  <c r="H428" i="82"/>
  <c r="K428" i="82" s="1"/>
  <c r="H429" i="82"/>
  <c r="K429" i="82" s="1"/>
  <c r="H430" i="82"/>
  <c r="K430" i="82" s="1"/>
  <c r="H431" i="82"/>
  <c r="K431" i="82" s="1"/>
  <c r="H432" i="82"/>
  <c r="K432" i="82" s="1"/>
  <c r="H433" i="82"/>
  <c r="K433" i="82" s="1"/>
  <c r="H434" i="82"/>
  <c r="K434" i="82" s="1"/>
  <c r="H435" i="82"/>
  <c r="K435" i="82" s="1"/>
  <c r="H436" i="82"/>
  <c r="K436" i="82" s="1"/>
  <c r="H437" i="82"/>
  <c r="K437" i="82" s="1"/>
  <c r="H438" i="82"/>
  <c r="K438" i="82" s="1"/>
  <c r="H439" i="82"/>
  <c r="K439" i="82" s="1"/>
  <c r="H440" i="82"/>
  <c r="K440" i="82" s="1"/>
  <c r="H441" i="82"/>
  <c r="K441" i="82" s="1"/>
  <c r="H442" i="82"/>
  <c r="K442" i="82" s="1"/>
  <c r="H443" i="82"/>
  <c r="K443" i="82" s="1"/>
  <c r="H444" i="82"/>
  <c r="K444" i="82" s="1"/>
  <c r="H445" i="82"/>
  <c r="K445" i="82" s="1"/>
  <c r="H446" i="82"/>
  <c r="K446" i="82" s="1"/>
  <c r="H447" i="82"/>
  <c r="K447" i="82" s="1"/>
  <c r="H448" i="82"/>
  <c r="K448" i="82" s="1"/>
  <c r="H449" i="82"/>
  <c r="K449" i="82" s="1"/>
  <c r="H450" i="82"/>
  <c r="K450" i="82" s="1"/>
  <c r="H451" i="82"/>
  <c r="K451" i="82" s="1"/>
  <c r="H452" i="82"/>
  <c r="K452" i="82" s="1"/>
  <c r="H453" i="82"/>
  <c r="K453" i="82" s="1"/>
  <c r="H454" i="82"/>
  <c r="K454" i="82" s="1"/>
  <c r="H455" i="82"/>
  <c r="K455" i="82" s="1"/>
  <c r="H456" i="82"/>
  <c r="K456" i="82" s="1"/>
  <c r="H457" i="82"/>
  <c r="K457" i="82" s="1"/>
  <c r="H458" i="82"/>
  <c r="K458" i="82" s="1"/>
  <c r="H459" i="82"/>
  <c r="K459" i="82" s="1"/>
  <c r="H460" i="82"/>
  <c r="K460" i="82" s="1"/>
  <c r="H461" i="82"/>
  <c r="K461" i="82" s="1"/>
  <c r="H462" i="82"/>
  <c r="K462" i="82" s="1"/>
  <c r="H463" i="82"/>
  <c r="K463" i="82" s="1"/>
  <c r="H464" i="82"/>
  <c r="K464" i="82" s="1"/>
  <c r="H465" i="82"/>
  <c r="K465" i="82" s="1"/>
  <c r="H466" i="82"/>
  <c r="K466" i="82" s="1"/>
  <c r="H467" i="82"/>
  <c r="K467" i="82" s="1"/>
  <c r="H468" i="82"/>
  <c r="K468" i="82" s="1"/>
  <c r="H469" i="82"/>
  <c r="K469" i="82" s="1"/>
  <c r="H470" i="82"/>
  <c r="K470" i="82" s="1"/>
  <c r="H471" i="82"/>
  <c r="K471" i="82" s="1"/>
  <c r="H472" i="82"/>
  <c r="K472" i="82" s="1"/>
  <c r="H473" i="82"/>
  <c r="K473" i="82" s="1"/>
  <c r="H474" i="82"/>
  <c r="K474" i="82" s="1"/>
  <c r="H475" i="82"/>
  <c r="K475" i="82" s="1"/>
  <c r="H476" i="82"/>
  <c r="K476" i="82" s="1"/>
  <c r="H477" i="82"/>
  <c r="K477" i="82" s="1"/>
  <c r="H478" i="82"/>
  <c r="K478" i="82" s="1"/>
  <c r="H479" i="82"/>
  <c r="K479" i="82" s="1"/>
  <c r="H480" i="82"/>
  <c r="K480" i="82" s="1"/>
  <c r="H481" i="82"/>
  <c r="K481" i="82" s="1"/>
  <c r="H482" i="82"/>
  <c r="K482" i="82" s="1"/>
  <c r="H483" i="82"/>
  <c r="K483" i="82" s="1"/>
  <c r="H484" i="82"/>
  <c r="K484" i="82" s="1"/>
  <c r="H485" i="82"/>
  <c r="K485" i="82" s="1"/>
  <c r="H486" i="82"/>
  <c r="K486" i="82" s="1"/>
  <c r="H487" i="82"/>
  <c r="K487" i="82" s="1"/>
  <c r="H488" i="82"/>
  <c r="K488" i="82" s="1"/>
  <c r="H489" i="82"/>
  <c r="K489" i="82" s="1"/>
  <c r="H490" i="82"/>
  <c r="K490" i="82" s="1"/>
  <c r="H491" i="82"/>
  <c r="K491" i="82" s="1"/>
  <c r="H492" i="82"/>
  <c r="K492" i="82" s="1"/>
  <c r="H493" i="82"/>
  <c r="K493" i="82" s="1"/>
  <c r="H494" i="82"/>
  <c r="K494" i="82" s="1"/>
  <c r="H495" i="82"/>
  <c r="K495" i="82" s="1"/>
  <c r="H496" i="82"/>
  <c r="K496" i="82" s="1"/>
  <c r="H497" i="82"/>
  <c r="K497" i="82" s="1"/>
  <c r="H498" i="82"/>
  <c r="K498" i="82" s="1"/>
  <c r="H499" i="82"/>
  <c r="K499" i="82" s="1"/>
  <c r="H500" i="82"/>
  <c r="K500" i="82" s="1"/>
  <c r="H501" i="82"/>
  <c r="K501" i="82" s="1"/>
  <c r="H502" i="82"/>
  <c r="K502" i="82" s="1"/>
  <c r="H503" i="82"/>
  <c r="K503" i="82" s="1"/>
  <c r="H504" i="82"/>
  <c r="K504" i="82" s="1"/>
  <c r="H505" i="82"/>
  <c r="K505" i="82" s="1"/>
  <c r="H506" i="82"/>
  <c r="K506" i="82" s="1"/>
  <c r="H507" i="82"/>
  <c r="K507" i="82" s="1"/>
  <c r="H508" i="82"/>
  <c r="K508" i="82" s="1"/>
  <c r="H509" i="82"/>
  <c r="K509" i="82" s="1"/>
  <c r="H510" i="82"/>
  <c r="K510" i="82" s="1"/>
  <c r="H511" i="82"/>
  <c r="K511" i="82" s="1"/>
  <c r="H512" i="82"/>
  <c r="K512" i="82" s="1"/>
  <c r="H513" i="82"/>
  <c r="K513" i="82" s="1"/>
  <c r="H514" i="82"/>
  <c r="K514" i="82" s="1"/>
  <c r="H515" i="82"/>
  <c r="K515" i="82" s="1"/>
  <c r="H516" i="82"/>
  <c r="K516" i="82" s="1"/>
  <c r="H517" i="82"/>
  <c r="K517" i="82" s="1"/>
  <c r="H518" i="82"/>
  <c r="K518" i="82" s="1"/>
  <c r="H519" i="82"/>
  <c r="K519" i="82" s="1"/>
  <c r="H520" i="82"/>
  <c r="K520" i="82" s="1"/>
  <c r="H521" i="82"/>
  <c r="K521" i="82" s="1"/>
  <c r="H522" i="82"/>
  <c r="K522" i="82" s="1"/>
  <c r="H523" i="82"/>
  <c r="K523" i="82" s="1"/>
  <c r="H524" i="82"/>
  <c r="K524" i="82" s="1"/>
  <c r="H525" i="82"/>
  <c r="K525" i="82" s="1"/>
  <c r="H526" i="82"/>
  <c r="K526" i="82" s="1"/>
  <c r="H527" i="82"/>
  <c r="K527" i="82" s="1"/>
  <c r="H528" i="82"/>
  <c r="K528" i="82" s="1"/>
  <c r="H529" i="82"/>
  <c r="K529" i="82" s="1"/>
  <c r="H530" i="82"/>
  <c r="K530" i="82" s="1"/>
  <c r="H531" i="82"/>
  <c r="K531" i="82" s="1"/>
  <c r="H532" i="82"/>
  <c r="K532" i="82" s="1"/>
  <c r="H533" i="82"/>
  <c r="K533" i="82" s="1"/>
  <c r="H534" i="82"/>
  <c r="K534" i="82" s="1"/>
  <c r="H535" i="82"/>
  <c r="K535" i="82" s="1"/>
  <c r="H536" i="82"/>
  <c r="K536" i="82" s="1"/>
  <c r="H537" i="82"/>
  <c r="K537" i="82" s="1"/>
  <c r="H538" i="82"/>
  <c r="K538" i="82" s="1"/>
  <c r="H539" i="82"/>
  <c r="K539" i="82" s="1"/>
  <c r="H540" i="82"/>
  <c r="K540" i="82" s="1"/>
  <c r="H541" i="82"/>
  <c r="K541" i="82" s="1"/>
  <c r="H542" i="82"/>
  <c r="K542" i="82" s="1"/>
  <c r="H543" i="82"/>
  <c r="K543" i="82" s="1"/>
  <c r="H544" i="82"/>
  <c r="K544" i="82" s="1"/>
  <c r="H545" i="82"/>
  <c r="K545" i="82" s="1"/>
  <c r="H546" i="82"/>
  <c r="K546" i="82" s="1"/>
  <c r="H547" i="82"/>
  <c r="K547" i="82" s="1"/>
  <c r="H548" i="82"/>
  <c r="K548" i="82" s="1"/>
  <c r="H549" i="82"/>
  <c r="K549" i="82" s="1"/>
  <c r="H550" i="82"/>
  <c r="K550" i="82" s="1"/>
  <c r="H551" i="82"/>
  <c r="K551" i="82" s="1"/>
  <c r="H552" i="82"/>
  <c r="K552" i="82" s="1"/>
  <c r="H553" i="82"/>
  <c r="K553" i="82" s="1"/>
  <c r="H554" i="82"/>
  <c r="K554" i="82" s="1"/>
  <c r="H555" i="82"/>
  <c r="K555" i="82" s="1"/>
  <c r="H556" i="82"/>
  <c r="K556" i="82" s="1"/>
  <c r="H557" i="82"/>
  <c r="K557" i="82" s="1"/>
  <c r="H558" i="82"/>
  <c r="K558" i="82" s="1"/>
  <c r="H559" i="82"/>
  <c r="K559" i="82" s="1"/>
  <c r="H560" i="82"/>
  <c r="K560" i="82" s="1"/>
  <c r="H561" i="82"/>
  <c r="K561" i="82" s="1"/>
  <c r="H562" i="82"/>
  <c r="K562" i="82" s="1"/>
  <c r="H563" i="82"/>
  <c r="K563" i="82" s="1"/>
  <c r="H564" i="82"/>
  <c r="K564" i="82" s="1"/>
  <c r="H565" i="82"/>
  <c r="K565" i="82" s="1"/>
  <c r="H566" i="82"/>
  <c r="K566" i="82" s="1"/>
  <c r="H567" i="82"/>
  <c r="K567" i="82" s="1"/>
  <c r="H568" i="82"/>
  <c r="K568" i="82" s="1"/>
  <c r="H569" i="82"/>
  <c r="K569" i="82" s="1"/>
  <c r="H570" i="82"/>
  <c r="K570" i="82" s="1"/>
  <c r="H571" i="82"/>
  <c r="K571" i="82" s="1"/>
  <c r="H572" i="82"/>
  <c r="K572" i="82" s="1"/>
  <c r="H573" i="82"/>
  <c r="K573" i="82" s="1"/>
  <c r="H574" i="82"/>
  <c r="K574" i="82" s="1"/>
  <c r="H575" i="82"/>
  <c r="K575" i="82" s="1"/>
  <c r="H576" i="82"/>
  <c r="K576" i="82" s="1"/>
  <c r="H577" i="82"/>
  <c r="K577" i="82" s="1"/>
  <c r="H578" i="82"/>
  <c r="K578" i="82" s="1"/>
  <c r="H579" i="82"/>
  <c r="K579" i="82" s="1"/>
  <c r="H580" i="82"/>
  <c r="K580" i="82" s="1"/>
  <c r="H581" i="82"/>
  <c r="K581" i="82" s="1"/>
  <c r="H582" i="82"/>
  <c r="K582" i="82" s="1"/>
  <c r="H583" i="82"/>
  <c r="K583" i="82" s="1"/>
  <c r="H584" i="82"/>
  <c r="K584" i="82" s="1"/>
  <c r="H585" i="82"/>
  <c r="K585" i="82" s="1"/>
  <c r="H586" i="82"/>
  <c r="K586" i="82" s="1"/>
  <c r="H587" i="82"/>
  <c r="K587" i="82" s="1"/>
  <c r="H588" i="82"/>
  <c r="K588" i="82" s="1"/>
  <c r="H589" i="82"/>
  <c r="K589" i="82" s="1"/>
  <c r="H590" i="82"/>
  <c r="K590" i="82" s="1"/>
  <c r="H591" i="82"/>
  <c r="K591" i="82" s="1"/>
  <c r="H592" i="82"/>
  <c r="K592" i="82" s="1"/>
  <c r="H593" i="82"/>
  <c r="K593" i="82" s="1"/>
  <c r="H594" i="82"/>
  <c r="K594" i="82" s="1"/>
  <c r="H595" i="82"/>
  <c r="K595" i="82" s="1"/>
  <c r="H596" i="82"/>
  <c r="K596" i="82" s="1"/>
  <c r="H597" i="82"/>
  <c r="K597" i="82" s="1"/>
  <c r="H598" i="82"/>
  <c r="K598" i="82" s="1"/>
  <c r="H599" i="82"/>
  <c r="K599" i="82" s="1"/>
  <c r="H600" i="82"/>
  <c r="K600" i="82" s="1"/>
  <c r="H601" i="82"/>
  <c r="K601" i="82" s="1"/>
  <c r="H602" i="82"/>
  <c r="K602" i="82" s="1"/>
  <c r="H603" i="82"/>
  <c r="K603" i="82" s="1"/>
  <c r="H604" i="82"/>
  <c r="K604" i="82" s="1"/>
  <c r="H605" i="82"/>
  <c r="K605" i="82" s="1"/>
  <c r="H606" i="82"/>
  <c r="K606" i="82" s="1"/>
  <c r="H607" i="82"/>
  <c r="K607" i="82" s="1"/>
  <c r="H608" i="82"/>
  <c r="K608" i="82" s="1"/>
  <c r="H609" i="82"/>
  <c r="K609" i="82" s="1"/>
  <c r="H610" i="82"/>
  <c r="K610" i="82" s="1"/>
  <c r="H611" i="82"/>
  <c r="K611" i="82" s="1"/>
  <c r="H612" i="82"/>
  <c r="K612" i="82" s="1"/>
  <c r="H613" i="82"/>
  <c r="K613" i="82" s="1"/>
  <c r="H614" i="82"/>
  <c r="K614" i="82" s="1"/>
  <c r="H615" i="82"/>
  <c r="K615" i="82" s="1"/>
  <c r="H616" i="82"/>
  <c r="K616" i="82" s="1"/>
  <c r="H617" i="82"/>
  <c r="K617" i="82" s="1"/>
  <c r="H618" i="82"/>
  <c r="K618" i="82" s="1"/>
  <c r="H619" i="82"/>
  <c r="K619" i="82" s="1"/>
  <c r="H620" i="82"/>
  <c r="K620" i="82" s="1"/>
  <c r="H621" i="82"/>
  <c r="K621" i="82" s="1"/>
  <c r="H622" i="82"/>
  <c r="K622" i="82" s="1"/>
  <c r="H623" i="82"/>
  <c r="K623" i="82" s="1"/>
  <c r="H624" i="82"/>
  <c r="K624" i="82" s="1"/>
  <c r="H625" i="82"/>
  <c r="K625" i="82" s="1"/>
  <c r="H626" i="82"/>
  <c r="K626" i="82" s="1"/>
  <c r="H627" i="82"/>
  <c r="K627" i="82" s="1"/>
  <c r="H628" i="82"/>
  <c r="K628" i="82" s="1"/>
  <c r="H629" i="82"/>
  <c r="K629" i="82" s="1"/>
  <c r="H630" i="82"/>
  <c r="K630" i="82" s="1"/>
  <c r="H631" i="82"/>
  <c r="K631" i="82" s="1"/>
  <c r="H632" i="82"/>
  <c r="K632" i="82" s="1"/>
  <c r="H633" i="82"/>
  <c r="K633" i="82" s="1"/>
  <c r="H634" i="82"/>
  <c r="K634" i="82" s="1"/>
  <c r="H635" i="82"/>
  <c r="K635" i="82" s="1"/>
  <c r="H636" i="82"/>
  <c r="K636" i="82" s="1"/>
  <c r="H637" i="82"/>
  <c r="K637" i="82" s="1"/>
  <c r="H638" i="82"/>
  <c r="K638" i="82" s="1"/>
  <c r="H639" i="82"/>
  <c r="K639" i="82" s="1"/>
  <c r="H640" i="82"/>
  <c r="K640" i="82" s="1"/>
  <c r="H641" i="82"/>
  <c r="K641" i="82" s="1"/>
  <c r="H642" i="82"/>
  <c r="K642" i="82" s="1"/>
  <c r="H643" i="82"/>
  <c r="K643" i="82" s="1"/>
  <c r="H644" i="82"/>
  <c r="K644" i="82" s="1"/>
  <c r="H645" i="82"/>
  <c r="K645" i="82" s="1"/>
  <c r="H646" i="82"/>
  <c r="K646" i="82" s="1"/>
  <c r="H647" i="82"/>
  <c r="K647" i="82" s="1"/>
  <c r="H648" i="82"/>
  <c r="K648" i="82" s="1"/>
  <c r="H649" i="82"/>
  <c r="K649" i="82" s="1"/>
  <c r="H650" i="82"/>
  <c r="K650" i="82" s="1"/>
  <c r="H651" i="82"/>
  <c r="K651" i="82" s="1"/>
  <c r="H652" i="82"/>
  <c r="K652" i="82" s="1"/>
  <c r="H653" i="82"/>
  <c r="K653" i="82" s="1"/>
  <c r="H654" i="82"/>
  <c r="K654" i="82" s="1"/>
  <c r="H655" i="82"/>
  <c r="K655" i="82" s="1"/>
  <c r="H656" i="82"/>
  <c r="K656" i="82" s="1"/>
  <c r="H657" i="82"/>
  <c r="K657" i="82" s="1"/>
  <c r="H658" i="82"/>
  <c r="K658" i="82" s="1"/>
  <c r="H659" i="82"/>
  <c r="K659" i="82" s="1"/>
  <c r="H660" i="82"/>
  <c r="K660" i="82" s="1"/>
  <c r="H661" i="82"/>
  <c r="K661" i="82" s="1"/>
  <c r="H662" i="82"/>
  <c r="K662" i="82" s="1"/>
  <c r="H663" i="82"/>
  <c r="K663" i="82" s="1"/>
  <c r="H664" i="82"/>
  <c r="K664" i="82" s="1"/>
  <c r="H665" i="82"/>
  <c r="K665" i="82" s="1"/>
  <c r="H666" i="82"/>
  <c r="K666" i="82" s="1"/>
  <c r="H667" i="82"/>
  <c r="K667" i="82" s="1"/>
  <c r="H668" i="82"/>
  <c r="K668" i="82" s="1"/>
  <c r="H669" i="82"/>
  <c r="K669" i="82" s="1"/>
  <c r="H670" i="82"/>
  <c r="K670" i="82" s="1"/>
  <c r="H671" i="82"/>
  <c r="K671" i="82" s="1"/>
  <c r="H672" i="82"/>
  <c r="K672" i="82" s="1"/>
  <c r="H673" i="82"/>
  <c r="K673" i="82" s="1"/>
  <c r="H674" i="82"/>
  <c r="K674" i="82" s="1"/>
  <c r="H675" i="82"/>
  <c r="K675" i="82" s="1"/>
  <c r="H676" i="82"/>
  <c r="K676" i="82" s="1"/>
  <c r="H677" i="82"/>
  <c r="K677" i="82" s="1"/>
  <c r="H678" i="82"/>
  <c r="K678" i="82" s="1"/>
  <c r="H679" i="82"/>
  <c r="K679" i="82" s="1"/>
  <c r="H680" i="82"/>
  <c r="K680" i="82" s="1"/>
  <c r="H681" i="82"/>
  <c r="K681" i="82" s="1"/>
  <c r="H682" i="82"/>
  <c r="K682" i="82" s="1"/>
  <c r="H683" i="82"/>
  <c r="K683" i="82" s="1"/>
  <c r="H684" i="82"/>
  <c r="K684" i="82" s="1"/>
  <c r="H685" i="82"/>
  <c r="K685" i="82" s="1"/>
  <c r="H686" i="82"/>
  <c r="K686" i="82" s="1"/>
  <c r="H687" i="82"/>
  <c r="K687" i="82" s="1"/>
  <c r="H688" i="82"/>
  <c r="K688" i="82" s="1"/>
  <c r="H689" i="82"/>
  <c r="K689" i="82" s="1"/>
  <c r="H690" i="82"/>
  <c r="K690" i="82" s="1"/>
  <c r="H691" i="82"/>
  <c r="K691" i="82" s="1"/>
  <c r="H692" i="82"/>
  <c r="K692" i="82" s="1"/>
  <c r="H693" i="82"/>
  <c r="K693" i="82" s="1"/>
  <c r="H694" i="82"/>
  <c r="K694" i="82" s="1"/>
  <c r="H695" i="82"/>
  <c r="K695" i="82" s="1"/>
  <c r="H696" i="82"/>
  <c r="K696" i="82" s="1"/>
  <c r="H697" i="82"/>
  <c r="K697" i="82" s="1"/>
  <c r="H698" i="82"/>
  <c r="K698" i="82" s="1"/>
  <c r="H699" i="82"/>
  <c r="K699" i="82" s="1"/>
  <c r="H700" i="82"/>
  <c r="K700" i="82" s="1"/>
  <c r="H701" i="82"/>
  <c r="K701" i="82" s="1"/>
  <c r="H702" i="82"/>
  <c r="K702" i="82" s="1"/>
  <c r="H703" i="82"/>
  <c r="K703" i="82" s="1"/>
  <c r="H704" i="82"/>
  <c r="K704" i="82" s="1"/>
  <c r="H705" i="82"/>
  <c r="K705" i="82" s="1"/>
  <c r="H706" i="82"/>
  <c r="K706" i="82" s="1"/>
  <c r="H707" i="82"/>
  <c r="K707" i="82" s="1"/>
  <c r="H862" i="82"/>
  <c r="K862" i="82" s="1"/>
  <c r="H863" i="82"/>
  <c r="K863" i="82" s="1"/>
  <c r="H864" i="82"/>
  <c r="K864" i="82" s="1"/>
  <c r="H865" i="82"/>
  <c r="K865" i="82" s="1"/>
  <c r="H866" i="82"/>
  <c r="K866" i="82" s="1"/>
  <c r="H867" i="82"/>
  <c r="K867" i="82" s="1"/>
  <c r="H868" i="82"/>
  <c r="K868" i="82" s="1"/>
  <c r="H869" i="82"/>
  <c r="K869" i="82" s="1"/>
  <c r="H870" i="82"/>
  <c r="K870" i="82" s="1"/>
  <c r="H871" i="82"/>
  <c r="K871" i="82" s="1"/>
  <c r="H872" i="82"/>
  <c r="K872" i="82" s="1"/>
  <c r="H873" i="82"/>
  <c r="K873" i="82" s="1"/>
  <c r="H874" i="82"/>
  <c r="K874" i="82" s="1"/>
  <c r="H875" i="82"/>
  <c r="K875" i="82" s="1"/>
  <c r="H876" i="82"/>
  <c r="K876" i="82" s="1"/>
  <c r="H877" i="82"/>
  <c r="K877" i="82" s="1"/>
  <c r="H878" i="82"/>
  <c r="K878" i="82" s="1"/>
  <c r="H879" i="82"/>
  <c r="K879" i="82" s="1"/>
  <c r="H880" i="82"/>
  <c r="K880" i="82" s="1"/>
  <c r="H881" i="82"/>
  <c r="K881" i="82" s="1"/>
  <c r="H882" i="82"/>
  <c r="K882" i="82" s="1"/>
  <c r="H883" i="82"/>
  <c r="K883" i="82" s="1"/>
  <c r="H884" i="82"/>
  <c r="K884" i="82" s="1"/>
  <c r="H885" i="82"/>
  <c r="K885" i="82" s="1"/>
  <c r="H886" i="82"/>
  <c r="K886" i="82" s="1"/>
  <c r="H887" i="82"/>
  <c r="K887" i="82" s="1"/>
  <c r="H888" i="82"/>
  <c r="K888" i="82" s="1"/>
  <c r="H889" i="82"/>
  <c r="K889" i="82" s="1"/>
  <c r="H890" i="82"/>
  <c r="K890" i="82" s="1"/>
  <c r="H891" i="82"/>
  <c r="K891" i="82" s="1"/>
  <c r="H892" i="82"/>
  <c r="K892" i="82" s="1"/>
  <c r="H893" i="82"/>
  <c r="K893" i="82" s="1"/>
  <c r="H894" i="82"/>
  <c r="K894" i="82" s="1"/>
  <c r="H895" i="82"/>
  <c r="K895" i="82" s="1"/>
  <c r="H896" i="82"/>
  <c r="K896" i="82" s="1"/>
  <c r="H897" i="82"/>
  <c r="K897" i="82" s="1"/>
  <c r="H898" i="82"/>
  <c r="K898" i="82" s="1"/>
  <c r="H899" i="82"/>
  <c r="K899" i="82" s="1"/>
  <c r="H900" i="82"/>
  <c r="K900" i="82" s="1"/>
  <c r="H901" i="82"/>
  <c r="K901" i="82" s="1"/>
  <c r="H902" i="82"/>
  <c r="K902" i="82" s="1"/>
  <c r="H903" i="82"/>
  <c r="K903" i="82" s="1"/>
  <c r="H904" i="82"/>
  <c r="K904" i="82" s="1"/>
  <c r="H905" i="82"/>
  <c r="K905" i="82" s="1"/>
  <c r="H906" i="82"/>
  <c r="K906" i="82" s="1"/>
  <c r="H907" i="82"/>
  <c r="K907" i="82" s="1"/>
  <c r="H908" i="82"/>
  <c r="K908" i="82" s="1"/>
  <c r="H909" i="82"/>
  <c r="K909" i="82" s="1"/>
  <c r="H910" i="82"/>
  <c r="K910" i="82" s="1"/>
  <c r="H911" i="82"/>
  <c r="K911" i="82" s="1"/>
  <c r="H912" i="82"/>
  <c r="K912" i="82" s="1"/>
  <c r="H913" i="82"/>
  <c r="K913" i="82" s="1"/>
  <c r="H914" i="82"/>
  <c r="K914" i="82" s="1"/>
  <c r="H915" i="82"/>
  <c r="K915" i="82" s="1"/>
  <c r="H916" i="82"/>
  <c r="K916" i="82" s="1"/>
  <c r="H917" i="82"/>
  <c r="K917" i="82" s="1"/>
  <c r="H918" i="82"/>
  <c r="K918" i="82" s="1"/>
  <c r="H919" i="82"/>
  <c r="K919" i="82" s="1"/>
  <c r="H920" i="82"/>
  <c r="K920" i="82" s="1"/>
  <c r="H921" i="82"/>
  <c r="K921" i="82" s="1"/>
  <c r="H922" i="82"/>
  <c r="K922" i="82" s="1"/>
  <c r="H923" i="82"/>
  <c r="K923" i="82" s="1"/>
  <c r="H924" i="82"/>
  <c r="K924" i="82" s="1"/>
  <c r="H925" i="82"/>
  <c r="K925" i="82" s="1"/>
  <c r="H926" i="82"/>
  <c r="K926" i="82" s="1"/>
  <c r="H927" i="82"/>
  <c r="K927" i="82" s="1"/>
  <c r="H928" i="82"/>
  <c r="K928" i="82" s="1"/>
  <c r="H929" i="82"/>
  <c r="K929" i="82" s="1"/>
  <c r="H930" i="82"/>
  <c r="K930" i="82" s="1"/>
  <c r="H931" i="82"/>
  <c r="K931" i="82" s="1"/>
  <c r="H932" i="82"/>
  <c r="K932" i="82" s="1"/>
  <c r="H933" i="82"/>
  <c r="K933" i="82" s="1"/>
  <c r="H934" i="82"/>
  <c r="K934" i="82" s="1"/>
  <c r="H935" i="82"/>
  <c r="K935" i="82" s="1"/>
  <c r="H936" i="82"/>
  <c r="K936" i="82" s="1"/>
  <c r="H937" i="82"/>
  <c r="K937" i="82" s="1"/>
  <c r="H938" i="82"/>
  <c r="K938" i="82" s="1"/>
  <c r="H939" i="82"/>
  <c r="K939" i="82" s="1"/>
  <c r="H940" i="82"/>
  <c r="K940" i="82" s="1"/>
  <c r="H941" i="82"/>
  <c r="K941" i="82" s="1"/>
  <c r="H942" i="82"/>
  <c r="K942" i="82" s="1"/>
  <c r="H943" i="82"/>
  <c r="K943" i="82" s="1"/>
  <c r="H944" i="82"/>
  <c r="K944" i="82" s="1"/>
  <c r="H945" i="82"/>
  <c r="K945" i="82" s="1"/>
  <c r="H946" i="82"/>
  <c r="K946" i="82" s="1"/>
  <c r="H947" i="82"/>
  <c r="K947" i="82" s="1"/>
  <c r="H948" i="82"/>
  <c r="K948" i="82" s="1"/>
  <c r="H949" i="82"/>
  <c r="K949" i="82" s="1"/>
  <c r="H950" i="82"/>
  <c r="K950" i="82" s="1"/>
  <c r="H951" i="82"/>
  <c r="K951" i="82" s="1"/>
  <c r="H952" i="82"/>
  <c r="K952" i="82" s="1"/>
  <c r="H953" i="82"/>
  <c r="K953" i="82" s="1"/>
  <c r="H954" i="82"/>
  <c r="K954" i="82" s="1"/>
  <c r="H955" i="82"/>
  <c r="K955" i="82" s="1"/>
  <c r="H956" i="82"/>
  <c r="K956" i="82" s="1"/>
  <c r="H957" i="82"/>
  <c r="K957" i="82" s="1"/>
  <c r="H958" i="82"/>
  <c r="K958" i="82" s="1"/>
  <c r="H959" i="82"/>
  <c r="K959" i="82" s="1"/>
  <c r="H960" i="82"/>
  <c r="K960" i="82" s="1"/>
  <c r="H961" i="82"/>
  <c r="K961" i="82" s="1"/>
  <c r="H962" i="82"/>
  <c r="K962" i="82" s="1"/>
  <c r="H963" i="82"/>
  <c r="K963" i="82" s="1"/>
  <c r="H964" i="82"/>
  <c r="K964" i="82" s="1"/>
  <c r="H965" i="82"/>
  <c r="K965" i="82" s="1"/>
  <c r="H966" i="82"/>
  <c r="K966" i="82" s="1"/>
  <c r="H967" i="82"/>
  <c r="K967" i="82" s="1"/>
  <c r="H968" i="82"/>
  <c r="K968" i="82" s="1"/>
  <c r="H969" i="82"/>
  <c r="K969" i="82" s="1"/>
  <c r="H970" i="82"/>
  <c r="K970" i="82" s="1"/>
  <c r="H971" i="82"/>
  <c r="K971" i="82" s="1"/>
  <c r="H972" i="82"/>
  <c r="K972" i="82" s="1"/>
  <c r="H973" i="82"/>
  <c r="K973" i="82" s="1"/>
  <c r="H974" i="82"/>
  <c r="K974" i="82" s="1"/>
  <c r="H975" i="82"/>
  <c r="K975" i="82" s="1"/>
  <c r="H976" i="82"/>
  <c r="K976" i="82" s="1"/>
  <c r="H977" i="82"/>
  <c r="K977" i="82" s="1"/>
  <c r="H978" i="82"/>
  <c r="K978" i="82" s="1"/>
  <c r="H979" i="82"/>
  <c r="K979" i="82" s="1"/>
  <c r="H980" i="82"/>
  <c r="K980" i="82" s="1"/>
  <c r="H981" i="82"/>
  <c r="K981" i="82" s="1"/>
  <c r="H982" i="82"/>
  <c r="K982" i="82" s="1"/>
  <c r="H983" i="82"/>
  <c r="K983" i="82" s="1"/>
  <c r="H984" i="82"/>
  <c r="K984" i="82" s="1"/>
  <c r="H985" i="82"/>
  <c r="K985" i="82" s="1"/>
  <c r="H986" i="82"/>
  <c r="K986" i="82" s="1"/>
  <c r="H987" i="82"/>
  <c r="K987" i="82" s="1"/>
  <c r="H988" i="82"/>
  <c r="K988" i="82" s="1"/>
  <c r="H989" i="82"/>
  <c r="K989" i="82" s="1"/>
  <c r="H990" i="82"/>
  <c r="K990" i="82" s="1"/>
  <c r="H991" i="82"/>
  <c r="K991" i="82" s="1"/>
  <c r="H992" i="82"/>
  <c r="K992" i="82" s="1"/>
  <c r="H993" i="82"/>
  <c r="K993" i="82" s="1"/>
  <c r="H994" i="82"/>
  <c r="K994" i="82" s="1"/>
  <c r="H995" i="82"/>
  <c r="K995" i="82" s="1"/>
  <c r="H996" i="82"/>
  <c r="K996" i="82" s="1"/>
  <c r="H997" i="82"/>
  <c r="K997" i="82" s="1"/>
  <c r="H998" i="82"/>
  <c r="K998" i="82" s="1"/>
  <c r="H999" i="82"/>
  <c r="K999" i="82" s="1"/>
  <c r="H1000" i="82"/>
  <c r="K1000" i="82" s="1"/>
  <c r="H1001" i="82"/>
  <c r="K1001" i="82" s="1"/>
  <c r="H1002" i="82"/>
  <c r="K1002" i="82" s="1"/>
  <c r="H1003" i="82"/>
  <c r="K1003" i="82" s="1"/>
  <c r="H1004" i="82"/>
  <c r="K1004" i="82" s="1"/>
  <c r="H1005" i="82"/>
  <c r="K1005" i="82" s="1"/>
  <c r="H1006" i="82"/>
  <c r="K1006" i="82" s="1"/>
  <c r="H1007" i="82"/>
  <c r="K1007" i="82" s="1"/>
  <c r="H1008" i="82"/>
  <c r="K1008" i="82" s="1"/>
  <c r="H1009" i="82"/>
  <c r="K1009" i="82" s="1"/>
  <c r="H1010" i="82"/>
  <c r="K1010" i="82" s="1"/>
  <c r="H1011" i="82"/>
  <c r="K1011" i="82" s="1"/>
  <c r="H1012" i="82"/>
  <c r="K1012" i="82" s="1"/>
  <c r="H1013" i="82"/>
  <c r="K1013" i="82" s="1"/>
  <c r="H1014" i="82"/>
  <c r="K1014" i="82" s="1"/>
  <c r="H1015" i="82"/>
  <c r="K1015" i="82" s="1"/>
  <c r="H1016" i="82"/>
  <c r="K1016" i="82" s="1"/>
  <c r="H1017" i="82"/>
  <c r="K1017" i="82" s="1"/>
  <c r="H1018" i="82"/>
  <c r="K1018" i="82" s="1"/>
  <c r="H1019" i="82"/>
  <c r="K1019" i="82" s="1"/>
  <c r="H1020" i="82"/>
  <c r="K1020" i="82" s="1"/>
  <c r="H1021" i="82"/>
  <c r="K1021" i="82" s="1"/>
  <c r="H1022" i="82"/>
  <c r="K1022" i="82" s="1"/>
  <c r="H1023" i="82"/>
  <c r="K1023" i="82" s="1"/>
  <c r="H1024" i="82"/>
  <c r="K1024" i="82" s="1"/>
  <c r="H1025" i="82"/>
  <c r="K1025" i="82" s="1"/>
  <c r="H1026" i="82"/>
  <c r="K1026" i="82" s="1"/>
  <c r="H1027" i="82"/>
  <c r="K1027" i="82" s="1"/>
  <c r="H1028" i="82"/>
  <c r="K1028" i="82" s="1"/>
  <c r="H1029" i="82"/>
  <c r="K1029" i="82" s="1"/>
  <c r="H1030" i="82"/>
  <c r="K1030" i="82" s="1"/>
  <c r="H1031" i="82"/>
  <c r="K1031" i="82" s="1"/>
  <c r="H1032" i="82"/>
  <c r="K1032" i="82" s="1"/>
  <c r="H1033" i="82"/>
  <c r="K1033" i="82" s="1"/>
  <c r="H1034" i="82"/>
  <c r="K1034" i="82" s="1"/>
  <c r="H1035" i="82"/>
  <c r="K1035" i="82" s="1"/>
  <c r="H1036" i="82"/>
  <c r="K1036" i="82" s="1"/>
  <c r="H1037" i="82"/>
  <c r="K1037" i="82" s="1"/>
  <c r="H1038" i="82"/>
  <c r="K1038" i="82" s="1"/>
  <c r="H1039" i="82"/>
  <c r="K1039" i="82" s="1"/>
  <c r="H1040" i="82"/>
  <c r="K1040" i="82" s="1"/>
  <c r="H1041" i="82"/>
  <c r="K1041" i="82" s="1"/>
  <c r="H1042" i="82"/>
  <c r="K1042" i="82" s="1"/>
  <c r="H1043" i="82"/>
  <c r="K1043" i="82" s="1"/>
  <c r="H1044" i="82"/>
  <c r="K1044" i="82" s="1"/>
  <c r="H1045" i="82"/>
  <c r="K1045" i="82" s="1"/>
  <c r="H1046" i="82"/>
  <c r="K1046" i="82" s="1"/>
  <c r="H1047" i="82"/>
  <c r="K1047" i="82" s="1"/>
  <c r="H1048" i="82"/>
  <c r="K1048" i="82" s="1"/>
  <c r="H1049" i="82"/>
  <c r="K1049" i="82" s="1"/>
  <c r="H1050" i="82"/>
  <c r="K1050" i="82" s="1"/>
  <c r="H1051" i="82"/>
  <c r="K1051" i="82" s="1"/>
  <c r="H1052" i="82"/>
  <c r="K1052" i="82" s="1"/>
  <c r="H1053" i="82"/>
  <c r="K1053" i="82" s="1"/>
  <c r="H1054" i="82"/>
  <c r="K1054" i="82" s="1"/>
  <c r="H1055" i="82"/>
  <c r="K1055" i="82" s="1"/>
  <c r="H1056" i="82"/>
  <c r="K1056" i="82" s="1"/>
  <c r="H1057" i="82"/>
  <c r="K1057" i="82" s="1"/>
  <c r="H1058" i="82"/>
  <c r="K1058" i="82" s="1"/>
  <c r="H1059" i="82"/>
  <c r="K1059" i="82" s="1"/>
  <c r="H1060" i="82"/>
  <c r="K1060" i="82" s="1"/>
  <c r="H1061" i="82"/>
  <c r="K1061" i="82" s="1"/>
  <c r="H1062" i="82"/>
  <c r="K1062" i="82" s="1"/>
  <c r="H1063" i="82"/>
  <c r="K1063" i="82" s="1"/>
  <c r="H1064" i="82"/>
  <c r="K1064" i="82" s="1"/>
  <c r="H1065" i="82"/>
  <c r="K1065" i="82" s="1"/>
  <c r="H1066" i="82"/>
  <c r="K1066" i="82" s="1"/>
  <c r="H1067" i="82"/>
  <c r="K1067" i="82" s="1"/>
  <c r="H1068" i="82"/>
  <c r="K1068" i="82" s="1"/>
  <c r="H1069" i="82"/>
  <c r="K1069" i="82" s="1"/>
  <c r="H1070" i="82"/>
  <c r="K1070" i="82" s="1"/>
  <c r="H1071" i="82"/>
  <c r="K1071" i="82" s="1"/>
  <c r="H1072" i="82"/>
  <c r="K1072" i="82" s="1"/>
  <c r="H1073" i="82"/>
  <c r="K1073" i="82" s="1"/>
  <c r="H1074" i="82"/>
  <c r="K1074" i="82" s="1"/>
  <c r="H1075" i="82"/>
  <c r="K1075" i="82" s="1"/>
  <c r="H1076" i="82"/>
  <c r="K1076" i="82" s="1"/>
  <c r="H1077" i="82"/>
  <c r="K1077" i="82" s="1"/>
  <c r="H1078" i="82"/>
  <c r="K1078" i="82" s="1"/>
  <c r="H1079" i="82"/>
  <c r="K1079" i="82" s="1"/>
  <c r="H1080" i="82"/>
  <c r="K1080" i="82" s="1"/>
  <c r="H1081" i="82"/>
  <c r="K1081" i="82" s="1"/>
  <c r="H1082" i="82"/>
  <c r="K1082" i="82" s="1"/>
  <c r="H1083" i="82"/>
  <c r="K1083" i="82" s="1"/>
  <c r="H1084" i="82"/>
  <c r="K1084" i="82" s="1"/>
  <c r="H1085" i="82"/>
  <c r="K1085" i="82" s="1"/>
  <c r="H1086" i="82"/>
  <c r="K1086" i="82" s="1"/>
  <c r="H1087" i="82"/>
  <c r="K1087" i="82" s="1"/>
  <c r="H1088" i="82"/>
  <c r="K1088" i="82" s="1"/>
  <c r="H1089" i="82"/>
  <c r="K1089" i="82" s="1"/>
  <c r="H1090" i="82"/>
  <c r="K1090" i="82" s="1"/>
  <c r="H1091" i="82"/>
  <c r="K1091" i="82" s="1"/>
  <c r="H1092" i="82"/>
  <c r="K1092" i="82" s="1"/>
  <c r="H1093" i="82"/>
  <c r="K1093" i="82" s="1"/>
  <c r="H1094" i="82"/>
  <c r="K1094" i="82" s="1"/>
  <c r="H1095" i="82"/>
  <c r="K1095" i="82" s="1"/>
  <c r="H1096" i="82"/>
  <c r="K1096" i="82" s="1"/>
  <c r="H1097" i="82"/>
  <c r="K1097" i="82" s="1"/>
  <c r="H1098" i="82"/>
  <c r="K1098" i="82" s="1"/>
  <c r="H1099" i="82"/>
  <c r="K1099" i="82" s="1"/>
  <c r="H1100" i="82"/>
  <c r="K1100" i="82" s="1"/>
  <c r="H1101" i="82"/>
  <c r="K1101" i="82" s="1"/>
  <c r="H1102" i="82"/>
  <c r="K1102" i="82" s="1"/>
  <c r="H1103" i="82"/>
  <c r="K1103" i="82" s="1"/>
  <c r="H1104" i="82"/>
  <c r="K1104" i="82" s="1"/>
  <c r="H1105" i="82"/>
  <c r="K1105" i="82" s="1"/>
  <c r="H1106" i="82"/>
  <c r="K1106" i="82" s="1"/>
  <c r="H1107" i="82"/>
  <c r="K1107" i="82" s="1"/>
  <c r="H1108" i="82"/>
  <c r="K1108" i="82" s="1"/>
  <c r="H1109" i="82"/>
  <c r="K1109" i="82" s="1"/>
  <c r="H1110" i="82"/>
  <c r="K1110" i="82" s="1"/>
  <c r="H1111" i="82"/>
  <c r="K1111" i="82" s="1"/>
  <c r="H1112" i="82"/>
  <c r="K1112" i="82" s="1"/>
  <c r="H1113" i="82"/>
  <c r="K1113" i="82" s="1"/>
  <c r="H1114" i="82"/>
  <c r="K1114" i="82" s="1"/>
  <c r="H1115" i="82"/>
  <c r="K1115" i="82" s="1"/>
  <c r="H1116" i="82"/>
  <c r="K1116" i="82" s="1"/>
  <c r="H1117" i="82"/>
  <c r="K1117" i="82" s="1"/>
  <c r="H1118" i="82"/>
  <c r="K1118" i="82" s="1"/>
  <c r="H1119" i="82"/>
  <c r="K1119" i="82" s="1"/>
  <c r="H1120" i="82"/>
  <c r="K1120" i="82" s="1"/>
  <c r="H1121" i="82"/>
  <c r="K1121" i="82" s="1"/>
  <c r="H1122" i="82"/>
  <c r="K1122" i="82" s="1"/>
  <c r="H1123" i="82"/>
  <c r="K1123" i="82" s="1"/>
  <c r="H1124" i="82"/>
  <c r="K1124" i="82" s="1"/>
  <c r="H1125" i="82"/>
  <c r="K1125" i="82" s="1"/>
  <c r="H1126" i="82"/>
  <c r="K1126" i="82" s="1"/>
  <c r="H1127" i="82"/>
  <c r="K1127" i="82" s="1"/>
  <c r="H1128" i="82"/>
  <c r="K1128" i="82" s="1"/>
  <c r="H1129" i="82"/>
  <c r="K1129" i="82" s="1"/>
  <c r="H1130" i="82"/>
  <c r="K1130" i="82" s="1"/>
  <c r="H1131" i="82"/>
  <c r="K1131" i="82" s="1"/>
  <c r="H1132" i="82"/>
  <c r="K1132" i="82" s="1"/>
  <c r="H1133" i="82"/>
  <c r="K1133" i="82" s="1"/>
  <c r="H1134" i="82"/>
  <c r="K1134" i="82" s="1"/>
  <c r="H1135" i="82"/>
  <c r="K1135" i="82" s="1"/>
  <c r="H1136" i="82"/>
  <c r="K1136" i="82" s="1"/>
  <c r="H1137" i="82"/>
  <c r="K1137" i="82" s="1"/>
  <c r="H1138" i="82"/>
  <c r="K1138" i="82" s="1"/>
  <c r="H1139" i="82"/>
  <c r="K1139" i="82" s="1"/>
  <c r="H1140" i="82"/>
  <c r="K1140" i="82" s="1"/>
  <c r="H1141" i="82"/>
  <c r="K1141" i="82" s="1"/>
  <c r="H1142" i="82"/>
  <c r="K1142" i="82" s="1"/>
  <c r="H1143" i="82"/>
  <c r="K1143" i="82" s="1"/>
  <c r="H1144" i="82"/>
  <c r="K1144" i="82" s="1"/>
  <c r="H1145" i="82"/>
  <c r="K1145" i="82" s="1"/>
  <c r="H1146" i="82"/>
  <c r="K1146" i="82" s="1"/>
  <c r="H1147" i="82"/>
  <c r="K1147" i="82" s="1"/>
  <c r="H1148" i="82"/>
  <c r="K1148" i="82" s="1"/>
  <c r="H1149" i="82"/>
  <c r="K1149" i="82" s="1"/>
  <c r="H1150" i="82"/>
  <c r="K1150" i="82" s="1"/>
  <c r="H1151" i="82"/>
  <c r="K1151" i="82" s="1"/>
  <c r="H1152" i="82"/>
  <c r="K1152" i="82" s="1"/>
  <c r="H1153" i="82"/>
  <c r="K1153" i="82" s="1"/>
  <c r="H1154" i="82"/>
  <c r="K1154" i="82" s="1"/>
  <c r="H1155" i="82"/>
  <c r="K1155" i="82" s="1"/>
  <c r="H1156" i="82"/>
  <c r="K1156" i="82" s="1"/>
  <c r="H1157" i="82"/>
  <c r="K1157" i="82" s="1"/>
  <c r="H1158" i="82"/>
  <c r="K1158" i="82" s="1"/>
  <c r="H1159" i="82"/>
  <c r="K1159" i="82" s="1"/>
  <c r="H1160" i="82"/>
  <c r="K1160" i="82" s="1"/>
  <c r="H1161" i="82"/>
  <c r="K1161" i="82" s="1"/>
  <c r="H1162" i="82"/>
  <c r="K1162" i="82" s="1"/>
  <c r="H1163" i="82"/>
  <c r="K1163" i="82" s="1"/>
  <c r="H1164" i="82"/>
  <c r="K1164" i="82" s="1"/>
  <c r="H1165" i="82"/>
  <c r="K1165" i="82" s="1"/>
  <c r="H1166" i="82"/>
  <c r="K1166" i="82" s="1"/>
  <c r="H1167" i="82"/>
  <c r="K1167" i="82" s="1"/>
  <c r="H1168" i="82"/>
  <c r="K1168" i="82" s="1"/>
  <c r="H1169" i="82"/>
  <c r="K1169" i="82" s="1"/>
  <c r="H1170" i="82"/>
  <c r="K1170" i="82" s="1"/>
  <c r="H1171" i="82"/>
  <c r="K1171" i="82" s="1"/>
  <c r="H1172" i="82"/>
  <c r="K1172" i="82" s="1"/>
  <c r="H1173" i="82"/>
  <c r="K1173" i="82" s="1"/>
  <c r="H1174" i="82"/>
  <c r="K1174" i="82" s="1"/>
  <c r="H1175" i="82"/>
  <c r="K1175" i="82" s="1"/>
  <c r="H1176" i="82"/>
  <c r="K1176" i="82" s="1"/>
  <c r="H1177" i="82"/>
  <c r="K1177" i="82" s="1"/>
  <c r="H1178" i="82"/>
  <c r="K1178" i="82" s="1"/>
  <c r="H1179" i="82"/>
  <c r="K1179" i="82" s="1"/>
  <c r="H1180" i="82"/>
  <c r="K1180" i="82" s="1"/>
  <c r="H1181" i="82"/>
  <c r="K1181" i="82" s="1"/>
  <c r="H1182" i="82"/>
  <c r="K1182" i="82" s="1"/>
  <c r="H1183" i="82"/>
  <c r="K1183" i="82" s="1"/>
  <c r="H1184" i="82"/>
  <c r="K1184" i="82" s="1"/>
  <c r="H1185" i="82"/>
  <c r="K1185" i="82" s="1"/>
  <c r="H1186" i="82"/>
  <c r="K1186" i="82" s="1"/>
  <c r="H1187" i="82"/>
  <c r="K1187" i="82" s="1"/>
  <c r="H1188" i="82"/>
  <c r="K1188" i="82" s="1"/>
  <c r="H1189" i="82"/>
  <c r="K1189" i="82" s="1"/>
  <c r="H1190" i="82"/>
  <c r="K1190" i="82" s="1"/>
  <c r="H1191" i="82"/>
  <c r="K1191" i="82" s="1"/>
  <c r="H1192" i="82"/>
  <c r="K1192" i="82" s="1"/>
  <c r="H1193" i="82"/>
  <c r="K1193" i="82" s="1"/>
  <c r="H1194" i="82"/>
  <c r="K1194" i="82" s="1"/>
  <c r="H1195" i="82"/>
  <c r="K1195" i="82" s="1"/>
  <c r="H1196" i="82"/>
  <c r="K1196" i="82" s="1"/>
  <c r="H1197" i="82"/>
  <c r="K1197" i="82" s="1"/>
  <c r="H1198" i="82"/>
  <c r="K1198" i="82" s="1"/>
  <c r="H1199" i="82"/>
  <c r="K1199" i="82" s="1"/>
  <c r="H1200" i="82"/>
  <c r="K1200" i="82" s="1"/>
  <c r="H1201" i="82"/>
  <c r="K1201" i="82" s="1"/>
  <c r="H1202" i="82"/>
  <c r="K1202" i="82" s="1"/>
  <c r="H1203" i="82"/>
  <c r="K1203" i="82" s="1"/>
  <c r="H1204" i="82"/>
  <c r="K1204" i="82" s="1"/>
  <c r="H1205" i="82"/>
  <c r="K1205" i="82" s="1"/>
  <c r="H1206" i="82"/>
  <c r="K1206" i="82" s="1"/>
  <c r="H1207" i="82"/>
  <c r="K1207" i="82" s="1"/>
  <c r="H1208" i="82"/>
  <c r="K1208" i="82" s="1"/>
  <c r="H1209" i="82"/>
  <c r="K1209" i="82" s="1"/>
  <c r="H1210" i="82"/>
  <c r="K1210" i="82" s="1"/>
  <c r="H1211" i="82"/>
  <c r="K1211" i="82" s="1"/>
  <c r="H1212" i="82"/>
  <c r="K1212" i="82" s="1"/>
  <c r="H1213" i="82"/>
  <c r="K1213" i="82" s="1"/>
  <c r="H1214" i="82"/>
  <c r="K1214" i="82" s="1"/>
  <c r="H1215" i="82"/>
  <c r="K1215" i="82" s="1"/>
  <c r="H1216" i="82"/>
  <c r="K1216" i="82" s="1"/>
  <c r="H1217" i="82"/>
  <c r="K1217" i="82" s="1"/>
  <c r="H1218" i="82"/>
  <c r="K1218" i="82" s="1"/>
  <c r="H1219" i="82"/>
  <c r="K1219" i="82" s="1"/>
  <c r="H1220" i="82"/>
  <c r="K1220" i="82" s="1"/>
  <c r="H1221" i="82"/>
  <c r="K1221" i="82" s="1"/>
  <c r="H1222" i="82"/>
  <c r="K1222" i="82" s="1"/>
  <c r="H1223" i="82"/>
  <c r="K1223" i="82" s="1"/>
  <c r="H1224" i="82"/>
  <c r="K1224" i="82" s="1"/>
  <c r="H1225" i="82"/>
  <c r="K1225" i="82" s="1"/>
  <c r="H1226" i="82"/>
  <c r="K1226" i="82" s="1"/>
  <c r="H1227" i="82"/>
  <c r="K1227" i="82" s="1"/>
  <c r="H1228" i="82"/>
  <c r="K1228" i="82" s="1"/>
  <c r="H1229" i="82"/>
  <c r="K1229" i="82" s="1"/>
  <c r="H1230" i="82"/>
  <c r="K1230" i="82" s="1"/>
  <c r="H1231" i="82"/>
  <c r="K1231" i="82" s="1"/>
  <c r="H1232" i="82"/>
  <c r="K1232" i="82" s="1"/>
  <c r="H1233" i="82"/>
  <c r="K1233" i="82" s="1"/>
  <c r="H1234" i="82"/>
  <c r="K1234" i="82" s="1"/>
  <c r="H1235" i="82"/>
  <c r="K1235" i="82" s="1"/>
  <c r="H1236" i="82"/>
  <c r="K1236" i="82" s="1"/>
  <c r="H1237" i="82"/>
  <c r="K1237" i="82" s="1"/>
  <c r="H1238" i="82"/>
  <c r="K1238" i="82" s="1"/>
  <c r="H1239" i="82"/>
  <c r="K1239" i="82" s="1"/>
  <c r="H1240" i="82"/>
  <c r="K1240" i="82" s="1"/>
  <c r="H1241" i="82"/>
  <c r="K1241" i="82" s="1"/>
  <c r="H1242" i="82"/>
  <c r="K1242" i="82" s="1"/>
  <c r="H1243" i="82"/>
  <c r="K1243" i="82" s="1"/>
  <c r="H1244" i="82"/>
  <c r="K1244" i="82" s="1"/>
  <c r="H1245" i="82"/>
  <c r="K1245" i="82" s="1"/>
  <c r="H1246" i="82"/>
  <c r="K1246" i="82" s="1"/>
  <c r="H1247" i="82"/>
  <c r="K1247" i="82" s="1"/>
  <c r="H1248" i="82"/>
  <c r="K1248" i="82" s="1"/>
  <c r="H1249" i="82"/>
  <c r="K1249" i="82" s="1"/>
  <c r="H1250" i="82"/>
  <c r="K1250" i="82" s="1"/>
  <c r="H1251" i="82"/>
  <c r="K1251" i="82" s="1"/>
  <c r="H1252" i="82"/>
  <c r="K1252" i="82" s="1"/>
  <c r="H1253" i="82"/>
  <c r="K1253" i="82" s="1"/>
  <c r="H1254" i="82"/>
  <c r="K1254" i="82" s="1"/>
  <c r="H1255" i="82"/>
  <c r="K1255" i="82" s="1"/>
  <c r="H1256" i="82"/>
  <c r="K1256" i="82" s="1"/>
  <c r="H1257" i="82"/>
  <c r="K1257" i="82" s="1"/>
  <c r="H1258" i="82"/>
  <c r="K1258" i="82" s="1"/>
  <c r="H1259" i="82"/>
  <c r="K1259" i="82" s="1"/>
  <c r="H1260" i="82"/>
  <c r="K1260" i="82" s="1"/>
  <c r="H1261" i="82"/>
  <c r="K1261" i="82" s="1"/>
  <c r="H1262" i="82"/>
  <c r="K1262" i="82" s="1"/>
  <c r="H1263" i="82"/>
  <c r="K1263" i="82" s="1"/>
  <c r="H1264" i="82"/>
  <c r="K1264" i="82" s="1"/>
  <c r="H1265" i="82"/>
  <c r="K1265" i="82" s="1"/>
  <c r="H1266" i="82"/>
  <c r="K1266" i="82" s="1"/>
  <c r="H1267" i="82"/>
  <c r="K1267" i="82" s="1"/>
  <c r="H1268" i="82"/>
  <c r="K1268" i="82" s="1"/>
  <c r="H1269" i="82"/>
  <c r="K1269" i="82" s="1"/>
  <c r="H1270" i="82"/>
  <c r="K1270" i="82" s="1"/>
  <c r="H1271" i="82"/>
  <c r="K1271" i="82" s="1"/>
  <c r="H1272" i="82"/>
  <c r="K1272" i="82" s="1"/>
  <c r="H1273" i="82"/>
  <c r="K1273" i="82" s="1"/>
  <c r="H1274" i="82"/>
  <c r="K1274" i="82" s="1"/>
  <c r="H1275" i="82"/>
  <c r="K1275" i="82" s="1"/>
  <c r="H1276" i="82"/>
  <c r="K1276" i="82" s="1"/>
  <c r="H1277" i="82"/>
  <c r="K1277" i="82" s="1"/>
  <c r="H1278" i="82"/>
  <c r="K1278" i="82" s="1"/>
  <c r="H1279" i="82"/>
  <c r="K1279" i="82" s="1"/>
  <c r="H1280" i="82"/>
  <c r="K1280" i="82" s="1"/>
  <c r="H1281" i="82"/>
  <c r="K1281" i="82" s="1"/>
  <c r="H1282" i="82"/>
  <c r="K1282" i="82" s="1"/>
  <c r="H1283" i="82"/>
  <c r="K1283" i="82" s="1"/>
  <c r="H1284" i="82"/>
  <c r="K1284" i="82" s="1"/>
  <c r="H1285" i="82"/>
  <c r="K1285" i="82" s="1"/>
  <c r="H1286" i="82"/>
  <c r="K1286" i="82" s="1"/>
  <c r="H1287" i="82"/>
  <c r="K1287" i="82" s="1"/>
  <c r="H1288" i="82"/>
  <c r="K1288" i="82" s="1"/>
  <c r="H1289" i="82"/>
  <c r="K1289" i="82" s="1"/>
  <c r="H1290" i="82"/>
  <c r="K1290" i="82" s="1"/>
  <c r="H1291" i="82"/>
  <c r="K1291" i="82" s="1"/>
  <c r="H1292" i="82"/>
  <c r="K1292" i="82" s="1"/>
  <c r="H1293" i="82"/>
  <c r="K1293" i="82" s="1"/>
  <c r="H1294" i="82"/>
  <c r="K1294" i="82" s="1"/>
  <c r="H1295" i="82"/>
  <c r="K1295" i="82" s="1"/>
  <c r="H1296" i="82"/>
  <c r="K1296" i="82" s="1"/>
  <c r="H1297" i="82"/>
  <c r="K1297" i="82" s="1"/>
  <c r="H1298" i="82"/>
  <c r="K1298" i="82" s="1"/>
  <c r="H1299" i="82"/>
  <c r="K1299" i="82" s="1"/>
  <c r="H1300" i="82"/>
  <c r="K1300" i="82" s="1"/>
  <c r="H1301" i="82"/>
  <c r="K1301" i="82" s="1"/>
  <c r="H1302" i="82"/>
  <c r="K1302" i="82" s="1"/>
  <c r="H1303" i="82"/>
  <c r="K1303" i="82" s="1"/>
  <c r="H1304" i="82"/>
  <c r="K1304" i="82" s="1"/>
  <c r="H1305" i="82"/>
  <c r="K1305" i="82" s="1"/>
  <c r="H1306" i="82"/>
  <c r="K1306" i="82" s="1"/>
  <c r="H1307" i="82"/>
  <c r="K1307" i="82" s="1"/>
  <c r="H1308" i="82"/>
  <c r="K1308" i="82" s="1"/>
  <c r="H1309" i="82"/>
  <c r="K1309" i="82" s="1"/>
  <c r="H1310" i="82"/>
  <c r="K1310" i="82" s="1"/>
  <c r="H1311" i="82"/>
  <c r="K1311" i="82" s="1"/>
  <c r="H1312" i="82"/>
  <c r="K1312" i="82" s="1"/>
  <c r="H1313" i="82"/>
  <c r="K1313" i="82" s="1"/>
  <c r="H1314" i="82"/>
  <c r="K1314" i="82" s="1"/>
  <c r="H1315" i="82"/>
  <c r="K1315" i="82" s="1"/>
  <c r="H1316" i="82"/>
  <c r="K1316" i="82" s="1"/>
  <c r="H1317" i="82"/>
  <c r="K1317" i="82" s="1"/>
  <c r="H1318" i="82"/>
  <c r="K1318" i="82" s="1"/>
  <c r="H1319" i="82"/>
  <c r="K1319" i="82" s="1"/>
  <c r="H1320" i="82"/>
  <c r="K1320" i="82" s="1"/>
  <c r="H1321" i="82"/>
  <c r="K1321" i="82" s="1"/>
  <c r="H1322" i="82"/>
  <c r="K1322" i="82" s="1"/>
  <c r="H1323" i="82"/>
  <c r="K1323" i="82" s="1"/>
  <c r="H1324" i="82"/>
  <c r="K1324" i="82" s="1"/>
  <c r="H1325" i="82"/>
  <c r="K1325" i="82" s="1"/>
  <c r="H1326" i="82"/>
  <c r="K1326" i="82" s="1"/>
  <c r="H1327" i="82"/>
  <c r="K1327" i="82" s="1"/>
  <c r="H1328" i="82"/>
  <c r="K1328" i="82" s="1"/>
  <c r="H1329" i="82"/>
  <c r="K1329" i="82" s="1"/>
  <c r="H1330" i="82"/>
  <c r="K1330" i="82" s="1"/>
  <c r="H1331" i="82"/>
  <c r="K1331" i="82" s="1"/>
  <c r="H1332" i="82"/>
  <c r="K1332" i="82" s="1"/>
  <c r="H1333" i="82"/>
  <c r="K1333" i="82" s="1"/>
  <c r="H1334" i="82"/>
  <c r="K1334" i="82" s="1"/>
  <c r="H1335" i="82"/>
  <c r="K1335" i="82" s="1"/>
  <c r="H1336" i="82"/>
  <c r="K1336" i="82" s="1"/>
  <c r="H1337" i="82"/>
  <c r="K1337" i="82" s="1"/>
  <c r="H1338" i="82"/>
  <c r="K1338" i="82" s="1"/>
  <c r="H1339" i="82"/>
  <c r="K1339" i="82" s="1"/>
  <c r="H1340" i="82"/>
  <c r="K1340" i="82" s="1"/>
  <c r="H1341" i="82"/>
  <c r="K1341" i="82" s="1"/>
  <c r="H1342" i="82"/>
  <c r="K1342" i="82" s="1"/>
  <c r="H1343" i="82"/>
  <c r="K1343" i="82" s="1"/>
  <c r="H1344" i="82"/>
  <c r="K1344" i="82" s="1"/>
  <c r="H1345" i="82"/>
  <c r="K1345" i="82" s="1"/>
  <c r="H1346" i="82"/>
  <c r="K1346" i="82" s="1"/>
  <c r="H1347" i="82"/>
  <c r="K1347" i="82" s="1"/>
  <c r="H1348" i="82"/>
  <c r="K1348" i="82" s="1"/>
  <c r="H1349" i="82"/>
  <c r="K1349" i="82" s="1"/>
  <c r="H1350" i="82"/>
  <c r="K1350" i="82" s="1"/>
  <c r="H1351" i="82"/>
  <c r="K1351" i="82" s="1"/>
  <c r="H1352" i="82"/>
  <c r="K1352" i="82" s="1"/>
  <c r="H1353" i="82"/>
  <c r="K1353" i="82" s="1"/>
  <c r="H1354" i="82"/>
  <c r="K1354" i="82" s="1"/>
  <c r="H1355" i="82"/>
  <c r="K1355" i="82" s="1"/>
  <c r="H1356" i="82"/>
  <c r="K1356" i="82" s="1"/>
  <c r="H1357" i="82"/>
  <c r="K1357" i="82" s="1"/>
  <c r="H1358" i="82"/>
  <c r="K1358" i="82" s="1"/>
  <c r="H1359" i="82"/>
  <c r="K1359" i="82" s="1"/>
  <c r="H1360" i="82"/>
  <c r="K1360" i="82" s="1"/>
  <c r="H1361" i="82"/>
  <c r="K1361" i="82" s="1"/>
  <c r="H1362" i="82"/>
  <c r="K1362" i="82" s="1"/>
  <c r="H1363" i="82"/>
  <c r="K1363" i="82" s="1"/>
  <c r="H1364" i="82"/>
  <c r="K1364" i="82" s="1"/>
  <c r="H1365" i="82"/>
  <c r="K1365" i="82" s="1"/>
  <c r="H1366" i="82"/>
  <c r="K1366" i="82" s="1"/>
  <c r="H1367" i="82"/>
  <c r="K1367" i="82" s="1"/>
  <c r="H1368" i="82"/>
  <c r="K1368" i="82" s="1"/>
  <c r="H1369" i="82"/>
  <c r="K1369" i="82" s="1"/>
  <c r="H1370" i="82"/>
  <c r="K1370" i="82" s="1"/>
  <c r="H1371" i="82"/>
  <c r="K1371" i="82" s="1"/>
  <c r="H1372" i="82"/>
  <c r="K1372" i="82" s="1"/>
  <c r="H1373" i="82"/>
  <c r="K1373" i="82" s="1"/>
  <c r="H1374" i="82"/>
  <c r="K1374" i="82" s="1"/>
  <c r="H1375" i="82"/>
  <c r="K1375" i="82" s="1"/>
  <c r="H1376" i="82"/>
  <c r="K1376" i="82" s="1"/>
  <c r="H1377" i="82"/>
  <c r="K1377" i="82" s="1"/>
  <c r="H1378" i="82"/>
  <c r="K1378" i="82" s="1"/>
  <c r="H1379" i="82"/>
  <c r="K1379" i="82" s="1"/>
  <c r="H1380" i="82"/>
  <c r="K1380" i="82" s="1"/>
  <c r="H1381" i="82"/>
  <c r="K1381" i="82" s="1"/>
  <c r="H1382" i="82"/>
  <c r="K1382" i="82" s="1"/>
  <c r="H1383" i="82"/>
  <c r="K1383" i="82" s="1"/>
  <c r="H1384" i="82"/>
  <c r="K1384" i="82" s="1"/>
  <c r="H1385" i="82"/>
  <c r="K1385" i="82" s="1"/>
  <c r="H1386" i="82"/>
  <c r="K1386" i="82" s="1"/>
  <c r="H1387" i="82"/>
  <c r="K1387" i="82" s="1"/>
  <c r="K163" i="85" l="1"/>
  <c r="H3" i="85"/>
  <c r="K165" i="85"/>
  <c r="K161" i="85"/>
  <c r="H1394" i="86"/>
  <c r="H3" i="86" s="1"/>
  <c r="K1394" i="86"/>
  <c r="L1394" i="86"/>
  <c r="I3" i="86"/>
  <c r="I3" i="85"/>
  <c r="K6" i="85"/>
  <c r="K1497" i="82"/>
  <c r="L1501" i="82" s="1"/>
  <c r="L1497" i="82"/>
  <c r="H1497" i="82"/>
  <c r="L179" i="85" l="1"/>
  <c r="L1398" i="86"/>
  <c r="K3" i="86"/>
  <c r="D12" i="84"/>
  <c r="J11" i="84"/>
  <c r="I11" i="84"/>
  <c r="J10" i="84"/>
  <c r="I10" i="84"/>
  <c r="J9" i="84"/>
  <c r="I9" i="84"/>
  <c r="J8" i="84"/>
  <c r="I8" i="84"/>
  <c r="J7" i="84"/>
  <c r="I7" i="84"/>
  <c r="J6" i="84"/>
  <c r="I6" i="84"/>
  <c r="J5" i="84"/>
  <c r="I5" i="84"/>
  <c r="J4" i="84"/>
  <c r="K3" i="85" l="1"/>
  <c r="J12" i="84"/>
  <c r="I12" i="84"/>
  <c r="G18" i="84" s="1"/>
  <c r="F17" i="84" l="1"/>
  <c r="I98" i="83"/>
  <c r="I99" i="83"/>
  <c r="I100" i="83"/>
  <c r="I101" i="83"/>
  <c r="I102" i="83"/>
  <c r="I103" i="83"/>
  <c r="I104" i="83"/>
  <c r="I105" i="83"/>
  <c r="I106" i="83"/>
  <c r="I107" i="83"/>
  <c r="I108" i="83"/>
  <c r="I109" i="83"/>
  <c r="I110" i="83"/>
  <c r="I111" i="83"/>
  <c r="I112" i="83"/>
  <c r="I94" i="83" l="1"/>
  <c r="I95" i="83"/>
  <c r="I96" i="83"/>
  <c r="I97" i="83"/>
  <c r="I68" i="83" l="1"/>
  <c r="I69" i="83"/>
  <c r="I70" i="83"/>
  <c r="I71" i="83"/>
  <c r="I72" i="83"/>
  <c r="I73" i="83"/>
  <c r="I74" i="83"/>
  <c r="I75" i="83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I89" i="83"/>
  <c r="I90" i="83"/>
  <c r="I91" i="83"/>
  <c r="I67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K143" i="79"/>
  <c r="I39" i="83" l="1"/>
  <c r="I40" i="83"/>
  <c r="I41" i="83"/>
  <c r="J124" i="83"/>
  <c r="J3" i="83" s="1"/>
  <c r="G124" i="83"/>
  <c r="F124" i="83"/>
  <c r="E124" i="83"/>
  <c r="E3" i="83" s="1"/>
  <c r="L123" i="83"/>
  <c r="I123" i="83"/>
  <c r="H123" i="83"/>
  <c r="K123" i="83" s="1"/>
  <c r="L122" i="83"/>
  <c r="K122" i="83"/>
  <c r="I122" i="83"/>
  <c r="H122" i="83"/>
  <c r="L121" i="83"/>
  <c r="K121" i="83"/>
  <c r="I121" i="83"/>
  <c r="H121" i="83"/>
  <c r="L120" i="83"/>
  <c r="K120" i="83"/>
  <c r="I120" i="83"/>
  <c r="H120" i="83"/>
  <c r="L119" i="83"/>
  <c r="K119" i="83"/>
  <c r="I119" i="83"/>
  <c r="H119" i="83"/>
  <c r="L118" i="83"/>
  <c r="K118" i="83"/>
  <c r="I118" i="83"/>
  <c r="H118" i="83"/>
  <c r="L117" i="83"/>
  <c r="K117" i="83"/>
  <c r="I117" i="83"/>
  <c r="H117" i="83"/>
  <c r="L116" i="83"/>
  <c r="K116" i="83"/>
  <c r="I116" i="83"/>
  <c r="H116" i="83"/>
  <c r="L115" i="83"/>
  <c r="K115" i="83"/>
  <c r="I115" i="83"/>
  <c r="H115" i="83"/>
  <c r="L114" i="83"/>
  <c r="K114" i="83"/>
  <c r="I114" i="83"/>
  <c r="H114" i="83"/>
  <c r="L113" i="83"/>
  <c r="K113" i="83"/>
  <c r="I113" i="83"/>
  <c r="H113" i="83"/>
  <c r="H124" i="83" s="1"/>
  <c r="H3" i="83" s="1"/>
  <c r="L112" i="83"/>
  <c r="K112" i="83"/>
  <c r="L111" i="83"/>
  <c r="K111" i="83"/>
  <c r="L110" i="83"/>
  <c r="K110" i="83"/>
  <c r="L109" i="83"/>
  <c r="K109" i="83"/>
  <c r="L108" i="83"/>
  <c r="K108" i="83"/>
  <c r="L107" i="83"/>
  <c r="K107" i="83"/>
  <c r="L106" i="83"/>
  <c r="K106" i="83"/>
  <c r="L105" i="83"/>
  <c r="K105" i="83"/>
  <c r="L104" i="83"/>
  <c r="K104" i="83"/>
  <c r="L103" i="83"/>
  <c r="K103" i="83"/>
  <c r="L102" i="83"/>
  <c r="K102" i="83"/>
  <c r="L101" i="83"/>
  <c r="K101" i="83"/>
  <c r="L100" i="83"/>
  <c r="K100" i="83"/>
  <c r="L99" i="83"/>
  <c r="K99" i="83"/>
  <c r="L98" i="83"/>
  <c r="K98" i="83"/>
  <c r="L97" i="83"/>
  <c r="K97" i="83"/>
  <c r="L96" i="83"/>
  <c r="K96" i="83"/>
  <c r="L95" i="83"/>
  <c r="K95" i="83"/>
  <c r="L94" i="83"/>
  <c r="K94" i="83"/>
  <c r="L93" i="83"/>
  <c r="K93" i="83"/>
  <c r="L92" i="83"/>
  <c r="K92" i="83"/>
  <c r="L91" i="83"/>
  <c r="K91" i="83"/>
  <c r="L90" i="83"/>
  <c r="K90" i="83"/>
  <c r="L89" i="83"/>
  <c r="K89" i="83"/>
  <c r="L88" i="83"/>
  <c r="K88" i="83"/>
  <c r="L87" i="83"/>
  <c r="K87" i="83"/>
  <c r="L86" i="83"/>
  <c r="K86" i="83"/>
  <c r="L85" i="83"/>
  <c r="K85" i="83"/>
  <c r="L84" i="83"/>
  <c r="K84" i="83"/>
  <c r="L83" i="83"/>
  <c r="K83" i="83"/>
  <c r="L82" i="83"/>
  <c r="K82" i="83"/>
  <c r="L81" i="83"/>
  <c r="K81" i="83"/>
  <c r="L80" i="83"/>
  <c r="K80" i="83"/>
  <c r="L79" i="83"/>
  <c r="K79" i="83"/>
  <c r="L78" i="83"/>
  <c r="K78" i="83"/>
  <c r="L77" i="83"/>
  <c r="K77" i="83"/>
  <c r="L76" i="83"/>
  <c r="K76" i="83"/>
  <c r="L75" i="83"/>
  <c r="K75" i="83"/>
  <c r="L74" i="83"/>
  <c r="K74" i="83"/>
  <c r="L73" i="83"/>
  <c r="K73" i="83"/>
  <c r="L72" i="83"/>
  <c r="K72" i="83"/>
  <c r="L71" i="83"/>
  <c r="K71" i="83"/>
  <c r="L70" i="83"/>
  <c r="K70" i="83"/>
  <c r="L69" i="83"/>
  <c r="K69" i="83"/>
  <c r="L68" i="83"/>
  <c r="K68" i="83"/>
  <c r="L67" i="83"/>
  <c r="K67" i="83"/>
  <c r="L66" i="83"/>
  <c r="K66" i="83"/>
  <c r="L65" i="83"/>
  <c r="K65" i="83"/>
  <c r="L64" i="83"/>
  <c r="K64" i="83"/>
  <c r="L63" i="83"/>
  <c r="K63" i="83"/>
  <c r="L62" i="83"/>
  <c r="K62" i="83"/>
  <c r="L61" i="83"/>
  <c r="K61" i="83"/>
  <c r="L60" i="83"/>
  <c r="K60" i="83"/>
  <c r="L59" i="83"/>
  <c r="K59" i="83"/>
  <c r="L58" i="83"/>
  <c r="K58" i="83"/>
  <c r="L57" i="83"/>
  <c r="K57" i="83"/>
  <c r="L56" i="83"/>
  <c r="K56" i="83"/>
  <c r="L55" i="83"/>
  <c r="K55" i="83"/>
  <c r="L54" i="83"/>
  <c r="K54" i="83"/>
  <c r="L53" i="83"/>
  <c r="K53" i="83"/>
  <c r="L52" i="83"/>
  <c r="K52" i="83"/>
  <c r="L51" i="83"/>
  <c r="K51" i="83"/>
  <c r="L50" i="83"/>
  <c r="K50" i="83"/>
  <c r="L49" i="83"/>
  <c r="K49" i="83"/>
  <c r="L48" i="83"/>
  <c r="K48" i="83"/>
  <c r="L47" i="83"/>
  <c r="K47" i="83"/>
  <c r="L46" i="83"/>
  <c r="K46" i="83"/>
  <c r="L45" i="83"/>
  <c r="K45" i="83"/>
  <c r="L44" i="83"/>
  <c r="K44" i="83"/>
  <c r="L43" i="83"/>
  <c r="K43" i="83"/>
  <c r="L42" i="83"/>
  <c r="K42" i="83"/>
  <c r="L41" i="83"/>
  <c r="K41" i="83"/>
  <c r="L40" i="83"/>
  <c r="K40" i="83"/>
  <c r="L39" i="83"/>
  <c r="K39" i="83"/>
  <c r="L38" i="83"/>
  <c r="K38" i="83"/>
  <c r="L37" i="83"/>
  <c r="K37" i="83"/>
  <c r="L36" i="83"/>
  <c r="K36" i="83"/>
  <c r="L35" i="83"/>
  <c r="K35" i="83"/>
  <c r="L34" i="83"/>
  <c r="K34" i="83"/>
  <c r="I34" i="83"/>
  <c r="L33" i="83"/>
  <c r="K33" i="83"/>
  <c r="L32" i="83"/>
  <c r="K32" i="83"/>
  <c r="L31" i="83"/>
  <c r="K31" i="83"/>
  <c r="L30" i="83"/>
  <c r="K30" i="83"/>
  <c r="L29" i="83"/>
  <c r="K29" i="83"/>
  <c r="L28" i="83"/>
  <c r="I28" i="83"/>
  <c r="K28" i="83" s="1"/>
  <c r="L27" i="83"/>
  <c r="K27" i="83"/>
  <c r="I27" i="83"/>
  <c r="L26" i="83"/>
  <c r="I26" i="83"/>
  <c r="K26" i="83" s="1"/>
  <c r="L25" i="83"/>
  <c r="K25" i="83"/>
  <c r="I25" i="83"/>
  <c r="L24" i="83"/>
  <c r="I24" i="83"/>
  <c r="K24" i="83" s="1"/>
  <c r="L23" i="83"/>
  <c r="I23" i="83"/>
  <c r="K23" i="83" s="1"/>
  <c r="L22" i="83"/>
  <c r="I22" i="83"/>
  <c r="K22" i="83" s="1"/>
  <c r="L21" i="83"/>
  <c r="I21" i="83"/>
  <c r="K21" i="83" s="1"/>
  <c r="L20" i="83"/>
  <c r="I20" i="83"/>
  <c r="K20" i="83" s="1"/>
  <c r="L19" i="83"/>
  <c r="K19" i="83"/>
  <c r="I19" i="83"/>
  <c r="L18" i="83"/>
  <c r="I18" i="83"/>
  <c r="K18" i="83" s="1"/>
  <c r="L17" i="83"/>
  <c r="K17" i="83"/>
  <c r="I17" i="83"/>
  <c r="L16" i="83"/>
  <c r="I16" i="83"/>
  <c r="K16" i="83" s="1"/>
  <c r="L15" i="83"/>
  <c r="I15" i="83"/>
  <c r="K15" i="83" s="1"/>
  <c r="L14" i="83"/>
  <c r="I14" i="83"/>
  <c r="K14" i="83" s="1"/>
  <c r="L13" i="83"/>
  <c r="I13" i="83"/>
  <c r="K13" i="83" s="1"/>
  <c r="L12" i="83"/>
  <c r="I12" i="83"/>
  <c r="K12" i="83" s="1"/>
  <c r="L11" i="83"/>
  <c r="K11" i="83"/>
  <c r="I11" i="83"/>
  <c r="L10" i="83"/>
  <c r="I10" i="83"/>
  <c r="K10" i="83" s="1"/>
  <c r="L9" i="83"/>
  <c r="K9" i="83"/>
  <c r="I9" i="83"/>
  <c r="L8" i="83"/>
  <c r="I8" i="83"/>
  <c r="K8" i="83" s="1"/>
  <c r="L7" i="83"/>
  <c r="I7" i="83"/>
  <c r="K7" i="83" s="1"/>
  <c r="L6" i="83"/>
  <c r="I6" i="83"/>
  <c r="K6" i="83" s="1"/>
  <c r="J3" i="82"/>
  <c r="I3" i="82"/>
  <c r="E3" i="82"/>
  <c r="I16" i="81"/>
  <c r="G22" i="81" s="1"/>
  <c r="D16" i="81"/>
  <c r="J15" i="81"/>
  <c r="I15" i="81"/>
  <c r="J14" i="81"/>
  <c r="I14" i="81"/>
  <c r="J13" i="81"/>
  <c r="I13" i="81"/>
  <c r="J12" i="81"/>
  <c r="I12" i="81"/>
  <c r="J11" i="81"/>
  <c r="I11" i="81"/>
  <c r="J10" i="81"/>
  <c r="I10" i="81"/>
  <c r="J9" i="81"/>
  <c r="I9" i="81"/>
  <c r="J8" i="81"/>
  <c r="I8" i="81"/>
  <c r="J7" i="81"/>
  <c r="I7" i="81"/>
  <c r="J6" i="81"/>
  <c r="I6" i="81"/>
  <c r="J5" i="81"/>
  <c r="I5" i="81"/>
  <c r="J4" i="81"/>
  <c r="J16" i="81" s="1"/>
  <c r="I4" i="81"/>
  <c r="J1396" i="80"/>
  <c r="I1396" i="80"/>
  <c r="G1396" i="80"/>
  <c r="F1396" i="80"/>
  <c r="E1396" i="80"/>
  <c r="L1395" i="80"/>
  <c r="H1395" i="80"/>
  <c r="K1395" i="80" s="1"/>
  <c r="L1394" i="80"/>
  <c r="K1394" i="80"/>
  <c r="H1394" i="80"/>
  <c r="L1393" i="80"/>
  <c r="H1393" i="80"/>
  <c r="K1393" i="80" s="1"/>
  <c r="L1392" i="80"/>
  <c r="H1392" i="80"/>
  <c r="K1392" i="80" s="1"/>
  <c r="L1391" i="80"/>
  <c r="H1391" i="80"/>
  <c r="K1391" i="80" s="1"/>
  <c r="L1390" i="80"/>
  <c r="K1390" i="80"/>
  <c r="H1390" i="80"/>
  <c r="L1389" i="80"/>
  <c r="H1389" i="80"/>
  <c r="K1389" i="80" s="1"/>
  <c r="L1388" i="80"/>
  <c r="H1388" i="80"/>
  <c r="K1388" i="80" s="1"/>
  <c r="L1387" i="80"/>
  <c r="H1387" i="80"/>
  <c r="K1387" i="80" s="1"/>
  <c r="L1386" i="80"/>
  <c r="K1386" i="80"/>
  <c r="H1386" i="80"/>
  <c r="H1385" i="80"/>
  <c r="L1384" i="80"/>
  <c r="H1384" i="80"/>
  <c r="K1384" i="80" s="1"/>
  <c r="L1383" i="80"/>
  <c r="H1383" i="80"/>
  <c r="K1383" i="80" s="1"/>
  <c r="L1382" i="80"/>
  <c r="K1382" i="80"/>
  <c r="H1382" i="80"/>
  <c r="L1381" i="80"/>
  <c r="H1381" i="80"/>
  <c r="K1381" i="80" s="1"/>
  <c r="L1380" i="80"/>
  <c r="H1380" i="80"/>
  <c r="K1380" i="80" s="1"/>
  <c r="L1379" i="80"/>
  <c r="H1379" i="80"/>
  <c r="K1379" i="80" s="1"/>
  <c r="L1378" i="80"/>
  <c r="K1378" i="80"/>
  <c r="H1378" i="80"/>
  <c r="L1377" i="80"/>
  <c r="H1377" i="80"/>
  <c r="K1377" i="80" s="1"/>
  <c r="L1376" i="80"/>
  <c r="H1376" i="80"/>
  <c r="K1376" i="80" s="1"/>
  <c r="L1375" i="80"/>
  <c r="H1375" i="80"/>
  <c r="K1375" i="80" s="1"/>
  <c r="L1374" i="80"/>
  <c r="K1374" i="80"/>
  <c r="H1374" i="80"/>
  <c r="L1373" i="80"/>
  <c r="H1373" i="80"/>
  <c r="K1373" i="80" s="1"/>
  <c r="L1372" i="80"/>
  <c r="H1372" i="80"/>
  <c r="K1372" i="80" s="1"/>
  <c r="L1371" i="80"/>
  <c r="H1371" i="80"/>
  <c r="K1371" i="80" s="1"/>
  <c r="L1370" i="80"/>
  <c r="K1370" i="80"/>
  <c r="H1370" i="80"/>
  <c r="L1369" i="80"/>
  <c r="H1369" i="80"/>
  <c r="K1369" i="80" s="1"/>
  <c r="L1368" i="80"/>
  <c r="H1368" i="80"/>
  <c r="K1368" i="80" s="1"/>
  <c r="L1367" i="80"/>
  <c r="H1367" i="80"/>
  <c r="K1367" i="80" s="1"/>
  <c r="L1366" i="80"/>
  <c r="K1366" i="80"/>
  <c r="H1366" i="80"/>
  <c r="L1365" i="80"/>
  <c r="H1365" i="80"/>
  <c r="K1365" i="80" s="1"/>
  <c r="L1364" i="80"/>
  <c r="H1364" i="80"/>
  <c r="K1364" i="80" s="1"/>
  <c r="L1363" i="80"/>
  <c r="H1363" i="80"/>
  <c r="K1363" i="80" s="1"/>
  <c r="L1362" i="80"/>
  <c r="K1362" i="80"/>
  <c r="H1362" i="80"/>
  <c r="L1361" i="80"/>
  <c r="H1361" i="80"/>
  <c r="K1361" i="80" s="1"/>
  <c r="L1360" i="80"/>
  <c r="H1360" i="80"/>
  <c r="K1360" i="80" s="1"/>
  <c r="L1359" i="80"/>
  <c r="H1359" i="80"/>
  <c r="K1359" i="80" s="1"/>
  <c r="L1358" i="80"/>
  <c r="K1358" i="80"/>
  <c r="H1358" i="80"/>
  <c r="L1357" i="80"/>
  <c r="H1357" i="80"/>
  <c r="K1357" i="80" s="1"/>
  <c r="L1356" i="80"/>
  <c r="H1356" i="80"/>
  <c r="K1356" i="80" s="1"/>
  <c r="L1355" i="80"/>
  <c r="H1355" i="80"/>
  <c r="K1355" i="80" s="1"/>
  <c r="L1354" i="80"/>
  <c r="K1354" i="80"/>
  <c r="H1354" i="80"/>
  <c r="L1353" i="80"/>
  <c r="H1353" i="80"/>
  <c r="K1353" i="80" s="1"/>
  <c r="L1352" i="80"/>
  <c r="H1352" i="80"/>
  <c r="K1352" i="80" s="1"/>
  <c r="L1351" i="80"/>
  <c r="H1351" i="80"/>
  <c r="K1351" i="80" s="1"/>
  <c r="L1350" i="80"/>
  <c r="K1350" i="80"/>
  <c r="H1350" i="80"/>
  <c r="L1349" i="80"/>
  <c r="H1349" i="80"/>
  <c r="K1349" i="80" s="1"/>
  <c r="L1348" i="80"/>
  <c r="H1348" i="80"/>
  <c r="K1348" i="80" s="1"/>
  <c r="L1347" i="80"/>
  <c r="H1347" i="80"/>
  <c r="K1347" i="80" s="1"/>
  <c r="L1346" i="80"/>
  <c r="K1346" i="80"/>
  <c r="H1346" i="80"/>
  <c r="L1345" i="80"/>
  <c r="H1345" i="80"/>
  <c r="K1345" i="80" s="1"/>
  <c r="L1344" i="80"/>
  <c r="H1344" i="80"/>
  <c r="K1344" i="80" s="1"/>
  <c r="L1343" i="80"/>
  <c r="H1343" i="80"/>
  <c r="K1343" i="80" s="1"/>
  <c r="L1342" i="80"/>
  <c r="K1342" i="80"/>
  <c r="H1342" i="80"/>
  <c r="L1341" i="80"/>
  <c r="H1341" i="80"/>
  <c r="K1341" i="80" s="1"/>
  <c r="L1340" i="80"/>
  <c r="H1340" i="80"/>
  <c r="K1340" i="80" s="1"/>
  <c r="L1339" i="80"/>
  <c r="H1339" i="80"/>
  <c r="K1339" i="80" s="1"/>
  <c r="L1338" i="80"/>
  <c r="K1338" i="80"/>
  <c r="H1338" i="80"/>
  <c r="L1337" i="80"/>
  <c r="H1337" i="80"/>
  <c r="K1337" i="80" s="1"/>
  <c r="L1336" i="80"/>
  <c r="H1336" i="80"/>
  <c r="K1336" i="80" s="1"/>
  <c r="L1335" i="80"/>
  <c r="H1335" i="80"/>
  <c r="K1335" i="80" s="1"/>
  <c r="L1334" i="80"/>
  <c r="K1334" i="80"/>
  <c r="H1334" i="80"/>
  <c r="L1333" i="80"/>
  <c r="H1333" i="80"/>
  <c r="K1333" i="80" s="1"/>
  <c r="L1332" i="80"/>
  <c r="H1332" i="80"/>
  <c r="K1332" i="80" s="1"/>
  <c r="L1331" i="80"/>
  <c r="H1331" i="80"/>
  <c r="K1331" i="80" s="1"/>
  <c r="L1330" i="80"/>
  <c r="K1330" i="80"/>
  <c r="H1330" i="80"/>
  <c r="L1329" i="80"/>
  <c r="H1329" i="80"/>
  <c r="K1329" i="80" s="1"/>
  <c r="L1328" i="80"/>
  <c r="H1328" i="80"/>
  <c r="K1328" i="80" s="1"/>
  <c r="L1327" i="80"/>
  <c r="H1327" i="80"/>
  <c r="K1327" i="80" s="1"/>
  <c r="L1326" i="80"/>
  <c r="K1326" i="80"/>
  <c r="H1326" i="80"/>
  <c r="L1325" i="80"/>
  <c r="H1325" i="80"/>
  <c r="K1325" i="80" s="1"/>
  <c r="L1324" i="80"/>
  <c r="H1324" i="80"/>
  <c r="K1324" i="80" s="1"/>
  <c r="L1323" i="80"/>
  <c r="H1323" i="80"/>
  <c r="K1323" i="80" s="1"/>
  <c r="L1322" i="80"/>
  <c r="K1322" i="80"/>
  <c r="H1322" i="80"/>
  <c r="L1321" i="80"/>
  <c r="H1321" i="80"/>
  <c r="K1321" i="80" s="1"/>
  <c r="L1320" i="80"/>
  <c r="H1320" i="80"/>
  <c r="K1320" i="80" s="1"/>
  <c r="L1319" i="80"/>
  <c r="H1319" i="80"/>
  <c r="K1319" i="80" s="1"/>
  <c r="L1318" i="80"/>
  <c r="K1318" i="80"/>
  <c r="H1318" i="80"/>
  <c r="L1317" i="80"/>
  <c r="H1317" i="80"/>
  <c r="K1317" i="80" s="1"/>
  <c r="L1316" i="80"/>
  <c r="H1316" i="80"/>
  <c r="K1316" i="80" s="1"/>
  <c r="L1315" i="80"/>
  <c r="H1315" i="80"/>
  <c r="K1315" i="80" s="1"/>
  <c r="L1314" i="80"/>
  <c r="K1314" i="80"/>
  <c r="H1314" i="80"/>
  <c r="L1313" i="80"/>
  <c r="H1313" i="80"/>
  <c r="K1313" i="80" s="1"/>
  <c r="L1312" i="80"/>
  <c r="H1312" i="80"/>
  <c r="K1312" i="80" s="1"/>
  <c r="L1311" i="80"/>
  <c r="H1311" i="80"/>
  <c r="K1311" i="80" s="1"/>
  <c r="L1310" i="80"/>
  <c r="K1310" i="80"/>
  <c r="H1310" i="80"/>
  <c r="L1309" i="80"/>
  <c r="H1309" i="80"/>
  <c r="K1309" i="80" s="1"/>
  <c r="L1308" i="80"/>
  <c r="H1308" i="80"/>
  <c r="K1308" i="80" s="1"/>
  <c r="L1307" i="80"/>
  <c r="H1307" i="80"/>
  <c r="K1307" i="80" s="1"/>
  <c r="L1306" i="80"/>
  <c r="K1306" i="80"/>
  <c r="H1306" i="80"/>
  <c r="L1305" i="80"/>
  <c r="H1305" i="80"/>
  <c r="K1305" i="80" s="1"/>
  <c r="L1304" i="80"/>
  <c r="H1304" i="80"/>
  <c r="K1304" i="80" s="1"/>
  <c r="L1303" i="80"/>
  <c r="H1303" i="80"/>
  <c r="K1303" i="80" s="1"/>
  <c r="L1302" i="80"/>
  <c r="K1302" i="80"/>
  <c r="H1302" i="80"/>
  <c r="L1301" i="80"/>
  <c r="H1301" i="80"/>
  <c r="K1301" i="80" s="1"/>
  <c r="L1300" i="80"/>
  <c r="H1300" i="80"/>
  <c r="K1300" i="80" s="1"/>
  <c r="L1299" i="80"/>
  <c r="H1299" i="80"/>
  <c r="K1299" i="80" s="1"/>
  <c r="L1298" i="80"/>
  <c r="K1298" i="80"/>
  <c r="H1298" i="80"/>
  <c r="L1297" i="80"/>
  <c r="H1297" i="80"/>
  <c r="K1297" i="80" s="1"/>
  <c r="L1296" i="80"/>
  <c r="H1296" i="80"/>
  <c r="K1296" i="80" s="1"/>
  <c r="L1295" i="80"/>
  <c r="H1295" i="80"/>
  <c r="K1295" i="80" s="1"/>
  <c r="L1294" i="80"/>
  <c r="K1294" i="80"/>
  <c r="H1294" i="80"/>
  <c r="L1293" i="80"/>
  <c r="H1293" i="80"/>
  <c r="K1293" i="80" s="1"/>
  <c r="L1292" i="80"/>
  <c r="H1292" i="80"/>
  <c r="K1292" i="80" s="1"/>
  <c r="L1291" i="80"/>
  <c r="H1291" i="80"/>
  <c r="K1291" i="80" s="1"/>
  <c r="L1290" i="80"/>
  <c r="K1290" i="80"/>
  <c r="H1290" i="80"/>
  <c r="L1289" i="80"/>
  <c r="H1289" i="80"/>
  <c r="K1289" i="80" s="1"/>
  <c r="L1288" i="80"/>
  <c r="H1288" i="80"/>
  <c r="K1288" i="80" s="1"/>
  <c r="L1287" i="80"/>
  <c r="H1287" i="80"/>
  <c r="K1287" i="80" s="1"/>
  <c r="L1286" i="80"/>
  <c r="K1286" i="80"/>
  <c r="H1286" i="80"/>
  <c r="L1285" i="80"/>
  <c r="H1285" i="80"/>
  <c r="K1285" i="80" s="1"/>
  <c r="L1284" i="80"/>
  <c r="H1284" i="80"/>
  <c r="K1284" i="80" s="1"/>
  <c r="L1283" i="80"/>
  <c r="H1283" i="80"/>
  <c r="K1283" i="80" s="1"/>
  <c r="L1282" i="80"/>
  <c r="K1282" i="80"/>
  <c r="H1282" i="80"/>
  <c r="L1281" i="80"/>
  <c r="H1281" i="80"/>
  <c r="K1281" i="80" s="1"/>
  <c r="L1280" i="80"/>
  <c r="H1280" i="80"/>
  <c r="K1280" i="80" s="1"/>
  <c r="L1279" i="80"/>
  <c r="H1279" i="80"/>
  <c r="K1279" i="80" s="1"/>
  <c r="L1278" i="80"/>
  <c r="K1278" i="80"/>
  <c r="H1278" i="80"/>
  <c r="L1277" i="80"/>
  <c r="H1277" i="80"/>
  <c r="K1277" i="80" s="1"/>
  <c r="L1276" i="80"/>
  <c r="H1276" i="80"/>
  <c r="K1276" i="80" s="1"/>
  <c r="L1275" i="80"/>
  <c r="H1275" i="80"/>
  <c r="K1275" i="80" s="1"/>
  <c r="L1274" i="80"/>
  <c r="K1274" i="80"/>
  <c r="H1274" i="80"/>
  <c r="L1273" i="80"/>
  <c r="H1273" i="80"/>
  <c r="K1273" i="80" s="1"/>
  <c r="L1272" i="80"/>
  <c r="H1272" i="80"/>
  <c r="K1272" i="80" s="1"/>
  <c r="L1271" i="80"/>
  <c r="H1271" i="80"/>
  <c r="K1271" i="80" s="1"/>
  <c r="L1270" i="80"/>
  <c r="K1270" i="80"/>
  <c r="H1270" i="80"/>
  <c r="L1269" i="80"/>
  <c r="H1269" i="80"/>
  <c r="K1269" i="80" s="1"/>
  <c r="L1268" i="80"/>
  <c r="H1268" i="80"/>
  <c r="K1268" i="80" s="1"/>
  <c r="L1267" i="80"/>
  <c r="H1267" i="80"/>
  <c r="K1267" i="80" s="1"/>
  <c r="L1266" i="80"/>
  <c r="K1266" i="80"/>
  <c r="H1266" i="80"/>
  <c r="L1265" i="80"/>
  <c r="H1265" i="80"/>
  <c r="K1265" i="80" s="1"/>
  <c r="L1264" i="80"/>
  <c r="H1264" i="80"/>
  <c r="K1264" i="80" s="1"/>
  <c r="L1263" i="80"/>
  <c r="H1263" i="80"/>
  <c r="K1263" i="80" s="1"/>
  <c r="L1262" i="80"/>
  <c r="K1262" i="80"/>
  <c r="H1262" i="80"/>
  <c r="L1261" i="80"/>
  <c r="H1261" i="80"/>
  <c r="K1261" i="80" s="1"/>
  <c r="L1260" i="80"/>
  <c r="H1260" i="80"/>
  <c r="K1260" i="80" s="1"/>
  <c r="L1259" i="80"/>
  <c r="H1259" i="80"/>
  <c r="K1259" i="80" s="1"/>
  <c r="L1258" i="80"/>
  <c r="K1258" i="80"/>
  <c r="H1258" i="80"/>
  <c r="L1257" i="80"/>
  <c r="H1257" i="80"/>
  <c r="K1257" i="80" s="1"/>
  <c r="L1256" i="80"/>
  <c r="H1256" i="80"/>
  <c r="K1256" i="80" s="1"/>
  <c r="L1255" i="80"/>
  <c r="H1255" i="80"/>
  <c r="K1255" i="80" s="1"/>
  <c r="L1254" i="80"/>
  <c r="K1254" i="80"/>
  <c r="H1254" i="80"/>
  <c r="L1253" i="80"/>
  <c r="H1253" i="80"/>
  <c r="K1253" i="80" s="1"/>
  <c r="L1252" i="80"/>
  <c r="H1252" i="80"/>
  <c r="K1252" i="80" s="1"/>
  <c r="L1251" i="80"/>
  <c r="H1251" i="80"/>
  <c r="K1251" i="80" s="1"/>
  <c r="L1250" i="80"/>
  <c r="K1250" i="80"/>
  <c r="H1250" i="80"/>
  <c r="L1249" i="80"/>
  <c r="H1249" i="80"/>
  <c r="K1249" i="80" s="1"/>
  <c r="L1248" i="80"/>
  <c r="H1248" i="80"/>
  <c r="K1248" i="80" s="1"/>
  <c r="L1247" i="80"/>
  <c r="H1247" i="80"/>
  <c r="K1247" i="80" s="1"/>
  <c r="L1246" i="80"/>
  <c r="K1246" i="80"/>
  <c r="H1246" i="80"/>
  <c r="L1245" i="80"/>
  <c r="H1245" i="80"/>
  <c r="K1245" i="80" s="1"/>
  <c r="L1244" i="80"/>
  <c r="H1244" i="80"/>
  <c r="K1244" i="80" s="1"/>
  <c r="L1243" i="80"/>
  <c r="H1243" i="80"/>
  <c r="K1243" i="80" s="1"/>
  <c r="L1242" i="80"/>
  <c r="K1242" i="80"/>
  <c r="H1242" i="80"/>
  <c r="L1241" i="80"/>
  <c r="H1241" i="80"/>
  <c r="K1241" i="80" s="1"/>
  <c r="L1240" i="80"/>
  <c r="H1240" i="80"/>
  <c r="K1240" i="80" s="1"/>
  <c r="L1239" i="80"/>
  <c r="H1239" i="80"/>
  <c r="K1239" i="80" s="1"/>
  <c r="L1238" i="80"/>
  <c r="K1238" i="80"/>
  <c r="H1238" i="80"/>
  <c r="L1237" i="80"/>
  <c r="H1237" i="80"/>
  <c r="K1237" i="80" s="1"/>
  <c r="L1236" i="80"/>
  <c r="H1236" i="80"/>
  <c r="K1236" i="80" s="1"/>
  <c r="L1235" i="80"/>
  <c r="H1235" i="80"/>
  <c r="K1235" i="80" s="1"/>
  <c r="L1234" i="80"/>
  <c r="K1234" i="80"/>
  <c r="H1234" i="80"/>
  <c r="L1233" i="80"/>
  <c r="H1233" i="80"/>
  <c r="K1233" i="80" s="1"/>
  <c r="L1232" i="80"/>
  <c r="H1232" i="80"/>
  <c r="K1232" i="80" s="1"/>
  <c r="L1231" i="80"/>
  <c r="H1231" i="80"/>
  <c r="K1231" i="80" s="1"/>
  <c r="L1230" i="80"/>
  <c r="K1230" i="80"/>
  <c r="H1230" i="80"/>
  <c r="L1229" i="80"/>
  <c r="H1229" i="80"/>
  <c r="K1229" i="80" s="1"/>
  <c r="L1228" i="80"/>
  <c r="H1228" i="80"/>
  <c r="K1228" i="80" s="1"/>
  <c r="L1227" i="80"/>
  <c r="H1227" i="80"/>
  <c r="K1227" i="80" s="1"/>
  <c r="L1226" i="80"/>
  <c r="K1226" i="80"/>
  <c r="H1226" i="80"/>
  <c r="L1225" i="80"/>
  <c r="H1225" i="80"/>
  <c r="K1225" i="80" s="1"/>
  <c r="L1224" i="80"/>
  <c r="H1224" i="80"/>
  <c r="K1224" i="80" s="1"/>
  <c r="L1223" i="80"/>
  <c r="H1223" i="80"/>
  <c r="K1223" i="80" s="1"/>
  <c r="L1222" i="80"/>
  <c r="K1222" i="80"/>
  <c r="H1222" i="80"/>
  <c r="L1221" i="80"/>
  <c r="H1221" i="80"/>
  <c r="K1221" i="80" s="1"/>
  <c r="L1220" i="80"/>
  <c r="H1220" i="80"/>
  <c r="K1220" i="80" s="1"/>
  <c r="L1219" i="80"/>
  <c r="H1219" i="80"/>
  <c r="K1219" i="80" s="1"/>
  <c r="L1218" i="80"/>
  <c r="K1218" i="80"/>
  <c r="H1218" i="80"/>
  <c r="L1217" i="80"/>
  <c r="H1217" i="80"/>
  <c r="K1217" i="80" s="1"/>
  <c r="L1216" i="80"/>
  <c r="H1216" i="80"/>
  <c r="K1216" i="80" s="1"/>
  <c r="L1215" i="80"/>
  <c r="H1215" i="80"/>
  <c r="K1215" i="80" s="1"/>
  <c r="L1214" i="80"/>
  <c r="K1214" i="80"/>
  <c r="H1214" i="80"/>
  <c r="L1213" i="80"/>
  <c r="H1213" i="80"/>
  <c r="K1213" i="80" s="1"/>
  <c r="L1212" i="80"/>
  <c r="H1212" i="80"/>
  <c r="K1212" i="80" s="1"/>
  <c r="L1211" i="80"/>
  <c r="H1211" i="80"/>
  <c r="K1211" i="80" s="1"/>
  <c r="L1210" i="80"/>
  <c r="K1210" i="80"/>
  <c r="H1210" i="80"/>
  <c r="L1209" i="80"/>
  <c r="H1209" i="80"/>
  <c r="K1209" i="80" s="1"/>
  <c r="L1208" i="80"/>
  <c r="H1208" i="80"/>
  <c r="K1208" i="80" s="1"/>
  <c r="L1207" i="80"/>
  <c r="H1207" i="80"/>
  <c r="K1207" i="80" s="1"/>
  <c r="L1206" i="80"/>
  <c r="K1206" i="80"/>
  <c r="H1206" i="80"/>
  <c r="L1205" i="80"/>
  <c r="H1205" i="80"/>
  <c r="K1205" i="80" s="1"/>
  <c r="L1204" i="80"/>
  <c r="H1204" i="80"/>
  <c r="K1204" i="80" s="1"/>
  <c r="L1203" i="80"/>
  <c r="H1203" i="80"/>
  <c r="K1203" i="80" s="1"/>
  <c r="L1202" i="80"/>
  <c r="K1202" i="80"/>
  <c r="H1202" i="80"/>
  <c r="L1201" i="80"/>
  <c r="H1201" i="80"/>
  <c r="K1201" i="80" s="1"/>
  <c r="L1200" i="80"/>
  <c r="H1200" i="80"/>
  <c r="K1200" i="80" s="1"/>
  <c r="L1199" i="80"/>
  <c r="H1199" i="80"/>
  <c r="K1199" i="80" s="1"/>
  <c r="L1198" i="80"/>
  <c r="K1198" i="80"/>
  <c r="H1198" i="80"/>
  <c r="L1197" i="80"/>
  <c r="K1197" i="80"/>
  <c r="L1196" i="80"/>
  <c r="K1196" i="80"/>
  <c r="L1195" i="80"/>
  <c r="H1195" i="80"/>
  <c r="K1195" i="80" s="1"/>
  <c r="L1194" i="80"/>
  <c r="H1194" i="80"/>
  <c r="K1194" i="80" s="1"/>
  <c r="L1193" i="80"/>
  <c r="H1193" i="80"/>
  <c r="K1193" i="80" s="1"/>
  <c r="L1192" i="80"/>
  <c r="K1192" i="80"/>
  <c r="H1192" i="80"/>
  <c r="L1191" i="80"/>
  <c r="H1191" i="80"/>
  <c r="K1191" i="80" s="1"/>
  <c r="L1190" i="80"/>
  <c r="H1190" i="80"/>
  <c r="K1190" i="80" s="1"/>
  <c r="L1189" i="80"/>
  <c r="H1189" i="80"/>
  <c r="K1189" i="80" s="1"/>
  <c r="L1188" i="80"/>
  <c r="K1188" i="80"/>
  <c r="H1188" i="80"/>
  <c r="L1187" i="80"/>
  <c r="H1187" i="80"/>
  <c r="K1187" i="80" s="1"/>
  <c r="L1186" i="80"/>
  <c r="H1186" i="80"/>
  <c r="K1186" i="80" s="1"/>
  <c r="L1185" i="80"/>
  <c r="H1185" i="80"/>
  <c r="K1185" i="80" s="1"/>
  <c r="L1184" i="80"/>
  <c r="K1184" i="80"/>
  <c r="H1184" i="80"/>
  <c r="L1183" i="80"/>
  <c r="H1183" i="80"/>
  <c r="K1183" i="80" s="1"/>
  <c r="L1182" i="80"/>
  <c r="H1182" i="80"/>
  <c r="K1182" i="80" s="1"/>
  <c r="L1181" i="80"/>
  <c r="H1181" i="80"/>
  <c r="K1181" i="80" s="1"/>
  <c r="L1180" i="80"/>
  <c r="K1180" i="80"/>
  <c r="H1180" i="80"/>
  <c r="L1179" i="80"/>
  <c r="H1179" i="80"/>
  <c r="K1179" i="80" s="1"/>
  <c r="L1178" i="80"/>
  <c r="H1178" i="80"/>
  <c r="K1178" i="80" s="1"/>
  <c r="L1177" i="80"/>
  <c r="H1177" i="80"/>
  <c r="K1177" i="80" s="1"/>
  <c r="L1176" i="80"/>
  <c r="K1176" i="80"/>
  <c r="H1176" i="80"/>
  <c r="L1175" i="80"/>
  <c r="H1175" i="80"/>
  <c r="K1175" i="80" s="1"/>
  <c r="L1174" i="80"/>
  <c r="H1174" i="80"/>
  <c r="K1174" i="80" s="1"/>
  <c r="L1173" i="80"/>
  <c r="H1173" i="80"/>
  <c r="K1173" i="80" s="1"/>
  <c r="L1172" i="80"/>
  <c r="K1172" i="80"/>
  <c r="H1172" i="80"/>
  <c r="L1171" i="80"/>
  <c r="H1171" i="80"/>
  <c r="K1171" i="80" s="1"/>
  <c r="L1170" i="80"/>
  <c r="H1170" i="80"/>
  <c r="K1170" i="80" s="1"/>
  <c r="L1169" i="80"/>
  <c r="K1169" i="80"/>
  <c r="L1168" i="80"/>
  <c r="K1168" i="80"/>
  <c r="L1167" i="80"/>
  <c r="K1167" i="80"/>
  <c r="L1166" i="80"/>
  <c r="K1166" i="80"/>
  <c r="L1165" i="80"/>
  <c r="K1165" i="80"/>
  <c r="L1164" i="80"/>
  <c r="K1164" i="80"/>
  <c r="L1163" i="80"/>
  <c r="K1163" i="80"/>
  <c r="L1162" i="80"/>
  <c r="K1162" i="80"/>
  <c r="L1161" i="80"/>
  <c r="K1161" i="80"/>
  <c r="L1160" i="80"/>
  <c r="K1160" i="80"/>
  <c r="L1159" i="80"/>
  <c r="K1159" i="80"/>
  <c r="L1158" i="80"/>
  <c r="K1158" i="80"/>
  <c r="L1157" i="80"/>
  <c r="K1157" i="80"/>
  <c r="L1156" i="80"/>
  <c r="K1156" i="80"/>
  <c r="L1155" i="80"/>
  <c r="K1155" i="80"/>
  <c r="L1154" i="80"/>
  <c r="K1154" i="80"/>
  <c r="L1153" i="80"/>
  <c r="K1153" i="80"/>
  <c r="L1152" i="80"/>
  <c r="K1152" i="80"/>
  <c r="L1151" i="80"/>
  <c r="K1151" i="80"/>
  <c r="L1150" i="80"/>
  <c r="K1150" i="80"/>
  <c r="L1149" i="80"/>
  <c r="K1149" i="80"/>
  <c r="L1148" i="80"/>
  <c r="K1148" i="80"/>
  <c r="L1147" i="80"/>
  <c r="K1147" i="80"/>
  <c r="L1146" i="80"/>
  <c r="K1146" i="80"/>
  <c r="L1145" i="80"/>
  <c r="H1145" i="80"/>
  <c r="K1145" i="80" s="1"/>
  <c r="L1144" i="80"/>
  <c r="K1144" i="80"/>
  <c r="H1144" i="80"/>
  <c r="L1143" i="80"/>
  <c r="H1143" i="80"/>
  <c r="K1143" i="80" s="1"/>
  <c r="L1142" i="80"/>
  <c r="H1142" i="80"/>
  <c r="K1142" i="80" s="1"/>
  <c r="L1141" i="80"/>
  <c r="H1141" i="80"/>
  <c r="K1141" i="80" s="1"/>
  <c r="L1140" i="80"/>
  <c r="K1140" i="80"/>
  <c r="H1140" i="80"/>
  <c r="L1139" i="80"/>
  <c r="H1139" i="80"/>
  <c r="K1139" i="80" s="1"/>
  <c r="L1138" i="80"/>
  <c r="H1138" i="80"/>
  <c r="K1138" i="80" s="1"/>
  <c r="L1137" i="80"/>
  <c r="H1137" i="80"/>
  <c r="K1137" i="80" s="1"/>
  <c r="L1136" i="80"/>
  <c r="K1136" i="80"/>
  <c r="H1136" i="80"/>
  <c r="L1135" i="80"/>
  <c r="H1135" i="80"/>
  <c r="K1135" i="80" s="1"/>
  <c r="L1134" i="80"/>
  <c r="H1134" i="80"/>
  <c r="K1134" i="80" s="1"/>
  <c r="L1133" i="80"/>
  <c r="H1133" i="80"/>
  <c r="K1133" i="80" s="1"/>
  <c r="L1132" i="80"/>
  <c r="K1132" i="80"/>
  <c r="H1132" i="80"/>
  <c r="L1131" i="80"/>
  <c r="H1131" i="80"/>
  <c r="K1131" i="80" s="1"/>
  <c r="L1130" i="80"/>
  <c r="H1130" i="80"/>
  <c r="K1130" i="80" s="1"/>
  <c r="L1129" i="80"/>
  <c r="H1129" i="80"/>
  <c r="K1129" i="80" s="1"/>
  <c r="L1128" i="80"/>
  <c r="K1128" i="80"/>
  <c r="H1128" i="80"/>
  <c r="L1127" i="80"/>
  <c r="H1127" i="80"/>
  <c r="K1127" i="80" s="1"/>
  <c r="L1126" i="80"/>
  <c r="H1126" i="80"/>
  <c r="K1126" i="80" s="1"/>
  <c r="L1125" i="80"/>
  <c r="H1125" i="80"/>
  <c r="K1125" i="80" s="1"/>
  <c r="L1124" i="80"/>
  <c r="K1124" i="80"/>
  <c r="H1124" i="80"/>
  <c r="L1123" i="80"/>
  <c r="H1123" i="80"/>
  <c r="K1123" i="80" s="1"/>
  <c r="L1122" i="80"/>
  <c r="H1122" i="80"/>
  <c r="K1122" i="80" s="1"/>
  <c r="L1121" i="80"/>
  <c r="H1121" i="80"/>
  <c r="K1121" i="80" s="1"/>
  <c r="L1120" i="80"/>
  <c r="K1120" i="80"/>
  <c r="H1120" i="80"/>
  <c r="L1119" i="80"/>
  <c r="H1119" i="80"/>
  <c r="K1119" i="80" s="1"/>
  <c r="L1118" i="80"/>
  <c r="H1118" i="80"/>
  <c r="K1118" i="80" s="1"/>
  <c r="L1117" i="80"/>
  <c r="H1117" i="80"/>
  <c r="K1117" i="80" s="1"/>
  <c r="L1116" i="80"/>
  <c r="K1116" i="80"/>
  <c r="H1116" i="80"/>
  <c r="L1115" i="80"/>
  <c r="H1115" i="80"/>
  <c r="K1115" i="80" s="1"/>
  <c r="L1114" i="80"/>
  <c r="H1114" i="80"/>
  <c r="K1114" i="80" s="1"/>
  <c r="L1113" i="80"/>
  <c r="H1113" i="80"/>
  <c r="K1113" i="80" s="1"/>
  <c r="L1112" i="80"/>
  <c r="K1112" i="80"/>
  <c r="H1112" i="80"/>
  <c r="L1111" i="80"/>
  <c r="H1111" i="80"/>
  <c r="K1111" i="80" s="1"/>
  <c r="L1110" i="80"/>
  <c r="H1110" i="80"/>
  <c r="K1110" i="80" s="1"/>
  <c r="L1109" i="80"/>
  <c r="H1109" i="80"/>
  <c r="K1109" i="80" s="1"/>
  <c r="L1108" i="80"/>
  <c r="K1108" i="80"/>
  <c r="H1108" i="80"/>
  <c r="L1107" i="80"/>
  <c r="H1107" i="80"/>
  <c r="K1107" i="80" s="1"/>
  <c r="L1106" i="80"/>
  <c r="H1106" i="80"/>
  <c r="K1106" i="80" s="1"/>
  <c r="L1105" i="80"/>
  <c r="K1105" i="80"/>
  <c r="H1105" i="80"/>
  <c r="L1104" i="80"/>
  <c r="K1104" i="80"/>
  <c r="H1104" i="80"/>
  <c r="L1103" i="80"/>
  <c r="H1103" i="80"/>
  <c r="K1103" i="80" s="1"/>
  <c r="L1102" i="80"/>
  <c r="H1102" i="80"/>
  <c r="K1102" i="80" s="1"/>
  <c r="L1101" i="80"/>
  <c r="K1101" i="80"/>
  <c r="H1101" i="80"/>
  <c r="L1100" i="80"/>
  <c r="K1100" i="80"/>
  <c r="H1100" i="80"/>
  <c r="L1099" i="80"/>
  <c r="H1099" i="80"/>
  <c r="K1099" i="80" s="1"/>
  <c r="L1098" i="80"/>
  <c r="H1098" i="80"/>
  <c r="K1098" i="80" s="1"/>
  <c r="L1097" i="80"/>
  <c r="K1097" i="80"/>
  <c r="H1097" i="80"/>
  <c r="L1096" i="80"/>
  <c r="K1096" i="80"/>
  <c r="H1096" i="80"/>
  <c r="L1095" i="80"/>
  <c r="H1095" i="80"/>
  <c r="K1095" i="80" s="1"/>
  <c r="L1094" i="80"/>
  <c r="H1094" i="80"/>
  <c r="K1094" i="80" s="1"/>
  <c r="L1093" i="80"/>
  <c r="K1093" i="80"/>
  <c r="H1093" i="80"/>
  <c r="L1092" i="80"/>
  <c r="K1092" i="80"/>
  <c r="H1092" i="80"/>
  <c r="L1091" i="80"/>
  <c r="H1091" i="80"/>
  <c r="K1091" i="80" s="1"/>
  <c r="L1090" i="80"/>
  <c r="H1090" i="80"/>
  <c r="K1090" i="80" s="1"/>
  <c r="L1089" i="80"/>
  <c r="K1089" i="80"/>
  <c r="H1089" i="80"/>
  <c r="L1088" i="80"/>
  <c r="K1088" i="80"/>
  <c r="H1088" i="80"/>
  <c r="L1087" i="80"/>
  <c r="H1087" i="80"/>
  <c r="K1087" i="80" s="1"/>
  <c r="L1086" i="80"/>
  <c r="H1086" i="80"/>
  <c r="K1086" i="80" s="1"/>
  <c r="L1085" i="80"/>
  <c r="K1085" i="80"/>
  <c r="H1085" i="80"/>
  <c r="L1084" i="80"/>
  <c r="K1084" i="80"/>
  <c r="H1084" i="80"/>
  <c r="L1083" i="80"/>
  <c r="H1083" i="80"/>
  <c r="K1083" i="80" s="1"/>
  <c r="L1082" i="80"/>
  <c r="H1082" i="80"/>
  <c r="K1082" i="80" s="1"/>
  <c r="L1081" i="80"/>
  <c r="K1081" i="80"/>
  <c r="H1081" i="80"/>
  <c r="L1080" i="80"/>
  <c r="K1080" i="80"/>
  <c r="H1080" i="80"/>
  <c r="L1079" i="80"/>
  <c r="H1079" i="80"/>
  <c r="K1079" i="80" s="1"/>
  <c r="L1078" i="80"/>
  <c r="H1078" i="80"/>
  <c r="K1078" i="80" s="1"/>
  <c r="L1077" i="80"/>
  <c r="K1077" i="80"/>
  <c r="H1077" i="80"/>
  <c r="L1076" i="80"/>
  <c r="K1076" i="80"/>
  <c r="H1076" i="80"/>
  <c r="L1075" i="80"/>
  <c r="H1075" i="80"/>
  <c r="K1075" i="80" s="1"/>
  <c r="L1074" i="80"/>
  <c r="H1074" i="80"/>
  <c r="K1074" i="80" s="1"/>
  <c r="L1073" i="80"/>
  <c r="K1073" i="80"/>
  <c r="H1073" i="80"/>
  <c r="L1072" i="80"/>
  <c r="K1072" i="80"/>
  <c r="H1072" i="80"/>
  <c r="L1071" i="80"/>
  <c r="H1071" i="80"/>
  <c r="K1071" i="80" s="1"/>
  <c r="L1070" i="80"/>
  <c r="H1070" i="80"/>
  <c r="K1070" i="80" s="1"/>
  <c r="L1069" i="80"/>
  <c r="K1069" i="80"/>
  <c r="H1069" i="80"/>
  <c r="L1068" i="80"/>
  <c r="K1068" i="80"/>
  <c r="H1068" i="80"/>
  <c r="L1067" i="80"/>
  <c r="H1067" i="80"/>
  <c r="K1067" i="80" s="1"/>
  <c r="L1066" i="80"/>
  <c r="H1066" i="80"/>
  <c r="K1066" i="80" s="1"/>
  <c r="L1065" i="80"/>
  <c r="K1065" i="80"/>
  <c r="H1065" i="80"/>
  <c r="L1064" i="80"/>
  <c r="K1064" i="80"/>
  <c r="H1064" i="80"/>
  <c r="L1063" i="80"/>
  <c r="H1063" i="80"/>
  <c r="K1063" i="80" s="1"/>
  <c r="L1062" i="80"/>
  <c r="H1062" i="80"/>
  <c r="K1062" i="80" s="1"/>
  <c r="L1061" i="80"/>
  <c r="K1061" i="80"/>
  <c r="H1061" i="80"/>
  <c r="L1060" i="80"/>
  <c r="K1060" i="80"/>
  <c r="H1060" i="80"/>
  <c r="L1059" i="80"/>
  <c r="H1059" i="80"/>
  <c r="K1059" i="80" s="1"/>
  <c r="L1058" i="80"/>
  <c r="H1058" i="80"/>
  <c r="K1058" i="80" s="1"/>
  <c r="L1057" i="80"/>
  <c r="K1057" i="80"/>
  <c r="H1057" i="80"/>
  <c r="L1056" i="80"/>
  <c r="K1056" i="80"/>
  <c r="H1056" i="80"/>
  <c r="L1055" i="80"/>
  <c r="H1055" i="80"/>
  <c r="K1055" i="80" s="1"/>
  <c r="L1054" i="80"/>
  <c r="H1054" i="80"/>
  <c r="K1054" i="80" s="1"/>
  <c r="L1053" i="80"/>
  <c r="K1053" i="80"/>
  <c r="H1053" i="80"/>
  <c r="L1052" i="80"/>
  <c r="K1052" i="80"/>
  <c r="H1052" i="80"/>
  <c r="L1051" i="80"/>
  <c r="H1051" i="80"/>
  <c r="K1051" i="80" s="1"/>
  <c r="L1050" i="80"/>
  <c r="H1050" i="80"/>
  <c r="K1050" i="80" s="1"/>
  <c r="L1049" i="80"/>
  <c r="K1049" i="80"/>
  <c r="H1049" i="80"/>
  <c r="L1048" i="80"/>
  <c r="H1048" i="80"/>
  <c r="K1048" i="80" s="1"/>
  <c r="L1047" i="80"/>
  <c r="H1047" i="80"/>
  <c r="K1047" i="80" s="1"/>
  <c r="L1046" i="80"/>
  <c r="H1046" i="80"/>
  <c r="K1046" i="80" s="1"/>
  <c r="L1045" i="80"/>
  <c r="K1045" i="80"/>
  <c r="H1045" i="80"/>
  <c r="L1044" i="80"/>
  <c r="K1044" i="80"/>
  <c r="H1044" i="80"/>
  <c r="L1043" i="80"/>
  <c r="H1043" i="80"/>
  <c r="K1043" i="80" s="1"/>
  <c r="L1042" i="80"/>
  <c r="H1042" i="80"/>
  <c r="K1042" i="80" s="1"/>
  <c r="L1041" i="80"/>
  <c r="K1041" i="80"/>
  <c r="H1041" i="80"/>
  <c r="L1040" i="80"/>
  <c r="H1040" i="80"/>
  <c r="K1040" i="80" s="1"/>
  <c r="L1039" i="80"/>
  <c r="H1039" i="80"/>
  <c r="K1039" i="80" s="1"/>
  <c r="L1038" i="80"/>
  <c r="H1038" i="80"/>
  <c r="K1038" i="80" s="1"/>
  <c r="L1037" i="80"/>
  <c r="K1037" i="80"/>
  <c r="H1037" i="80"/>
  <c r="L1036" i="80"/>
  <c r="H1036" i="80"/>
  <c r="K1036" i="80" s="1"/>
  <c r="L1035" i="80"/>
  <c r="H1035" i="80"/>
  <c r="K1035" i="80" s="1"/>
  <c r="L1034" i="80"/>
  <c r="H1034" i="80"/>
  <c r="K1034" i="80" s="1"/>
  <c r="L1033" i="80"/>
  <c r="H1033" i="80"/>
  <c r="K1033" i="80" s="1"/>
  <c r="L1032" i="80"/>
  <c r="H1032" i="80"/>
  <c r="K1032" i="80" s="1"/>
  <c r="L1031" i="80"/>
  <c r="K1031" i="80"/>
  <c r="H1031" i="80"/>
  <c r="L1030" i="80"/>
  <c r="H1030" i="80"/>
  <c r="K1030" i="80" s="1"/>
  <c r="L1029" i="80"/>
  <c r="H1029" i="80"/>
  <c r="K1029" i="80" s="1"/>
  <c r="L1028" i="80"/>
  <c r="H1028" i="80"/>
  <c r="K1028" i="80" s="1"/>
  <c r="L1027" i="80"/>
  <c r="K1027" i="80"/>
  <c r="H1027" i="80"/>
  <c r="L1026" i="80"/>
  <c r="H1026" i="80"/>
  <c r="K1026" i="80" s="1"/>
  <c r="L1025" i="80"/>
  <c r="H1025" i="80"/>
  <c r="K1025" i="80" s="1"/>
  <c r="L1024" i="80"/>
  <c r="H1024" i="80"/>
  <c r="K1024" i="80" s="1"/>
  <c r="L1023" i="80"/>
  <c r="K1023" i="80"/>
  <c r="H1023" i="80"/>
  <c r="L1022" i="80"/>
  <c r="H1022" i="80"/>
  <c r="K1022" i="80" s="1"/>
  <c r="L1021" i="80"/>
  <c r="H1021" i="80"/>
  <c r="K1021" i="80" s="1"/>
  <c r="L1020" i="80"/>
  <c r="H1020" i="80"/>
  <c r="K1020" i="80" s="1"/>
  <c r="L1019" i="80"/>
  <c r="K1019" i="80"/>
  <c r="H1019" i="80"/>
  <c r="L1018" i="80"/>
  <c r="H1018" i="80"/>
  <c r="K1018" i="80" s="1"/>
  <c r="L1017" i="80"/>
  <c r="H1017" i="80"/>
  <c r="K1017" i="80" s="1"/>
  <c r="L1016" i="80"/>
  <c r="H1016" i="80"/>
  <c r="K1016" i="80" s="1"/>
  <c r="L1015" i="80"/>
  <c r="K1015" i="80"/>
  <c r="H1015" i="80"/>
  <c r="L1014" i="80"/>
  <c r="H1014" i="80"/>
  <c r="K1014" i="80" s="1"/>
  <c r="L1013" i="80"/>
  <c r="H1013" i="80"/>
  <c r="K1013" i="80" s="1"/>
  <c r="L1012" i="80"/>
  <c r="H1012" i="80"/>
  <c r="K1012" i="80" s="1"/>
  <c r="L1011" i="80"/>
  <c r="K1011" i="80"/>
  <c r="H1011" i="80"/>
  <c r="L1010" i="80"/>
  <c r="H1010" i="80"/>
  <c r="K1010" i="80" s="1"/>
  <c r="L1009" i="80"/>
  <c r="H1009" i="80"/>
  <c r="K1009" i="80" s="1"/>
  <c r="L1008" i="80"/>
  <c r="H1008" i="80"/>
  <c r="K1008" i="80" s="1"/>
  <c r="L1007" i="80"/>
  <c r="K1007" i="80"/>
  <c r="H1007" i="80"/>
  <c r="L1006" i="80"/>
  <c r="H1006" i="80"/>
  <c r="K1006" i="80" s="1"/>
  <c r="L1005" i="80"/>
  <c r="H1005" i="80"/>
  <c r="K1005" i="80" s="1"/>
  <c r="L1004" i="80"/>
  <c r="H1004" i="80"/>
  <c r="K1004" i="80" s="1"/>
  <c r="L1003" i="80"/>
  <c r="K1003" i="80"/>
  <c r="H1003" i="80"/>
  <c r="L1002" i="80"/>
  <c r="H1002" i="80"/>
  <c r="K1002" i="80" s="1"/>
  <c r="L1001" i="80"/>
  <c r="H1001" i="80"/>
  <c r="K1001" i="80" s="1"/>
  <c r="L1000" i="80"/>
  <c r="H1000" i="80"/>
  <c r="K1000" i="80" s="1"/>
  <c r="L999" i="80"/>
  <c r="K999" i="80"/>
  <c r="H999" i="80"/>
  <c r="L998" i="80"/>
  <c r="H998" i="80"/>
  <c r="K998" i="80" s="1"/>
  <c r="L997" i="80"/>
  <c r="H997" i="80"/>
  <c r="K997" i="80" s="1"/>
  <c r="L996" i="80"/>
  <c r="H996" i="80"/>
  <c r="K996" i="80" s="1"/>
  <c r="L995" i="80"/>
  <c r="K995" i="80"/>
  <c r="H995" i="80"/>
  <c r="L994" i="80"/>
  <c r="H994" i="80"/>
  <c r="K994" i="80" s="1"/>
  <c r="L993" i="80"/>
  <c r="H993" i="80"/>
  <c r="K993" i="80" s="1"/>
  <c r="L992" i="80"/>
  <c r="H992" i="80"/>
  <c r="K992" i="80" s="1"/>
  <c r="L991" i="80"/>
  <c r="K991" i="80"/>
  <c r="H991" i="80"/>
  <c r="L990" i="80"/>
  <c r="H990" i="80"/>
  <c r="K990" i="80" s="1"/>
  <c r="L989" i="80"/>
  <c r="H989" i="80"/>
  <c r="K989" i="80" s="1"/>
  <c r="L988" i="80"/>
  <c r="H988" i="80"/>
  <c r="K988" i="80" s="1"/>
  <c r="L987" i="80"/>
  <c r="K987" i="80"/>
  <c r="H987" i="80"/>
  <c r="L986" i="80"/>
  <c r="H986" i="80"/>
  <c r="K986" i="80" s="1"/>
  <c r="L985" i="80"/>
  <c r="H985" i="80"/>
  <c r="K985" i="80" s="1"/>
  <c r="L984" i="80"/>
  <c r="H984" i="80"/>
  <c r="K984" i="80" s="1"/>
  <c r="L983" i="80"/>
  <c r="K983" i="80"/>
  <c r="H983" i="80"/>
  <c r="L982" i="80"/>
  <c r="H982" i="80"/>
  <c r="K982" i="80" s="1"/>
  <c r="L981" i="80"/>
  <c r="H981" i="80"/>
  <c r="K981" i="80" s="1"/>
  <c r="L980" i="80"/>
  <c r="H980" i="80"/>
  <c r="K980" i="80" s="1"/>
  <c r="L979" i="80"/>
  <c r="K979" i="80"/>
  <c r="H979" i="80"/>
  <c r="L978" i="80"/>
  <c r="H978" i="80"/>
  <c r="K978" i="80" s="1"/>
  <c r="L977" i="80"/>
  <c r="H977" i="80"/>
  <c r="K977" i="80" s="1"/>
  <c r="L976" i="80"/>
  <c r="H976" i="80"/>
  <c r="K976" i="80" s="1"/>
  <c r="L975" i="80"/>
  <c r="K975" i="80"/>
  <c r="H975" i="80"/>
  <c r="L974" i="80"/>
  <c r="H974" i="80"/>
  <c r="K974" i="80" s="1"/>
  <c r="L973" i="80"/>
  <c r="H973" i="80"/>
  <c r="K973" i="80" s="1"/>
  <c r="L972" i="80"/>
  <c r="H972" i="80"/>
  <c r="K972" i="80" s="1"/>
  <c r="L971" i="80"/>
  <c r="K971" i="80"/>
  <c r="H971" i="80"/>
  <c r="L970" i="80"/>
  <c r="H970" i="80"/>
  <c r="K970" i="80" s="1"/>
  <c r="L969" i="80"/>
  <c r="H969" i="80"/>
  <c r="K969" i="80" s="1"/>
  <c r="L968" i="80"/>
  <c r="H968" i="80"/>
  <c r="K968" i="80" s="1"/>
  <c r="L967" i="80"/>
  <c r="K967" i="80"/>
  <c r="H967" i="80"/>
  <c r="L966" i="80"/>
  <c r="H966" i="80"/>
  <c r="K966" i="80" s="1"/>
  <c r="L965" i="80"/>
  <c r="H965" i="80"/>
  <c r="K965" i="80" s="1"/>
  <c r="L964" i="80"/>
  <c r="H964" i="80"/>
  <c r="K964" i="80" s="1"/>
  <c r="L963" i="80"/>
  <c r="K963" i="80"/>
  <c r="H963" i="80"/>
  <c r="L962" i="80"/>
  <c r="H962" i="80"/>
  <c r="K962" i="80" s="1"/>
  <c r="L961" i="80"/>
  <c r="H961" i="80"/>
  <c r="K961" i="80" s="1"/>
  <c r="L960" i="80"/>
  <c r="H960" i="80"/>
  <c r="K960" i="80" s="1"/>
  <c r="L959" i="80"/>
  <c r="K959" i="80"/>
  <c r="H959" i="80"/>
  <c r="L958" i="80"/>
  <c r="H958" i="80"/>
  <c r="K958" i="80" s="1"/>
  <c r="L957" i="80"/>
  <c r="H957" i="80"/>
  <c r="K957" i="80" s="1"/>
  <c r="L956" i="80"/>
  <c r="H956" i="80"/>
  <c r="K956" i="80" s="1"/>
  <c r="L955" i="80"/>
  <c r="K955" i="80"/>
  <c r="H955" i="80"/>
  <c r="L954" i="80"/>
  <c r="H954" i="80"/>
  <c r="K954" i="80" s="1"/>
  <c r="L953" i="80"/>
  <c r="H953" i="80"/>
  <c r="K953" i="80" s="1"/>
  <c r="L952" i="80"/>
  <c r="H952" i="80"/>
  <c r="K952" i="80" s="1"/>
  <c r="L951" i="80"/>
  <c r="K951" i="80"/>
  <c r="H951" i="80"/>
  <c r="L950" i="80"/>
  <c r="H950" i="80"/>
  <c r="K950" i="80" s="1"/>
  <c r="L949" i="80"/>
  <c r="H949" i="80"/>
  <c r="K949" i="80" s="1"/>
  <c r="L948" i="80"/>
  <c r="H948" i="80"/>
  <c r="K948" i="80" s="1"/>
  <c r="L947" i="80"/>
  <c r="K947" i="80"/>
  <c r="H947" i="80"/>
  <c r="L946" i="80"/>
  <c r="H946" i="80"/>
  <c r="K946" i="80" s="1"/>
  <c r="L945" i="80"/>
  <c r="H945" i="80"/>
  <c r="K945" i="80" s="1"/>
  <c r="L944" i="80"/>
  <c r="H944" i="80"/>
  <c r="K944" i="80" s="1"/>
  <c r="L943" i="80"/>
  <c r="K943" i="80"/>
  <c r="H943" i="80"/>
  <c r="L942" i="80"/>
  <c r="H942" i="80"/>
  <c r="K942" i="80" s="1"/>
  <c r="L941" i="80"/>
  <c r="H941" i="80"/>
  <c r="K941" i="80" s="1"/>
  <c r="L940" i="80"/>
  <c r="H940" i="80"/>
  <c r="K940" i="80" s="1"/>
  <c r="L939" i="80"/>
  <c r="K939" i="80"/>
  <c r="H939" i="80"/>
  <c r="L938" i="80"/>
  <c r="H938" i="80"/>
  <c r="K938" i="80" s="1"/>
  <c r="L937" i="80"/>
  <c r="H937" i="80"/>
  <c r="K937" i="80" s="1"/>
  <c r="L936" i="80"/>
  <c r="H936" i="80"/>
  <c r="K936" i="80" s="1"/>
  <c r="L935" i="80"/>
  <c r="K935" i="80"/>
  <c r="H935" i="80"/>
  <c r="L934" i="80"/>
  <c r="H934" i="80"/>
  <c r="K934" i="80" s="1"/>
  <c r="L933" i="80"/>
  <c r="H933" i="80"/>
  <c r="K933" i="80" s="1"/>
  <c r="L932" i="80"/>
  <c r="H932" i="80"/>
  <c r="K932" i="80" s="1"/>
  <c r="L931" i="80"/>
  <c r="K931" i="80"/>
  <c r="H931" i="80"/>
  <c r="L930" i="80"/>
  <c r="H930" i="80"/>
  <c r="K930" i="80" s="1"/>
  <c r="L929" i="80"/>
  <c r="H929" i="80"/>
  <c r="K929" i="80" s="1"/>
  <c r="L928" i="80"/>
  <c r="H928" i="80"/>
  <c r="K928" i="80" s="1"/>
  <c r="L927" i="80"/>
  <c r="K927" i="80"/>
  <c r="H927" i="80"/>
  <c r="L926" i="80"/>
  <c r="H926" i="80"/>
  <c r="K926" i="80" s="1"/>
  <c r="L925" i="80"/>
  <c r="H925" i="80"/>
  <c r="K925" i="80" s="1"/>
  <c r="L924" i="80"/>
  <c r="H924" i="80"/>
  <c r="K924" i="80" s="1"/>
  <c r="L923" i="80"/>
  <c r="K923" i="80"/>
  <c r="H923" i="80"/>
  <c r="L922" i="80"/>
  <c r="H922" i="80"/>
  <c r="K922" i="80" s="1"/>
  <c r="L921" i="80"/>
  <c r="H921" i="80"/>
  <c r="K921" i="80" s="1"/>
  <c r="L920" i="80"/>
  <c r="H920" i="80"/>
  <c r="K920" i="80" s="1"/>
  <c r="L919" i="80"/>
  <c r="K919" i="80"/>
  <c r="H919" i="80"/>
  <c r="L918" i="80"/>
  <c r="H918" i="80"/>
  <c r="K918" i="80" s="1"/>
  <c r="L917" i="80"/>
  <c r="H917" i="80"/>
  <c r="K917" i="80" s="1"/>
  <c r="L916" i="80"/>
  <c r="H916" i="80"/>
  <c r="K916" i="80" s="1"/>
  <c r="L915" i="80"/>
  <c r="K915" i="80"/>
  <c r="H915" i="80"/>
  <c r="L914" i="80"/>
  <c r="H914" i="80"/>
  <c r="K914" i="80" s="1"/>
  <c r="L913" i="80"/>
  <c r="H913" i="80"/>
  <c r="K913" i="80" s="1"/>
  <c r="L912" i="80"/>
  <c r="H912" i="80"/>
  <c r="K912" i="80" s="1"/>
  <c r="L911" i="80"/>
  <c r="K911" i="80"/>
  <c r="H911" i="80"/>
  <c r="L910" i="80"/>
  <c r="H910" i="80"/>
  <c r="K910" i="80" s="1"/>
  <c r="L909" i="80"/>
  <c r="H909" i="80"/>
  <c r="K909" i="80" s="1"/>
  <c r="L908" i="80"/>
  <c r="H908" i="80"/>
  <c r="K908" i="80" s="1"/>
  <c r="L907" i="80"/>
  <c r="K907" i="80"/>
  <c r="H907" i="80"/>
  <c r="L906" i="80"/>
  <c r="H906" i="80"/>
  <c r="K906" i="80" s="1"/>
  <c r="L905" i="80"/>
  <c r="H905" i="80"/>
  <c r="K905" i="80" s="1"/>
  <c r="L904" i="80"/>
  <c r="H904" i="80"/>
  <c r="K904" i="80" s="1"/>
  <c r="L903" i="80"/>
  <c r="K903" i="80"/>
  <c r="H903" i="80"/>
  <c r="L902" i="80"/>
  <c r="H902" i="80"/>
  <c r="K902" i="80" s="1"/>
  <c r="L901" i="80"/>
  <c r="H901" i="80"/>
  <c r="K901" i="80" s="1"/>
  <c r="L900" i="80"/>
  <c r="H900" i="80"/>
  <c r="K900" i="80" s="1"/>
  <c r="L899" i="80"/>
  <c r="K899" i="80"/>
  <c r="H899" i="80"/>
  <c r="L898" i="80"/>
  <c r="H898" i="80"/>
  <c r="K898" i="80" s="1"/>
  <c r="L897" i="80"/>
  <c r="H897" i="80"/>
  <c r="K897" i="80" s="1"/>
  <c r="L896" i="80"/>
  <c r="H896" i="80"/>
  <c r="K896" i="80" s="1"/>
  <c r="L895" i="80"/>
  <c r="K895" i="80"/>
  <c r="H895" i="80"/>
  <c r="L894" i="80"/>
  <c r="H894" i="80"/>
  <c r="K894" i="80" s="1"/>
  <c r="L893" i="80"/>
  <c r="H893" i="80"/>
  <c r="K893" i="80" s="1"/>
  <c r="L892" i="80"/>
  <c r="H892" i="80"/>
  <c r="K892" i="80" s="1"/>
  <c r="L891" i="80"/>
  <c r="K891" i="80"/>
  <c r="H891" i="80"/>
  <c r="L890" i="80"/>
  <c r="H890" i="80"/>
  <c r="K890" i="80" s="1"/>
  <c r="L889" i="80"/>
  <c r="H889" i="80"/>
  <c r="K889" i="80" s="1"/>
  <c r="L888" i="80"/>
  <c r="H888" i="80"/>
  <c r="K888" i="80" s="1"/>
  <c r="L887" i="80"/>
  <c r="K887" i="80"/>
  <c r="H887" i="80"/>
  <c r="L886" i="80"/>
  <c r="H886" i="80"/>
  <c r="K886" i="80" s="1"/>
  <c r="L885" i="80"/>
  <c r="H885" i="80"/>
  <c r="K885" i="80" s="1"/>
  <c r="L884" i="80"/>
  <c r="H884" i="80"/>
  <c r="K884" i="80" s="1"/>
  <c r="L883" i="80"/>
  <c r="K883" i="80"/>
  <c r="H883" i="80"/>
  <c r="L882" i="80"/>
  <c r="H882" i="80"/>
  <c r="K882" i="80" s="1"/>
  <c r="L881" i="80"/>
  <c r="H881" i="80"/>
  <c r="K881" i="80" s="1"/>
  <c r="L880" i="80"/>
  <c r="H880" i="80"/>
  <c r="K880" i="80" s="1"/>
  <c r="L879" i="80"/>
  <c r="K879" i="80"/>
  <c r="H879" i="80"/>
  <c r="L878" i="80"/>
  <c r="H878" i="80"/>
  <c r="K878" i="80" s="1"/>
  <c r="L877" i="80"/>
  <c r="H877" i="80"/>
  <c r="K877" i="80" s="1"/>
  <c r="L876" i="80"/>
  <c r="H876" i="80"/>
  <c r="K876" i="80" s="1"/>
  <c r="L875" i="80"/>
  <c r="K875" i="80"/>
  <c r="H875" i="80"/>
  <c r="L874" i="80"/>
  <c r="H874" i="80"/>
  <c r="K874" i="80" s="1"/>
  <c r="L873" i="80"/>
  <c r="H873" i="80"/>
  <c r="K873" i="80" s="1"/>
  <c r="L872" i="80"/>
  <c r="H872" i="80"/>
  <c r="K872" i="80" s="1"/>
  <c r="L871" i="80"/>
  <c r="K871" i="80"/>
  <c r="H871" i="80"/>
  <c r="L870" i="80"/>
  <c r="H870" i="80"/>
  <c r="K870" i="80" s="1"/>
  <c r="L869" i="80"/>
  <c r="H869" i="80"/>
  <c r="K869" i="80" s="1"/>
  <c r="L868" i="80"/>
  <c r="H868" i="80"/>
  <c r="K868" i="80" s="1"/>
  <c r="L867" i="80"/>
  <c r="K867" i="80"/>
  <c r="H867" i="80"/>
  <c r="L866" i="80"/>
  <c r="H866" i="80"/>
  <c r="K866" i="80" s="1"/>
  <c r="L865" i="80"/>
  <c r="H865" i="80"/>
  <c r="K865" i="80" s="1"/>
  <c r="L864" i="80"/>
  <c r="H864" i="80"/>
  <c r="K864" i="80" s="1"/>
  <c r="L863" i="80"/>
  <c r="K863" i="80"/>
  <c r="H863" i="80"/>
  <c r="L862" i="80"/>
  <c r="H862" i="80"/>
  <c r="K862" i="80" s="1"/>
  <c r="L861" i="80"/>
  <c r="H861" i="80"/>
  <c r="K861" i="80" s="1"/>
  <c r="L860" i="80"/>
  <c r="H860" i="80"/>
  <c r="K860" i="80" s="1"/>
  <c r="L859" i="80"/>
  <c r="K859" i="80"/>
  <c r="H859" i="80"/>
  <c r="L858" i="80"/>
  <c r="H858" i="80"/>
  <c r="K858" i="80" s="1"/>
  <c r="L857" i="80"/>
  <c r="H857" i="80"/>
  <c r="K857" i="80" s="1"/>
  <c r="L856" i="80"/>
  <c r="H856" i="80"/>
  <c r="K856" i="80" s="1"/>
  <c r="L855" i="80"/>
  <c r="K855" i="80"/>
  <c r="H855" i="80"/>
  <c r="L854" i="80"/>
  <c r="H854" i="80"/>
  <c r="K854" i="80" s="1"/>
  <c r="L853" i="80"/>
  <c r="H853" i="80"/>
  <c r="K853" i="80" s="1"/>
  <c r="L852" i="80"/>
  <c r="H852" i="80"/>
  <c r="K852" i="80" s="1"/>
  <c r="L851" i="80"/>
  <c r="K851" i="80"/>
  <c r="H851" i="80"/>
  <c r="L850" i="80"/>
  <c r="H850" i="80"/>
  <c r="K850" i="80" s="1"/>
  <c r="L849" i="80"/>
  <c r="H849" i="80"/>
  <c r="K849" i="80" s="1"/>
  <c r="L848" i="80"/>
  <c r="H848" i="80"/>
  <c r="K848" i="80" s="1"/>
  <c r="L847" i="80"/>
  <c r="K847" i="80"/>
  <c r="H847" i="80"/>
  <c r="L846" i="80"/>
  <c r="H846" i="80"/>
  <c r="K846" i="80" s="1"/>
  <c r="L845" i="80"/>
  <c r="H845" i="80"/>
  <c r="K845" i="80" s="1"/>
  <c r="L844" i="80"/>
  <c r="H844" i="80"/>
  <c r="K844" i="80" s="1"/>
  <c r="L843" i="80"/>
  <c r="K843" i="80"/>
  <c r="H843" i="80"/>
  <c r="L842" i="80"/>
  <c r="H842" i="80"/>
  <c r="K842" i="80" s="1"/>
  <c r="L841" i="80"/>
  <c r="H841" i="80"/>
  <c r="K841" i="80" s="1"/>
  <c r="L840" i="80"/>
  <c r="H840" i="80"/>
  <c r="K840" i="80" s="1"/>
  <c r="L839" i="80"/>
  <c r="K839" i="80"/>
  <c r="H839" i="80"/>
  <c r="L838" i="80"/>
  <c r="H838" i="80"/>
  <c r="K838" i="80" s="1"/>
  <c r="L837" i="80"/>
  <c r="H837" i="80"/>
  <c r="K837" i="80" s="1"/>
  <c r="L836" i="80"/>
  <c r="H836" i="80"/>
  <c r="K836" i="80" s="1"/>
  <c r="L835" i="80"/>
  <c r="K835" i="80"/>
  <c r="H835" i="80"/>
  <c r="L834" i="80"/>
  <c r="H834" i="80"/>
  <c r="K834" i="80" s="1"/>
  <c r="L833" i="80"/>
  <c r="H833" i="80"/>
  <c r="K833" i="80" s="1"/>
  <c r="L832" i="80"/>
  <c r="H832" i="80"/>
  <c r="K832" i="80" s="1"/>
  <c r="L831" i="80"/>
  <c r="K831" i="80"/>
  <c r="H831" i="80"/>
  <c r="L830" i="80"/>
  <c r="H830" i="80"/>
  <c r="K830" i="80" s="1"/>
  <c r="L829" i="80"/>
  <c r="H829" i="80"/>
  <c r="K829" i="80" s="1"/>
  <c r="L828" i="80"/>
  <c r="H828" i="80"/>
  <c r="K828" i="80" s="1"/>
  <c r="L827" i="80"/>
  <c r="K827" i="80"/>
  <c r="H827" i="80"/>
  <c r="L826" i="80"/>
  <c r="H826" i="80"/>
  <c r="K826" i="80" s="1"/>
  <c r="L825" i="80"/>
  <c r="H825" i="80"/>
  <c r="K825" i="80" s="1"/>
  <c r="L824" i="80"/>
  <c r="H824" i="80"/>
  <c r="K824" i="80" s="1"/>
  <c r="L823" i="80"/>
  <c r="K823" i="80"/>
  <c r="H823" i="80"/>
  <c r="L822" i="80"/>
  <c r="H822" i="80"/>
  <c r="K822" i="80" s="1"/>
  <c r="L821" i="80"/>
  <c r="H821" i="80"/>
  <c r="K821" i="80" s="1"/>
  <c r="L820" i="80"/>
  <c r="H820" i="80"/>
  <c r="K820" i="80" s="1"/>
  <c r="L819" i="80"/>
  <c r="K819" i="80"/>
  <c r="H819" i="80"/>
  <c r="L818" i="80"/>
  <c r="H818" i="80"/>
  <c r="K818" i="80" s="1"/>
  <c r="L817" i="80"/>
  <c r="H817" i="80"/>
  <c r="K817" i="80" s="1"/>
  <c r="L816" i="80"/>
  <c r="H816" i="80"/>
  <c r="K816" i="80" s="1"/>
  <c r="L815" i="80"/>
  <c r="K815" i="80"/>
  <c r="H815" i="80"/>
  <c r="L814" i="80"/>
  <c r="H814" i="80"/>
  <c r="K814" i="80" s="1"/>
  <c r="L813" i="80"/>
  <c r="H813" i="80"/>
  <c r="K813" i="80" s="1"/>
  <c r="L812" i="80"/>
  <c r="H812" i="80"/>
  <c r="K812" i="80" s="1"/>
  <c r="L811" i="80"/>
  <c r="K811" i="80"/>
  <c r="H811" i="80"/>
  <c r="L810" i="80"/>
  <c r="H810" i="80"/>
  <c r="K810" i="80" s="1"/>
  <c r="L809" i="80"/>
  <c r="H809" i="80"/>
  <c r="K809" i="80" s="1"/>
  <c r="L808" i="80"/>
  <c r="H808" i="80"/>
  <c r="K808" i="80" s="1"/>
  <c r="L807" i="80"/>
  <c r="K807" i="80"/>
  <c r="H807" i="80"/>
  <c r="L806" i="80"/>
  <c r="H806" i="80"/>
  <c r="K806" i="80" s="1"/>
  <c r="L805" i="80"/>
  <c r="H805" i="80"/>
  <c r="K805" i="80" s="1"/>
  <c r="L804" i="80"/>
  <c r="H804" i="80"/>
  <c r="K804" i="80" s="1"/>
  <c r="L803" i="80"/>
  <c r="K803" i="80"/>
  <c r="H803" i="80"/>
  <c r="L802" i="80"/>
  <c r="H802" i="80"/>
  <c r="K802" i="80" s="1"/>
  <c r="L801" i="80"/>
  <c r="H801" i="80"/>
  <c r="K801" i="80" s="1"/>
  <c r="L800" i="80"/>
  <c r="H800" i="80"/>
  <c r="K800" i="80" s="1"/>
  <c r="L799" i="80"/>
  <c r="K799" i="80"/>
  <c r="H799" i="80"/>
  <c r="L798" i="80"/>
  <c r="H798" i="80"/>
  <c r="K798" i="80" s="1"/>
  <c r="L797" i="80"/>
  <c r="H797" i="80"/>
  <c r="K797" i="80" s="1"/>
  <c r="L796" i="80"/>
  <c r="H796" i="80"/>
  <c r="K796" i="80" s="1"/>
  <c r="L795" i="80"/>
  <c r="K795" i="80"/>
  <c r="H795" i="80"/>
  <c r="L794" i="80"/>
  <c r="H794" i="80"/>
  <c r="K794" i="80" s="1"/>
  <c r="L793" i="80"/>
  <c r="H793" i="80"/>
  <c r="K793" i="80" s="1"/>
  <c r="L792" i="80"/>
  <c r="H792" i="80"/>
  <c r="K792" i="80" s="1"/>
  <c r="L791" i="80"/>
  <c r="K791" i="80"/>
  <c r="H791" i="80"/>
  <c r="L790" i="80"/>
  <c r="H790" i="80"/>
  <c r="K790" i="80" s="1"/>
  <c r="L789" i="80"/>
  <c r="H789" i="80"/>
  <c r="K789" i="80" s="1"/>
  <c r="L788" i="80"/>
  <c r="H788" i="80"/>
  <c r="K788" i="80" s="1"/>
  <c r="L787" i="80"/>
  <c r="K787" i="80"/>
  <c r="H787" i="80"/>
  <c r="L786" i="80"/>
  <c r="H786" i="80"/>
  <c r="K786" i="80" s="1"/>
  <c r="L785" i="80"/>
  <c r="H785" i="80"/>
  <c r="K785" i="80" s="1"/>
  <c r="L784" i="80"/>
  <c r="H784" i="80"/>
  <c r="K784" i="80" s="1"/>
  <c r="L783" i="80"/>
  <c r="K783" i="80"/>
  <c r="H783" i="80"/>
  <c r="L782" i="80"/>
  <c r="H782" i="80"/>
  <c r="K782" i="80" s="1"/>
  <c r="L781" i="80"/>
  <c r="H781" i="80"/>
  <c r="K781" i="80" s="1"/>
  <c r="L780" i="80"/>
  <c r="H780" i="80"/>
  <c r="K780" i="80" s="1"/>
  <c r="L779" i="80"/>
  <c r="K779" i="80"/>
  <c r="H779" i="80"/>
  <c r="L778" i="80"/>
  <c r="H778" i="80"/>
  <c r="K778" i="80" s="1"/>
  <c r="L777" i="80"/>
  <c r="H777" i="80"/>
  <c r="K777" i="80" s="1"/>
  <c r="L776" i="80"/>
  <c r="H776" i="80"/>
  <c r="K776" i="80" s="1"/>
  <c r="L775" i="80"/>
  <c r="K775" i="80"/>
  <c r="H775" i="80"/>
  <c r="L774" i="80"/>
  <c r="H774" i="80"/>
  <c r="K774" i="80" s="1"/>
  <c r="L773" i="80"/>
  <c r="H773" i="80"/>
  <c r="K773" i="80" s="1"/>
  <c r="L772" i="80"/>
  <c r="H772" i="80"/>
  <c r="K772" i="80" s="1"/>
  <c r="L771" i="80"/>
  <c r="K771" i="80"/>
  <c r="H771" i="80"/>
  <c r="L770" i="80"/>
  <c r="H770" i="80"/>
  <c r="K770" i="80" s="1"/>
  <c r="L769" i="80"/>
  <c r="H769" i="80"/>
  <c r="K769" i="80" s="1"/>
  <c r="L768" i="80"/>
  <c r="H768" i="80"/>
  <c r="K768" i="80" s="1"/>
  <c r="L767" i="80"/>
  <c r="K767" i="80"/>
  <c r="H767" i="80"/>
  <c r="L766" i="80"/>
  <c r="H766" i="80"/>
  <c r="K766" i="80" s="1"/>
  <c r="L765" i="80"/>
  <c r="H765" i="80"/>
  <c r="K765" i="80" s="1"/>
  <c r="L764" i="80"/>
  <c r="H764" i="80"/>
  <c r="K764" i="80" s="1"/>
  <c r="L763" i="80"/>
  <c r="K763" i="80"/>
  <c r="H763" i="80"/>
  <c r="L762" i="80"/>
  <c r="H762" i="80"/>
  <c r="K762" i="80" s="1"/>
  <c r="L761" i="80"/>
  <c r="H761" i="80"/>
  <c r="K761" i="80" s="1"/>
  <c r="L760" i="80"/>
  <c r="H760" i="80"/>
  <c r="K760" i="80" s="1"/>
  <c r="L759" i="80"/>
  <c r="K759" i="80"/>
  <c r="H759" i="80"/>
  <c r="L758" i="80"/>
  <c r="H758" i="80"/>
  <c r="K758" i="80" s="1"/>
  <c r="L757" i="80"/>
  <c r="H757" i="80"/>
  <c r="K757" i="80" s="1"/>
  <c r="L756" i="80"/>
  <c r="H756" i="80"/>
  <c r="K756" i="80" s="1"/>
  <c r="L755" i="80"/>
  <c r="K755" i="80"/>
  <c r="H755" i="80"/>
  <c r="L754" i="80"/>
  <c r="H754" i="80"/>
  <c r="K754" i="80" s="1"/>
  <c r="L753" i="80"/>
  <c r="H753" i="80"/>
  <c r="K753" i="80" s="1"/>
  <c r="L752" i="80"/>
  <c r="H752" i="80"/>
  <c r="K752" i="80" s="1"/>
  <c r="L751" i="80"/>
  <c r="K751" i="80"/>
  <c r="H751" i="80"/>
  <c r="L750" i="80"/>
  <c r="H750" i="80"/>
  <c r="K750" i="80" s="1"/>
  <c r="L749" i="80"/>
  <c r="H749" i="80"/>
  <c r="K749" i="80" s="1"/>
  <c r="L748" i="80"/>
  <c r="H748" i="80"/>
  <c r="K748" i="80" s="1"/>
  <c r="L747" i="80"/>
  <c r="K747" i="80"/>
  <c r="H747" i="80"/>
  <c r="L746" i="80"/>
  <c r="H746" i="80"/>
  <c r="K746" i="80" s="1"/>
  <c r="L745" i="80"/>
  <c r="H745" i="80"/>
  <c r="K745" i="80" s="1"/>
  <c r="L744" i="80"/>
  <c r="H744" i="80"/>
  <c r="K744" i="80" s="1"/>
  <c r="L743" i="80"/>
  <c r="K743" i="80"/>
  <c r="H743" i="80"/>
  <c r="L742" i="80"/>
  <c r="H742" i="80"/>
  <c r="K742" i="80" s="1"/>
  <c r="L741" i="80"/>
  <c r="H741" i="80"/>
  <c r="K741" i="80" s="1"/>
  <c r="L740" i="80"/>
  <c r="H740" i="80"/>
  <c r="K740" i="80" s="1"/>
  <c r="L739" i="80"/>
  <c r="K739" i="80"/>
  <c r="H739" i="80"/>
  <c r="L738" i="80"/>
  <c r="H738" i="80"/>
  <c r="K738" i="80" s="1"/>
  <c r="L737" i="80"/>
  <c r="H737" i="80"/>
  <c r="K737" i="80" s="1"/>
  <c r="L736" i="80"/>
  <c r="H736" i="80"/>
  <c r="K736" i="80" s="1"/>
  <c r="L735" i="80"/>
  <c r="K735" i="80"/>
  <c r="H735" i="80"/>
  <c r="L734" i="80"/>
  <c r="H734" i="80"/>
  <c r="K734" i="80" s="1"/>
  <c r="L733" i="80"/>
  <c r="H733" i="80"/>
  <c r="K733" i="80" s="1"/>
  <c r="L732" i="80"/>
  <c r="H732" i="80"/>
  <c r="K732" i="80" s="1"/>
  <c r="L731" i="80"/>
  <c r="K731" i="80"/>
  <c r="H731" i="80"/>
  <c r="L730" i="80"/>
  <c r="K730" i="80"/>
  <c r="H730" i="80"/>
  <c r="L729" i="80"/>
  <c r="H729" i="80"/>
  <c r="K729" i="80" s="1"/>
  <c r="L728" i="80"/>
  <c r="H728" i="80"/>
  <c r="K728" i="80" s="1"/>
  <c r="L727" i="80"/>
  <c r="K727" i="80"/>
  <c r="H727" i="80"/>
  <c r="L726" i="80"/>
  <c r="K726" i="80"/>
  <c r="H726" i="80"/>
  <c r="L725" i="80"/>
  <c r="H725" i="80"/>
  <c r="K725" i="80" s="1"/>
  <c r="L724" i="80"/>
  <c r="H724" i="80"/>
  <c r="K724" i="80" s="1"/>
  <c r="L723" i="80"/>
  <c r="K723" i="80"/>
  <c r="H723" i="80"/>
  <c r="L722" i="80"/>
  <c r="K722" i="80"/>
  <c r="H722" i="80"/>
  <c r="L721" i="80"/>
  <c r="H721" i="80"/>
  <c r="K721" i="80" s="1"/>
  <c r="L720" i="80"/>
  <c r="H720" i="80"/>
  <c r="K720" i="80" s="1"/>
  <c r="L719" i="80"/>
  <c r="K719" i="80"/>
  <c r="H719" i="80"/>
  <c r="L718" i="80"/>
  <c r="K718" i="80"/>
  <c r="H718" i="80"/>
  <c r="L717" i="80"/>
  <c r="H717" i="80"/>
  <c r="K717" i="80" s="1"/>
  <c r="L716" i="80"/>
  <c r="H716" i="80"/>
  <c r="K716" i="80" s="1"/>
  <c r="L715" i="80"/>
  <c r="K715" i="80"/>
  <c r="H715" i="80"/>
  <c r="L714" i="80"/>
  <c r="K714" i="80"/>
  <c r="H714" i="80"/>
  <c r="L713" i="80"/>
  <c r="H713" i="80"/>
  <c r="K713" i="80" s="1"/>
  <c r="L712" i="80"/>
  <c r="H712" i="80"/>
  <c r="K712" i="80" s="1"/>
  <c r="L711" i="80"/>
  <c r="K711" i="80"/>
  <c r="H711" i="80"/>
  <c r="L710" i="80"/>
  <c r="K710" i="80"/>
  <c r="H710" i="80"/>
  <c r="L709" i="80"/>
  <c r="H709" i="80"/>
  <c r="K709" i="80" s="1"/>
  <c r="L708" i="80"/>
  <c r="H708" i="80"/>
  <c r="K708" i="80" s="1"/>
  <c r="L707" i="80"/>
  <c r="K707" i="80"/>
  <c r="H707" i="80"/>
  <c r="L706" i="80"/>
  <c r="K706" i="80"/>
  <c r="H706" i="80"/>
  <c r="L705" i="80"/>
  <c r="H705" i="80"/>
  <c r="K705" i="80" s="1"/>
  <c r="L704" i="80"/>
  <c r="H704" i="80"/>
  <c r="K704" i="80" s="1"/>
  <c r="L703" i="80"/>
  <c r="K703" i="80"/>
  <c r="H703" i="80"/>
  <c r="L702" i="80"/>
  <c r="H702" i="80"/>
  <c r="K702" i="80" s="1"/>
  <c r="L701" i="80"/>
  <c r="K701" i="80"/>
  <c r="H701" i="80"/>
  <c r="L700" i="80"/>
  <c r="H700" i="80"/>
  <c r="K700" i="80" s="1"/>
  <c r="L699" i="80"/>
  <c r="K699" i="80"/>
  <c r="H699" i="80"/>
  <c r="L698" i="80"/>
  <c r="K698" i="80"/>
  <c r="H698" i="80"/>
  <c r="L697" i="80"/>
  <c r="H697" i="80"/>
  <c r="K697" i="80" s="1"/>
  <c r="L696" i="80"/>
  <c r="H696" i="80"/>
  <c r="K696" i="80" s="1"/>
  <c r="L695" i="80"/>
  <c r="K695" i="80"/>
  <c r="H695" i="80"/>
  <c r="L694" i="80"/>
  <c r="H694" i="80"/>
  <c r="K694" i="80" s="1"/>
  <c r="L693" i="80"/>
  <c r="K693" i="80"/>
  <c r="H693" i="80"/>
  <c r="L692" i="80"/>
  <c r="H692" i="80"/>
  <c r="K692" i="80" s="1"/>
  <c r="L691" i="80"/>
  <c r="K691" i="80"/>
  <c r="H691" i="80"/>
  <c r="L690" i="80"/>
  <c r="K690" i="80"/>
  <c r="H690" i="80"/>
  <c r="L689" i="80"/>
  <c r="H689" i="80"/>
  <c r="K689" i="80" s="1"/>
  <c r="L688" i="80"/>
  <c r="H688" i="80"/>
  <c r="K688" i="80" s="1"/>
  <c r="L687" i="80"/>
  <c r="K687" i="80"/>
  <c r="H687" i="80"/>
  <c r="L686" i="80"/>
  <c r="H686" i="80"/>
  <c r="K686" i="80" s="1"/>
  <c r="L685" i="80"/>
  <c r="K685" i="80"/>
  <c r="H685" i="80"/>
  <c r="L684" i="80"/>
  <c r="H684" i="80"/>
  <c r="K684" i="80" s="1"/>
  <c r="L683" i="80"/>
  <c r="K683" i="80"/>
  <c r="H683" i="80"/>
  <c r="L682" i="80"/>
  <c r="K682" i="80"/>
  <c r="H682" i="80"/>
  <c r="L681" i="80"/>
  <c r="H681" i="80"/>
  <c r="K681" i="80" s="1"/>
  <c r="L680" i="80"/>
  <c r="H680" i="80"/>
  <c r="K680" i="80" s="1"/>
  <c r="L679" i="80"/>
  <c r="K679" i="80"/>
  <c r="H679" i="80"/>
  <c r="L678" i="80"/>
  <c r="H678" i="80"/>
  <c r="K678" i="80" s="1"/>
  <c r="L677" i="80"/>
  <c r="K677" i="80"/>
  <c r="H677" i="80"/>
  <c r="L676" i="80"/>
  <c r="H676" i="80"/>
  <c r="K676" i="80" s="1"/>
  <c r="L675" i="80"/>
  <c r="K675" i="80"/>
  <c r="H675" i="80"/>
  <c r="L674" i="80"/>
  <c r="H674" i="80"/>
  <c r="K674" i="80" s="1"/>
  <c r="L673" i="80"/>
  <c r="K673" i="80"/>
  <c r="H673" i="80"/>
  <c r="L672" i="80"/>
  <c r="H672" i="80"/>
  <c r="K672" i="80" s="1"/>
  <c r="L671" i="80"/>
  <c r="K671" i="80"/>
  <c r="H671" i="80"/>
  <c r="L670" i="80"/>
  <c r="H670" i="80"/>
  <c r="K670" i="80" s="1"/>
  <c r="L669" i="80"/>
  <c r="K669" i="80"/>
  <c r="H669" i="80"/>
  <c r="L668" i="80"/>
  <c r="H668" i="80"/>
  <c r="K668" i="80" s="1"/>
  <c r="L667" i="80"/>
  <c r="K667" i="80"/>
  <c r="H667" i="80"/>
  <c r="L666" i="80"/>
  <c r="H666" i="80"/>
  <c r="K666" i="80" s="1"/>
  <c r="L665" i="80"/>
  <c r="K665" i="80"/>
  <c r="H665" i="80"/>
  <c r="L664" i="80"/>
  <c r="H664" i="80"/>
  <c r="K664" i="80" s="1"/>
  <c r="L663" i="80"/>
  <c r="K663" i="80"/>
  <c r="H663" i="80"/>
  <c r="L662" i="80"/>
  <c r="H662" i="80"/>
  <c r="K662" i="80" s="1"/>
  <c r="L661" i="80"/>
  <c r="K661" i="80"/>
  <c r="H661" i="80"/>
  <c r="L660" i="80"/>
  <c r="H660" i="80"/>
  <c r="K660" i="80" s="1"/>
  <c r="L659" i="80"/>
  <c r="K659" i="80"/>
  <c r="H659" i="80"/>
  <c r="L658" i="80"/>
  <c r="H658" i="80"/>
  <c r="K658" i="80" s="1"/>
  <c r="L657" i="80"/>
  <c r="K657" i="80"/>
  <c r="H657" i="80"/>
  <c r="L656" i="80"/>
  <c r="H656" i="80"/>
  <c r="K656" i="80" s="1"/>
  <c r="L655" i="80"/>
  <c r="K655" i="80"/>
  <c r="H655" i="80"/>
  <c r="L654" i="80"/>
  <c r="H654" i="80"/>
  <c r="K654" i="80" s="1"/>
  <c r="L653" i="80"/>
  <c r="K653" i="80"/>
  <c r="H653" i="80"/>
  <c r="L652" i="80"/>
  <c r="H652" i="80"/>
  <c r="K652" i="80" s="1"/>
  <c r="L651" i="80"/>
  <c r="K651" i="80"/>
  <c r="H651" i="80"/>
  <c r="L650" i="80"/>
  <c r="H650" i="80"/>
  <c r="K650" i="80" s="1"/>
  <c r="L649" i="80"/>
  <c r="K649" i="80"/>
  <c r="H649" i="80"/>
  <c r="L648" i="80"/>
  <c r="H648" i="80"/>
  <c r="K648" i="80" s="1"/>
  <c r="L647" i="80"/>
  <c r="K647" i="80"/>
  <c r="H647" i="80"/>
  <c r="L646" i="80"/>
  <c r="H646" i="80"/>
  <c r="K646" i="80" s="1"/>
  <c r="L645" i="80"/>
  <c r="K645" i="80"/>
  <c r="H645" i="80"/>
  <c r="L644" i="80"/>
  <c r="H644" i="80"/>
  <c r="K644" i="80" s="1"/>
  <c r="L643" i="80"/>
  <c r="K643" i="80"/>
  <c r="H643" i="80"/>
  <c r="L642" i="80"/>
  <c r="H642" i="80"/>
  <c r="K642" i="80" s="1"/>
  <c r="L641" i="80"/>
  <c r="K641" i="80"/>
  <c r="H641" i="80"/>
  <c r="L640" i="80"/>
  <c r="H640" i="80"/>
  <c r="K640" i="80" s="1"/>
  <c r="L639" i="80"/>
  <c r="K639" i="80"/>
  <c r="H639" i="80"/>
  <c r="L638" i="80"/>
  <c r="H638" i="80"/>
  <c r="K638" i="80" s="1"/>
  <c r="L637" i="80"/>
  <c r="K637" i="80"/>
  <c r="H637" i="80"/>
  <c r="L636" i="80"/>
  <c r="H636" i="80"/>
  <c r="K636" i="80" s="1"/>
  <c r="L635" i="80"/>
  <c r="K635" i="80"/>
  <c r="H635" i="80"/>
  <c r="L634" i="80"/>
  <c r="H634" i="80"/>
  <c r="K634" i="80" s="1"/>
  <c r="L633" i="80"/>
  <c r="K633" i="80"/>
  <c r="H633" i="80"/>
  <c r="L632" i="80"/>
  <c r="H632" i="80"/>
  <c r="K632" i="80" s="1"/>
  <c r="L631" i="80"/>
  <c r="K631" i="80"/>
  <c r="H631" i="80"/>
  <c r="L630" i="80"/>
  <c r="H630" i="80"/>
  <c r="K630" i="80" s="1"/>
  <c r="L629" i="80"/>
  <c r="K629" i="80"/>
  <c r="H629" i="80"/>
  <c r="L628" i="80"/>
  <c r="H628" i="80"/>
  <c r="K628" i="80" s="1"/>
  <c r="L627" i="80"/>
  <c r="K627" i="80"/>
  <c r="H627" i="80"/>
  <c r="L626" i="80"/>
  <c r="H626" i="80"/>
  <c r="K626" i="80" s="1"/>
  <c r="L625" i="80"/>
  <c r="K625" i="80"/>
  <c r="H625" i="80"/>
  <c r="L624" i="80"/>
  <c r="H624" i="80"/>
  <c r="K624" i="80" s="1"/>
  <c r="L623" i="80"/>
  <c r="K623" i="80"/>
  <c r="H623" i="80"/>
  <c r="L622" i="80"/>
  <c r="H622" i="80"/>
  <c r="K622" i="80" s="1"/>
  <c r="L621" i="80"/>
  <c r="K621" i="80"/>
  <c r="H621" i="80"/>
  <c r="L620" i="80"/>
  <c r="H620" i="80"/>
  <c r="K620" i="80" s="1"/>
  <c r="L619" i="80"/>
  <c r="K619" i="80"/>
  <c r="H619" i="80"/>
  <c r="L618" i="80"/>
  <c r="H618" i="80"/>
  <c r="K618" i="80" s="1"/>
  <c r="L617" i="80"/>
  <c r="K617" i="80"/>
  <c r="H617" i="80"/>
  <c r="L616" i="80"/>
  <c r="H616" i="80"/>
  <c r="K616" i="80" s="1"/>
  <c r="L615" i="80"/>
  <c r="K615" i="80"/>
  <c r="H615" i="80"/>
  <c r="L614" i="80"/>
  <c r="H614" i="80"/>
  <c r="K614" i="80" s="1"/>
  <c r="L613" i="80"/>
  <c r="K613" i="80"/>
  <c r="H613" i="80"/>
  <c r="L612" i="80"/>
  <c r="H612" i="80"/>
  <c r="K612" i="80" s="1"/>
  <c r="L611" i="80"/>
  <c r="K611" i="80"/>
  <c r="H611" i="80"/>
  <c r="L610" i="80"/>
  <c r="H610" i="80"/>
  <c r="K610" i="80" s="1"/>
  <c r="L609" i="80"/>
  <c r="K609" i="80"/>
  <c r="H609" i="80"/>
  <c r="L608" i="80"/>
  <c r="H608" i="80"/>
  <c r="K608" i="80" s="1"/>
  <c r="L607" i="80"/>
  <c r="K607" i="80"/>
  <c r="H607" i="80"/>
  <c r="L606" i="80"/>
  <c r="H606" i="80"/>
  <c r="K606" i="80" s="1"/>
  <c r="L605" i="80"/>
  <c r="K605" i="80"/>
  <c r="H605" i="80"/>
  <c r="L604" i="80"/>
  <c r="H604" i="80"/>
  <c r="K604" i="80" s="1"/>
  <c r="L603" i="80"/>
  <c r="K603" i="80"/>
  <c r="H603" i="80"/>
  <c r="L602" i="80"/>
  <c r="H602" i="80"/>
  <c r="K602" i="80" s="1"/>
  <c r="L601" i="80"/>
  <c r="K601" i="80"/>
  <c r="H601" i="80"/>
  <c r="L600" i="80"/>
  <c r="H600" i="80"/>
  <c r="K600" i="80" s="1"/>
  <c r="L599" i="80"/>
  <c r="K599" i="80"/>
  <c r="H599" i="80"/>
  <c r="L598" i="80"/>
  <c r="H598" i="80"/>
  <c r="K598" i="80" s="1"/>
  <c r="L597" i="80"/>
  <c r="K597" i="80"/>
  <c r="H597" i="80"/>
  <c r="L596" i="80"/>
  <c r="H596" i="80"/>
  <c r="K596" i="80" s="1"/>
  <c r="L595" i="80"/>
  <c r="K595" i="80"/>
  <c r="H595" i="80"/>
  <c r="L594" i="80"/>
  <c r="H594" i="80"/>
  <c r="K594" i="80" s="1"/>
  <c r="L593" i="80"/>
  <c r="K593" i="80"/>
  <c r="H593" i="80"/>
  <c r="L592" i="80"/>
  <c r="H592" i="80"/>
  <c r="K592" i="80" s="1"/>
  <c r="L591" i="80"/>
  <c r="K591" i="80"/>
  <c r="H591" i="80"/>
  <c r="L590" i="80"/>
  <c r="H590" i="80"/>
  <c r="K590" i="80" s="1"/>
  <c r="L589" i="80"/>
  <c r="K589" i="80"/>
  <c r="H589" i="80"/>
  <c r="L588" i="80"/>
  <c r="H588" i="80"/>
  <c r="K588" i="80" s="1"/>
  <c r="L587" i="80"/>
  <c r="K587" i="80"/>
  <c r="H587" i="80"/>
  <c r="L586" i="80"/>
  <c r="H586" i="80"/>
  <c r="K586" i="80" s="1"/>
  <c r="L585" i="80"/>
  <c r="K585" i="80"/>
  <c r="H585" i="80"/>
  <c r="L584" i="80"/>
  <c r="H584" i="80"/>
  <c r="K584" i="80" s="1"/>
  <c r="L583" i="80"/>
  <c r="K583" i="80"/>
  <c r="H583" i="80"/>
  <c r="L582" i="80"/>
  <c r="H582" i="80"/>
  <c r="K582" i="80" s="1"/>
  <c r="L581" i="80"/>
  <c r="K581" i="80"/>
  <c r="H581" i="80"/>
  <c r="L580" i="80"/>
  <c r="H580" i="80"/>
  <c r="K580" i="80" s="1"/>
  <c r="L579" i="80"/>
  <c r="K579" i="80"/>
  <c r="H579" i="80"/>
  <c r="L578" i="80"/>
  <c r="H578" i="80"/>
  <c r="K578" i="80" s="1"/>
  <c r="L577" i="80"/>
  <c r="K577" i="80"/>
  <c r="H577" i="80"/>
  <c r="L576" i="80"/>
  <c r="H576" i="80"/>
  <c r="K576" i="80" s="1"/>
  <c r="L575" i="80"/>
  <c r="K575" i="80"/>
  <c r="H575" i="80"/>
  <c r="L574" i="80"/>
  <c r="H574" i="80"/>
  <c r="K574" i="80" s="1"/>
  <c r="L573" i="80"/>
  <c r="K573" i="80"/>
  <c r="H573" i="80"/>
  <c r="L572" i="80"/>
  <c r="H572" i="80"/>
  <c r="K572" i="80" s="1"/>
  <c r="L571" i="80"/>
  <c r="K571" i="80"/>
  <c r="H571" i="80"/>
  <c r="L570" i="80"/>
  <c r="H570" i="80"/>
  <c r="K570" i="80" s="1"/>
  <c r="L569" i="80"/>
  <c r="K569" i="80"/>
  <c r="H569" i="80"/>
  <c r="L568" i="80"/>
  <c r="H568" i="80"/>
  <c r="K568" i="80" s="1"/>
  <c r="L567" i="80"/>
  <c r="K567" i="80"/>
  <c r="H567" i="80"/>
  <c r="L566" i="80"/>
  <c r="H566" i="80"/>
  <c r="K566" i="80" s="1"/>
  <c r="L565" i="80"/>
  <c r="K565" i="80"/>
  <c r="H565" i="80"/>
  <c r="L564" i="80"/>
  <c r="H564" i="80"/>
  <c r="K564" i="80" s="1"/>
  <c r="L563" i="80"/>
  <c r="K563" i="80"/>
  <c r="H563" i="80"/>
  <c r="L562" i="80"/>
  <c r="H562" i="80"/>
  <c r="K562" i="80" s="1"/>
  <c r="L561" i="80"/>
  <c r="K561" i="80"/>
  <c r="H561" i="80"/>
  <c r="L560" i="80"/>
  <c r="H560" i="80"/>
  <c r="K560" i="80" s="1"/>
  <c r="L559" i="80"/>
  <c r="K559" i="80"/>
  <c r="H559" i="80"/>
  <c r="L558" i="80"/>
  <c r="H558" i="80"/>
  <c r="K558" i="80" s="1"/>
  <c r="L557" i="80"/>
  <c r="K557" i="80"/>
  <c r="H557" i="80"/>
  <c r="L556" i="80"/>
  <c r="H556" i="80"/>
  <c r="K556" i="80" s="1"/>
  <c r="L555" i="80"/>
  <c r="K555" i="80"/>
  <c r="H555" i="80"/>
  <c r="L554" i="80"/>
  <c r="H554" i="80"/>
  <c r="K554" i="80" s="1"/>
  <c r="L553" i="80"/>
  <c r="K553" i="80"/>
  <c r="H553" i="80"/>
  <c r="L552" i="80"/>
  <c r="H552" i="80"/>
  <c r="K552" i="80" s="1"/>
  <c r="L551" i="80"/>
  <c r="K551" i="80"/>
  <c r="H551" i="80"/>
  <c r="L550" i="80"/>
  <c r="K550" i="80"/>
  <c r="L549" i="80"/>
  <c r="K549" i="80"/>
  <c r="L548" i="80"/>
  <c r="K548" i="80"/>
  <c r="L547" i="80"/>
  <c r="K547" i="80"/>
  <c r="L546" i="80"/>
  <c r="K546" i="80"/>
  <c r="L545" i="80"/>
  <c r="K545" i="80"/>
  <c r="L544" i="80"/>
  <c r="K544" i="80"/>
  <c r="L543" i="80"/>
  <c r="K543" i="80"/>
  <c r="L542" i="80"/>
  <c r="K542" i="80"/>
  <c r="L541" i="80"/>
  <c r="K541" i="80"/>
  <c r="L540" i="80"/>
  <c r="H540" i="80"/>
  <c r="K540" i="80" s="1"/>
  <c r="L539" i="80"/>
  <c r="K539" i="80"/>
  <c r="H539" i="80"/>
  <c r="L538" i="80"/>
  <c r="H538" i="80"/>
  <c r="K538" i="80" s="1"/>
  <c r="L537" i="80"/>
  <c r="K537" i="80"/>
  <c r="H537" i="80"/>
  <c r="L536" i="80"/>
  <c r="H536" i="80"/>
  <c r="K536" i="80" s="1"/>
  <c r="L535" i="80"/>
  <c r="K535" i="80"/>
  <c r="H535" i="80"/>
  <c r="L534" i="80"/>
  <c r="H534" i="80"/>
  <c r="K534" i="80" s="1"/>
  <c r="L533" i="80"/>
  <c r="K533" i="80"/>
  <c r="H533" i="80"/>
  <c r="L532" i="80"/>
  <c r="H532" i="80"/>
  <c r="K532" i="80" s="1"/>
  <c r="L531" i="80"/>
  <c r="K531" i="80"/>
  <c r="H531" i="80"/>
  <c r="L530" i="80"/>
  <c r="H530" i="80"/>
  <c r="K530" i="80" s="1"/>
  <c r="L529" i="80"/>
  <c r="K529" i="80"/>
  <c r="H529" i="80"/>
  <c r="L528" i="80"/>
  <c r="H528" i="80"/>
  <c r="K528" i="80" s="1"/>
  <c r="L527" i="80"/>
  <c r="K527" i="80"/>
  <c r="H527" i="80"/>
  <c r="L526" i="80"/>
  <c r="H526" i="80"/>
  <c r="K526" i="80" s="1"/>
  <c r="L525" i="80"/>
  <c r="K525" i="80"/>
  <c r="H525" i="80"/>
  <c r="L524" i="80"/>
  <c r="H524" i="80"/>
  <c r="K524" i="80" s="1"/>
  <c r="L523" i="80"/>
  <c r="K523" i="80"/>
  <c r="H523" i="80"/>
  <c r="L522" i="80"/>
  <c r="H522" i="80"/>
  <c r="K522" i="80" s="1"/>
  <c r="L521" i="80"/>
  <c r="K521" i="80"/>
  <c r="H521" i="80"/>
  <c r="L520" i="80"/>
  <c r="H520" i="80"/>
  <c r="K520" i="80" s="1"/>
  <c r="L519" i="80"/>
  <c r="K519" i="80"/>
  <c r="H519" i="80"/>
  <c r="L518" i="80"/>
  <c r="H518" i="80"/>
  <c r="K518" i="80" s="1"/>
  <c r="L517" i="80"/>
  <c r="K517" i="80"/>
  <c r="H517" i="80"/>
  <c r="L516" i="80"/>
  <c r="H516" i="80"/>
  <c r="K516" i="80" s="1"/>
  <c r="L515" i="80"/>
  <c r="K515" i="80"/>
  <c r="H515" i="80"/>
  <c r="L514" i="80"/>
  <c r="H514" i="80"/>
  <c r="K514" i="80" s="1"/>
  <c r="L513" i="80"/>
  <c r="K513" i="80"/>
  <c r="H513" i="80"/>
  <c r="L512" i="80"/>
  <c r="H512" i="80"/>
  <c r="K512" i="80" s="1"/>
  <c r="L511" i="80"/>
  <c r="K511" i="80"/>
  <c r="H511" i="80"/>
  <c r="L510" i="80"/>
  <c r="H510" i="80"/>
  <c r="K510" i="80" s="1"/>
  <c r="L509" i="80"/>
  <c r="K509" i="80"/>
  <c r="H509" i="80"/>
  <c r="L508" i="80"/>
  <c r="H508" i="80"/>
  <c r="K508" i="80" s="1"/>
  <c r="L507" i="80"/>
  <c r="K507" i="80"/>
  <c r="H507" i="80"/>
  <c r="L506" i="80"/>
  <c r="H506" i="80"/>
  <c r="K506" i="80" s="1"/>
  <c r="L505" i="80"/>
  <c r="K505" i="80"/>
  <c r="H505" i="80"/>
  <c r="L504" i="80"/>
  <c r="H504" i="80"/>
  <c r="K504" i="80" s="1"/>
  <c r="L503" i="80"/>
  <c r="K503" i="80"/>
  <c r="H503" i="80"/>
  <c r="L502" i="80"/>
  <c r="H502" i="80"/>
  <c r="K502" i="80" s="1"/>
  <c r="L501" i="80"/>
  <c r="K501" i="80"/>
  <c r="H501" i="80"/>
  <c r="L500" i="80"/>
  <c r="H500" i="80"/>
  <c r="K500" i="80" s="1"/>
  <c r="L499" i="80"/>
  <c r="K499" i="80"/>
  <c r="H499" i="80"/>
  <c r="L498" i="80"/>
  <c r="H498" i="80"/>
  <c r="K498" i="80" s="1"/>
  <c r="L497" i="80"/>
  <c r="K497" i="80"/>
  <c r="H497" i="80"/>
  <c r="L496" i="80"/>
  <c r="H496" i="80"/>
  <c r="K496" i="80" s="1"/>
  <c r="L495" i="80"/>
  <c r="K495" i="80"/>
  <c r="H495" i="80"/>
  <c r="L494" i="80"/>
  <c r="H494" i="80"/>
  <c r="K494" i="80" s="1"/>
  <c r="L493" i="80"/>
  <c r="K493" i="80"/>
  <c r="H493" i="80"/>
  <c r="L492" i="80"/>
  <c r="H492" i="80"/>
  <c r="K492" i="80" s="1"/>
  <c r="L491" i="80"/>
  <c r="K491" i="80"/>
  <c r="H491" i="80"/>
  <c r="L490" i="80"/>
  <c r="H490" i="80"/>
  <c r="K490" i="80" s="1"/>
  <c r="L489" i="80"/>
  <c r="K489" i="80"/>
  <c r="H489" i="80"/>
  <c r="L488" i="80"/>
  <c r="H488" i="80"/>
  <c r="K488" i="80" s="1"/>
  <c r="L487" i="80"/>
  <c r="K487" i="80"/>
  <c r="H487" i="80"/>
  <c r="L486" i="80"/>
  <c r="H486" i="80"/>
  <c r="K486" i="80" s="1"/>
  <c r="L485" i="80"/>
  <c r="K485" i="80"/>
  <c r="H485" i="80"/>
  <c r="L484" i="80"/>
  <c r="H484" i="80"/>
  <c r="K484" i="80" s="1"/>
  <c r="L483" i="80"/>
  <c r="K483" i="80"/>
  <c r="H483" i="80"/>
  <c r="L482" i="80"/>
  <c r="H482" i="80"/>
  <c r="K482" i="80" s="1"/>
  <c r="L481" i="80"/>
  <c r="K481" i="80"/>
  <c r="H481" i="80"/>
  <c r="L480" i="80"/>
  <c r="H480" i="80"/>
  <c r="K480" i="80" s="1"/>
  <c r="L479" i="80"/>
  <c r="K479" i="80"/>
  <c r="H479" i="80"/>
  <c r="L478" i="80"/>
  <c r="H478" i="80"/>
  <c r="K478" i="80" s="1"/>
  <c r="L477" i="80"/>
  <c r="K477" i="80"/>
  <c r="H477" i="80"/>
  <c r="L476" i="80"/>
  <c r="H476" i="80"/>
  <c r="K476" i="80" s="1"/>
  <c r="L475" i="80"/>
  <c r="K475" i="80"/>
  <c r="H475" i="80"/>
  <c r="L474" i="80"/>
  <c r="H474" i="80"/>
  <c r="K474" i="80" s="1"/>
  <c r="L473" i="80"/>
  <c r="K473" i="80"/>
  <c r="H473" i="80"/>
  <c r="L472" i="80"/>
  <c r="H472" i="80"/>
  <c r="K472" i="80" s="1"/>
  <c r="L471" i="80"/>
  <c r="K471" i="80"/>
  <c r="H471" i="80"/>
  <c r="L470" i="80"/>
  <c r="H470" i="80"/>
  <c r="K470" i="80" s="1"/>
  <c r="L469" i="80"/>
  <c r="K469" i="80"/>
  <c r="H469" i="80"/>
  <c r="L468" i="80"/>
  <c r="H468" i="80"/>
  <c r="K468" i="80" s="1"/>
  <c r="L467" i="80"/>
  <c r="K467" i="80"/>
  <c r="H467" i="80"/>
  <c r="L466" i="80"/>
  <c r="H466" i="80"/>
  <c r="K466" i="80" s="1"/>
  <c r="L465" i="80"/>
  <c r="K465" i="80"/>
  <c r="H465" i="80"/>
  <c r="L464" i="80"/>
  <c r="H464" i="80"/>
  <c r="K464" i="80" s="1"/>
  <c r="L463" i="80"/>
  <c r="K463" i="80"/>
  <c r="H463" i="80"/>
  <c r="L462" i="80"/>
  <c r="H462" i="80"/>
  <c r="K462" i="80" s="1"/>
  <c r="L461" i="80"/>
  <c r="K461" i="80"/>
  <c r="H461" i="80"/>
  <c r="L460" i="80"/>
  <c r="H460" i="80"/>
  <c r="K460" i="80" s="1"/>
  <c r="L459" i="80"/>
  <c r="K459" i="80"/>
  <c r="H459" i="80"/>
  <c r="L458" i="80"/>
  <c r="H458" i="80"/>
  <c r="K458" i="80" s="1"/>
  <c r="L457" i="80"/>
  <c r="K457" i="80"/>
  <c r="H457" i="80"/>
  <c r="L456" i="80"/>
  <c r="H456" i="80"/>
  <c r="K456" i="80" s="1"/>
  <c r="L455" i="80"/>
  <c r="K455" i="80"/>
  <c r="H455" i="80"/>
  <c r="L454" i="80"/>
  <c r="H454" i="80"/>
  <c r="K454" i="80" s="1"/>
  <c r="L453" i="80"/>
  <c r="K453" i="80"/>
  <c r="H453" i="80"/>
  <c r="L452" i="80"/>
  <c r="H452" i="80"/>
  <c r="K452" i="80" s="1"/>
  <c r="L451" i="80"/>
  <c r="K451" i="80"/>
  <c r="H451" i="80"/>
  <c r="L450" i="80"/>
  <c r="H450" i="80"/>
  <c r="K450" i="80" s="1"/>
  <c r="L449" i="80"/>
  <c r="K449" i="80"/>
  <c r="H449" i="80"/>
  <c r="L448" i="80"/>
  <c r="H448" i="80"/>
  <c r="K448" i="80" s="1"/>
  <c r="L447" i="80"/>
  <c r="K447" i="80"/>
  <c r="H447" i="80"/>
  <c r="L446" i="80"/>
  <c r="H446" i="80"/>
  <c r="K446" i="80" s="1"/>
  <c r="L445" i="80"/>
  <c r="K445" i="80"/>
  <c r="H445" i="80"/>
  <c r="L444" i="80"/>
  <c r="H444" i="80"/>
  <c r="K444" i="80" s="1"/>
  <c r="L443" i="80"/>
  <c r="K443" i="80"/>
  <c r="H443" i="80"/>
  <c r="L442" i="80"/>
  <c r="H442" i="80"/>
  <c r="K442" i="80" s="1"/>
  <c r="L441" i="80"/>
  <c r="K441" i="80"/>
  <c r="H441" i="80"/>
  <c r="L440" i="80"/>
  <c r="H440" i="80"/>
  <c r="K440" i="80" s="1"/>
  <c r="L439" i="80"/>
  <c r="K439" i="80"/>
  <c r="H439" i="80"/>
  <c r="L438" i="80"/>
  <c r="H438" i="80"/>
  <c r="K438" i="80" s="1"/>
  <c r="L437" i="80"/>
  <c r="K437" i="80"/>
  <c r="H437" i="80"/>
  <c r="L436" i="80"/>
  <c r="H436" i="80"/>
  <c r="K436" i="80" s="1"/>
  <c r="L435" i="80"/>
  <c r="K435" i="80"/>
  <c r="H435" i="80"/>
  <c r="L434" i="80"/>
  <c r="H434" i="80"/>
  <c r="K434" i="80" s="1"/>
  <c r="L433" i="80"/>
  <c r="K433" i="80"/>
  <c r="H433" i="80"/>
  <c r="L432" i="80"/>
  <c r="H432" i="80"/>
  <c r="K432" i="80" s="1"/>
  <c r="L431" i="80"/>
  <c r="K431" i="80"/>
  <c r="H431" i="80"/>
  <c r="L430" i="80"/>
  <c r="H430" i="80"/>
  <c r="K430" i="80" s="1"/>
  <c r="L429" i="80"/>
  <c r="K429" i="80"/>
  <c r="H429" i="80"/>
  <c r="L428" i="80"/>
  <c r="H428" i="80"/>
  <c r="K428" i="80" s="1"/>
  <c r="L427" i="80"/>
  <c r="K427" i="80"/>
  <c r="H427" i="80"/>
  <c r="L426" i="80"/>
  <c r="H426" i="80"/>
  <c r="K426" i="80" s="1"/>
  <c r="L425" i="80"/>
  <c r="K425" i="80"/>
  <c r="H425" i="80"/>
  <c r="L424" i="80"/>
  <c r="H424" i="80"/>
  <c r="K424" i="80" s="1"/>
  <c r="L423" i="80"/>
  <c r="K423" i="80"/>
  <c r="H423" i="80"/>
  <c r="L422" i="80"/>
  <c r="H422" i="80"/>
  <c r="K422" i="80" s="1"/>
  <c r="L421" i="80"/>
  <c r="K421" i="80"/>
  <c r="H421" i="80"/>
  <c r="L420" i="80"/>
  <c r="H420" i="80"/>
  <c r="K420" i="80" s="1"/>
  <c r="L419" i="80"/>
  <c r="K419" i="80"/>
  <c r="H419" i="80"/>
  <c r="L418" i="80"/>
  <c r="H418" i="80"/>
  <c r="K418" i="80" s="1"/>
  <c r="L417" i="80"/>
  <c r="K417" i="80"/>
  <c r="H417" i="80"/>
  <c r="L416" i="80"/>
  <c r="H416" i="80"/>
  <c r="K416" i="80" s="1"/>
  <c r="L415" i="80"/>
  <c r="K415" i="80"/>
  <c r="H415" i="80"/>
  <c r="L414" i="80"/>
  <c r="H414" i="80"/>
  <c r="K414" i="80" s="1"/>
  <c r="L413" i="80"/>
  <c r="K413" i="80"/>
  <c r="H413" i="80"/>
  <c r="L412" i="80"/>
  <c r="H412" i="80"/>
  <c r="K412" i="80" s="1"/>
  <c r="L411" i="80"/>
  <c r="K411" i="80"/>
  <c r="H411" i="80"/>
  <c r="L410" i="80"/>
  <c r="H410" i="80"/>
  <c r="K410" i="80" s="1"/>
  <c r="L409" i="80"/>
  <c r="K409" i="80"/>
  <c r="H409" i="80"/>
  <c r="L408" i="80"/>
  <c r="H408" i="80"/>
  <c r="K408" i="80" s="1"/>
  <c r="L407" i="80"/>
  <c r="K407" i="80"/>
  <c r="H407" i="80"/>
  <c r="L406" i="80"/>
  <c r="H406" i="80"/>
  <c r="K406" i="80" s="1"/>
  <c r="L405" i="80"/>
  <c r="K405" i="80"/>
  <c r="H405" i="80"/>
  <c r="L404" i="80"/>
  <c r="H404" i="80"/>
  <c r="K404" i="80" s="1"/>
  <c r="L403" i="80"/>
  <c r="K403" i="80"/>
  <c r="H403" i="80"/>
  <c r="L402" i="80"/>
  <c r="H402" i="80"/>
  <c r="K402" i="80" s="1"/>
  <c r="L401" i="80"/>
  <c r="K401" i="80"/>
  <c r="H401" i="80"/>
  <c r="L400" i="80"/>
  <c r="H400" i="80"/>
  <c r="K400" i="80" s="1"/>
  <c r="L399" i="80"/>
  <c r="K399" i="80"/>
  <c r="H399" i="80"/>
  <c r="L398" i="80"/>
  <c r="H398" i="80"/>
  <c r="K398" i="80" s="1"/>
  <c r="L397" i="80"/>
  <c r="K397" i="80"/>
  <c r="H397" i="80"/>
  <c r="L396" i="80"/>
  <c r="H396" i="80"/>
  <c r="K396" i="80" s="1"/>
  <c r="L395" i="80"/>
  <c r="K395" i="80"/>
  <c r="H395" i="80"/>
  <c r="L394" i="80"/>
  <c r="H394" i="80"/>
  <c r="K394" i="80" s="1"/>
  <c r="L393" i="80"/>
  <c r="K393" i="80"/>
  <c r="H393" i="80"/>
  <c r="L392" i="80"/>
  <c r="H392" i="80"/>
  <c r="K392" i="80" s="1"/>
  <c r="L391" i="80"/>
  <c r="K391" i="80"/>
  <c r="H391" i="80"/>
  <c r="L390" i="80"/>
  <c r="H390" i="80"/>
  <c r="K390" i="80" s="1"/>
  <c r="L389" i="80"/>
  <c r="K389" i="80"/>
  <c r="H389" i="80"/>
  <c r="L388" i="80"/>
  <c r="H388" i="80"/>
  <c r="K388" i="80" s="1"/>
  <c r="L387" i="80"/>
  <c r="K387" i="80"/>
  <c r="H387" i="80"/>
  <c r="L386" i="80"/>
  <c r="H386" i="80"/>
  <c r="K386" i="80" s="1"/>
  <c r="L385" i="80"/>
  <c r="K385" i="80"/>
  <c r="H385" i="80"/>
  <c r="L384" i="80"/>
  <c r="H384" i="80"/>
  <c r="K384" i="80" s="1"/>
  <c r="L383" i="80"/>
  <c r="K383" i="80"/>
  <c r="H383" i="80"/>
  <c r="L382" i="80"/>
  <c r="H382" i="80"/>
  <c r="K382" i="80" s="1"/>
  <c r="L381" i="80"/>
  <c r="K381" i="80"/>
  <c r="H381" i="80"/>
  <c r="L380" i="80"/>
  <c r="H380" i="80"/>
  <c r="K380" i="80" s="1"/>
  <c r="L379" i="80"/>
  <c r="K379" i="80"/>
  <c r="H379" i="80"/>
  <c r="L378" i="80"/>
  <c r="H378" i="80"/>
  <c r="K378" i="80" s="1"/>
  <c r="L377" i="80"/>
  <c r="K377" i="80"/>
  <c r="H377" i="80"/>
  <c r="L376" i="80"/>
  <c r="H376" i="80"/>
  <c r="K376" i="80" s="1"/>
  <c r="L375" i="80"/>
  <c r="K375" i="80"/>
  <c r="H375" i="80"/>
  <c r="L374" i="80"/>
  <c r="H374" i="80"/>
  <c r="K374" i="80" s="1"/>
  <c r="L373" i="80"/>
  <c r="K373" i="80"/>
  <c r="H373" i="80"/>
  <c r="L372" i="80"/>
  <c r="H372" i="80"/>
  <c r="K372" i="80" s="1"/>
  <c r="L371" i="80"/>
  <c r="K371" i="80"/>
  <c r="H371" i="80"/>
  <c r="L370" i="80"/>
  <c r="H370" i="80"/>
  <c r="K370" i="80" s="1"/>
  <c r="L369" i="80"/>
  <c r="K369" i="80"/>
  <c r="H369" i="80"/>
  <c r="L368" i="80"/>
  <c r="H368" i="80"/>
  <c r="K368" i="80" s="1"/>
  <c r="L367" i="80"/>
  <c r="K367" i="80"/>
  <c r="H367" i="80"/>
  <c r="L366" i="80"/>
  <c r="H366" i="80"/>
  <c r="K366" i="80" s="1"/>
  <c r="L365" i="80"/>
  <c r="K365" i="80"/>
  <c r="H365" i="80"/>
  <c r="L364" i="80"/>
  <c r="H364" i="80"/>
  <c r="K364" i="80" s="1"/>
  <c r="L363" i="80"/>
  <c r="K363" i="80"/>
  <c r="H363" i="80"/>
  <c r="L362" i="80"/>
  <c r="H362" i="80"/>
  <c r="K362" i="80" s="1"/>
  <c r="L361" i="80"/>
  <c r="K361" i="80"/>
  <c r="H361" i="80"/>
  <c r="L360" i="80"/>
  <c r="H360" i="80"/>
  <c r="K360" i="80" s="1"/>
  <c r="L359" i="80"/>
  <c r="K359" i="80"/>
  <c r="H359" i="80"/>
  <c r="L358" i="80"/>
  <c r="H358" i="80"/>
  <c r="K358" i="80" s="1"/>
  <c r="L357" i="80"/>
  <c r="K357" i="80"/>
  <c r="H357" i="80"/>
  <c r="L356" i="80"/>
  <c r="H356" i="80"/>
  <c r="K356" i="80" s="1"/>
  <c r="L355" i="80"/>
  <c r="K355" i="80"/>
  <c r="H355" i="80"/>
  <c r="L354" i="80"/>
  <c r="H354" i="80"/>
  <c r="K354" i="80" s="1"/>
  <c r="L353" i="80"/>
  <c r="K353" i="80"/>
  <c r="H353" i="80"/>
  <c r="L352" i="80"/>
  <c r="H352" i="80"/>
  <c r="K352" i="80" s="1"/>
  <c r="L351" i="80"/>
  <c r="K351" i="80"/>
  <c r="H351" i="80"/>
  <c r="L350" i="80"/>
  <c r="H350" i="80"/>
  <c r="K350" i="80" s="1"/>
  <c r="L349" i="80"/>
  <c r="K349" i="80"/>
  <c r="H349" i="80"/>
  <c r="L348" i="80"/>
  <c r="H348" i="80"/>
  <c r="K348" i="80" s="1"/>
  <c r="L347" i="80"/>
  <c r="K347" i="80"/>
  <c r="H347" i="80"/>
  <c r="L346" i="80"/>
  <c r="H346" i="80"/>
  <c r="K346" i="80" s="1"/>
  <c r="L345" i="80"/>
  <c r="K345" i="80"/>
  <c r="H345" i="80"/>
  <c r="L344" i="80"/>
  <c r="H344" i="80"/>
  <c r="K344" i="80" s="1"/>
  <c r="L343" i="80"/>
  <c r="K343" i="80"/>
  <c r="H343" i="80"/>
  <c r="L342" i="80"/>
  <c r="H342" i="80"/>
  <c r="K342" i="80" s="1"/>
  <c r="L341" i="80"/>
  <c r="K341" i="80"/>
  <c r="H341" i="80"/>
  <c r="L340" i="80"/>
  <c r="H340" i="80"/>
  <c r="K340" i="80" s="1"/>
  <c r="L339" i="80"/>
  <c r="K339" i="80"/>
  <c r="H339" i="80"/>
  <c r="L338" i="80"/>
  <c r="H338" i="80"/>
  <c r="K338" i="80" s="1"/>
  <c r="L337" i="80"/>
  <c r="K337" i="80"/>
  <c r="H337" i="80"/>
  <c r="L336" i="80"/>
  <c r="H336" i="80"/>
  <c r="K336" i="80" s="1"/>
  <c r="L335" i="80"/>
  <c r="K335" i="80"/>
  <c r="H335" i="80"/>
  <c r="L334" i="80"/>
  <c r="H334" i="80"/>
  <c r="K334" i="80" s="1"/>
  <c r="L333" i="80"/>
  <c r="K333" i="80"/>
  <c r="H333" i="80"/>
  <c r="L332" i="80"/>
  <c r="H332" i="80"/>
  <c r="K332" i="80" s="1"/>
  <c r="L331" i="80"/>
  <c r="K331" i="80"/>
  <c r="H331" i="80"/>
  <c r="L330" i="80"/>
  <c r="H330" i="80"/>
  <c r="K330" i="80" s="1"/>
  <c r="L329" i="80"/>
  <c r="K329" i="80"/>
  <c r="H329" i="80"/>
  <c r="L328" i="80"/>
  <c r="H328" i="80"/>
  <c r="K328" i="80" s="1"/>
  <c r="L327" i="80"/>
  <c r="K327" i="80"/>
  <c r="H327" i="80"/>
  <c r="L326" i="80"/>
  <c r="H326" i="80"/>
  <c r="K326" i="80" s="1"/>
  <c r="L325" i="80"/>
  <c r="K325" i="80"/>
  <c r="H325" i="80"/>
  <c r="L324" i="80"/>
  <c r="H324" i="80"/>
  <c r="K324" i="80" s="1"/>
  <c r="L323" i="80"/>
  <c r="K323" i="80"/>
  <c r="H323" i="80"/>
  <c r="L322" i="80"/>
  <c r="H322" i="80"/>
  <c r="K322" i="80" s="1"/>
  <c r="L321" i="80"/>
  <c r="K321" i="80"/>
  <c r="H321" i="80"/>
  <c r="L320" i="80"/>
  <c r="H320" i="80"/>
  <c r="K320" i="80" s="1"/>
  <c r="L319" i="80"/>
  <c r="K319" i="80"/>
  <c r="H319" i="80"/>
  <c r="L318" i="80"/>
  <c r="H318" i="80"/>
  <c r="K318" i="80" s="1"/>
  <c r="L317" i="80"/>
  <c r="K317" i="80"/>
  <c r="H317" i="80"/>
  <c r="L316" i="80"/>
  <c r="H316" i="80"/>
  <c r="K316" i="80" s="1"/>
  <c r="L315" i="80"/>
  <c r="K315" i="80"/>
  <c r="H315" i="80"/>
  <c r="L314" i="80"/>
  <c r="H314" i="80"/>
  <c r="K314" i="80" s="1"/>
  <c r="L313" i="80"/>
  <c r="K313" i="80"/>
  <c r="H313" i="80"/>
  <c r="L312" i="80"/>
  <c r="H312" i="80"/>
  <c r="K312" i="80" s="1"/>
  <c r="L311" i="80"/>
  <c r="K311" i="80"/>
  <c r="H311" i="80"/>
  <c r="L310" i="80"/>
  <c r="H310" i="80"/>
  <c r="K310" i="80" s="1"/>
  <c r="L309" i="80"/>
  <c r="K309" i="80"/>
  <c r="H309" i="80"/>
  <c r="L308" i="80"/>
  <c r="H308" i="80"/>
  <c r="K308" i="80" s="1"/>
  <c r="L307" i="80"/>
  <c r="K307" i="80"/>
  <c r="H307" i="80"/>
  <c r="L306" i="80"/>
  <c r="H306" i="80"/>
  <c r="K306" i="80" s="1"/>
  <c r="L305" i="80"/>
  <c r="K305" i="80"/>
  <c r="H305" i="80"/>
  <c r="L304" i="80"/>
  <c r="H304" i="80"/>
  <c r="K304" i="80" s="1"/>
  <c r="L303" i="80"/>
  <c r="K303" i="80"/>
  <c r="H303" i="80"/>
  <c r="L302" i="80"/>
  <c r="H302" i="80"/>
  <c r="K302" i="80" s="1"/>
  <c r="L301" i="80"/>
  <c r="K301" i="80"/>
  <c r="H301" i="80"/>
  <c r="L300" i="80"/>
  <c r="H300" i="80"/>
  <c r="K300" i="80" s="1"/>
  <c r="L299" i="80"/>
  <c r="K299" i="80"/>
  <c r="H299" i="80"/>
  <c r="L298" i="80"/>
  <c r="H298" i="80"/>
  <c r="K298" i="80" s="1"/>
  <c r="L297" i="80"/>
  <c r="K297" i="80"/>
  <c r="H297" i="80"/>
  <c r="L296" i="80"/>
  <c r="H296" i="80"/>
  <c r="K296" i="80" s="1"/>
  <c r="L295" i="80"/>
  <c r="K295" i="80"/>
  <c r="H295" i="80"/>
  <c r="L294" i="80"/>
  <c r="H294" i="80"/>
  <c r="K294" i="80" s="1"/>
  <c r="L293" i="80"/>
  <c r="K293" i="80"/>
  <c r="H293" i="80"/>
  <c r="L292" i="80"/>
  <c r="H292" i="80"/>
  <c r="K292" i="80" s="1"/>
  <c r="L291" i="80"/>
  <c r="K291" i="80"/>
  <c r="H291" i="80"/>
  <c r="L290" i="80"/>
  <c r="H290" i="80"/>
  <c r="K290" i="80" s="1"/>
  <c r="L289" i="80"/>
  <c r="K289" i="80"/>
  <c r="H289" i="80"/>
  <c r="L288" i="80"/>
  <c r="H288" i="80"/>
  <c r="K288" i="80" s="1"/>
  <c r="L287" i="80"/>
  <c r="K287" i="80"/>
  <c r="H287" i="80"/>
  <c r="L286" i="80"/>
  <c r="H286" i="80"/>
  <c r="K286" i="80" s="1"/>
  <c r="L285" i="80"/>
  <c r="K285" i="80"/>
  <c r="H285" i="80"/>
  <c r="L284" i="80"/>
  <c r="H284" i="80"/>
  <c r="K284" i="80" s="1"/>
  <c r="L283" i="80"/>
  <c r="K283" i="80"/>
  <c r="H283" i="80"/>
  <c r="L282" i="80"/>
  <c r="H282" i="80"/>
  <c r="K282" i="80" s="1"/>
  <c r="L281" i="80"/>
  <c r="K281" i="80"/>
  <c r="H281" i="80"/>
  <c r="L280" i="80"/>
  <c r="H280" i="80"/>
  <c r="K280" i="80" s="1"/>
  <c r="L279" i="80"/>
  <c r="K279" i="80"/>
  <c r="H279" i="80"/>
  <c r="L278" i="80"/>
  <c r="H278" i="80"/>
  <c r="K278" i="80" s="1"/>
  <c r="L277" i="80"/>
  <c r="K277" i="80"/>
  <c r="H277" i="80"/>
  <c r="L276" i="80"/>
  <c r="H276" i="80"/>
  <c r="K276" i="80" s="1"/>
  <c r="L275" i="80"/>
  <c r="K275" i="80"/>
  <c r="H275" i="80"/>
  <c r="L274" i="80"/>
  <c r="H274" i="80"/>
  <c r="K274" i="80" s="1"/>
  <c r="L273" i="80"/>
  <c r="K273" i="80"/>
  <c r="H273" i="80"/>
  <c r="L272" i="80"/>
  <c r="H272" i="80"/>
  <c r="K272" i="80" s="1"/>
  <c r="L271" i="80"/>
  <c r="K271" i="80"/>
  <c r="H271" i="80"/>
  <c r="L270" i="80"/>
  <c r="H270" i="80"/>
  <c r="K270" i="80" s="1"/>
  <c r="L269" i="80"/>
  <c r="K269" i="80"/>
  <c r="H269" i="80"/>
  <c r="L268" i="80"/>
  <c r="H268" i="80"/>
  <c r="K268" i="80" s="1"/>
  <c r="L267" i="80"/>
  <c r="K267" i="80"/>
  <c r="H267" i="80"/>
  <c r="L266" i="80"/>
  <c r="H266" i="80"/>
  <c r="K266" i="80" s="1"/>
  <c r="L265" i="80"/>
  <c r="K265" i="80"/>
  <c r="H265" i="80"/>
  <c r="L264" i="80"/>
  <c r="H264" i="80"/>
  <c r="K264" i="80" s="1"/>
  <c r="L263" i="80"/>
  <c r="K263" i="80"/>
  <c r="H263" i="80"/>
  <c r="L262" i="80"/>
  <c r="H262" i="80"/>
  <c r="K262" i="80" s="1"/>
  <c r="L261" i="80"/>
  <c r="K261" i="80"/>
  <c r="H261" i="80"/>
  <c r="L260" i="80"/>
  <c r="H260" i="80"/>
  <c r="K260" i="80" s="1"/>
  <c r="L259" i="80"/>
  <c r="K259" i="80"/>
  <c r="H259" i="80"/>
  <c r="L258" i="80"/>
  <c r="H258" i="80"/>
  <c r="K258" i="80" s="1"/>
  <c r="L257" i="80"/>
  <c r="K257" i="80"/>
  <c r="H257" i="80"/>
  <c r="L256" i="80"/>
  <c r="H256" i="80"/>
  <c r="K256" i="80" s="1"/>
  <c r="L255" i="80"/>
  <c r="K255" i="80"/>
  <c r="H255" i="80"/>
  <c r="L254" i="80"/>
  <c r="H254" i="80"/>
  <c r="K254" i="80" s="1"/>
  <c r="L253" i="80"/>
  <c r="K253" i="80"/>
  <c r="H253" i="80"/>
  <c r="L252" i="80"/>
  <c r="H252" i="80"/>
  <c r="K252" i="80" s="1"/>
  <c r="L251" i="80"/>
  <c r="K251" i="80"/>
  <c r="H251" i="80"/>
  <c r="L250" i="80"/>
  <c r="H250" i="80"/>
  <c r="K250" i="80" s="1"/>
  <c r="L249" i="80"/>
  <c r="K249" i="80"/>
  <c r="H249" i="80"/>
  <c r="L248" i="80"/>
  <c r="H248" i="80"/>
  <c r="K248" i="80" s="1"/>
  <c r="L247" i="80"/>
  <c r="K247" i="80"/>
  <c r="H247" i="80"/>
  <c r="L246" i="80"/>
  <c r="H246" i="80"/>
  <c r="K246" i="80" s="1"/>
  <c r="L245" i="80"/>
  <c r="K245" i="80"/>
  <c r="H245" i="80"/>
  <c r="L244" i="80"/>
  <c r="H244" i="80"/>
  <c r="K244" i="80" s="1"/>
  <c r="L243" i="80"/>
  <c r="K243" i="80"/>
  <c r="H243" i="80"/>
  <c r="L242" i="80"/>
  <c r="H242" i="80"/>
  <c r="K242" i="80" s="1"/>
  <c r="L241" i="80"/>
  <c r="K241" i="80"/>
  <c r="H241" i="80"/>
  <c r="L240" i="80"/>
  <c r="H240" i="80"/>
  <c r="K240" i="80" s="1"/>
  <c r="L239" i="80"/>
  <c r="K239" i="80"/>
  <c r="H239" i="80"/>
  <c r="L238" i="80"/>
  <c r="H238" i="80"/>
  <c r="K238" i="80" s="1"/>
  <c r="L237" i="80"/>
  <c r="K237" i="80"/>
  <c r="H237" i="80"/>
  <c r="L236" i="80"/>
  <c r="H236" i="80"/>
  <c r="K236" i="80" s="1"/>
  <c r="L235" i="80"/>
  <c r="K235" i="80"/>
  <c r="H235" i="80"/>
  <c r="L234" i="80"/>
  <c r="H234" i="80"/>
  <c r="K234" i="80" s="1"/>
  <c r="L233" i="80"/>
  <c r="K233" i="80"/>
  <c r="H233" i="80"/>
  <c r="L232" i="80"/>
  <c r="H232" i="80"/>
  <c r="K232" i="80" s="1"/>
  <c r="L231" i="80"/>
  <c r="K231" i="80"/>
  <c r="H231" i="80"/>
  <c r="L230" i="80"/>
  <c r="H230" i="80"/>
  <c r="K230" i="80" s="1"/>
  <c r="L229" i="80"/>
  <c r="K229" i="80"/>
  <c r="H229" i="80"/>
  <c r="L228" i="80"/>
  <c r="H228" i="80"/>
  <c r="K228" i="80" s="1"/>
  <c r="L227" i="80"/>
  <c r="K227" i="80"/>
  <c r="H227" i="80"/>
  <c r="L226" i="80"/>
  <c r="H226" i="80"/>
  <c r="K226" i="80" s="1"/>
  <c r="L225" i="80"/>
  <c r="K225" i="80"/>
  <c r="H225" i="80"/>
  <c r="L224" i="80"/>
  <c r="H224" i="80"/>
  <c r="K224" i="80" s="1"/>
  <c r="L223" i="80"/>
  <c r="K223" i="80"/>
  <c r="H223" i="80"/>
  <c r="L222" i="80"/>
  <c r="H222" i="80"/>
  <c r="K222" i="80" s="1"/>
  <c r="L221" i="80"/>
  <c r="K221" i="80"/>
  <c r="H221" i="80"/>
  <c r="L220" i="80"/>
  <c r="H220" i="80"/>
  <c r="K220" i="80" s="1"/>
  <c r="L219" i="80"/>
  <c r="K219" i="80"/>
  <c r="H219" i="80"/>
  <c r="L218" i="80"/>
  <c r="H218" i="80"/>
  <c r="K218" i="80" s="1"/>
  <c r="L217" i="80"/>
  <c r="K217" i="80"/>
  <c r="H217" i="80"/>
  <c r="L216" i="80"/>
  <c r="H216" i="80"/>
  <c r="K216" i="80" s="1"/>
  <c r="L215" i="80"/>
  <c r="K215" i="80"/>
  <c r="H215" i="80"/>
  <c r="L214" i="80"/>
  <c r="H214" i="80"/>
  <c r="K214" i="80" s="1"/>
  <c r="L213" i="80"/>
  <c r="K213" i="80"/>
  <c r="H213" i="80"/>
  <c r="L212" i="80"/>
  <c r="H212" i="80"/>
  <c r="K212" i="80" s="1"/>
  <c r="L211" i="80"/>
  <c r="K211" i="80"/>
  <c r="H211" i="80"/>
  <c r="L210" i="80"/>
  <c r="H210" i="80"/>
  <c r="K210" i="80" s="1"/>
  <c r="L209" i="80"/>
  <c r="K209" i="80"/>
  <c r="H209" i="80"/>
  <c r="L208" i="80"/>
  <c r="H208" i="80"/>
  <c r="K208" i="80" s="1"/>
  <c r="L207" i="80"/>
  <c r="K207" i="80"/>
  <c r="H207" i="80"/>
  <c r="L206" i="80"/>
  <c r="H206" i="80"/>
  <c r="K206" i="80" s="1"/>
  <c r="L205" i="80"/>
  <c r="K205" i="80"/>
  <c r="H205" i="80"/>
  <c r="L204" i="80"/>
  <c r="H204" i="80"/>
  <c r="K204" i="80" s="1"/>
  <c r="L203" i="80"/>
  <c r="K203" i="80"/>
  <c r="H203" i="80"/>
  <c r="L202" i="80"/>
  <c r="H202" i="80"/>
  <c r="K202" i="80" s="1"/>
  <c r="L201" i="80"/>
  <c r="K201" i="80"/>
  <c r="H201" i="80"/>
  <c r="L200" i="80"/>
  <c r="H200" i="80"/>
  <c r="K200" i="80" s="1"/>
  <c r="L199" i="80"/>
  <c r="K199" i="80"/>
  <c r="H199" i="80"/>
  <c r="L198" i="80"/>
  <c r="H198" i="80"/>
  <c r="K198" i="80" s="1"/>
  <c r="L197" i="80"/>
  <c r="K197" i="80"/>
  <c r="H197" i="80"/>
  <c r="L196" i="80"/>
  <c r="H196" i="80"/>
  <c r="K196" i="80" s="1"/>
  <c r="L195" i="80"/>
  <c r="K195" i="80"/>
  <c r="H195" i="80"/>
  <c r="L194" i="80"/>
  <c r="H194" i="80"/>
  <c r="K194" i="80" s="1"/>
  <c r="L193" i="80"/>
  <c r="K193" i="80"/>
  <c r="H193" i="80"/>
  <c r="L192" i="80"/>
  <c r="H192" i="80"/>
  <c r="K192" i="80" s="1"/>
  <c r="L191" i="80"/>
  <c r="K191" i="80"/>
  <c r="H191" i="80"/>
  <c r="L190" i="80"/>
  <c r="H190" i="80"/>
  <c r="K190" i="80" s="1"/>
  <c r="L189" i="80"/>
  <c r="K189" i="80"/>
  <c r="H189" i="80"/>
  <c r="L188" i="80"/>
  <c r="H188" i="80"/>
  <c r="K188" i="80" s="1"/>
  <c r="L187" i="80"/>
  <c r="K187" i="80"/>
  <c r="H187" i="80"/>
  <c r="L186" i="80"/>
  <c r="H186" i="80"/>
  <c r="K186" i="80" s="1"/>
  <c r="L185" i="80"/>
  <c r="K185" i="80"/>
  <c r="H185" i="80"/>
  <c r="L184" i="80"/>
  <c r="H184" i="80"/>
  <c r="K184" i="80" s="1"/>
  <c r="L183" i="80"/>
  <c r="K183" i="80"/>
  <c r="H183" i="80"/>
  <c r="L182" i="80"/>
  <c r="H182" i="80"/>
  <c r="K182" i="80" s="1"/>
  <c r="L181" i="80"/>
  <c r="K181" i="80"/>
  <c r="H181" i="80"/>
  <c r="L180" i="80"/>
  <c r="H180" i="80"/>
  <c r="K180" i="80" s="1"/>
  <c r="L179" i="80"/>
  <c r="K179" i="80"/>
  <c r="H179" i="80"/>
  <c r="L178" i="80"/>
  <c r="H178" i="80"/>
  <c r="K178" i="80" s="1"/>
  <c r="L177" i="80"/>
  <c r="K177" i="80"/>
  <c r="H177" i="80"/>
  <c r="L176" i="80"/>
  <c r="H176" i="80"/>
  <c r="K176" i="80" s="1"/>
  <c r="L175" i="80"/>
  <c r="K175" i="80"/>
  <c r="H175" i="80"/>
  <c r="L174" i="80"/>
  <c r="H174" i="80"/>
  <c r="K174" i="80" s="1"/>
  <c r="L173" i="80"/>
  <c r="K173" i="80"/>
  <c r="H173" i="80"/>
  <c r="L172" i="80"/>
  <c r="H172" i="80"/>
  <c r="K172" i="80" s="1"/>
  <c r="L171" i="80"/>
  <c r="K171" i="80"/>
  <c r="H171" i="80"/>
  <c r="L170" i="80"/>
  <c r="H170" i="80"/>
  <c r="K170" i="80" s="1"/>
  <c r="L169" i="80"/>
  <c r="K169" i="80"/>
  <c r="H169" i="80"/>
  <c r="L168" i="80"/>
  <c r="H168" i="80"/>
  <c r="K168" i="80" s="1"/>
  <c r="L167" i="80"/>
  <c r="K167" i="80"/>
  <c r="H167" i="80"/>
  <c r="L166" i="80"/>
  <c r="H166" i="80"/>
  <c r="K166" i="80" s="1"/>
  <c r="L165" i="80"/>
  <c r="K165" i="80"/>
  <c r="H165" i="80"/>
  <c r="L164" i="80"/>
  <c r="H164" i="80"/>
  <c r="K164" i="80" s="1"/>
  <c r="L163" i="80"/>
  <c r="K163" i="80"/>
  <c r="H163" i="80"/>
  <c r="L162" i="80"/>
  <c r="H162" i="80"/>
  <c r="K162" i="80" s="1"/>
  <c r="L161" i="80"/>
  <c r="K161" i="80"/>
  <c r="H161" i="80"/>
  <c r="L160" i="80"/>
  <c r="H160" i="80"/>
  <c r="K160" i="80" s="1"/>
  <c r="L159" i="80"/>
  <c r="K159" i="80"/>
  <c r="H159" i="80"/>
  <c r="L158" i="80"/>
  <c r="H158" i="80"/>
  <c r="K158" i="80" s="1"/>
  <c r="L157" i="80"/>
  <c r="K157" i="80"/>
  <c r="H157" i="80"/>
  <c r="L156" i="80"/>
  <c r="H156" i="80"/>
  <c r="K156" i="80" s="1"/>
  <c r="L155" i="80"/>
  <c r="K155" i="80"/>
  <c r="H155" i="80"/>
  <c r="L154" i="80"/>
  <c r="H154" i="80"/>
  <c r="K154" i="80" s="1"/>
  <c r="L153" i="80"/>
  <c r="K153" i="80"/>
  <c r="H153" i="80"/>
  <c r="L152" i="80"/>
  <c r="H152" i="80"/>
  <c r="K152" i="80" s="1"/>
  <c r="L151" i="80"/>
  <c r="K151" i="80"/>
  <c r="H151" i="80"/>
  <c r="L150" i="80"/>
  <c r="H150" i="80"/>
  <c r="K150" i="80" s="1"/>
  <c r="L149" i="80"/>
  <c r="K149" i="80"/>
  <c r="H149" i="80"/>
  <c r="L148" i="80"/>
  <c r="H148" i="80"/>
  <c r="K148" i="80" s="1"/>
  <c r="L147" i="80"/>
  <c r="K147" i="80"/>
  <c r="H147" i="80"/>
  <c r="L146" i="80"/>
  <c r="H146" i="80"/>
  <c r="K146" i="80" s="1"/>
  <c r="L145" i="80"/>
  <c r="K145" i="80"/>
  <c r="H145" i="80"/>
  <c r="L144" i="80"/>
  <c r="H144" i="80"/>
  <c r="K144" i="80" s="1"/>
  <c r="L143" i="80"/>
  <c r="K143" i="80"/>
  <c r="H143" i="80"/>
  <c r="L142" i="80"/>
  <c r="H142" i="80"/>
  <c r="K142" i="80" s="1"/>
  <c r="L141" i="80"/>
  <c r="K141" i="80"/>
  <c r="H141" i="80"/>
  <c r="L140" i="80"/>
  <c r="H140" i="80"/>
  <c r="K140" i="80" s="1"/>
  <c r="L139" i="80"/>
  <c r="K139" i="80"/>
  <c r="H139" i="80"/>
  <c r="L138" i="80"/>
  <c r="H138" i="80"/>
  <c r="K138" i="80" s="1"/>
  <c r="L137" i="80"/>
  <c r="K137" i="80"/>
  <c r="H137" i="80"/>
  <c r="L136" i="80"/>
  <c r="H136" i="80"/>
  <c r="K136" i="80" s="1"/>
  <c r="L135" i="80"/>
  <c r="K135" i="80"/>
  <c r="H135" i="80"/>
  <c r="L134" i="80"/>
  <c r="H134" i="80"/>
  <c r="K134" i="80" s="1"/>
  <c r="L133" i="80"/>
  <c r="K133" i="80"/>
  <c r="H133" i="80"/>
  <c r="L132" i="80"/>
  <c r="H132" i="80"/>
  <c r="K132" i="80" s="1"/>
  <c r="L131" i="80"/>
  <c r="K131" i="80"/>
  <c r="H131" i="80"/>
  <c r="L130" i="80"/>
  <c r="H130" i="80"/>
  <c r="K130" i="80" s="1"/>
  <c r="L129" i="80"/>
  <c r="K129" i="80"/>
  <c r="H129" i="80"/>
  <c r="L128" i="80"/>
  <c r="H128" i="80"/>
  <c r="K128" i="80" s="1"/>
  <c r="L127" i="80"/>
  <c r="K127" i="80"/>
  <c r="H127" i="80"/>
  <c r="L126" i="80"/>
  <c r="H126" i="80"/>
  <c r="K126" i="80" s="1"/>
  <c r="L125" i="80"/>
  <c r="K125" i="80"/>
  <c r="H125" i="80"/>
  <c r="L124" i="80"/>
  <c r="H124" i="80"/>
  <c r="K124" i="80" s="1"/>
  <c r="L123" i="80"/>
  <c r="K123" i="80"/>
  <c r="H123" i="80"/>
  <c r="L122" i="80"/>
  <c r="H122" i="80"/>
  <c r="K122" i="80" s="1"/>
  <c r="L121" i="80"/>
  <c r="K121" i="80"/>
  <c r="H121" i="80"/>
  <c r="L120" i="80"/>
  <c r="H120" i="80"/>
  <c r="K120" i="80" s="1"/>
  <c r="L119" i="80"/>
  <c r="K119" i="80"/>
  <c r="H119" i="80"/>
  <c r="L118" i="80"/>
  <c r="H118" i="80"/>
  <c r="K118" i="80" s="1"/>
  <c r="L117" i="80"/>
  <c r="K117" i="80"/>
  <c r="H117" i="80"/>
  <c r="L116" i="80"/>
  <c r="H116" i="80"/>
  <c r="K116" i="80" s="1"/>
  <c r="L115" i="80"/>
  <c r="K115" i="80"/>
  <c r="H115" i="80"/>
  <c r="L114" i="80"/>
  <c r="H114" i="80"/>
  <c r="K114" i="80" s="1"/>
  <c r="L113" i="80"/>
  <c r="K113" i="80"/>
  <c r="H113" i="80"/>
  <c r="L112" i="80"/>
  <c r="H112" i="80"/>
  <c r="K112" i="80" s="1"/>
  <c r="L111" i="80"/>
  <c r="K111" i="80"/>
  <c r="H111" i="80"/>
  <c r="L110" i="80"/>
  <c r="H110" i="80"/>
  <c r="K110" i="80" s="1"/>
  <c r="L109" i="80"/>
  <c r="K109" i="80"/>
  <c r="H109" i="80"/>
  <c r="L108" i="80"/>
  <c r="H108" i="80"/>
  <c r="K108" i="80" s="1"/>
  <c r="L107" i="80"/>
  <c r="K107" i="80"/>
  <c r="H107" i="80"/>
  <c r="L106" i="80"/>
  <c r="H106" i="80"/>
  <c r="K106" i="80" s="1"/>
  <c r="L105" i="80"/>
  <c r="K105" i="80"/>
  <c r="H105" i="80"/>
  <c r="L104" i="80"/>
  <c r="H104" i="80"/>
  <c r="K104" i="80" s="1"/>
  <c r="L103" i="80"/>
  <c r="K103" i="80"/>
  <c r="H103" i="80"/>
  <c r="L102" i="80"/>
  <c r="H102" i="80"/>
  <c r="K102" i="80" s="1"/>
  <c r="L101" i="80"/>
  <c r="K101" i="80"/>
  <c r="H101" i="80"/>
  <c r="L100" i="80"/>
  <c r="H100" i="80"/>
  <c r="K100" i="80" s="1"/>
  <c r="L99" i="80"/>
  <c r="K99" i="80"/>
  <c r="H99" i="80"/>
  <c r="L98" i="80"/>
  <c r="H98" i="80"/>
  <c r="K98" i="80" s="1"/>
  <c r="L97" i="80"/>
  <c r="K97" i="80"/>
  <c r="H97" i="80"/>
  <c r="L96" i="80"/>
  <c r="H96" i="80"/>
  <c r="K96" i="80" s="1"/>
  <c r="L95" i="80"/>
  <c r="K95" i="80"/>
  <c r="H95" i="80"/>
  <c r="L94" i="80"/>
  <c r="H94" i="80"/>
  <c r="K94" i="80" s="1"/>
  <c r="L93" i="80"/>
  <c r="K93" i="80"/>
  <c r="H93" i="80"/>
  <c r="L92" i="80"/>
  <c r="H92" i="80"/>
  <c r="K92" i="80" s="1"/>
  <c r="L91" i="80"/>
  <c r="K91" i="80"/>
  <c r="H91" i="80"/>
  <c r="L90" i="80"/>
  <c r="H90" i="80"/>
  <c r="K90" i="80" s="1"/>
  <c r="L89" i="80"/>
  <c r="K89" i="80"/>
  <c r="H89" i="80"/>
  <c r="L88" i="80"/>
  <c r="H88" i="80"/>
  <c r="K88" i="80" s="1"/>
  <c r="L87" i="80"/>
  <c r="K87" i="80"/>
  <c r="H87" i="80"/>
  <c r="L86" i="80"/>
  <c r="H86" i="80"/>
  <c r="K86" i="80" s="1"/>
  <c r="L85" i="80"/>
  <c r="K85" i="80"/>
  <c r="H85" i="80"/>
  <c r="L84" i="80"/>
  <c r="H84" i="80"/>
  <c r="K84" i="80" s="1"/>
  <c r="L83" i="80"/>
  <c r="K83" i="80"/>
  <c r="H83" i="80"/>
  <c r="L82" i="80"/>
  <c r="H82" i="80"/>
  <c r="K82" i="80" s="1"/>
  <c r="L81" i="80"/>
  <c r="K81" i="80"/>
  <c r="H81" i="80"/>
  <c r="L80" i="80"/>
  <c r="H80" i="80"/>
  <c r="K80" i="80" s="1"/>
  <c r="L79" i="80"/>
  <c r="K79" i="80"/>
  <c r="H79" i="80"/>
  <c r="L78" i="80"/>
  <c r="H78" i="80"/>
  <c r="K78" i="80" s="1"/>
  <c r="L77" i="80"/>
  <c r="K77" i="80"/>
  <c r="H77" i="80"/>
  <c r="L76" i="80"/>
  <c r="H76" i="80"/>
  <c r="K76" i="80" s="1"/>
  <c r="L75" i="80"/>
  <c r="K75" i="80"/>
  <c r="H75" i="80"/>
  <c r="L74" i="80"/>
  <c r="H74" i="80"/>
  <c r="K74" i="80" s="1"/>
  <c r="L73" i="80"/>
  <c r="K73" i="80"/>
  <c r="H73" i="80"/>
  <c r="L72" i="80"/>
  <c r="H72" i="80"/>
  <c r="K72" i="80" s="1"/>
  <c r="L71" i="80"/>
  <c r="K71" i="80"/>
  <c r="H71" i="80"/>
  <c r="L70" i="80"/>
  <c r="H70" i="80"/>
  <c r="K70" i="80" s="1"/>
  <c r="L69" i="80"/>
  <c r="K69" i="80"/>
  <c r="H69" i="80"/>
  <c r="L68" i="80"/>
  <c r="H68" i="80"/>
  <c r="K68" i="80" s="1"/>
  <c r="L67" i="80"/>
  <c r="K67" i="80"/>
  <c r="H67" i="80"/>
  <c r="L66" i="80"/>
  <c r="H66" i="80"/>
  <c r="K66" i="80" s="1"/>
  <c r="L65" i="80"/>
  <c r="K65" i="80"/>
  <c r="H65" i="80"/>
  <c r="L64" i="80"/>
  <c r="H64" i="80"/>
  <c r="K64" i="80" s="1"/>
  <c r="L63" i="80"/>
  <c r="K63" i="80"/>
  <c r="H63" i="80"/>
  <c r="L62" i="80"/>
  <c r="H62" i="80"/>
  <c r="K62" i="80" s="1"/>
  <c r="L61" i="80"/>
  <c r="K61" i="80"/>
  <c r="H61" i="80"/>
  <c r="L60" i="80"/>
  <c r="H60" i="80"/>
  <c r="K60" i="80" s="1"/>
  <c r="L59" i="80"/>
  <c r="K59" i="80"/>
  <c r="H59" i="80"/>
  <c r="L58" i="80"/>
  <c r="H58" i="80"/>
  <c r="K58" i="80" s="1"/>
  <c r="L57" i="80"/>
  <c r="K57" i="80"/>
  <c r="H57" i="80"/>
  <c r="L56" i="80"/>
  <c r="H56" i="80"/>
  <c r="K56" i="80" s="1"/>
  <c r="L55" i="80"/>
  <c r="K55" i="80"/>
  <c r="H55" i="80"/>
  <c r="L54" i="80"/>
  <c r="H54" i="80"/>
  <c r="K54" i="80" s="1"/>
  <c r="L53" i="80"/>
  <c r="K53" i="80"/>
  <c r="H53" i="80"/>
  <c r="L52" i="80"/>
  <c r="H52" i="80"/>
  <c r="K52" i="80" s="1"/>
  <c r="L51" i="80"/>
  <c r="K51" i="80"/>
  <c r="H51" i="80"/>
  <c r="L50" i="80"/>
  <c r="H50" i="80"/>
  <c r="K50" i="80" s="1"/>
  <c r="L49" i="80"/>
  <c r="K49" i="80"/>
  <c r="H49" i="80"/>
  <c r="L48" i="80"/>
  <c r="H48" i="80"/>
  <c r="K48" i="80" s="1"/>
  <c r="L47" i="80"/>
  <c r="K47" i="80"/>
  <c r="H47" i="80"/>
  <c r="L46" i="80"/>
  <c r="H46" i="80"/>
  <c r="K46" i="80" s="1"/>
  <c r="L45" i="80"/>
  <c r="K45" i="80"/>
  <c r="H45" i="80"/>
  <c r="L44" i="80"/>
  <c r="H44" i="80"/>
  <c r="K44" i="80" s="1"/>
  <c r="L43" i="80"/>
  <c r="K43" i="80"/>
  <c r="H43" i="80"/>
  <c r="L42" i="80"/>
  <c r="H42" i="80"/>
  <c r="K42" i="80" s="1"/>
  <c r="L41" i="80"/>
  <c r="K41" i="80"/>
  <c r="H41" i="80"/>
  <c r="L40" i="80"/>
  <c r="H40" i="80"/>
  <c r="K40" i="80" s="1"/>
  <c r="L39" i="80"/>
  <c r="K39" i="80"/>
  <c r="H39" i="80"/>
  <c r="L38" i="80"/>
  <c r="H38" i="80"/>
  <c r="K38" i="80" s="1"/>
  <c r="L37" i="80"/>
  <c r="K37" i="80"/>
  <c r="H37" i="80"/>
  <c r="L36" i="80"/>
  <c r="H36" i="80"/>
  <c r="K36" i="80" s="1"/>
  <c r="L35" i="80"/>
  <c r="K35" i="80"/>
  <c r="H35" i="80"/>
  <c r="L34" i="80"/>
  <c r="H34" i="80"/>
  <c r="K34" i="80" s="1"/>
  <c r="L33" i="80"/>
  <c r="K33" i="80"/>
  <c r="H33" i="80"/>
  <c r="L32" i="80"/>
  <c r="H32" i="80"/>
  <c r="K32" i="80" s="1"/>
  <c r="L31" i="80"/>
  <c r="K31" i="80"/>
  <c r="H31" i="80"/>
  <c r="L30" i="80"/>
  <c r="H30" i="80"/>
  <c r="K30" i="80" s="1"/>
  <c r="L29" i="80"/>
  <c r="K29" i="80"/>
  <c r="H29" i="80"/>
  <c r="L28" i="80"/>
  <c r="H28" i="80"/>
  <c r="K28" i="80" s="1"/>
  <c r="L27" i="80"/>
  <c r="K27" i="80"/>
  <c r="H27" i="80"/>
  <c r="L26" i="80"/>
  <c r="H26" i="80"/>
  <c r="K26" i="80" s="1"/>
  <c r="L25" i="80"/>
  <c r="K25" i="80"/>
  <c r="H25" i="80"/>
  <c r="L24" i="80"/>
  <c r="H24" i="80"/>
  <c r="K24" i="80" s="1"/>
  <c r="L23" i="80"/>
  <c r="K23" i="80"/>
  <c r="H23" i="80"/>
  <c r="L22" i="80"/>
  <c r="H22" i="80"/>
  <c r="K22" i="80" s="1"/>
  <c r="L21" i="80"/>
  <c r="K21" i="80"/>
  <c r="H21" i="80"/>
  <c r="L20" i="80"/>
  <c r="H20" i="80"/>
  <c r="K20" i="80" s="1"/>
  <c r="L19" i="80"/>
  <c r="K19" i="80"/>
  <c r="H19" i="80"/>
  <c r="L18" i="80"/>
  <c r="H18" i="80"/>
  <c r="K18" i="80" s="1"/>
  <c r="L17" i="80"/>
  <c r="K17" i="80"/>
  <c r="H17" i="80"/>
  <c r="L16" i="80"/>
  <c r="H16" i="80"/>
  <c r="K16" i="80" s="1"/>
  <c r="L15" i="80"/>
  <c r="K15" i="80"/>
  <c r="H15" i="80"/>
  <c r="L14" i="80"/>
  <c r="H14" i="80"/>
  <c r="K14" i="80" s="1"/>
  <c r="L13" i="80"/>
  <c r="K13" i="80"/>
  <c r="H13" i="80"/>
  <c r="L12" i="80"/>
  <c r="H12" i="80"/>
  <c r="K12" i="80" s="1"/>
  <c r="L11" i="80"/>
  <c r="K11" i="80"/>
  <c r="H11" i="80"/>
  <c r="L10" i="80"/>
  <c r="H10" i="80"/>
  <c r="K10" i="80" s="1"/>
  <c r="L9" i="80"/>
  <c r="K9" i="80"/>
  <c r="H9" i="80"/>
  <c r="L8" i="80"/>
  <c r="H8" i="80"/>
  <c r="K8" i="80" s="1"/>
  <c r="H7" i="80"/>
  <c r="L6" i="80"/>
  <c r="H6" i="80"/>
  <c r="K6" i="80" s="1"/>
  <c r="J3" i="80"/>
  <c r="I3" i="80"/>
  <c r="E3" i="80"/>
  <c r="I122" i="79"/>
  <c r="I123" i="79"/>
  <c r="I124" i="79"/>
  <c r="I125" i="79"/>
  <c r="I126" i="79"/>
  <c r="I127" i="79"/>
  <c r="H120" i="79"/>
  <c r="H121" i="79"/>
  <c r="F139" i="79"/>
  <c r="G139" i="79"/>
  <c r="J139" i="79"/>
  <c r="E139" i="79"/>
  <c r="I116" i="79"/>
  <c r="I117" i="79"/>
  <c r="I118" i="79"/>
  <c r="I119" i="79"/>
  <c r="I46" i="79"/>
  <c r="I47" i="79"/>
  <c r="I48" i="79"/>
  <c r="I49" i="79"/>
  <c r="I50" i="79"/>
  <c r="I51" i="79"/>
  <c r="I52" i="79"/>
  <c r="I53" i="79"/>
  <c r="I54" i="79"/>
  <c r="I55" i="79"/>
  <c r="I56" i="79"/>
  <c r="I57" i="79"/>
  <c r="I58" i="79"/>
  <c r="I59" i="79"/>
  <c r="I60" i="79"/>
  <c r="I61" i="79"/>
  <c r="I62" i="79"/>
  <c r="I63" i="79"/>
  <c r="I64" i="79"/>
  <c r="I65" i="79"/>
  <c r="I66" i="79"/>
  <c r="I67" i="79"/>
  <c r="I68" i="79"/>
  <c r="I69" i="79"/>
  <c r="I70" i="79"/>
  <c r="I71" i="79"/>
  <c r="I72" i="79"/>
  <c r="I73" i="79"/>
  <c r="I74" i="79"/>
  <c r="I75" i="79"/>
  <c r="I76" i="79"/>
  <c r="I77" i="79"/>
  <c r="I78" i="79"/>
  <c r="I79" i="79"/>
  <c r="I80" i="79"/>
  <c r="I81" i="79"/>
  <c r="I82" i="79"/>
  <c r="I83" i="79"/>
  <c r="I84" i="79"/>
  <c r="I85" i="79"/>
  <c r="I86" i="79"/>
  <c r="I87" i="79"/>
  <c r="I88" i="79"/>
  <c r="I89" i="79"/>
  <c r="I90" i="79"/>
  <c r="I91" i="79"/>
  <c r="I92" i="79"/>
  <c r="I93" i="79"/>
  <c r="I94" i="79"/>
  <c r="I95" i="79"/>
  <c r="I96" i="79"/>
  <c r="I97" i="79"/>
  <c r="I98" i="79"/>
  <c r="I99" i="79"/>
  <c r="I100" i="79"/>
  <c r="I101" i="79"/>
  <c r="I102" i="79"/>
  <c r="I103" i="79"/>
  <c r="I104" i="79"/>
  <c r="I105" i="79"/>
  <c r="I106" i="79"/>
  <c r="I107" i="79"/>
  <c r="I108" i="79"/>
  <c r="I109" i="79"/>
  <c r="I110" i="79"/>
  <c r="I111" i="79"/>
  <c r="I112" i="79"/>
  <c r="I113" i="79"/>
  <c r="I114" i="79"/>
  <c r="I115" i="79"/>
  <c r="H43" i="79"/>
  <c r="H44" i="79"/>
  <c r="H45" i="79"/>
  <c r="L124" i="83" l="1"/>
  <c r="H3" i="82"/>
  <c r="K124" i="83"/>
  <c r="I124" i="83"/>
  <c r="I3" i="83" s="1"/>
  <c r="F21" i="81"/>
  <c r="K1396" i="80"/>
  <c r="H1396" i="80"/>
  <c r="H3" i="80" s="1"/>
  <c r="L1396" i="80"/>
  <c r="I42" i="79"/>
  <c r="K3" i="83" l="1"/>
  <c r="K3" i="82"/>
  <c r="K1403" i="80"/>
  <c r="K3" i="80"/>
  <c r="H39" i="79"/>
  <c r="H40" i="79"/>
  <c r="H37" i="79" l="1"/>
  <c r="H38" i="79"/>
  <c r="I33" i="79"/>
  <c r="I34" i="79"/>
  <c r="I35" i="79"/>
  <c r="I36" i="79"/>
  <c r="I29" i="79"/>
  <c r="I30" i="79"/>
  <c r="I31" i="79"/>
  <c r="I32" i="79"/>
  <c r="L7" i="79"/>
  <c r="I16" i="79"/>
  <c r="I17" i="79"/>
  <c r="I18" i="79"/>
  <c r="I19" i="79"/>
  <c r="I20" i="79"/>
  <c r="I21" i="79"/>
  <c r="I22" i="79"/>
  <c r="I23" i="79"/>
  <c r="I24" i="79"/>
  <c r="I25" i="79"/>
  <c r="I26" i="79"/>
  <c r="I27" i="79"/>
  <c r="I28" i="79"/>
  <c r="H9" i="79" l="1"/>
  <c r="H10" i="79"/>
  <c r="K12" i="79"/>
  <c r="K10" i="79"/>
  <c r="K14" i="79"/>
  <c r="I11" i="79"/>
  <c r="I12" i="79"/>
  <c r="I13" i="79"/>
  <c r="I14" i="79"/>
  <c r="I15" i="79"/>
  <c r="H6" i="79"/>
  <c r="H7" i="79"/>
  <c r="H8" i="79"/>
  <c r="K8" i="79"/>
  <c r="L8" i="79"/>
  <c r="K9" i="79"/>
  <c r="L9" i="79"/>
  <c r="L10" i="79"/>
  <c r="K11" i="79"/>
  <c r="L11" i="79"/>
  <c r="L12" i="79"/>
  <c r="K13" i="79"/>
  <c r="L13" i="79"/>
  <c r="L14" i="79"/>
  <c r="K15" i="79"/>
  <c r="L15" i="79"/>
  <c r="K16" i="79"/>
  <c r="L16" i="79"/>
  <c r="K17" i="79"/>
  <c r="L17" i="79"/>
  <c r="K18" i="79"/>
  <c r="L18" i="79"/>
  <c r="K19" i="79"/>
  <c r="L19" i="79"/>
  <c r="K20" i="79"/>
  <c r="L20" i="79"/>
  <c r="K21" i="79"/>
  <c r="L21" i="79"/>
  <c r="K22" i="79"/>
  <c r="L22" i="79"/>
  <c r="K23" i="79"/>
  <c r="L23" i="79"/>
  <c r="K24" i="79"/>
  <c r="L24" i="79"/>
  <c r="K25" i="79"/>
  <c r="L25" i="79"/>
  <c r="K26" i="79"/>
  <c r="L26" i="79"/>
  <c r="K27" i="79"/>
  <c r="L27" i="79"/>
  <c r="K28" i="79"/>
  <c r="L28" i="79"/>
  <c r="K29" i="79"/>
  <c r="L29" i="79"/>
  <c r="K30" i="79"/>
  <c r="L30" i="79"/>
  <c r="K31" i="79"/>
  <c r="L31" i="79"/>
  <c r="K32" i="79"/>
  <c r="L32" i="79"/>
  <c r="K33" i="79"/>
  <c r="L33" i="79"/>
  <c r="K34" i="79"/>
  <c r="L34" i="79"/>
  <c r="K35" i="79"/>
  <c r="L35" i="79"/>
  <c r="K36" i="79"/>
  <c r="L36" i="79"/>
  <c r="K37" i="79"/>
  <c r="L37" i="79"/>
  <c r="K38" i="79"/>
  <c r="L38" i="79"/>
  <c r="K39" i="79"/>
  <c r="L39" i="79"/>
  <c r="K40" i="79"/>
  <c r="L40" i="79"/>
  <c r="K41" i="79"/>
  <c r="L41" i="79"/>
  <c r="K42" i="79"/>
  <c r="L42" i="79"/>
  <c r="K43" i="79"/>
  <c r="L43" i="79"/>
  <c r="K44" i="79"/>
  <c r="L44" i="79"/>
  <c r="K45" i="79"/>
  <c r="L45" i="79"/>
  <c r="K46" i="79"/>
  <c r="L46" i="79"/>
  <c r="K47" i="79"/>
  <c r="L47" i="79"/>
  <c r="K48" i="79"/>
  <c r="L48" i="79"/>
  <c r="K49" i="79"/>
  <c r="L49" i="79"/>
  <c r="K50" i="79"/>
  <c r="L50" i="79"/>
  <c r="K51" i="79"/>
  <c r="L51" i="79"/>
  <c r="K52" i="79"/>
  <c r="L52" i="79"/>
  <c r="K53" i="79"/>
  <c r="L53" i="79"/>
  <c r="K54" i="79"/>
  <c r="L54" i="79"/>
  <c r="K55" i="79"/>
  <c r="L55" i="79"/>
  <c r="K56" i="79"/>
  <c r="L56" i="79"/>
  <c r="K57" i="79"/>
  <c r="L57" i="79"/>
  <c r="K58" i="79"/>
  <c r="L58" i="79"/>
  <c r="K59" i="79"/>
  <c r="L59" i="79"/>
  <c r="K60" i="79"/>
  <c r="L60" i="79"/>
  <c r="K61" i="79"/>
  <c r="L61" i="79"/>
  <c r="K62" i="79"/>
  <c r="L62" i="79"/>
  <c r="K63" i="79"/>
  <c r="L63" i="79"/>
  <c r="K64" i="79"/>
  <c r="L64" i="79"/>
  <c r="K65" i="79"/>
  <c r="L65" i="79"/>
  <c r="K66" i="79"/>
  <c r="L66" i="79"/>
  <c r="K67" i="79"/>
  <c r="L67" i="79"/>
  <c r="K68" i="79"/>
  <c r="L68" i="79"/>
  <c r="K69" i="79"/>
  <c r="L69" i="79"/>
  <c r="K70" i="79"/>
  <c r="L70" i="79"/>
  <c r="K71" i="79"/>
  <c r="L71" i="79"/>
  <c r="K72" i="79"/>
  <c r="L72" i="79"/>
  <c r="K73" i="79"/>
  <c r="L73" i="79"/>
  <c r="K74" i="79"/>
  <c r="L74" i="79"/>
  <c r="K75" i="79"/>
  <c r="L75" i="79"/>
  <c r="K76" i="79"/>
  <c r="L76" i="79"/>
  <c r="K77" i="79"/>
  <c r="L77" i="79"/>
  <c r="K78" i="79"/>
  <c r="L78" i="79"/>
  <c r="K79" i="79"/>
  <c r="L79" i="79"/>
  <c r="K80" i="79"/>
  <c r="L80" i="79"/>
  <c r="K81" i="79"/>
  <c r="L81" i="79"/>
  <c r="K82" i="79"/>
  <c r="L82" i="79"/>
  <c r="K83" i="79"/>
  <c r="L83" i="79"/>
  <c r="K84" i="79"/>
  <c r="L84" i="79"/>
  <c r="K85" i="79"/>
  <c r="L85" i="79"/>
  <c r="K86" i="79"/>
  <c r="L86" i="79"/>
  <c r="K87" i="79"/>
  <c r="L87" i="79"/>
  <c r="K88" i="79"/>
  <c r="L88" i="79"/>
  <c r="K89" i="79"/>
  <c r="L89" i="79"/>
  <c r="K90" i="79"/>
  <c r="L90" i="79"/>
  <c r="K91" i="79"/>
  <c r="L91" i="79"/>
  <c r="K92" i="79"/>
  <c r="L92" i="79"/>
  <c r="K93" i="79"/>
  <c r="L93" i="79"/>
  <c r="K94" i="79"/>
  <c r="L94" i="79"/>
  <c r="K95" i="79"/>
  <c r="L95" i="79"/>
  <c r="K96" i="79"/>
  <c r="L96" i="79"/>
  <c r="K97" i="79"/>
  <c r="L97" i="79"/>
  <c r="K98" i="79"/>
  <c r="L98" i="79"/>
  <c r="K99" i="79"/>
  <c r="L99" i="79"/>
  <c r="K100" i="79"/>
  <c r="L100" i="79"/>
  <c r="K101" i="79"/>
  <c r="L101" i="79"/>
  <c r="K102" i="79"/>
  <c r="L102" i="79"/>
  <c r="K103" i="79"/>
  <c r="L103" i="79"/>
  <c r="K104" i="79"/>
  <c r="L104" i="79"/>
  <c r="K105" i="79"/>
  <c r="L105" i="79"/>
  <c r="K106" i="79"/>
  <c r="L106" i="79"/>
  <c r="K107" i="79"/>
  <c r="L107" i="79"/>
  <c r="K108" i="79"/>
  <c r="L108" i="79"/>
  <c r="K109" i="79"/>
  <c r="L109" i="79"/>
  <c r="K110" i="79"/>
  <c r="L110" i="79"/>
  <c r="K111" i="79"/>
  <c r="L111" i="79"/>
  <c r="K112" i="79"/>
  <c r="L112" i="79"/>
  <c r="K113" i="79"/>
  <c r="L113" i="79"/>
  <c r="K114" i="79"/>
  <c r="L114" i="79"/>
  <c r="K115" i="79"/>
  <c r="L115" i="79"/>
  <c r="L116" i="79"/>
  <c r="L117" i="79"/>
  <c r="L118" i="79"/>
  <c r="L119" i="79"/>
  <c r="L120" i="79"/>
  <c r="L121" i="79"/>
  <c r="L122" i="79"/>
  <c r="L123" i="79"/>
  <c r="L124" i="79"/>
  <c r="L125" i="79"/>
  <c r="L126" i="79"/>
  <c r="L127" i="79"/>
  <c r="H128" i="79"/>
  <c r="H139" i="79" s="1"/>
  <c r="I128" i="79"/>
  <c r="L128" i="79"/>
  <c r="H129" i="79"/>
  <c r="I129" i="79"/>
  <c r="L129" i="79"/>
  <c r="H130" i="79"/>
  <c r="I130" i="79"/>
  <c r="L130" i="79"/>
  <c r="H131" i="79"/>
  <c r="I131" i="79"/>
  <c r="L131" i="79"/>
  <c r="H132" i="79"/>
  <c r="I132" i="79"/>
  <c r="L132" i="79"/>
  <c r="H133" i="79"/>
  <c r="I133" i="79"/>
  <c r="L133" i="79"/>
  <c r="H134" i="79"/>
  <c r="I134" i="79"/>
  <c r="L134" i="79"/>
  <c r="H135" i="79"/>
  <c r="I135" i="79"/>
  <c r="K135" i="79"/>
  <c r="L135" i="79"/>
  <c r="H136" i="79"/>
  <c r="I136" i="79"/>
  <c r="K136" i="79"/>
  <c r="L136" i="79"/>
  <c r="H137" i="79"/>
  <c r="I137" i="79"/>
  <c r="K137" i="79"/>
  <c r="L137" i="79"/>
  <c r="H138" i="79"/>
  <c r="I138" i="79"/>
  <c r="K138" i="79"/>
  <c r="L138" i="79"/>
  <c r="J3" i="79"/>
  <c r="E3" i="79"/>
  <c r="L6" i="79"/>
  <c r="I139" i="79" l="1"/>
  <c r="I3" i="79" s="1"/>
  <c r="L139" i="79"/>
  <c r="K132" i="79"/>
  <c r="K128" i="79"/>
  <c r="K124" i="79"/>
  <c r="K120" i="79"/>
  <c r="K116" i="79"/>
  <c r="K133" i="79"/>
  <c r="K129" i="79"/>
  <c r="K125" i="79"/>
  <c r="K121" i="79"/>
  <c r="K117" i="79"/>
  <c r="K134" i="79"/>
  <c r="K130" i="79"/>
  <c r="K126" i="79"/>
  <c r="K122" i="79"/>
  <c r="K118" i="79"/>
  <c r="K131" i="79"/>
  <c r="K127" i="79"/>
  <c r="K123" i="79"/>
  <c r="K119" i="79"/>
  <c r="K7" i="79"/>
  <c r="H3" i="79"/>
  <c r="K6" i="79"/>
  <c r="K146" i="78"/>
  <c r="K139" i="79" l="1"/>
  <c r="K144" i="79" s="1"/>
  <c r="L128" i="78"/>
  <c r="L129" i="78"/>
  <c r="L130" i="78"/>
  <c r="L131" i="78"/>
  <c r="L132" i="78"/>
  <c r="L133" i="78"/>
  <c r="L134" i="78"/>
  <c r="L135" i="78"/>
  <c r="L136" i="78"/>
  <c r="L137" i="78"/>
  <c r="L138" i="78"/>
  <c r="L139" i="78"/>
  <c r="I127" i="78"/>
  <c r="K127" i="78" s="1"/>
  <c r="I128" i="78"/>
  <c r="K128" i="78" s="1"/>
  <c r="I129" i="78"/>
  <c r="K129" i="78" s="1"/>
  <c r="I130" i="78"/>
  <c r="K130" i="78" s="1"/>
  <c r="I131" i="78"/>
  <c r="K131" i="78" s="1"/>
  <c r="I132" i="78"/>
  <c r="K132" i="78" s="1"/>
  <c r="I133" i="78"/>
  <c r="K133" i="78" s="1"/>
  <c r="I134" i="78"/>
  <c r="K134" i="78" s="1"/>
  <c r="I135" i="78"/>
  <c r="K135" i="78" s="1"/>
  <c r="I136" i="78"/>
  <c r="K136" i="78" s="1"/>
  <c r="I137" i="78"/>
  <c r="K137" i="78" s="1"/>
  <c r="K138" i="78"/>
  <c r="I115" i="78"/>
  <c r="I116" i="78"/>
  <c r="I118" i="78"/>
  <c r="I119" i="78"/>
  <c r="I104" i="78"/>
  <c r="I105" i="78"/>
  <c r="I107" i="78"/>
  <c r="I108" i="78"/>
  <c r="I109" i="78"/>
  <c r="I110" i="78"/>
  <c r="I111" i="78"/>
  <c r="I112" i="78"/>
  <c r="I113" i="78"/>
  <c r="I114" i="78"/>
  <c r="L87" i="78"/>
  <c r="L77" i="78"/>
  <c r="K87" i="78"/>
  <c r="I100" i="78"/>
  <c r="K3" i="79" l="1"/>
  <c r="I89" i="78"/>
  <c r="I90" i="78"/>
  <c r="I91" i="78"/>
  <c r="K91" i="78" s="1"/>
  <c r="I92" i="78"/>
  <c r="K92" i="78" s="1"/>
  <c r="I93" i="78"/>
  <c r="I94" i="78"/>
  <c r="I95" i="78"/>
  <c r="K95" i="78" s="1"/>
  <c r="I96" i="78"/>
  <c r="K96" i="78" s="1"/>
  <c r="I97" i="78"/>
  <c r="I98" i="78"/>
  <c r="I99" i="78"/>
  <c r="K99" i="78" s="1"/>
  <c r="I57" i="78"/>
  <c r="K57" i="78" s="1"/>
  <c r="I58" i="78"/>
  <c r="I59" i="78"/>
  <c r="I60" i="78"/>
  <c r="K60" i="78" s="1"/>
  <c r="I61" i="78"/>
  <c r="K61" i="78" s="1"/>
  <c r="I62" i="78"/>
  <c r="I63" i="78"/>
  <c r="I64" i="78"/>
  <c r="K64" i="78" s="1"/>
  <c r="I65" i="78"/>
  <c r="I66" i="78"/>
  <c r="I67" i="78"/>
  <c r="I68" i="78"/>
  <c r="K68" i="78" s="1"/>
  <c r="I69" i="78"/>
  <c r="K69" i="78" s="1"/>
  <c r="I70" i="78"/>
  <c r="I71" i="78"/>
  <c r="I72" i="78"/>
  <c r="K72" i="78" s="1"/>
  <c r="I73" i="78"/>
  <c r="I74" i="78"/>
  <c r="I75" i="78"/>
  <c r="I76" i="78"/>
  <c r="K76" i="78" s="1"/>
  <c r="I77" i="78"/>
  <c r="I78" i="78"/>
  <c r="I79" i="78"/>
  <c r="I80" i="78"/>
  <c r="I81" i="78"/>
  <c r="I82" i="78"/>
  <c r="I83" i="78"/>
  <c r="I84" i="78"/>
  <c r="I85" i="78"/>
  <c r="K85" i="78" s="1"/>
  <c r="I86" i="78"/>
  <c r="K102" i="78"/>
  <c r="K104" i="78"/>
  <c r="K105" i="78"/>
  <c r="K112" i="78"/>
  <c r="K116" i="78"/>
  <c r="E140" i="78"/>
  <c r="E3" i="78" s="1"/>
  <c r="L85" i="78"/>
  <c r="K86" i="78"/>
  <c r="L86" i="78"/>
  <c r="K88" i="78"/>
  <c r="L88" i="78"/>
  <c r="K89" i="78"/>
  <c r="L89" i="78"/>
  <c r="K90" i="78"/>
  <c r="L90" i="78"/>
  <c r="L91" i="78"/>
  <c r="L92" i="78"/>
  <c r="K93" i="78"/>
  <c r="L93" i="78"/>
  <c r="K94" i="78"/>
  <c r="L94" i="78"/>
  <c r="L95" i="78"/>
  <c r="L96" i="78"/>
  <c r="K97" i="78"/>
  <c r="L97" i="78"/>
  <c r="K98" i="78"/>
  <c r="L98" i="78"/>
  <c r="L99" i="78"/>
  <c r="K100" i="78"/>
  <c r="L100" i="78"/>
  <c r="K101" i="78"/>
  <c r="L101" i="78"/>
  <c r="L102" i="78"/>
  <c r="K103" i="78"/>
  <c r="L103" i="78"/>
  <c r="L104" i="78"/>
  <c r="L105" i="78"/>
  <c r="K106" i="78"/>
  <c r="L106" i="78"/>
  <c r="K107" i="78"/>
  <c r="L107" i="78"/>
  <c r="K108" i="78"/>
  <c r="L108" i="78"/>
  <c r="K109" i="78"/>
  <c r="L109" i="78"/>
  <c r="K110" i="78"/>
  <c r="L110" i="78"/>
  <c r="K111" i="78"/>
  <c r="L111" i="78"/>
  <c r="L112" i="78"/>
  <c r="K113" i="78"/>
  <c r="L113" i="78"/>
  <c r="K114" i="78"/>
  <c r="L114" i="78"/>
  <c r="K115" i="78"/>
  <c r="L115" i="78"/>
  <c r="L116" i="78"/>
  <c r="K117" i="78"/>
  <c r="L117" i="78"/>
  <c r="K118" i="78"/>
  <c r="L118" i="78"/>
  <c r="K119" i="78"/>
  <c r="L119" i="78"/>
  <c r="K120" i="78"/>
  <c r="L120" i="78"/>
  <c r="K121" i="78"/>
  <c r="L121" i="78"/>
  <c r="K122" i="78"/>
  <c r="L122" i="78"/>
  <c r="K123" i="78"/>
  <c r="L123" i="78"/>
  <c r="K124" i="78"/>
  <c r="L124" i="78"/>
  <c r="K125" i="78"/>
  <c r="L125" i="78"/>
  <c r="K126" i="78"/>
  <c r="L126" i="78"/>
  <c r="L127" i="78"/>
  <c r="K139" i="78"/>
  <c r="I34" i="78"/>
  <c r="I35" i="78"/>
  <c r="K35" i="78" s="1"/>
  <c r="I36" i="78"/>
  <c r="K36" i="78" s="1"/>
  <c r="I37" i="78"/>
  <c r="K37" i="78" s="1"/>
  <c r="I38" i="78"/>
  <c r="K38" i="78" s="1"/>
  <c r="I39" i="78"/>
  <c r="K39" i="78" s="1"/>
  <c r="I40" i="78"/>
  <c r="K40" i="78" s="1"/>
  <c r="I41" i="78"/>
  <c r="K41" i="78" s="1"/>
  <c r="I42" i="78"/>
  <c r="K42" i="78" s="1"/>
  <c r="I43" i="78"/>
  <c r="K43" i="78" s="1"/>
  <c r="I44" i="78"/>
  <c r="K44" i="78" s="1"/>
  <c r="I45" i="78"/>
  <c r="I46" i="78"/>
  <c r="K46" i="78" s="1"/>
  <c r="I47" i="78"/>
  <c r="K47" i="78" s="1"/>
  <c r="I48" i="78"/>
  <c r="K48" i="78" s="1"/>
  <c r="I49" i="78"/>
  <c r="K49" i="78" s="1"/>
  <c r="I50" i="78"/>
  <c r="I51" i="78"/>
  <c r="K51" i="78" s="1"/>
  <c r="I52" i="78"/>
  <c r="K52" i="78" s="1"/>
  <c r="I53" i="78"/>
  <c r="K53" i="78" s="1"/>
  <c r="I54" i="78"/>
  <c r="I55" i="78"/>
  <c r="K55" i="78" s="1"/>
  <c r="I56" i="78"/>
  <c r="K56" i="78" s="1"/>
  <c r="I28" i="78"/>
  <c r="K28" i="78" s="1"/>
  <c r="I29" i="78"/>
  <c r="I30" i="78"/>
  <c r="I31" i="78"/>
  <c r="K31" i="78" s="1"/>
  <c r="I32" i="78"/>
  <c r="K32" i="78" s="1"/>
  <c r="I33" i="78"/>
  <c r="I16" i="78"/>
  <c r="K16" i="78" s="1"/>
  <c r="I17" i="78"/>
  <c r="K17" i="78" s="1"/>
  <c r="I18" i="78"/>
  <c r="I19" i="78"/>
  <c r="I20" i="78"/>
  <c r="K20" i="78" s="1"/>
  <c r="I21" i="78"/>
  <c r="I22" i="78"/>
  <c r="K22" i="78" s="1"/>
  <c r="I23" i="78"/>
  <c r="K23" i="78" s="1"/>
  <c r="I24" i="78"/>
  <c r="K24" i="78" s="1"/>
  <c r="I25" i="78"/>
  <c r="I26" i="78"/>
  <c r="K26" i="78" s="1"/>
  <c r="I27" i="78"/>
  <c r="K27" i="78" s="1"/>
  <c r="I13" i="78"/>
  <c r="K13" i="78" s="1"/>
  <c r="I14" i="78"/>
  <c r="I15" i="78"/>
  <c r="K15" i="78" s="1"/>
  <c r="K19" i="78"/>
  <c r="K62" i="78"/>
  <c r="K67" i="78"/>
  <c r="K71" i="78"/>
  <c r="H7" i="78"/>
  <c r="H8" i="78"/>
  <c r="K8" i="78" s="1"/>
  <c r="H9" i="78"/>
  <c r="H10" i="78"/>
  <c r="K10" i="78" s="1"/>
  <c r="K34" i="78"/>
  <c r="K58" i="78"/>
  <c r="K83" i="78"/>
  <c r="J140" i="78"/>
  <c r="J3" i="78" s="1"/>
  <c r="G140" i="78"/>
  <c r="F140" i="78"/>
  <c r="L84" i="78"/>
  <c r="L83" i="78"/>
  <c r="L82" i="78"/>
  <c r="L81" i="78"/>
  <c r="L80" i="78"/>
  <c r="L79" i="78"/>
  <c r="K79" i="78"/>
  <c r="L78" i="78"/>
  <c r="L76" i="78"/>
  <c r="L75" i="78"/>
  <c r="K75" i="78"/>
  <c r="L74" i="78"/>
  <c r="L73" i="78"/>
  <c r="L72" i="78"/>
  <c r="L71" i="78"/>
  <c r="L70" i="78"/>
  <c r="K70" i="78"/>
  <c r="L69" i="78"/>
  <c r="L68" i="78"/>
  <c r="L67" i="78"/>
  <c r="L66" i="78"/>
  <c r="K66" i="78"/>
  <c r="L65" i="78"/>
  <c r="L64" i="78"/>
  <c r="L63" i="78"/>
  <c r="K63" i="78"/>
  <c r="L62" i="78"/>
  <c r="L61" i="78"/>
  <c r="L60" i="78"/>
  <c r="L59" i="78"/>
  <c r="K59" i="78"/>
  <c r="L58" i="78"/>
  <c r="L57" i="78"/>
  <c r="L56" i="78"/>
  <c r="L55" i="78"/>
  <c r="L54" i="78"/>
  <c r="L53" i="78"/>
  <c r="L52" i="78"/>
  <c r="L51" i="78"/>
  <c r="L50" i="78"/>
  <c r="L49" i="78"/>
  <c r="L48" i="78"/>
  <c r="L47" i="78"/>
  <c r="L46" i="78"/>
  <c r="L45" i="78"/>
  <c r="L44" i="78"/>
  <c r="L43" i="78"/>
  <c r="L42" i="78"/>
  <c r="L41" i="78"/>
  <c r="L40" i="78"/>
  <c r="L39" i="78"/>
  <c r="L38" i="78"/>
  <c r="L37" i="78"/>
  <c r="L36" i="78"/>
  <c r="L35" i="78"/>
  <c r="L34" i="78"/>
  <c r="L33" i="78"/>
  <c r="L32" i="78"/>
  <c r="L31" i="78"/>
  <c r="L30" i="78"/>
  <c r="L29" i="78"/>
  <c r="L28" i="78"/>
  <c r="L27" i="78"/>
  <c r="L26" i="78"/>
  <c r="L25" i="78"/>
  <c r="L24" i="78"/>
  <c r="L23" i="78"/>
  <c r="L22" i="78"/>
  <c r="L21" i="78"/>
  <c r="L20" i="78"/>
  <c r="L19" i="78"/>
  <c r="L18" i="78"/>
  <c r="L17" i="78"/>
  <c r="L16" i="78"/>
  <c r="L15" i="78"/>
  <c r="L14" i="78"/>
  <c r="L13" i="78"/>
  <c r="L12" i="78"/>
  <c r="L11" i="78"/>
  <c r="K11" i="78"/>
  <c r="L10" i="78"/>
  <c r="L9" i="78"/>
  <c r="L8" i="78"/>
  <c r="L7" i="78"/>
  <c r="L6" i="78"/>
  <c r="H6" i="78"/>
  <c r="H10" i="69"/>
  <c r="I12" i="69"/>
  <c r="H6" i="69"/>
  <c r="H66" i="69"/>
  <c r="I84" i="69"/>
  <c r="I88" i="69"/>
  <c r="K92" i="69"/>
  <c r="J3" i="69"/>
  <c r="K6" i="69"/>
  <c r="L6" i="69"/>
  <c r="L88" i="69" s="1"/>
  <c r="H7" i="69"/>
  <c r="K7" i="69"/>
  <c r="L7" i="69"/>
  <c r="H8" i="69"/>
  <c r="K8" i="69" s="1"/>
  <c r="L8" i="69"/>
  <c r="H9" i="69"/>
  <c r="K9" i="69"/>
  <c r="L9" i="69"/>
  <c r="K10" i="69"/>
  <c r="L10" i="69"/>
  <c r="H11" i="69"/>
  <c r="K11" i="69"/>
  <c r="L11" i="69"/>
  <c r="K12" i="69"/>
  <c r="L12" i="69"/>
  <c r="I13" i="69"/>
  <c r="K13" i="69"/>
  <c r="L13" i="69"/>
  <c r="I14" i="69"/>
  <c r="K14" i="69"/>
  <c r="L14" i="69"/>
  <c r="I15" i="69"/>
  <c r="K15" i="69"/>
  <c r="L15" i="69"/>
  <c r="I16" i="69"/>
  <c r="K16" i="69" s="1"/>
  <c r="L16" i="69"/>
  <c r="I17" i="69"/>
  <c r="K17" i="69"/>
  <c r="L17" i="69"/>
  <c r="I18" i="69"/>
  <c r="K18" i="69"/>
  <c r="L18" i="69"/>
  <c r="I19" i="69"/>
  <c r="K19" i="69"/>
  <c r="L19" i="69"/>
  <c r="I20" i="69"/>
  <c r="K20" i="69" s="1"/>
  <c r="L20" i="69"/>
  <c r="I21" i="69"/>
  <c r="K21" i="69"/>
  <c r="L21" i="69"/>
  <c r="I22" i="69"/>
  <c r="K22" i="69"/>
  <c r="L22" i="69"/>
  <c r="I23" i="69"/>
  <c r="K23" i="69"/>
  <c r="L23" i="69"/>
  <c r="I24" i="69"/>
  <c r="K24" i="69" s="1"/>
  <c r="L24" i="69"/>
  <c r="I25" i="69"/>
  <c r="K25" i="69"/>
  <c r="L25" i="69"/>
  <c r="H26" i="69"/>
  <c r="K26" i="69"/>
  <c r="L26" i="69"/>
  <c r="I27" i="69"/>
  <c r="K27" i="69"/>
  <c r="L27" i="69"/>
  <c r="I28" i="69"/>
  <c r="K28" i="69" s="1"/>
  <c r="L28" i="69"/>
  <c r="I29" i="69"/>
  <c r="K29" i="69"/>
  <c r="L29" i="69"/>
  <c r="I30" i="69"/>
  <c r="K30" i="69"/>
  <c r="L30" i="69"/>
  <c r="I31" i="69"/>
  <c r="K31" i="69"/>
  <c r="L31" i="69"/>
  <c r="I32" i="69"/>
  <c r="K32" i="69" s="1"/>
  <c r="L32" i="69"/>
  <c r="I33" i="69"/>
  <c r="K33" i="69"/>
  <c r="L33" i="69"/>
  <c r="K34" i="69"/>
  <c r="L34" i="69"/>
  <c r="H35" i="69"/>
  <c r="K35" i="69" s="1"/>
  <c r="L35" i="69"/>
  <c r="H36" i="69"/>
  <c r="K36" i="69"/>
  <c r="L36" i="69"/>
  <c r="H37" i="69"/>
  <c r="K37" i="69"/>
  <c r="L37" i="69"/>
  <c r="H38" i="69"/>
  <c r="K38" i="69"/>
  <c r="L38" i="69"/>
  <c r="H39" i="69"/>
  <c r="K39" i="69" s="1"/>
  <c r="L39" i="69"/>
  <c r="H40" i="69"/>
  <c r="K40" i="69"/>
  <c r="L40" i="69"/>
  <c r="H41" i="69"/>
  <c r="K41" i="69"/>
  <c r="L41" i="69"/>
  <c r="H42" i="69"/>
  <c r="K42" i="69"/>
  <c r="L42" i="69"/>
  <c r="H43" i="69"/>
  <c r="K43" i="69" s="1"/>
  <c r="L43" i="69"/>
  <c r="I44" i="69"/>
  <c r="K44" i="69"/>
  <c r="L44" i="69"/>
  <c r="I45" i="69"/>
  <c r="K45" i="69"/>
  <c r="L45" i="69"/>
  <c r="I46" i="69"/>
  <c r="K46" i="69"/>
  <c r="L46" i="69"/>
  <c r="I47" i="69"/>
  <c r="K47" i="69" s="1"/>
  <c r="L47" i="69"/>
  <c r="I48" i="69"/>
  <c r="K48" i="69"/>
  <c r="L48" i="69"/>
  <c r="I49" i="69"/>
  <c r="K49" i="69"/>
  <c r="L49" i="69"/>
  <c r="I50" i="69"/>
  <c r="K50" i="69"/>
  <c r="L50" i="69"/>
  <c r="I51" i="69"/>
  <c r="K51" i="69" s="1"/>
  <c r="L51" i="69"/>
  <c r="I52" i="69"/>
  <c r="K52" i="69"/>
  <c r="L52" i="69"/>
  <c r="I53" i="69"/>
  <c r="K53" i="69"/>
  <c r="L53" i="69"/>
  <c r="I54" i="69"/>
  <c r="K54" i="69"/>
  <c r="L54" i="69"/>
  <c r="I55" i="69"/>
  <c r="K55" i="69" s="1"/>
  <c r="L55" i="69"/>
  <c r="I56" i="69"/>
  <c r="K56" i="69"/>
  <c r="L56" i="69"/>
  <c r="I57" i="69"/>
  <c r="K57" i="69"/>
  <c r="L57" i="69"/>
  <c r="I58" i="69"/>
  <c r="K58" i="69"/>
  <c r="L58" i="69"/>
  <c r="I59" i="69"/>
  <c r="K59" i="69" s="1"/>
  <c r="L59" i="69"/>
  <c r="I60" i="69"/>
  <c r="K60" i="69"/>
  <c r="L60" i="69"/>
  <c r="I61" i="69"/>
  <c r="K61" i="69"/>
  <c r="L61" i="69"/>
  <c r="I62" i="69"/>
  <c r="K62" i="69"/>
  <c r="L62" i="69"/>
  <c r="I63" i="69"/>
  <c r="K63" i="69" s="1"/>
  <c r="L63" i="69"/>
  <c r="I64" i="69"/>
  <c r="K64" i="69"/>
  <c r="L64" i="69"/>
  <c r="I65" i="69"/>
  <c r="K65" i="69"/>
  <c r="L65" i="69"/>
  <c r="K66" i="69"/>
  <c r="L66" i="69"/>
  <c r="H67" i="69"/>
  <c r="K67" i="69" s="1"/>
  <c r="L67" i="69"/>
  <c r="H68" i="69"/>
  <c r="K68" i="69"/>
  <c r="L68" i="69"/>
  <c r="H69" i="69"/>
  <c r="K69" i="69"/>
  <c r="L69" i="69"/>
  <c r="H70" i="69"/>
  <c r="K70" i="69"/>
  <c r="L70" i="69"/>
  <c r="I71" i="69"/>
  <c r="K71" i="69" s="1"/>
  <c r="L71" i="69"/>
  <c r="I72" i="69"/>
  <c r="K72" i="69"/>
  <c r="L72" i="69"/>
  <c r="I73" i="69"/>
  <c r="K73" i="69"/>
  <c r="L73" i="69"/>
  <c r="I74" i="69"/>
  <c r="K74" i="69"/>
  <c r="L74" i="69"/>
  <c r="I75" i="69"/>
  <c r="K75" i="69" s="1"/>
  <c r="L75" i="69"/>
  <c r="I76" i="69"/>
  <c r="K76" i="69"/>
  <c r="L76" i="69"/>
  <c r="I77" i="69"/>
  <c r="K77" i="69"/>
  <c r="L77" i="69"/>
  <c r="I78" i="69"/>
  <c r="K78" i="69"/>
  <c r="L78" i="69"/>
  <c r="I79" i="69"/>
  <c r="K79" i="69" s="1"/>
  <c r="L79" i="69"/>
  <c r="I80" i="69"/>
  <c r="K80" i="69"/>
  <c r="L80" i="69"/>
  <c r="I81" i="69"/>
  <c r="K81" i="69"/>
  <c r="L81" i="69"/>
  <c r="I82" i="69"/>
  <c r="K82" i="69"/>
  <c r="L82" i="69"/>
  <c r="I83" i="69"/>
  <c r="K83" i="69" s="1"/>
  <c r="L83" i="69"/>
  <c r="K84" i="69"/>
  <c r="L84" i="69"/>
  <c r="I85" i="69"/>
  <c r="K85" i="69"/>
  <c r="L85" i="69"/>
  <c r="I86" i="69"/>
  <c r="K86" i="69"/>
  <c r="L86" i="69"/>
  <c r="K87" i="69"/>
  <c r="L87" i="69"/>
  <c r="E88" i="69"/>
  <c r="E3" i="69" s="1"/>
  <c r="F88" i="69"/>
  <c r="G88" i="69"/>
  <c r="J88" i="69"/>
  <c r="H140" i="78" l="1"/>
  <c r="H3" i="78" s="1"/>
  <c r="K84" i="78"/>
  <c r="K80" i="78"/>
  <c r="K78" i="78"/>
  <c r="K74" i="78"/>
  <c r="K9" i="78"/>
  <c r="K7" i="78"/>
  <c r="K6" i="78"/>
  <c r="K82" i="78"/>
  <c r="K30" i="78"/>
  <c r="K21" i="78"/>
  <c r="K25" i="78"/>
  <c r="K50" i="78"/>
  <c r="K54" i="78"/>
  <c r="K65" i="78"/>
  <c r="K73" i="78"/>
  <c r="K77" i="78"/>
  <c r="K81" i="78"/>
  <c r="K14" i="78"/>
  <c r="K18" i="78"/>
  <c r="K29" i="78"/>
  <c r="K33" i="78"/>
  <c r="K45" i="78"/>
  <c r="L140" i="78"/>
  <c r="I140" i="78"/>
  <c r="I3" i="78" s="1"/>
  <c r="K12" i="78"/>
  <c r="K88" i="69"/>
  <c r="I3" i="69"/>
  <c r="H88" i="69"/>
  <c r="H3" i="69" s="1"/>
  <c r="K140" i="78" l="1"/>
  <c r="K147" i="78" s="1"/>
  <c r="K3" i="69"/>
  <c r="K93" i="69"/>
  <c r="K3" i="78" l="1"/>
  <c r="K180" i="76"/>
  <c r="J176" i="76"/>
  <c r="G176" i="76"/>
  <c r="F176" i="76"/>
  <c r="E176" i="76"/>
  <c r="L175" i="76"/>
  <c r="K175" i="76"/>
  <c r="L174" i="76"/>
  <c r="I174" i="76"/>
  <c r="K174" i="76" s="1"/>
  <c r="L173" i="76"/>
  <c r="K173" i="76"/>
  <c r="I173" i="76"/>
  <c r="L172" i="76"/>
  <c r="K172" i="76"/>
  <c r="I172" i="76"/>
  <c r="L171" i="76"/>
  <c r="I171" i="76"/>
  <c r="K171" i="76" s="1"/>
  <c r="L170" i="76"/>
  <c r="I170" i="76"/>
  <c r="K170" i="76" s="1"/>
  <c r="L169" i="76"/>
  <c r="K169" i="76"/>
  <c r="I169" i="76"/>
  <c r="L168" i="76"/>
  <c r="K168" i="76"/>
  <c r="I168" i="76"/>
  <c r="L167" i="76"/>
  <c r="I167" i="76"/>
  <c r="K167" i="76" s="1"/>
  <c r="L166" i="76"/>
  <c r="I166" i="76"/>
  <c r="K166" i="76" s="1"/>
  <c r="L165" i="76"/>
  <c r="K165" i="76"/>
  <c r="I165" i="76"/>
  <c r="L164" i="76"/>
  <c r="K164" i="76"/>
  <c r="I164" i="76"/>
  <c r="L163" i="76"/>
  <c r="I163" i="76"/>
  <c r="K163" i="76" s="1"/>
  <c r="L162" i="76"/>
  <c r="I162" i="76"/>
  <c r="K162" i="76" s="1"/>
  <c r="L161" i="76"/>
  <c r="K161" i="76"/>
  <c r="I161" i="76"/>
  <c r="L160" i="76"/>
  <c r="K160" i="76"/>
  <c r="I160" i="76"/>
  <c r="L159" i="76"/>
  <c r="I159" i="76"/>
  <c r="K159" i="76" s="1"/>
  <c r="L158" i="76"/>
  <c r="I158" i="76"/>
  <c r="K158" i="76" s="1"/>
  <c r="L157" i="76"/>
  <c r="K157" i="76"/>
  <c r="I157" i="76"/>
  <c r="L156" i="76"/>
  <c r="K156" i="76"/>
  <c r="I156" i="76"/>
  <c r="L155" i="76"/>
  <c r="I155" i="76"/>
  <c r="K155" i="76" s="1"/>
  <c r="L154" i="76"/>
  <c r="I154" i="76"/>
  <c r="K154" i="76" s="1"/>
  <c r="L153" i="76"/>
  <c r="K153" i="76"/>
  <c r="I153" i="76"/>
  <c r="L152" i="76"/>
  <c r="K152" i="76"/>
  <c r="I152" i="76"/>
  <c r="L151" i="76"/>
  <c r="I151" i="76"/>
  <c r="K151" i="76" s="1"/>
  <c r="L150" i="76"/>
  <c r="I150" i="76"/>
  <c r="K150" i="76" s="1"/>
  <c r="L149" i="76"/>
  <c r="K149" i="76"/>
  <c r="I149" i="76"/>
  <c r="L148" i="76"/>
  <c r="K148" i="76"/>
  <c r="I148" i="76"/>
  <c r="L147" i="76"/>
  <c r="I147" i="76"/>
  <c r="K147" i="76" s="1"/>
  <c r="L146" i="76"/>
  <c r="I146" i="76"/>
  <c r="K146" i="76" s="1"/>
  <c r="L145" i="76"/>
  <c r="K145" i="76"/>
  <c r="I145" i="76"/>
  <c r="L144" i="76"/>
  <c r="K144" i="76"/>
  <c r="I144" i="76"/>
  <c r="L143" i="76"/>
  <c r="I143" i="76"/>
  <c r="K143" i="76" s="1"/>
  <c r="L142" i="76"/>
  <c r="I142" i="76"/>
  <c r="K142" i="76" s="1"/>
  <c r="L141" i="76"/>
  <c r="K141" i="76"/>
  <c r="I141" i="76"/>
  <c r="L140" i="76"/>
  <c r="K140" i="76"/>
  <c r="I140" i="76"/>
  <c r="L139" i="76"/>
  <c r="I139" i="76"/>
  <c r="K139" i="76" s="1"/>
  <c r="L138" i="76"/>
  <c r="I138" i="76"/>
  <c r="K138" i="76" s="1"/>
  <c r="L137" i="76"/>
  <c r="K137" i="76"/>
  <c r="I137" i="76"/>
  <c r="L136" i="76"/>
  <c r="K136" i="76"/>
  <c r="I136" i="76"/>
  <c r="L135" i="76"/>
  <c r="I135" i="76"/>
  <c r="K135" i="76" s="1"/>
  <c r="L134" i="76"/>
  <c r="I134" i="76"/>
  <c r="K134" i="76" s="1"/>
  <c r="L133" i="76"/>
  <c r="K133" i="76"/>
  <c r="I133" i="76"/>
  <c r="L132" i="76"/>
  <c r="K132" i="76"/>
  <c r="I132" i="76"/>
  <c r="L131" i="76"/>
  <c r="I131" i="76"/>
  <c r="K131" i="76" s="1"/>
  <c r="L130" i="76"/>
  <c r="I130" i="76"/>
  <c r="K130" i="76" s="1"/>
  <c r="L129" i="76"/>
  <c r="K129" i="76"/>
  <c r="I129" i="76"/>
  <c r="L128" i="76"/>
  <c r="K128" i="76"/>
  <c r="I128" i="76"/>
  <c r="L127" i="76"/>
  <c r="I127" i="76"/>
  <c r="K127" i="76" s="1"/>
  <c r="L126" i="76"/>
  <c r="I126" i="76"/>
  <c r="K126" i="76" s="1"/>
  <c r="L125" i="76"/>
  <c r="K125" i="76"/>
  <c r="I125" i="76"/>
  <c r="L124" i="76"/>
  <c r="K124" i="76"/>
  <c r="I124" i="76"/>
  <c r="L123" i="76"/>
  <c r="I123" i="76"/>
  <c r="K123" i="76" s="1"/>
  <c r="L122" i="76"/>
  <c r="I122" i="76"/>
  <c r="K122" i="76" s="1"/>
  <c r="L121" i="76"/>
  <c r="K121" i="76"/>
  <c r="I121" i="76"/>
  <c r="L120" i="76"/>
  <c r="K120" i="76"/>
  <c r="I120" i="76"/>
  <c r="L119" i="76"/>
  <c r="I119" i="76"/>
  <c r="K119" i="76" s="1"/>
  <c r="L118" i="76"/>
  <c r="I118" i="76"/>
  <c r="K118" i="76" s="1"/>
  <c r="L117" i="76"/>
  <c r="K117" i="76"/>
  <c r="I117" i="76"/>
  <c r="L116" i="76"/>
  <c r="K116" i="76"/>
  <c r="I116" i="76"/>
  <c r="L115" i="76"/>
  <c r="I115" i="76"/>
  <c r="K115" i="76" s="1"/>
  <c r="L114" i="76"/>
  <c r="I114" i="76"/>
  <c r="K114" i="76" s="1"/>
  <c r="L113" i="76"/>
  <c r="K113" i="76"/>
  <c r="I113" i="76"/>
  <c r="L112" i="76"/>
  <c r="K112" i="76"/>
  <c r="I112" i="76"/>
  <c r="L111" i="76"/>
  <c r="I111" i="76"/>
  <c r="K111" i="76" s="1"/>
  <c r="L110" i="76"/>
  <c r="I110" i="76"/>
  <c r="K110" i="76" s="1"/>
  <c r="L109" i="76"/>
  <c r="K109" i="76"/>
  <c r="I109" i="76"/>
  <c r="L108" i="76"/>
  <c r="K108" i="76"/>
  <c r="I108" i="76"/>
  <c r="L107" i="76"/>
  <c r="I107" i="76"/>
  <c r="K107" i="76" s="1"/>
  <c r="L106" i="76"/>
  <c r="I106" i="76"/>
  <c r="K106" i="76" s="1"/>
  <c r="L105" i="76"/>
  <c r="K105" i="76"/>
  <c r="I105" i="76"/>
  <c r="L104" i="76"/>
  <c r="K104" i="76"/>
  <c r="I104" i="76"/>
  <c r="L103" i="76"/>
  <c r="I103" i="76"/>
  <c r="K103" i="76" s="1"/>
  <c r="L102" i="76"/>
  <c r="I102" i="76"/>
  <c r="K102" i="76" s="1"/>
  <c r="L101" i="76"/>
  <c r="K101" i="76"/>
  <c r="I101" i="76"/>
  <c r="L100" i="76"/>
  <c r="K100" i="76"/>
  <c r="I100" i="76"/>
  <c r="L99" i="76"/>
  <c r="I99" i="76"/>
  <c r="K99" i="76" s="1"/>
  <c r="L98" i="76"/>
  <c r="I98" i="76"/>
  <c r="K98" i="76" s="1"/>
  <c r="L97" i="76"/>
  <c r="K97" i="76"/>
  <c r="I97" i="76"/>
  <c r="L96" i="76"/>
  <c r="K96" i="76"/>
  <c r="I96" i="76"/>
  <c r="L95" i="76"/>
  <c r="I95" i="76"/>
  <c r="K95" i="76" s="1"/>
  <c r="L94" i="76"/>
  <c r="I94" i="76"/>
  <c r="K94" i="76" s="1"/>
  <c r="L93" i="76"/>
  <c r="K93" i="76"/>
  <c r="I93" i="76"/>
  <c r="L92" i="76"/>
  <c r="K92" i="76"/>
  <c r="I92" i="76"/>
  <c r="L91" i="76"/>
  <c r="I91" i="76"/>
  <c r="K91" i="76" s="1"/>
  <c r="L90" i="76"/>
  <c r="I90" i="76"/>
  <c r="K90" i="76" s="1"/>
  <c r="L89" i="76"/>
  <c r="K89" i="76"/>
  <c r="I89" i="76"/>
  <c r="L88" i="76"/>
  <c r="K88" i="76"/>
  <c r="I88" i="76"/>
  <c r="L87" i="76"/>
  <c r="H87" i="76"/>
  <c r="K87" i="76" s="1"/>
  <c r="L86" i="76"/>
  <c r="H86" i="76"/>
  <c r="K86" i="76" s="1"/>
  <c r="L85" i="76"/>
  <c r="K85" i="76"/>
  <c r="H85" i="76"/>
  <c r="L84" i="76"/>
  <c r="K84" i="76"/>
  <c r="H84" i="76"/>
  <c r="L83" i="76"/>
  <c r="H83" i="76"/>
  <c r="K83" i="76" s="1"/>
  <c r="L82" i="76"/>
  <c r="H82" i="76"/>
  <c r="K82" i="76" s="1"/>
  <c r="L81" i="76"/>
  <c r="K81" i="76"/>
  <c r="H81" i="76"/>
  <c r="L80" i="76"/>
  <c r="K80" i="76"/>
  <c r="H80" i="76"/>
  <c r="L79" i="76"/>
  <c r="H79" i="76"/>
  <c r="K79" i="76" s="1"/>
  <c r="L78" i="76"/>
  <c r="H78" i="76"/>
  <c r="K78" i="76" s="1"/>
  <c r="L77" i="76"/>
  <c r="K77" i="76"/>
  <c r="H77" i="76"/>
  <c r="L76" i="76"/>
  <c r="K76" i="76"/>
  <c r="I76" i="76"/>
  <c r="L75" i="76"/>
  <c r="I75" i="76"/>
  <c r="K75" i="76" s="1"/>
  <c r="L74" i="76"/>
  <c r="H74" i="76"/>
  <c r="K74" i="76" s="1"/>
  <c r="L73" i="76"/>
  <c r="K73" i="76"/>
  <c r="I73" i="76"/>
  <c r="L72" i="76"/>
  <c r="K72" i="76"/>
  <c r="I72" i="76"/>
  <c r="L71" i="76"/>
  <c r="I71" i="76"/>
  <c r="K71" i="76" s="1"/>
  <c r="L70" i="76"/>
  <c r="I70" i="76"/>
  <c r="K70" i="76" s="1"/>
  <c r="L69" i="76"/>
  <c r="K69" i="76"/>
  <c r="I69" i="76"/>
  <c r="L68" i="76"/>
  <c r="K68" i="76"/>
  <c r="I68" i="76"/>
  <c r="L67" i="76"/>
  <c r="I67" i="76"/>
  <c r="K67" i="76" s="1"/>
  <c r="L66" i="76"/>
  <c r="I66" i="76"/>
  <c r="K66" i="76" s="1"/>
  <c r="L65" i="76"/>
  <c r="K65" i="76"/>
  <c r="I65" i="76"/>
  <c r="L64" i="76"/>
  <c r="K64" i="76"/>
  <c r="I64" i="76"/>
  <c r="L63" i="76"/>
  <c r="I63" i="76"/>
  <c r="K63" i="76" s="1"/>
  <c r="L62" i="76"/>
  <c r="I62" i="76"/>
  <c r="K62" i="76" s="1"/>
  <c r="L61" i="76"/>
  <c r="K61" i="76"/>
  <c r="I61" i="76"/>
  <c r="L60" i="76"/>
  <c r="K60" i="76"/>
  <c r="I60" i="76"/>
  <c r="L59" i="76"/>
  <c r="I59" i="76"/>
  <c r="K59" i="76" s="1"/>
  <c r="L58" i="76"/>
  <c r="K58" i="76"/>
  <c r="I58" i="76"/>
  <c r="L57" i="76"/>
  <c r="K57" i="76"/>
  <c r="I57" i="76"/>
  <c r="L56" i="76"/>
  <c r="K56" i="76"/>
  <c r="I56" i="76"/>
  <c r="L55" i="76"/>
  <c r="I55" i="76"/>
  <c r="K55" i="76" s="1"/>
  <c r="L54" i="76"/>
  <c r="K54" i="76"/>
  <c r="I54" i="76"/>
  <c r="L53" i="76"/>
  <c r="K53" i="76"/>
  <c r="I53" i="76"/>
  <c r="L52" i="76"/>
  <c r="K52" i="76"/>
  <c r="I52" i="76"/>
  <c r="L51" i="76"/>
  <c r="I51" i="76"/>
  <c r="K51" i="76" s="1"/>
  <c r="L50" i="76"/>
  <c r="K50" i="76"/>
  <c r="I50" i="76"/>
  <c r="L49" i="76"/>
  <c r="K49" i="76"/>
  <c r="I49" i="76"/>
  <c r="L48" i="76"/>
  <c r="K48" i="76"/>
  <c r="I48" i="76"/>
  <c r="L47" i="76"/>
  <c r="I47" i="76"/>
  <c r="K47" i="76" s="1"/>
  <c r="L46" i="76"/>
  <c r="K46" i="76"/>
  <c r="I46" i="76"/>
  <c r="L45" i="76"/>
  <c r="K45" i="76"/>
  <c r="I45" i="76"/>
  <c r="L44" i="76"/>
  <c r="K44" i="76"/>
  <c r="I44" i="76"/>
  <c r="L43" i="76"/>
  <c r="I43" i="76"/>
  <c r="K43" i="76" s="1"/>
  <c r="L42" i="76"/>
  <c r="K42" i="76"/>
  <c r="I42" i="76"/>
  <c r="L41" i="76"/>
  <c r="K41" i="76"/>
  <c r="I41" i="76"/>
  <c r="L40" i="76"/>
  <c r="K40" i="76"/>
  <c r="I40" i="76"/>
  <c r="L39" i="76"/>
  <c r="I39" i="76"/>
  <c r="K39" i="76" s="1"/>
  <c r="L38" i="76"/>
  <c r="K38" i="76"/>
  <c r="I38" i="76"/>
  <c r="L37" i="76"/>
  <c r="K37" i="76"/>
  <c r="I37" i="76"/>
  <c r="L36" i="76"/>
  <c r="K36" i="76"/>
  <c r="I36" i="76"/>
  <c r="L35" i="76"/>
  <c r="I35" i="76"/>
  <c r="K35" i="76" s="1"/>
  <c r="L34" i="76"/>
  <c r="K34" i="76"/>
  <c r="I34" i="76"/>
  <c r="L33" i="76"/>
  <c r="K33" i="76"/>
  <c r="I33" i="76"/>
  <c r="L32" i="76"/>
  <c r="K32" i="76"/>
  <c r="I32" i="76"/>
  <c r="L31" i="76"/>
  <c r="I31" i="76"/>
  <c r="K31" i="76" s="1"/>
  <c r="L30" i="76"/>
  <c r="K30" i="76"/>
  <c r="I30" i="76"/>
  <c r="L29" i="76"/>
  <c r="K29" i="76"/>
  <c r="I29" i="76"/>
  <c r="L28" i="76"/>
  <c r="K28" i="76"/>
  <c r="H28" i="76"/>
  <c r="L27" i="76"/>
  <c r="H27" i="76"/>
  <c r="K27" i="76" s="1"/>
  <c r="L26" i="76"/>
  <c r="K26" i="76"/>
  <c r="H26" i="76"/>
  <c r="L25" i="76"/>
  <c r="K25" i="76"/>
  <c r="H25" i="76"/>
  <c r="L24" i="76"/>
  <c r="K24" i="76"/>
  <c r="H24" i="76"/>
  <c r="L23" i="76"/>
  <c r="H23" i="76"/>
  <c r="K23" i="76" s="1"/>
  <c r="L22" i="76"/>
  <c r="K22" i="76"/>
  <c r="H22" i="76"/>
  <c r="L21" i="76"/>
  <c r="K21" i="76"/>
  <c r="H21" i="76"/>
  <c r="L20" i="76"/>
  <c r="K20" i="76"/>
  <c r="H20" i="76"/>
  <c r="L19" i="76"/>
  <c r="H19" i="76"/>
  <c r="K19" i="76" s="1"/>
  <c r="L18" i="76"/>
  <c r="K18" i="76"/>
  <c r="H18" i="76"/>
  <c r="L17" i="76"/>
  <c r="K17" i="76"/>
  <c r="H17" i="76"/>
  <c r="L16" i="76"/>
  <c r="K16" i="76"/>
  <c r="H16" i="76"/>
  <c r="H176" i="76" s="1"/>
  <c r="H3" i="76" s="1"/>
  <c r="L15" i="76"/>
  <c r="I15" i="76"/>
  <c r="K15" i="76" s="1"/>
  <c r="L14" i="76"/>
  <c r="K14" i="76"/>
  <c r="I14" i="76"/>
  <c r="L13" i="76"/>
  <c r="K13" i="76"/>
  <c r="I13" i="76"/>
  <c r="L12" i="76"/>
  <c r="K12" i="76"/>
  <c r="I12" i="76"/>
  <c r="L11" i="76"/>
  <c r="I11" i="76"/>
  <c r="K11" i="76" s="1"/>
  <c r="L10" i="76"/>
  <c r="K10" i="76"/>
  <c r="I10" i="76"/>
  <c r="L9" i="76"/>
  <c r="K9" i="76"/>
  <c r="I9" i="76"/>
  <c r="L8" i="76"/>
  <c r="K8" i="76"/>
  <c r="I8" i="76"/>
  <c r="L7" i="76"/>
  <c r="I7" i="76"/>
  <c r="K7" i="76" s="1"/>
  <c r="L6" i="76"/>
  <c r="L176" i="76" s="1"/>
  <c r="K6" i="76"/>
  <c r="I6" i="76"/>
  <c r="I176" i="76" s="1"/>
  <c r="I3" i="76" s="1"/>
  <c r="J3" i="76"/>
  <c r="E3" i="76"/>
  <c r="K176" i="76" l="1"/>
  <c r="K181" i="76" l="1"/>
  <c r="K3" i="76"/>
  <c r="K200" i="77" l="1"/>
  <c r="J196" i="77"/>
  <c r="G196" i="77"/>
  <c r="F196" i="77"/>
  <c r="E196" i="77"/>
  <c r="L195" i="77"/>
  <c r="I195" i="77"/>
  <c r="K195" i="77" s="1"/>
  <c r="L194" i="77"/>
  <c r="I194" i="77"/>
  <c r="K194" i="77" s="1"/>
  <c r="L193" i="77"/>
  <c r="K193" i="77"/>
  <c r="I193" i="77"/>
  <c r="L192" i="77"/>
  <c r="K192" i="77"/>
  <c r="I192" i="77"/>
  <c r="L191" i="77"/>
  <c r="I191" i="77"/>
  <c r="K191" i="77" s="1"/>
  <c r="L190" i="77"/>
  <c r="I190" i="77"/>
  <c r="K190" i="77" s="1"/>
  <c r="L189" i="77"/>
  <c r="K189" i="77"/>
  <c r="I189" i="77"/>
  <c r="L188" i="77"/>
  <c r="K188" i="77"/>
  <c r="I188" i="77"/>
  <c r="L187" i="77"/>
  <c r="I187" i="77"/>
  <c r="K187" i="77" s="1"/>
  <c r="L186" i="77"/>
  <c r="I186" i="77"/>
  <c r="K186" i="77" s="1"/>
  <c r="L185" i="77"/>
  <c r="K185" i="77"/>
  <c r="I185" i="77"/>
  <c r="L184" i="77"/>
  <c r="K184" i="77"/>
  <c r="I184" i="77"/>
  <c r="L183" i="77"/>
  <c r="I183" i="77"/>
  <c r="K183" i="77" s="1"/>
  <c r="L182" i="77"/>
  <c r="I182" i="77"/>
  <c r="K182" i="77" s="1"/>
  <c r="L181" i="77"/>
  <c r="K181" i="77"/>
  <c r="I181" i="77"/>
  <c r="L180" i="77"/>
  <c r="K180" i="77"/>
  <c r="I180" i="77"/>
  <c r="L179" i="77"/>
  <c r="I179" i="77"/>
  <c r="K179" i="77" s="1"/>
  <c r="L178" i="77"/>
  <c r="I178" i="77"/>
  <c r="K178" i="77" s="1"/>
  <c r="L177" i="77"/>
  <c r="K177" i="77"/>
  <c r="I177" i="77"/>
  <c r="L176" i="77"/>
  <c r="K176" i="77"/>
  <c r="I176" i="77"/>
  <c r="L175" i="77"/>
  <c r="I175" i="77"/>
  <c r="K175" i="77" s="1"/>
  <c r="L174" i="77"/>
  <c r="I174" i="77"/>
  <c r="K174" i="77" s="1"/>
  <c r="L173" i="77"/>
  <c r="K173" i="77"/>
  <c r="I173" i="77"/>
  <c r="L172" i="77"/>
  <c r="K172" i="77"/>
  <c r="I172" i="77"/>
  <c r="L171" i="77"/>
  <c r="I171" i="77"/>
  <c r="K171" i="77" s="1"/>
  <c r="L170" i="77"/>
  <c r="I170" i="77"/>
  <c r="K170" i="77" s="1"/>
  <c r="L169" i="77"/>
  <c r="K169" i="77"/>
  <c r="I169" i="77"/>
  <c r="L168" i="77"/>
  <c r="K168" i="77"/>
  <c r="I168" i="77"/>
  <c r="L167" i="77"/>
  <c r="I167" i="77"/>
  <c r="K167" i="77" s="1"/>
  <c r="L166" i="77"/>
  <c r="I166" i="77"/>
  <c r="K166" i="77" s="1"/>
  <c r="L165" i="77"/>
  <c r="K165" i="77"/>
  <c r="I165" i="77"/>
  <c r="L164" i="77"/>
  <c r="K164" i="77"/>
  <c r="I164" i="77"/>
  <c r="L163" i="77"/>
  <c r="I163" i="77"/>
  <c r="K163" i="77" s="1"/>
  <c r="L162" i="77"/>
  <c r="I162" i="77"/>
  <c r="K162" i="77" s="1"/>
  <c r="L161" i="77"/>
  <c r="K161" i="77"/>
  <c r="I161" i="77"/>
  <c r="L160" i="77"/>
  <c r="K160" i="77"/>
  <c r="I160" i="77"/>
  <c r="L159" i="77"/>
  <c r="I159" i="77"/>
  <c r="K159" i="77" s="1"/>
  <c r="L158" i="77"/>
  <c r="I158" i="77"/>
  <c r="K158" i="77" s="1"/>
  <c r="L157" i="77"/>
  <c r="K157" i="77"/>
  <c r="I157" i="77"/>
  <c r="L156" i="77"/>
  <c r="K156" i="77"/>
  <c r="I156" i="77"/>
  <c r="L155" i="77"/>
  <c r="I155" i="77"/>
  <c r="K155" i="77" s="1"/>
  <c r="L154" i="77"/>
  <c r="I154" i="77"/>
  <c r="K154" i="77" s="1"/>
  <c r="L153" i="77"/>
  <c r="K153" i="77"/>
  <c r="I153" i="77"/>
  <c r="L152" i="77"/>
  <c r="K152" i="77"/>
  <c r="I152" i="77"/>
  <c r="L151" i="77"/>
  <c r="I151" i="77"/>
  <c r="K151" i="77" s="1"/>
  <c r="L150" i="77"/>
  <c r="I150" i="77"/>
  <c r="K150" i="77" s="1"/>
  <c r="L149" i="77"/>
  <c r="K149" i="77"/>
  <c r="I149" i="77"/>
  <c r="L148" i="77"/>
  <c r="K148" i="77"/>
  <c r="I148" i="77"/>
  <c r="L147" i="77"/>
  <c r="I147" i="77"/>
  <c r="K147" i="77" s="1"/>
  <c r="L146" i="77"/>
  <c r="I146" i="77"/>
  <c r="K146" i="77" s="1"/>
  <c r="L145" i="77"/>
  <c r="K145" i="77"/>
  <c r="I145" i="77"/>
  <c r="L144" i="77"/>
  <c r="K144" i="77"/>
  <c r="I144" i="77"/>
  <c r="L143" i="77"/>
  <c r="I143" i="77"/>
  <c r="K143" i="77" s="1"/>
  <c r="L142" i="77"/>
  <c r="I142" i="77"/>
  <c r="K142" i="77" s="1"/>
  <c r="L141" i="77"/>
  <c r="K141" i="77"/>
  <c r="I141" i="77"/>
  <c r="L140" i="77"/>
  <c r="K140" i="77"/>
  <c r="I140" i="77"/>
  <c r="L139" i="77"/>
  <c r="I139" i="77"/>
  <c r="K139" i="77" s="1"/>
  <c r="L138" i="77"/>
  <c r="I138" i="77"/>
  <c r="K138" i="77" s="1"/>
  <c r="L137" i="77"/>
  <c r="K137" i="77"/>
  <c r="H137" i="77"/>
  <c r="L136" i="77"/>
  <c r="K136" i="77"/>
  <c r="I136" i="77"/>
  <c r="L135" i="77"/>
  <c r="I135" i="77"/>
  <c r="K135" i="77" s="1"/>
  <c r="L134" i="77"/>
  <c r="I134" i="77"/>
  <c r="K134" i="77" s="1"/>
  <c r="L133" i="77"/>
  <c r="K133" i="77"/>
  <c r="I133" i="77"/>
  <c r="L132" i="77"/>
  <c r="K132" i="77"/>
  <c r="I132" i="77"/>
  <c r="L131" i="77"/>
  <c r="I131" i="77"/>
  <c r="K131" i="77" s="1"/>
  <c r="L130" i="77"/>
  <c r="I130" i="77"/>
  <c r="K130" i="77" s="1"/>
  <c r="L129" i="77"/>
  <c r="K129" i="77"/>
  <c r="I129" i="77"/>
  <c r="L128" i="77"/>
  <c r="K128" i="77"/>
  <c r="I128" i="77"/>
  <c r="L127" i="77"/>
  <c r="I127" i="77"/>
  <c r="K127" i="77" s="1"/>
  <c r="L126" i="77"/>
  <c r="I126" i="77"/>
  <c r="K126" i="77" s="1"/>
  <c r="L125" i="77"/>
  <c r="K125" i="77"/>
  <c r="I125" i="77"/>
  <c r="L124" i="77"/>
  <c r="K124" i="77"/>
  <c r="I124" i="77"/>
  <c r="L123" i="77"/>
  <c r="I123" i="77"/>
  <c r="K123" i="77" s="1"/>
  <c r="L122" i="77"/>
  <c r="I122" i="77"/>
  <c r="K122" i="77" s="1"/>
  <c r="L121" i="77"/>
  <c r="K121" i="77"/>
  <c r="I121" i="77"/>
  <c r="L120" i="77"/>
  <c r="K120" i="77"/>
  <c r="I120" i="77"/>
  <c r="L119" i="77"/>
  <c r="I119" i="77"/>
  <c r="K119" i="77" s="1"/>
  <c r="L118" i="77"/>
  <c r="I118" i="77"/>
  <c r="K118" i="77" s="1"/>
  <c r="L117" i="77"/>
  <c r="K117" i="77"/>
  <c r="I117" i="77"/>
  <c r="L116" i="77"/>
  <c r="K116" i="77"/>
  <c r="I116" i="77"/>
  <c r="L115" i="77"/>
  <c r="I115" i="77"/>
  <c r="K115" i="77" s="1"/>
  <c r="L114" i="77"/>
  <c r="I114" i="77"/>
  <c r="K114" i="77" s="1"/>
  <c r="L113" i="77"/>
  <c r="K113" i="77"/>
  <c r="I113" i="77"/>
  <c r="L112" i="77"/>
  <c r="K112" i="77"/>
  <c r="I112" i="77"/>
  <c r="L111" i="77"/>
  <c r="I111" i="77"/>
  <c r="K111" i="77" s="1"/>
  <c r="L110" i="77"/>
  <c r="I110" i="77"/>
  <c r="K110" i="77" s="1"/>
  <c r="L109" i="77"/>
  <c r="K109" i="77"/>
  <c r="I109" i="77"/>
  <c r="L108" i="77"/>
  <c r="K108" i="77"/>
  <c r="I108" i="77"/>
  <c r="L107" i="77"/>
  <c r="I107" i="77"/>
  <c r="K107" i="77" s="1"/>
  <c r="L106" i="77"/>
  <c r="I106" i="77"/>
  <c r="K106" i="77" s="1"/>
  <c r="L105" i="77"/>
  <c r="K105" i="77"/>
  <c r="I105" i="77"/>
  <c r="L104" i="77"/>
  <c r="K104" i="77"/>
  <c r="H104" i="77"/>
  <c r="L103" i="77"/>
  <c r="H103" i="77"/>
  <c r="K103" i="77" s="1"/>
  <c r="L102" i="77"/>
  <c r="H102" i="77"/>
  <c r="K102" i="77" s="1"/>
  <c r="L101" i="77"/>
  <c r="K101" i="77"/>
  <c r="H101" i="77"/>
  <c r="L100" i="77"/>
  <c r="K100" i="77"/>
  <c r="H100" i="77"/>
  <c r="L99" i="77"/>
  <c r="H99" i="77"/>
  <c r="K99" i="77" s="1"/>
  <c r="L98" i="77"/>
  <c r="H98" i="77"/>
  <c r="K98" i="77" s="1"/>
  <c r="L97" i="77"/>
  <c r="K97" i="77"/>
  <c r="I97" i="77"/>
  <c r="L96" i="77"/>
  <c r="K96" i="77"/>
  <c r="I96" i="77"/>
  <c r="L95" i="77"/>
  <c r="I95" i="77"/>
  <c r="K95" i="77" s="1"/>
  <c r="L94" i="77"/>
  <c r="I94" i="77"/>
  <c r="K94" i="77" s="1"/>
  <c r="L93" i="77"/>
  <c r="K93" i="77"/>
  <c r="I93" i="77"/>
  <c r="L92" i="77"/>
  <c r="K92" i="77"/>
  <c r="I92" i="77"/>
  <c r="L91" i="77"/>
  <c r="I91" i="77"/>
  <c r="K91" i="77" s="1"/>
  <c r="L90" i="77"/>
  <c r="I90" i="77"/>
  <c r="K90" i="77" s="1"/>
  <c r="L89" i="77"/>
  <c r="K89" i="77"/>
  <c r="I89" i="77"/>
  <c r="L88" i="77"/>
  <c r="K88" i="77"/>
  <c r="I88" i="77"/>
  <c r="L87" i="77"/>
  <c r="I87" i="77"/>
  <c r="K87" i="77" s="1"/>
  <c r="L86" i="77"/>
  <c r="I86" i="77"/>
  <c r="K86" i="77" s="1"/>
  <c r="L85" i="77"/>
  <c r="K85" i="77"/>
  <c r="I85" i="77"/>
  <c r="L84" i="77"/>
  <c r="K84" i="77"/>
  <c r="I84" i="77"/>
  <c r="L83" i="77"/>
  <c r="I83" i="77"/>
  <c r="K83" i="77" s="1"/>
  <c r="L82" i="77"/>
  <c r="I82" i="77"/>
  <c r="K82" i="77" s="1"/>
  <c r="L81" i="77"/>
  <c r="K81" i="77"/>
  <c r="I81" i="77"/>
  <c r="L80" i="77"/>
  <c r="K80" i="77"/>
  <c r="I80" i="77"/>
  <c r="L79" i="77"/>
  <c r="I79" i="77"/>
  <c r="K79" i="77" s="1"/>
  <c r="L78" i="77"/>
  <c r="I78" i="77"/>
  <c r="K78" i="77" s="1"/>
  <c r="L77" i="77"/>
  <c r="K77" i="77"/>
  <c r="I77" i="77"/>
  <c r="L76" i="77"/>
  <c r="K76" i="77"/>
  <c r="I76" i="77"/>
  <c r="L75" i="77"/>
  <c r="I75" i="77"/>
  <c r="K75" i="77" s="1"/>
  <c r="L74" i="77"/>
  <c r="I74" i="77"/>
  <c r="K74" i="77" s="1"/>
  <c r="L73" i="77"/>
  <c r="K73" i="77"/>
  <c r="I73" i="77"/>
  <c r="L72" i="77"/>
  <c r="K72" i="77"/>
  <c r="I72" i="77"/>
  <c r="L71" i="77"/>
  <c r="I71" i="77"/>
  <c r="K71" i="77" s="1"/>
  <c r="L70" i="77"/>
  <c r="I70" i="77"/>
  <c r="K70" i="77" s="1"/>
  <c r="L69" i="77"/>
  <c r="K69" i="77"/>
  <c r="I69" i="77"/>
  <c r="L68" i="77"/>
  <c r="K68" i="77"/>
  <c r="H68" i="77"/>
  <c r="L67" i="77"/>
  <c r="I67" i="77"/>
  <c r="K67" i="77" s="1"/>
  <c r="L66" i="77"/>
  <c r="I66" i="77"/>
  <c r="K66" i="77" s="1"/>
  <c r="L65" i="77"/>
  <c r="K65" i="77"/>
  <c r="I65" i="77"/>
  <c r="L64" i="77"/>
  <c r="K64" i="77"/>
  <c r="I64" i="77"/>
  <c r="L63" i="77"/>
  <c r="I63" i="77"/>
  <c r="K63" i="77" s="1"/>
  <c r="L62" i="77"/>
  <c r="I62" i="77"/>
  <c r="K62" i="77" s="1"/>
  <c r="L61" i="77"/>
  <c r="K61" i="77"/>
  <c r="I61" i="77"/>
  <c r="L60" i="77"/>
  <c r="K60" i="77"/>
  <c r="I60" i="77"/>
  <c r="L59" i="77"/>
  <c r="I59" i="77"/>
  <c r="K59" i="77" s="1"/>
  <c r="L58" i="77"/>
  <c r="I58" i="77"/>
  <c r="K58" i="77" s="1"/>
  <c r="L57" i="77"/>
  <c r="K57" i="77"/>
  <c r="I57" i="77"/>
  <c r="L56" i="77"/>
  <c r="K56" i="77"/>
  <c r="I56" i="77"/>
  <c r="L55" i="77"/>
  <c r="I55" i="77"/>
  <c r="K55" i="77" s="1"/>
  <c r="L54" i="77"/>
  <c r="I54" i="77"/>
  <c r="K54" i="77" s="1"/>
  <c r="L53" i="77"/>
  <c r="K53" i="77"/>
  <c r="I53" i="77"/>
  <c r="L52" i="77"/>
  <c r="K52" i="77"/>
  <c r="I52" i="77"/>
  <c r="L51" i="77"/>
  <c r="I51" i="77"/>
  <c r="K51" i="77" s="1"/>
  <c r="L50" i="77"/>
  <c r="I50" i="77"/>
  <c r="K50" i="77" s="1"/>
  <c r="L49" i="77"/>
  <c r="K49" i="77"/>
  <c r="I49" i="77"/>
  <c r="L48" i="77"/>
  <c r="K48" i="77"/>
  <c r="I48" i="77"/>
  <c r="L47" i="77"/>
  <c r="I47" i="77"/>
  <c r="K47" i="77" s="1"/>
  <c r="L46" i="77"/>
  <c r="I46" i="77"/>
  <c r="K46" i="77" s="1"/>
  <c r="L45" i="77"/>
  <c r="K45" i="77"/>
  <c r="I45" i="77"/>
  <c r="L44" i="77"/>
  <c r="K44" i="77"/>
  <c r="I44" i="77"/>
  <c r="L43" i="77"/>
  <c r="I43" i="77"/>
  <c r="K43" i="77" s="1"/>
  <c r="L42" i="77"/>
  <c r="I42" i="77"/>
  <c r="K42" i="77" s="1"/>
  <c r="L41" i="77"/>
  <c r="K41" i="77"/>
  <c r="I41" i="77"/>
  <c r="I196" i="77" s="1"/>
  <c r="I3" i="77" s="1"/>
  <c r="L40" i="77"/>
  <c r="K40" i="77"/>
  <c r="H40" i="77"/>
  <c r="L39" i="77"/>
  <c r="H39" i="77"/>
  <c r="K39" i="77" s="1"/>
  <c r="L38" i="77"/>
  <c r="H38" i="77"/>
  <c r="K38" i="77" s="1"/>
  <c r="L37" i="77"/>
  <c r="K37" i="77"/>
  <c r="H37" i="77"/>
  <c r="L36" i="77"/>
  <c r="K36" i="77"/>
  <c r="H36" i="77"/>
  <c r="L35" i="77"/>
  <c r="H35" i="77"/>
  <c r="K35" i="77" s="1"/>
  <c r="L34" i="77"/>
  <c r="H34" i="77"/>
  <c r="K34" i="77" s="1"/>
  <c r="L33" i="77"/>
  <c r="K33" i="77"/>
  <c r="H33" i="77"/>
  <c r="L32" i="77"/>
  <c r="K32" i="77"/>
  <c r="H32" i="77"/>
  <c r="L31" i="77"/>
  <c r="H31" i="77"/>
  <c r="K31" i="77" s="1"/>
  <c r="L30" i="77"/>
  <c r="H30" i="77"/>
  <c r="K30" i="77" s="1"/>
  <c r="L29" i="77"/>
  <c r="K29" i="77"/>
  <c r="H29" i="77"/>
  <c r="L28" i="77"/>
  <c r="K28" i="77"/>
  <c r="H28" i="77"/>
  <c r="L27" i="77"/>
  <c r="H27" i="77"/>
  <c r="K27" i="77" s="1"/>
  <c r="L26" i="77"/>
  <c r="H26" i="77"/>
  <c r="K26" i="77" s="1"/>
  <c r="L25" i="77"/>
  <c r="K25" i="77"/>
  <c r="H25" i="77"/>
  <c r="L24" i="77"/>
  <c r="K24" i="77"/>
  <c r="H24" i="77"/>
  <c r="L23" i="77"/>
  <c r="H23" i="77"/>
  <c r="K23" i="77" s="1"/>
  <c r="L22" i="77"/>
  <c r="H22" i="77"/>
  <c r="K22" i="77" s="1"/>
  <c r="L21" i="77"/>
  <c r="K21" i="77"/>
  <c r="H21" i="77"/>
  <c r="L20" i="77"/>
  <c r="K20" i="77"/>
  <c r="H20" i="77"/>
  <c r="L19" i="77"/>
  <c r="H19" i="77"/>
  <c r="K19" i="77" s="1"/>
  <c r="L18" i="77"/>
  <c r="H18" i="77"/>
  <c r="K18" i="77" s="1"/>
  <c r="L17" i="77"/>
  <c r="K17" i="77"/>
  <c r="H17" i="77"/>
  <c r="L16" i="77"/>
  <c r="K16" i="77"/>
  <c r="H16" i="77"/>
  <c r="L15" i="77"/>
  <c r="H15" i="77"/>
  <c r="K15" i="77" s="1"/>
  <c r="L14" i="77"/>
  <c r="H14" i="77"/>
  <c r="K14" i="77" s="1"/>
  <c r="L13" i="77"/>
  <c r="K13" i="77"/>
  <c r="H13" i="77"/>
  <c r="L12" i="77"/>
  <c r="K12" i="77"/>
  <c r="H12" i="77"/>
  <c r="L11" i="77"/>
  <c r="H11" i="77"/>
  <c r="K11" i="77" s="1"/>
  <c r="L10" i="77"/>
  <c r="H10" i="77"/>
  <c r="K10" i="77" s="1"/>
  <c r="L9" i="77"/>
  <c r="K9" i="77"/>
  <c r="H9" i="77"/>
  <c r="L8" i="77"/>
  <c r="K8" i="77"/>
  <c r="H8" i="77"/>
  <c r="L7" i="77"/>
  <c r="H7" i="77"/>
  <c r="K7" i="77" s="1"/>
  <c r="L6" i="77"/>
  <c r="L196" i="77" s="1"/>
  <c r="H6" i="77"/>
  <c r="H196" i="77" s="1"/>
  <c r="H3" i="77" s="1"/>
  <c r="J3" i="77"/>
  <c r="E3" i="77"/>
  <c r="K6" i="77" l="1"/>
  <c r="K196" i="77" s="1"/>
  <c r="K201" i="77" l="1"/>
  <c r="K3" i="77"/>
  <c r="I3" i="74" l="1"/>
  <c r="I4" i="74"/>
  <c r="I5" i="74"/>
  <c r="I6" i="74"/>
  <c r="I7" i="74"/>
  <c r="I8" i="74"/>
  <c r="I9" i="74"/>
  <c r="I10" i="74"/>
  <c r="I11" i="74"/>
  <c r="I12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I25" i="74"/>
  <c r="I26" i="74"/>
  <c r="I27" i="74"/>
  <c r="I28" i="74"/>
  <c r="I29" i="74"/>
  <c r="I30" i="74"/>
  <c r="I31" i="74"/>
  <c r="I32" i="74"/>
  <c r="I33" i="74"/>
  <c r="I34" i="74"/>
  <c r="I35" i="74"/>
  <c r="I36" i="74"/>
  <c r="I37" i="74"/>
  <c r="I38" i="74"/>
  <c r="I39" i="74"/>
  <c r="I40" i="74"/>
  <c r="I41" i="74"/>
  <c r="I42" i="74"/>
  <c r="I43" i="74"/>
  <c r="I44" i="74"/>
  <c r="I45" i="74"/>
  <c r="I46" i="74"/>
  <c r="I47" i="74"/>
  <c r="I48" i="74"/>
  <c r="I49" i="74"/>
  <c r="I50" i="74"/>
  <c r="I51" i="74"/>
  <c r="I52" i="74"/>
  <c r="I53" i="74"/>
  <c r="I54" i="74"/>
  <c r="I55" i="74"/>
  <c r="I56" i="74"/>
  <c r="I57" i="74"/>
  <c r="I58" i="74"/>
  <c r="I59" i="74"/>
  <c r="I60" i="74"/>
  <c r="I61" i="74"/>
  <c r="I62" i="74"/>
  <c r="I63" i="74"/>
  <c r="I64" i="74"/>
  <c r="I65" i="74"/>
  <c r="I66" i="74"/>
  <c r="I67" i="74"/>
  <c r="I68" i="74"/>
  <c r="I69" i="74"/>
  <c r="I70" i="74"/>
  <c r="I71" i="74"/>
  <c r="I72" i="74"/>
  <c r="I73" i="74"/>
  <c r="I74" i="74"/>
  <c r="I75" i="74"/>
  <c r="I76" i="74"/>
  <c r="I77" i="74"/>
  <c r="I78" i="74"/>
  <c r="I79" i="74"/>
  <c r="I80" i="74"/>
  <c r="I81" i="74"/>
  <c r="I82" i="74"/>
  <c r="I83" i="74"/>
  <c r="I84" i="74"/>
  <c r="I85" i="74"/>
  <c r="I86" i="74"/>
  <c r="I87" i="74"/>
  <c r="I88" i="74"/>
  <c r="I89" i="74"/>
  <c r="I90" i="74"/>
  <c r="I91" i="74"/>
  <c r="I92" i="74"/>
  <c r="I93" i="74"/>
  <c r="I94" i="74"/>
  <c r="I95" i="74"/>
  <c r="I96" i="74"/>
  <c r="I97" i="74"/>
  <c r="I98" i="74"/>
  <c r="I99" i="74"/>
  <c r="I100" i="74"/>
  <c r="I101" i="74"/>
  <c r="I102" i="74"/>
  <c r="I103" i="74"/>
  <c r="I104" i="74"/>
  <c r="I105" i="74"/>
  <c r="I106" i="74"/>
  <c r="I107" i="74"/>
  <c r="I108" i="74"/>
  <c r="I109" i="74"/>
  <c r="I110" i="74"/>
  <c r="I111" i="74"/>
  <c r="I112" i="74"/>
  <c r="I113" i="74"/>
  <c r="I114" i="74"/>
  <c r="I115" i="74"/>
  <c r="I116" i="74"/>
  <c r="I117" i="74"/>
  <c r="I118" i="74"/>
  <c r="I119" i="74"/>
  <c r="I120" i="74"/>
  <c r="I121" i="74"/>
  <c r="I122" i="74"/>
  <c r="I123" i="74"/>
  <c r="I124" i="74"/>
  <c r="I125" i="74"/>
  <c r="I126" i="74"/>
  <c r="I127" i="74"/>
  <c r="I128" i="74"/>
  <c r="I129" i="74"/>
  <c r="I130" i="74"/>
  <c r="I131" i="74"/>
  <c r="I132" i="74"/>
  <c r="I133" i="74"/>
  <c r="I134" i="74"/>
  <c r="I135" i="74"/>
  <c r="I136" i="74"/>
  <c r="I137" i="74"/>
  <c r="I138" i="74"/>
  <c r="I139" i="74"/>
  <c r="I140" i="74"/>
  <c r="I141" i="74"/>
  <c r="I142" i="74"/>
  <c r="I143" i="74"/>
  <c r="I144" i="74"/>
  <c r="I145" i="74"/>
  <c r="I146" i="74"/>
  <c r="I147" i="74"/>
  <c r="I148" i="74"/>
  <c r="I149" i="74"/>
  <c r="I150" i="74"/>
  <c r="I151" i="74"/>
  <c r="I152" i="74"/>
  <c r="I153" i="74"/>
  <c r="I154" i="74"/>
  <c r="I155" i="74"/>
  <c r="I156" i="74"/>
  <c r="I157" i="74"/>
  <c r="I158" i="74"/>
  <c r="I159" i="74"/>
  <c r="I160" i="74"/>
  <c r="I161" i="74"/>
  <c r="I162" i="74"/>
  <c r="I163" i="74"/>
  <c r="I164" i="74"/>
  <c r="I165" i="74"/>
  <c r="I166" i="74"/>
  <c r="I167" i="74"/>
  <c r="I168" i="74"/>
  <c r="I169" i="74"/>
  <c r="I170" i="74"/>
  <c r="I171" i="74"/>
  <c r="I172" i="74"/>
  <c r="I173" i="74"/>
  <c r="I174" i="74"/>
  <c r="I175" i="74"/>
  <c r="I176" i="74"/>
  <c r="I177" i="74"/>
  <c r="I178" i="74"/>
  <c r="I179" i="74"/>
  <c r="I180" i="74"/>
  <c r="I181" i="74"/>
  <c r="I182" i="74"/>
  <c r="I183" i="74"/>
  <c r="I184" i="74"/>
  <c r="I185" i="74"/>
  <c r="I186" i="74"/>
  <c r="I187" i="74"/>
  <c r="I188" i="74"/>
  <c r="I189" i="74"/>
  <c r="I190" i="74"/>
  <c r="I191" i="74"/>
  <c r="I192" i="74"/>
  <c r="I193" i="74"/>
  <c r="I194" i="74"/>
  <c r="I195" i="74"/>
  <c r="I196" i="74"/>
  <c r="I197" i="74"/>
  <c r="I198" i="74"/>
  <c r="I199" i="74"/>
  <c r="I200" i="74"/>
  <c r="I201" i="74"/>
  <c r="I202" i="74"/>
  <c r="I203" i="74"/>
  <c r="I204" i="74"/>
  <c r="I205" i="74"/>
  <c r="I206" i="74"/>
  <c r="I207" i="74"/>
  <c r="I208" i="74"/>
  <c r="I209" i="74"/>
  <c r="I210" i="74"/>
  <c r="I211" i="74"/>
  <c r="I212" i="74"/>
  <c r="I213" i="74"/>
  <c r="I214" i="74"/>
  <c r="I215" i="74"/>
  <c r="I216" i="74"/>
  <c r="I217" i="74"/>
  <c r="I218" i="74"/>
  <c r="I219" i="74"/>
  <c r="I220" i="74"/>
  <c r="I221" i="74"/>
  <c r="I222" i="74"/>
  <c r="I223" i="74"/>
  <c r="I224" i="74"/>
  <c r="I225" i="74"/>
  <c r="I226" i="74"/>
  <c r="I227" i="74"/>
  <c r="I228" i="74"/>
  <c r="I229" i="74"/>
  <c r="I230" i="74"/>
  <c r="I231" i="74"/>
  <c r="I232" i="74"/>
  <c r="I233" i="74"/>
  <c r="I234" i="74"/>
  <c r="I235" i="74"/>
  <c r="I236" i="74"/>
  <c r="I237" i="74"/>
  <c r="I238" i="74"/>
  <c r="I239" i="74"/>
  <c r="I240" i="74"/>
  <c r="I241" i="74"/>
  <c r="I242" i="74"/>
  <c r="I243" i="74"/>
  <c r="I244" i="74"/>
  <c r="I245" i="74"/>
  <c r="I246" i="74"/>
  <c r="I247" i="74"/>
  <c r="I248" i="74"/>
  <c r="I249" i="74"/>
  <c r="I250" i="74"/>
  <c r="I251" i="74"/>
  <c r="I252" i="74"/>
  <c r="I253" i="74"/>
  <c r="I254" i="74"/>
  <c r="I255" i="74"/>
  <c r="I256" i="74"/>
  <c r="I257" i="74"/>
  <c r="I258" i="74"/>
  <c r="I259" i="74"/>
  <c r="I260" i="74"/>
  <c r="I261" i="74"/>
  <c r="I262" i="74"/>
  <c r="I263" i="74"/>
  <c r="I264" i="74"/>
  <c r="I265" i="74"/>
  <c r="I266" i="74"/>
  <c r="I267" i="74"/>
  <c r="I268" i="74"/>
  <c r="I269" i="74"/>
  <c r="I270" i="74"/>
  <c r="I271" i="74"/>
  <c r="I272" i="74"/>
  <c r="I273" i="74"/>
  <c r="I274" i="74"/>
  <c r="I275" i="74"/>
  <c r="I276" i="74"/>
  <c r="I277" i="74"/>
  <c r="I278" i="74"/>
  <c r="I279" i="74"/>
  <c r="I280" i="74"/>
  <c r="I281" i="74"/>
  <c r="I282" i="74"/>
  <c r="I283" i="74"/>
  <c r="I284" i="74"/>
  <c r="I285" i="74"/>
  <c r="I286" i="74"/>
  <c r="I287" i="74"/>
  <c r="I288" i="74"/>
  <c r="I289" i="74"/>
  <c r="I290" i="74"/>
  <c r="I291" i="74"/>
  <c r="I292" i="74"/>
  <c r="I293" i="74"/>
  <c r="I294" i="74"/>
  <c r="I295" i="74"/>
  <c r="I296" i="74"/>
  <c r="I297" i="74"/>
  <c r="I298" i="74"/>
  <c r="I299" i="74"/>
  <c r="I300" i="74"/>
  <c r="I301" i="74"/>
  <c r="I302" i="74"/>
  <c r="I303" i="74"/>
  <c r="I304" i="74"/>
  <c r="I305" i="74"/>
  <c r="I306" i="74"/>
  <c r="I307" i="74"/>
  <c r="I308" i="74"/>
  <c r="I309" i="74"/>
  <c r="I310" i="74"/>
  <c r="I311" i="74"/>
  <c r="I312" i="74"/>
  <c r="I313" i="74"/>
  <c r="I314" i="74"/>
  <c r="I315" i="74"/>
  <c r="I316" i="74"/>
  <c r="I317" i="74"/>
  <c r="I318" i="74"/>
  <c r="I319" i="74"/>
  <c r="I320" i="74"/>
  <c r="I321" i="74"/>
  <c r="I322" i="74"/>
  <c r="I323" i="74"/>
  <c r="I324" i="74"/>
  <c r="I325" i="74"/>
  <c r="I326" i="74"/>
  <c r="I327" i="74"/>
  <c r="I328" i="74"/>
  <c r="I329" i="74"/>
  <c r="I330" i="74"/>
  <c r="I331" i="74"/>
  <c r="I332" i="74"/>
  <c r="I333" i="74"/>
  <c r="I334" i="74"/>
  <c r="I335" i="74"/>
  <c r="I336" i="74"/>
  <c r="I337" i="74"/>
  <c r="I338" i="74"/>
  <c r="I339" i="74"/>
  <c r="I340" i="74"/>
  <c r="I341" i="74"/>
  <c r="I342" i="74"/>
  <c r="I343" i="74"/>
  <c r="I344" i="74"/>
  <c r="I345" i="74"/>
  <c r="I346" i="74"/>
  <c r="I347" i="74"/>
  <c r="I348" i="74"/>
  <c r="I349" i="74"/>
  <c r="I350" i="74"/>
  <c r="I351" i="74"/>
  <c r="I352" i="74"/>
  <c r="I353" i="74"/>
  <c r="I354" i="74"/>
  <c r="I355" i="74"/>
  <c r="I356" i="74"/>
  <c r="I357" i="74"/>
  <c r="I358" i="74"/>
  <c r="I359" i="74"/>
  <c r="I360" i="74"/>
  <c r="I361" i="74"/>
  <c r="I362" i="74"/>
  <c r="I363" i="74"/>
  <c r="I364" i="74"/>
  <c r="I365" i="74"/>
  <c r="I366" i="74"/>
  <c r="I367" i="74"/>
  <c r="I368" i="74"/>
  <c r="I369" i="74"/>
  <c r="I370" i="74"/>
  <c r="I371" i="74"/>
  <c r="I372" i="74"/>
  <c r="I373" i="74"/>
  <c r="I374" i="74"/>
  <c r="I375" i="74"/>
  <c r="I376" i="74"/>
  <c r="I377" i="74"/>
  <c r="I378" i="74"/>
  <c r="I379" i="74"/>
  <c r="I380" i="74"/>
  <c r="I381" i="74"/>
  <c r="I382" i="74"/>
  <c r="I383" i="74"/>
  <c r="I384" i="74"/>
  <c r="I385" i="74"/>
  <c r="I386" i="74"/>
  <c r="I387" i="74"/>
  <c r="I388" i="74"/>
  <c r="I389" i="74"/>
  <c r="I390" i="74"/>
  <c r="I391" i="74"/>
  <c r="I392" i="74"/>
  <c r="I393" i="74"/>
  <c r="I394" i="74"/>
  <c r="I395" i="74"/>
  <c r="I396" i="74"/>
  <c r="I397" i="74"/>
  <c r="I398" i="74"/>
  <c r="I399" i="74"/>
  <c r="I400" i="74"/>
  <c r="I401" i="74"/>
  <c r="I402" i="74"/>
  <c r="I403" i="74"/>
  <c r="I404" i="74"/>
  <c r="I405" i="74"/>
  <c r="I406" i="74"/>
  <c r="I407" i="74"/>
  <c r="I408" i="74"/>
  <c r="I409" i="74"/>
  <c r="I410" i="74"/>
  <c r="I411" i="74"/>
  <c r="I412" i="74"/>
  <c r="I413" i="74"/>
  <c r="I414" i="74"/>
  <c r="I415" i="74"/>
  <c r="I416" i="74"/>
  <c r="I417" i="74"/>
  <c r="I418" i="74"/>
  <c r="I419" i="74"/>
  <c r="I420" i="74"/>
  <c r="I421" i="74"/>
  <c r="I422" i="74"/>
  <c r="I423" i="74"/>
  <c r="I424" i="74"/>
  <c r="I425" i="74"/>
  <c r="I426" i="74"/>
  <c r="I427" i="74"/>
  <c r="I428" i="74"/>
  <c r="I429" i="74"/>
  <c r="I430" i="74"/>
  <c r="I431" i="74"/>
  <c r="I432" i="74"/>
  <c r="I433" i="74"/>
  <c r="I434" i="74"/>
  <c r="I435" i="74"/>
  <c r="I436" i="74"/>
  <c r="I437" i="74"/>
  <c r="I438" i="74"/>
  <c r="I439" i="74"/>
  <c r="I440" i="74"/>
  <c r="I441" i="74"/>
  <c r="I442" i="74"/>
  <c r="I443" i="74"/>
  <c r="I444" i="74"/>
  <c r="I445" i="74"/>
  <c r="I446" i="74"/>
  <c r="I447" i="74"/>
  <c r="I448" i="74"/>
  <c r="I449" i="74"/>
  <c r="I450" i="74"/>
  <c r="I451" i="74"/>
  <c r="I452" i="74"/>
  <c r="I453" i="74"/>
  <c r="I454" i="74"/>
  <c r="I455" i="74"/>
  <c r="I456" i="74"/>
  <c r="I457" i="74"/>
  <c r="I458" i="74"/>
  <c r="I459" i="74"/>
  <c r="I460" i="74"/>
  <c r="I461" i="74"/>
  <c r="I462" i="74"/>
  <c r="I463" i="74"/>
  <c r="I464" i="74"/>
  <c r="I465" i="74"/>
  <c r="I466" i="74"/>
  <c r="I467" i="74"/>
  <c r="I468" i="74"/>
  <c r="I469" i="74"/>
  <c r="I470" i="74"/>
  <c r="I471" i="74"/>
  <c r="I472" i="74"/>
  <c r="I473" i="74"/>
  <c r="I474" i="74"/>
  <c r="I475" i="74"/>
  <c r="I476" i="74"/>
  <c r="I477" i="74"/>
  <c r="I478" i="74"/>
  <c r="I479" i="74"/>
  <c r="I480" i="74"/>
  <c r="I481" i="74"/>
  <c r="I482" i="74"/>
  <c r="I483" i="74"/>
  <c r="I484" i="74"/>
  <c r="I485" i="74"/>
  <c r="I486" i="74"/>
  <c r="I487" i="74"/>
  <c r="I488" i="74"/>
  <c r="I489" i="74"/>
  <c r="I490" i="74"/>
  <c r="I491" i="74"/>
  <c r="I492" i="74"/>
  <c r="I493" i="74"/>
  <c r="I494" i="74"/>
  <c r="I495" i="74"/>
  <c r="I496" i="74"/>
  <c r="I497" i="74"/>
  <c r="I498" i="74"/>
  <c r="I499" i="74"/>
  <c r="I500" i="74"/>
  <c r="I501" i="74"/>
  <c r="I502" i="74"/>
  <c r="I503" i="74"/>
  <c r="I504" i="74"/>
  <c r="I505" i="74"/>
  <c r="I506" i="74"/>
  <c r="I507" i="74"/>
  <c r="I508" i="74"/>
  <c r="I509" i="74"/>
  <c r="I510" i="74"/>
  <c r="I511" i="74"/>
  <c r="I512" i="74"/>
  <c r="I513" i="74"/>
  <c r="I514" i="74"/>
  <c r="I515" i="74"/>
  <c r="I516" i="74"/>
  <c r="I517" i="74"/>
  <c r="I518" i="74"/>
  <c r="I519" i="74"/>
  <c r="I520" i="74"/>
  <c r="I521" i="74"/>
  <c r="I522" i="74"/>
  <c r="I523" i="74"/>
  <c r="I524" i="74"/>
  <c r="I525" i="74"/>
  <c r="I526" i="74"/>
  <c r="I527" i="74"/>
  <c r="I528" i="74"/>
  <c r="I529" i="74"/>
  <c r="I530" i="74"/>
  <c r="I531" i="74"/>
  <c r="I532" i="74"/>
  <c r="I533" i="74"/>
  <c r="I534" i="74"/>
  <c r="I535" i="74"/>
  <c r="I536" i="74"/>
  <c r="I537" i="74"/>
  <c r="I538" i="74"/>
  <c r="I539" i="74"/>
  <c r="I540" i="74"/>
  <c r="I541" i="74"/>
  <c r="I542" i="74"/>
  <c r="I543" i="74"/>
  <c r="I544" i="74"/>
  <c r="I545" i="74"/>
  <c r="I546" i="74"/>
  <c r="I547" i="74"/>
  <c r="I548" i="74"/>
  <c r="I549" i="74"/>
  <c r="I550" i="74"/>
  <c r="I551" i="74"/>
  <c r="I552" i="74"/>
  <c r="I553" i="74"/>
  <c r="I554" i="74"/>
  <c r="I555" i="74"/>
  <c r="I556" i="74"/>
  <c r="I557" i="74"/>
  <c r="I558" i="74"/>
  <c r="I559" i="74"/>
  <c r="I560" i="74"/>
  <c r="I561" i="74"/>
  <c r="I562" i="74"/>
  <c r="I563" i="74"/>
  <c r="I564" i="74"/>
  <c r="I565" i="74"/>
  <c r="I566" i="74"/>
  <c r="I567" i="74"/>
  <c r="I568" i="74"/>
  <c r="I569" i="74"/>
  <c r="I570" i="74"/>
  <c r="I571" i="74"/>
  <c r="I572" i="74"/>
  <c r="I573" i="74"/>
  <c r="I574" i="74"/>
  <c r="I575" i="74"/>
  <c r="I576" i="74"/>
  <c r="I577" i="74"/>
  <c r="I578" i="74"/>
  <c r="I579" i="74"/>
  <c r="I580" i="74"/>
  <c r="I581" i="74"/>
  <c r="I582" i="74"/>
  <c r="I583" i="74"/>
  <c r="I584" i="74"/>
  <c r="I585" i="74"/>
  <c r="I586" i="74"/>
  <c r="I587" i="74"/>
  <c r="I588" i="74"/>
  <c r="I589" i="74"/>
  <c r="I590" i="74"/>
  <c r="I591" i="74"/>
  <c r="I592" i="74"/>
  <c r="I593" i="74"/>
  <c r="I594" i="74"/>
  <c r="I595" i="74"/>
  <c r="I596" i="74"/>
  <c r="I597" i="74"/>
  <c r="I598" i="74"/>
  <c r="I599" i="74"/>
  <c r="I600" i="74"/>
  <c r="I601" i="74"/>
  <c r="I602" i="74"/>
  <c r="I603" i="74"/>
  <c r="I604" i="74"/>
  <c r="I605" i="74"/>
  <c r="I606" i="74"/>
  <c r="I607" i="74"/>
  <c r="I608" i="74"/>
  <c r="I609" i="74"/>
  <c r="I610" i="74"/>
  <c r="I611" i="74"/>
  <c r="I612" i="74"/>
  <c r="I613" i="74"/>
  <c r="I614" i="74"/>
  <c r="I615" i="74"/>
  <c r="I616" i="74"/>
  <c r="I617" i="74"/>
  <c r="I618" i="74"/>
  <c r="I619" i="74"/>
  <c r="I620" i="74"/>
  <c r="I621" i="74"/>
  <c r="I622" i="74"/>
  <c r="I623" i="74"/>
  <c r="I624" i="74"/>
  <c r="I625" i="74"/>
  <c r="I626" i="74"/>
  <c r="I627" i="74"/>
  <c r="I628" i="74"/>
  <c r="I629" i="74"/>
  <c r="I630" i="74"/>
  <c r="I631" i="74"/>
  <c r="I632" i="74"/>
  <c r="I633" i="74"/>
  <c r="I634" i="74"/>
  <c r="I635" i="74"/>
  <c r="I636" i="74"/>
  <c r="I637" i="74"/>
  <c r="I638" i="74"/>
  <c r="I639" i="74"/>
  <c r="I640" i="74"/>
  <c r="I641" i="74"/>
  <c r="I642" i="74"/>
  <c r="I643" i="74"/>
  <c r="I644" i="74"/>
  <c r="I645" i="74"/>
  <c r="I646" i="74"/>
  <c r="I647" i="74"/>
  <c r="I648" i="74"/>
  <c r="I649" i="74"/>
  <c r="I650" i="74"/>
  <c r="I651" i="74"/>
  <c r="I652" i="74"/>
  <c r="I653" i="74"/>
  <c r="I654" i="74"/>
  <c r="I655" i="74"/>
  <c r="I656" i="74"/>
  <c r="I657" i="74"/>
  <c r="I658" i="74"/>
  <c r="I659" i="74"/>
  <c r="I660" i="74"/>
  <c r="I661" i="74"/>
  <c r="I662" i="74"/>
  <c r="I663" i="74"/>
  <c r="I664" i="74"/>
  <c r="I665" i="74"/>
  <c r="I666" i="74"/>
  <c r="I667" i="74"/>
  <c r="I668" i="74"/>
  <c r="I669" i="74"/>
  <c r="I670" i="74"/>
  <c r="I671" i="74"/>
  <c r="I672" i="74"/>
  <c r="I673" i="74"/>
  <c r="I674" i="74"/>
  <c r="I675" i="74"/>
  <c r="I676" i="74"/>
  <c r="I677" i="74"/>
  <c r="I678" i="74"/>
  <c r="I679" i="74"/>
  <c r="I680" i="74"/>
  <c r="I681" i="74"/>
  <c r="I682" i="74"/>
  <c r="I683" i="74"/>
  <c r="I684" i="74"/>
  <c r="I685" i="74"/>
  <c r="I686" i="74"/>
  <c r="I687" i="74"/>
  <c r="I688" i="74"/>
  <c r="I689" i="74"/>
  <c r="I690" i="74"/>
  <c r="I691" i="74"/>
  <c r="I692" i="74"/>
  <c r="I693" i="74"/>
  <c r="I694" i="74"/>
  <c r="I695" i="74"/>
  <c r="I696" i="74"/>
  <c r="I697" i="74"/>
  <c r="I698" i="74"/>
  <c r="I699" i="74"/>
  <c r="I700" i="74"/>
  <c r="I701" i="74"/>
  <c r="I702" i="74"/>
  <c r="I703" i="74"/>
  <c r="I704" i="74"/>
  <c r="I705" i="74"/>
  <c r="I706" i="74"/>
  <c r="I707" i="74"/>
  <c r="I708" i="74"/>
  <c r="I709" i="74"/>
  <c r="I710" i="74"/>
  <c r="I711" i="74"/>
  <c r="I712" i="74"/>
  <c r="I713" i="74"/>
  <c r="I714" i="74"/>
  <c r="I715" i="74"/>
  <c r="I716" i="74"/>
  <c r="I717" i="74"/>
  <c r="I718" i="74"/>
  <c r="I719" i="74"/>
  <c r="I720" i="74"/>
  <c r="I721" i="74"/>
  <c r="I722" i="74"/>
  <c r="I723" i="74"/>
  <c r="I724" i="74"/>
  <c r="I725" i="74"/>
  <c r="I726" i="74"/>
  <c r="I727" i="74"/>
  <c r="I728" i="74"/>
  <c r="I729" i="74"/>
  <c r="I730" i="74"/>
  <c r="I731" i="74"/>
  <c r="I732" i="74"/>
  <c r="I733" i="74"/>
  <c r="I734" i="74"/>
  <c r="I735" i="74"/>
  <c r="I736" i="74"/>
  <c r="I737" i="74"/>
  <c r="I738" i="74"/>
  <c r="I739" i="74"/>
  <c r="I740" i="74"/>
  <c r="I741" i="74"/>
  <c r="I742" i="74"/>
  <c r="I743" i="74"/>
  <c r="I744" i="74"/>
  <c r="I745" i="74"/>
  <c r="I746" i="74"/>
  <c r="I747" i="74"/>
  <c r="I748" i="74"/>
  <c r="I749" i="74"/>
  <c r="I750" i="74"/>
  <c r="I751" i="74"/>
  <c r="I752" i="74"/>
  <c r="I753" i="74"/>
  <c r="I754" i="74"/>
  <c r="I755" i="74"/>
  <c r="I756" i="74"/>
  <c r="I757" i="74"/>
  <c r="I758" i="74"/>
  <c r="I759" i="74"/>
  <c r="I760" i="74"/>
  <c r="I761" i="74"/>
  <c r="I762" i="74"/>
  <c r="I763" i="74"/>
  <c r="I764" i="74"/>
  <c r="I765" i="74"/>
  <c r="I766" i="74"/>
  <c r="I767" i="74"/>
  <c r="I768" i="74"/>
  <c r="I769" i="74"/>
  <c r="I770" i="74"/>
  <c r="I771" i="74"/>
  <c r="I772" i="74"/>
  <c r="I773" i="74"/>
  <c r="I774" i="74"/>
  <c r="I775" i="74"/>
  <c r="I776" i="74"/>
  <c r="I777" i="74"/>
  <c r="I778" i="74"/>
  <c r="I779" i="74"/>
  <c r="I780" i="74"/>
  <c r="I781" i="74"/>
  <c r="I782" i="74"/>
  <c r="I783" i="74"/>
  <c r="I784" i="74"/>
  <c r="I785" i="74"/>
  <c r="I786" i="74"/>
  <c r="I787" i="74"/>
  <c r="I788" i="74"/>
  <c r="I789" i="74"/>
  <c r="I790" i="74"/>
  <c r="I791" i="74"/>
  <c r="I792" i="74"/>
  <c r="I793" i="74"/>
  <c r="I794" i="74"/>
  <c r="I795" i="74"/>
  <c r="I796" i="74"/>
  <c r="I797" i="74"/>
  <c r="I798" i="74"/>
  <c r="I799" i="74"/>
  <c r="I800" i="74"/>
  <c r="I801" i="74"/>
  <c r="I802" i="74"/>
  <c r="I803" i="74"/>
  <c r="I804" i="74"/>
  <c r="I805" i="74"/>
  <c r="I806" i="74"/>
  <c r="I807" i="74"/>
  <c r="I808" i="74"/>
  <c r="I809" i="74"/>
  <c r="I810" i="74"/>
  <c r="I811" i="74"/>
  <c r="I812" i="74"/>
  <c r="I813" i="74"/>
  <c r="I814" i="74"/>
  <c r="I815" i="74"/>
  <c r="I816" i="74"/>
  <c r="I817" i="74"/>
  <c r="I818" i="74"/>
  <c r="I819" i="74"/>
  <c r="I820" i="74"/>
  <c r="I821" i="74"/>
  <c r="I822" i="74"/>
  <c r="I823" i="74"/>
  <c r="I824" i="74"/>
  <c r="I825" i="74"/>
  <c r="I826" i="74"/>
  <c r="I827" i="74"/>
  <c r="I828" i="74"/>
  <c r="I829" i="74"/>
  <c r="I830" i="74"/>
  <c r="I831" i="74"/>
  <c r="I832" i="74"/>
  <c r="I833" i="74"/>
  <c r="I834" i="74"/>
  <c r="I835" i="74"/>
  <c r="I836" i="74"/>
  <c r="I837" i="74"/>
  <c r="I838" i="74"/>
  <c r="I839" i="74"/>
  <c r="I840" i="74"/>
  <c r="I841" i="74"/>
  <c r="I842" i="74"/>
  <c r="I843" i="74"/>
  <c r="I844" i="74"/>
  <c r="I845" i="74"/>
  <c r="I846" i="74"/>
  <c r="I847" i="74"/>
  <c r="I848" i="74"/>
  <c r="I849" i="74"/>
  <c r="I850" i="74"/>
  <c r="I851" i="74"/>
  <c r="I852" i="74"/>
  <c r="I853" i="74"/>
  <c r="I854" i="74"/>
  <c r="I855" i="74"/>
  <c r="I856" i="74"/>
  <c r="I857" i="74"/>
  <c r="I858" i="74"/>
  <c r="I859" i="74"/>
  <c r="I860" i="74"/>
  <c r="I861" i="74"/>
  <c r="I862" i="74"/>
  <c r="I863" i="74"/>
  <c r="I864" i="74"/>
  <c r="I865" i="74"/>
  <c r="I866" i="74"/>
  <c r="I867" i="74"/>
  <c r="I868" i="74"/>
  <c r="I869" i="74"/>
  <c r="I870" i="74"/>
  <c r="I871" i="74"/>
  <c r="I872" i="74"/>
  <c r="I873" i="74"/>
  <c r="I874" i="74"/>
  <c r="I875" i="74"/>
  <c r="I876" i="74"/>
  <c r="I877" i="74"/>
  <c r="I878" i="74"/>
  <c r="I879" i="74"/>
  <c r="I880" i="74"/>
  <c r="I881" i="74"/>
  <c r="I882" i="74"/>
  <c r="I883" i="74"/>
  <c r="I884" i="74"/>
  <c r="I885" i="74"/>
  <c r="I886" i="74"/>
  <c r="I887" i="74"/>
  <c r="I888" i="74"/>
  <c r="I889" i="74"/>
  <c r="I890" i="74"/>
  <c r="I891" i="74"/>
  <c r="I892" i="74"/>
  <c r="I893" i="74"/>
  <c r="I894" i="74"/>
  <c r="I895" i="74"/>
  <c r="I896" i="74"/>
  <c r="I897" i="74"/>
  <c r="I898" i="74"/>
  <c r="I899" i="74"/>
  <c r="I900" i="74"/>
  <c r="I901" i="74"/>
  <c r="I902" i="74"/>
  <c r="I903" i="74"/>
  <c r="I904" i="74"/>
  <c r="I905" i="74"/>
  <c r="I906" i="74"/>
  <c r="I907" i="74"/>
  <c r="I908" i="74"/>
  <c r="I909" i="74"/>
  <c r="I910" i="74"/>
  <c r="I911" i="74"/>
  <c r="I912" i="74"/>
  <c r="I913" i="74"/>
  <c r="I914" i="74"/>
  <c r="I915" i="74"/>
  <c r="I916" i="74"/>
  <c r="I917" i="74"/>
  <c r="I918" i="74"/>
  <c r="I919" i="74"/>
  <c r="I920" i="74"/>
  <c r="I921" i="74"/>
  <c r="I922" i="74"/>
  <c r="I923" i="74"/>
  <c r="I924" i="74"/>
  <c r="I925" i="74"/>
  <c r="I926" i="74"/>
  <c r="I927" i="74"/>
  <c r="I928" i="74"/>
  <c r="I929" i="74"/>
  <c r="I930" i="74"/>
  <c r="I931" i="74"/>
  <c r="I932" i="74"/>
  <c r="I933" i="74"/>
  <c r="I934" i="74"/>
  <c r="I935" i="74"/>
  <c r="I936" i="74"/>
  <c r="I937" i="74"/>
  <c r="I938" i="74"/>
  <c r="I939" i="74"/>
  <c r="I940" i="74"/>
  <c r="I941" i="74"/>
  <c r="I942" i="74"/>
  <c r="I943" i="74"/>
  <c r="I944" i="74"/>
  <c r="I945" i="74"/>
  <c r="I946" i="74"/>
  <c r="I947" i="74"/>
  <c r="I948" i="74"/>
  <c r="I949" i="74"/>
  <c r="I950" i="74"/>
  <c r="I951" i="74"/>
  <c r="I952" i="74"/>
  <c r="I953" i="74"/>
  <c r="I954" i="74"/>
  <c r="I955" i="74"/>
  <c r="I956" i="74"/>
  <c r="I957" i="74"/>
  <c r="I958" i="74"/>
  <c r="I959" i="74"/>
  <c r="I960" i="74"/>
  <c r="I961" i="74"/>
  <c r="I962" i="74"/>
  <c r="I963" i="74"/>
  <c r="I964" i="74"/>
  <c r="I965" i="74"/>
  <c r="I966" i="74"/>
  <c r="I967" i="74"/>
  <c r="I968" i="74"/>
  <c r="I969" i="74"/>
  <c r="I970" i="74"/>
  <c r="I971" i="74"/>
  <c r="I972" i="74"/>
  <c r="I973" i="74"/>
  <c r="I974" i="74"/>
  <c r="I975" i="74"/>
  <c r="I976" i="74"/>
  <c r="I977" i="74"/>
  <c r="I978" i="74"/>
  <c r="I979" i="74"/>
  <c r="I980" i="74"/>
  <c r="I981" i="74"/>
  <c r="I982" i="74"/>
  <c r="I983" i="74"/>
  <c r="I984" i="74"/>
  <c r="I985" i="74"/>
  <c r="I986" i="74"/>
  <c r="I987" i="74"/>
  <c r="I988" i="74"/>
  <c r="I989" i="74"/>
  <c r="I990" i="74"/>
  <c r="I991" i="74"/>
  <c r="I992" i="74"/>
  <c r="I993" i="74"/>
  <c r="I994" i="74"/>
  <c r="I995" i="74"/>
  <c r="I996" i="74"/>
  <c r="I997" i="74"/>
  <c r="I998" i="74"/>
  <c r="I999" i="74"/>
  <c r="I1000" i="74"/>
  <c r="I1001" i="74"/>
  <c r="I1002" i="74"/>
  <c r="I1003" i="74"/>
  <c r="I1004" i="74"/>
  <c r="I1005" i="74"/>
  <c r="I1006" i="74"/>
  <c r="I1007" i="74"/>
  <c r="I1008" i="74"/>
  <c r="I1009" i="74"/>
  <c r="I1010" i="74"/>
  <c r="I1011" i="74"/>
  <c r="I1012" i="74"/>
  <c r="I1013" i="74"/>
  <c r="I1014" i="74"/>
  <c r="I1015" i="74"/>
  <c r="I1016" i="74"/>
  <c r="I1017" i="74"/>
  <c r="I1018" i="74"/>
  <c r="I1019" i="74"/>
  <c r="I1020" i="74"/>
  <c r="I1021" i="74"/>
  <c r="I1022" i="74"/>
  <c r="I1023" i="74"/>
  <c r="I1024" i="74"/>
  <c r="I1025" i="74"/>
  <c r="I1026" i="74"/>
  <c r="I1027" i="74"/>
  <c r="I1028" i="74"/>
  <c r="I1029" i="74"/>
  <c r="I1030" i="74"/>
  <c r="I1031" i="74"/>
  <c r="I1032" i="74"/>
  <c r="I1033" i="74"/>
  <c r="I1034" i="74"/>
  <c r="I1035" i="74"/>
  <c r="I1036" i="74"/>
  <c r="I1037" i="74"/>
  <c r="I1038" i="74"/>
  <c r="I1039" i="74"/>
  <c r="I1040" i="74"/>
  <c r="I1041" i="74"/>
  <c r="I1042" i="74"/>
  <c r="I1043" i="74"/>
  <c r="I1044" i="74"/>
  <c r="I1045" i="74"/>
  <c r="I1046" i="74"/>
  <c r="I1047" i="74"/>
  <c r="I1048" i="74"/>
  <c r="I1049" i="74"/>
  <c r="I1050" i="74"/>
  <c r="I1051" i="74"/>
  <c r="I1052" i="74"/>
  <c r="I1053" i="74"/>
  <c r="I1054" i="74"/>
  <c r="I1055" i="74"/>
  <c r="I1056" i="74"/>
  <c r="I1057" i="74"/>
  <c r="I1058" i="74"/>
  <c r="I1059" i="74"/>
  <c r="I1060" i="74"/>
  <c r="I1061" i="74"/>
  <c r="I1062" i="74"/>
  <c r="I1063" i="74"/>
  <c r="I1064" i="74"/>
  <c r="I1065" i="74"/>
  <c r="I1066" i="74"/>
  <c r="I1067" i="74"/>
  <c r="I1068" i="74"/>
  <c r="I1069" i="74"/>
  <c r="I1070" i="74"/>
  <c r="I1071" i="74"/>
  <c r="I1072" i="74"/>
  <c r="I1073" i="74"/>
  <c r="I1074" i="74"/>
  <c r="I1075" i="74"/>
  <c r="I1076" i="74"/>
  <c r="I1077" i="74"/>
  <c r="I1078" i="74"/>
  <c r="I1079" i="74"/>
  <c r="I1080" i="74"/>
  <c r="I1081" i="74"/>
  <c r="I1082" i="74"/>
  <c r="I1083" i="74"/>
  <c r="I1084" i="74"/>
  <c r="I1085" i="74"/>
  <c r="I1086" i="74"/>
  <c r="I1087" i="74"/>
  <c r="I1088" i="74"/>
  <c r="I1089" i="74"/>
  <c r="I1090" i="74"/>
  <c r="I1091" i="74"/>
  <c r="I1092" i="74"/>
  <c r="I1093" i="74"/>
  <c r="I1094" i="74"/>
  <c r="I1095" i="74"/>
  <c r="I1096" i="74"/>
  <c r="I1097" i="74"/>
  <c r="I1098" i="74"/>
  <c r="I1099" i="74"/>
  <c r="I1100" i="74"/>
  <c r="I1101" i="74"/>
  <c r="I1102" i="74"/>
  <c r="I1103" i="74"/>
  <c r="I1104" i="74"/>
  <c r="I1105" i="74"/>
  <c r="I1106" i="74"/>
  <c r="I1107" i="74"/>
  <c r="I1108" i="74"/>
  <c r="I1109" i="74"/>
  <c r="I1110" i="74"/>
  <c r="I1111" i="74"/>
  <c r="I1112" i="74"/>
  <c r="I1113" i="74"/>
  <c r="I1114" i="74"/>
  <c r="I1115" i="74"/>
  <c r="I1116" i="74"/>
  <c r="I1117" i="74"/>
  <c r="I1118" i="74"/>
  <c r="I1119" i="74"/>
  <c r="I1120" i="74"/>
  <c r="I1121" i="74"/>
  <c r="I1122" i="74"/>
  <c r="I1123" i="74"/>
  <c r="I1124" i="74"/>
  <c r="I1125" i="74"/>
  <c r="I1126" i="74"/>
  <c r="I1127" i="74"/>
  <c r="I1128" i="74"/>
  <c r="I1129" i="74"/>
  <c r="I1130" i="74"/>
  <c r="I1131" i="74"/>
  <c r="I1132" i="74"/>
  <c r="I1133" i="74"/>
  <c r="I1134" i="74"/>
  <c r="I1135" i="74"/>
  <c r="I1136" i="74"/>
  <c r="I1137" i="74"/>
  <c r="I1138" i="74"/>
  <c r="I1139" i="74"/>
  <c r="I1140" i="74"/>
  <c r="I1141" i="74"/>
  <c r="I1142" i="74"/>
  <c r="I1143" i="74"/>
  <c r="I1144" i="74"/>
  <c r="I1145" i="74"/>
  <c r="I1146" i="74"/>
  <c r="I1147" i="74"/>
  <c r="I1148" i="74"/>
  <c r="I1149" i="74"/>
  <c r="I1150" i="74"/>
  <c r="I1151" i="74"/>
  <c r="I1152" i="74"/>
  <c r="I1153" i="74"/>
  <c r="I1154" i="74"/>
  <c r="I1155" i="74"/>
  <c r="I1156" i="74"/>
  <c r="I1157" i="74"/>
  <c r="I1158" i="74"/>
  <c r="I1159" i="74"/>
  <c r="I1160" i="74"/>
  <c r="I1161" i="74"/>
  <c r="I1162" i="74"/>
  <c r="I1163" i="74"/>
  <c r="I1164" i="74"/>
  <c r="I1165" i="74"/>
  <c r="I1166" i="74"/>
  <c r="I1167" i="74"/>
  <c r="I1168" i="74"/>
  <c r="I1169" i="74"/>
  <c r="I1170" i="74"/>
  <c r="I1171" i="74"/>
  <c r="I1172" i="74"/>
  <c r="I1173" i="74"/>
  <c r="I1174" i="74"/>
  <c r="I1175" i="74"/>
  <c r="I1176" i="74"/>
  <c r="I1177" i="74"/>
  <c r="I1178" i="74"/>
  <c r="I1179" i="74"/>
  <c r="I1180" i="74"/>
  <c r="I1181" i="74"/>
  <c r="I1182" i="74"/>
  <c r="I1183" i="74"/>
  <c r="I1184" i="74"/>
  <c r="I1185" i="74"/>
  <c r="I1186" i="74"/>
  <c r="I1187" i="74"/>
  <c r="I1188" i="74"/>
  <c r="I1189" i="74"/>
  <c r="I1190" i="74"/>
  <c r="I1191" i="74"/>
  <c r="I1192" i="74"/>
  <c r="I1193" i="74"/>
  <c r="I1194" i="74"/>
  <c r="I1195" i="74"/>
  <c r="I1196" i="74"/>
  <c r="I1197" i="74"/>
  <c r="I1198" i="74"/>
  <c r="I1199" i="74"/>
  <c r="I1200" i="74"/>
  <c r="I1201" i="74"/>
  <c r="I1202" i="74"/>
  <c r="I1203" i="74"/>
  <c r="I1204" i="74"/>
  <c r="I1205" i="74"/>
  <c r="I1206" i="74"/>
  <c r="I1207" i="74"/>
  <c r="I1208" i="74"/>
  <c r="I1209" i="74"/>
  <c r="I1210" i="74"/>
  <c r="I1211" i="74"/>
  <c r="I1212" i="74"/>
  <c r="I1213" i="74"/>
  <c r="I1214" i="74"/>
  <c r="I1215" i="74"/>
  <c r="I1216" i="74"/>
  <c r="I1217" i="74"/>
  <c r="I1218" i="74"/>
  <c r="I1219" i="74"/>
  <c r="I1220" i="74"/>
  <c r="I1221" i="74"/>
  <c r="I1222" i="74"/>
  <c r="I1223" i="74"/>
  <c r="I1224" i="74"/>
  <c r="I1225" i="74"/>
  <c r="I1226" i="74"/>
  <c r="I1227" i="74"/>
  <c r="I1228" i="74"/>
  <c r="I1229" i="74"/>
  <c r="I1230" i="74"/>
  <c r="I1231" i="74"/>
  <c r="I1232" i="74"/>
  <c r="I1233" i="74"/>
  <c r="I1234" i="74"/>
  <c r="I1235" i="74"/>
  <c r="I1236" i="74"/>
  <c r="I1237" i="74"/>
  <c r="I1238" i="74"/>
  <c r="I1239" i="74"/>
  <c r="I1240" i="74"/>
  <c r="I1241" i="74"/>
  <c r="I1242" i="74"/>
  <c r="I1243" i="74"/>
  <c r="I1244" i="74"/>
  <c r="I1245" i="74"/>
  <c r="I1246" i="74"/>
  <c r="I1247" i="74"/>
  <c r="I1248" i="74"/>
  <c r="I1249" i="74"/>
  <c r="I1250" i="74"/>
  <c r="I1251" i="74"/>
  <c r="I1252" i="74"/>
  <c r="I2" i="74"/>
  <c r="G1253" i="74"/>
  <c r="I1253" i="74" l="1"/>
  <c r="K879" i="52" l="1"/>
  <c r="J879" i="52"/>
  <c r="F879" i="52"/>
  <c r="I878" i="52"/>
  <c r="L878" i="52" s="1"/>
  <c r="I877" i="52"/>
  <c r="L877" i="52" s="1"/>
  <c r="I876" i="52"/>
  <c r="L876" i="52" s="1"/>
  <c r="I875" i="52"/>
  <c r="L875" i="52" s="1"/>
  <c r="I874" i="52"/>
  <c r="L874" i="52" s="1"/>
  <c r="I873" i="52"/>
  <c r="L873" i="52" s="1"/>
  <c r="I872" i="52"/>
  <c r="L872" i="52" s="1"/>
  <c r="I871" i="52"/>
  <c r="L871" i="52" s="1"/>
  <c r="I870" i="52"/>
  <c r="L870" i="52" s="1"/>
  <c r="I869" i="52"/>
  <c r="L869" i="52" s="1"/>
  <c r="I868" i="52"/>
  <c r="L868" i="52" s="1"/>
  <c r="I867" i="52"/>
  <c r="L867" i="52" s="1"/>
  <c r="I866" i="52"/>
  <c r="L866" i="52" s="1"/>
  <c r="I865" i="52"/>
  <c r="L865" i="52" s="1"/>
  <c r="I864" i="52"/>
  <c r="L864" i="52" s="1"/>
  <c r="I863" i="52"/>
  <c r="L863" i="52" s="1"/>
  <c r="I862" i="52"/>
  <c r="L862" i="52" s="1"/>
  <c r="I861" i="52"/>
  <c r="L861" i="52" s="1"/>
  <c r="I860" i="52"/>
  <c r="L860" i="52" s="1"/>
  <c r="I859" i="52"/>
  <c r="L859" i="52" s="1"/>
  <c r="I858" i="52"/>
  <c r="L858" i="52" s="1"/>
  <c r="I857" i="52"/>
  <c r="L857" i="52" s="1"/>
  <c r="I856" i="52"/>
  <c r="L856" i="52" s="1"/>
  <c r="I855" i="52"/>
  <c r="L855" i="52" s="1"/>
  <c r="I854" i="52"/>
  <c r="L854" i="52" s="1"/>
  <c r="I853" i="52"/>
  <c r="L853" i="52" s="1"/>
  <c r="I852" i="52"/>
  <c r="L852" i="52" s="1"/>
  <c r="I851" i="52"/>
  <c r="L851" i="52" s="1"/>
  <c r="I850" i="52"/>
  <c r="L850" i="52" s="1"/>
  <c r="I849" i="52"/>
  <c r="L849" i="52" s="1"/>
  <c r="I848" i="52"/>
  <c r="L848" i="52" s="1"/>
  <c r="I847" i="52"/>
  <c r="L847" i="52" s="1"/>
  <c r="I846" i="52"/>
  <c r="L846" i="52" s="1"/>
  <c r="I845" i="52"/>
  <c r="L845" i="52" s="1"/>
  <c r="I844" i="52"/>
  <c r="L844" i="52" s="1"/>
  <c r="I843" i="52"/>
  <c r="L843" i="52" s="1"/>
  <c r="I842" i="52"/>
  <c r="L842" i="52" s="1"/>
  <c r="I841" i="52"/>
  <c r="L841" i="52" s="1"/>
  <c r="I840" i="52"/>
  <c r="L840" i="52" s="1"/>
  <c r="I839" i="52"/>
  <c r="L839" i="52" s="1"/>
  <c r="I838" i="52"/>
  <c r="L838" i="52" s="1"/>
  <c r="I837" i="52"/>
  <c r="L837" i="52" s="1"/>
  <c r="I836" i="52"/>
  <c r="L836" i="52" s="1"/>
  <c r="I835" i="52"/>
  <c r="L835" i="52" s="1"/>
  <c r="I834" i="52"/>
  <c r="L834" i="52" s="1"/>
  <c r="I833" i="52"/>
  <c r="L833" i="52" s="1"/>
  <c r="I832" i="52"/>
  <c r="L832" i="52" s="1"/>
  <c r="I831" i="52"/>
  <c r="L831" i="52" s="1"/>
  <c r="I830" i="52"/>
  <c r="L830" i="52" s="1"/>
  <c r="I829" i="52"/>
  <c r="L829" i="52" s="1"/>
  <c r="I828" i="52"/>
  <c r="L828" i="52" s="1"/>
  <c r="I827" i="52"/>
  <c r="L827" i="52" s="1"/>
  <c r="I826" i="52"/>
  <c r="L826" i="52" s="1"/>
  <c r="I825" i="52"/>
  <c r="L825" i="52" s="1"/>
  <c r="I824" i="52"/>
  <c r="L824" i="52" s="1"/>
  <c r="I823" i="52"/>
  <c r="L823" i="52" s="1"/>
  <c r="I822" i="52"/>
  <c r="L822" i="52" s="1"/>
  <c r="I821" i="52"/>
  <c r="L821" i="52" s="1"/>
  <c r="I820" i="52"/>
  <c r="L820" i="52" s="1"/>
  <c r="I819" i="52"/>
  <c r="L819" i="52" s="1"/>
  <c r="I818" i="52"/>
  <c r="L818" i="52" s="1"/>
  <c r="I817" i="52"/>
  <c r="L817" i="52" s="1"/>
  <c r="I816" i="52"/>
  <c r="L816" i="52" s="1"/>
  <c r="I815" i="52"/>
  <c r="L815" i="52" s="1"/>
  <c r="I814" i="52"/>
  <c r="L814" i="52" s="1"/>
  <c r="I813" i="52"/>
  <c r="L813" i="52" s="1"/>
  <c r="I812" i="52"/>
  <c r="L812" i="52" s="1"/>
  <c r="I811" i="52"/>
  <c r="L811" i="52" s="1"/>
  <c r="I810" i="52"/>
  <c r="L810" i="52" s="1"/>
  <c r="I809" i="52"/>
  <c r="L809" i="52" s="1"/>
  <c r="I808" i="52"/>
  <c r="L808" i="52" s="1"/>
  <c r="I807" i="52"/>
  <c r="L807" i="52" s="1"/>
  <c r="I806" i="52"/>
  <c r="L806" i="52" s="1"/>
  <c r="I805" i="52"/>
  <c r="L805" i="52" s="1"/>
  <c r="I804" i="52"/>
  <c r="L804" i="52" s="1"/>
  <c r="I803" i="52"/>
  <c r="L803" i="52" s="1"/>
  <c r="I802" i="52"/>
  <c r="L802" i="52" s="1"/>
  <c r="L801" i="52"/>
  <c r="I801" i="52"/>
  <c r="L800" i="52"/>
  <c r="I800" i="52"/>
  <c r="I799" i="52"/>
  <c r="L799" i="52" s="1"/>
  <c r="I798" i="52"/>
  <c r="L798" i="52" s="1"/>
  <c r="I797" i="52"/>
  <c r="L797" i="52" s="1"/>
  <c r="I796" i="52"/>
  <c r="L796" i="52" s="1"/>
  <c r="I795" i="52"/>
  <c r="L795" i="52" s="1"/>
  <c r="I794" i="52"/>
  <c r="L794" i="52" s="1"/>
  <c r="I793" i="52"/>
  <c r="L793" i="52" s="1"/>
  <c r="I792" i="52"/>
  <c r="L792" i="52" s="1"/>
  <c r="I791" i="52"/>
  <c r="L791" i="52" s="1"/>
  <c r="I790" i="52"/>
  <c r="L790" i="52" s="1"/>
  <c r="L789" i="52"/>
  <c r="I789" i="52"/>
  <c r="I788" i="52"/>
  <c r="L788" i="52" s="1"/>
  <c r="I787" i="52"/>
  <c r="L787" i="52" s="1"/>
  <c r="I786" i="52"/>
  <c r="L786" i="52" s="1"/>
  <c r="I785" i="52"/>
  <c r="L785" i="52" s="1"/>
  <c r="I784" i="52"/>
  <c r="L784" i="52" s="1"/>
  <c r="I783" i="52"/>
  <c r="L783" i="52" s="1"/>
  <c r="I782" i="52"/>
  <c r="L782" i="52" s="1"/>
  <c r="I781" i="52"/>
  <c r="L781" i="52" s="1"/>
  <c r="I780" i="52"/>
  <c r="L780" i="52" s="1"/>
  <c r="I779" i="52"/>
  <c r="L779" i="52" s="1"/>
  <c r="I778" i="52"/>
  <c r="L778" i="52" s="1"/>
  <c r="I777" i="52"/>
  <c r="L777" i="52" s="1"/>
  <c r="I776" i="52"/>
  <c r="L776" i="52" s="1"/>
  <c r="I775" i="52"/>
  <c r="L775" i="52" s="1"/>
  <c r="I774" i="52"/>
  <c r="L774" i="52" s="1"/>
  <c r="L773" i="52"/>
  <c r="I773" i="52"/>
  <c r="I772" i="52"/>
  <c r="L772" i="52" s="1"/>
  <c r="I771" i="52"/>
  <c r="L771" i="52" s="1"/>
  <c r="I770" i="52"/>
  <c r="L770" i="52" s="1"/>
  <c r="I769" i="52"/>
  <c r="L769" i="52" s="1"/>
  <c r="I768" i="52"/>
  <c r="L768" i="52" s="1"/>
  <c r="I767" i="52"/>
  <c r="L767" i="52" s="1"/>
  <c r="I766" i="52"/>
  <c r="L766" i="52" s="1"/>
  <c r="I765" i="52"/>
  <c r="L765" i="52" s="1"/>
  <c r="I764" i="52"/>
  <c r="L764" i="52" s="1"/>
  <c r="I763" i="52"/>
  <c r="L763" i="52" s="1"/>
  <c r="I762" i="52"/>
  <c r="L762" i="52" s="1"/>
  <c r="L761" i="52"/>
  <c r="I761" i="52"/>
  <c r="I760" i="52"/>
  <c r="L760" i="52" s="1"/>
  <c r="I759" i="52"/>
  <c r="L759" i="52" s="1"/>
  <c r="I758" i="52"/>
  <c r="L758" i="52" s="1"/>
  <c r="I757" i="52"/>
  <c r="L757" i="52" s="1"/>
  <c r="I756" i="52"/>
  <c r="L756" i="52" s="1"/>
  <c r="I755" i="52"/>
  <c r="L755" i="52" s="1"/>
  <c r="I754" i="52"/>
  <c r="L754" i="52" s="1"/>
  <c r="I753" i="52"/>
  <c r="L753" i="52" s="1"/>
  <c r="I752" i="52"/>
  <c r="L752" i="52" s="1"/>
  <c r="I751" i="52"/>
  <c r="L751" i="52" s="1"/>
  <c r="I750" i="52"/>
  <c r="L750" i="52" s="1"/>
  <c r="I749" i="52"/>
  <c r="L749" i="52" s="1"/>
  <c r="I748" i="52"/>
  <c r="L748" i="52" s="1"/>
  <c r="I747" i="52"/>
  <c r="L747" i="52" s="1"/>
  <c r="I746" i="52"/>
  <c r="L746" i="52" s="1"/>
  <c r="L745" i="52"/>
  <c r="I745" i="52"/>
  <c r="I744" i="52"/>
  <c r="L744" i="52" s="1"/>
  <c r="I743" i="52"/>
  <c r="L743" i="52" s="1"/>
  <c r="I742" i="52"/>
  <c r="L742" i="52" s="1"/>
  <c r="L741" i="52"/>
  <c r="I741" i="52"/>
  <c r="I740" i="52"/>
  <c r="L740" i="52" s="1"/>
  <c r="I739" i="52"/>
  <c r="L739" i="52" s="1"/>
  <c r="I738" i="52"/>
  <c r="L738" i="52" s="1"/>
  <c r="I737" i="52"/>
  <c r="L737" i="52" s="1"/>
  <c r="I736" i="52"/>
  <c r="L736" i="52" s="1"/>
  <c r="I735" i="52"/>
  <c r="L735" i="52" s="1"/>
  <c r="I734" i="52"/>
  <c r="L734" i="52" s="1"/>
  <c r="I733" i="52"/>
  <c r="L733" i="52" s="1"/>
  <c r="I732" i="52"/>
  <c r="L732" i="52" s="1"/>
  <c r="I731" i="52"/>
  <c r="L731" i="52" s="1"/>
  <c r="I730" i="52"/>
  <c r="L730" i="52" s="1"/>
  <c r="I729" i="52"/>
  <c r="L729" i="52" s="1"/>
  <c r="L728" i="52"/>
  <c r="I728" i="52"/>
  <c r="I727" i="52"/>
  <c r="L727" i="52" s="1"/>
  <c r="I726" i="52"/>
  <c r="L726" i="52" s="1"/>
  <c r="I725" i="52"/>
  <c r="L725" i="52" s="1"/>
  <c r="I724" i="52"/>
  <c r="L724" i="52" s="1"/>
  <c r="I723" i="52"/>
  <c r="L723" i="52" s="1"/>
  <c r="I722" i="52"/>
  <c r="L722" i="52" s="1"/>
  <c r="I721" i="52"/>
  <c r="L721" i="52" s="1"/>
  <c r="I720" i="52"/>
  <c r="L720" i="52" s="1"/>
  <c r="I719" i="52"/>
  <c r="L719" i="52" s="1"/>
  <c r="I718" i="52"/>
  <c r="L718" i="52" s="1"/>
  <c r="I717" i="52"/>
  <c r="L717" i="52" s="1"/>
  <c r="I716" i="52"/>
  <c r="L716" i="52" s="1"/>
  <c r="I715" i="52"/>
  <c r="L715" i="52" s="1"/>
  <c r="I714" i="52"/>
  <c r="L714" i="52" s="1"/>
  <c r="L713" i="52"/>
  <c r="I713" i="52"/>
  <c r="L712" i="52"/>
  <c r="I712" i="52"/>
  <c r="I711" i="52"/>
  <c r="L711" i="52" s="1"/>
  <c r="I710" i="52"/>
  <c r="L710" i="52" s="1"/>
  <c r="I709" i="52"/>
  <c r="L709" i="52" s="1"/>
  <c r="I708" i="52"/>
  <c r="L708" i="52" s="1"/>
  <c r="I707" i="52"/>
  <c r="L707" i="52" s="1"/>
  <c r="I706" i="52"/>
  <c r="L706" i="52" s="1"/>
  <c r="I705" i="52"/>
  <c r="L705" i="52" s="1"/>
  <c r="I704" i="52"/>
  <c r="L704" i="52" s="1"/>
  <c r="I703" i="52"/>
  <c r="L703" i="52" s="1"/>
  <c r="I702" i="52"/>
  <c r="L702" i="52" s="1"/>
  <c r="I701" i="52"/>
  <c r="L701" i="52" s="1"/>
  <c r="I700" i="52"/>
  <c r="L700" i="52" s="1"/>
  <c r="I699" i="52"/>
  <c r="L699" i="52" s="1"/>
  <c r="I698" i="52"/>
  <c r="L698" i="52" s="1"/>
  <c r="I697" i="52"/>
  <c r="L697" i="52" s="1"/>
  <c r="I696" i="52"/>
  <c r="L696" i="52" s="1"/>
  <c r="I695" i="52"/>
  <c r="L695" i="52" s="1"/>
  <c r="I694" i="52"/>
  <c r="L694" i="52" s="1"/>
  <c r="I693" i="52"/>
  <c r="L693" i="52" s="1"/>
  <c r="I692" i="52"/>
  <c r="L692" i="52" s="1"/>
  <c r="I691" i="52"/>
  <c r="L691" i="52" s="1"/>
  <c r="I690" i="52"/>
  <c r="L690" i="52" s="1"/>
  <c r="I689" i="52"/>
  <c r="L689" i="52" s="1"/>
  <c r="I688" i="52"/>
  <c r="L688" i="52" s="1"/>
  <c r="I687" i="52"/>
  <c r="L687" i="52" s="1"/>
  <c r="I686" i="52"/>
  <c r="L686" i="52" s="1"/>
  <c r="I685" i="52"/>
  <c r="L685" i="52" s="1"/>
  <c r="I684" i="52"/>
  <c r="L684" i="52" s="1"/>
  <c r="I683" i="52"/>
  <c r="L683" i="52" s="1"/>
  <c r="I682" i="52"/>
  <c r="L682" i="52" s="1"/>
  <c r="I681" i="52"/>
  <c r="L681" i="52" s="1"/>
  <c r="L680" i="52"/>
  <c r="I680" i="52"/>
  <c r="I679" i="52"/>
  <c r="L679" i="52" s="1"/>
  <c r="I678" i="52"/>
  <c r="L678" i="52" s="1"/>
  <c r="I677" i="52"/>
  <c r="L677" i="52" s="1"/>
  <c r="I676" i="52"/>
  <c r="L676" i="52" s="1"/>
  <c r="I675" i="52"/>
  <c r="L675" i="52" s="1"/>
  <c r="I674" i="52"/>
  <c r="L674" i="52" s="1"/>
  <c r="I673" i="52"/>
  <c r="L673" i="52" s="1"/>
  <c r="I672" i="52"/>
  <c r="L672" i="52" s="1"/>
  <c r="I671" i="52"/>
  <c r="L671" i="52" s="1"/>
  <c r="I670" i="52"/>
  <c r="L670" i="52" s="1"/>
  <c r="I669" i="52"/>
  <c r="L669" i="52" s="1"/>
  <c r="I668" i="52"/>
  <c r="L668" i="52" s="1"/>
  <c r="I667" i="52"/>
  <c r="L667" i="52" s="1"/>
  <c r="I666" i="52"/>
  <c r="L666" i="52" s="1"/>
  <c r="I665" i="52"/>
  <c r="L665" i="52" s="1"/>
  <c r="I664" i="52"/>
  <c r="L664" i="52" s="1"/>
  <c r="I663" i="52"/>
  <c r="L663" i="52" s="1"/>
  <c r="I662" i="52"/>
  <c r="L662" i="52" s="1"/>
  <c r="L661" i="52"/>
  <c r="I661" i="52"/>
  <c r="I660" i="52"/>
  <c r="L660" i="52" s="1"/>
  <c r="I659" i="52"/>
  <c r="L659" i="52" s="1"/>
  <c r="I658" i="52"/>
  <c r="L658" i="52" s="1"/>
  <c r="I657" i="52"/>
  <c r="L657" i="52" s="1"/>
  <c r="I656" i="52"/>
  <c r="L656" i="52" s="1"/>
  <c r="I655" i="52"/>
  <c r="L655" i="52" s="1"/>
  <c r="I654" i="52"/>
  <c r="L654" i="52" s="1"/>
  <c r="I653" i="52"/>
  <c r="L653" i="52" s="1"/>
  <c r="I652" i="52"/>
  <c r="L652" i="52" s="1"/>
  <c r="I651" i="52"/>
  <c r="L651" i="52" s="1"/>
  <c r="I650" i="52"/>
  <c r="L650" i="52" s="1"/>
  <c r="I649" i="52"/>
  <c r="L649" i="52" s="1"/>
  <c r="I648" i="52"/>
  <c r="L648" i="52" s="1"/>
  <c r="I647" i="52"/>
  <c r="L647" i="52" s="1"/>
  <c r="I646" i="52"/>
  <c r="L646" i="52" s="1"/>
  <c r="L645" i="52"/>
  <c r="I645" i="52"/>
  <c r="I644" i="52"/>
  <c r="L644" i="52" s="1"/>
  <c r="I643" i="52"/>
  <c r="L643" i="52" s="1"/>
  <c r="I642" i="52"/>
  <c r="L642" i="52" s="1"/>
  <c r="I641" i="52"/>
  <c r="L641" i="52" s="1"/>
  <c r="I640" i="52"/>
  <c r="L640" i="52" s="1"/>
  <c r="I639" i="52"/>
  <c r="L639" i="52" s="1"/>
  <c r="I638" i="52"/>
  <c r="L638" i="52" s="1"/>
  <c r="I637" i="52"/>
  <c r="L637" i="52" s="1"/>
  <c r="I636" i="52"/>
  <c r="L636" i="52" s="1"/>
  <c r="I635" i="52"/>
  <c r="L635" i="52" s="1"/>
  <c r="I634" i="52"/>
  <c r="L634" i="52" s="1"/>
  <c r="L633" i="52"/>
  <c r="I633" i="52"/>
  <c r="I632" i="52"/>
  <c r="L632" i="52" s="1"/>
  <c r="I631" i="52"/>
  <c r="L631" i="52" s="1"/>
  <c r="I630" i="52"/>
  <c r="L630" i="52" s="1"/>
  <c r="I629" i="52"/>
  <c r="L629" i="52" s="1"/>
  <c r="I628" i="52"/>
  <c r="L628" i="52" s="1"/>
  <c r="I627" i="52"/>
  <c r="L627" i="52" s="1"/>
  <c r="I626" i="52"/>
  <c r="L626" i="52" s="1"/>
  <c r="I625" i="52"/>
  <c r="L625" i="52" s="1"/>
  <c r="I624" i="52"/>
  <c r="L624" i="52" s="1"/>
  <c r="I623" i="52"/>
  <c r="L623" i="52" s="1"/>
  <c r="I622" i="52"/>
  <c r="L622" i="52" s="1"/>
  <c r="I621" i="52"/>
  <c r="L621" i="52" s="1"/>
  <c r="I620" i="52"/>
  <c r="L620" i="52" s="1"/>
  <c r="I619" i="52"/>
  <c r="L619" i="52" s="1"/>
  <c r="I618" i="52"/>
  <c r="L618" i="52" s="1"/>
  <c r="L617" i="52"/>
  <c r="I617" i="52"/>
  <c r="I616" i="52"/>
  <c r="L616" i="52" s="1"/>
  <c r="I615" i="52"/>
  <c r="L615" i="52" s="1"/>
  <c r="I614" i="52"/>
  <c r="L614" i="52" s="1"/>
  <c r="L613" i="52"/>
  <c r="I613" i="52"/>
  <c r="I612" i="52"/>
  <c r="L612" i="52" s="1"/>
  <c r="I611" i="52"/>
  <c r="L611" i="52" s="1"/>
  <c r="I610" i="52"/>
  <c r="L610" i="52" s="1"/>
  <c r="I609" i="52"/>
  <c r="L609" i="52" s="1"/>
  <c r="I608" i="52"/>
  <c r="L608" i="52" s="1"/>
  <c r="I607" i="52"/>
  <c r="L607" i="52" s="1"/>
  <c r="I606" i="52"/>
  <c r="L606" i="52" s="1"/>
  <c r="I605" i="52"/>
  <c r="L605" i="52" s="1"/>
  <c r="I604" i="52"/>
  <c r="L604" i="52" s="1"/>
  <c r="I603" i="52"/>
  <c r="L603" i="52" s="1"/>
  <c r="I602" i="52"/>
  <c r="L602" i="52" s="1"/>
  <c r="I601" i="52"/>
  <c r="L601" i="52" s="1"/>
  <c r="L600" i="52"/>
  <c r="I600" i="52"/>
  <c r="I599" i="52"/>
  <c r="L599" i="52" s="1"/>
  <c r="I598" i="52"/>
  <c r="L598" i="52" s="1"/>
  <c r="I597" i="52"/>
  <c r="L597" i="52" s="1"/>
  <c r="I596" i="52"/>
  <c r="L596" i="52" s="1"/>
  <c r="I595" i="52"/>
  <c r="L595" i="52" s="1"/>
  <c r="I594" i="52"/>
  <c r="L594" i="52" s="1"/>
  <c r="I593" i="52"/>
  <c r="L593" i="52" s="1"/>
  <c r="I592" i="52"/>
  <c r="L592" i="52" s="1"/>
  <c r="I591" i="52"/>
  <c r="L591" i="52" s="1"/>
  <c r="I590" i="52"/>
  <c r="L590" i="52" s="1"/>
  <c r="I589" i="52"/>
  <c r="L589" i="52" s="1"/>
  <c r="I588" i="52"/>
  <c r="L588" i="52" s="1"/>
  <c r="I587" i="52"/>
  <c r="L587" i="52" s="1"/>
  <c r="I586" i="52"/>
  <c r="L586" i="52" s="1"/>
  <c r="L585" i="52"/>
  <c r="I585" i="52"/>
  <c r="L584" i="52"/>
  <c r="I584" i="52"/>
  <c r="I583" i="52"/>
  <c r="L583" i="52" s="1"/>
  <c r="I582" i="52"/>
  <c r="L582" i="52" s="1"/>
  <c r="I581" i="52"/>
  <c r="L581" i="52" s="1"/>
  <c r="I580" i="52"/>
  <c r="L580" i="52" s="1"/>
  <c r="I579" i="52"/>
  <c r="L579" i="52" s="1"/>
  <c r="I578" i="52"/>
  <c r="L578" i="52" s="1"/>
  <c r="I577" i="52"/>
  <c r="L577" i="52" s="1"/>
  <c r="I576" i="52"/>
  <c r="L576" i="52" s="1"/>
  <c r="I575" i="52"/>
  <c r="L575" i="52" s="1"/>
  <c r="I574" i="52"/>
  <c r="L574" i="52" s="1"/>
  <c r="I573" i="52"/>
  <c r="L573" i="52" s="1"/>
  <c r="I572" i="52"/>
  <c r="L572" i="52" s="1"/>
  <c r="I571" i="52"/>
  <c r="L571" i="52" s="1"/>
  <c r="I570" i="52"/>
  <c r="L570" i="52" s="1"/>
  <c r="I569" i="52"/>
  <c r="L569" i="52" s="1"/>
  <c r="I568" i="52"/>
  <c r="L568" i="52" s="1"/>
  <c r="I567" i="52"/>
  <c r="L567" i="52" s="1"/>
  <c r="I566" i="52"/>
  <c r="L566" i="52" s="1"/>
  <c r="I565" i="52"/>
  <c r="L565" i="52" s="1"/>
  <c r="I564" i="52"/>
  <c r="L564" i="52" s="1"/>
  <c r="I563" i="52"/>
  <c r="L563" i="52" s="1"/>
  <c r="I562" i="52"/>
  <c r="L562" i="52" s="1"/>
  <c r="I561" i="52"/>
  <c r="L561" i="52" s="1"/>
  <c r="I560" i="52"/>
  <c r="L560" i="52" s="1"/>
  <c r="I559" i="52"/>
  <c r="L559" i="52" s="1"/>
  <c r="I558" i="52"/>
  <c r="L558" i="52" s="1"/>
  <c r="I557" i="52"/>
  <c r="L557" i="52" s="1"/>
  <c r="I556" i="52"/>
  <c r="L556" i="52" s="1"/>
  <c r="I555" i="52"/>
  <c r="L555" i="52" s="1"/>
  <c r="I554" i="52"/>
  <c r="L554" i="52" s="1"/>
  <c r="I553" i="52"/>
  <c r="L553" i="52" s="1"/>
  <c r="L552" i="52"/>
  <c r="I552" i="52"/>
  <c r="I551" i="52"/>
  <c r="L551" i="52" s="1"/>
  <c r="I550" i="52"/>
  <c r="L550" i="52" s="1"/>
  <c r="I549" i="52"/>
  <c r="L549" i="52" s="1"/>
  <c r="I548" i="52"/>
  <c r="L548" i="52" s="1"/>
  <c r="I547" i="52"/>
  <c r="L547" i="52" s="1"/>
  <c r="I546" i="52"/>
  <c r="L546" i="52" s="1"/>
  <c r="I545" i="52"/>
  <c r="L545" i="52" s="1"/>
  <c r="I544" i="52"/>
  <c r="L544" i="52" s="1"/>
  <c r="I543" i="52"/>
  <c r="L543" i="52" s="1"/>
  <c r="I542" i="52"/>
  <c r="L542" i="52" s="1"/>
  <c r="I541" i="52"/>
  <c r="L541" i="52" s="1"/>
  <c r="I540" i="52"/>
  <c r="L540" i="52" s="1"/>
  <c r="L539" i="52"/>
  <c r="I539" i="52"/>
  <c r="I538" i="52"/>
  <c r="L538" i="52" s="1"/>
  <c r="I537" i="52"/>
  <c r="L537" i="52" s="1"/>
  <c r="I536" i="52"/>
  <c r="L536" i="52" s="1"/>
  <c r="I535" i="52"/>
  <c r="L535" i="52" s="1"/>
  <c r="I534" i="52"/>
  <c r="L534" i="52" s="1"/>
  <c r="I533" i="52"/>
  <c r="L533" i="52" s="1"/>
  <c r="I532" i="52"/>
  <c r="L532" i="52" s="1"/>
  <c r="I531" i="52"/>
  <c r="L531" i="52" s="1"/>
  <c r="I530" i="52"/>
  <c r="L530" i="52" s="1"/>
  <c r="I529" i="52"/>
  <c r="L529" i="52" s="1"/>
  <c r="I528" i="52"/>
  <c r="L528" i="52" s="1"/>
  <c r="I527" i="52"/>
  <c r="L527" i="52" s="1"/>
  <c r="I526" i="52"/>
  <c r="L526" i="52" s="1"/>
  <c r="I525" i="52"/>
  <c r="L525" i="52" s="1"/>
  <c r="I524" i="52"/>
  <c r="L524" i="52" s="1"/>
  <c r="I523" i="52"/>
  <c r="L523" i="52" s="1"/>
  <c r="I522" i="52"/>
  <c r="L522" i="52" s="1"/>
  <c r="I521" i="52"/>
  <c r="L521" i="52" s="1"/>
  <c r="I520" i="52"/>
  <c r="L520" i="52" s="1"/>
  <c r="L519" i="52"/>
  <c r="I519" i="52"/>
  <c r="I518" i="52"/>
  <c r="L518" i="52" s="1"/>
  <c r="I517" i="52"/>
  <c r="L517" i="52" s="1"/>
  <c r="I516" i="52"/>
  <c r="L516" i="52" s="1"/>
  <c r="I515" i="52"/>
  <c r="L515" i="52" s="1"/>
  <c r="I514" i="52"/>
  <c r="L514" i="52" s="1"/>
  <c r="I513" i="52"/>
  <c r="L513" i="52" s="1"/>
  <c r="I512" i="52"/>
  <c r="L512" i="52" s="1"/>
  <c r="L511" i="52"/>
  <c r="I511" i="52"/>
  <c r="I510" i="52"/>
  <c r="L510" i="52" s="1"/>
  <c r="I509" i="52"/>
  <c r="L509" i="52" s="1"/>
  <c r="I508" i="52"/>
  <c r="L508" i="52" s="1"/>
  <c r="L507" i="52"/>
  <c r="I507" i="52"/>
  <c r="I506" i="52"/>
  <c r="L506" i="52" s="1"/>
  <c r="I505" i="52"/>
  <c r="L505" i="52" s="1"/>
  <c r="I504" i="52"/>
  <c r="L504" i="52" s="1"/>
  <c r="I503" i="52"/>
  <c r="L503" i="52" s="1"/>
  <c r="I502" i="52"/>
  <c r="L502" i="52" s="1"/>
  <c r="I501" i="52"/>
  <c r="L501" i="52" s="1"/>
  <c r="I500" i="52"/>
  <c r="L500" i="52" s="1"/>
  <c r="I499" i="52"/>
  <c r="L499" i="52" s="1"/>
  <c r="I498" i="52"/>
  <c r="L498" i="52" s="1"/>
  <c r="I497" i="52"/>
  <c r="L497" i="52" s="1"/>
  <c r="I496" i="52"/>
  <c r="L496" i="52" s="1"/>
  <c r="I495" i="52"/>
  <c r="L495" i="52" s="1"/>
  <c r="I494" i="52"/>
  <c r="L494" i="52" s="1"/>
  <c r="I493" i="52"/>
  <c r="L493" i="52" s="1"/>
  <c r="I492" i="52"/>
  <c r="L492" i="52" s="1"/>
  <c r="I491" i="52"/>
  <c r="L491" i="52" s="1"/>
  <c r="I490" i="52"/>
  <c r="L490" i="52" s="1"/>
  <c r="I489" i="52"/>
  <c r="L489" i="52" s="1"/>
  <c r="I488" i="52"/>
  <c r="L488" i="52" s="1"/>
  <c r="L487" i="52"/>
  <c r="I487" i="52"/>
  <c r="I486" i="52"/>
  <c r="L486" i="52" s="1"/>
  <c r="I485" i="52"/>
  <c r="L485" i="52" s="1"/>
  <c r="I484" i="52"/>
  <c r="L484" i="52" s="1"/>
  <c r="I483" i="52"/>
  <c r="L483" i="52" s="1"/>
  <c r="I482" i="52"/>
  <c r="L482" i="52" s="1"/>
  <c r="I481" i="52"/>
  <c r="L481" i="52" s="1"/>
  <c r="I480" i="52"/>
  <c r="L480" i="52" s="1"/>
  <c r="L479" i="52"/>
  <c r="I479" i="52"/>
  <c r="I478" i="52"/>
  <c r="L478" i="52" s="1"/>
  <c r="I477" i="52"/>
  <c r="L477" i="52" s="1"/>
  <c r="I476" i="52"/>
  <c r="L476" i="52" s="1"/>
  <c r="L475" i="52"/>
  <c r="I475" i="52"/>
  <c r="I474" i="52"/>
  <c r="L474" i="52" s="1"/>
  <c r="I473" i="52"/>
  <c r="L473" i="52" s="1"/>
  <c r="I472" i="52"/>
  <c r="L472" i="52" s="1"/>
  <c r="I471" i="52"/>
  <c r="L471" i="52" s="1"/>
  <c r="I470" i="52"/>
  <c r="L470" i="52" s="1"/>
  <c r="I469" i="52"/>
  <c r="L469" i="52" s="1"/>
  <c r="I468" i="52"/>
  <c r="L468" i="52" s="1"/>
  <c r="I467" i="52"/>
  <c r="L467" i="52" s="1"/>
  <c r="I466" i="52"/>
  <c r="L466" i="52" s="1"/>
  <c r="I465" i="52"/>
  <c r="L465" i="52" s="1"/>
  <c r="I464" i="52"/>
  <c r="L464" i="52" s="1"/>
  <c r="I463" i="52"/>
  <c r="L463" i="52" s="1"/>
  <c r="I462" i="52"/>
  <c r="L462" i="52" s="1"/>
  <c r="I461" i="52"/>
  <c r="L461" i="52" s="1"/>
  <c r="I460" i="52"/>
  <c r="L460" i="52" s="1"/>
  <c r="I459" i="52"/>
  <c r="L459" i="52" s="1"/>
  <c r="I458" i="52"/>
  <c r="L458" i="52" s="1"/>
  <c r="I457" i="52"/>
  <c r="L457" i="52" s="1"/>
  <c r="I456" i="52"/>
  <c r="L456" i="52" s="1"/>
  <c r="L455" i="52"/>
  <c r="I455" i="52"/>
  <c r="I454" i="52"/>
  <c r="L454" i="52" s="1"/>
  <c r="I453" i="52"/>
  <c r="L453" i="52" s="1"/>
  <c r="I452" i="52"/>
  <c r="L452" i="52" s="1"/>
  <c r="I451" i="52"/>
  <c r="L451" i="52" s="1"/>
  <c r="I450" i="52"/>
  <c r="L450" i="52" s="1"/>
  <c r="I449" i="52"/>
  <c r="L449" i="52" s="1"/>
  <c r="I448" i="52"/>
  <c r="L448" i="52" s="1"/>
  <c r="L447" i="52"/>
  <c r="I447" i="52"/>
  <c r="I446" i="52"/>
  <c r="L446" i="52" s="1"/>
  <c r="I445" i="52"/>
  <c r="L445" i="52" s="1"/>
  <c r="I444" i="52"/>
  <c r="L444" i="52" s="1"/>
  <c r="L443" i="52"/>
  <c r="I443" i="52"/>
  <c r="I442" i="52"/>
  <c r="L442" i="52" s="1"/>
  <c r="I441" i="52"/>
  <c r="L441" i="52" s="1"/>
  <c r="I440" i="52"/>
  <c r="L440" i="52" s="1"/>
  <c r="I439" i="52"/>
  <c r="L439" i="52" s="1"/>
  <c r="I438" i="52"/>
  <c r="L438" i="52" s="1"/>
  <c r="I437" i="52"/>
  <c r="L437" i="52" s="1"/>
  <c r="I436" i="52"/>
  <c r="L436" i="52" s="1"/>
  <c r="I435" i="52"/>
  <c r="L435" i="52" s="1"/>
  <c r="I434" i="52"/>
  <c r="L434" i="52" s="1"/>
  <c r="I433" i="52"/>
  <c r="L433" i="52" s="1"/>
  <c r="I432" i="52"/>
  <c r="L432" i="52" s="1"/>
  <c r="I431" i="52"/>
  <c r="L431" i="52" s="1"/>
  <c r="I430" i="52"/>
  <c r="L430" i="52" s="1"/>
  <c r="I429" i="52"/>
  <c r="L429" i="52" s="1"/>
  <c r="I428" i="52"/>
  <c r="L428" i="52" s="1"/>
  <c r="I427" i="52"/>
  <c r="L427" i="52" s="1"/>
  <c r="I426" i="52"/>
  <c r="L426" i="52" s="1"/>
  <c r="I425" i="52"/>
  <c r="L425" i="52" s="1"/>
  <c r="I424" i="52"/>
  <c r="L424" i="52" s="1"/>
  <c r="L423" i="52"/>
  <c r="I423" i="52"/>
  <c r="I422" i="52"/>
  <c r="L422" i="52" s="1"/>
  <c r="I421" i="52"/>
  <c r="L421" i="52" s="1"/>
  <c r="I420" i="52"/>
  <c r="L420" i="52" s="1"/>
  <c r="I419" i="52"/>
  <c r="L419" i="52" s="1"/>
  <c r="I418" i="52"/>
  <c r="L418" i="52" s="1"/>
  <c r="I417" i="52"/>
  <c r="L417" i="52" s="1"/>
  <c r="I416" i="52"/>
  <c r="L416" i="52" s="1"/>
  <c r="L415" i="52"/>
  <c r="I415" i="52"/>
  <c r="I414" i="52"/>
  <c r="L414" i="52" s="1"/>
  <c r="I413" i="52"/>
  <c r="L413" i="52" s="1"/>
  <c r="I412" i="52"/>
  <c r="L412" i="52" s="1"/>
  <c r="L411" i="52"/>
  <c r="I411" i="52"/>
  <c r="I410" i="52"/>
  <c r="L410" i="52" s="1"/>
  <c r="I409" i="52"/>
  <c r="L409" i="52" s="1"/>
  <c r="I408" i="52"/>
  <c r="L408" i="52" s="1"/>
  <c r="I407" i="52"/>
  <c r="L407" i="52" s="1"/>
  <c r="I406" i="52"/>
  <c r="L406" i="52" s="1"/>
  <c r="I405" i="52"/>
  <c r="L405" i="52" s="1"/>
  <c r="I404" i="52"/>
  <c r="L404" i="52" s="1"/>
  <c r="I403" i="52"/>
  <c r="L403" i="52" s="1"/>
  <c r="I402" i="52"/>
  <c r="L402" i="52" s="1"/>
  <c r="I401" i="52"/>
  <c r="L401" i="52" s="1"/>
  <c r="I400" i="52"/>
  <c r="L400" i="52" s="1"/>
  <c r="I399" i="52"/>
  <c r="L399" i="52" s="1"/>
  <c r="I398" i="52"/>
  <c r="L398" i="52" s="1"/>
  <c r="I397" i="52"/>
  <c r="L397" i="52" s="1"/>
  <c r="I396" i="52"/>
  <c r="L396" i="52" s="1"/>
  <c r="I395" i="52"/>
  <c r="L395" i="52" s="1"/>
  <c r="I394" i="52"/>
  <c r="L394" i="52" s="1"/>
  <c r="I393" i="52"/>
  <c r="L393" i="52" s="1"/>
  <c r="I392" i="52"/>
  <c r="L392" i="52" s="1"/>
  <c r="L391" i="52"/>
  <c r="I391" i="52"/>
  <c r="I390" i="52"/>
  <c r="L390" i="52" s="1"/>
  <c r="I389" i="52"/>
  <c r="L389" i="52" s="1"/>
  <c r="I388" i="52"/>
  <c r="L388" i="52" s="1"/>
  <c r="I387" i="52"/>
  <c r="L387" i="52" s="1"/>
  <c r="I386" i="52"/>
  <c r="L386" i="52" s="1"/>
  <c r="I385" i="52"/>
  <c r="L385" i="52" s="1"/>
  <c r="I384" i="52"/>
  <c r="L384" i="52" s="1"/>
  <c r="L383" i="52"/>
  <c r="I383" i="52"/>
  <c r="I382" i="52"/>
  <c r="L382" i="52" s="1"/>
  <c r="I381" i="52"/>
  <c r="L381" i="52" s="1"/>
  <c r="I380" i="52"/>
  <c r="L380" i="52" s="1"/>
  <c r="L379" i="52"/>
  <c r="I379" i="52"/>
  <c r="I378" i="52"/>
  <c r="L378" i="52" s="1"/>
  <c r="I377" i="52"/>
  <c r="L377" i="52" s="1"/>
  <c r="I376" i="52"/>
  <c r="L376" i="52" s="1"/>
  <c r="I375" i="52"/>
  <c r="L375" i="52" s="1"/>
  <c r="I374" i="52"/>
  <c r="L374" i="52" s="1"/>
  <c r="I373" i="52"/>
  <c r="L373" i="52" s="1"/>
  <c r="I372" i="52"/>
  <c r="L372" i="52" s="1"/>
  <c r="I371" i="52"/>
  <c r="L371" i="52" s="1"/>
  <c r="I370" i="52"/>
  <c r="L370" i="52" s="1"/>
  <c r="I369" i="52"/>
  <c r="L369" i="52" s="1"/>
  <c r="I368" i="52"/>
  <c r="L368" i="52" s="1"/>
  <c r="I367" i="52"/>
  <c r="L367" i="52" s="1"/>
  <c r="I366" i="52"/>
  <c r="L366" i="52" s="1"/>
  <c r="I365" i="52"/>
  <c r="L365" i="52" s="1"/>
  <c r="I364" i="52"/>
  <c r="L364" i="52" s="1"/>
  <c r="I363" i="52"/>
  <c r="L363" i="52" s="1"/>
  <c r="I362" i="52"/>
  <c r="L362" i="52" s="1"/>
  <c r="I361" i="52"/>
  <c r="L361" i="52" s="1"/>
  <c r="I360" i="52"/>
  <c r="L360" i="52" s="1"/>
  <c r="L359" i="52"/>
  <c r="I359" i="52"/>
  <c r="I358" i="52"/>
  <c r="L358" i="52" s="1"/>
  <c r="I357" i="52"/>
  <c r="L357" i="52" s="1"/>
  <c r="I356" i="52"/>
  <c r="L356" i="52" s="1"/>
  <c r="I355" i="52"/>
  <c r="L355" i="52" s="1"/>
  <c r="I354" i="52"/>
  <c r="L354" i="52" s="1"/>
  <c r="I353" i="52"/>
  <c r="L353" i="52" s="1"/>
  <c r="I352" i="52"/>
  <c r="L352" i="52" s="1"/>
  <c r="L351" i="52"/>
  <c r="I351" i="52"/>
  <c r="I350" i="52"/>
  <c r="L350" i="52" s="1"/>
  <c r="I349" i="52"/>
  <c r="L349" i="52" s="1"/>
  <c r="I348" i="52"/>
  <c r="L348" i="52" s="1"/>
  <c r="L347" i="52"/>
  <c r="I347" i="52"/>
  <c r="I346" i="52"/>
  <c r="L346" i="52" s="1"/>
  <c r="I345" i="52"/>
  <c r="L345" i="52" s="1"/>
  <c r="I344" i="52"/>
  <c r="L344" i="52" s="1"/>
  <c r="I343" i="52"/>
  <c r="L343" i="52" s="1"/>
  <c r="I342" i="52"/>
  <c r="L342" i="52" s="1"/>
  <c r="I341" i="52"/>
  <c r="L341" i="52" s="1"/>
  <c r="I340" i="52"/>
  <c r="L340" i="52" s="1"/>
  <c r="I339" i="52"/>
  <c r="L339" i="52" s="1"/>
  <c r="I338" i="52"/>
  <c r="L338" i="52" s="1"/>
  <c r="I337" i="52"/>
  <c r="L337" i="52" s="1"/>
  <c r="I336" i="52"/>
  <c r="L336" i="52" s="1"/>
  <c r="I335" i="52"/>
  <c r="L335" i="52" s="1"/>
  <c r="I334" i="52"/>
  <c r="L334" i="52" s="1"/>
  <c r="I333" i="52"/>
  <c r="L333" i="52" s="1"/>
  <c r="I332" i="52"/>
  <c r="L332" i="52" s="1"/>
  <c r="I331" i="52"/>
  <c r="L331" i="52" s="1"/>
  <c r="I330" i="52"/>
  <c r="L330" i="52" s="1"/>
  <c r="I329" i="52"/>
  <c r="L329" i="52" s="1"/>
  <c r="I328" i="52"/>
  <c r="L328" i="52" s="1"/>
  <c r="L327" i="52"/>
  <c r="I327" i="52"/>
  <c r="I326" i="52"/>
  <c r="L326" i="52" s="1"/>
  <c r="I325" i="52"/>
  <c r="L325" i="52" s="1"/>
  <c r="I324" i="52"/>
  <c r="L324" i="52" s="1"/>
  <c r="I323" i="52"/>
  <c r="L323" i="52" s="1"/>
  <c r="I322" i="52"/>
  <c r="L322" i="52" s="1"/>
  <c r="I321" i="52"/>
  <c r="L321" i="52" s="1"/>
  <c r="I320" i="52"/>
  <c r="L320" i="52" s="1"/>
  <c r="L319" i="52"/>
  <c r="I319" i="52"/>
  <c r="I318" i="52"/>
  <c r="L318" i="52" s="1"/>
  <c r="I317" i="52"/>
  <c r="L317" i="52" s="1"/>
  <c r="I316" i="52"/>
  <c r="L316" i="52" s="1"/>
  <c r="L315" i="52"/>
  <c r="I315" i="52"/>
  <c r="I314" i="52"/>
  <c r="L314" i="52" s="1"/>
  <c r="I313" i="52"/>
  <c r="L313" i="52" s="1"/>
  <c r="I312" i="52"/>
  <c r="L312" i="52" s="1"/>
  <c r="I311" i="52"/>
  <c r="L311" i="52" s="1"/>
  <c r="I310" i="52"/>
  <c r="L310" i="52" s="1"/>
  <c r="I309" i="52"/>
  <c r="L309" i="52" s="1"/>
  <c r="I308" i="52"/>
  <c r="L308" i="52" s="1"/>
  <c r="I307" i="52"/>
  <c r="L307" i="52" s="1"/>
  <c r="I306" i="52"/>
  <c r="L306" i="52" s="1"/>
  <c r="I305" i="52"/>
  <c r="L305" i="52" s="1"/>
  <c r="I304" i="52"/>
  <c r="L304" i="52" s="1"/>
  <c r="I303" i="52"/>
  <c r="L303" i="52" s="1"/>
  <c r="I302" i="52"/>
  <c r="L302" i="52" s="1"/>
  <c r="I301" i="52"/>
  <c r="L301" i="52" s="1"/>
  <c r="I300" i="52"/>
  <c r="L300" i="52" s="1"/>
  <c r="I299" i="52"/>
  <c r="L299" i="52" s="1"/>
  <c r="I298" i="52"/>
  <c r="L298" i="52" s="1"/>
  <c r="I297" i="52"/>
  <c r="L297" i="52" s="1"/>
  <c r="I296" i="52"/>
  <c r="L296" i="52" s="1"/>
  <c r="L295" i="52"/>
  <c r="I295" i="52"/>
  <c r="I294" i="52"/>
  <c r="L294" i="52" s="1"/>
  <c r="I293" i="52"/>
  <c r="L293" i="52" s="1"/>
  <c r="I292" i="52"/>
  <c r="L292" i="52" s="1"/>
  <c r="I291" i="52"/>
  <c r="L291" i="52" s="1"/>
  <c r="I290" i="52"/>
  <c r="L290" i="52" s="1"/>
  <c r="I289" i="52"/>
  <c r="L289" i="52" s="1"/>
  <c r="I288" i="52"/>
  <c r="L288" i="52" s="1"/>
  <c r="L287" i="52"/>
  <c r="I287" i="52"/>
  <c r="I286" i="52"/>
  <c r="L286" i="52" s="1"/>
  <c r="I285" i="52"/>
  <c r="L285" i="52" s="1"/>
  <c r="I284" i="52"/>
  <c r="L284" i="52" s="1"/>
  <c r="L283" i="52"/>
  <c r="I283" i="52"/>
  <c r="I282" i="52"/>
  <c r="L282" i="52" s="1"/>
  <c r="I281" i="52"/>
  <c r="L281" i="52" s="1"/>
  <c r="I280" i="52"/>
  <c r="L280" i="52" s="1"/>
  <c r="I279" i="52"/>
  <c r="L279" i="52" s="1"/>
  <c r="I278" i="52"/>
  <c r="L278" i="52" s="1"/>
  <c r="I277" i="52"/>
  <c r="L277" i="52" s="1"/>
  <c r="I276" i="52"/>
  <c r="L276" i="52" s="1"/>
  <c r="I275" i="52"/>
  <c r="L275" i="52" s="1"/>
  <c r="I274" i="52"/>
  <c r="L274" i="52" s="1"/>
  <c r="I273" i="52"/>
  <c r="L273" i="52" s="1"/>
  <c r="I272" i="52"/>
  <c r="L272" i="52" s="1"/>
  <c r="I271" i="52"/>
  <c r="L271" i="52" s="1"/>
  <c r="I270" i="52"/>
  <c r="L270" i="52" s="1"/>
  <c r="I269" i="52"/>
  <c r="L269" i="52" s="1"/>
  <c r="I268" i="52"/>
  <c r="L268" i="52" s="1"/>
  <c r="I267" i="52"/>
  <c r="L267" i="52" s="1"/>
  <c r="I266" i="52"/>
  <c r="L266" i="52" s="1"/>
  <c r="L265" i="52"/>
  <c r="I265" i="52"/>
  <c r="I264" i="52"/>
  <c r="L264" i="52" s="1"/>
  <c r="I263" i="52"/>
  <c r="L263" i="52" s="1"/>
  <c r="I262" i="52"/>
  <c r="L262" i="52" s="1"/>
  <c r="I261" i="52"/>
  <c r="L261" i="52" s="1"/>
  <c r="I260" i="52"/>
  <c r="L260" i="52" s="1"/>
  <c r="I259" i="52"/>
  <c r="L259" i="52" s="1"/>
  <c r="I258" i="52"/>
  <c r="L258" i="52" s="1"/>
  <c r="I257" i="52"/>
  <c r="L257" i="52" s="1"/>
  <c r="I256" i="52"/>
  <c r="L256" i="52" s="1"/>
  <c r="I255" i="52"/>
  <c r="L255" i="52" s="1"/>
  <c r="I254" i="52"/>
  <c r="L254" i="52" s="1"/>
  <c r="L253" i="52"/>
  <c r="I253" i="52"/>
  <c r="I252" i="52"/>
  <c r="L252" i="52" s="1"/>
  <c r="I251" i="52"/>
  <c r="L251" i="52" s="1"/>
  <c r="I250" i="52"/>
  <c r="L250" i="52" s="1"/>
  <c r="I249" i="52"/>
  <c r="L249" i="52" s="1"/>
  <c r="I248" i="52"/>
  <c r="L248" i="52" s="1"/>
  <c r="I247" i="52"/>
  <c r="L247" i="52" s="1"/>
  <c r="L246" i="52"/>
  <c r="I246" i="52"/>
  <c r="L245" i="52"/>
  <c r="I245" i="52"/>
  <c r="I244" i="52"/>
  <c r="L244" i="52" s="1"/>
  <c r="I243" i="52"/>
  <c r="L243" i="52" s="1"/>
  <c r="I242" i="52"/>
  <c r="L242" i="52" s="1"/>
  <c r="I241" i="52"/>
  <c r="L241" i="52" s="1"/>
  <c r="I240" i="52"/>
  <c r="L240" i="52" s="1"/>
  <c r="I239" i="52"/>
  <c r="L239" i="52" s="1"/>
  <c r="I238" i="52"/>
  <c r="L238" i="52" s="1"/>
  <c r="I237" i="52"/>
  <c r="L237" i="52" s="1"/>
  <c r="I236" i="52"/>
  <c r="L236" i="52" s="1"/>
  <c r="I235" i="52"/>
  <c r="L235" i="52" s="1"/>
  <c r="I234" i="52"/>
  <c r="L234" i="52" s="1"/>
  <c r="I233" i="52"/>
  <c r="L233" i="52" s="1"/>
  <c r="I232" i="52"/>
  <c r="L232" i="52" s="1"/>
  <c r="I231" i="52"/>
  <c r="L231" i="52" s="1"/>
  <c r="I230" i="52"/>
  <c r="L230" i="52" s="1"/>
  <c r="L229" i="52"/>
  <c r="I229" i="52"/>
  <c r="I228" i="52"/>
  <c r="L228" i="52" s="1"/>
  <c r="I227" i="52"/>
  <c r="L227" i="52" s="1"/>
  <c r="I226" i="52"/>
  <c r="L226" i="52" s="1"/>
  <c r="I225" i="52"/>
  <c r="L225" i="52" s="1"/>
  <c r="I224" i="52"/>
  <c r="L224" i="52" s="1"/>
  <c r="L223" i="52"/>
  <c r="I223" i="52"/>
  <c r="I222" i="52"/>
  <c r="L222" i="52" s="1"/>
  <c r="I221" i="52"/>
  <c r="L221" i="52" s="1"/>
  <c r="I220" i="52"/>
  <c r="L220" i="52" s="1"/>
  <c r="I219" i="52"/>
  <c r="L219" i="52" s="1"/>
  <c r="I218" i="52"/>
  <c r="L218" i="52" s="1"/>
  <c r="L217" i="52"/>
  <c r="I217" i="52"/>
  <c r="I216" i="52"/>
  <c r="L216" i="52" s="1"/>
  <c r="I215" i="52"/>
  <c r="L215" i="52" s="1"/>
  <c r="I214" i="52"/>
  <c r="L214" i="52" s="1"/>
  <c r="I213" i="52"/>
  <c r="L213" i="52" s="1"/>
  <c r="I212" i="52"/>
  <c r="L212" i="52" s="1"/>
  <c r="I211" i="52"/>
  <c r="L211" i="52" s="1"/>
  <c r="I210" i="52"/>
  <c r="L210" i="52" s="1"/>
  <c r="I209" i="52"/>
  <c r="L209" i="52" s="1"/>
  <c r="I208" i="52"/>
  <c r="L208" i="52" s="1"/>
  <c r="I207" i="52"/>
  <c r="L207" i="52" s="1"/>
  <c r="I206" i="52"/>
  <c r="L206" i="52" s="1"/>
  <c r="L205" i="52"/>
  <c r="I205" i="52"/>
  <c r="I204" i="52"/>
  <c r="L204" i="52" s="1"/>
  <c r="L203" i="52"/>
  <c r="I203" i="52"/>
  <c r="I202" i="52"/>
  <c r="L202" i="52" s="1"/>
  <c r="I201" i="52"/>
  <c r="L201" i="52" s="1"/>
  <c r="I200" i="52"/>
  <c r="L200" i="52" s="1"/>
  <c r="L199" i="52"/>
  <c r="I199" i="52"/>
  <c r="I198" i="52"/>
  <c r="L198" i="52" s="1"/>
  <c r="I197" i="52"/>
  <c r="L197" i="52" s="1"/>
  <c r="I196" i="52"/>
  <c r="L196" i="52" s="1"/>
  <c r="I195" i="52"/>
  <c r="L195" i="52" s="1"/>
  <c r="L194" i="52"/>
  <c r="I194" i="52"/>
  <c r="I193" i="52"/>
  <c r="L193" i="52" s="1"/>
  <c r="I192" i="52"/>
  <c r="L192" i="52" s="1"/>
  <c r="I191" i="52"/>
  <c r="L191" i="52" s="1"/>
  <c r="I190" i="52"/>
  <c r="L190" i="52" s="1"/>
  <c r="L189" i="52"/>
  <c r="I189" i="52"/>
  <c r="I188" i="52"/>
  <c r="L188" i="52" s="1"/>
  <c r="I187" i="52"/>
  <c r="L187" i="52" s="1"/>
  <c r="I186" i="52"/>
  <c r="L186" i="52" s="1"/>
  <c r="I185" i="52"/>
  <c r="L185" i="52" s="1"/>
  <c r="I184" i="52"/>
  <c r="L184" i="52" s="1"/>
  <c r="I183" i="52"/>
  <c r="L183" i="52" s="1"/>
  <c r="L182" i="52"/>
  <c r="I182" i="52"/>
  <c r="I181" i="52"/>
  <c r="L181" i="52" s="1"/>
  <c r="I180" i="52"/>
  <c r="L180" i="52" s="1"/>
  <c r="I179" i="52"/>
  <c r="L179" i="52" s="1"/>
  <c r="I178" i="52"/>
  <c r="L178" i="52" s="1"/>
  <c r="I177" i="52"/>
  <c r="L177" i="52" s="1"/>
  <c r="I176" i="52"/>
  <c r="L176" i="52" s="1"/>
  <c r="L175" i="52"/>
  <c r="I175" i="52"/>
  <c r="I174" i="52"/>
  <c r="L174" i="52" s="1"/>
  <c r="I173" i="52"/>
  <c r="L173" i="52" s="1"/>
  <c r="I172" i="52"/>
  <c r="L172" i="52" s="1"/>
  <c r="I171" i="52"/>
  <c r="L171" i="52" s="1"/>
  <c r="I170" i="52"/>
  <c r="L170" i="52" s="1"/>
  <c r="I169" i="52"/>
  <c r="L169" i="52" s="1"/>
  <c r="I168" i="52"/>
  <c r="L168" i="52" s="1"/>
  <c r="I167" i="52"/>
  <c r="L167" i="52" s="1"/>
  <c r="I166" i="52"/>
  <c r="L166" i="52" s="1"/>
  <c r="L165" i="52"/>
  <c r="I165" i="52"/>
  <c r="I164" i="52"/>
  <c r="L164" i="52" s="1"/>
  <c r="I163" i="52"/>
  <c r="L163" i="52" s="1"/>
  <c r="I162" i="52"/>
  <c r="L162" i="52" s="1"/>
  <c r="I161" i="52"/>
  <c r="L161" i="52" s="1"/>
  <c r="I160" i="52"/>
  <c r="L160" i="52" s="1"/>
  <c r="I159" i="52"/>
  <c r="L159" i="52" s="1"/>
  <c r="I158" i="52"/>
  <c r="L158" i="52" s="1"/>
  <c r="I157" i="52"/>
  <c r="L157" i="52" s="1"/>
  <c r="I156" i="52"/>
  <c r="L156" i="52" s="1"/>
  <c r="I155" i="52"/>
  <c r="L155" i="52" s="1"/>
  <c r="I154" i="52"/>
  <c r="L154" i="52" s="1"/>
  <c r="L153" i="52"/>
  <c r="I153" i="52"/>
  <c r="I152" i="52"/>
  <c r="L152" i="52" s="1"/>
  <c r="I151" i="52"/>
  <c r="L151" i="52" s="1"/>
  <c r="I150" i="52"/>
  <c r="L150" i="52" s="1"/>
  <c r="I149" i="52"/>
  <c r="L149" i="52" s="1"/>
  <c r="I148" i="52"/>
  <c r="L148" i="52" s="1"/>
  <c r="L147" i="52"/>
  <c r="I147" i="52"/>
  <c r="I146" i="52"/>
  <c r="L146" i="52" s="1"/>
  <c r="I145" i="52"/>
  <c r="L145" i="52" s="1"/>
  <c r="I144" i="52"/>
  <c r="L144" i="52" s="1"/>
  <c r="I143" i="52"/>
  <c r="L143" i="52" s="1"/>
  <c r="I142" i="52"/>
  <c r="L142" i="52" s="1"/>
  <c r="I141" i="52"/>
  <c r="L141" i="52" s="1"/>
  <c r="I140" i="52"/>
  <c r="L140" i="52" s="1"/>
  <c r="L139" i="52"/>
  <c r="I139" i="52"/>
  <c r="I138" i="52"/>
  <c r="L138" i="52" s="1"/>
  <c r="I137" i="52"/>
  <c r="L137" i="52" s="1"/>
  <c r="I136" i="52"/>
  <c r="L136" i="52" s="1"/>
  <c r="I135" i="52"/>
  <c r="L135" i="52" s="1"/>
  <c r="I134" i="52"/>
  <c r="L134" i="52" s="1"/>
  <c r="I133" i="52"/>
  <c r="L133" i="52" s="1"/>
  <c r="I132" i="52"/>
  <c r="L132" i="52" s="1"/>
  <c r="I131" i="52"/>
  <c r="L131" i="52" s="1"/>
  <c r="L130" i="52"/>
  <c r="I130" i="52"/>
  <c r="I129" i="52"/>
  <c r="L129" i="52" s="1"/>
  <c r="I128" i="52"/>
  <c r="L128" i="52" s="1"/>
  <c r="I127" i="52"/>
  <c r="L127" i="52" s="1"/>
  <c r="I126" i="52"/>
  <c r="L126" i="52" s="1"/>
  <c r="I125" i="52"/>
  <c r="L125" i="52" s="1"/>
  <c r="I124" i="52"/>
  <c r="L124" i="52" s="1"/>
  <c r="L123" i="52"/>
  <c r="I123" i="52"/>
  <c r="L122" i="52"/>
  <c r="I122" i="52"/>
  <c r="I121" i="52"/>
  <c r="L121" i="52" s="1"/>
  <c r="I120" i="52"/>
  <c r="L120" i="52" s="1"/>
  <c r="I119" i="52"/>
  <c r="L119" i="52" s="1"/>
  <c r="I118" i="52"/>
  <c r="L118" i="52" s="1"/>
  <c r="I117" i="52"/>
  <c r="L117" i="52" s="1"/>
  <c r="I116" i="52"/>
  <c r="L116" i="52" s="1"/>
  <c r="I115" i="52"/>
  <c r="L115" i="52" s="1"/>
  <c r="I114" i="52"/>
  <c r="L114" i="52" s="1"/>
  <c r="L113" i="52"/>
  <c r="I113" i="52"/>
  <c r="I112" i="52"/>
  <c r="L112" i="52" s="1"/>
  <c r="I111" i="52"/>
  <c r="L111" i="52" s="1"/>
  <c r="I110" i="52"/>
  <c r="L110" i="52" s="1"/>
  <c r="I109" i="52"/>
  <c r="L109" i="52" s="1"/>
  <c r="I108" i="52"/>
  <c r="L108" i="52" s="1"/>
  <c r="I107" i="52"/>
  <c r="L107" i="52" s="1"/>
  <c r="I106" i="52"/>
  <c r="L106" i="52" s="1"/>
  <c r="I105" i="52"/>
  <c r="L105" i="52" s="1"/>
  <c r="I104" i="52"/>
  <c r="L104" i="52" s="1"/>
  <c r="I103" i="52"/>
  <c r="L103" i="52" s="1"/>
  <c r="I102" i="52"/>
  <c r="L102" i="52" s="1"/>
  <c r="I101" i="52"/>
  <c r="L101" i="52" s="1"/>
  <c r="I100" i="52"/>
  <c r="L100" i="52" s="1"/>
  <c r="I99" i="52"/>
  <c r="L99" i="52" s="1"/>
  <c r="I98" i="52"/>
  <c r="L98" i="52" s="1"/>
  <c r="I97" i="52"/>
  <c r="L97" i="52" s="1"/>
  <c r="I96" i="52"/>
  <c r="L96" i="52" s="1"/>
  <c r="I95" i="52"/>
  <c r="L95" i="52" s="1"/>
  <c r="I94" i="52"/>
  <c r="L94" i="52" s="1"/>
  <c r="I93" i="52"/>
  <c r="L93" i="52" s="1"/>
  <c r="I92" i="52"/>
  <c r="L92" i="52" s="1"/>
  <c r="I91" i="52"/>
  <c r="L91" i="52" s="1"/>
  <c r="I90" i="52"/>
  <c r="L90" i="52" s="1"/>
  <c r="I89" i="52"/>
  <c r="L89" i="52" s="1"/>
  <c r="I88" i="52"/>
  <c r="L88" i="52" s="1"/>
  <c r="I87" i="52"/>
  <c r="L87" i="52" s="1"/>
  <c r="I86" i="52"/>
  <c r="L86" i="52" s="1"/>
  <c r="I85" i="52"/>
  <c r="L85" i="52" s="1"/>
  <c r="I84" i="52"/>
  <c r="L84" i="52" s="1"/>
  <c r="I83" i="52"/>
  <c r="L83" i="52" s="1"/>
  <c r="I82" i="52"/>
  <c r="L82" i="52" s="1"/>
  <c r="I81" i="52"/>
  <c r="L81" i="52" s="1"/>
  <c r="I80" i="52"/>
  <c r="L80" i="52" s="1"/>
  <c r="I79" i="52"/>
  <c r="L79" i="52" s="1"/>
  <c r="I78" i="52"/>
  <c r="L78" i="52" s="1"/>
  <c r="I77" i="52"/>
  <c r="L77" i="52" s="1"/>
  <c r="I76" i="52"/>
  <c r="L76" i="52" s="1"/>
  <c r="I75" i="52"/>
  <c r="L75" i="52" s="1"/>
  <c r="I74" i="52"/>
  <c r="L74" i="52" s="1"/>
  <c r="I73" i="52"/>
  <c r="L73" i="52" s="1"/>
  <c r="I72" i="52"/>
  <c r="L72" i="52" s="1"/>
  <c r="I71" i="52"/>
  <c r="L71" i="52" s="1"/>
  <c r="I70" i="52"/>
  <c r="L70" i="52" s="1"/>
  <c r="I69" i="52"/>
  <c r="L69" i="52" s="1"/>
  <c r="I68" i="52"/>
  <c r="L68" i="52" s="1"/>
  <c r="I67" i="52"/>
  <c r="L67" i="52" s="1"/>
  <c r="I66" i="52"/>
  <c r="L66" i="52" s="1"/>
  <c r="I65" i="52"/>
  <c r="L65" i="52" s="1"/>
  <c r="I64" i="52"/>
  <c r="L64" i="52" s="1"/>
  <c r="I63" i="52"/>
  <c r="L63" i="52" s="1"/>
  <c r="I62" i="52"/>
  <c r="L62" i="52" s="1"/>
  <c r="I61" i="52"/>
  <c r="L61" i="52" s="1"/>
  <c r="I60" i="52"/>
  <c r="L60" i="52" s="1"/>
  <c r="I59" i="52"/>
  <c r="L59" i="52" s="1"/>
  <c r="I58" i="52"/>
  <c r="L58" i="52" s="1"/>
  <c r="I57" i="52"/>
  <c r="L57" i="52" s="1"/>
  <c r="I56" i="52"/>
  <c r="L56" i="52" s="1"/>
  <c r="I55" i="52"/>
  <c r="L55" i="52" s="1"/>
  <c r="I54" i="52"/>
  <c r="L54" i="52" s="1"/>
  <c r="I53" i="52"/>
  <c r="L53" i="52" s="1"/>
  <c r="I52" i="52"/>
  <c r="L52" i="52" s="1"/>
  <c r="I51" i="52"/>
  <c r="L51" i="52" s="1"/>
  <c r="I50" i="52"/>
  <c r="L50" i="52" s="1"/>
  <c r="I49" i="52"/>
  <c r="L49" i="52" s="1"/>
  <c r="I48" i="52"/>
  <c r="L48" i="52" s="1"/>
  <c r="I47" i="52"/>
  <c r="L47" i="52" s="1"/>
  <c r="I46" i="52"/>
  <c r="L46" i="52" s="1"/>
  <c r="I45" i="52"/>
  <c r="L45" i="52" s="1"/>
  <c r="I44" i="52"/>
  <c r="L44" i="52" s="1"/>
  <c r="I43" i="52"/>
  <c r="L43" i="52" s="1"/>
  <c r="I42" i="52"/>
  <c r="L42" i="52" s="1"/>
  <c r="I41" i="52"/>
  <c r="L41" i="52" s="1"/>
  <c r="I40" i="52"/>
  <c r="L40" i="52" s="1"/>
  <c r="I39" i="52"/>
  <c r="L39" i="52" s="1"/>
  <c r="I38" i="52"/>
  <c r="L38" i="52" s="1"/>
  <c r="I37" i="52"/>
  <c r="L37" i="52" s="1"/>
  <c r="I36" i="52"/>
  <c r="L36" i="52" s="1"/>
  <c r="I35" i="52"/>
  <c r="L35" i="52" s="1"/>
  <c r="I34" i="52"/>
  <c r="L34" i="52" s="1"/>
  <c r="I33" i="52"/>
  <c r="L33" i="52" s="1"/>
  <c r="I32" i="52"/>
  <c r="L32" i="52" s="1"/>
  <c r="I31" i="52"/>
  <c r="L31" i="52" s="1"/>
  <c r="I30" i="52"/>
  <c r="L30" i="52" s="1"/>
  <c r="I29" i="52"/>
  <c r="L29" i="52" s="1"/>
  <c r="I28" i="52"/>
  <c r="L28" i="52" s="1"/>
  <c r="I27" i="52"/>
  <c r="L27" i="52" s="1"/>
  <c r="I26" i="52"/>
  <c r="L26" i="52" s="1"/>
  <c r="I25" i="52"/>
  <c r="L25" i="52" s="1"/>
  <c r="I24" i="52"/>
  <c r="L24" i="52" s="1"/>
  <c r="I23" i="52"/>
  <c r="L23" i="52" s="1"/>
  <c r="I22" i="52"/>
  <c r="L22" i="52" s="1"/>
  <c r="I21" i="52"/>
  <c r="L21" i="52" s="1"/>
  <c r="I20" i="52"/>
  <c r="L20" i="52" s="1"/>
  <c r="I19" i="52"/>
  <c r="L19" i="52" s="1"/>
  <c r="I18" i="52"/>
  <c r="L18" i="52" s="1"/>
  <c r="I17" i="52"/>
  <c r="L17" i="52" s="1"/>
  <c r="I16" i="52"/>
  <c r="L16" i="52" s="1"/>
  <c r="I15" i="52"/>
  <c r="L15" i="52" s="1"/>
  <c r="I14" i="52"/>
  <c r="L14" i="52" s="1"/>
  <c r="I13" i="52"/>
  <c r="L13" i="52" s="1"/>
  <c r="I12" i="52"/>
  <c r="L12" i="52" s="1"/>
  <c r="I11" i="52"/>
  <c r="L11" i="52" s="1"/>
  <c r="I10" i="52"/>
  <c r="L10" i="52" s="1"/>
  <c r="I9" i="52"/>
  <c r="L9" i="52" s="1"/>
  <c r="I8" i="52"/>
  <c r="L8" i="52" s="1"/>
  <c r="I7" i="52"/>
  <c r="L7" i="52" s="1"/>
  <c r="I6" i="52"/>
  <c r="L6" i="52" s="1"/>
  <c r="K3" i="52"/>
  <c r="J3" i="52"/>
  <c r="F3" i="52"/>
  <c r="A3" i="52"/>
  <c r="I879" i="52" l="1"/>
  <c r="I3" i="52" s="1"/>
  <c r="L3" i="52" s="1"/>
  <c r="L879" i="52"/>
  <c r="M3" i="5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91" authorId="0" shapeId="0" xr:uid="{FABF41FE-D0E4-465D-8CA6-A2896BBBCFE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43" authorId="0" shapeId="0" xr:uid="{E4639470-D66F-402B-BD5D-E33FF13C1BF4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42" authorId="0" shapeId="0" xr:uid="{F4CDA3D4-DAB6-4F55-A5DA-3263DE7393E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399" authorId="0" shapeId="0" xr:uid="{676D05EE-7F9E-4FD5-9274-2BC8EE45352A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L126" authorId="0" shapeId="0" xr:uid="{0CD4A437-7B0D-4CBC-9BE3-9DAE87AABA31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L1498" authorId="0" shapeId="0" xr:uid="{EE97BEC8-8934-4B0F-A579-DBF7F7DBAA6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sharedStrings.xml><?xml version="1.0" encoding="utf-8"?>
<sst xmlns="http://schemas.openxmlformats.org/spreadsheetml/2006/main" count="31551" uniqueCount="7170">
  <si>
    <t>TOTAL</t>
  </si>
  <si>
    <t>ASKI MULTIPURPOSE COOPERATIVE</t>
  </si>
  <si>
    <t>DATE</t>
  </si>
  <si>
    <t>QTY.</t>
  </si>
  <si>
    <t>DESCRIPTION</t>
  </si>
  <si>
    <t>UNIT PRICE</t>
  </si>
  <si>
    <t>UNIT</t>
  </si>
  <si>
    <t>PARTICULAR</t>
  </si>
  <si>
    <t>SALES DISCOUNT</t>
  </si>
  <si>
    <t>NET SALES</t>
  </si>
  <si>
    <t>CASH SALE</t>
  </si>
  <si>
    <t>ACCOUNT RECEIVABLE</t>
  </si>
  <si>
    <t>DR</t>
  </si>
  <si>
    <t>DEPT</t>
  </si>
  <si>
    <t>SALES BOOK - PRINTING AND OFFICE SUPPLIES</t>
  </si>
  <si>
    <t>SALES BOOK - WATER HOPE GAPAN</t>
  </si>
  <si>
    <t>CRB</t>
  </si>
  <si>
    <t>SALES</t>
  </si>
  <si>
    <t>COST PRICE</t>
  </si>
  <si>
    <t>TRANSACTION NO:</t>
  </si>
  <si>
    <t>PRINTING BONUS SHORT</t>
  </si>
  <si>
    <t>PRINTING PERFECT PRINT LONG</t>
  </si>
  <si>
    <t>PRINTING PERFECT PRINT SHORT</t>
  </si>
  <si>
    <t xml:space="preserve">PRINTING BONUS LONG </t>
  </si>
  <si>
    <t>PRINTING FOLDER LONG WHITE</t>
  </si>
  <si>
    <t>PRINTING FORMS BONUS LONG</t>
  </si>
  <si>
    <t>PRINTING FORMS PERFECT PRINT LONG</t>
  </si>
  <si>
    <t>PRINTING HBW MATRIX BLACK</t>
  </si>
  <si>
    <t>GJ</t>
  </si>
  <si>
    <t>PRINTING MY GEL SIGNPEN BLACK 0.5</t>
  </si>
  <si>
    <t>PRINTING WHITE ENVELOPE SOBRE LONG</t>
  </si>
  <si>
    <t>COGS</t>
  </si>
  <si>
    <t>0-138419</t>
  </si>
  <si>
    <t>0-136542</t>
  </si>
  <si>
    <t>0-136550</t>
  </si>
  <si>
    <t>0-136551</t>
  </si>
  <si>
    <t>0-136552</t>
  </si>
  <si>
    <t>0-136553</t>
  </si>
  <si>
    <t>0-136554</t>
  </si>
  <si>
    <t>0-136556</t>
  </si>
  <si>
    <t>0-136557</t>
  </si>
  <si>
    <t>0-136558</t>
  </si>
  <si>
    <t>0-136559</t>
  </si>
  <si>
    <t>0-136560</t>
  </si>
  <si>
    <t>0-136561</t>
  </si>
  <si>
    <t>0-136564</t>
  </si>
  <si>
    <t>0-136565</t>
  </si>
  <si>
    <t>0-136570</t>
  </si>
  <si>
    <t>0-136572</t>
  </si>
  <si>
    <t>0-136573</t>
  </si>
  <si>
    <t>0-136574</t>
  </si>
  <si>
    <t>0-136575</t>
  </si>
  <si>
    <t>0-136576</t>
  </si>
  <si>
    <t>0-136577</t>
  </si>
  <si>
    <t>0-136579</t>
  </si>
  <si>
    <t>0-136582</t>
  </si>
  <si>
    <t>0-136583</t>
  </si>
  <si>
    <t>0-136584</t>
  </si>
  <si>
    <t>0-136585</t>
  </si>
  <si>
    <t>0-136586</t>
  </si>
  <si>
    <t>0-136587</t>
  </si>
  <si>
    <t>0-136589</t>
  </si>
  <si>
    <t>0-136590</t>
  </si>
  <si>
    <t>0-136591</t>
  </si>
  <si>
    <t>0-136592</t>
  </si>
  <si>
    <t>0-136593</t>
  </si>
  <si>
    <t>0-136594</t>
  </si>
  <si>
    <t>0-136595</t>
  </si>
  <si>
    <t>0-136597</t>
  </si>
  <si>
    <t>0-136599</t>
  </si>
  <si>
    <t>0-136602</t>
  </si>
  <si>
    <t>0-136604</t>
  </si>
  <si>
    <t>0-136606</t>
  </si>
  <si>
    <t>0-136607</t>
  </si>
  <si>
    <t>0-136608</t>
  </si>
  <si>
    <t>0-136609</t>
  </si>
  <si>
    <t>0-136610</t>
  </si>
  <si>
    <t>0-136611</t>
  </si>
  <si>
    <t>0-136612</t>
  </si>
  <si>
    <t>0-136613</t>
  </si>
  <si>
    <t>0-136614</t>
  </si>
  <si>
    <t>0-136615</t>
  </si>
  <si>
    <t>0-136616</t>
  </si>
  <si>
    <t>0-136617</t>
  </si>
  <si>
    <t>0-136619</t>
  </si>
  <si>
    <t>0-136621</t>
  </si>
  <si>
    <t>0-136622</t>
  </si>
  <si>
    <t>0-136623</t>
  </si>
  <si>
    <t>0-136624</t>
  </si>
  <si>
    <t>0-136625</t>
  </si>
  <si>
    <t>0-136626</t>
  </si>
  <si>
    <t>0-136627</t>
  </si>
  <si>
    <t>0-136630</t>
  </si>
  <si>
    <t>0-136631</t>
  </si>
  <si>
    <t>0-136632</t>
  </si>
  <si>
    <t>0-136634</t>
  </si>
  <si>
    <t>0-136635</t>
  </si>
  <si>
    <t>0-136637</t>
  </si>
  <si>
    <t>0-136638</t>
  </si>
  <si>
    <t>0-136640</t>
  </si>
  <si>
    <t>0-136641</t>
  </si>
  <si>
    <t>0-136644</t>
  </si>
  <si>
    <t>0-136646</t>
  </si>
  <si>
    <t>0-136647</t>
  </si>
  <si>
    <t>0-136649</t>
  </si>
  <si>
    <t>0-136650</t>
  </si>
  <si>
    <t>0-136651</t>
  </si>
  <si>
    <t>0-136652</t>
  </si>
  <si>
    <t>0-136653</t>
  </si>
  <si>
    <t>0-136654</t>
  </si>
  <si>
    <t>0-136655</t>
  </si>
  <si>
    <t>0-136656</t>
  </si>
  <si>
    <t>0-136658</t>
  </si>
  <si>
    <t>0-136660</t>
  </si>
  <si>
    <t>0-136661</t>
  </si>
  <si>
    <t>0-136662</t>
  </si>
  <si>
    <t>0-136665</t>
  </si>
  <si>
    <t>0-136670</t>
  </si>
  <si>
    <t>0-136671</t>
  </si>
  <si>
    <t>0-136672</t>
  </si>
  <si>
    <t>0-136673</t>
  </si>
  <si>
    <t>0-136676</t>
  </si>
  <si>
    <t>0-136677</t>
  </si>
  <si>
    <t>0-136679</t>
  </si>
  <si>
    <t>0-136682</t>
  </si>
  <si>
    <t>0-136683</t>
  </si>
  <si>
    <t>0-136684</t>
  </si>
  <si>
    <t>0-136687</t>
  </si>
  <si>
    <t>0-136688</t>
  </si>
  <si>
    <t>0-136691</t>
  </si>
  <si>
    <t>0-136692</t>
  </si>
  <si>
    <t>0-136693</t>
  </si>
  <si>
    <t>0-136694</t>
  </si>
  <si>
    <t>0-136696</t>
  </si>
  <si>
    <t>0-136697</t>
  </si>
  <si>
    <t>0-136698</t>
  </si>
  <si>
    <t>0-136700</t>
  </si>
  <si>
    <t>0-136702</t>
  </si>
  <si>
    <t>0-136703</t>
  </si>
  <si>
    <t>0-136705</t>
  </si>
  <si>
    <t>0-136710</t>
  </si>
  <si>
    <t>0-136711</t>
  </si>
  <si>
    <t>0-136712</t>
  </si>
  <si>
    <t>0-136713</t>
  </si>
  <si>
    <t>0-136714</t>
  </si>
  <si>
    <t>0-136715</t>
  </si>
  <si>
    <t>0-136716</t>
  </si>
  <si>
    <t>0-136718</t>
  </si>
  <si>
    <t>0-136719</t>
  </si>
  <si>
    <t>0-136720</t>
  </si>
  <si>
    <t>0-136722</t>
  </si>
  <si>
    <t>0-136725</t>
  </si>
  <si>
    <t>0-136726</t>
  </si>
  <si>
    <t>0-136727</t>
  </si>
  <si>
    <t>0-136728</t>
  </si>
  <si>
    <t>0-136729</t>
  </si>
  <si>
    <t>0-136731</t>
  </si>
  <si>
    <t>0-136732</t>
  </si>
  <si>
    <t>0-136734</t>
  </si>
  <si>
    <t>0-136752</t>
  </si>
  <si>
    <t>0-136753</t>
  </si>
  <si>
    <t>0-136754</t>
  </si>
  <si>
    <t>0-136755</t>
  </si>
  <si>
    <t>0-136756</t>
  </si>
  <si>
    <t>0-136757</t>
  </si>
  <si>
    <t>0-136758</t>
  </si>
  <si>
    <t>0-136759</t>
  </si>
  <si>
    <t>0-136760</t>
  </si>
  <si>
    <t>0-136761</t>
  </si>
  <si>
    <t>0-136762</t>
  </si>
  <si>
    <t>0-136764</t>
  </si>
  <si>
    <t>0-136765</t>
  </si>
  <si>
    <t>0-136766</t>
  </si>
  <si>
    <t>0-136767</t>
  </si>
  <si>
    <t>0-136768</t>
  </si>
  <si>
    <t>0-136771</t>
  </si>
  <si>
    <t>0-136772</t>
  </si>
  <si>
    <t>0-136773</t>
  </si>
  <si>
    <t>0-136774</t>
  </si>
  <si>
    <t>0-136775</t>
  </si>
  <si>
    <t>0-136776</t>
  </si>
  <si>
    <t>0-136777</t>
  </si>
  <si>
    <t>0-136779</t>
  </si>
  <si>
    <t>0-136780</t>
  </si>
  <si>
    <t>0-136781</t>
  </si>
  <si>
    <t>0-136782</t>
  </si>
  <si>
    <t>0-136783</t>
  </si>
  <si>
    <t>0-136784</t>
  </si>
  <si>
    <t>0-136785</t>
  </si>
  <si>
    <t>0-136788</t>
  </si>
  <si>
    <t>0-136789</t>
  </si>
  <si>
    <t>0-136790</t>
  </si>
  <si>
    <t>0-136792</t>
  </si>
  <si>
    <t>0-136793</t>
  </si>
  <si>
    <t>0-136794</t>
  </si>
  <si>
    <t>0-136795</t>
  </si>
  <si>
    <t>0-136798</t>
  </si>
  <si>
    <t>0-136800</t>
  </si>
  <si>
    <t>0-136801</t>
  </si>
  <si>
    <t>0-136803</t>
  </si>
  <si>
    <t>0-136804</t>
  </si>
  <si>
    <t>0-136806</t>
  </si>
  <si>
    <t>0-136807</t>
  </si>
  <si>
    <t>0-136808</t>
  </si>
  <si>
    <t>0-136809</t>
  </si>
  <si>
    <t>0-136810</t>
  </si>
  <si>
    <t>0-136811</t>
  </si>
  <si>
    <t>0-136812</t>
  </si>
  <si>
    <t>0-136813</t>
  </si>
  <si>
    <t>0-136815</t>
  </si>
  <si>
    <t>0-136816</t>
  </si>
  <si>
    <t>0-136818</t>
  </si>
  <si>
    <t>0-136819</t>
  </si>
  <si>
    <t>0-136820</t>
  </si>
  <si>
    <t>0-136821</t>
  </si>
  <si>
    <t>0-136822</t>
  </si>
  <si>
    <t>0-136823</t>
  </si>
  <si>
    <t>0-136824</t>
  </si>
  <si>
    <t>0-136825</t>
  </si>
  <si>
    <t>0-136826</t>
  </si>
  <si>
    <t>0-136827</t>
  </si>
  <si>
    <t>0-136829</t>
  </si>
  <si>
    <t>0-136830</t>
  </si>
  <si>
    <t>0-136831</t>
  </si>
  <si>
    <t>0-136832</t>
  </si>
  <si>
    <t>0-136833</t>
  </si>
  <si>
    <t>0-136836</t>
  </si>
  <si>
    <t>0-136837</t>
  </si>
  <si>
    <t>0-136840</t>
  </si>
  <si>
    <t>0-136841</t>
  </si>
  <si>
    <t>0-136842</t>
  </si>
  <si>
    <t>0-136844</t>
  </si>
  <si>
    <t>0-136846</t>
  </si>
  <si>
    <t>0-136847</t>
  </si>
  <si>
    <t>0-136848</t>
  </si>
  <si>
    <t>0-136849</t>
  </si>
  <si>
    <t>0-136850</t>
  </si>
  <si>
    <t>0-136854</t>
  </si>
  <si>
    <t>0-136855</t>
  </si>
  <si>
    <t>0-136856</t>
  </si>
  <si>
    <t>0-136860</t>
  </si>
  <si>
    <t>0-136869</t>
  </si>
  <si>
    <t>0-136870</t>
  </si>
  <si>
    <t>0-136871</t>
  </si>
  <si>
    <t>0-136874</t>
  </si>
  <si>
    <t>0-136875</t>
  </si>
  <si>
    <t>0-136877</t>
  </si>
  <si>
    <t>0-136878</t>
  </si>
  <si>
    <t>0-136879</t>
  </si>
  <si>
    <t>0-136884</t>
  </si>
  <si>
    <t>0-136890</t>
  </si>
  <si>
    <t>0-136891</t>
  </si>
  <si>
    <t>0-136894</t>
  </si>
  <si>
    <t>0-136895</t>
  </si>
  <si>
    <t>0-136899</t>
  </si>
  <si>
    <t>0-136904</t>
  </si>
  <si>
    <t>0-136905</t>
  </si>
  <si>
    <t>0-136906</t>
  </si>
  <si>
    <t>0-136907</t>
  </si>
  <si>
    <t>0-136908</t>
  </si>
  <si>
    <t>0-136913</t>
  </si>
  <si>
    <t>0-136914</t>
  </si>
  <si>
    <t>0-136915</t>
  </si>
  <si>
    <t>0-136916</t>
  </si>
  <si>
    <t>0-136917</t>
  </si>
  <si>
    <t>0-136918</t>
  </si>
  <si>
    <t>0-136919</t>
  </si>
  <si>
    <t>0-136920</t>
  </si>
  <si>
    <t>0-136922</t>
  </si>
  <si>
    <t>0-136923</t>
  </si>
  <si>
    <t>0-136924</t>
  </si>
  <si>
    <t>0-136926</t>
  </si>
  <si>
    <t>0-136927</t>
  </si>
  <si>
    <t>0-136929</t>
  </si>
  <si>
    <t>0-136930</t>
  </si>
  <si>
    <t>0-136931</t>
  </si>
  <si>
    <t>0-136933</t>
  </si>
  <si>
    <t>0-136934</t>
  </si>
  <si>
    <t>0-136935</t>
  </si>
  <si>
    <t>0-136937</t>
  </si>
  <si>
    <t>0-136938</t>
  </si>
  <si>
    <t>0-136940</t>
  </si>
  <si>
    <t>0-136941</t>
  </si>
  <si>
    <t>0-136942</t>
  </si>
  <si>
    <t>0-136943</t>
  </si>
  <si>
    <t>0-136945</t>
  </si>
  <si>
    <t>0-136946</t>
  </si>
  <si>
    <t>0-136947</t>
  </si>
  <si>
    <t>0-136948</t>
  </si>
  <si>
    <t>0-136949</t>
  </si>
  <si>
    <t>0-136950</t>
  </si>
  <si>
    <t>0-136951</t>
  </si>
  <si>
    <t>0-136952</t>
  </si>
  <si>
    <t>0-136953</t>
  </si>
  <si>
    <t>0-136955</t>
  </si>
  <si>
    <t>0-136957</t>
  </si>
  <si>
    <t>0-136958</t>
  </si>
  <si>
    <t>0-136960</t>
  </si>
  <si>
    <t>0-136961</t>
  </si>
  <si>
    <t>0-136962</t>
  </si>
  <si>
    <t>0-136964</t>
  </si>
  <si>
    <t>0-136965</t>
  </si>
  <si>
    <t>0-136966</t>
  </si>
  <si>
    <t>0-136967</t>
  </si>
  <si>
    <t>0-136968</t>
  </si>
  <si>
    <t>0-136969</t>
  </si>
  <si>
    <t>0-136971</t>
  </si>
  <si>
    <t>0-136972</t>
  </si>
  <si>
    <t>0-136973</t>
  </si>
  <si>
    <t>0-136975</t>
  </si>
  <si>
    <t>0-136979</t>
  </si>
  <si>
    <t>0-136985</t>
  </si>
  <si>
    <t>0-136997</t>
  </si>
  <si>
    <t>0-136999</t>
  </si>
  <si>
    <t>0-137001</t>
  </si>
  <si>
    <t>0-137002</t>
  </si>
  <si>
    <t>0-137005</t>
  </si>
  <si>
    <t>0-137006</t>
  </si>
  <si>
    <t>0-137007</t>
  </si>
  <si>
    <t>0-137017</t>
  </si>
  <si>
    <t>0-137021</t>
  </si>
  <si>
    <t>0-137022</t>
  </si>
  <si>
    <t>0-137023</t>
  </si>
  <si>
    <t>0-137024</t>
  </si>
  <si>
    <t>0-137025</t>
  </si>
  <si>
    <t>0-137026</t>
  </si>
  <si>
    <t>0-137027</t>
  </si>
  <si>
    <t>0-137028</t>
  </si>
  <si>
    <t>0-137029</t>
  </si>
  <si>
    <t>0-137032</t>
  </si>
  <si>
    <t>0-137034</t>
  </si>
  <si>
    <t>0-137035</t>
  </si>
  <si>
    <t>0-137036</t>
  </si>
  <si>
    <t>0-137037</t>
  </si>
  <si>
    <t>0-137038</t>
  </si>
  <si>
    <t>0-137039</t>
  </si>
  <si>
    <t>0-137040</t>
  </si>
  <si>
    <t>0-137041</t>
  </si>
  <si>
    <t>0-137042</t>
  </si>
  <si>
    <t>0-137044</t>
  </si>
  <si>
    <t>0-137047</t>
  </si>
  <si>
    <t>0-137048</t>
  </si>
  <si>
    <t>0-137049</t>
  </si>
  <si>
    <t>0-137051</t>
  </si>
  <si>
    <t>0-137052</t>
  </si>
  <si>
    <t>0-137053</t>
  </si>
  <si>
    <t>0-137054</t>
  </si>
  <si>
    <t>0-137055</t>
  </si>
  <si>
    <t>0-137056</t>
  </si>
  <si>
    <t>0-137057</t>
  </si>
  <si>
    <t>0-137058</t>
  </si>
  <si>
    <t>0-137059</t>
  </si>
  <si>
    <t>0-137060</t>
  </si>
  <si>
    <t>0-137061</t>
  </si>
  <si>
    <t>0-137063</t>
  </si>
  <si>
    <t>0-137065</t>
  </si>
  <si>
    <t>0-137066</t>
  </si>
  <si>
    <t>0-137067</t>
  </si>
  <si>
    <t>0-137068</t>
  </si>
  <si>
    <t>0-137069</t>
  </si>
  <si>
    <t>0-137070</t>
  </si>
  <si>
    <t>0-137073</t>
  </si>
  <si>
    <t>0-137074</t>
  </si>
  <si>
    <t>0-137075</t>
  </si>
  <si>
    <t>0-137076</t>
  </si>
  <si>
    <t>0-137079</t>
  </si>
  <si>
    <t>0-137081</t>
  </si>
  <si>
    <t>0-137084</t>
  </si>
  <si>
    <t>0-137085</t>
  </si>
  <si>
    <t>0-137086</t>
  </si>
  <si>
    <t>0-137087</t>
  </si>
  <si>
    <t>0-137088</t>
  </si>
  <si>
    <t>0-137089</t>
  </si>
  <si>
    <t>0-137090</t>
  </si>
  <si>
    <t>0-137092</t>
  </si>
  <si>
    <t>0-137093</t>
  </si>
  <si>
    <t>0-137094</t>
  </si>
  <si>
    <t>0-137096</t>
  </si>
  <si>
    <t>0-137097</t>
  </si>
  <si>
    <t>0-137098</t>
  </si>
  <si>
    <t>0-137099</t>
  </si>
  <si>
    <t>0-137100</t>
  </si>
  <si>
    <t>0-137101</t>
  </si>
  <si>
    <t>0-137102</t>
  </si>
  <si>
    <t>0-137103</t>
  </si>
  <si>
    <t>0-137104</t>
  </si>
  <si>
    <t>0-137105</t>
  </si>
  <si>
    <t>0-137106</t>
  </si>
  <si>
    <t>0-137107</t>
  </si>
  <si>
    <t>0-137110</t>
  </si>
  <si>
    <t>0-137111</t>
  </si>
  <si>
    <t>0-137112</t>
  </si>
  <si>
    <t>0-137113</t>
  </si>
  <si>
    <t>0-137114</t>
  </si>
  <si>
    <t>0-137115</t>
  </si>
  <si>
    <t>0-137116</t>
  </si>
  <si>
    <t>0-137117</t>
  </si>
  <si>
    <t>0-137118</t>
  </si>
  <si>
    <t>0-137119</t>
  </si>
  <si>
    <t>0-137120</t>
  </si>
  <si>
    <t>0-137122</t>
  </si>
  <si>
    <t>0-137123</t>
  </si>
  <si>
    <t>0-137124</t>
  </si>
  <si>
    <t>0-137125</t>
  </si>
  <si>
    <t>0-137127</t>
  </si>
  <si>
    <t>0-137128</t>
  </si>
  <si>
    <t>0-137130</t>
  </si>
  <si>
    <t>0-137131</t>
  </si>
  <si>
    <t>0-137134</t>
  </si>
  <si>
    <t>0-137137</t>
  </si>
  <si>
    <t>0-137138</t>
  </si>
  <si>
    <t>0-137139</t>
  </si>
  <si>
    <t>0-137141</t>
  </si>
  <si>
    <t>0-137142</t>
  </si>
  <si>
    <t>0-137144</t>
  </si>
  <si>
    <t>0-137146</t>
  </si>
  <si>
    <t>0-137149</t>
  </si>
  <si>
    <t>0-137153</t>
  </si>
  <si>
    <t>0-137156</t>
  </si>
  <si>
    <t>0-137157</t>
  </si>
  <si>
    <t>0-137158</t>
  </si>
  <si>
    <t>0-137160</t>
  </si>
  <si>
    <t>0-137161</t>
  </si>
  <si>
    <t>0-137162</t>
  </si>
  <si>
    <t>0-137163</t>
  </si>
  <si>
    <t>0-137165</t>
  </si>
  <si>
    <t>0-137167</t>
  </si>
  <si>
    <t>0-137169</t>
  </si>
  <si>
    <t>0-137170</t>
  </si>
  <si>
    <t>0-137173</t>
  </si>
  <si>
    <t>0-137174</t>
  </si>
  <si>
    <t>0-137175</t>
  </si>
  <si>
    <t>0-137177</t>
  </si>
  <si>
    <t>0-137178</t>
  </si>
  <si>
    <t>0-137179</t>
  </si>
  <si>
    <t>0-137180</t>
  </si>
  <si>
    <t>0-137181</t>
  </si>
  <si>
    <t>0-137182</t>
  </si>
  <si>
    <t>0-137183</t>
  </si>
  <si>
    <t>0-137184</t>
  </si>
  <si>
    <t>0-137187</t>
  </si>
  <si>
    <t>0-137189</t>
  </si>
  <si>
    <t>0-137190</t>
  </si>
  <si>
    <t>0-137191</t>
  </si>
  <si>
    <t>0-137192</t>
  </si>
  <si>
    <t>0-137197</t>
  </si>
  <si>
    <t>0-137198</t>
  </si>
  <si>
    <t>0-137199</t>
  </si>
  <si>
    <t>0-137201</t>
  </si>
  <si>
    <t>0-137204</t>
  </si>
  <si>
    <t>0-137205</t>
  </si>
  <si>
    <t>0-137206</t>
  </si>
  <si>
    <t>0-137207</t>
  </si>
  <si>
    <t>0-137208</t>
  </si>
  <si>
    <t>0-137212</t>
  </si>
  <si>
    <t>0-137213</t>
  </si>
  <si>
    <t>0-137214</t>
  </si>
  <si>
    <t>0-137215</t>
  </si>
  <si>
    <t>0-137216</t>
  </si>
  <si>
    <t>0-137218</t>
  </si>
  <si>
    <t>0-137219</t>
  </si>
  <si>
    <t>0-137220</t>
  </si>
  <si>
    <t>0-137221</t>
  </si>
  <si>
    <t>0-137222</t>
  </si>
  <si>
    <t>0-137223</t>
  </si>
  <si>
    <t>0-137224</t>
  </si>
  <si>
    <t>0-137225</t>
  </si>
  <si>
    <t>0-137226</t>
  </si>
  <si>
    <t>0-137227</t>
  </si>
  <si>
    <t>0-137229</t>
  </si>
  <si>
    <t>0-137230</t>
  </si>
  <si>
    <t>0-137231</t>
  </si>
  <si>
    <t>0-137233</t>
  </si>
  <si>
    <t>0-137234</t>
  </si>
  <si>
    <t>0-137235</t>
  </si>
  <si>
    <t>0-137236</t>
  </si>
  <si>
    <t>0-137237</t>
  </si>
  <si>
    <t>0-137238</t>
  </si>
  <si>
    <t>0-137239</t>
  </si>
  <si>
    <t>0-137240</t>
  </si>
  <si>
    <t>0-137241</t>
  </si>
  <si>
    <t>0-137242</t>
  </si>
  <si>
    <t>0-137243</t>
  </si>
  <si>
    <t>0-137244</t>
  </si>
  <si>
    <t>0-137245</t>
  </si>
  <si>
    <t>0-137246</t>
  </si>
  <si>
    <t>0-137252</t>
  </si>
  <si>
    <t>0-137254</t>
  </si>
  <si>
    <t>0-137255</t>
  </si>
  <si>
    <t>0-137256</t>
  </si>
  <si>
    <t>0-137257</t>
  </si>
  <si>
    <t>0-137258</t>
  </si>
  <si>
    <t>0-137259</t>
  </si>
  <si>
    <t>0-137261</t>
  </si>
  <si>
    <t>0-137262</t>
  </si>
  <si>
    <t>0-137263</t>
  </si>
  <si>
    <t>0-137264</t>
  </si>
  <si>
    <t>0-137267</t>
  </si>
  <si>
    <t>0-137270</t>
  </si>
  <si>
    <t>0-137277</t>
  </si>
  <si>
    <t>0-137278</t>
  </si>
  <si>
    <t>0-137280</t>
  </si>
  <si>
    <t>0-137281</t>
  </si>
  <si>
    <t>0-137282</t>
  </si>
  <si>
    <t>0-137283</t>
  </si>
  <si>
    <t>0-137286</t>
  </si>
  <si>
    <t>0-137288</t>
  </si>
  <si>
    <t>0-137292</t>
  </si>
  <si>
    <t>0-137295</t>
  </si>
  <si>
    <t>0-137296</t>
  </si>
  <si>
    <t>0-137299</t>
  </si>
  <si>
    <t>0-137303</t>
  </si>
  <si>
    <t>0-137304</t>
  </si>
  <si>
    <t>0-137305</t>
  </si>
  <si>
    <t>0-137306</t>
  </si>
  <si>
    <t>0-137307</t>
  </si>
  <si>
    <t>0-137308</t>
  </si>
  <si>
    <t>0-137309</t>
  </si>
  <si>
    <t>0-137310</t>
  </si>
  <si>
    <t>0-137312</t>
  </si>
  <si>
    <t>0-137316</t>
  </si>
  <si>
    <t>0-137321</t>
  </si>
  <si>
    <t>0-137327</t>
  </si>
  <si>
    <t>0-137329</t>
  </si>
  <si>
    <t>0-137330</t>
  </si>
  <si>
    <t>0-137331</t>
  </si>
  <si>
    <t>0-137332</t>
  </si>
  <si>
    <t>0-137334</t>
  </si>
  <si>
    <t>0-137335</t>
  </si>
  <si>
    <t>0-137336</t>
  </si>
  <si>
    <t>0-137337</t>
  </si>
  <si>
    <t>0-137338</t>
  </si>
  <si>
    <t>0-137340</t>
  </si>
  <si>
    <t>0-137341</t>
  </si>
  <si>
    <t>0-137342</t>
  </si>
  <si>
    <t>0-137345</t>
  </si>
  <si>
    <t>0-137346</t>
  </si>
  <si>
    <t>0-137347</t>
  </si>
  <si>
    <t>0-137348</t>
  </si>
  <si>
    <t>0-137349</t>
  </si>
  <si>
    <t>0-137350</t>
  </si>
  <si>
    <t>0-137351</t>
  </si>
  <si>
    <t>0-137355</t>
  </si>
  <si>
    <t>0-137357</t>
  </si>
  <si>
    <t>0-137365</t>
  </si>
  <si>
    <t>0-137366</t>
  </si>
  <si>
    <t>0-137371</t>
  </si>
  <si>
    <t>0-137373</t>
  </si>
  <si>
    <t>0-137374</t>
  </si>
  <si>
    <t>0-137376</t>
  </si>
  <si>
    <t>0-137377</t>
  </si>
  <si>
    <t>0-137379</t>
  </si>
  <si>
    <t>0-137380</t>
  </si>
  <si>
    <t>0-137381</t>
  </si>
  <si>
    <t>0-137382</t>
  </si>
  <si>
    <t>0-137383</t>
  </si>
  <si>
    <t>0-137384</t>
  </si>
  <si>
    <t>0-137386</t>
  </si>
  <si>
    <t>0-137387</t>
  </si>
  <si>
    <t>0-137388</t>
  </si>
  <si>
    <t>0-137389</t>
  </si>
  <si>
    <t>0-137390</t>
  </si>
  <si>
    <t>0-137391</t>
  </si>
  <si>
    <t>0-137392</t>
  </si>
  <si>
    <t>0-137393</t>
  </si>
  <si>
    <t>0-137394</t>
  </si>
  <si>
    <t>0-137397</t>
  </si>
  <si>
    <t>0-137399</t>
  </si>
  <si>
    <t>0-137401</t>
  </si>
  <si>
    <t>0-137402</t>
  </si>
  <si>
    <t>0-137403</t>
  </si>
  <si>
    <t>0-137404</t>
  </si>
  <si>
    <t>0-137405</t>
  </si>
  <si>
    <t>0-137406</t>
  </si>
  <si>
    <t>0-137407</t>
  </si>
  <si>
    <t>0-137408</t>
  </si>
  <si>
    <t>0-137409</t>
  </si>
  <si>
    <t>0-137410</t>
  </si>
  <si>
    <t>0-137412</t>
  </si>
  <si>
    <t>0-137413</t>
  </si>
  <si>
    <t>0-137414</t>
  </si>
  <si>
    <t>0-137415</t>
  </si>
  <si>
    <t>0-137416</t>
  </si>
  <si>
    <t>0-137417</t>
  </si>
  <si>
    <t>0-137419</t>
  </si>
  <si>
    <t>0-137420</t>
  </si>
  <si>
    <t>0-137421</t>
  </si>
  <si>
    <t>0-137422</t>
  </si>
  <si>
    <t>0-137424</t>
  </si>
  <si>
    <t>0-137425</t>
  </si>
  <si>
    <t>0-137428</t>
  </si>
  <si>
    <t>0-137429</t>
  </si>
  <si>
    <t>0-137430</t>
  </si>
  <si>
    <t>0-137431</t>
  </si>
  <si>
    <t>0-137432</t>
  </si>
  <si>
    <t>0-137434</t>
  </si>
  <si>
    <t>0-137438</t>
  </si>
  <si>
    <t>0-137441</t>
  </si>
  <si>
    <t>0-137442</t>
  </si>
  <si>
    <t>0-137445</t>
  </si>
  <si>
    <t>0-137446</t>
  </si>
  <si>
    <t>0-137448</t>
  </si>
  <si>
    <t>0-137449</t>
  </si>
  <si>
    <t>0-137451</t>
  </si>
  <si>
    <t>0-137453</t>
  </si>
  <si>
    <t>0-137454</t>
  </si>
  <si>
    <t>0-137456</t>
  </si>
  <si>
    <t>0-137457</t>
  </si>
  <si>
    <t>0-137459</t>
  </si>
  <si>
    <t>0-137460</t>
  </si>
  <si>
    <t>0-137461</t>
  </si>
  <si>
    <t>0-137462</t>
  </si>
  <si>
    <t>0-137464</t>
  </si>
  <si>
    <t>0-137465</t>
  </si>
  <si>
    <t>0-137467</t>
  </si>
  <si>
    <t>0-137468</t>
  </si>
  <si>
    <t>0-137469</t>
  </si>
  <si>
    <t>0-137470</t>
  </si>
  <si>
    <t>0-137471</t>
  </si>
  <si>
    <t>0-137473</t>
  </si>
  <si>
    <t>0-137474</t>
  </si>
  <si>
    <t>0-137475</t>
  </si>
  <si>
    <t>0-137476</t>
  </si>
  <si>
    <t>0-137477</t>
  </si>
  <si>
    <t>0-137478</t>
  </si>
  <si>
    <t>0-137479</t>
  </si>
  <si>
    <t>0-137481</t>
  </si>
  <si>
    <t>0-137482</t>
  </si>
  <si>
    <t>0-137483</t>
  </si>
  <si>
    <t>0-137484</t>
  </si>
  <si>
    <t>0-137485</t>
  </si>
  <si>
    <t>0-137486</t>
  </si>
  <si>
    <t>0-137488</t>
  </si>
  <si>
    <t>0-137490</t>
  </si>
  <si>
    <t>0-137491</t>
  </si>
  <si>
    <t>0-137492</t>
  </si>
  <si>
    <t>0-137493</t>
  </si>
  <si>
    <t>0-137495</t>
  </si>
  <si>
    <t>0-137497</t>
  </si>
  <si>
    <t>0-137498</t>
  </si>
  <si>
    <t>0-137501</t>
  </si>
  <si>
    <t>0-137503</t>
  </si>
  <si>
    <t>0-137504</t>
  </si>
  <si>
    <t>0-137506</t>
  </si>
  <si>
    <t>0-137508</t>
  </si>
  <si>
    <t>0-137509</t>
  </si>
  <si>
    <t>0-137510</t>
  </si>
  <si>
    <t>0-137511</t>
  </si>
  <si>
    <t>0-137512</t>
  </si>
  <si>
    <t>0-137513</t>
  </si>
  <si>
    <t>0-137514</t>
  </si>
  <si>
    <t>0-137515</t>
  </si>
  <si>
    <t>0-137516</t>
  </si>
  <si>
    <t>0-137517</t>
  </si>
  <si>
    <t>0-137518</t>
  </si>
  <si>
    <t>0-137519</t>
  </si>
  <si>
    <t>0-137520</t>
  </si>
  <si>
    <t>0-137577</t>
  </si>
  <si>
    <t>0-137578</t>
  </si>
  <si>
    <t>0-137587</t>
  </si>
  <si>
    <t>0-137588</t>
  </si>
  <si>
    <t>0-137589</t>
  </si>
  <si>
    <t>0-137592</t>
  </si>
  <si>
    <t>0-137593</t>
  </si>
  <si>
    <t>0-137594</t>
  </si>
  <si>
    <t>0-137524</t>
  </si>
  <si>
    <t>0-137525</t>
  </si>
  <si>
    <t>0-137526</t>
  </si>
  <si>
    <t>0-137527</t>
  </si>
  <si>
    <t>0-137528</t>
  </si>
  <si>
    <t>0-137529</t>
  </si>
  <si>
    <t>0-137530</t>
  </si>
  <si>
    <t>0-137531</t>
  </si>
  <si>
    <t>0-137532</t>
  </si>
  <si>
    <t>0-137534</t>
  </si>
  <si>
    <t>0-137535</t>
  </si>
  <si>
    <t>0-137536</t>
  </si>
  <si>
    <t>0-137538</t>
  </si>
  <si>
    <t>0-137539</t>
  </si>
  <si>
    <t>0-137542</t>
  </si>
  <si>
    <t>0-137543</t>
  </si>
  <si>
    <t>0-137545</t>
  </si>
  <si>
    <t>0-137546</t>
  </si>
  <si>
    <t>0-137547</t>
  </si>
  <si>
    <t>0-137548</t>
  </si>
  <si>
    <t>0-137554</t>
  </si>
  <si>
    <t>0-137555</t>
  </si>
  <si>
    <t>0-137560</t>
  </si>
  <si>
    <t>0-137562</t>
  </si>
  <si>
    <t>0-137563</t>
  </si>
  <si>
    <t>0-137564</t>
  </si>
  <si>
    <t>0-137565</t>
  </si>
  <si>
    <t>0-137566</t>
  </si>
  <si>
    <t>0-137567</t>
  </si>
  <si>
    <t>0-137569</t>
  </si>
  <si>
    <t>0-137571</t>
  </si>
  <si>
    <t>0-137573</t>
  </si>
  <si>
    <t>0-137574</t>
  </si>
  <si>
    <t>0-137576</t>
  </si>
  <si>
    <t>0-137580</t>
  </si>
  <si>
    <t>0-137596</t>
  </si>
  <si>
    <t>0-137597</t>
  </si>
  <si>
    <t>0-137598</t>
  </si>
  <si>
    <t>0-137599</t>
  </si>
  <si>
    <t>0-137600</t>
  </si>
  <si>
    <t>0-137601</t>
  </si>
  <si>
    <t>0-137602</t>
  </si>
  <si>
    <t>0-137603</t>
  </si>
  <si>
    <t>0-137605</t>
  </si>
  <si>
    <t>0-137606</t>
  </si>
  <si>
    <t>0-137607</t>
  </si>
  <si>
    <t>0-137608</t>
  </si>
  <si>
    <t>0-137609</t>
  </si>
  <si>
    <t>0-137610</t>
  </si>
  <si>
    <t>0-137611</t>
  </si>
  <si>
    <t>0-137612</t>
  </si>
  <si>
    <t>0-137613</t>
  </si>
  <si>
    <t>0-137614</t>
  </si>
  <si>
    <t>0-137615</t>
  </si>
  <si>
    <t>0-137616</t>
  </si>
  <si>
    <t>0-137617</t>
  </si>
  <si>
    <t>0-137618</t>
  </si>
  <si>
    <t>0-137622</t>
  </si>
  <si>
    <t>0-137623</t>
  </si>
  <si>
    <t>0-137624</t>
  </si>
  <si>
    <t>0-137625</t>
  </si>
  <si>
    <t>0-137626</t>
  </si>
  <si>
    <t>0-137627</t>
  </si>
  <si>
    <t>0-137628</t>
  </si>
  <si>
    <t>0-137629</t>
  </si>
  <si>
    <t>0-137630</t>
  </si>
  <si>
    <t>0-137631</t>
  </si>
  <si>
    <t>0-137636</t>
  </si>
  <si>
    <t>0-137637</t>
  </si>
  <si>
    <t>0-137638</t>
  </si>
  <si>
    <t>0-137639</t>
  </si>
  <si>
    <t>0-137640</t>
  </si>
  <si>
    <t>0-137641</t>
  </si>
  <si>
    <t>0-137642</t>
  </si>
  <si>
    <t>0-137645</t>
  </si>
  <si>
    <t>0-137646</t>
  </si>
  <si>
    <t>0-137648</t>
  </si>
  <si>
    <t>0-137649</t>
  </si>
  <si>
    <t>0-137650</t>
  </si>
  <si>
    <t>0-137651</t>
  </si>
  <si>
    <t>0-137652</t>
  </si>
  <si>
    <t>0-137655</t>
  </si>
  <si>
    <t>0-137717</t>
  </si>
  <si>
    <t>0-137718</t>
  </si>
  <si>
    <t>0-137719</t>
  </si>
  <si>
    <t>0-137720</t>
  </si>
  <si>
    <t>0-137726</t>
  </si>
  <si>
    <t>0-137727</t>
  </si>
  <si>
    <t>0-137728</t>
  </si>
  <si>
    <t>0-137729</t>
  </si>
  <si>
    <t>0-137730</t>
  </si>
  <si>
    <t>0-137731</t>
  </si>
  <si>
    <t>0-137733</t>
  </si>
  <si>
    <t>0-137735</t>
  </si>
  <si>
    <t>0-137659</t>
  </si>
  <si>
    <t>0-137660</t>
  </si>
  <si>
    <t>0-137661</t>
  </si>
  <si>
    <t>0-137662</t>
  </si>
  <si>
    <t>0-137663</t>
  </si>
  <si>
    <t>0-137664</t>
  </si>
  <si>
    <t>0-137665</t>
  </si>
  <si>
    <t>0-137666</t>
  </si>
  <si>
    <t>0-137667</t>
  </si>
  <si>
    <t>0-137668</t>
  </si>
  <si>
    <t>0-137669</t>
  </si>
  <si>
    <t>0-137670</t>
  </si>
  <si>
    <t>0-137671</t>
  </si>
  <si>
    <t>0-137673</t>
  </si>
  <si>
    <t>0-137674</t>
  </si>
  <si>
    <t>0-137676</t>
  </si>
  <si>
    <t>0-137677</t>
  </si>
  <si>
    <t>0-137679</t>
  </si>
  <si>
    <t>0-137688</t>
  </si>
  <si>
    <t>0-137689</t>
  </si>
  <si>
    <t>0-137691</t>
  </si>
  <si>
    <t>0-137692</t>
  </si>
  <si>
    <t>0-137693</t>
  </si>
  <si>
    <t>0-137694</t>
  </si>
  <si>
    <t>0-137695</t>
  </si>
  <si>
    <t>0-137696</t>
  </si>
  <si>
    <t>0-137697</t>
  </si>
  <si>
    <t>0-137698</t>
  </si>
  <si>
    <t>0-137699</t>
  </si>
  <si>
    <t>0-137700</t>
  </si>
  <si>
    <t>0-137703</t>
  </si>
  <si>
    <t>0-137704</t>
  </si>
  <si>
    <t>0-137709</t>
  </si>
  <si>
    <t>0-137711</t>
  </si>
  <si>
    <t>0-137712</t>
  </si>
  <si>
    <t>0-137713</t>
  </si>
  <si>
    <t>0-137714</t>
  </si>
  <si>
    <t>0-137715</t>
  </si>
  <si>
    <t>0-137716</t>
  </si>
  <si>
    <t>0-137722</t>
  </si>
  <si>
    <t>0-137723</t>
  </si>
  <si>
    <t>0-137724</t>
  </si>
  <si>
    <t>0-137738</t>
  </si>
  <si>
    <t>0-137739</t>
  </si>
  <si>
    <t>0-137740</t>
  </si>
  <si>
    <t>0-137741</t>
  </si>
  <si>
    <t>0-137742</t>
  </si>
  <si>
    <t>0-137745</t>
  </si>
  <si>
    <t>0-137746</t>
  </si>
  <si>
    <t>0-137747</t>
  </si>
  <si>
    <t>0-137748</t>
  </si>
  <si>
    <t>0-137749</t>
  </si>
  <si>
    <t>0-137751</t>
  </si>
  <si>
    <t>0-137752</t>
  </si>
  <si>
    <t>0-137753</t>
  </si>
  <si>
    <t>0-137755</t>
  </si>
  <si>
    <t>0-137758</t>
  </si>
  <si>
    <t>0-137759</t>
  </si>
  <si>
    <t>0-137760</t>
  </si>
  <si>
    <t>0-137761</t>
  </si>
  <si>
    <t>0-137762</t>
  </si>
  <si>
    <t>0-137763</t>
  </si>
  <si>
    <t>0-137764</t>
  </si>
  <si>
    <t>0-137765</t>
  </si>
  <si>
    <t>0-137767</t>
  </si>
  <si>
    <t>0-137770</t>
  </si>
  <si>
    <t>0-137771</t>
  </si>
  <si>
    <t>0-137772</t>
  </si>
  <si>
    <t>0-137773</t>
  </si>
  <si>
    <t>0-137774</t>
  </si>
  <si>
    <t>0-137775</t>
  </si>
  <si>
    <t>0-137777</t>
  </si>
  <si>
    <t>0-137778</t>
  </si>
  <si>
    <t>0-137779</t>
  </si>
  <si>
    <t>0-137780</t>
  </si>
  <si>
    <t>0-137859</t>
  </si>
  <si>
    <t>0-137784</t>
  </si>
  <si>
    <t>0-137785</t>
  </si>
  <si>
    <t>0-137786</t>
  </si>
  <si>
    <t>0-137787</t>
  </si>
  <si>
    <t>0-137788</t>
  </si>
  <si>
    <t>0-137789</t>
  </si>
  <si>
    <t>0-137790</t>
  </si>
  <si>
    <t>0-137791</t>
  </si>
  <si>
    <t>0-137792</t>
  </si>
  <si>
    <t>0-137793</t>
  </si>
  <si>
    <t>0-137794</t>
  </si>
  <si>
    <t>0-137795</t>
  </si>
  <si>
    <t>0-137796</t>
  </si>
  <si>
    <t>0-137797</t>
  </si>
  <si>
    <t>0-137798</t>
  </si>
  <si>
    <t>0-137799</t>
  </si>
  <si>
    <t>0-137800</t>
  </si>
  <si>
    <t>0-137801</t>
  </si>
  <si>
    <t>0-137804</t>
  </si>
  <si>
    <t>0-137805</t>
  </si>
  <si>
    <t>0-137808</t>
  </si>
  <si>
    <t>0-137810</t>
  </si>
  <si>
    <t>0-137813</t>
  </si>
  <si>
    <t>0-137814</t>
  </si>
  <si>
    <t>0-137816</t>
  </si>
  <si>
    <t>0-137819</t>
  </si>
  <si>
    <t>0-137821</t>
  </si>
  <si>
    <t>0-137822</t>
  </si>
  <si>
    <t>0-137827</t>
  </si>
  <si>
    <t>0-137829</t>
  </si>
  <si>
    <t>0-137836</t>
  </si>
  <si>
    <t>0-137837</t>
  </si>
  <si>
    <t>0-137839</t>
  </si>
  <si>
    <t>0-137841</t>
  </si>
  <si>
    <t>0-137843</t>
  </si>
  <si>
    <t>0-137844</t>
  </si>
  <si>
    <t>0-137845</t>
  </si>
  <si>
    <t>0-137846</t>
  </si>
  <si>
    <t>0-137847</t>
  </si>
  <si>
    <t>0-137849</t>
  </si>
  <si>
    <t>0-137850</t>
  </si>
  <si>
    <t>0-137851</t>
  </si>
  <si>
    <t>0-137852</t>
  </si>
  <si>
    <t>0-137853</t>
  </si>
  <si>
    <t>0-137856</t>
  </si>
  <si>
    <t>0-137860</t>
  </si>
  <si>
    <t>0-137861</t>
  </si>
  <si>
    <t>0-137862</t>
  </si>
  <si>
    <t>0-137863</t>
  </si>
  <si>
    <t>0-137865</t>
  </si>
  <si>
    <t>0-137866</t>
  </si>
  <si>
    <t>0-137867</t>
  </si>
  <si>
    <t>0-137868</t>
  </si>
  <si>
    <t>0-137869</t>
  </si>
  <si>
    <t>0-137870</t>
  </si>
  <si>
    <t>0-137871</t>
  </si>
  <si>
    <t>0-137872</t>
  </si>
  <si>
    <t>0-137876</t>
  </si>
  <si>
    <t>0-137877</t>
  </si>
  <si>
    <t>0-137879</t>
  </si>
  <si>
    <t>0-137880</t>
  </si>
  <si>
    <t>0-137881</t>
  </si>
  <si>
    <t>0-137883</t>
  </si>
  <si>
    <t>0-137884</t>
  </si>
  <si>
    <t>0-137888</t>
  </si>
  <si>
    <t>0-137889</t>
  </si>
  <si>
    <t>0-137890</t>
  </si>
  <si>
    <t>0-137891</t>
  </si>
  <si>
    <t>0-137892</t>
  </si>
  <si>
    <t>0-137894</t>
  </si>
  <si>
    <t>0-137895</t>
  </si>
  <si>
    <t>0-137896</t>
  </si>
  <si>
    <t>0-137897</t>
  </si>
  <si>
    <t>0-137898</t>
  </si>
  <si>
    <t>0-137899</t>
  </si>
  <si>
    <t>0-137902</t>
  </si>
  <si>
    <t>0-137903</t>
  </si>
  <si>
    <t>0-137904</t>
  </si>
  <si>
    <t>0-137905</t>
  </si>
  <si>
    <t>0-137907</t>
  </si>
  <si>
    <t>0-137908</t>
  </si>
  <si>
    <t>0-137911</t>
  </si>
  <si>
    <t>0-137912</t>
  </si>
  <si>
    <t>0-137913</t>
  </si>
  <si>
    <t>0-137914</t>
  </si>
  <si>
    <t>0-137963</t>
  </si>
  <si>
    <t>0-137915</t>
  </si>
  <si>
    <t>0-137916</t>
  </si>
  <si>
    <t>0-137917</t>
  </si>
  <si>
    <t>0-137918</t>
  </si>
  <si>
    <t>0-137919</t>
  </si>
  <si>
    <t>0-137920</t>
  </si>
  <si>
    <t>0-137921</t>
  </si>
  <si>
    <t>0-137922</t>
  </si>
  <si>
    <t>0-137923</t>
  </si>
  <si>
    <t>0-137924</t>
  </si>
  <si>
    <t>0-137925</t>
  </si>
  <si>
    <t>0-137926</t>
  </si>
  <si>
    <t>0-137927</t>
  </si>
  <si>
    <t>0-137928</t>
  </si>
  <si>
    <t>0-137929</t>
  </si>
  <si>
    <t>0-137930</t>
  </si>
  <si>
    <t>0-137931</t>
  </si>
  <si>
    <t>0-137932</t>
  </si>
  <si>
    <t>0-137936</t>
  </si>
  <si>
    <t>0-137938</t>
  </si>
  <si>
    <t>0-137939</t>
  </si>
  <si>
    <t>0-137940</t>
  </si>
  <si>
    <t>0-137941</t>
  </si>
  <si>
    <t>0-137942</t>
  </si>
  <si>
    <t>0-137943</t>
  </si>
  <si>
    <t>0-137946</t>
  </si>
  <si>
    <t>0-137948</t>
  </si>
  <si>
    <t>0-137949</t>
  </si>
  <si>
    <t>0-137950</t>
  </si>
  <si>
    <t>0-137951</t>
  </si>
  <si>
    <t>0-137953</t>
  </si>
  <si>
    <t>0-137955</t>
  </si>
  <si>
    <t>0-137958</t>
  </si>
  <si>
    <t>0-137959</t>
  </si>
  <si>
    <t>0-137960</t>
  </si>
  <si>
    <t>0-137961</t>
  </si>
  <si>
    <t>0-137962</t>
  </si>
  <si>
    <t>0-137971</t>
  </si>
  <si>
    <t>0-137972</t>
  </si>
  <si>
    <t>0-137973</t>
  </si>
  <si>
    <t>0-137975</t>
  </si>
  <si>
    <t>0-137977</t>
  </si>
  <si>
    <t>0-137979</t>
  </si>
  <si>
    <t>0-137981</t>
  </si>
  <si>
    <t>0-137983</t>
  </si>
  <si>
    <t>0-137985</t>
  </si>
  <si>
    <t>0-137986</t>
  </si>
  <si>
    <t>0-137987</t>
  </si>
  <si>
    <t>0-137992</t>
  </si>
  <si>
    <t>0-137995</t>
  </si>
  <si>
    <t>0-137996</t>
  </si>
  <si>
    <t>0-137999</t>
  </si>
  <si>
    <t>0-138000</t>
  </si>
  <si>
    <t>0-138003</t>
  </si>
  <si>
    <t>0-138004</t>
  </si>
  <si>
    <t>0-138005</t>
  </si>
  <si>
    <t>0-138006</t>
  </si>
  <si>
    <t>0-138007</t>
  </si>
  <si>
    <t>0-138009</t>
  </si>
  <si>
    <t>0-138010</t>
  </si>
  <si>
    <t>0-138012</t>
  </si>
  <si>
    <t>0-138014</t>
  </si>
  <si>
    <t>0-138015</t>
  </si>
  <si>
    <t>0-138016</t>
  </si>
  <si>
    <t>0-138017</t>
  </si>
  <si>
    <t>0-138018</t>
  </si>
  <si>
    <t>0-138019</t>
  </si>
  <si>
    <t>0-138020</t>
  </si>
  <si>
    <t>0-138021</t>
  </si>
  <si>
    <t>0-138022</t>
  </si>
  <si>
    <t>0-138023</t>
  </si>
  <si>
    <t>0-138024</t>
  </si>
  <si>
    <t>0-138025</t>
  </si>
  <si>
    <t>0-138026</t>
  </si>
  <si>
    <t>0-138027</t>
  </si>
  <si>
    <t>0-138029</t>
  </si>
  <si>
    <t>0-138031</t>
  </si>
  <si>
    <t>0-138034</t>
  </si>
  <si>
    <t>0-138035</t>
  </si>
  <si>
    <t>0-138037</t>
  </si>
  <si>
    <t>0-138038</t>
  </si>
  <si>
    <t>0-138047</t>
  </si>
  <si>
    <t>0-138048</t>
  </si>
  <si>
    <t>0-138054</t>
  </si>
  <si>
    <t>0-138059</t>
  </si>
  <si>
    <t>0-138060</t>
  </si>
  <si>
    <t>0-138062</t>
  </si>
  <si>
    <t>0-138063</t>
  </si>
  <si>
    <t>0-138064</t>
  </si>
  <si>
    <t>0-138065</t>
  </si>
  <si>
    <t>0-138067</t>
  </si>
  <si>
    <t>0-138068</t>
  </si>
  <si>
    <t>0-138069</t>
  </si>
  <si>
    <t>0-138070</t>
  </si>
  <si>
    <t>0-138071</t>
  </si>
  <si>
    <t>0-138072</t>
  </si>
  <si>
    <t>0-138073</t>
  </si>
  <si>
    <t>0-138074</t>
  </si>
  <si>
    <t>0-138075</t>
  </si>
  <si>
    <t>0-138076</t>
  </si>
  <si>
    <t>0-138077</t>
  </si>
  <si>
    <t>0-138078</t>
  </si>
  <si>
    <t>0-138079</t>
  </si>
  <si>
    <t>0-138080</t>
  </si>
  <si>
    <t>0-138082</t>
  </si>
  <si>
    <t>0-138084</t>
  </si>
  <si>
    <t>0-138085</t>
  </si>
  <si>
    <t>0-138086</t>
  </si>
  <si>
    <t>0-138087</t>
  </si>
  <si>
    <t>0-138089</t>
  </si>
  <si>
    <t>0-138090</t>
  </si>
  <si>
    <t>0-138091</t>
  </si>
  <si>
    <t>0-138092</t>
  </si>
  <si>
    <t>0-138093</t>
  </si>
  <si>
    <t>0-138094</t>
  </si>
  <si>
    <t>0-138095</t>
  </si>
  <si>
    <t>0-138096</t>
  </si>
  <si>
    <t>0-138097</t>
  </si>
  <si>
    <t>0-138098</t>
  </si>
  <si>
    <t>0-138103</t>
  </si>
  <si>
    <t>0-138106</t>
  </si>
  <si>
    <t>0-138107</t>
  </si>
  <si>
    <t>0-138108</t>
  </si>
  <si>
    <t>0-138109</t>
  </si>
  <si>
    <t>0-138110</t>
  </si>
  <si>
    <t>0-138111</t>
  </si>
  <si>
    <t>0-138112</t>
  </si>
  <si>
    <t>0-138113</t>
  </si>
  <si>
    <t>0-138114</t>
  </si>
  <si>
    <t>0-138116</t>
  </si>
  <si>
    <t>0-138117</t>
  </si>
  <si>
    <t>0-138118</t>
  </si>
  <si>
    <t>0-138119</t>
  </si>
  <si>
    <t>0-138120</t>
  </si>
  <si>
    <t>0-138121</t>
  </si>
  <si>
    <t>0-138123</t>
  </si>
  <si>
    <t>0-138124</t>
  </si>
  <si>
    <t>0-138126</t>
  </si>
  <si>
    <t>0-138128</t>
  </si>
  <si>
    <t>0-138129</t>
  </si>
  <si>
    <t>0-138130</t>
  </si>
  <si>
    <t>0-138132</t>
  </si>
  <si>
    <t>0-138134</t>
  </si>
  <si>
    <t>0-138135</t>
  </si>
  <si>
    <t>0-138136</t>
  </si>
  <si>
    <t>0-138137</t>
  </si>
  <si>
    <t>0-138138</t>
  </si>
  <si>
    <t>0-138139</t>
  </si>
  <si>
    <t>0-138140</t>
  </si>
  <si>
    <t>0-138146</t>
  </si>
  <si>
    <t>0-138147</t>
  </si>
  <si>
    <t>0-138148</t>
  </si>
  <si>
    <t>0-138149</t>
  </si>
  <si>
    <t>0-138150</t>
  </si>
  <si>
    <t>0-138153</t>
  </si>
  <si>
    <t>0-138154</t>
  </si>
  <si>
    <t>0-138155</t>
  </si>
  <si>
    <t>0-138157</t>
  </si>
  <si>
    <t>0-138158</t>
  </si>
  <si>
    <t>0-138159</t>
  </si>
  <si>
    <t>0-138160</t>
  </si>
  <si>
    <t>0-138163</t>
  </si>
  <si>
    <t>0-138166</t>
  </si>
  <si>
    <t>0-138167</t>
  </si>
  <si>
    <t>0-138169</t>
  </si>
  <si>
    <t>0-138170</t>
  </si>
  <si>
    <t>0-138171</t>
  </si>
  <si>
    <t>0-138172</t>
  </si>
  <si>
    <t>0-138174</t>
  </si>
  <si>
    <t>0-138175</t>
  </si>
  <si>
    <t>0-138176</t>
  </si>
  <si>
    <t>0-138177</t>
  </si>
  <si>
    <t>0-138179</t>
  </si>
  <si>
    <t>0-138181</t>
  </si>
  <si>
    <t>0-138182</t>
  </si>
  <si>
    <t>0-138183</t>
  </si>
  <si>
    <t>0-138184</t>
  </si>
  <si>
    <t>0-138188</t>
  </si>
  <si>
    <t>0-138189</t>
  </si>
  <si>
    <t>0-138193</t>
  </si>
  <si>
    <t>0-138194</t>
  </si>
  <si>
    <t>0-138199</t>
  </si>
  <si>
    <t>0-138201</t>
  </si>
  <si>
    <t>0-138202</t>
  </si>
  <si>
    <t>0-138205</t>
  </si>
  <si>
    <t>0-138206</t>
  </si>
  <si>
    <t>0-138207</t>
  </si>
  <si>
    <t>0-138208</t>
  </si>
  <si>
    <t>0-138209</t>
  </si>
  <si>
    <t>0-138210</t>
  </si>
  <si>
    <t>0-138211</t>
  </si>
  <si>
    <t>0-138214</t>
  </si>
  <si>
    <t>0-138215</t>
  </si>
  <si>
    <t>0-138216</t>
  </si>
  <si>
    <t>0-138217</t>
  </si>
  <si>
    <t>0-138218</t>
  </si>
  <si>
    <t>0-138220</t>
  </si>
  <si>
    <t>0-138221</t>
  </si>
  <si>
    <t>0-138222</t>
  </si>
  <si>
    <t>0-138223</t>
  </si>
  <si>
    <t>0-138224</t>
  </si>
  <si>
    <t>0-138225</t>
  </si>
  <si>
    <t>0-138226</t>
  </si>
  <si>
    <t>0-138227</t>
  </si>
  <si>
    <t>0-138230</t>
  </si>
  <si>
    <t>0-138234</t>
  </si>
  <si>
    <t>0-138237</t>
  </si>
  <si>
    <t>0-138239</t>
  </si>
  <si>
    <t>0-138242</t>
  </si>
  <si>
    <t>0-138244</t>
  </si>
  <si>
    <t>0-138247</t>
  </si>
  <si>
    <t>0-138248</t>
  </si>
  <si>
    <t>0-138249</t>
  </si>
  <si>
    <t>0-138257</t>
  </si>
  <si>
    <t>0-138258</t>
  </si>
  <si>
    <t>0-138259</t>
  </si>
  <si>
    <t>0-138260</t>
  </si>
  <si>
    <t>0-138261</t>
  </si>
  <si>
    <t>0-138262</t>
  </si>
  <si>
    <t>0-138264</t>
  </si>
  <si>
    <t>0-138265</t>
  </si>
  <si>
    <t>0-138266</t>
  </si>
  <si>
    <t>0-138268</t>
  </si>
  <si>
    <t>0-138269</t>
  </si>
  <si>
    <t>0-138271</t>
  </si>
  <si>
    <t>0-138267</t>
  </si>
  <si>
    <t>0-138272</t>
  </si>
  <si>
    <t>0-138273</t>
  </si>
  <si>
    <t>0-138274</t>
  </si>
  <si>
    <t>0-138275</t>
  </si>
  <si>
    <t>0-138279</t>
  </si>
  <si>
    <t>0-138280</t>
  </si>
  <si>
    <t>0-138281</t>
  </si>
  <si>
    <t>0-138282</t>
  </si>
  <si>
    <t>0-138287</t>
  </si>
  <si>
    <t>0-138288</t>
  </si>
  <si>
    <t>0-138289</t>
  </si>
  <si>
    <t>0-138290</t>
  </si>
  <si>
    <t>0-138292</t>
  </si>
  <si>
    <t>0-138293</t>
  </si>
  <si>
    <t>0-138294</t>
  </si>
  <si>
    <t>0-138296</t>
  </si>
  <si>
    <t>0-138297</t>
  </si>
  <si>
    <t>0-138298</t>
  </si>
  <si>
    <t>0-138306</t>
  </si>
  <si>
    <t>0-138314</t>
  </si>
  <si>
    <t>0-138317</t>
  </si>
  <si>
    <t>0-138318</t>
  </si>
  <si>
    <t>0-138319</t>
  </si>
  <si>
    <t>0-138322</t>
  </si>
  <si>
    <t>0-138323</t>
  </si>
  <si>
    <t>0-138334</t>
  </si>
  <si>
    <t>0-138335</t>
  </si>
  <si>
    <t>0-138337</t>
  </si>
  <si>
    <t>0-138346</t>
  </si>
  <si>
    <t>0-138352</t>
  </si>
  <si>
    <t>0-138359</t>
  </si>
  <si>
    <t>0-138361</t>
  </si>
  <si>
    <t>0-138364</t>
  </si>
  <si>
    <t>0-138378</t>
  </si>
  <si>
    <t>0-138379</t>
  </si>
  <si>
    <t>0-138381</t>
  </si>
  <si>
    <t>0-138384</t>
  </si>
  <si>
    <t>0-138386</t>
  </si>
  <si>
    <t>0-138401</t>
  </si>
  <si>
    <t>0-138402</t>
  </si>
  <si>
    <t>0-138405</t>
  </si>
  <si>
    <t>0-138408</t>
  </si>
  <si>
    <t>0-138411</t>
  </si>
  <si>
    <t>0-138412</t>
  </si>
  <si>
    <t>0-138414</t>
  </si>
  <si>
    <t>0-138415</t>
  </si>
  <si>
    <t>0-138417</t>
  </si>
  <si>
    <t>0-138418</t>
  </si>
  <si>
    <t>0-138420</t>
  </si>
  <si>
    <t>0-138421</t>
  </si>
  <si>
    <t>0-138422</t>
  </si>
  <si>
    <t>0-138423</t>
  </si>
  <si>
    <t>0-138424</t>
  </si>
  <si>
    <t>0-138425</t>
  </si>
  <si>
    <t>0-138426</t>
  </si>
  <si>
    <t>0-138427</t>
  </si>
  <si>
    <t>0-138429</t>
  </si>
  <si>
    <t>0-138435</t>
  </si>
  <si>
    <t>0-138438</t>
  </si>
  <si>
    <t>0-138439</t>
  </si>
  <si>
    <t>0-138440</t>
  </si>
  <si>
    <t>0-138441</t>
  </si>
  <si>
    <t>0-138442</t>
  </si>
  <si>
    <t>0-138443</t>
  </si>
  <si>
    <t>0-138444</t>
  </si>
  <si>
    <t>0-138446</t>
  </si>
  <si>
    <t>0-138447</t>
  </si>
  <si>
    <t>0-138448</t>
  </si>
  <si>
    <t>0-138449</t>
  </si>
  <si>
    <t>0-138450</t>
  </si>
  <si>
    <t>0-138451</t>
  </si>
  <si>
    <t>0-138452</t>
  </si>
  <si>
    <t>0-138453</t>
  </si>
  <si>
    <t>0-138454</t>
  </si>
  <si>
    <t>0-138455</t>
  </si>
  <si>
    <t>0-138456</t>
  </si>
  <si>
    <t>0-138457</t>
  </si>
  <si>
    <t>0-138458</t>
  </si>
  <si>
    <t>0-138459</t>
  </si>
  <si>
    <t>0-138460</t>
  </si>
  <si>
    <t>0-138463</t>
  </si>
  <si>
    <t>0-138465</t>
  </si>
  <si>
    <t>0-138466</t>
  </si>
  <si>
    <t>0-138470</t>
  </si>
  <si>
    <t>0-138471</t>
  </si>
  <si>
    <t>0-138472</t>
  </si>
  <si>
    <t>0-138473</t>
  </si>
  <si>
    <t>0-138474</t>
  </si>
  <si>
    <t>0-138475</t>
  </si>
  <si>
    <t>0-138476</t>
  </si>
  <si>
    <t>0-138477</t>
  </si>
  <si>
    <t>0-138478</t>
  </si>
  <si>
    <t>0-138480</t>
  </si>
  <si>
    <t>0-138486</t>
  </si>
  <si>
    <t>0-138487</t>
  </si>
  <si>
    <t>0-138488</t>
  </si>
  <si>
    <t>0-138489</t>
  </si>
  <si>
    <t>Grand Total</t>
  </si>
  <si>
    <t>TN</t>
  </si>
  <si>
    <t>CrOther</t>
  </si>
  <si>
    <t>PRINTING PILOT MARKER BLACK</t>
  </si>
  <si>
    <t>PRINTING BROWN ENVELOPE LONG</t>
  </si>
  <si>
    <t>PRINTING EXPANDING FOLDER PINK LONG</t>
  </si>
  <si>
    <t>PRINTING STICKER PAPER MATTE</t>
  </si>
  <si>
    <t>PRINTING PACKAGING TAPE TAN</t>
  </si>
  <si>
    <t>PRINTING STICKY NOTE - 2</t>
  </si>
  <si>
    <t>PRINTING EXPANDING FOLDER ROYAL BLUE SHORT - 2</t>
  </si>
  <si>
    <t>PRINTING STAPLE WIRE #35 MAX - 2</t>
  </si>
  <si>
    <t>PRINTING PVC ID CARD W/ PRINT</t>
  </si>
  <si>
    <t>PRINTING DUCT TAPE</t>
  </si>
  <si>
    <t xml:space="preserve">ACCOUNT RECEIVABLE </t>
  </si>
  <si>
    <t xml:space="preserve">CASH SALE </t>
  </si>
  <si>
    <t>PRINTING FASTENER HOT ARTS 70MM</t>
  </si>
  <si>
    <t>PRINTING PACKAGING TAPE CLEAR</t>
  </si>
  <si>
    <t>PRINTING SCISSOR - 2</t>
  </si>
  <si>
    <t>PRINTING SCOTCH TAPE 1- 2</t>
  </si>
  <si>
    <t>PRINTING GATOR CORRECTION TAPE</t>
  </si>
  <si>
    <t>PRINTING EXPANDING FOLDER GREEN LONG - 2</t>
  </si>
  <si>
    <t>MARCH 2026</t>
  </si>
  <si>
    <t>03/04/2026</t>
  </si>
  <si>
    <t>03/06/2026</t>
  </si>
  <si>
    <t>03/10/2026</t>
  </si>
  <si>
    <t>03/12/2026</t>
  </si>
  <si>
    <t>03/16/2026</t>
  </si>
  <si>
    <t>03/18/2026</t>
  </si>
  <si>
    <t>03/19/2026</t>
  </si>
  <si>
    <t>03/25/2026</t>
  </si>
  <si>
    <t>03/31/2026</t>
  </si>
  <si>
    <t>0-140621</t>
  </si>
  <si>
    <t>0-140695</t>
  </si>
  <si>
    <t>0-140828</t>
  </si>
  <si>
    <t>0-140829</t>
  </si>
  <si>
    <t>0-140831</t>
  </si>
  <si>
    <t>0-140835</t>
  </si>
  <si>
    <t>0-140841</t>
  </si>
  <si>
    <t>0-140842</t>
  </si>
  <si>
    <t>0-140843</t>
  </si>
  <si>
    <t>0-140844</t>
  </si>
  <si>
    <t>0-140845</t>
  </si>
  <si>
    <t>0-140846</t>
  </si>
  <si>
    <t>0-140944</t>
  </si>
  <si>
    <t>0-140945</t>
  </si>
  <si>
    <t>0-141088</t>
  </si>
  <si>
    <t>0-141178</t>
  </si>
  <si>
    <t>0-141179</t>
  </si>
  <si>
    <t>0-141196</t>
  </si>
  <si>
    <t>0-141228</t>
  </si>
  <si>
    <t>0-141231</t>
  </si>
  <si>
    <t>0-141451</t>
  </si>
  <si>
    <t>0-141469</t>
  </si>
  <si>
    <t>0-141470</t>
  </si>
  <si>
    <t>0-141471</t>
  </si>
  <si>
    <t>0-141472</t>
  </si>
  <si>
    <t>0-141473</t>
  </si>
  <si>
    <t>0-141474</t>
  </si>
  <si>
    <t>0-141475</t>
  </si>
  <si>
    <t>0-141476</t>
  </si>
  <si>
    <t>0-141477</t>
  </si>
  <si>
    <t>0-141478</t>
  </si>
  <si>
    <t>0-141479</t>
  </si>
  <si>
    <t>0-141480</t>
  </si>
  <si>
    <t>0-141481</t>
  </si>
  <si>
    <t>0-141482</t>
  </si>
  <si>
    <t>0-141487</t>
  </si>
  <si>
    <t>0-141729</t>
  </si>
  <si>
    <t>0-141730</t>
  </si>
  <si>
    <t>0-141756</t>
  </si>
  <si>
    <t>0-141757</t>
  </si>
  <si>
    <t>0-141758</t>
  </si>
  <si>
    <t>0-141759</t>
  </si>
  <si>
    <t>0-141760</t>
  </si>
  <si>
    <t>0-141762</t>
  </si>
  <si>
    <t>PRINTING TARPAULIN 5X4FT</t>
  </si>
  <si>
    <t>PRINTING STAMP PAD NO. 3 VIOLET INK</t>
  </si>
  <si>
    <t>PRINTING DATE STAMP PAID</t>
  </si>
  <si>
    <t>PRINTING TARPAULIN 4X8FT</t>
  </si>
  <si>
    <t>PRINTING BACCALAUREATE MASS 4X12FT TARP</t>
  </si>
  <si>
    <t>PRINTING CERTIFICATE</t>
  </si>
  <si>
    <t>PRINTING BOD CERTIFICATE 3PCS</t>
  </si>
  <si>
    <t>PRINTING TARPAULIN 4X5FT</t>
  </si>
  <si>
    <t>PRINTING STABILO BOSS HIGHLIGHTER</t>
  </si>
  <si>
    <t>PRINTING BINDER CLIPS 1 INCH</t>
  </si>
  <si>
    <t>PRINTING CREAM T-SHIRT</t>
  </si>
  <si>
    <t>PRINTING MOCCA POLO SHIRT</t>
  </si>
  <si>
    <t>01/06/2026</t>
  </si>
  <si>
    <t>PRINTING EXPANDING FOLDER RED LONG</t>
  </si>
  <si>
    <t>01/08/2026</t>
  </si>
  <si>
    <t>0-138236</t>
  </si>
  <si>
    <t>PRINTING DTR</t>
  </si>
  <si>
    <t>PRINTING SCOTCH TAPE 3/4IN</t>
  </si>
  <si>
    <t>01/09/2026</t>
  </si>
  <si>
    <t>0-138291</t>
  </si>
  <si>
    <t>PRINTING BROWN ENVELOPE SHORT</t>
  </si>
  <si>
    <t>PRINTING CATTLEYA NOTE MEDIUM</t>
  </si>
  <si>
    <t>PRINTING CLIENTS ID</t>
  </si>
  <si>
    <t>PRINTING DOUBLE SIDED TAPE</t>
  </si>
  <si>
    <t>PRINTING FORMS BONUS SHORT</t>
  </si>
  <si>
    <t>PRINTING FORMS PERFECT PRINT LONG B2B</t>
  </si>
  <si>
    <t>PRINTING MUG</t>
  </si>
  <si>
    <t>PRINTING MY GEL REFILL 0.5</t>
  </si>
  <si>
    <t>PRINTING OFFICE PRO A4</t>
  </si>
  <si>
    <t>PRINTING WORX BONDPAPER LONG</t>
  </si>
  <si>
    <t>PRINTING WORX BONDPAPER SHORT</t>
  </si>
  <si>
    <t>01/12/2026</t>
  </si>
  <si>
    <t>PRINTING EXPANDING FOLDER ROYAL BLUE LONG</t>
  </si>
  <si>
    <t>PRINTING EXPANDING FOLDER GREEN LONG</t>
  </si>
  <si>
    <t>PRINTING STAMP PAD INK PURPLE</t>
  </si>
  <si>
    <t>01/13/2026</t>
  </si>
  <si>
    <t>0-138507</t>
  </si>
  <si>
    <t>01/17/2026</t>
  </si>
  <si>
    <t>0-138612</t>
  </si>
  <si>
    <t>01/19/2026</t>
  </si>
  <si>
    <t>0-138702</t>
  </si>
  <si>
    <t>PRINTING CORRECTION TAPE 10M</t>
  </si>
  <si>
    <t>PRINTING SHINY RECORD BOOK 500 PAGES</t>
  </si>
  <si>
    <t>PRINTING GATOR RUBBERBOND</t>
  </si>
  <si>
    <t>0-138703</t>
  </si>
  <si>
    <t>PRINTING SCOTCH TAPE 1</t>
  </si>
  <si>
    <t>0-138704</t>
  </si>
  <si>
    <t>0-138705</t>
  </si>
  <si>
    <t>PRINTING TARPAULIN 3X4FT-ACASH ISYN</t>
  </si>
  <si>
    <t>PRINTING TARPAULIN 2X3FT-ACASH ISYN</t>
  </si>
  <si>
    <t>0-138706</t>
  </si>
  <si>
    <t>0-138707</t>
  </si>
  <si>
    <t>PRINTING ISYNERGIES ID LACE</t>
  </si>
  <si>
    <t>01/20/2026</t>
  </si>
  <si>
    <t>0-138734</t>
  </si>
  <si>
    <t>01/21/2026</t>
  </si>
  <si>
    <t>0-138808</t>
  </si>
  <si>
    <t>PRINTING CORRECTION TAPE 15MM</t>
  </si>
  <si>
    <t>0-138834</t>
  </si>
  <si>
    <t>01/22/2026</t>
  </si>
  <si>
    <t>0-138864</t>
  </si>
  <si>
    <t>0-138865</t>
  </si>
  <si>
    <t>0-138866</t>
  </si>
  <si>
    <t>0-138867</t>
  </si>
  <si>
    <t>0-138868</t>
  </si>
  <si>
    <t>PRINTING FOLDER LONG GREEN</t>
  </si>
  <si>
    <t>PRINTING ELMERS GLUE 130G</t>
  </si>
  <si>
    <t>PRINTING STAPLE WIRE #35 MAX</t>
  </si>
  <si>
    <t>PRINTING VINYL PAPER CLIPS 50MM</t>
  </si>
  <si>
    <t>0-138869</t>
  </si>
  <si>
    <t>0-138870</t>
  </si>
  <si>
    <t>0-138871</t>
  </si>
  <si>
    <t>0-138872</t>
  </si>
  <si>
    <t>0-138873</t>
  </si>
  <si>
    <t>PRINTING STO. NINO T-SHIRT W/ DTF PRINT</t>
  </si>
  <si>
    <t>0-138874</t>
  </si>
  <si>
    <t>0-138875</t>
  </si>
  <si>
    <t>01/28/2026</t>
  </si>
  <si>
    <t>0-139132</t>
  </si>
  <si>
    <t>PRINTING PERFECT PRINT A4</t>
  </si>
  <si>
    <t>PRINTING FOLDER SHORT WHITE</t>
  </si>
  <si>
    <t>0-139137</t>
  </si>
  <si>
    <t>0-139141</t>
  </si>
  <si>
    <t>0-139142</t>
  </si>
  <si>
    <t>0-139143</t>
  </si>
  <si>
    <t>0-139148</t>
  </si>
  <si>
    <t>PRINTING FASTENER GATOR</t>
  </si>
  <si>
    <t>0-139149</t>
  </si>
  <si>
    <t>PRINTING EXPANDING FOLDER GREEN SHORT</t>
  </si>
  <si>
    <t>0-139150</t>
  </si>
  <si>
    <t>PRINTING EXPANDING FOLDER RED SHORT</t>
  </si>
  <si>
    <t>01/29/2026</t>
  </si>
  <si>
    <t>0-139192</t>
  </si>
  <si>
    <t>PRINTING AMPC PERA PANG KAHON FORM</t>
  </si>
  <si>
    <t>0-139193</t>
  </si>
  <si>
    <t>PRINTING WELLS PLASTIC PAPER FASTENER</t>
  </si>
  <si>
    <t>0-139194</t>
  </si>
  <si>
    <t>0-139217</t>
  </si>
  <si>
    <t>PRINTING DINAS CATERING BLACK POLO M-XL</t>
  </si>
  <si>
    <t>PRINTING DINAS CATERING WHITE POLO L</t>
  </si>
  <si>
    <t>PRINTING DINAS CATERING POLO RED L</t>
  </si>
  <si>
    <t>PRINTING BOSS ROLLY POLO SHIRT 3XL-4XL</t>
  </si>
  <si>
    <t>0-139233</t>
  </si>
  <si>
    <t>0-139234</t>
  </si>
  <si>
    <t>0-139235</t>
  </si>
  <si>
    <t>PRINTING ASKI UNSTOPPABLE POLO SHIRT</t>
  </si>
  <si>
    <t>01/30/2026</t>
  </si>
  <si>
    <t>0-139265</t>
  </si>
  <si>
    <t>0-139278</t>
  </si>
  <si>
    <t>0-139279</t>
  </si>
  <si>
    <t>0-139280</t>
  </si>
  <si>
    <t>PRINTING PLASTIC FOLDER YELLOW LONG</t>
  </si>
  <si>
    <t>PRINTING FASTENER JOY 8 1/2 SIZE</t>
  </si>
  <si>
    <t>0-139281</t>
  </si>
  <si>
    <t>0-139282</t>
  </si>
  <si>
    <t>0-139283</t>
  </si>
  <si>
    <t>0-139284</t>
  </si>
  <si>
    <t>PRINTING FOLDER LONG BLUE</t>
  </si>
  <si>
    <t>PRINTING FOLDER LONG RED</t>
  </si>
  <si>
    <t>PRINTING FOLDER LONG YELLOW</t>
  </si>
  <si>
    <t>PRINTING FOLDER LONG PINK</t>
  </si>
  <si>
    <t>PRINTING EXPANDING FOLDER YELLOW LONG</t>
  </si>
  <si>
    <t>0-139285</t>
  </si>
  <si>
    <t>0-139286</t>
  </si>
  <si>
    <t>0-139287</t>
  </si>
  <si>
    <t>0-139292</t>
  </si>
  <si>
    <t>PRINTING STAPLER HD-50R/ML</t>
  </si>
  <si>
    <t>0-139293</t>
  </si>
  <si>
    <t>JANUARY 2026</t>
  </si>
  <si>
    <t>02/04/2026</t>
  </si>
  <si>
    <t>70279</t>
  </si>
  <si>
    <t>0-139496</t>
  </si>
  <si>
    <t>PRINTING MFI PASSBOOK W/ COVER</t>
  </si>
  <si>
    <t>02/06/2026</t>
  </si>
  <si>
    <t>70176</t>
  </si>
  <si>
    <t>0-139559</t>
  </si>
  <si>
    <t>70173</t>
  </si>
  <si>
    <t>70123</t>
  </si>
  <si>
    <t>0-139564</t>
  </si>
  <si>
    <t>70124</t>
  </si>
  <si>
    <t>70075</t>
  </si>
  <si>
    <t>70085</t>
  </si>
  <si>
    <t>70088</t>
  </si>
  <si>
    <t>70283</t>
  </si>
  <si>
    <t>70054</t>
  </si>
  <si>
    <t>02/10/2026</t>
  </si>
  <si>
    <t>0-139713</t>
  </si>
  <si>
    <t>70193</t>
  </si>
  <si>
    <t>0-139732</t>
  </si>
  <si>
    <t>70194</t>
  </si>
  <si>
    <t>70127</t>
  </si>
  <si>
    <t>70288</t>
  </si>
  <si>
    <t>02/12/2026</t>
  </si>
  <si>
    <t>70286</t>
  </si>
  <si>
    <t>0-139831</t>
  </si>
  <si>
    <t>70016</t>
  </si>
  <si>
    <t>70017</t>
  </si>
  <si>
    <t>70077</t>
  </si>
  <si>
    <t>0-139847</t>
  </si>
  <si>
    <t>PRINTING FASTENER GATOR 8 1/2 SIZE</t>
  </si>
  <si>
    <t>70160</t>
  </si>
  <si>
    <t>PRINTING VINYL PAPER CLIPS 33MM</t>
  </si>
  <si>
    <t>02/13/2026</t>
  </si>
  <si>
    <t>0-139871</t>
  </si>
  <si>
    <t>0-139886</t>
  </si>
  <si>
    <t>70056</t>
  </si>
  <si>
    <t>70296</t>
  </si>
  <si>
    <t>0-139887</t>
  </si>
  <si>
    <t>0-139889</t>
  </si>
  <si>
    <t>70069</t>
  </si>
  <si>
    <t>70112</t>
  </si>
  <si>
    <t>70066</t>
  </si>
  <si>
    <t>0-139892</t>
  </si>
  <si>
    <t>70114</t>
  </si>
  <si>
    <t>0-139893</t>
  </si>
  <si>
    <t>0-139894</t>
  </si>
  <si>
    <t>70018</t>
  </si>
  <si>
    <t>70294</t>
  </si>
  <si>
    <t>70205</t>
  </si>
  <si>
    <t>0-139895</t>
  </si>
  <si>
    <t>PRINTING ASKI MUG</t>
  </si>
  <si>
    <t>70019</t>
  </si>
  <si>
    <t>0-139896</t>
  </si>
  <si>
    <t>0-139897</t>
  </si>
  <si>
    <t>70175</t>
  </si>
  <si>
    <t>0-139898</t>
  </si>
  <si>
    <t>0-139899</t>
  </si>
  <si>
    <t>70315</t>
  </si>
  <si>
    <t>70293</t>
  </si>
  <si>
    <t>70272</t>
  </si>
  <si>
    <t>PRINTING SHINY RECORD BOOK 300 PAGER</t>
  </si>
  <si>
    <t>70314</t>
  </si>
  <si>
    <t>PRINTING BALLPEN HBW MATRIX RED - 2</t>
  </si>
  <si>
    <t>0-139900</t>
  </si>
  <si>
    <t>0-139901</t>
  </si>
  <si>
    <t>70174</t>
  </si>
  <si>
    <t>0-139902</t>
  </si>
  <si>
    <t>70059</t>
  </si>
  <si>
    <t>PRINTING EXPANDING ENVELOPE BLUE LONG</t>
  </si>
  <si>
    <t>70305</t>
  </si>
  <si>
    <t>70072</t>
  </si>
  <si>
    <t>02/20/2026</t>
  </si>
  <si>
    <t>0-140167</t>
  </si>
  <si>
    <t>70302</t>
  </si>
  <si>
    <t>0-140181</t>
  </si>
  <si>
    <t xml:space="preserve">PRINTING DINAS CATERING WHITE POLO </t>
  </si>
  <si>
    <t>70303</t>
  </si>
  <si>
    <t xml:space="preserve">PRINTING DINAS CATERING BLACK POLO </t>
  </si>
  <si>
    <t>02/24/2026</t>
  </si>
  <si>
    <t>0-140347</t>
  </si>
  <si>
    <t>02/26/2026</t>
  </si>
  <si>
    <t>70071</t>
  </si>
  <si>
    <t>0-140441</t>
  </si>
  <si>
    <t>70084</t>
  </si>
  <si>
    <t>PRINTING FOLDER LONG VIOLET</t>
  </si>
  <si>
    <t>70270</t>
  </si>
  <si>
    <t>02/28/2026</t>
  </si>
  <si>
    <t>0-140507</t>
  </si>
  <si>
    <t>0-140508</t>
  </si>
  <si>
    <t>70290</t>
  </si>
  <si>
    <t>0-140517</t>
  </si>
  <si>
    <t>0-140518</t>
  </si>
  <si>
    <t>0-140519</t>
  </si>
  <si>
    <t>0-140520</t>
  </si>
  <si>
    <t>0-140521</t>
  </si>
  <si>
    <t>0-140522</t>
  </si>
  <si>
    <t>0-140523</t>
  </si>
  <si>
    <t>70043</t>
  </si>
  <si>
    <t>PRINTING CONT. FORM CARBONLESS 11X9 1/2 2 PLY</t>
  </si>
  <si>
    <t>0-140524</t>
  </si>
  <si>
    <t>0-140525</t>
  </si>
  <si>
    <t>0-140526</t>
  </si>
  <si>
    <t>70098</t>
  </si>
  <si>
    <t>PRINTING KODAK PHOTO PAPER A4</t>
  </si>
  <si>
    <t>70306</t>
  </si>
  <si>
    <t>70166</t>
  </si>
  <si>
    <t>0-140527</t>
  </si>
  <si>
    <t>0-140528</t>
  </si>
  <si>
    <t>70023</t>
  </si>
  <si>
    <t>PRINTING CATALOGUE ENVELOPE 1/2 SIZE</t>
  </si>
  <si>
    <t>0-140529</t>
  </si>
  <si>
    <t>70311</t>
  </si>
  <si>
    <t>0-140530</t>
  </si>
  <si>
    <t>70304</t>
  </si>
  <si>
    <t>0-140531</t>
  </si>
  <si>
    <t>0-140532</t>
  </si>
  <si>
    <t>0-140533</t>
  </si>
  <si>
    <t>0-140534</t>
  </si>
  <si>
    <t>70301</t>
  </si>
  <si>
    <t>0-140535</t>
  </si>
  <si>
    <t>PRINTING BESTLIFE PERA PANG KAHON FORM</t>
  </si>
  <si>
    <t>0-140536</t>
  </si>
  <si>
    <t>0-140539</t>
  </si>
  <si>
    <t>0-140540</t>
  </si>
  <si>
    <t>0-140541</t>
  </si>
  <si>
    <t>0-140542</t>
  </si>
  <si>
    <t>70206</t>
  </si>
  <si>
    <t>0-140543</t>
  </si>
  <si>
    <t>PRINTING SAN ISIDRO EMBROIDERY ONLY</t>
  </si>
  <si>
    <t>70317</t>
  </si>
  <si>
    <t>0-140546</t>
  </si>
  <si>
    <t>PRINTING MBA COFFEE MUG - 3</t>
  </si>
  <si>
    <t>70240</t>
  </si>
  <si>
    <t xml:space="preserve">PRINTING ASKI MBA MUG W/ UV DTF STICKER </t>
  </si>
  <si>
    <t>0-140547</t>
  </si>
  <si>
    <t>70080</t>
  </si>
  <si>
    <t>70295</t>
  </si>
  <si>
    <t>0-140548</t>
  </si>
  <si>
    <t>70081</t>
  </si>
  <si>
    <t>70087</t>
  </si>
  <si>
    <t>PRINTING FOLDER SHORT RED</t>
  </si>
  <si>
    <t>70091</t>
  </si>
  <si>
    <t>0-140552</t>
  </si>
  <si>
    <t>70170</t>
  </si>
  <si>
    <t>0-140553</t>
  </si>
  <si>
    <t>FEBRUARY 2026</t>
  </si>
  <si>
    <t>APRIL 2026</t>
  </si>
  <si>
    <t>0-142010</t>
  </si>
  <si>
    <t>0-142206</t>
  </si>
  <si>
    <t>0-142213</t>
  </si>
  <si>
    <t>0-142241</t>
  </si>
  <si>
    <t>0-142285</t>
  </si>
  <si>
    <t>PRINTING ASKI MBA DRK GREEN POLO SHIRT</t>
  </si>
  <si>
    <t>0-142380</t>
  </si>
  <si>
    <t>PRINTING TARPAULIN 4X8FT-SANTOS REUNION</t>
  </si>
  <si>
    <t>0-142383</t>
  </si>
  <si>
    <t>70151</t>
  </si>
  <si>
    <t>70004</t>
  </si>
  <si>
    <t>70044</t>
  </si>
  <si>
    <t>70309</t>
  </si>
  <si>
    <t>0-142531</t>
  </si>
  <si>
    <t>0-142532</t>
  </si>
  <si>
    <t>PRINTING CONT. FORM CARBONLESS 11X9 1/2 3 PLY</t>
  </si>
  <si>
    <t>0-142533</t>
  </si>
  <si>
    <t>PRINTING PLASTIC FOLDER GREEN LONG - 2</t>
  </si>
  <si>
    <t>0-142536</t>
  </si>
  <si>
    <t>70113</t>
  </si>
  <si>
    <t>70196</t>
  </si>
  <si>
    <t>0-142537</t>
  </si>
  <si>
    <t>PRINTING MY GEL SIGNPEN BLACK 0.7</t>
  </si>
  <si>
    <t>PRINTING SOFTCARD ID HOLDER</t>
  </si>
  <si>
    <t>70312</t>
  </si>
  <si>
    <t>70308</t>
  </si>
  <si>
    <t>70316</t>
  </si>
  <si>
    <t>70159</t>
  </si>
  <si>
    <t>70307</t>
  </si>
  <si>
    <t>70014</t>
  </si>
  <si>
    <t>70319</t>
  </si>
  <si>
    <t>PRINTING EXPANDING FOLDER ROYAL BLUE LONG - 2</t>
  </si>
  <si>
    <t>PRINTING PLASTIC FOLDER BLUE LONG - 2</t>
  </si>
  <si>
    <t>PRINTING ASKI MBA EMRLD GREEN POLO SHIRT</t>
  </si>
  <si>
    <t>PRINTING VINYL PAPER CLIPS 33MM - 2</t>
  </si>
  <si>
    <t>PRINTING BINDER CLIPS 2 INCHES - 2</t>
  </si>
  <si>
    <t>PRINTING CATALOGUE ENVELOPE 1/2 SIZE -2</t>
  </si>
  <si>
    <t>0-142539</t>
  </si>
  <si>
    <t>0-142540</t>
  </si>
  <si>
    <t>0-142541</t>
  </si>
  <si>
    <t>0-142542</t>
  </si>
  <si>
    <t>0-142543</t>
  </si>
  <si>
    <t>70271</t>
  </si>
  <si>
    <t>70318</t>
  </si>
  <si>
    <t>PRINTING SHINY RECORD BOOK 150 PAGES</t>
  </si>
  <si>
    <t>PRINTING BROWN ENVELOPE - SHORT</t>
  </si>
  <si>
    <t>0-142548</t>
  </si>
  <si>
    <t>0-142546</t>
  </si>
  <si>
    <t>0-142547</t>
  </si>
  <si>
    <t>04/21/2026</t>
  </si>
  <si>
    <t>70246</t>
  </si>
  <si>
    <t>PRINTING PLASTIC FOLDER GREEN LONG</t>
  </si>
  <si>
    <t>0-142575</t>
  </si>
  <si>
    <t>0-142576</t>
  </si>
  <si>
    <t>0-142577</t>
  </si>
  <si>
    <t>0-142589</t>
  </si>
  <si>
    <t>0-142608</t>
  </si>
  <si>
    <t>70083</t>
  </si>
  <si>
    <t>70266</t>
  </si>
  <si>
    <t>70086</t>
  </si>
  <si>
    <t>70212</t>
  </si>
  <si>
    <t>0-142649</t>
  </si>
  <si>
    <t>0-142650</t>
  </si>
  <si>
    <t>0-142651</t>
  </si>
  <si>
    <t>0-142653</t>
  </si>
  <si>
    <t>PRINTING FOLDER LONG ORANGE</t>
  </si>
  <si>
    <t>PRINTING ASKI MPC BOD &amp; GA TARPAULIN 1.5X2FT</t>
  </si>
  <si>
    <t>70310</t>
  </si>
  <si>
    <t>0-142711</t>
  </si>
  <si>
    <t>0-142712</t>
  </si>
  <si>
    <t>PRINTING PLASTIC FOLDER YELLOW LONG - 2</t>
  </si>
  <si>
    <t>70137</t>
  </si>
  <si>
    <t>0-142717</t>
  </si>
  <si>
    <t>PRINTING PLASTIC FOLDER RED LONG</t>
  </si>
  <si>
    <t>70313</t>
  </si>
  <si>
    <t>0-142811</t>
  </si>
  <si>
    <t>0-142813</t>
  </si>
  <si>
    <t>0-142814</t>
  </si>
  <si>
    <t>0-142815</t>
  </si>
  <si>
    <t>0-142816</t>
  </si>
  <si>
    <t>0-142817</t>
  </si>
  <si>
    <t>0-142818</t>
  </si>
  <si>
    <t>0-142823</t>
  </si>
  <si>
    <t>70263</t>
  </si>
  <si>
    <t>70324</t>
  </si>
  <si>
    <t>70273</t>
  </si>
  <si>
    <t>0-142884</t>
  </si>
  <si>
    <t>0-142890</t>
  </si>
  <si>
    <t>0-142878</t>
  </si>
  <si>
    <t>PRINTING AECC BOD &amp; GA TARPAULIN 1.5X2FT</t>
  </si>
  <si>
    <t>PRINTING LAYOUT FEE</t>
  </si>
  <si>
    <t>0-142919</t>
  </si>
  <si>
    <t>0-142929</t>
  </si>
  <si>
    <t>70171</t>
  </si>
  <si>
    <t>0-142960</t>
  </si>
  <si>
    <t>0-142961</t>
  </si>
  <si>
    <t>0-142962</t>
  </si>
  <si>
    <t>0-142963</t>
  </si>
  <si>
    <t>0-142964</t>
  </si>
  <si>
    <t>0-142965</t>
  </si>
  <si>
    <t>0-142966</t>
  </si>
  <si>
    <t>0-142967</t>
  </si>
  <si>
    <t>0-142968</t>
  </si>
  <si>
    <t>0-142969</t>
  </si>
  <si>
    <t>0-142970</t>
  </si>
  <si>
    <t>0-142975</t>
  </si>
  <si>
    <t>PRINTING PVC CARDS</t>
  </si>
  <si>
    <t>CDB</t>
  </si>
  <si>
    <t>JV</t>
  </si>
  <si>
    <t>sales</t>
  </si>
  <si>
    <t>FOR ADJUSTMENT</t>
  </si>
  <si>
    <t>WRONG PUNCH SI#16758</t>
  </si>
  <si>
    <t>0-143221</t>
  </si>
  <si>
    <t>0-143301</t>
  </si>
  <si>
    <t>0-143357</t>
  </si>
  <si>
    <t>0-143360</t>
  </si>
  <si>
    <t>0-143362</t>
  </si>
  <si>
    <t>0-143365</t>
  </si>
  <si>
    <t>0-143367</t>
  </si>
  <si>
    <t>0-143370</t>
  </si>
  <si>
    <t>0-143372</t>
  </si>
  <si>
    <t>0-143457</t>
  </si>
  <si>
    <t>0-143458</t>
  </si>
  <si>
    <t>0-143460</t>
  </si>
  <si>
    <t>0-143461</t>
  </si>
  <si>
    <t>0-143462</t>
  </si>
  <si>
    <t>0-143463</t>
  </si>
  <si>
    <t>PRINTING ASKI SKI MONIKER SHIRT S-XL</t>
  </si>
  <si>
    <t>PRINTING ASKI SKI MONIKER SHIRT 2XL</t>
  </si>
  <si>
    <t>05/17/2026</t>
  </si>
  <si>
    <t>0-143525</t>
  </si>
  <si>
    <t>0-143526</t>
  </si>
  <si>
    <t>05/18/2026</t>
  </si>
  <si>
    <t>0-143545</t>
  </si>
  <si>
    <t>0-143546</t>
  </si>
  <si>
    <t>0-143548</t>
  </si>
  <si>
    <t>0-143559</t>
  </si>
  <si>
    <t>PRINTING CUTTER HEAVY DUTY</t>
  </si>
  <si>
    <t>0-143647</t>
  </si>
  <si>
    <t>0-143677</t>
  </si>
  <si>
    <t>PRINTING PLASTIC FOLDER PINK LONG</t>
  </si>
  <si>
    <t>0-143705</t>
  </si>
  <si>
    <t>PRINTING ASKI FOUNDATION EMBROIDERY ONLY</t>
  </si>
  <si>
    <t>0-143757</t>
  </si>
  <si>
    <t>05/26/2026</t>
  </si>
  <si>
    <t>70269</t>
  </si>
  <si>
    <t>70122</t>
  </si>
  <si>
    <t>70168</t>
  </si>
  <si>
    <t>0-143862</t>
  </si>
  <si>
    <t>0-143863</t>
  </si>
  <si>
    <t>0-143864</t>
  </si>
  <si>
    <t>0-143865</t>
  </si>
  <si>
    <t>0-143866</t>
  </si>
  <si>
    <t>0-143867</t>
  </si>
  <si>
    <t>0-143868</t>
  </si>
  <si>
    <t>0-143869</t>
  </si>
  <si>
    <t>0-143870</t>
  </si>
  <si>
    <t>0-143871</t>
  </si>
  <si>
    <t>0-143872</t>
  </si>
  <si>
    <t>0-143873</t>
  </si>
  <si>
    <t>0-143874</t>
  </si>
  <si>
    <t>0-143875</t>
  </si>
  <si>
    <t>0-143876</t>
  </si>
  <si>
    <t>0-143877</t>
  </si>
  <si>
    <t>0-143886</t>
  </si>
  <si>
    <t>PRINTING OLDTOWN CARBON PAPER LONG</t>
  </si>
  <si>
    <t>0-143900</t>
  </si>
  <si>
    <t>sales 5/27/2026</t>
  </si>
  <si>
    <t>MAY 2026</t>
  </si>
  <si>
    <t>70320</t>
  </si>
  <si>
    <t>0-143964</t>
  </si>
  <si>
    <t>PRINTING HBW MATRIX BLACK - 2</t>
  </si>
  <si>
    <t>05/29/2026</t>
  </si>
  <si>
    <t>70120</t>
  </si>
  <si>
    <t>0-143977</t>
  </si>
  <si>
    <t>0-143992</t>
  </si>
  <si>
    <t>0-144002</t>
  </si>
  <si>
    <t>PRINTING PAPER GRADE 3</t>
  </si>
  <si>
    <t>PERFECT PRINT A4 for FS</t>
  </si>
  <si>
    <t>SALES BOOK - COOP STORE</t>
  </si>
  <si>
    <t>05/01/2026</t>
  </si>
  <si>
    <t>4800361393645</t>
  </si>
  <si>
    <t>0-142991</t>
  </si>
  <si>
    <t>NESCAFE CLASSIC RESEALABLE 50G</t>
  </si>
  <si>
    <t>58.00</t>
  </si>
  <si>
    <t>00028</t>
  </si>
  <si>
    <t>CONVIE WILKINS 500ML</t>
  </si>
  <si>
    <t>9.38</t>
  </si>
  <si>
    <t>11.00</t>
  </si>
  <si>
    <t>00027</t>
  </si>
  <si>
    <t>CONVIE WILKINS 330ML</t>
  </si>
  <si>
    <t>7.03</t>
  </si>
  <si>
    <t>10.00</t>
  </si>
  <si>
    <t>2</t>
  </si>
  <si>
    <t>PR GAZ</t>
  </si>
  <si>
    <t>57.00</t>
  </si>
  <si>
    <t>73.00</t>
  </si>
  <si>
    <t>8998389124191</t>
  </si>
  <si>
    <t>0-142992</t>
  </si>
  <si>
    <t>KUKIS SUSU VANILLA 60G</t>
  </si>
  <si>
    <t>12.77</t>
  </si>
  <si>
    <t>14.75</t>
  </si>
  <si>
    <t>8996001440124</t>
  </si>
  <si>
    <t>ENERGEN CEREAL DRINK VANILLA 40G</t>
  </si>
  <si>
    <t>8.20</t>
  </si>
  <si>
    <t>9.50</t>
  </si>
  <si>
    <t>4800216120013</t>
  </si>
  <si>
    <t>CLOVER CHEESE 24G</t>
  </si>
  <si>
    <t>7.51</t>
  </si>
  <si>
    <t>8.75</t>
  </si>
  <si>
    <t>4800016603259</t>
  </si>
  <si>
    <t>VCUT CHEESE 25G</t>
  </si>
  <si>
    <t>15.65</t>
  </si>
  <si>
    <t>18.00</t>
  </si>
  <si>
    <t>748485100401</t>
  </si>
  <si>
    <t>CENTURY TUNA FLAKES IN OIL 155G</t>
  </si>
  <si>
    <t>38.39</t>
  </si>
  <si>
    <t>44.25</t>
  </si>
  <si>
    <t>748485802381</t>
  </si>
  <si>
    <t>WOW ULAM MENUDO 155G</t>
  </si>
  <si>
    <t>22.59</t>
  </si>
  <si>
    <t>26.00</t>
  </si>
  <si>
    <t>4800249006650</t>
  </si>
  <si>
    <t>SM PLAIN CORNED TUNA 180G</t>
  </si>
  <si>
    <t>46.00</t>
  </si>
  <si>
    <t>00008</t>
  </si>
  <si>
    <t>0-142993</t>
  </si>
  <si>
    <t>CONVIE COKE 1.5</t>
  </si>
  <si>
    <t>59.58</t>
  </si>
  <si>
    <t>67.50</t>
  </si>
  <si>
    <t>888123456781304</t>
  </si>
  <si>
    <t>PANI-PEANUT</t>
  </si>
  <si>
    <t>90.00</t>
  </si>
  <si>
    <t>120.00</t>
  </si>
  <si>
    <t>4809011681507</t>
  </si>
  <si>
    <t>BOY BAWANG CORNICK BBQ FLAVOR 100G</t>
  </si>
  <si>
    <t>16.03</t>
  </si>
  <si>
    <t>18.50</t>
  </si>
  <si>
    <t>4902430831161</t>
  </si>
  <si>
    <t>0-142994</t>
  </si>
  <si>
    <t>TIDE PERFECT CLEAN W/ DOWNY GARDEN BLOOM 74G</t>
  </si>
  <si>
    <t>14.43</t>
  </si>
  <si>
    <t>17.00</t>
  </si>
  <si>
    <t>4902430495073</t>
  </si>
  <si>
    <t>SAFEGUARD SOAP BAR PURE WHITE BOX 90G</t>
  </si>
  <si>
    <t>36.84</t>
  </si>
  <si>
    <t>42.50</t>
  </si>
  <si>
    <t>750515018501</t>
  </si>
  <si>
    <t>SKYFLAKES CRACKERS 25GX10S</t>
  </si>
  <si>
    <t>73.17</t>
  </si>
  <si>
    <t>4800361393232</t>
  </si>
  <si>
    <t>NESTLE COFFEE MATE 250G</t>
  </si>
  <si>
    <t>61.93</t>
  </si>
  <si>
    <t>71.25</t>
  </si>
  <si>
    <t>4800194116084</t>
  </si>
  <si>
    <t>OISHI CRACKLINGS SALT &amp; VINEGAR 24G</t>
  </si>
  <si>
    <t>6.18</t>
  </si>
  <si>
    <t>7.50</t>
  </si>
  <si>
    <t>4800016666445</t>
  </si>
  <si>
    <t>MR. CHIPS MANAMIS MAIS 45G</t>
  </si>
  <si>
    <t>7.62</t>
  </si>
  <si>
    <t>4800016633782</t>
  </si>
  <si>
    <t>PIATTOS ROADHOUSE BARBECUE 40G</t>
  </si>
  <si>
    <t>15.12</t>
  </si>
  <si>
    <t>17.50</t>
  </si>
  <si>
    <t>4800016622533</t>
  </si>
  <si>
    <t>POTATO CHIPS VCUT SPICY BBQ 25G</t>
  </si>
  <si>
    <t>4800194104869</t>
  </si>
  <si>
    <t>OISHI CRISPY PATATA 24G</t>
  </si>
  <si>
    <t>888123456781526</t>
  </si>
  <si>
    <t>MT. KALINGA GROUND COFFEE 400G</t>
  </si>
  <si>
    <t>300.00</t>
  </si>
  <si>
    <t>450.00</t>
  </si>
  <si>
    <t>00003</t>
  </si>
  <si>
    <t>0-142995</t>
  </si>
  <si>
    <t>CONVIE COKE MISMO 295ML</t>
  </si>
  <si>
    <t>16.17</t>
  </si>
  <si>
    <t>19.00</t>
  </si>
  <si>
    <t>4800086045751</t>
  </si>
  <si>
    <t>SEL BOOM BOOM CHOCOLATE 60ML</t>
  </si>
  <si>
    <t>16.35</t>
  </si>
  <si>
    <t>4800086134325</t>
  </si>
  <si>
    <t>SEL CORNETTO CLASSIC CHOCO 110ML</t>
  </si>
  <si>
    <t>18.20</t>
  </si>
  <si>
    <t>21.00</t>
  </si>
  <si>
    <t>00004</t>
  </si>
  <si>
    <t>CONVIE COKE 237ML</t>
  </si>
  <si>
    <t>7.33</t>
  </si>
  <si>
    <t>4800016642029</t>
  </si>
  <si>
    <t>CHIPPY BBQ FLAVOR 27G</t>
  </si>
  <si>
    <t>6.83</t>
  </si>
  <si>
    <t>9.75</t>
  </si>
  <si>
    <t>4800024583161</t>
  </si>
  <si>
    <t>0-142996</t>
  </si>
  <si>
    <t>DEL POTATO CRISP BISCUITS ORIGINAL 50G</t>
  </si>
  <si>
    <t>20.68</t>
  </si>
  <si>
    <t>24.00</t>
  </si>
  <si>
    <t>4800086046482</t>
  </si>
  <si>
    <t>SEL CORNETTO DISC BLACK CHOCO COOKIE 115ML</t>
  </si>
  <si>
    <t>27.30</t>
  </si>
  <si>
    <t>31.50</t>
  </si>
  <si>
    <t>4800216121058</t>
  </si>
  <si>
    <t>CHEEZY CORN CRUNCH CHEESE 70G</t>
  </si>
  <si>
    <t>27.50</t>
  </si>
  <si>
    <t>30.00</t>
  </si>
  <si>
    <t>0-142997</t>
  </si>
  <si>
    <t>4800361415293</t>
  </si>
  <si>
    <t>MILO TWIN PACK 48G</t>
  </si>
  <si>
    <t>19.25</t>
  </si>
  <si>
    <t>4800016644801</t>
  </si>
  <si>
    <t>PIATTOS CHEESE 40G</t>
  </si>
  <si>
    <t>4800016115257</t>
  </si>
  <si>
    <t>CHICKN SKIN NI MANG JUAN 70G</t>
  </si>
  <si>
    <t>18.03</t>
  </si>
  <si>
    <t>20.75</t>
  </si>
  <si>
    <t>4800016671500</t>
  </si>
  <si>
    <t>PIATTOS SOUR CREAM &amp; ONION 85G</t>
  </si>
  <si>
    <t>31.60</t>
  </si>
  <si>
    <t>36.50</t>
  </si>
  <si>
    <t>748485401492</t>
  </si>
  <si>
    <t>0-142998</t>
  </si>
  <si>
    <t>BIRCH TREE 33G</t>
  </si>
  <si>
    <t>7.85</t>
  </si>
  <si>
    <t>12.00</t>
  </si>
  <si>
    <t>4800361415347</t>
  </si>
  <si>
    <t>NESCAFE ORIGINAL TWIN PACK 56G</t>
  </si>
  <si>
    <t>13.32</t>
  </si>
  <si>
    <t>15.50</t>
  </si>
  <si>
    <t>4800361410816</t>
  </si>
  <si>
    <t>0-142999</t>
  </si>
  <si>
    <t>NESTLE BEARBRAND SWAK PACK 33G</t>
  </si>
  <si>
    <t>10.64</t>
  </si>
  <si>
    <t>12.25</t>
  </si>
  <si>
    <t>888123456782033</t>
  </si>
  <si>
    <t>LUISITA SUGAR WHITE 1/4</t>
  </si>
  <si>
    <t>13.92</t>
  </si>
  <si>
    <t>22.00</t>
  </si>
  <si>
    <t>8935001721567</t>
  </si>
  <si>
    <t>OTC CHUPA CHUPS STRAWBERRY &amp; CREAM FLAVOR 9G</t>
  </si>
  <si>
    <t>3.60</t>
  </si>
  <si>
    <t>4.25</t>
  </si>
  <si>
    <t>4800194104968</t>
  </si>
  <si>
    <t>OISHI PRAWN CRACKERS SPICY FLAVOR 24G</t>
  </si>
  <si>
    <t>7.25</t>
  </si>
  <si>
    <t>4806519890981</t>
  </si>
  <si>
    <t>UNI KERATIN DETOX &amp; NOURISH GOLD 20G</t>
  </si>
  <si>
    <t>6.00</t>
  </si>
  <si>
    <t>7.00</t>
  </si>
  <si>
    <t>4800888600790</t>
  </si>
  <si>
    <t>0-143000</t>
  </si>
  <si>
    <t>KNORR SINIGANG SA SAMPALOK MIX ORIG 22G</t>
  </si>
  <si>
    <t>14.38</t>
  </si>
  <si>
    <t>16.75</t>
  </si>
  <si>
    <t>0-143002</t>
  </si>
  <si>
    <t>0-143004</t>
  </si>
  <si>
    <t>8998389124184</t>
  </si>
  <si>
    <t>KUKIS KELAPA COCONUT 60G</t>
  </si>
  <si>
    <t>4800163443036</t>
  </si>
  <si>
    <t>0-143005</t>
  </si>
  <si>
    <t>LIGO SARDINES IN TOMATO SAUCE CHILI ADDED 155G</t>
  </si>
  <si>
    <t>23.40</t>
  </si>
  <si>
    <t>27.00</t>
  </si>
  <si>
    <t>4800086034670</t>
  </si>
  <si>
    <t>0-143006</t>
  </si>
  <si>
    <t>SEL CORNETTO VANILLA 110ML</t>
  </si>
  <si>
    <t>05/02/2026</t>
  </si>
  <si>
    <t>4800016627286</t>
  </si>
  <si>
    <t>0-143007</t>
  </si>
  <si>
    <t>MILKY KNOTS MILK 28G</t>
  </si>
  <si>
    <t>7.06</t>
  </si>
  <si>
    <t>8.25</t>
  </si>
  <si>
    <t>4806517040395</t>
  </si>
  <si>
    <t>DELFI KNICK KNACKS MILK FLAVOR 28G</t>
  </si>
  <si>
    <t>8935001721550</t>
  </si>
  <si>
    <t>OTC CHUPA CHUPS MILKY CARAMEL LOLLIPOP 9G</t>
  </si>
  <si>
    <t>0-143008</t>
  </si>
  <si>
    <t>4800016561184</t>
  </si>
  <si>
    <t>0-143009</t>
  </si>
  <si>
    <t>NISSIN CUP NOODLES CREAMY SEAFOOD 45G</t>
  </si>
  <si>
    <t>20.55</t>
  </si>
  <si>
    <t>23.75</t>
  </si>
  <si>
    <t>888123456781549</t>
  </si>
  <si>
    <t>0-143010</t>
  </si>
  <si>
    <t>OTC DYNAMITE CHOCO MINT RETAIL</t>
  </si>
  <si>
    <t>0.76</t>
  </si>
  <si>
    <t>1.00</t>
  </si>
  <si>
    <t>00011</t>
  </si>
  <si>
    <t>0-143012</t>
  </si>
  <si>
    <t>CONVIE SPRITE 237ML</t>
  </si>
  <si>
    <t>4800194152839</t>
  </si>
  <si>
    <t>MARTYS CHICKEN INASAL FLAVOR 26G</t>
  </si>
  <si>
    <t>0-143013</t>
  </si>
  <si>
    <t>4800361410892</t>
  </si>
  <si>
    <t>NESTLE BEARBRAND 300G</t>
  </si>
  <si>
    <t>104.76</t>
  </si>
  <si>
    <t>132.00</t>
  </si>
  <si>
    <t>0-143014</t>
  </si>
  <si>
    <t>0-143015</t>
  </si>
  <si>
    <t>8886001038011</t>
  </si>
  <si>
    <t>BENGBENG 26.5G</t>
  </si>
  <si>
    <t>6.67</t>
  </si>
  <si>
    <t>4800116135001</t>
  </si>
  <si>
    <t>0-143016</t>
  </si>
  <si>
    <t>OTC BUTTER CREAM CHOCOLATE SPREAD 17G</t>
  </si>
  <si>
    <t>4.48</t>
  </si>
  <si>
    <t>5.25</t>
  </si>
  <si>
    <t>8998666001702</t>
  </si>
  <si>
    <t>0-143017</t>
  </si>
  <si>
    <t>KOPIKO BLACK 3IN1 TWINPACK 60G</t>
  </si>
  <si>
    <t>12.56</t>
  </si>
  <si>
    <t>14.25</t>
  </si>
  <si>
    <t>0-143018</t>
  </si>
  <si>
    <t>4800116135025</t>
  </si>
  <si>
    <t>0-143019</t>
  </si>
  <si>
    <t>BUTTER CREAM CRACKERS CHOCOLATE SPREAD 10X17G</t>
  </si>
  <si>
    <t>44.80</t>
  </si>
  <si>
    <t>51.75</t>
  </si>
  <si>
    <t>4800024562692</t>
  </si>
  <si>
    <t>0-143020</t>
  </si>
  <si>
    <t>DM PINEAPPLE JUICE ACE 100% 220ML-2</t>
  </si>
  <si>
    <t>28.89</t>
  </si>
  <si>
    <t>33.25</t>
  </si>
  <si>
    <t>4800024572981</t>
  </si>
  <si>
    <t>DM PINEAPPLE JUICE HEART SMART 240ML</t>
  </si>
  <si>
    <t>30.79</t>
  </si>
  <si>
    <t>36.75</t>
  </si>
  <si>
    <t>8851096020012</t>
  </si>
  <si>
    <t>0-143021</t>
  </si>
  <si>
    <t>PUSH POP LOLLIPOP 14G</t>
  </si>
  <si>
    <t>29.90</t>
  </si>
  <si>
    <t>34.50</t>
  </si>
  <si>
    <t>4807770270017</t>
  </si>
  <si>
    <t>0-143023</t>
  </si>
  <si>
    <t>LM BEEF NA BEEF 55G</t>
  </si>
  <si>
    <t>10.25</t>
  </si>
  <si>
    <t>4800086043306</t>
  </si>
  <si>
    <t>0-143027</t>
  </si>
  <si>
    <t>SEL CORNETTO COOKIES &amp; DREAM 110ML</t>
  </si>
  <si>
    <t>0-143028</t>
  </si>
  <si>
    <t>4800086050120</t>
  </si>
  <si>
    <t>SEL CUPS DOUBLE CHOCO SUNDAE 100ML</t>
  </si>
  <si>
    <t>22.70</t>
  </si>
  <si>
    <t>26.25</t>
  </si>
  <si>
    <t>4800888139306</t>
  </si>
  <si>
    <t>0-143030</t>
  </si>
  <si>
    <t>CREAMSILK CONDITIONER PINK 12ML</t>
  </si>
  <si>
    <t>6.17</t>
  </si>
  <si>
    <t>4902430333597</t>
  </si>
  <si>
    <t>HEAD&amp;SHOULDER SHAMPOO COOL MENTHOL TRIPACK 12ML</t>
  </si>
  <si>
    <t>6.92</t>
  </si>
  <si>
    <t>7.75</t>
  </si>
  <si>
    <t>0-143031</t>
  </si>
  <si>
    <t>0-143032</t>
  </si>
  <si>
    <t>0-143033</t>
  </si>
  <si>
    <t>750515031531</t>
  </si>
  <si>
    <t>0-143034</t>
  </si>
  <si>
    <t>SKYFLAKES CONDENSADA 30GX10S</t>
  </si>
  <si>
    <t>64.00</t>
  </si>
  <si>
    <t>73.75</t>
  </si>
  <si>
    <t>00013</t>
  </si>
  <si>
    <t>CONVIE SPRITE 1.5</t>
  </si>
  <si>
    <t>0-143036</t>
  </si>
  <si>
    <t>0-143037</t>
  </si>
  <si>
    <t>00029</t>
  </si>
  <si>
    <t>0-143038</t>
  </si>
  <si>
    <t>CONVIE WILKINS 1L</t>
  </si>
  <si>
    <t>0-143039</t>
  </si>
  <si>
    <t>4806520150098</t>
  </si>
  <si>
    <t>0-143040</t>
  </si>
  <si>
    <t>SUPERLAMIG PEPPERMINT 225G</t>
  </si>
  <si>
    <t>37.00</t>
  </si>
  <si>
    <t>42.75</t>
  </si>
  <si>
    <t>4800016303081</t>
  </si>
  <si>
    <t>MAXX DALANDAN ORANGE 200G</t>
  </si>
  <si>
    <t>38.00</t>
  </si>
  <si>
    <t>43.75</t>
  </si>
  <si>
    <t>4800086050359</t>
  </si>
  <si>
    <t>0-143041</t>
  </si>
  <si>
    <t>SEL CHOCKY STICK 45ML</t>
  </si>
  <si>
    <t>9.10</t>
  </si>
  <si>
    <t>10.50</t>
  </si>
  <si>
    <t>0-143042</t>
  </si>
  <si>
    <t>0-143043</t>
  </si>
  <si>
    <t>4902430831338</t>
  </si>
  <si>
    <t>0-143044</t>
  </si>
  <si>
    <t>TIDE PERFECT CLEAN W/ DOWNY PERFUME FANTASY 64G</t>
  </si>
  <si>
    <t>4800034017243</t>
  </si>
  <si>
    <t>HAPEE EXPLOSIVE MENTHOL RED 55G</t>
  </si>
  <si>
    <t>10.20</t>
  </si>
  <si>
    <t>4800888190970</t>
  </si>
  <si>
    <t>SURF BAR CHERRY BLOSSOM 120G</t>
  </si>
  <si>
    <t>11.17</t>
  </si>
  <si>
    <t>13.00</t>
  </si>
  <si>
    <t>888123456781258</t>
  </si>
  <si>
    <t>OTC MAXX CHERRY</t>
  </si>
  <si>
    <t>05/03/2026</t>
  </si>
  <si>
    <t>0-143045</t>
  </si>
  <si>
    <t>0-143046</t>
  </si>
  <si>
    <t>8998666001719</t>
  </si>
  <si>
    <t>0-143047</t>
  </si>
  <si>
    <t>KOPIKO BROWN COFFEE TWINPACK 53G</t>
  </si>
  <si>
    <t>14.50</t>
  </si>
  <si>
    <t>0-143048</t>
  </si>
  <si>
    <t>0-143049</t>
  </si>
  <si>
    <t>4800888150608</t>
  </si>
  <si>
    <t>REXONA WOMEN DEO-LOTION SHOWER CLEAN</t>
  </si>
  <si>
    <t>6.73</t>
  </si>
  <si>
    <t>0-143050</t>
  </si>
  <si>
    <t>4800194136648</t>
  </si>
  <si>
    <t>0-143051</t>
  </si>
  <si>
    <t>OISHI FISHDA FISH KROPECK 22G</t>
  </si>
  <si>
    <t>888123456781561</t>
  </si>
  <si>
    <t>0-143053</t>
  </si>
  <si>
    <t>OTC MAXX HONEY LEMON</t>
  </si>
  <si>
    <t>4800361331500</t>
  </si>
  <si>
    <t>0-143055</t>
  </si>
  <si>
    <t>NESTLE BEARBRAND STERILIZED 200ML</t>
  </si>
  <si>
    <t>23.13</t>
  </si>
  <si>
    <t>30.25</t>
  </si>
  <si>
    <t>4806502720615</t>
  </si>
  <si>
    <t>0-143056</t>
  </si>
  <si>
    <t>GAR CLASSIC WHITE BREAD 600G REGULAR SLICE</t>
  </si>
  <si>
    <t>84.80</t>
  </si>
  <si>
    <t>93.25</t>
  </si>
  <si>
    <t>4800086050304</t>
  </si>
  <si>
    <t>0-143057</t>
  </si>
  <si>
    <t>SEL 3IN1 CHOCO-VANILLA-STRAWBERRY 750ML</t>
  </si>
  <si>
    <t>103.75</t>
  </si>
  <si>
    <t>4800010042146</t>
  </si>
  <si>
    <t>0-143058</t>
  </si>
  <si>
    <t>JNJ NIPS MILK CHOCOLATE 40G</t>
  </si>
  <si>
    <t>4800194104128</t>
  </si>
  <si>
    <t>0-143059</t>
  </si>
  <si>
    <t>CHEEZ ON CHIPS CHEESE FLAVOR 22G</t>
  </si>
  <si>
    <t>0-143060</t>
  </si>
  <si>
    <t>0-143061</t>
  </si>
  <si>
    <t>0-143063</t>
  </si>
  <si>
    <t>4800130100030</t>
  </si>
  <si>
    <t>0-143064</t>
  </si>
  <si>
    <t>GINEBRA SAN MIGUEL 2X2 350ML</t>
  </si>
  <si>
    <t>68.00</t>
  </si>
  <si>
    <t>78.25</t>
  </si>
  <si>
    <t>0-143065</t>
  </si>
  <si>
    <t>4809011681095</t>
  </si>
  <si>
    <t>BOY BAWANG CORNICK ADOBO 100G</t>
  </si>
  <si>
    <t>48038614</t>
  </si>
  <si>
    <t>0-143068</t>
  </si>
  <si>
    <t>MASTER CLEANSER OIL CONTROL 70ML</t>
  </si>
  <si>
    <t>45.40</t>
  </si>
  <si>
    <t>52.50</t>
  </si>
  <si>
    <t>4800016068010</t>
  </si>
  <si>
    <t>C2 SOLO APPLE FLAVOR 230ML</t>
  </si>
  <si>
    <t>4987176092267</t>
  </si>
  <si>
    <t>GILLETE BLUE 2 FLEXI</t>
  </si>
  <si>
    <t>31.05</t>
  </si>
  <si>
    <t>36.00</t>
  </si>
  <si>
    <t>05/04/2026</t>
  </si>
  <si>
    <t>8851932478502</t>
  </si>
  <si>
    <t>0-143069</t>
  </si>
  <si>
    <t>WALLS BITES STRAW YOGHURT 14G</t>
  </si>
  <si>
    <t>22.75</t>
  </si>
  <si>
    <t>0-143070</t>
  </si>
  <si>
    <t>4800575110373</t>
  </si>
  <si>
    <t>0-143071</t>
  </si>
  <si>
    <t>ALASKA CLASSIC EVAPORATED FILLED MILK 370ML</t>
  </si>
  <si>
    <t>58.56</t>
  </si>
  <si>
    <t>4800361061322</t>
  </si>
  <si>
    <t>NESTLE ALL PURPOSE CREAM 250ML</t>
  </si>
  <si>
    <t>67.29</t>
  </si>
  <si>
    <t>77.50</t>
  </si>
  <si>
    <t>00019</t>
  </si>
  <si>
    <t>0-143072</t>
  </si>
  <si>
    <t>CONVIE M.M APPLE 200ML</t>
  </si>
  <si>
    <t>8.80</t>
  </si>
  <si>
    <t>748485800011</t>
  </si>
  <si>
    <t>ARGENTINA CORN BEEF 175G</t>
  </si>
  <si>
    <t>47.50</t>
  </si>
  <si>
    <t>4800024575722</t>
  </si>
  <si>
    <t>0-143073</t>
  </si>
  <si>
    <t>DM PARTY COMBO PCK SWEET STYLE</t>
  </si>
  <si>
    <t>140.00</t>
  </si>
  <si>
    <t>161.00</t>
  </si>
  <si>
    <t>0-143074</t>
  </si>
  <si>
    <t>0-143075</t>
  </si>
  <si>
    <t>4808680210759</t>
  </si>
  <si>
    <t>0-143076</t>
  </si>
  <si>
    <t>KNORR CHICKEN &amp; CORN 60G</t>
  </si>
  <si>
    <t>51.97</t>
  </si>
  <si>
    <t>60.00</t>
  </si>
  <si>
    <t>4800361390804</t>
  </si>
  <si>
    <t>0-143077</t>
  </si>
  <si>
    <t>NESTLE COFFEE MATE 170G</t>
  </si>
  <si>
    <t>59.50</t>
  </si>
  <si>
    <t>4806502726129</t>
  </si>
  <si>
    <t>GAR CHEESE BUNS 250G</t>
  </si>
  <si>
    <t>65.00</t>
  </si>
  <si>
    <t>71.50</t>
  </si>
  <si>
    <t>4800024583178</t>
  </si>
  <si>
    <t>0-143078</t>
  </si>
  <si>
    <t>DEL POTATO CRISP BISCUITS SPICY 50G</t>
  </si>
  <si>
    <t>4800016552113</t>
  </si>
  <si>
    <t>0-143079</t>
  </si>
  <si>
    <t>NISSIN CUP NOODLES SEAFOOD 40G</t>
  </si>
  <si>
    <t>0-143081</t>
  </si>
  <si>
    <t>0-143082</t>
  </si>
  <si>
    <t>4800016022258</t>
  </si>
  <si>
    <t>GREAT TASTE CHOCO TWIN PACK 50G</t>
  </si>
  <si>
    <t>11.99</t>
  </si>
  <si>
    <t>14.00</t>
  </si>
  <si>
    <t>4800575144910</t>
  </si>
  <si>
    <t>0-143083</t>
  </si>
  <si>
    <t>COWBELL CONDENSARAP 374G</t>
  </si>
  <si>
    <t>41.86</t>
  </si>
  <si>
    <t>48.25</t>
  </si>
  <si>
    <t>4809013526325</t>
  </si>
  <si>
    <t>MR. GULAMAN GREEN 25G</t>
  </si>
  <si>
    <t>13.10</t>
  </si>
  <si>
    <t>15.25</t>
  </si>
  <si>
    <t>8999999035631</t>
  </si>
  <si>
    <t>0-143084</t>
  </si>
  <si>
    <t>MAGNUM MINI VANILLA ALMOND 45ML</t>
  </si>
  <si>
    <t>41.67</t>
  </si>
  <si>
    <t>48.00</t>
  </si>
  <si>
    <t>0-143085</t>
  </si>
  <si>
    <t>4800575140370</t>
  </si>
  <si>
    <t>0-143089</t>
  </si>
  <si>
    <t>ALASKA EVAPORADA CREAMER 360ML</t>
  </si>
  <si>
    <t>35.15</t>
  </si>
  <si>
    <t>41.00</t>
  </si>
  <si>
    <t>0-143091</t>
  </si>
  <si>
    <t>4800361388313</t>
  </si>
  <si>
    <t>0-143094</t>
  </si>
  <si>
    <t>NESTLE CHUCKIE 180ML</t>
  </si>
  <si>
    <t>19.47</t>
  </si>
  <si>
    <t>23.00</t>
  </si>
  <si>
    <t>0-143095</t>
  </si>
  <si>
    <t>05/05/2026</t>
  </si>
  <si>
    <t>4800888136671</t>
  </si>
  <si>
    <t>0-143098</t>
  </si>
  <si>
    <t>SURF BAR BLOSSOM FRESH 120G</t>
  </si>
  <si>
    <t>0-143099</t>
  </si>
  <si>
    <t>4800361416726</t>
  </si>
  <si>
    <t>0-143103</t>
  </si>
  <si>
    <t>NESCAFE CREAMY WHITE TWINPACK 58G</t>
  </si>
  <si>
    <t>4806505854232</t>
  </si>
  <si>
    <t>CHICK BOY SWEET CORN FLAVOR 100G</t>
  </si>
  <si>
    <t>17.65</t>
  </si>
  <si>
    <t>20.50</t>
  </si>
  <si>
    <t>0-143104</t>
  </si>
  <si>
    <t>48025522</t>
  </si>
  <si>
    <t>MAGGI MAGIC SARAP 8G</t>
  </si>
  <si>
    <t>4.74</t>
  </si>
  <si>
    <t>5.50</t>
  </si>
  <si>
    <t>748485800233</t>
  </si>
  <si>
    <t>ARGENTINA MEAT LOAF 170G</t>
  </si>
  <si>
    <t>24.69</t>
  </si>
  <si>
    <t>28.50</t>
  </si>
  <si>
    <t>4800116077028</t>
  </si>
  <si>
    <t>BUTTER CREAM CHOCOLATE CRACKERS 10X25G</t>
  </si>
  <si>
    <t>58.45</t>
  </si>
  <si>
    <t>67.25</t>
  </si>
  <si>
    <t>4807770100536</t>
  </si>
  <si>
    <t>BINGO ORANGE 280G</t>
  </si>
  <si>
    <t>68.50</t>
  </si>
  <si>
    <t>4800047847240</t>
  </si>
  <si>
    <t>0-143105</t>
  </si>
  <si>
    <t>DEL FOREVER LOVE FABRIC SOFTENER 26ML</t>
  </si>
  <si>
    <t>4.70</t>
  </si>
  <si>
    <t>4809013300215</t>
  </si>
  <si>
    <t>KOJIE SAN SKIN LIGHTENING SOAP CLASSIC 65G</t>
  </si>
  <si>
    <t>62.45</t>
  </si>
  <si>
    <t>72.00</t>
  </si>
  <si>
    <t>4806501703503</t>
  </si>
  <si>
    <t>CHAMPION TODO TIPID PACK WHITE 130G</t>
  </si>
  <si>
    <t>12.69</t>
  </si>
  <si>
    <t>4800631681311</t>
  </si>
  <si>
    <t>0-143106</t>
  </si>
  <si>
    <t>BOY BAWANG CORNICK LECHON MANOK FLAVOR</t>
  </si>
  <si>
    <t>4800888607119</t>
  </si>
  <si>
    <t>0-143107</t>
  </si>
  <si>
    <t>LADYS CHOICE CHICKEN SPREAD 27ML</t>
  </si>
  <si>
    <t>12.39</t>
  </si>
  <si>
    <t>4902430468732</t>
  </si>
  <si>
    <t>0-143108</t>
  </si>
  <si>
    <t>JOY DISHWASHING LIQUID KALAMANSI 540ML</t>
  </si>
  <si>
    <t>144.31</t>
  </si>
  <si>
    <t>166.00</t>
  </si>
  <si>
    <t>4902430627528</t>
  </si>
  <si>
    <t>0-143109</t>
  </si>
  <si>
    <t>DOWNY FABRIC ANTIBAC 690ML</t>
  </si>
  <si>
    <t>155.64</t>
  </si>
  <si>
    <t>179.00</t>
  </si>
  <si>
    <t>4809015002957</t>
  </si>
  <si>
    <t>0-143110</t>
  </si>
  <si>
    <t>TEMOX MULTI-INSECT KILLER WATER BASED 300ML</t>
  </si>
  <si>
    <t>163.25</t>
  </si>
  <si>
    <t>188.00</t>
  </si>
  <si>
    <t>888123456782032</t>
  </si>
  <si>
    <t>0-143112</t>
  </si>
  <si>
    <t>LUISITA SUGAR WHITE 1/2</t>
  </si>
  <si>
    <t>27.84</t>
  </si>
  <si>
    <t>45.00</t>
  </si>
  <si>
    <t>4804888804189</t>
  </si>
  <si>
    <t>MAMA SITAS ACHUETE POWDER 10G</t>
  </si>
  <si>
    <t>20.80</t>
  </si>
  <si>
    <t>9780201379617</t>
  </si>
  <si>
    <t>HOME RECIPE - PEANUT BUTTER 560G</t>
  </si>
  <si>
    <t>125.50</t>
  </si>
  <si>
    <t>144.50</t>
  </si>
  <si>
    <t>0-143113</t>
  </si>
  <si>
    <t>0-143114</t>
  </si>
  <si>
    <t>4800016633799</t>
  </si>
  <si>
    <t>0-143117</t>
  </si>
  <si>
    <t>PIATTOS ROADHOUSE BBQ 85G</t>
  </si>
  <si>
    <t>0-143118</t>
  </si>
  <si>
    <t>0-143119</t>
  </si>
  <si>
    <t>0-143120</t>
  </si>
  <si>
    <t>4800054111280</t>
  </si>
  <si>
    <t>GROWERS GARLIC FLAVOR PEANUTS 80G</t>
  </si>
  <si>
    <t>34.38</t>
  </si>
  <si>
    <t>39.75</t>
  </si>
  <si>
    <t>4806506311079</t>
  </si>
  <si>
    <t>0-143121</t>
  </si>
  <si>
    <t>SISTERS SULIT SAVINGS PACK</t>
  </si>
  <si>
    <t>54.75</t>
  </si>
  <si>
    <t>0-143122</t>
  </si>
  <si>
    <t>0-143123</t>
  </si>
  <si>
    <t>4800631001928</t>
  </si>
  <si>
    <t>0-143126</t>
  </si>
  <si>
    <t>BOY BAWANG ASSORTED NUTS 85G</t>
  </si>
  <si>
    <t>19.10</t>
  </si>
  <si>
    <t>4800016643095</t>
  </si>
  <si>
    <t>0-143129</t>
  </si>
  <si>
    <t>CHIPPY BBQ FLAVOR 110G</t>
  </si>
  <si>
    <t>23.07</t>
  </si>
  <si>
    <t>26.75</t>
  </si>
  <si>
    <t>05/06/2026</t>
  </si>
  <si>
    <t>8991001661739</t>
  </si>
  <si>
    <t>0-143130</t>
  </si>
  <si>
    <t>DELFI TREASURES GOLDEN ALMOND 4PCS</t>
  </si>
  <si>
    <t>33.76</t>
  </si>
  <si>
    <t>39.00</t>
  </si>
  <si>
    <t>4800016644504</t>
  </si>
  <si>
    <t>PIATTOS CHEESE 85G</t>
  </si>
  <si>
    <t>36.33</t>
  </si>
  <si>
    <t>0-143133</t>
  </si>
  <si>
    <t>0-143134</t>
  </si>
  <si>
    <t>0-143138</t>
  </si>
  <si>
    <t>0-143139</t>
  </si>
  <si>
    <t>4005808324774</t>
  </si>
  <si>
    <t>0-143141</t>
  </si>
  <si>
    <t>NIVEA INTENSIVE MOISTURE BODY MILK LOTION 125ML</t>
  </si>
  <si>
    <t>110.66</t>
  </si>
  <si>
    <t>127.50</t>
  </si>
  <si>
    <t>4800204002093</t>
  </si>
  <si>
    <t>BETADINE WOUND SOLUTION 7.5ML</t>
  </si>
  <si>
    <t>36.74</t>
  </si>
  <si>
    <t>42.25</t>
  </si>
  <si>
    <t>4806502352724</t>
  </si>
  <si>
    <t xml:space="preserve">FEMME COTTON PADS </t>
  </si>
  <si>
    <t>0-143142</t>
  </si>
  <si>
    <t>4800194116114</t>
  </si>
  <si>
    <t>0-143143</t>
  </si>
  <si>
    <t>CORN OLE BARBECUE FLAVOR 22G</t>
  </si>
  <si>
    <t>4806505854225</t>
  </si>
  <si>
    <t>CHICK BOY CHEESE FLAVOR 100G</t>
  </si>
  <si>
    <t>0-143144</t>
  </si>
  <si>
    <t>8998666001726</t>
  </si>
  <si>
    <t>0-143145</t>
  </si>
  <si>
    <t>KOPIKO BLANCA TWINPACK 52G</t>
  </si>
  <si>
    <t>12.66</t>
  </si>
  <si>
    <t>4800888151834</t>
  </si>
  <si>
    <t>0-143146</t>
  </si>
  <si>
    <t>SURF FABCON TAWAS 61G</t>
  </si>
  <si>
    <t>6.38</t>
  </si>
  <si>
    <t>4800047840012</t>
  </si>
  <si>
    <t>ZONROX BLEACH ORIGINAL 1L</t>
  </si>
  <si>
    <t>39.88</t>
  </si>
  <si>
    <t>0-143147</t>
  </si>
  <si>
    <t>0-143148</t>
  </si>
  <si>
    <t>0-143149</t>
  </si>
  <si>
    <t>8996001440049</t>
  </si>
  <si>
    <t>ENERGEN CEREAL DRINK CHOCOLATE 40G</t>
  </si>
  <si>
    <t>0-143150</t>
  </si>
  <si>
    <t>4800024587985</t>
  </si>
  <si>
    <t>DM FRUITY ZING CALAMANSI-LEMON 330ML</t>
  </si>
  <si>
    <t>22.73</t>
  </si>
  <si>
    <t>0-143151</t>
  </si>
  <si>
    <t>4800086047472</t>
  </si>
  <si>
    <t>0-143152</t>
  </si>
  <si>
    <t>SEL BOOM BOOM COOKIES &amp; CREAM 60ML</t>
  </si>
  <si>
    <t>4800060075507</t>
  </si>
  <si>
    <t>0-143153</t>
  </si>
  <si>
    <t>PURITY COTTON ROLLS 90G</t>
  </si>
  <si>
    <t>55.37</t>
  </si>
  <si>
    <t>63.75</t>
  </si>
  <si>
    <t>0-143154</t>
  </si>
  <si>
    <t>0-143155</t>
  </si>
  <si>
    <t>4806502720417</t>
  </si>
  <si>
    <t>GAR CLASSIC WHITE BREAD 400G</t>
  </si>
  <si>
    <t>64.50</t>
  </si>
  <si>
    <t>4800010008302</t>
  </si>
  <si>
    <t>BLEND 45 SOLUBLE COFFEE 25G</t>
  </si>
  <si>
    <t>20.83</t>
  </si>
  <si>
    <t>4800575140158</t>
  </si>
  <si>
    <t>ALASKA EVAPORADA CREAMER 140ML</t>
  </si>
  <si>
    <t>19.06</t>
  </si>
  <si>
    <t>4800054124280</t>
  </si>
  <si>
    <t>GROWERS GLAZED PILI NUTS 80G</t>
  </si>
  <si>
    <t>99.04</t>
  </si>
  <si>
    <t>114.00</t>
  </si>
  <si>
    <t>4800016012280</t>
  </si>
  <si>
    <t>0-143156</t>
  </si>
  <si>
    <t>GREAT TASTE PREMIUM 100G</t>
  </si>
  <si>
    <t>94.58</t>
  </si>
  <si>
    <t>109.00</t>
  </si>
  <si>
    <t>4808680022031</t>
  </si>
  <si>
    <t>LADYS CHOICE CHICKEN SPREAD 220ML</t>
  </si>
  <si>
    <t>125.05</t>
  </si>
  <si>
    <t>144.00</t>
  </si>
  <si>
    <t>888123456781554</t>
  </si>
  <si>
    <t>VICTORIA WHITE SUGAR 1/4</t>
  </si>
  <si>
    <t>20.88</t>
  </si>
  <si>
    <t>748485100098</t>
  </si>
  <si>
    <t>CENTURY TUNA HOT AND SPICY 180G</t>
  </si>
  <si>
    <t>45.88</t>
  </si>
  <si>
    <t>52.75</t>
  </si>
  <si>
    <t>4800631001867</t>
  </si>
  <si>
    <t>0-143157</t>
  </si>
  <si>
    <t>BOY BAWANG SNACK MIX W/ REAL GARLIC CHIPS 85G</t>
  </si>
  <si>
    <t>18.53</t>
  </si>
  <si>
    <t>21.50</t>
  </si>
  <si>
    <t>0-143158</t>
  </si>
  <si>
    <t>69025310</t>
  </si>
  <si>
    <t>0-143160</t>
  </si>
  <si>
    <t>SNICKERS 20G</t>
  </si>
  <si>
    <t>13.77</t>
  </si>
  <si>
    <t>16.00</t>
  </si>
  <si>
    <t>0-143163</t>
  </si>
  <si>
    <t>7622300858575</t>
  </si>
  <si>
    <t>0-143164</t>
  </si>
  <si>
    <t>TANG DALANDAN 25G</t>
  </si>
  <si>
    <t>4800016671807</t>
  </si>
  <si>
    <t>0-143166</t>
  </si>
  <si>
    <t>PIATTOS SOUR CREAM AND ONION 40G</t>
  </si>
  <si>
    <t>888123456782001</t>
  </si>
  <si>
    <t>0-143167</t>
  </si>
  <si>
    <t>OTC SUPERLAMIG CANDY</t>
  </si>
  <si>
    <t>0.74</t>
  </si>
  <si>
    <t>0-143168</t>
  </si>
  <si>
    <t>750515017450</t>
  </si>
  <si>
    <t>0-143169</t>
  </si>
  <si>
    <t>FITA CRACKERS 30GX10S</t>
  </si>
  <si>
    <t>56.50</t>
  </si>
  <si>
    <t>63.00</t>
  </si>
  <si>
    <t>4800016304019</t>
  </si>
  <si>
    <t>MAXX CHERRY 200G</t>
  </si>
  <si>
    <t>4806518846019</t>
  </si>
  <si>
    <t>HONEY HOUSE CLASSIC 220G</t>
  </si>
  <si>
    <t>57.40</t>
  </si>
  <si>
    <t>66.00</t>
  </si>
  <si>
    <t>4800010042085</t>
  </si>
  <si>
    <t>NIPS PEANUTS SNACK BAG 43GX16S</t>
  </si>
  <si>
    <t>4800631000419</t>
  </si>
  <si>
    <t>BOY BAWANG CRACKER NUTS 85G</t>
  </si>
  <si>
    <t>17.95</t>
  </si>
  <si>
    <t>4800086043627</t>
  </si>
  <si>
    <t>0-143170</t>
  </si>
  <si>
    <t>SEL SOLO PACK COOKIES &amp; CREAM 450ML</t>
  </si>
  <si>
    <t>95.45</t>
  </si>
  <si>
    <t>110.00</t>
  </si>
  <si>
    <t>4806502720301</t>
  </si>
  <si>
    <t>0-143171</t>
  </si>
  <si>
    <t>GAR HIGH FIBER WHEAT BREAD 600G</t>
  </si>
  <si>
    <t>100.00</t>
  </si>
  <si>
    <t>4808680022017</t>
  </si>
  <si>
    <t>LADYS CHOICE CHICKEN SPREAD SACHET 80ML</t>
  </si>
  <si>
    <t>35.55</t>
  </si>
  <si>
    <t>05/07/2026</t>
  </si>
  <si>
    <t>0-143174</t>
  </si>
  <si>
    <t>4801668100141</t>
  </si>
  <si>
    <t>0-143175</t>
  </si>
  <si>
    <t>DATU PUTI VINEGAR 1L</t>
  </si>
  <si>
    <t>41.25</t>
  </si>
  <si>
    <t>48.75</t>
  </si>
  <si>
    <t>4804888804868</t>
  </si>
  <si>
    <t>MAMA SITAS OYSTER SAUCE 4.2KG</t>
  </si>
  <si>
    <t>723.80</t>
  </si>
  <si>
    <t>832.50</t>
  </si>
  <si>
    <t>4800024556929</t>
  </si>
  <si>
    <t>DM TOMATO SAUCE ORIG STYLE 250G</t>
  </si>
  <si>
    <t>26.43</t>
  </si>
  <si>
    <t>4800024556899</t>
  </si>
  <si>
    <t>DM TOMATO PASTE 150G</t>
  </si>
  <si>
    <t>31.19</t>
  </si>
  <si>
    <t>4805885172004</t>
  </si>
  <si>
    <t>RENO LIVER SPREAD 230G</t>
  </si>
  <si>
    <t>61.50</t>
  </si>
  <si>
    <t>66.50</t>
  </si>
  <si>
    <t>4801668606520</t>
  </si>
  <si>
    <t>UFC GREEN PEAS 400GRAMS</t>
  </si>
  <si>
    <t>35.75</t>
  </si>
  <si>
    <t>4801668505045</t>
  </si>
  <si>
    <t>DATU PUTI PATIS 1L</t>
  </si>
  <si>
    <t>71.75</t>
  </si>
  <si>
    <t>84.50</t>
  </si>
  <si>
    <t>0-143176</t>
  </si>
  <si>
    <t>4801668607947</t>
  </si>
  <si>
    <t>0-143177</t>
  </si>
  <si>
    <t>UFC CREAM OF MUSHROOM 70G</t>
  </si>
  <si>
    <t>50.00</t>
  </si>
  <si>
    <t>4806500472639</t>
  </si>
  <si>
    <t>FAVORITO PANCIT CANTON 400G</t>
  </si>
  <si>
    <t>56.00</t>
  </si>
  <si>
    <t>0-143178</t>
  </si>
  <si>
    <t>0-143179</t>
  </si>
  <si>
    <t>4806502359228</t>
  </si>
  <si>
    <t>0-143180</t>
  </si>
  <si>
    <t>TISYU CORELESS 10S 30G</t>
  </si>
  <si>
    <t>67.00</t>
  </si>
  <si>
    <t>4800154263049</t>
  </si>
  <si>
    <t>0-143181</t>
  </si>
  <si>
    <t>UNI-PAK MACKEREL IN NATURAL OIL 425G</t>
  </si>
  <si>
    <t>71.06</t>
  </si>
  <si>
    <t>81.75</t>
  </si>
  <si>
    <t>4800888602718</t>
  </si>
  <si>
    <t>KNORR CHICKEN BROTH CUBE 10G</t>
  </si>
  <si>
    <t>6.02</t>
  </si>
  <si>
    <t>0-143182</t>
  </si>
  <si>
    <t>0-143183</t>
  </si>
  <si>
    <t>4800016552274</t>
  </si>
  <si>
    <t>0-143185</t>
  </si>
  <si>
    <t>NISSIN CUP NOODLES BULALO 40G</t>
  </si>
  <si>
    <t>0-143187</t>
  </si>
  <si>
    <t>748485802220</t>
  </si>
  <si>
    <t>0-143188</t>
  </si>
  <si>
    <t>WOW ULAM MECHADO 155G</t>
  </si>
  <si>
    <t>748485801490</t>
  </si>
  <si>
    <t>ARGENTINA MEAT LOAF 150G</t>
  </si>
  <si>
    <t>22.15</t>
  </si>
  <si>
    <t>4800888207234</t>
  </si>
  <si>
    <t>SUNSILK PINK (11+1)</t>
  </si>
  <si>
    <t>63.95</t>
  </si>
  <si>
    <t>4800010009767</t>
  </si>
  <si>
    <t>GREAT TASTE GRANULES 25G</t>
  </si>
  <si>
    <t>24.86</t>
  </si>
  <si>
    <t>28.75</t>
  </si>
  <si>
    <t>0-143189</t>
  </si>
  <si>
    <t>0-143190</t>
  </si>
  <si>
    <t>4902430344876</t>
  </si>
  <si>
    <t>DOWNY ANTIBAC SAFEGUARD 25ML</t>
  </si>
  <si>
    <t>6.12</t>
  </si>
  <si>
    <t>0-143191</t>
  </si>
  <si>
    <t>0-143192</t>
  </si>
  <si>
    <t>4800888151841</t>
  </si>
  <si>
    <t>0-143193</t>
  </si>
  <si>
    <t>SURF POWDER SUN FRESH 65G</t>
  </si>
  <si>
    <t>4800417059570</t>
  </si>
  <si>
    <t>DAILY SCENT COLOGNE NINE TO MINE 125ML</t>
  </si>
  <si>
    <t>54.00</t>
  </si>
  <si>
    <t>62.25</t>
  </si>
  <si>
    <t>0-143194</t>
  </si>
  <si>
    <t>0-143195</t>
  </si>
  <si>
    <t>8998389121619</t>
  </si>
  <si>
    <t>0-143197</t>
  </si>
  <si>
    <t>KUKIS MOCHACHINO 218G</t>
  </si>
  <si>
    <t>40.06</t>
  </si>
  <si>
    <t>46.25</t>
  </si>
  <si>
    <t>0-143199</t>
  </si>
  <si>
    <t>4800818809651</t>
  </si>
  <si>
    <t>0-143201</t>
  </si>
  <si>
    <t>MONAMI STRAWBERRY AND CREAM 175G</t>
  </si>
  <si>
    <t>31.52</t>
  </si>
  <si>
    <t>4800818808906</t>
  </si>
  <si>
    <t>POTCHI STRAWBERRY CREAM 135G</t>
  </si>
  <si>
    <t>34.27</t>
  </si>
  <si>
    <t>39.50</t>
  </si>
  <si>
    <t>0-143202</t>
  </si>
  <si>
    <t>05/08/2026</t>
  </si>
  <si>
    <t>0-143203</t>
  </si>
  <si>
    <t>4800016052774</t>
  </si>
  <si>
    <t>0-143204</t>
  </si>
  <si>
    <t>C2 APPLE 1L</t>
  </si>
  <si>
    <t>49.75</t>
  </si>
  <si>
    <t>57.25</t>
  </si>
  <si>
    <t>4800888602725</t>
  </si>
  <si>
    <t>0-143205</t>
  </si>
  <si>
    <t>KNORR PORK BROTH CUBE 10G</t>
  </si>
  <si>
    <t>0891234568110</t>
  </si>
  <si>
    <t>WAMI FOODS BLACK PEPPER</t>
  </si>
  <si>
    <t>17.90</t>
  </si>
  <si>
    <t>888123456782030</t>
  </si>
  <si>
    <t>POLARIS WHEAT FLOUR 1/2</t>
  </si>
  <si>
    <t>15.00</t>
  </si>
  <si>
    <t>4800024556165</t>
  </si>
  <si>
    <t>DM ORIGINAL STYLE TOMATO SAUCE 900G</t>
  </si>
  <si>
    <t>90.24</t>
  </si>
  <si>
    <t>025407806680</t>
  </si>
  <si>
    <t>MAMA SITAS PALABOK ORIENTAL GRAVY MIX 57G</t>
  </si>
  <si>
    <t>37.45</t>
  </si>
  <si>
    <t>43.25</t>
  </si>
  <si>
    <t>4800528456282</t>
  </si>
  <si>
    <t>HOBE BIHON 454G</t>
  </si>
  <si>
    <t>29.17</t>
  </si>
  <si>
    <t>33.75</t>
  </si>
  <si>
    <t>888123456781953</t>
  </si>
  <si>
    <t>0-143206</t>
  </si>
  <si>
    <t>ECO BAG MEDIUM</t>
  </si>
  <si>
    <t>0-143207</t>
  </si>
  <si>
    <t>0-143208</t>
  </si>
  <si>
    <t>7622300501549</t>
  </si>
  <si>
    <t>CHEEZ WHIZ ORIGINAL 115G</t>
  </si>
  <si>
    <t>43.34</t>
  </si>
  <si>
    <t>0-143209</t>
  </si>
  <si>
    <t>4806502726822</t>
  </si>
  <si>
    <t>0-143210</t>
  </si>
  <si>
    <t>GAR NEUBAKE WHITE BREAD 450G</t>
  </si>
  <si>
    <t>53.90</t>
  </si>
  <si>
    <t>59.25</t>
  </si>
  <si>
    <t>4807770122170</t>
  </si>
  <si>
    <t>0-143211</t>
  </si>
  <si>
    <t>BUTTER COCONUT 280G</t>
  </si>
  <si>
    <t>0-143213</t>
  </si>
  <si>
    <t>0-143214</t>
  </si>
  <si>
    <t>4800417059488</t>
  </si>
  <si>
    <t>BENCH DAILY SCENT INDIAN SUMMER 75ML</t>
  </si>
  <si>
    <t>0-143216</t>
  </si>
  <si>
    <t>4800888230461</t>
  </si>
  <si>
    <t>0-143218</t>
  </si>
  <si>
    <t>VITAKERATIN DEEP REPAIR 24ML</t>
  </si>
  <si>
    <t>5.15</t>
  </si>
  <si>
    <t>4902430522809</t>
  </si>
  <si>
    <t>HEAD &amp; SHOULDER ANTI-DANDRUFF SHAMPOO ULTRA MEN COOL MENTHOL 12ML</t>
  </si>
  <si>
    <t>6.82</t>
  </si>
  <si>
    <t>8.00</t>
  </si>
  <si>
    <t>0-143219</t>
  </si>
  <si>
    <t>0-143220</t>
  </si>
  <si>
    <t>4807770273711</t>
  </si>
  <si>
    <t>0-143222</t>
  </si>
  <si>
    <t>LM PANCIT CANTON SWEET &amp; SPICY 80G</t>
  </si>
  <si>
    <t>4987176067029</t>
  </si>
  <si>
    <t>ARIEL WITH DOWNY + FRESH GARDEN BLOOM 70G</t>
  </si>
  <si>
    <t>14.42</t>
  </si>
  <si>
    <t>4806507832481</t>
  </si>
  <si>
    <t>SILKA PAPAYA 65G</t>
  </si>
  <si>
    <t>17.06</t>
  </si>
  <si>
    <t>19.75</t>
  </si>
  <si>
    <t>4902430583169</t>
  </si>
  <si>
    <t>0-143223</t>
  </si>
  <si>
    <t>ARIEL POWDER SUNRISE FRESH 70G</t>
  </si>
  <si>
    <t>0-143224</t>
  </si>
  <si>
    <t>05/09/2026</t>
  </si>
  <si>
    <t>0-143227</t>
  </si>
  <si>
    <t>0-143228</t>
  </si>
  <si>
    <t>750515021204</t>
  </si>
  <si>
    <t>0-143229</t>
  </si>
  <si>
    <t>M.Y. SAN GRAHAM CRACKERS 200G</t>
  </si>
  <si>
    <t>41.50</t>
  </si>
  <si>
    <t>47.75</t>
  </si>
  <si>
    <t>8992760221066</t>
  </si>
  <si>
    <t>OREO VANILLA ORIGINAL 12X27.6G</t>
  </si>
  <si>
    <t>70.91</t>
  </si>
  <si>
    <t>81.50</t>
  </si>
  <si>
    <t>4800054123283</t>
  </si>
  <si>
    <t>0-143230</t>
  </si>
  <si>
    <t>GROWERS MIX NUTS 80G</t>
  </si>
  <si>
    <t>70.75</t>
  </si>
  <si>
    <t>0-143231</t>
  </si>
  <si>
    <t>0-143232</t>
  </si>
  <si>
    <t>4800361379557</t>
  </si>
  <si>
    <t>0-143235</t>
  </si>
  <si>
    <t>NESTEA LEMON BLACK TEA 25G</t>
  </si>
  <si>
    <t>18.57</t>
  </si>
  <si>
    <t>21.75</t>
  </si>
  <si>
    <t>0-143236</t>
  </si>
  <si>
    <t>7622300559991</t>
  </si>
  <si>
    <t>0-143237</t>
  </si>
  <si>
    <t>TANG ORANGE 25G</t>
  </si>
  <si>
    <t>0-143238</t>
  </si>
  <si>
    <t>4807770121203</t>
  </si>
  <si>
    <t>0-143239</t>
  </si>
  <si>
    <t>NISSIN CHOCO WAFER STICK 280G</t>
  </si>
  <si>
    <t>0-143240</t>
  </si>
  <si>
    <t>0-143241</t>
  </si>
  <si>
    <t>7622300601768</t>
  </si>
  <si>
    <t>TANG PINEAPPLE 25G</t>
  </si>
  <si>
    <t>4800024011862</t>
  </si>
  <si>
    <t>DM TIDBITS 822G</t>
  </si>
  <si>
    <t>96.19</t>
  </si>
  <si>
    <t>110.75</t>
  </si>
  <si>
    <t>4801668500224</t>
  </si>
  <si>
    <t>DATU PUTI SOY SAUCE 1L</t>
  </si>
  <si>
    <t>51.00</t>
  </si>
  <si>
    <t>60.25</t>
  </si>
  <si>
    <t>748485150079</t>
  </si>
  <si>
    <t>0-143242</t>
  </si>
  <si>
    <t>COCO MAMA FRESH GATA 200ML</t>
  </si>
  <si>
    <t>32.86</t>
  </si>
  <si>
    <t>4800361419307</t>
  </si>
  <si>
    <t>NESTLE CARNATION CONDENSADA 300ML</t>
  </si>
  <si>
    <t>64.49</t>
  </si>
  <si>
    <t>74.25</t>
  </si>
  <si>
    <t>4800249908237</t>
  </si>
  <si>
    <t>CDO KARNE NORTE CLASSIC GUISADO 175G</t>
  </si>
  <si>
    <t>32.75</t>
  </si>
  <si>
    <t>38.75</t>
  </si>
  <si>
    <t>4801668606544</t>
  </si>
  <si>
    <t>UFC PIECES &amp; STEMS MUSHROOMS 400 GRAMS</t>
  </si>
  <si>
    <t>51.50</t>
  </si>
  <si>
    <t>0-143243</t>
  </si>
  <si>
    <t>0-143244</t>
  </si>
  <si>
    <t>014285001102</t>
  </si>
  <si>
    <t>0-143245</t>
  </si>
  <si>
    <t>UFC BANANA CATSUP 4KG</t>
  </si>
  <si>
    <t>228.00</t>
  </si>
  <si>
    <t>262.25</t>
  </si>
  <si>
    <t>4807770121661</t>
  </si>
  <si>
    <t>0-143246</t>
  </si>
  <si>
    <t>MONDE SPECIAL MAMON CLASSIC SAVER PACK 12X43G</t>
  </si>
  <si>
    <t>177.90</t>
  </si>
  <si>
    <t>204.75</t>
  </si>
  <si>
    <t>4807770120251</t>
  </si>
  <si>
    <t>NISSIN WAFER VANILLA 20X12G</t>
  </si>
  <si>
    <t>50.50</t>
  </si>
  <si>
    <t>58.25</t>
  </si>
  <si>
    <t>8998389121596</t>
  </si>
  <si>
    <t>KUKIS BUTTER 218G</t>
  </si>
  <si>
    <t>0-143247</t>
  </si>
  <si>
    <t>0-143249</t>
  </si>
  <si>
    <t>4800194101783</t>
  </si>
  <si>
    <t>POTATO CRISPS CHEESE FLAVOR 18G</t>
  </si>
  <si>
    <t>4800888147288</t>
  </si>
  <si>
    <t>0-143250</t>
  </si>
  <si>
    <t>CLOSE UP RED HOT TWIN PACK 10G</t>
  </si>
  <si>
    <t>9.00</t>
  </si>
  <si>
    <t>4902430698658</t>
  </si>
  <si>
    <t>HEAD&amp;SHOULDER SHAMPOO SMOOTH N SILKY TRIPACK 12ML</t>
  </si>
  <si>
    <t>6.59</t>
  </si>
  <si>
    <t>0-143251</t>
  </si>
  <si>
    <t>897399001028</t>
  </si>
  <si>
    <t>0-143252</t>
  </si>
  <si>
    <t>OISHI CRACKLINGS SALT &amp; VINEGAR 90G</t>
  </si>
  <si>
    <t>21.97</t>
  </si>
  <si>
    <t>25.50</t>
  </si>
  <si>
    <t>16.84</t>
  </si>
  <si>
    <t>19.50</t>
  </si>
  <si>
    <t>4809011681392</t>
  </si>
  <si>
    <t>BOY BAWANG CHILI CHEESE 100G</t>
  </si>
  <si>
    <t>05/10/2026</t>
  </si>
  <si>
    <t>4806533327128</t>
  </si>
  <si>
    <t>0-143253</t>
  </si>
  <si>
    <t>DELFI TREASURES GOLDEN ALMOND 36G 2+1</t>
  </si>
  <si>
    <t>67.52</t>
  </si>
  <si>
    <t>77.75</t>
  </si>
  <si>
    <t>8809640030659</t>
  </si>
  <si>
    <t>CHINGU SOJU MANDARIN 360ML</t>
  </si>
  <si>
    <t>85.00</t>
  </si>
  <si>
    <t>97.75</t>
  </si>
  <si>
    <t>0-143255</t>
  </si>
  <si>
    <t>0-143256</t>
  </si>
  <si>
    <t>0-143257</t>
  </si>
  <si>
    <t>4807770274268</t>
  </si>
  <si>
    <t>0-143258</t>
  </si>
  <si>
    <t>LM PANCIT CANTON EXTRA HOT CHILI KASALO PACK 120G</t>
  </si>
  <si>
    <t>4807770274480</t>
  </si>
  <si>
    <t>LM PANCIT CANTON CHILIMANSI KASALO PACK 120G</t>
  </si>
  <si>
    <t>4800361382083</t>
  </si>
  <si>
    <t>0-143259</t>
  </si>
  <si>
    <t>NESTEA APPLE BLACK TEA 25G</t>
  </si>
  <si>
    <t>0-143261</t>
  </si>
  <si>
    <t>0-143265</t>
  </si>
  <si>
    <t>4800086050212</t>
  </si>
  <si>
    <t>0-143266</t>
  </si>
  <si>
    <t>SEL SUP AVOCADO DREAM 1.3L</t>
  </si>
  <si>
    <t>250.00</t>
  </si>
  <si>
    <t>287.75</t>
  </si>
  <si>
    <t>0-143269</t>
  </si>
  <si>
    <t>4800216122437</t>
  </si>
  <si>
    <t>CHEEZY CORN CRUNCH RED HOT 70G</t>
  </si>
  <si>
    <t>26.09</t>
  </si>
  <si>
    <t>0-143273</t>
  </si>
  <si>
    <t>0-143276</t>
  </si>
  <si>
    <t>6902131112925</t>
  </si>
  <si>
    <t>MALING CHICKEN LUNCHEON MEAT 397G</t>
  </si>
  <si>
    <t>116.00</t>
  </si>
  <si>
    <t>133.50</t>
  </si>
  <si>
    <t>4902430441896</t>
  </si>
  <si>
    <t>GILLETE RUBIE II</t>
  </si>
  <si>
    <t>27.90</t>
  </si>
  <si>
    <t>32.25</t>
  </si>
  <si>
    <t>4800888181084</t>
  </si>
  <si>
    <t>CREAMSILK CONDITIONER GREEN 11ML 11+1</t>
  </si>
  <si>
    <t>67.88</t>
  </si>
  <si>
    <t>4809011485082</t>
  </si>
  <si>
    <t>JES BAGOONG SMALL</t>
  </si>
  <si>
    <t>20.25</t>
  </si>
  <si>
    <t>0-143277</t>
  </si>
  <si>
    <t>0-143278</t>
  </si>
  <si>
    <t>4800047840029</t>
  </si>
  <si>
    <t>ZONROX BLEACH ORIGINAL 500ML</t>
  </si>
  <si>
    <t>23.15</t>
  </si>
  <si>
    <t>0-143280</t>
  </si>
  <si>
    <t>4808680210957</t>
  </si>
  <si>
    <t>0-143281</t>
  </si>
  <si>
    <t>KNORR CRAB &amp; CORN SOUP 60G</t>
  </si>
  <si>
    <t>4800888157614</t>
  </si>
  <si>
    <t>SURF FABCON BLOSSOM FRESH 25ML</t>
  </si>
  <si>
    <t>5.41</t>
  </si>
  <si>
    <t>6.25</t>
  </si>
  <si>
    <t>4806502359440</t>
  </si>
  <si>
    <t>JADE VALUE TABLE NAPKINS 1000S</t>
  </si>
  <si>
    <t>55.80</t>
  </si>
  <si>
    <t>64.25</t>
  </si>
  <si>
    <t>4808647020094</t>
  </si>
  <si>
    <t>EDEN CHEESE ORIGINAL 160G</t>
  </si>
  <si>
    <t>53.81</t>
  </si>
  <si>
    <t>62.00</t>
  </si>
  <si>
    <t>4801668601235</t>
  </si>
  <si>
    <t>UFC CANOLA OIL 1L</t>
  </si>
  <si>
    <t>135.25</t>
  </si>
  <si>
    <t>156.00</t>
  </si>
  <si>
    <t>05/11/2026</t>
  </si>
  <si>
    <t>0-143282</t>
  </si>
  <si>
    <t>0-143283</t>
  </si>
  <si>
    <t>0-143284</t>
  </si>
  <si>
    <t>4800361388771</t>
  </si>
  <si>
    <t>0-143285</t>
  </si>
  <si>
    <t>NESTLE BEARBRAND 680G</t>
  </si>
  <si>
    <t>237.14</t>
  </si>
  <si>
    <t>272.75</t>
  </si>
  <si>
    <t>4800047841378</t>
  </si>
  <si>
    <t>DEL FABCON LAVENDER BREEZE 22ML</t>
  </si>
  <si>
    <t>3.72</t>
  </si>
  <si>
    <t>4.50</t>
  </si>
  <si>
    <t>0-143286</t>
  </si>
  <si>
    <t>4800016110535</t>
  </si>
  <si>
    <t>0-143287</t>
  </si>
  <si>
    <t>CHICHARRON NI MANG JUAN PAOMBONG 26G</t>
  </si>
  <si>
    <t>4800016110542</t>
  </si>
  <si>
    <t>CHICHARRON NI MANG JUAN SUKAT SILI 26G</t>
  </si>
  <si>
    <t>4800016963827</t>
  </si>
  <si>
    <t>CLOUD 9 OVERLOAD 50G</t>
  </si>
  <si>
    <t>14.65</t>
  </si>
  <si>
    <t>4800086049674</t>
  </si>
  <si>
    <t>0-143295</t>
  </si>
  <si>
    <t>SEL 3IN1 CHOCO KESO UBE 750ML</t>
  </si>
  <si>
    <t>103.50</t>
  </si>
  <si>
    <t>4800016087608</t>
  </si>
  <si>
    <t>MAGIC CREAM BUTTER 28GX10</t>
  </si>
  <si>
    <t>53.87</t>
  </si>
  <si>
    <t>0-143296</t>
  </si>
  <si>
    <t>05/12/2026</t>
  </si>
  <si>
    <t>4809011681378</t>
  </si>
  <si>
    <t>0-143302</t>
  </si>
  <si>
    <t>BOY BAWANG GARLIC FLAVOR 100G</t>
  </si>
  <si>
    <t>16.55</t>
  </si>
  <si>
    <t>0-143303</t>
  </si>
  <si>
    <t>58.65</t>
  </si>
  <si>
    <t>0-143304</t>
  </si>
  <si>
    <t>4800888160027</t>
  </si>
  <si>
    <t>REXONA MEN DEO LOTION ICE COOL 3ML</t>
  </si>
  <si>
    <t>4902430698085</t>
  </si>
  <si>
    <t>0-143306</t>
  </si>
  <si>
    <t>PANTENE HAIR FALL CONTROL SHAMPOO 12ML</t>
  </si>
  <si>
    <t>6.97</t>
  </si>
  <si>
    <t>0-143307</t>
  </si>
  <si>
    <t>0-143308</t>
  </si>
  <si>
    <t>0-143309</t>
  </si>
  <si>
    <t>0-143310</t>
  </si>
  <si>
    <t>0-143311</t>
  </si>
  <si>
    <t>0-143312</t>
  </si>
  <si>
    <t>4800116016003</t>
  </si>
  <si>
    <t>0-143313</t>
  </si>
  <si>
    <t>OTC SUNFLOWER CRACKERS STRAWBERRY 27G</t>
  </si>
  <si>
    <t>5.85</t>
  </si>
  <si>
    <t>6.75</t>
  </si>
  <si>
    <t>4800116136008</t>
  </si>
  <si>
    <t>OTC BUTTER CREAM CHEESE SPREAD 17G</t>
  </si>
  <si>
    <t>4.12</t>
  </si>
  <si>
    <t>0-143315</t>
  </si>
  <si>
    <t>4807770121227</t>
  </si>
  <si>
    <t>NISSIN STRAWBERRY STICK WAFER 280G</t>
  </si>
  <si>
    <t>4801958250006</t>
  </si>
  <si>
    <t>0-143318</t>
  </si>
  <si>
    <t>AJI-NO-MOTO UMAMI SEASONING 250G</t>
  </si>
  <si>
    <t>60.40</t>
  </si>
  <si>
    <t>70.00</t>
  </si>
  <si>
    <t>0-143319</t>
  </si>
  <si>
    <t>4806502350546</t>
  </si>
  <si>
    <t>0-143320</t>
  </si>
  <si>
    <t>SANICARE 12R 600SHTS 3PLY</t>
  </si>
  <si>
    <t>279.75</t>
  </si>
  <si>
    <t>335.75</t>
  </si>
  <si>
    <t>0-143321</t>
  </si>
  <si>
    <t>4800047865183</t>
  </si>
  <si>
    <t>0-143322</t>
  </si>
  <si>
    <t>GC TOTAL DEFENSE ANTIBAC SANITIZER 5IN1 250ML</t>
  </si>
  <si>
    <t>54.38</t>
  </si>
  <si>
    <t>62.75</t>
  </si>
  <si>
    <t>6920354832123</t>
  </si>
  <si>
    <t>0-143323</t>
  </si>
  <si>
    <t>COLGATE CHARCOAL CLEAN 20G</t>
  </si>
  <si>
    <t>9.17</t>
  </si>
  <si>
    <t>10.75</t>
  </si>
  <si>
    <t>0-143326</t>
  </si>
  <si>
    <t>0-143327</t>
  </si>
  <si>
    <t>4800086044372</t>
  </si>
  <si>
    <t>0-143328</t>
  </si>
  <si>
    <t>SEL BDAY BASO CHOCO 400ML</t>
  </si>
  <si>
    <t>54.56</t>
  </si>
  <si>
    <t>4800086044365</t>
  </si>
  <si>
    <t>SEL BDAY BASO UBE 400ML</t>
  </si>
  <si>
    <t>888123456781858</t>
  </si>
  <si>
    <t>0-143329</t>
  </si>
  <si>
    <t>OTC DYNAMITE MELON MINT RETAIL</t>
  </si>
  <si>
    <t>0-143330</t>
  </si>
  <si>
    <t>4800086045676</t>
  </si>
  <si>
    <t>0-143331</t>
  </si>
  <si>
    <t>SEL CORNETTO DISC WHITE CHOCO COOKIES &amp; CREAM 115ML</t>
  </si>
  <si>
    <t>0-143334</t>
  </si>
  <si>
    <t>0-143335</t>
  </si>
  <si>
    <t>0-143336</t>
  </si>
  <si>
    <t>0-143337</t>
  </si>
  <si>
    <t>4807770121333</t>
  </si>
  <si>
    <t>0-143338</t>
  </si>
  <si>
    <t>MONDE SPECIAL MAMON CLASSIC 6X43G</t>
  </si>
  <si>
    <t>92.80</t>
  </si>
  <si>
    <t>106.75</t>
  </si>
  <si>
    <t>05/13/2026</t>
  </si>
  <si>
    <t>0-143339</t>
  </si>
  <si>
    <t>0-143341</t>
  </si>
  <si>
    <t>0-143342</t>
  </si>
  <si>
    <t>0-143344</t>
  </si>
  <si>
    <t>0-143345</t>
  </si>
  <si>
    <t>0-143348</t>
  </si>
  <si>
    <t>0-143349</t>
  </si>
  <si>
    <t>4800016012273</t>
  </si>
  <si>
    <t>GREAT TASTE PREMIUM 50G</t>
  </si>
  <si>
    <t>47.73</t>
  </si>
  <si>
    <t>55.00</t>
  </si>
  <si>
    <t>4800116016027</t>
  </si>
  <si>
    <t>0-143350</t>
  </si>
  <si>
    <t>SUNFLOWER CREAM SANDWICH STRAWBERRY 10X27G</t>
  </si>
  <si>
    <t>58.50</t>
  </si>
  <si>
    <t>0-143351</t>
  </si>
  <si>
    <t>4800888603692</t>
  </si>
  <si>
    <t>0-143352</t>
  </si>
  <si>
    <t>KNORR SINIGANG SA SAMPALOK MIX 11G</t>
  </si>
  <si>
    <t>7.14</t>
  </si>
  <si>
    <t>0-143353</t>
  </si>
  <si>
    <t>0-143356</t>
  </si>
  <si>
    <t>4800047841705</t>
  </si>
  <si>
    <t>ZONROX COLORSAFE BLEACH BLOSSOM FRESH 900ML</t>
  </si>
  <si>
    <t>65.99</t>
  </si>
  <si>
    <t>76.75</t>
  </si>
  <si>
    <t>4803746332833</t>
  </si>
  <si>
    <t>TUFF TOILET BOWL CLEANSER 1000ML</t>
  </si>
  <si>
    <t>216.58</t>
  </si>
  <si>
    <t>249.00</t>
  </si>
  <si>
    <t>4801234108229</t>
  </si>
  <si>
    <t>BAYGON MULTI INSECT KILLER WATERBASED 500ML</t>
  </si>
  <si>
    <t>360.65</t>
  </si>
  <si>
    <t>414.75</t>
  </si>
  <si>
    <t>4800047820458</t>
  </si>
  <si>
    <t>GC ISOPROPYL ALCOHOL W/ MOIST 70% 3785ML</t>
  </si>
  <si>
    <t>529.58</t>
  </si>
  <si>
    <t>615.00</t>
  </si>
  <si>
    <t>4902430453028</t>
  </si>
  <si>
    <t>DOWNY SUNRISE FRESH 800ML</t>
  </si>
  <si>
    <t>160.51</t>
  </si>
  <si>
    <t>184.75</t>
  </si>
  <si>
    <t>4902430622080</t>
  </si>
  <si>
    <t>DOWNY PARFUM PASSION 760ML</t>
  </si>
  <si>
    <t>152.97</t>
  </si>
  <si>
    <t>176.00</t>
  </si>
  <si>
    <t>4800249010091</t>
  </si>
  <si>
    <t>0-143358</t>
  </si>
  <si>
    <t>SM CHILI CORNED TUNA 100G</t>
  </si>
  <si>
    <t>29.00</t>
  </si>
  <si>
    <t>0-143359</t>
  </si>
  <si>
    <t>0-143363</t>
  </si>
  <si>
    <t>4800016561481</t>
  </si>
  <si>
    <t>NISSIN CUP NOODLES HOT CHEESY SEAFOODS 50G</t>
  </si>
  <si>
    <t>23.32</t>
  </si>
  <si>
    <t>0-143373</t>
  </si>
  <si>
    <t>0-143374</t>
  </si>
  <si>
    <t>18.65</t>
  </si>
  <si>
    <t>0-143375</t>
  </si>
  <si>
    <t>27.85</t>
  </si>
  <si>
    <t>20.40</t>
  </si>
  <si>
    <t>0-143376</t>
  </si>
  <si>
    <t>0-143379</t>
  </si>
  <si>
    <t>0-143381</t>
  </si>
  <si>
    <t>0-143384</t>
  </si>
  <si>
    <t>0-143385</t>
  </si>
  <si>
    <t>0-143386</t>
  </si>
  <si>
    <t>0-143387</t>
  </si>
  <si>
    <t>05/14/2026</t>
  </si>
  <si>
    <t>0-143389</t>
  </si>
  <si>
    <t>0-143390</t>
  </si>
  <si>
    <t>6914758001087</t>
  </si>
  <si>
    <t>PUSH UP - JUMBO POP 30G</t>
  </si>
  <si>
    <t>46.30</t>
  </si>
  <si>
    <t>53.25</t>
  </si>
  <si>
    <t>0-143391</t>
  </si>
  <si>
    <t>0-143392</t>
  </si>
  <si>
    <t>888123456782018</t>
  </si>
  <si>
    <t>0-143398</t>
  </si>
  <si>
    <t>DM PINEAPPLE JUICE ACE 220ML</t>
  </si>
  <si>
    <t>28.25</t>
  </si>
  <si>
    <t>32.50</t>
  </si>
  <si>
    <t>0-143401</t>
  </si>
  <si>
    <t>4800086035943</t>
  </si>
  <si>
    <t>0-143402</t>
  </si>
  <si>
    <t>SEL SUP COFFEE CRUMBLE 1.5L</t>
  </si>
  <si>
    <t>227.51</t>
  </si>
  <si>
    <t>261.75</t>
  </si>
  <si>
    <t>4800086035967</t>
  </si>
  <si>
    <t>SEL SUP DOUBLE DUTCH 1.3L</t>
  </si>
  <si>
    <t>287.50</t>
  </si>
  <si>
    <t>0-143403</t>
  </si>
  <si>
    <t>4800417059549</t>
  </si>
  <si>
    <t>0-143404</t>
  </si>
  <si>
    <t>BENCH DAILY SCENT COLOGNE HAPPY HOUR 125ML</t>
  </si>
  <si>
    <t>0-143405</t>
  </si>
  <si>
    <t>0-143406</t>
  </si>
  <si>
    <t>4800361393744</t>
  </si>
  <si>
    <t>NESCAFE CLASSIC DECAF</t>
  </si>
  <si>
    <t>120.95</t>
  </si>
  <si>
    <t>139.25</t>
  </si>
  <si>
    <t>0-143407</t>
  </si>
  <si>
    <t>4800888189806</t>
  </si>
  <si>
    <t>SURF POWDER CHERRY BLOSSOM 57G</t>
  </si>
  <si>
    <t>6.37</t>
  </si>
  <si>
    <t>4806506318955</t>
  </si>
  <si>
    <t>0-143408</t>
  </si>
  <si>
    <t>SISTERS DAY MAXI W/O WINGS 8 PADS</t>
  </si>
  <si>
    <t>18.25</t>
  </si>
  <si>
    <t>750515031555</t>
  </si>
  <si>
    <t>0-143409</t>
  </si>
  <si>
    <t>SKYFLAKES MANTIKILYA 30GX10S</t>
  </si>
  <si>
    <t>0-143410</t>
  </si>
  <si>
    <t>0-143412</t>
  </si>
  <si>
    <t>4801668607879</t>
  </si>
  <si>
    <t>UFC HAPI FIESTA VEGETABLE OIL 17KG</t>
  </si>
  <si>
    <t>1,638.00</t>
  </si>
  <si>
    <t>1,883.75</t>
  </si>
  <si>
    <t>4808680230603</t>
  </si>
  <si>
    <t>KNORR LIQUID SEASONING ORIGINAL 1L</t>
  </si>
  <si>
    <t>301.87</t>
  </si>
  <si>
    <t>347.25</t>
  </si>
  <si>
    <t>025407803313</t>
  </si>
  <si>
    <t>MAMA SITAS KARE KARE PEANUT SAUCE MIX 57G</t>
  </si>
  <si>
    <t>35.68</t>
  </si>
  <si>
    <t>4800888602732</t>
  </si>
  <si>
    <t>KNORR BEEF BROTH CUBE 10G</t>
  </si>
  <si>
    <t>4800361413992</t>
  </si>
  <si>
    <t>NESCAFE CREAMY LATTE TWINPACK 55G</t>
  </si>
  <si>
    <t>999055</t>
  </si>
  <si>
    <t>0-143414</t>
  </si>
  <si>
    <t>CONVIE SWIVEL CHAIR</t>
  </si>
  <si>
    <t>3,500.00</t>
  </si>
  <si>
    <t>4,000.00</t>
  </si>
  <si>
    <t>0-143417</t>
  </si>
  <si>
    <t>4800116136022</t>
  </si>
  <si>
    <t>0-143418</t>
  </si>
  <si>
    <t>BUTTER CREAM CRACKERS CHEESE SPREAD 10X17G</t>
  </si>
  <si>
    <t>0-143419</t>
  </si>
  <si>
    <t>0-143421</t>
  </si>
  <si>
    <t>4806512026387</t>
  </si>
  <si>
    <t>0-143422</t>
  </si>
  <si>
    <t>MAMA SITAS ORIGINAL OYSTER SAUCE 60G</t>
  </si>
  <si>
    <t>13.39</t>
  </si>
  <si>
    <t>0-143423</t>
  </si>
  <si>
    <t>05/15/2026</t>
  </si>
  <si>
    <t>0-143428</t>
  </si>
  <si>
    <t>4806502720172</t>
  </si>
  <si>
    <t>0-143429</t>
  </si>
  <si>
    <t>GAR BUTTER TOAST 2-SLICE PACK 50G</t>
  </si>
  <si>
    <t>16.91</t>
  </si>
  <si>
    <t>18.60</t>
  </si>
  <si>
    <t>0-143430</t>
  </si>
  <si>
    <t>6914758001117</t>
  </si>
  <si>
    <t>0-143431</t>
  </si>
  <si>
    <t>PUSH UP - TRIPLE POWER POP 34G</t>
  </si>
  <si>
    <t>58.84</t>
  </si>
  <si>
    <t>67.75</t>
  </si>
  <si>
    <t>4805885171007</t>
  </si>
  <si>
    <t>0-143432</t>
  </si>
  <si>
    <t>RENO LIVER SPREAD 85G</t>
  </si>
  <si>
    <t>29.95</t>
  </si>
  <si>
    <t>0-143433</t>
  </si>
  <si>
    <t>4806506318832</t>
  </si>
  <si>
    <t>0-143434</t>
  </si>
  <si>
    <t>SISTERS 8PADS DAY MAXI REGULAR FLOW W/ WINGS</t>
  </si>
  <si>
    <t>0-143438</t>
  </si>
  <si>
    <t>4800016627279</t>
  </si>
  <si>
    <t>BERRY KNOTS STRAW 28G</t>
  </si>
  <si>
    <t>0-143439</t>
  </si>
  <si>
    <t>4806506318870</t>
  </si>
  <si>
    <t>0-143440</t>
  </si>
  <si>
    <t>SISTERS PANTYLINERS 8LINERS</t>
  </si>
  <si>
    <t>888123456781555</t>
  </si>
  <si>
    <t>0-143441</t>
  </si>
  <si>
    <t>VICTORIA WASH SUGAR 1/2</t>
  </si>
  <si>
    <t>4806500670073</t>
  </si>
  <si>
    <t>KOMEYA 3Q BIHON</t>
  </si>
  <si>
    <t>35.50</t>
  </si>
  <si>
    <t>0-143442</t>
  </si>
  <si>
    <t>4806502720110</t>
  </si>
  <si>
    <t>GAR BUTTER TOAST 5-SLICE PACK 125G</t>
  </si>
  <si>
    <t>40.95</t>
  </si>
  <si>
    <t>0-143443</t>
  </si>
  <si>
    <t>0-143448</t>
  </si>
  <si>
    <t>0-143449</t>
  </si>
  <si>
    <t>0-143450</t>
  </si>
  <si>
    <t>4800361380737</t>
  </si>
  <si>
    <t>NESTLE COFFEE MATE 450ML</t>
  </si>
  <si>
    <t>109.57</t>
  </si>
  <si>
    <t>136.50</t>
  </si>
  <si>
    <t>888123456782034</t>
  </si>
  <si>
    <t>BAIS SUGAR WASH 1/2</t>
  </si>
  <si>
    <t>27.69</t>
  </si>
  <si>
    <t>4800010012019</t>
  </si>
  <si>
    <t>GREAT TASTE GRANULES 100G</t>
  </si>
  <si>
    <t>96.67</t>
  </si>
  <si>
    <t>111.25</t>
  </si>
  <si>
    <t>0-143451</t>
  </si>
  <si>
    <t>4806502727423</t>
  </si>
  <si>
    <t>0-143452</t>
  </si>
  <si>
    <t>GAR NEUBAKE WHEATEN BREAD 480G</t>
  </si>
  <si>
    <t>81.85</t>
  </si>
  <si>
    <t>0-143454</t>
  </si>
  <si>
    <t>0-143459</t>
  </si>
  <si>
    <t>0-143464</t>
  </si>
  <si>
    <t>0-143469</t>
  </si>
  <si>
    <t>0-143470</t>
  </si>
  <si>
    <t>55.65</t>
  </si>
  <si>
    <t>0-143471</t>
  </si>
  <si>
    <t>05/16/2026</t>
  </si>
  <si>
    <t>0-143472</t>
  </si>
  <si>
    <t>4800010012033</t>
  </si>
  <si>
    <t>GREAT TASTE GRANULES 50G</t>
  </si>
  <si>
    <t>56.25</t>
  </si>
  <si>
    <t>0-143473</t>
  </si>
  <si>
    <t>0-143474</t>
  </si>
  <si>
    <t>0-143475</t>
  </si>
  <si>
    <t>4806505854423</t>
  </si>
  <si>
    <t>0-143476</t>
  </si>
  <si>
    <t>CHICK BOY CALIFORNIA CRUNCH ONION &amp; GARLIC FLAVOR 100G</t>
  </si>
  <si>
    <t>18.75</t>
  </si>
  <si>
    <t>0-143486</t>
  </si>
  <si>
    <t>0-143487</t>
  </si>
  <si>
    <t>0-143488</t>
  </si>
  <si>
    <t>0-143489</t>
  </si>
  <si>
    <t>748485802077</t>
  </si>
  <si>
    <t>WOW ULAM AFRITADA 155</t>
  </si>
  <si>
    <t>21.60</t>
  </si>
  <si>
    <t>25.00</t>
  </si>
  <si>
    <t>0-143490</t>
  </si>
  <si>
    <t>0-143491</t>
  </si>
  <si>
    <t>0-143492</t>
  </si>
  <si>
    <t>4808680021805</t>
  </si>
  <si>
    <t>LADYS CHOICE REAL MAYONNAISE 3.5L</t>
  </si>
  <si>
    <t>1,160.35</t>
  </si>
  <si>
    <t>1,334.50</t>
  </si>
  <si>
    <t>4987176116635</t>
  </si>
  <si>
    <t>0-143495</t>
  </si>
  <si>
    <t>ARIEL W/ DOWNY FLORAL PASSION TRIPID PACK</t>
  </si>
  <si>
    <t>22.50</t>
  </si>
  <si>
    <t>0-143496</t>
  </si>
  <si>
    <t>0-143497</t>
  </si>
  <si>
    <t>0-143498</t>
  </si>
  <si>
    <t>8934868110170</t>
  </si>
  <si>
    <t>SURF FABCON LUXE PERFUME 25ML</t>
  </si>
  <si>
    <t>8888826019589</t>
  </si>
  <si>
    <t>0-143499</t>
  </si>
  <si>
    <t>GILLETTTE BLUE II PLUS</t>
  </si>
  <si>
    <t>29.50</t>
  </si>
  <si>
    <t>0-143500</t>
  </si>
  <si>
    <t>0-143501</t>
  </si>
  <si>
    <t>0-143502</t>
  </si>
  <si>
    <t>0-143503</t>
  </si>
  <si>
    <t>0-143504</t>
  </si>
  <si>
    <t>888123456781868</t>
  </si>
  <si>
    <t>FAVORITO RIDGE&amp;SHELL MACARONI 1/2</t>
  </si>
  <si>
    <t>25.80</t>
  </si>
  <si>
    <t>29.75</t>
  </si>
  <si>
    <t>0-143505</t>
  </si>
  <si>
    <t>4800130100016</t>
  </si>
  <si>
    <t>0-143506</t>
  </si>
  <si>
    <t>GINEBRA SAN MIGUEL 4X4 700ML</t>
  </si>
  <si>
    <t>129.00</t>
  </si>
  <si>
    <t>148.50</t>
  </si>
  <si>
    <t>0-143507</t>
  </si>
  <si>
    <t>0-143516</t>
  </si>
  <si>
    <t>888123456782011</t>
  </si>
  <si>
    <t>MT. KALINGA DRIP COFEE 12PCSX10GRAMS</t>
  </si>
  <si>
    <t>320.00</t>
  </si>
  <si>
    <t>4806502352953</t>
  </si>
  <si>
    <t xml:space="preserve">NATURALE TISSUE PCF 800S </t>
  </si>
  <si>
    <t>64.58</t>
  </si>
  <si>
    <t>74.50</t>
  </si>
  <si>
    <t>0-143517</t>
  </si>
  <si>
    <t>0-143518</t>
  </si>
  <si>
    <t>4800116099020</t>
  </si>
  <si>
    <t>BUTTER CREAM ENSAYMADA CRACKERS 10X25G</t>
  </si>
  <si>
    <t>4806507832214</t>
  </si>
  <si>
    <t>SILKA GREEN PAPAYA 65G</t>
  </si>
  <si>
    <t>20.48</t>
  </si>
  <si>
    <t>0-143520</t>
  </si>
  <si>
    <t>748485802084</t>
  </si>
  <si>
    <t>0-143521</t>
  </si>
  <si>
    <t>WOW ULAM CALDERETA 155G</t>
  </si>
  <si>
    <t>0-143522</t>
  </si>
  <si>
    <t>4800016561498</t>
  </si>
  <si>
    <t>NISSIN CUP NOODLES CHEESY SEAFOOD 50G</t>
  </si>
  <si>
    <t>0-143527</t>
  </si>
  <si>
    <t>0-143528</t>
  </si>
  <si>
    <t>0-143532</t>
  </si>
  <si>
    <t>0-143535</t>
  </si>
  <si>
    <t>4800361375146</t>
  </si>
  <si>
    <t>0-143537</t>
  </si>
  <si>
    <t>NESCAFE CLASSIC DECAF 20G</t>
  </si>
  <si>
    <t>30.48</t>
  </si>
  <si>
    <t>35.00</t>
  </si>
  <si>
    <t>0-143538</t>
  </si>
  <si>
    <t>0-143540</t>
  </si>
  <si>
    <t>0-143543</t>
  </si>
  <si>
    <t>4800016551857</t>
  </si>
  <si>
    <t>0-143544</t>
  </si>
  <si>
    <t>NISSIN CUP NOODLES SPICY SEAFOOD 40G</t>
  </si>
  <si>
    <t>21.17</t>
  </si>
  <si>
    <t>24.50</t>
  </si>
  <si>
    <t>0-143547</t>
  </si>
  <si>
    <t>0-143549</t>
  </si>
  <si>
    <t>0-143552</t>
  </si>
  <si>
    <t>285.39</t>
  </si>
  <si>
    <t>0-143553</t>
  </si>
  <si>
    <t>0-143554</t>
  </si>
  <si>
    <t>4800024587978</t>
  </si>
  <si>
    <t>DM FRUITY ZING APPLE-LYCHEE 330ML</t>
  </si>
  <si>
    <t>0-143555</t>
  </si>
  <si>
    <t>4806502720165</t>
  </si>
  <si>
    <t>GAR DOUBLE DELIGHTS (UBE &amp; CHEESE) 400G</t>
  </si>
  <si>
    <t>99.00</t>
  </si>
  <si>
    <t>0-143557</t>
  </si>
  <si>
    <t>0-143558</t>
  </si>
  <si>
    <t>0-143560</t>
  </si>
  <si>
    <t>0-143561</t>
  </si>
  <si>
    <t>0-143562</t>
  </si>
  <si>
    <t>0-143564</t>
  </si>
  <si>
    <t>0-143565</t>
  </si>
  <si>
    <t>0-143566</t>
  </si>
  <si>
    <t>0-143567</t>
  </si>
  <si>
    <t>4800142110102</t>
  </si>
  <si>
    <t>0-143568</t>
  </si>
  <si>
    <t>EMPERADOR LIGHT 1L</t>
  </si>
  <si>
    <t>153.50</t>
  </si>
  <si>
    <t>182.75</t>
  </si>
  <si>
    <t>0-143569</t>
  </si>
  <si>
    <t>05/19/2026</t>
  </si>
  <si>
    <t>0-143578</t>
  </si>
  <si>
    <t>0-143579</t>
  </si>
  <si>
    <t>8850006327449</t>
  </si>
  <si>
    <t>COLGATE FRESH CONFIDENCE SPICY FRESH 2X175G</t>
  </si>
  <si>
    <t>152.00</t>
  </si>
  <si>
    <t>175.00</t>
  </si>
  <si>
    <t>0-143580</t>
  </si>
  <si>
    <t>0-143581</t>
  </si>
  <si>
    <t>0-143582</t>
  </si>
  <si>
    <t>4800361395687</t>
  </si>
  <si>
    <t>NESTLE CHUCKIE BULILIT PACK 110ML</t>
  </si>
  <si>
    <t>11.50</t>
  </si>
  <si>
    <t>13.50</t>
  </si>
  <si>
    <t>0-143583</t>
  </si>
  <si>
    <t>4902430389549</t>
  </si>
  <si>
    <t>0-143586</t>
  </si>
  <si>
    <t>JOY SAFEGUARD ANTIBAC 17ML</t>
  </si>
  <si>
    <t>5.78</t>
  </si>
  <si>
    <t>0-143589</t>
  </si>
  <si>
    <t>0-143590</t>
  </si>
  <si>
    <t>0-143593</t>
  </si>
  <si>
    <t>0-143594</t>
  </si>
  <si>
    <t>8998389121626</t>
  </si>
  <si>
    <t>KUKIS SUSU VANILA 218G</t>
  </si>
  <si>
    <t>0-143595</t>
  </si>
  <si>
    <t>0-143596</t>
  </si>
  <si>
    <t>0-143597</t>
  </si>
  <si>
    <t>888123456781207</t>
  </si>
  <si>
    <t>0-143598</t>
  </si>
  <si>
    <t>OTC DOLFENAL</t>
  </si>
  <si>
    <t>20.00</t>
  </si>
  <si>
    <t>0-143599</t>
  </si>
  <si>
    <t>0-143600</t>
  </si>
  <si>
    <t>0-143601</t>
  </si>
  <si>
    <t>0-143602</t>
  </si>
  <si>
    <t>0-143603</t>
  </si>
  <si>
    <t>0-143604</t>
  </si>
  <si>
    <t>0-143605</t>
  </si>
  <si>
    <t>0-143606</t>
  </si>
  <si>
    <t>4987176220653</t>
  </si>
  <si>
    <t>0-143607</t>
  </si>
  <si>
    <t>SAFEGUARD WHITE CAMELLIA 55G</t>
  </si>
  <si>
    <t>19.60</t>
  </si>
  <si>
    <t>0-143609</t>
  </si>
  <si>
    <t>0-143610</t>
  </si>
  <si>
    <t>0-143611</t>
  </si>
  <si>
    <t>4800086049520</t>
  </si>
  <si>
    <t>0-143614</t>
  </si>
  <si>
    <t>SELECTA DOUBLE DUTCH 100ML</t>
  </si>
  <si>
    <t>4800086049452</t>
  </si>
  <si>
    <t>SELECTA COOKIES N CREAM 100ML</t>
  </si>
  <si>
    <t>4806500470352</t>
  </si>
  <si>
    <t>DELICIOUS SPAGHETTI 400G</t>
  </si>
  <si>
    <t>50.80</t>
  </si>
  <si>
    <t>4800116043023</t>
  </si>
  <si>
    <t>BUTTER CREAM CRACKERS 10X25G</t>
  </si>
  <si>
    <t>4800016680540</t>
  </si>
  <si>
    <t>0-143615</t>
  </si>
  <si>
    <t>HONEY BUTTER POTATO CHIPS 22G</t>
  </si>
  <si>
    <t>15.68</t>
  </si>
  <si>
    <t>0-143616</t>
  </si>
  <si>
    <t>4800888169716</t>
  </si>
  <si>
    <t>SUNSILK PINK 15ML</t>
  </si>
  <si>
    <t>5.92</t>
  </si>
  <si>
    <t>0-143617</t>
  </si>
  <si>
    <t>0-143618</t>
  </si>
  <si>
    <t>84.55</t>
  </si>
  <si>
    <t>58.85</t>
  </si>
  <si>
    <t>4800888607959</t>
  </si>
  <si>
    <t>KNORR SHRIMP BROTH CUBE 10G</t>
  </si>
  <si>
    <t>0-143619</t>
  </si>
  <si>
    <t>05/20/2026</t>
  </si>
  <si>
    <t>0-143621</t>
  </si>
  <si>
    <t>0-143622</t>
  </si>
  <si>
    <t>4800119221091</t>
  </si>
  <si>
    <t>0-143623</t>
  </si>
  <si>
    <t>SKIN WHITE WHITENING LOTION PAPAYA MILK SPF 10 100ML</t>
  </si>
  <si>
    <t>71.30</t>
  </si>
  <si>
    <t>82.00</t>
  </si>
  <si>
    <t>4800417060590</t>
  </si>
  <si>
    <t>BENCH SO INLOVE 50ML</t>
  </si>
  <si>
    <t>75.00</t>
  </si>
  <si>
    <t>86.25</t>
  </si>
  <si>
    <t>4800417005225</t>
  </si>
  <si>
    <t>BENCH ATLANTIS 75ML</t>
  </si>
  <si>
    <t>88.00</t>
  </si>
  <si>
    <t>101.25</t>
  </si>
  <si>
    <t>4800888260987</t>
  </si>
  <si>
    <t>0-143624</t>
  </si>
  <si>
    <t>LADYS CHOICE HAM SPREAD 27ML</t>
  </si>
  <si>
    <t>4902430583183</t>
  </si>
  <si>
    <t>ARIEL W/ DOWNY FLORAL PASSION 68G</t>
  </si>
  <si>
    <t>14.91</t>
  </si>
  <si>
    <t>17.25</t>
  </si>
  <si>
    <t>4902430729925</t>
  </si>
  <si>
    <t>DOWNY PARFUM COLL MYSTIQUE 20ML</t>
  </si>
  <si>
    <t>0-143625</t>
  </si>
  <si>
    <t>0-143626</t>
  </si>
  <si>
    <t>750515030152</t>
  </si>
  <si>
    <t>0-143627</t>
  </si>
  <si>
    <t>OTC SKYFLAKES GARLIC 25G</t>
  </si>
  <si>
    <t>6.03</t>
  </si>
  <si>
    <t>750515030176</t>
  </si>
  <si>
    <t>OTC SKYFLAKES ONION &amp; CHIVES 25G</t>
  </si>
  <si>
    <t>0-143628</t>
  </si>
  <si>
    <t>200009</t>
  </si>
  <si>
    <t>0-143629</t>
  </si>
  <si>
    <t>COLORED FOLDER SHORT - RED</t>
  </si>
  <si>
    <t>0-143630</t>
  </si>
  <si>
    <t>0-143631</t>
  </si>
  <si>
    <t>0-143632</t>
  </si>
  <si>
    <t>0-143633</t>
  </si>
  <si>
    <t>4807770120237</t>
  </si>
  <si>
    <t>0-143635</t>
  </si>
  <si>
    <t>NISSIN WAFER YUMMY BUTTER 20X12G</t>
  </si>
  <si>
    <t>0-143636</t>
  </si>
  <si>
    <t>888123456782036</t>
  </si>
  <si>
    <t>0-143648</t>
  </si>
  <si>
    <t>HONEY MOON RICE MALAGKIT 1KG</t>
  </si>
  <si>
    <t>49.20</t>
  </si>
  <si>
    <t>0-143649</t>
  </si>
  <si>
    <t>4806502725894</t>
  </si>
  <si>
    <t>0-143652</t>
  </si>
  <si>
    <t>GAR HIGH FIBER WHEAT RAISIN LOAF 400G</t>
  </si>
  <si>
    <t>97.95</t>
  </si>
  <si>
    <t>107.75</t>
  </si>
  <si>
    <t>0-143654</t>
  </si>
  <si>
    <t>0-143655</t>
  </si>
  <si>
    <t>0-143658</t>
  </si>
  <si>
    <t>888123456782035</t>
  </si>
  <si>
    <t>0-143661</t>
  </si>
  <si>
    <t>BAIS SUGAR WASH 1/4</t>
  </si>
  <si>
    <t>13.85</t>
  </si>
  <si>
    <t>0-143662</t>
  </si>
  <si>
    <t>0-143663</t>
  </si>
  <si>
    <t>0-143664</t>
  </si>
  <si>
    <t>0-143665</t>
  </si>
  <si>
    <t>0-143666</t>
  </si>
  <si>
    <t>0-143668</t>
  </si>
  <si>
    <t>4801668600542</t>
  </si>
  <si>
    <t>0-143674</t>
  </si>
  <si>
    <t>DATU PUTI PATIS 150ML</t>
  </si>
  <si>
    <t>13.56</t>
  </si>
  <si>
    <t>15.75</t>
  </si>
  <si>
    <t>0-143675</t>
  </si>
  <si>
    <t>0-143676</t>
  </si>
  <si>
    <t>0-143678</t>
  </si>
  <si>
    <t>0-143682</t>
  </si>
  <si>
    <t>0-143683</t>
  </si>
  <si>
    <t>0-143684</t>
  </si>
  <si>
    <t>4800016652035</t>
  </si>
  <si>
    <t>0-143685</t>
  </si>
  <si>
    <t>MR CHIPS NACHO CHEESE FLAVOR 26G</t>
  </si>
  <si>
    <t>5.47</t>
  </si>
  <si>
    <t>6.50</t>
  </si>
  <si>
    <t>4800016663505</t>
  </si>
  <si>
    <t>NOVA COUNTRY CHEDDAR 78G</t>
  </si>
  <si>
    <t>32.47</t>
  </si>
  <si>
    <t>37.50</t>
  </si>
  <si>
    <t>4800216110045</t>
  </si>
  <si>
    <t>CLOVER CHEESE 145G</t>
  </si>
  <si>
    <t>51.06</t>
  </si>
  <si>
    <t>58.75</t>
  </si>
  <si>
    <t>94.00</t>
  </si>
  <si>
    <t>05/21/2026</t>
  </si>
  <si>
    <t>0-143686</t>
  </si>
  <si>
    <t>0-143687</t>
  </si>
  <si>
    <t>0-143688</t>
  </si>
  <si>
    <t>0-143689</t>
  </si>
  <si>
    <t>0-143692</t>
  </si>
  <si>
    <t>4801668100264</t>
  </si>
  <si>
    <t>MANG TOMAS ALL AROUND SARSA 325G</t>
  </si>
  <si>
    <t>0-143697</t>
  </si>
  <si>
    <t>0-143698</t>
  </si>
  <si>
    <t>0-143699</t>
  </si>
  <si>
    <t>0-143700</t>
  </si>
  <si>
    <t>4800016628283</t>
  </si>
  <si>
    <t>0-143702</t>
  </si>
  <si>
    <t>MINI CHOCO PRETZELS 28G</t>
  </si>
  <si>
    <t>4806502359709</t>
  </si>
  <si>
    <t>0-143703</t>
  </si>
  <si>
    <t>TISYU CORELESS TWIN 2PLY</t>
  </si>
  <si>
    <t>13.12</t>
  </si>
  <si>
    <t>0-143706</t>
  </si>
  <si>
    <t>0-143709</t>
  </si>
  <si>
    <t>4800888602268</t>
  </si>
  <si>
    <t>LADYS CHOICE REAL MAYONNAISE DOYPACK 220ML</t>
  </si>
  <si>
    <t>89.91</t>
  </si>
  <si>
    <t>4800631000488</t>
  </si>
  <si>
    <t>BOY BAWANG MIXED NUTS GARLIC FLAVOR 100G</t>
  </si>
  <si>
    <t>4800024570611</t>
  </si>
  <si>
    <t>0-143710</t>
  </si>
  <si>
    <t>DM PINEAPPLE TIDBITS 115G</t>
  </si>
  <si>
    <t>15.91</t>
  </si>
  <si>
    <t>748485100081</t>
  </si>
  <si>
    <t>CENTURY TUNA FLAKES IN OIL 180G</t>
  </si>
  <si>
    <t>44.50</t>
  </si>
  <si>
    <t>51.25</t>
  </si>
  <si>
    <t>0-143711</t>
  </si>
  <si>
    <t>4808680221250</t>
  </si>
  <si>
    <t>KNORR CREAM OF MUSHROOM SOUP MIX 70G</t>
  </si>
  <si>
    <t>8410028900091</t>
  </si>
  <si>
    <t>ALFONSO I LIGHT 1L 25%VOL</t>
  </si>
  <si>
    <t>273.00</t>
  </si>
  <si>
    <t>314.00</t>
  </si>
  <si>
    <t>8410028901289</t>
  </si>
  <si>
    <t>VINO FONTANA SWEET RED 750ML</t>
  </si>
  <si>
    <t>239.94</t>
  </si>
  <si>
    <t>276.00</t>
  </si>
  <si>
    <t>0-143712</t>
  </si>
  <si>
    <t>888123456782002</t>
  </si>
  <si>
    <t>0-143714</t>
  </si>
  <si>
    <t>OTC REXONA CLEAN SHOWER</t>
  </si>
  <si>
    <t>0.00</t>
  </si>
  <si>
    <t>0-143718</t>
  </si>
  <si>
    <t>0-143722</t>
  </si>
  <si>
    <t>0-143723</t>
  </si>
  <si>
    <t>0-143726</t>
  </si>
  <si>
    <t>4806502721452</t>
  </si>
  <si>
    <t>0-143727</t>
  </si>
  <si>
    <t>GAR HIGH FIBER WHEAT BREAD 400G</t>
  </si>
  <si>
    <t>72.95</t>
  </si>
  <si>
    <t>80.25</t>
  </si>
  <si>
    <t>05/22/2026</t>
  </si>
  <si>
    <t>748485401225</t>
  </si>
  <si>
    <t>0-143728</t>
  </si>
  <si>
    <t>ANGEL KREMDENSADA 410ML</t>
  </si>
  <si>
    <t>57.10</t>
  </si>
  <si>
    <t>69.00</t>
  </si>
  <si>
    <t>4809013526356</t>
  </si>
  <si>
    <t>MR. GULAMAN WHITE 25G</t>
  </si>
  <si>
    <t>0-143729</t>
  </si>
  <si>
    <t>0-143731</t>
  </si>
  <si>
    <t>0-143732</t>
  </si>
  <si>
    <t>0-143733</t>
  </si>
  <si>
    <t>0-143734</t>
  </si>
  <si>
    <t>0-143735</t>
  </si>
  <si>
    <t>0-143736</t>
  </si>
  <si>
    <t>4800116131027</t>
  </si>
  <si>
    <t>0-143740</t>
  </si>
  <si>
    <t>BUTTER CREAM CRACKERS LECHE FLAN FLAVOR 10X25G</t>
  </si>
  <si>
    <t>4801010127215</t>
  </si>
  <si>
    <t>JOHNSONS BABY COLOGNE HEAVEN 50ML</t>
  </si>
  <si>
    <t>39.20</t>
  </si>
  <si>
    <t>45.25</t>
  </si>
  <si>
    <t>0-143741</t>
  </si>
  <si>
    <t>0-143742</t>
  </si>
  <si>
    <t>0-143743</t>
  </si>
  <si>
    <t>0-143745</t>
  </si>
  <si>
    <t>4800086049230</t>
  </si>
  <si>
    <t>SEL CREAMDAE CUPS MANGO 100ML</t>
  </si>
  <si>
    <t>0-143748</t>
  </si>
  <si>
    <t>4902430381772</t>
  </si>
  <si>
    <t>SAFEGUARD IVORY WHITE CARE 60G</t>
  </si>
  <si>
    <t>18.64</t>
  </si>
  <si>
    <t>4800034017267</t>
  </si>
  <si>
    <t>HAPEE EXPLOSIVE MENTHOL RED 150G</t>
  </si>
  <si>
    <t>51.30</t>
  </si>
  <si>
    <t>59.00</t>
  </si>
  <si>
    <t>4808888004167</t>
  </si>
  <si>
    <t>PALMOLIVE PINK BUY 11 GET1 FREE</t>
  </si>
  <si>
    <t>4800417059518</t>
  </si>
  <si>
    <t>BENCH DAILY SCENT SPRING BREAK 75ML</t>
  </si>
  <si>
    <t>0-143751</t>
  </si>
  <si>
    <t>4800194177863</t>
  </si>
  <si>
    <t>OISHI CRISPY PATATA 85G</t>
  </si>
  <si>
    <t>26.50</t>
  </si>
  <si>
    <t>4800194177962</t>
  </si>
  <si>
    <t>OISHI PRAWN CRACKERS SPICY FLAVOR 90G</t>
  </si>
  <si>
    <t>4806517040104</t>
  </si>
  <si>
    <t>0-143752</t>
  </si>
  <si>
    <t>DELFI KNICK KNACKS DOUBLE CHOCO FLAVOR 62G</t>
  </si>
  <si>
    <t>13.02</t>
  </si>
  <si>
    <t>0-143753</t>
  </si>
  <si>
    <t>0-143754</t>
  </si>
  <si>
    <t>0-143756</t>
  </si>
  <si>
    <t>0-143758</t>
  </si>
  <si>
    <t>750515030251</t>
  </si>
  <si>
    <t>0-143759</t>
  </si>
  <si>
    <t>SKYFLAKES ONION&amp; CHIVES 10S</t>
  </si>
  <si>
    <t>69.50</t>
  </si>
  <si>
    <t>4800010075526</t>
  </si>
  <si>
    <t>CREAM-O VANILLA 300G</t>
  </si>
  <si>
    <t>68.54</t>
  </si>
  <si>
    <t>79.00</t>
  </si>
  <si>
    <t>4800010075564</t>
  </si>
  <si>
    <t>CREAM-O CHOCO FUDGE 300G</t>
  </si>
  <si>
    <t>4806502720189</t>
  </si>
  <si>
    <t>GAR BUTTER TOAST 2-SLICE PACK 50GX10</t>
  </si>
  <si>
    <t>169.10</t>
  </si>
  <si>
    <t>186.00</t>
  </si>
  <si>
    <t>0-143760</t>
  </si>
  <si>
    <t>05/23/2026</t>
  </si>
  <si>
    <t>0-143764</t>
  </si>
  <si>
    <t>0-143765</t>
  </si>
  <si>
    <t>0-143766</t>
  </si>
  <si>
    <t>0-143768</t>
  </si>
  <si>
    <t>4806500470857</t>
  </si>
  <si>
    <t>DELICIOUS SULIT PLUS SPAGHETTI 800G</t>
  </si>
  <si>
    <t>49.80</t>
  </si>
  <si>
    <t>57.50</t>
  </si>
  <si>
    <t>0-143769</t>
  </si>
  <si>
    <t>0-143771</t>
  </si>
  <si>
    <t>0-143772</t>
  </si>
  <si>
    <t>0-143773</t>
  </si>
  <si>
    <t>0-143774</t>
  </si>
  <si>
    <t>0-143775</t>
  </si>
  <si>
    <t>4806517047974</t>
  </si>
  <si>
    <t>0-143776</t>
  </si>
  <si>
    <t>GOYA BAR ALMONDS IN MILK CHOCOLATE 35G BUY2FREE1</t>
  </si>
  <si>
    <t>44.37</t>
  </si>
  <si>
    <t>4800016560927</t>
  </si>
  <si>
    <t>0-143777</t>
  </si>
  <si>
    <t>NISSIN CUP NOODLES SPICY HOT BEEF 45G</t>
  </si>
  <si>
    <t>0-143778</t>
  </si>
  <si>
    <t>0-143779</t>
  </si>
  <si>
    <t>0-143780</t>
  </si>
  <si>
    <t>0-143781</t>
  </si>
  <si>
    <t>0-143782</t>
  </si>
  <si>
    <t>0-143783</t>
  </si>
  <si>
    <t>CLMP40103-M-WHITE</t>
  </si>
  <si>
    <t>0-143784</t>
  </si>
  <si>
    <t>HANFORD MENS COMFORTER BRIEFS M (LYCRA WAISTBAND)</t>
  </si>
  <si>
    <t>314.83</t>
  </si>
  <si>
    <t>479.00</t>
  </si>
  <si>
    <t>4800047841781</t>
  </si>
  <si>
    <t>0-143786</t>
  </si>
  <si>
    <t>ZONROX COLORSAFE BLEACH BLOSSOM FRESH 95ML</t>
  </si>
  <si>
    <t>11.32</t>
  </si>
  <si>
    <t>13.25</t>
  </si>
  <si>
    <t>0-143787</t>
  </si>
  <si>
    <t>05/24/2026</t>
  </si>
  <si>
    <t>0-143789</t>
  </si>
  <si>
    <t>CLMP30003-36-WHITE</t>
  </si>
  <si>
    <t>HANFORD MENS CLASSIC BRIEFS 36</t>
  </si>
  <si>
    <t>300.83</t>
  </si>
  <si>
    <t>459.00</t>
  </si>
  <si>
    <t>CLMI54511-L-STLGREY</t>
  </si>
  <si>
    <t>HANFORD MEN SHORTS WOVEN 100% C-BARKS STEEL GRAY L</t>
  </si>
  <si>
    <t>251.30</t>
  </si>
  <si>
    <t>359.00</t>
  </si>
  <si>
    <t>4800116098023</t>
  </si>
  <si>
    <t>0-143790</t>
  </si>
  <si>
    <t>BUTTER CREAM UBE CRACKERS 10X25G</t>
  </si>
  <si>
    <t>4806502725726</t>
  </si>
  <si>
    <t>0-143791</t>
  </si>
  <si>
    <t>GAR SOFT DELIGHT PANDESAL 300G</t>
  </si>
  <si>
    <t>0-143792</t>
  </si>
  <si>
    <t>4987176040480</t>
  </si>
  <si>
    <t>HEAD &amp; SHOULDER SHAMPOO ANTIBAC 12ML</t>
  </si>
  <si>
    <t>5.43</t>
  </si>
  <si>
    <t>4807770273674</t>
  </si>
  <si>
    <t>LM PANCIT CANTON KALAMANSI 80G</t>
  </si>
  <si>
    <t>16.25</t>
  </si>
  <si>
    <t>0-143793</t>
  </si>
  <si>
    <t>4807770122705</t>
  </si>
  <si>
    <t>OTC MONDE CHOCO PUFF</t>
  </si>
  <si>
    <t>8.15</t>
  </si>
  <si>
    <t>0-143794</t>
  </si>
  <si>
    <t>4800361423601</t>
  </si>
  <si>
    <t>0-143795</t>
  </si>
  <si>
    <t>NESCAFE ORIGINAL SUGAR FREE TWIN PACK 11.5 GRAMS</t>
  </si>
  <si>
    <t>13.21</t>
  </si>
  <si>
    <t>0-143798</t>
  </si>
  <si>
    <t>0-143800</t>
  </si>
  <si>
    <t>0-143801</t>
  </si>
  <si>
    <t>8850006590348</t>
  </si>
  <si>
    <t>TENDER CARE BABY POWDER CLASSIC MILD 100G</t>
  </si>
  <si>
    <t>46.50</t>
  </si>
  <si>
    <t>53.50</t>
  </si>
  <si>
    <t>0-143802</t>
  </si>
  <si>
    <t>0-143807</t>
  </si>
  <si>
    <t>0-143808</t>
  </si>
  <si>
    <t>05/25/2026</t>
  </si>
  <si>
    <t>0-143809</t>
  </si>
  <si>
    <t>0-143810</t>
  </si>
  <si>
    <t>4806517040388</t>
  </si>
  <si>
    <t>0-143811</t>
  </si>
  <si>
    <t>DELFI KNICK KNACKS CHOCOLATE 28G</t>
  </si>
  <si>
    <t>8.53</t>
  </si>
  <si>
    <t>0-143812</t>
  </si>
  <si>
    <t>0-143814</t>
  </si>
  <si>
    <t>0-143815</t>
  </si>
  <si>
    <t>4800888607096</t>
  </si>
  <si>
    <t>LADYS CHOICE BACON SPREAD 27ML</t>
  </si>
  <si>
    <t>0-143816</t>
  </si>
  <si>
    <t>0-143819</t>
  </si>
  <si>
    <t>0-143822</t>
  </si>
  <si>
    <t>4806506318818</t>
  </si>
  <si>
    <t>0-143823</t>
  </si>
  <si>
    <t>SISTERS BUDGET PACK W/ WINGS 12 PADS</t>
  </si>
  <si>
    <t>0-143824</t>
  </si>
  <si>
    <t>0-143825</t>
  </si>
  <si>
    <t>0-143828</t>
  </si>
  <si>
    <t>4806502720011</t>
  </si>
  <si>
    <t>GAR TOASTIES BUTTER 10X25G</t>
  </si>
  <si>
    <t>83.00</t>
  </si>
  <si>
    <t>0-143829</t>
  </si>
  <si>
    <t>4800154156860</t>
  </si>
  <si>
    <t>UNI-PACK SQUID IN NATURAL INK155G</t>
  </si>
  <si>
    <t>41.72</t>
  </si>
  <si>
    <t>0-143830</t>
  </si>
  <si>
    <t>0-143831</t>
  </si>
  <si>
    <t>0-143832</t>
  </si>
  <si>
    <t>0-143833</t>
  </si>
  <si>
    <t>0-143835</t>
  </si>
  <si>
    <t>0-143836</t>
  </si>
  <si>
    <t>0-143837</t>
  </si>
  <si>
    <t>0-143838</t>
  </si>
  <si>
    <t>0-143839</t>
  </si>
  <si>
    <t>0-143842</t>
  </si>
  <si>
    <t>0-143843</t>
  </si>
  <si>
    <t>0-143845</t>
  </si>
  <si>
    <t>302.13</t>
  </si>
  <si>
    <t>362.75</t>
  </si>
  <si>
    <t>0-143846</t>
  </si>
  <si>
    <t>4902430951357</t>
  </si>
  <si>
    <t>SAFEGUARD SOAP BAR FLORAL PINK 60G</t>
  </si>
  <si>
    <t>4800888221049</t>
  </si>
  <si>
    <t>SURF POWDER ROSE FRESH 6+1</t>
  </si>
  <si>
    <t>38.25</t>
  </si>
  <si>
    <t>44.00</t>
  </si>
  <si>
    <t>4806501709352</t>
  </si>
  <si>
    <t>CALLA POWDER W/ FABCON ROSE GARDEN 45G</t>
  </si>
  <si>
    <t>6.29</t>
  </si>
  <si>
    <t>4800067600603</t>
  </si>
  <si>
    <t>ALBATROSS STRAWBERRY 50G</t>
  </si>
  <si>
    <t>43.50</t>
  </si>
  <si>
    <t>4800067600542</t>
  </si>
  <si>
    <t>ALBATROSS LEMON 50G</t>
  </si>
  <si>
    <t>0-143847</t>
  </si>
  <si>
    <t>0-143848</t>
  </si>
  <si>
    <t>4806502161364</t>
  </si>
  <si>
    <t>CHEERS TRASH BAG LARGE 10 BAGS</t>
  </si>
  <si>
    <t>53.64</t>
  </si>
  <si>
    <t>61.75</t>
  </si>
  <si>
    <t>0-143849</t>
  </si>
  <si>
    <t>4800067600580</t>
  </si>
  <si>
    <t>0-143850</t>
  </si>
  <si>
    <t>ALBATROSS SAMPAGUITA 50G</t>
  </si>
  <si>
    <t>9555222605904</t>
  </si>
  <si>
    <t>GLADE AIR FRESHENER PEONY AND BERRY BLISS 320ML</t>
  </si>
  <si>
    <t>209.30</t>
  </si>
  <si>
    <t>244.75</t>
  </si>
  <si>
    <t>4801234146061</t>
  </si>
  <si>
    <t>GLADE AIR FRESHENER FRESH LEMON VALUE PACK</t>
  </si>
  <si>
    <t>350.45</t>
  </si>
  <si>
    <t>403.25</t>
  </si>
  <si>
    <t>0-143851</t>
  </si>
  <si>
    <t>0-143853</t>
  </si>
  <si>
    <t>0-143855</t>
  </si>
  <si>
    <t>0-143856</t>
  </si>
  <si>
    <t>0-143857</t>
  </si>
  <si>
    <t>0-143858</t>
  </si>
  <si>
    <t>4806502726907</t>
  </si>
  <si>
    <t>0-143860</t>
  </si>
  <si>
    <t>GAR NEUBAKE CLASSIC WHITE BREAD SUPER SLICE 300G</t>
  </si>
  <si>
    <t>41.15</t>
  </si>
  <si>
    <t>42.00</t>
  </si>
  <si>
    <t>0-143861</t>
  </si>
  <si>
    <t>4800818801778</t>
  </si>
  <si>
    <t>PRETZEE STRAWBERRY 21 GRAMS</t>
  </si>
  <si>
    <t>6.27</t>
  </si>
  <si>
    <t>4809012413244</t>
  </si>
  <si>
    <t>0-143878</t>
  </si>
  <si>
    <t>KATINKO OIL LINIMENT 10ML</t>
  </si>
  <si>
    <t>42.87</t>
  </si>
  <si>
    <t>49.50</t>
  </si>
  <si>
    <t>0-143882</t>
  </si>
  <si>
    <t>4807770273100</t>
  </si>
  <si>
    <t>0-143883</t>
  </si>
  <si>
    <t>LM JJAMPONG FLAVOR 55G</t>
  </si>
  <si>
    <t>888123456781290</t>
  </si>
  <si>
    <t>0-143884</t>
  </si>
  <si>
    <t>CHILI GARLIC PASTE</t>
  </si>
  <si>
    <t>999056</t>
  </si>
  <si>
    <t>0-143889</t>
  </si>
  <si>
    <t>CONVIE OX WALL MOUNTED AIRCON 3.0HP</t>
  </si>
  <si>
    <t>42,000.00</t>
  </si>
  <si>
    <t>43,000.00</t>
  </si>
  <si>
    <t>999061</t>
  </si>
  <si>
    <t>CONVIE EXCESS COPPER TUBE</t>
  </si>
  <si>
    <t>500.00</t>
  </si>
  <si>
    <t>0-143890</t>
  </si>
  <si>
    <t>0-143891</t>
  </si>
  <si>
    <t>0-143892</t>
  </si>
  <si>
    <t>0-143893</t>
  </si>
  <si>
    <t>05/27/2026</t>
  </si>
  <si>
    <t>0-143895</t>
  </si>
  <si>
    <t>0-143896</t>
  </si>
  <si>
    <t>4800361000826</t>
  </si>
  <si>
    <t>NESTLE COFFEE MATE 48X5G</t>
  </si>
  <si>
    <t>90.94</t>
  </si>
  <si>
    <t>105.25</t>
  </si>
  <si>
    <t>0-143901</t>
  </si>
  <si>
    <t>6925419077969</t>
  </si>
  <si>
    <t>0-143902</t>
  </si>
  <si>
    <t>WAWANG MOSQUITO COIL 10SPIRALES</t>
  </si>
  <si>
    <t>18.98</t>
  </si>
  <si>
    <t>0-143904</t>
  </si>
  <si>
    <t>0-143905</t>
  </si>
  <si>
    <t>0-143906</t>
  </si>
  <si>
    <t>0-143909</t>
  </si>
  <si>
    <t>014285000068</t>
  </si>
  <si>
    <t>0-143911</t>
  </si>
  <si>
    <t>UFC BANANA CATSUP 320G</t>
  </si>
  <si>
    <t>30.50</t>
  </si>
  <si>
    <t>748485150093</t>
  </si>
  <si>
    <t>COCO MAMA FRESH GATA 400ML</t>
  </si>
  <si>
    <t>65.95</t>
  </si>
  <si>
    <t>76.00</t>
  </si>
  <si>
    <t>0-143912</t>
  </si>
  <si>
    <t>0-143914</t>
  </si>
  <si>
    <t>0-143915</t>
  </si>
  <si>
    <t>0-143916</t>
  </si>
  <si>
    <t>0-143917</t>
  </si>
  <si>
    <t>0-143918</t>
  </si>
  <si>
    <t>0-143919</t>
  </si>
  <si>
    <t>0-143920</t>
  </si>
  <si>
    <t>0-143921</t>
  </si>
  <si>
    <t>4800888221056</t>
  </si>
  <si>
    <t>0-143922</t>
  </si>
  <si>
    <t>SURF POWDER CHERRY BLOSSOM 6+1</t>
  </si>
  <si>
    <t>0-143923</t>
  </si>
  <si>
    <t>0-143924</t>
  </si>
  <si>
    <t>0-143925</t>
  </si>
  <si>
    <t>0-143930</t>
  </si>
  <si>
    <t>0-143931</t>
  </si>
  <si>
    <t>0-143933</t>
  </si>
  <si>
    <t>0-143934</t>
  </si>
  <si>
    <t>4806517042238</t>
  </si>
  <si>
    <t>GOYA BAR COOKIES&amp;CREAM 38G</t>
  </si>
  <si>
    <t>22.19</t>
  </si>
  <si>
    <t>0-143935</t>
  </si>
  <si>
    <t>0-143937</t>
  </si>
  <si>
    <t>49814521</t>
  </si>
  <si>
    <t>0-143938</t>
  </si>
  <si>
    <t>CHUPA CHUPS LOLLIPOPS FRUIT FLAVORED 12G</t>
  </si>
  <si>
    <t>8.38</t>
  </si>
  <si>
    <t>0-143939</t>
  </si>
  <si>
    <t>0-143940</t>
  </si>
  <si>
    <t>0-143941</t>
  </si>
  <si>
    <t>0-143944</t>
  </si>
  <si>
    <t>4806533324004</t>
  </si>
  <si>
    <t>GOYA BAR VERY BERRIES 3X30G</t>
  </si>
  <si>
    <t>8935001727675</t>
  </si>
  <si>
    <t xml:space="preserve">MENTOS FRUIT FLAVOUR </t>
  </si>
  <si>
    <t>4809013526271</t>
  </si>
  <si>
    <t>MR. GULAMAN BUKO PANDAN 24G</t>
  </si>
  <si>
    <t>0-143945</t>
  </si>
  <si>
    <t>0-143947</t>
  </si>
  <si>
    <t>0-143948</t>
  </si>
  <si>
    <t>05/28/2026</t>
  </si>
  <si>
    <t>0-143952</t>
  </si>
  <si>
    <t>4800016306013</t>
  </si>
  <si>
    <t>MAXX HONEY LEMON 200G</t>
  </si>
  <si>
    <t>0-143953</t>
  </si>
  <si>
    <t>0-143954</t>
  </si>
  <si>
    <t>0-143956</t>
  </si>
  <si>
    <t>0-143957</t>
  </si>
  <si>
    <t>4800086046598</t>
  </si>
  <si>
    <t>SEL CHOCO ALMOND FUDGE 475ML</t>
  </si>
  <si>
    <t>97.36</t>
  </si>
  <si>
    <t>112.00</t>
  </si>
  <si>
    <t>0-143959</t>
  </si>
  <si>
    <t>0-143960</t>
  </si>
  <si>
    <t>0-143963</t>
  </si>
  <si>
    <t>4800344010620</t>
  </si>
  <si>
    <t>0-143965</t>
  </si>
  <si>
    <t>SILVER SWAN PATIS 1L</t>
  </si>
  <si>
    <t>63.20</t>
  </si>
  <si>
    <t>72.75</t>
  </si>
  <si>
    <t>0-143966</t>
  </si>
  <si>
    <t>4806500473681</t>
  </si>
  <si>
    <t>0-143967</t>
  </si>
  <si>
    <t>FAVORITO MACARONI 5KL</t>
  </si>
  <si>
    <t>0-143968</t>
  </si>
  <si>
    <t>0-143970</t>
  </si>
  <si>
    <t>4806506318856</t>
  </si>
  <si>
    <t>0-143971</t>
  </si>
  <si>
    <t>SISTERS 8PADS NIGHT PLUS HEAVY FLOW W/ WINGS</t>
  </si>
  <si>
    <t>0-143972</t>
  </si>
  <si>
    <t>0-143973</t>
  </si>
  <si>
    <t>0-143974</t>
  </si>
  <si>
    <t>4800016680267</t>
  </si>
  <si>
    <t>0-143975</t>
  </si>
  <si>
    <t>HONEY BUTTER POTATO CHIPS 60G</t>
  </si>
  <si>
    <t>41.83</t>
  </si>
  <si>
    <t>0-143976</t>
  </si>
  <si>
    <t>0-143978</t>
  </si>
  <si>
    <t>4800888218940</t>
  </si>
  <si>
    <t>SURF POWDER ANTIBACTERIAL 60G</t>
  </si>
  <si>
    <t>0-143979</t>
  </si>
  <si>
    <t>0-143981</t>
  </si>
  <si>
    <t>0-143982</t>
  </si>
  <si>
    <t>0-143983</t>
  </si>
  <si>
    <t>0-143984</t>
  </si>
  <si>
    <t>0-143986</t>
  </si>
  <si>
    <t>0-143989</t>
  </si>
  <si>
    <t>0-143990</t>
  </si>
  <si>
    <t>0-143991</t>
  </si>
  <si>
    <t>0-143993</t>
  </si>
  <si>
    <t>0-143995</t>
  </si>
  <si>
    <t>999040</t>
  </si>
  <si>
    <t>0-143997</t>
  </si>
  <si>
    <t>CONVIE WATER DISPENSER -HFSWD 750SS</t>
  </si>
  <si>
    <t>6,000.00</t>
  </si>
  <si>
    <t>6,500.00</t>
  </si>
  <si>
    <t>0-143999</t>
  </si>
  <si>
    <t>84.85</t>
  </si>
  <si>
    <t>58.95</t>
  </si>
  <si>
    <t>4800361396677</t>
  </si>
  <si>
    <t>0-144000</t>
  </si>
  <si>
    <t>NESTLE BEARBRAND ADULT SWAK PACK 33G</t>
  </si>
  <si>
    <t>0-144001</t>
  </si>
  <si>
    <t>0-144005</t>
  </si>
  <si>
    <t>0-144006</t>
  </si>
  <si>
    <t>0-144007</t>
  </si>
  <si>
    <t>0-144008</t>
  </si>
  <si>
    <t>0-144009</t>
  </si>
  <si>
    <t>0-144010</t>
  </si>
  <si>
    <t>8991001111982</t>
  </si>
  <si>
    <t>0-144011</t>
  </si>
  <si>
    <t>GOYA TAKE IT 4 FINGERS 35G</t>
  </si>
  <si>
    <t>27.49</t>
  </si>
  <si>
    <t>31.75</t>
  </si>
  <si>
    <t>0-144012</t>
  </si>
  <si>
    <t>4807770274473</t>
  </si>
  <si>
    <t>0-144013</t>
  </si>
  <si>
    <t>LM PANCIT CANTON SWEET &amp; SPICY KASALO PACK 120G</t>
  </si>
  <si>
    <t>0-144014</t>
  </si>
  <si>
    <t>05/30/2026</t>
  </si>
  <si>
    <t>0-144017</t>
  </si>
  <si>
    <t>0-144018</t>
  </si>
  <si>
    <t>0-144019</t>
  </si>
  <si>
    <t>4800139990212</t>
  </si>
  <si>
    <t>0-144020</t>
  </si>
  <si>
    <t>JELLIYUM ICE POP 8PCS</t>
  </si>
  <si>
    <t>25.75</t>
  </si>
  <si>
    <t>4800361339186</t>
  </si>
  <si>
    <t>0-144025</t>
  </si>
  <si>
    <t>NESCAFE CLASSIC 25G</t>
  </si>
  <si>
    <t>25.69</t>
  </si>
  <si>
    <t>0-144026</t>
  </si>
  <si>
    <t>0-144027</t>
  </si>
  <si>
    <t>0-144030</t>
  </si>
  <si>
    <t>0-144031</t>
  </si>
  <si>
    <t>4902430945554</t>
  </si>
  <si>
    <t>0-144032</t>
  </si>
  <si>
    <t>SAFEGUARD SOAP BAR PURE WHITE 60G</t>
  </si>
  <si>
    <t>19.61</t>
  </si>
  <si>
    <t>4800016661006</t>
  </si>
  <si>
    <t>0-144033</t>
  </si>
  <si>
    <t>ROLLER COASTER CHEDDAR CHEESE 24G</t>
  </si>
  <si>
    <t>4807770272813</t>
  </si>
  <si>
    <t>LM LA PAZ BATCHOY 55G</t>
  </si>
  <si>
    <t>17.75</t>
  </si>
  <si>
    <t>4807770100697</t>
  </si>
  <si>
    <t>BINGO VANILLA 280G</t>
  </si>
  <si>
    <t>4800888199133</t>
  </si>
  <si>
    <t>0-144034</t>
  </si>
  <si>
    <t>SURF POWDER PURPLE BLOSSOMS 57G</t>
  </si>
  <si>
    <t>0-144036</t>
  </si>
  <si>
    <t>0-144037</t>
  </si>
  <si>
    <t>0-144038</t>
  </si>
  <si>
    <t>0-144042</t>
  </si>
  <si>
    <t>0-144046</t>
  </si>
  <si>
    <t>0-144047</t>
  </si>
  <si>
    <t>0-144048</t>
  </si>
  <si>
    <t>0-144049</t>
  </si>
  <si>
    <t>9557727929202</t>
  </si>
  <si>
    <t>0-144050</t>
  </si>
  <si>
    <t>DOREEN SWEETENED CONDENSED CREAMER 390G</t>
  </si>
  <si>
    <t>44.79</t>
  </si>
  <si>
    <t>0-144051</t>
  </si>
  <si>
    <t>0-144052</t>
  </si>
  <si>
    <t>0-144054</t>
  </si>
  <si>
    <t>4807770122903</t>
  </si>
  <si>
    <t>0-144055</t>
  </si>
  <si>
    <t>MONDE BANANA BAR 10X20G</t>
  </si>
  <si>
    <t>85.25</t>
  </si>
  <si>
    <t>98.25</t>
  </si>
  <si>
    <t>0-144060</t>
  </si>
  <si>
    <t>0-144062</t>
  </si>
  <si>
    <t>4800552888059</t>
  </si>
  <si>
    <t>CHIPS DELIGHT CHOCOLATE CHIP COOKIES 80G</t>
  </si>
  <si>
    <t>30.04</t>
  </si>
  <si>
    <t>34.75</t>
  </si>
  <si>
    <t>0-144063</t>
  </si>
  <si>
    <t>0-144065</t>
  </si>
  <si>
    <t>sale 5/29/2026</t>
  </si>
  <si>
    <t>GENERAL ASSEMBLY UNCLAIMED RAFFLES (14 RED ECOBAGS)</t>
  </si>
  <si>
    <t>MAY SALES</t>
  </si>
  <si>
    <t>ENDING BALANCE</t>
  </si>
  <si>
    <t>BARCODE</t>
  </si>
  <si>
    <t>QTY</t>
  </si>
  <si>
    <t>COST</t>
  </si>
  <si>
    <t>SRP</t>
  </si>
  <si>
    <t>PC/S</t>
  </si>
  <si>
    <t>UNI-PAK MACKEREL IN NATURAL OIL 155G</t>
  </si>
  <si>
    <t>88812345678 1954</t>
  </si>
  <si>
    <t>ECO BAG LARGE</t>
  </si>
  <si>
    <t>RECLASS</t>
  </si>
  <si>
    <t>TO RECLASS SALES FOR UNCLAIMED RAFFLE ITEMS IN GENERAL ASSEMBLY.</t>
  </si>
  <si>
    <t>Debit</t>
  </si>
  <si>
    <t>Credit</t>
  </si>
  <si>
    <t xml:space="preserve">       MISCELLANEOUS INCOME</t>
  </si>
  <si>
    <t>May 2026</t>
  </si>
  <si>
    <t>JUNE 2026</t>
  </si>
  <si>
    <t>06/01/2026</t>
  </si>
  <si>
    <t>0-144075</t>
  </si>
  <si>
    <t>8998866605076</t>
  </si>
  <si>
    <t>0-144076</t>
  </si>
  <si>
    <t>WINGS TOTAL CARE W/ LAUNDRY SANITIZER 60G</t>
  </si>
  <si>
    <t>4800047841040</t>
  </si>
  <si>
    <t>DEL FABCON BLOSSOM RUSH 22ML</t>
  </si>
  <si>
    <t>4800010075922</t>
  </si>
  <si>
    <t>PRESTO CREAMS PEANUT BUTTER 300G</t>
  </si>
  <si>
    <t>0-144078</t>
  </si>
  <si>
    <t>0-144079</t>
  </si>
  <si>
    <t>0-144080</t>
  </si>
  <si>
    <t>4800888151100</t>
  </si>
  <si>
    <t>REXONA WOMEN DEO LOTION PASSION 3ML</t>
  </si>
  <si>
    <t>4800888147240</t>
  </si>
  <si>
    <t>CLOSE UP MENTHOL FRESH 2X11G</t>
  </si>
  <si>
    <t>4902430513074</t>
  </si>
  <si>
    <t>DOWNY GARDEN BLOOM TRIPID PACK 66ML</t>
  </si>
  <si>
    <t>0-144081</t>
  </si>
  <si>
    <t>4800620114011</t>
  </si>
  <si>
    <t>0-144082</t>
  </si>
  <si>
    <t>HAWHAW MILK CANDY 140G.</t>
  </si>
  <si>
    <t>0-144083</t>
  </si>
  <si>
    <t>0-144084</t>
  </si>
  <si>
    <t>0-144092</t>
  </si>
  <si>
    <t>0-144093</t>
  </si>
  <si>
    <t>4806505854416</t>
  </si>
  <si>
    <t>0-144094</t>
  </si>
  <si>
    <t>CHICK BOY TEXAS SMOKED BBQ FLAVOR 100G</t>
  </si>
  <si>
    <t>4806502352397</t>
  </si>
  <si>
    <t>SANICARE CLEANSING WIPES 15S</t>
  </si>
  <si>
    <t>0-144095</t>
  </si>
  <si>
    <t>0-144098</t>
  </si>
  <si>
    <t>06/02/2026</t>
  </si>
  <si>
    <t>0-144099</t>
  </si>
  <si>
    <t>0-144101</t>
  </si>
  <si>
    <t>4800888283122</t>
  </si>
  <si>
    <t>0-144102</t>
  </si>
  <si>
    <t xml:space="preserve">CREAM SILK HAIR FALL DEFENSE 2 WASH PACK 22ML </t>
  </si>
  <si>
    <t>0-144103</t>
  </si>
  <si>
    <t>0-144104</t>
  </si>
  <si>
    <t>0-144105</t>
  </si>
  <si>
    <t>0-144106</t>
  </si>
  <si>
    <t>0-144107</t>
  </si>
  <si>
    <t>0-144110</t>
  </si>
  <si>
    <t>0-144111</t>
  </si>
  <si>
    <t>0-144113</t>
  </si>
  <si>
    <t>0-144114</t>
  </si>
  <si>
    <t>4800417005218</t>
  </si>
  <si>
    <t>0-144115</t>
  </si>
  <si>
    <t>BENCH EIGHT BODY SPRAY 75ML</t>
  </si>
  <si>
    <t>0-144118</t>
  </si>
  <si>
    <t>0-144119</t>
  </si>
  <si>
    <t>0-144120</t>
  </si>
  <si>
    <t>06/02/2027</t>
  </si>
  <si>
    <t>4902430634014</t>
  </si>
  <si>
    <t>0-144121</t>
  </si>
  <si>
    <t>PANTENE HAIR FALL CONTROL SUPPLEMENT CONDITIONER 13ML</t>
  </si>
  <si>
    <t>06/02/2028</t>
  </si>
  <si>
    <t>4800888141194</t>
  </si>
  <si>
    <t>CLEAR COMPLETE SOFT CARE 13ML</t>
  </si>
  <si>
    <t>06/03/2026</t>
  </si>
  <si>
    <t>8935102111335</t>
  </si>
  <si>
    <t>0-144123</t>
  </si>
  <si>
    <t>COLGATE CLASSIC TOOTHBRUSH MEDIUM 2S</t>
  </si>
  <si>
    <t>0-144126</t>
  </si>
  <si>
    <t>0-144127</t>
  </si>
  <si>
    <t>0-144128</t>
  </si>
  <si>
    <t>9780201679625</t>
  </si>
  <si>
    <t>HOME RECIPE - PEANUT BUTTER 250G</t>
  </si>
  <si>
    <t>4801668601914</t>
  </si>
  <si>
    <t>0-144131</t>
  </si>
  <si>
    <t>DATU PUTI VINEGAR 3.785L</t>
  </si>
  <si>
    <t>0-144132</t>
  </si>
  <si>
    <t>4800065113112</t>
  </si>
  <si>
    <t>0-144133</t>
  </si>
  <si>
    <t>COMMANDO SAFETY MATCHES 10S</t>
  </si>
  <si>
    <t>0-144134</t>
  </si>
  <si>
    <t>4800620110051</t>
  </si>
  <si>
    <t>0-144135</t>
  </si>
  <si>
    <t>SUPERLAMIG CANDY</t>
  </si>
  <si>
    <t>0-144136</t>
  </si>
  <si>
    <t>0-144138</t>
  </si>
  <si>
    <t>0-144140</t>
  </si>
  <si>
    <t>0-144143</t>
  </si>
  <si>
    <t>0-144147</t>
  </si>
  <si>
    <t>0-144148</t>
  </si>
  <si>
    <t>4800054111228</t>
  </si>
  <si>
    <t>0-144149</t>
  </si>
  <si>
    <t>GROWERS GARLIC FLAVOR PEANUTS 30G</t>
  </si>
  <si>
    <t>0-144150</t>
  </si>
  <si>
    <t>0-144152</t>
  </si>
  <si>
    <t>0-144155</t>
  </si>
  <si>
    <t>0-144157</t>
  </si>
  <si>
    <t>0-144158</t>
  </si>
  <si>
    <t>0-144160</t>
  </si>
  <si>
    <t>0-144161</t>
  </si>
  <si>
    <t>0-144162</t>
  </si>
  <si>
    <t>0-144163</t>
  </si>
  <si>
    <t>06/04/2026</t>
  </si>
  <si>
    <t>0-144164</t>
  </si>
  <si>
    <t>4902430803694</t>
  </si>
  <si>
    <t>0-144165</t>
  </si>
  <si>
    <t xml:space="preserve">SAFEGUARD LEMON FRESH </t>
  </si>
  <si>
    <t>0-144166</t>
  </si>
  <si>
    <t>4807770122262</t>
  </si>
  <si>
    <t>0-144167</t>
  </si>
  <si>
    <t>NISSIN WAFER CHOCO KING SIZE 220G</t>
  </si>
  <si>
    <t>0-144168</t>
  </si>
  <si>
    <t>4807770270024</t>
  </si>
  <si>
    <t>0-144169</t>
  </si>
  <si>
    <t>LM CHICKEN 55G</t>
  </si>
  <si>
    <t>0-144173</t>
  </si>
  <si>
    <t>0-144174</t>
  </si>
  <si>
    <t>4987176285232</t>
  </si>
  <si>
    <t>JOY KALAMANSI DISHWASHING LIQUID 540ML</t>
  </si>
  <si>
    <t>4800361393669</t>
  </si>
  <si>
    <t>NESCAFE CLASSIC 200G</t>
  </si>
  <si>
    <t>0-144178</t>
  </si>
  <si>
    <t>750515030206</t>
  </si>
  <si>
    <t>SKYFLAKES GARLIC 10S 250G</t>
  </si>
  <si>
    <t>4807770100611</t>
  </si>
  <si>
    <t>BINGO DOUBLE CHOCO 280G</t>
  </si>
  <si>
    <t>4808647010033</t>
  </si>
  <si>
    <t>CHEEZ WHIZ ORIGINAL 440G</t>
  </si>
  <si>
    <t>0-144180</t>
  </si>
  <si>
    <t>0-144181</t>
  </si>
  <si>
    <t>4800552888080</t>
  </si>
  <si>
    <t>0-144182</t>
  </si>
  <si>
    <t>CHIPS DELIGHT PARTY PACK COOKIES 130G</t>
  </si>
  <si>
    <t>0-144183</t>
  </si>
  <si>
    <t>4806506318917</t>
  </si>
  <si>
    <t>0-144184</t>
  </si>
  <si>
    <t>SISTERS PANTYLINERS 20+2 LINERS</t>
  </si>
  <si>
    <t>0-144187</t>
  </si>
  <si>
    <t>0-144188</t>
  </si>
  <si>
    <t>0-144189</t>
  </si>
  <si>
    <t>0-144192</t>
  </si>
  <si>
    <t>0-144193</t>
  </si>
  <si>
    <t>0-144194</t>
  </si>
  <si>
    <t>06/05/2026</t>
  </si>
  <si>
    <t>0-144195</t>
  </si>
  <si>
    <t>0-144196</t>
  </si>
  <si>
    <t>0-144198</t>
  </si>
  <si>
    <t>0-144218</t>
  </si>
  <si>
    <t>4806502161340</t>
  </si>
  <si>
    <t>CHEERS TRASH BAGS SMALL 10S</t>
  </si>
  <si>
    <t>0-144219</t>
  </si>
  <si>
    <t>0-144221</t>
  </si>
  <si>
    <t>0-144224</t>
  </si>
  <si>
    <t>0-144225</t>
  </si>
  <si>
    <t>0-144226</t>
  </si>
  <si>
    <t>0-144227</t>
  </si>
  <si>
    <t>0-144228</t>
  </si>
  <si>
    <t>0-144229</t>
  </si>
  <si>
    <t>0-144230</t>
  </si>
  <si>
    <t>0-144233</t>
  </si>
  <si>
    <t>0-144234</t>
  </si>
  <si>
    <t>06/06/2026</t>
  </si>
  <si>
    <t>0-144236</t>
  </si>
  <si>
    <t>0-144239</t>
  </si>
  <si>
    <t>0-144241</t>
  </si>
  <si>
    <t>8850006493038</t>
  </si>
  <si>
    <t>PALMOLIVE ULTRA SMOOTH 15ML</t>
  </si>
  <si>
    <t>0-144242</t>
  </si>
  <si>
    <t>0-144243</t>
  </si>
  <si>
    <t>0-144244</t>
  </si>
  <si>
    <t>0-144245</t>
  </si>
  <si>
    <t>4806500802528</t>
  </si>
  <si>
    <t>0-144248</t>
  </si>
  <si>
    <t>MAGIC PANTS PULL-UPS XXL 10S</t>
  </si>
  <si>
    <t>4800054112287</t>
  </si>
  <si>
    <t>0-144251</t>
  </si>
  <si>
    <t>GROWERS SAVOURY HOT PEANUTS 80G</t>
  </si>
  <si>
    <t>00018</t>
  </si>
  <si>
    <t>0-144252</t>
  </si>
  <si>
    <t>CONVIE ROYAL 1.5</t>
  </si>
  <si>
    <t>0-144254</t>
  </si>
  <si>
    <t>0-144255</t>
  </si>
  <si>
    <t>4800249908848</t>
  </si>
  <si>
    <t>CDO KARNE NORTE CLASSIC GUISADO 150G</t>
  </si>
  <si>
    <t>4809013526318</t>
  </si>
  <si>
    <t>MR. GULAMAN RED 25G</t>
  </si>
  <si>
    <t>4807770121326</t>
  </si>
  <si>
    <t>0-144257</t>
  </si>
  <si>
    <t>OTC MONDE SPECIAL MAMON CLASSIC 43G</t>
  </si>
  <si>
    <t>0-144258</t>
  </si>
  <si>
    <t>0-144259</t>
  </si>
  <si>
    <t>0-144261</t>
  </si>
  <si>
    <t>75051030176</t>
  </si>
  <si>
    <t>OTC SKYFLAKES ONION &amp; CHIVES</t>
  </si>
  <si>
    <t>0-144262</t>
  </si>
  <si>
    <t>0-144265</t>
  </si>
  <si>
    <t>0-144266</t>
  </si>
  <si>
    <t>0-144267</t>
  </si>
  <si>
    <t>0-144268</t>
  </si>
  <si>
    <t>4800086050267</t>
  </si>
  <si>
    <t>0-144269</t>
  </si>
  <si>
    <t>SEL ORANGE BLAST 45ML</t>
  </si>
  <si>
    <t>0-144270</t>
  </si>
  <si>
    <t>4800249006599</t>
  </si>
  <si>
    <t>0-144271</t>
  </si>
  <si>
    <t>SM PLAIN CORNED TUNA 100G</t>
  </si>
  <si>
    <t>0-144272</t>
  </si>
  <si>
    <t>0-144273</t>
  </si>
  <si>
    <t>0-144275</t>
  </si>
  <si>
    <t>0-144276</t>
  </si>
  <si>
    <t>0-144277</t>
  </si>
  <si>
    <t>06/07/2026</t>
  </si>
  <si>
    <t>0-144278</t>
  </si>
  <si>
    <t>0-144280</t>
  </si>
  <si>
    <t>0-144281</t>
  </si>
  <si>
    <t>0-144282</t>
  </si>
  <si>
    <t>0-144283</t>
  </si>
  <si>
    <t>4800016551598</t>
  </si>
  <si>
    <t>0-144289</t>
  </si>
  <si>
    <t>NISSIN RAMEN SEAFOOD 55G</t>
  </si>
  <si>
    <t>4806518846040</t>
  </si>
  <si>
    <t>HONEY HOUSE MINI 30X10S 25G</t>
  </si>
  <si>
    <t>4800086046987</t>
  </si>
  <si>
    <t>SEL CREAMDAE CUPS CHOCO 100ML</t>
  </si>
  <si>
    <t>4800024581105</t>
  </si>
  <si>
    <t>DM JUICE DRINK PINEAPPLE ACE 6S</t>
  </si>
  <si>
    <t>0-144291</t>
  </si>
  <si>
    <t>0-144297</t>
  </si>
  <si>
    <t>0-144298</t>
  </si>
  <si>
    <t>0-144302</t>
  </si>
  <si>
    <t>0-144304</t>
  </si>
  <si>
    <t>4800016561269</t>
  </si>
  <si>
    <t>NISSIN RAMEN SPICY HOT BEEF 62G</t>
  </si>
  <si>
    <t>4807770273698</t>
  </si>
  <si>
    <t>LM PANCIT CANTON CHILIMANSI 80G</t>
  </si>
  <si>
    <t>4800134101019</t>
  </si>
  <si>
    <t>MASTER GREEN IN RICHER TOMATO SAUCE 155G</t>
  </si>
  <si>
    <t>4800016012266</t>
  </si>
  <si>
    <t>GREAT TASTE PREMIUM 25G</t>
  </si>
  <si>
    <t>4800818809712</t>
  </si>
  <si>
    <t>CHAMPI CHOCOFILLED CHEWY CHOCOLATE CANDY 165G</t>
  </si>
  <si>
    <t>8850006325216</t>
  </si>
  <si>
    <t>COLGATE ORIGINAL TWINPACK 24G</t>
  </si>
  <si>
    <t>4800888181077</t>
  </si>
  <si>
    <t>CREAMSILK CONDITIONER PINK BUY 11 GET 1 FREE 12ML</t>
  </si>
  <si>
    <t>4800214061271</t>
  </si>
  <si>
    <t>0-144305</t>
  </si>
  <si>
    <t>MENTOS MINT CANDY 50 PCS 135G</t>
  </si>
  <si>
    <t>0-144306</t>
  </si>
  <si>
    <t>0-144310</t>
  </si>
  <si>
    <t>0-144311</t>
  </si>
  <si>
    <t>4807770100529</t>
  </si>
  <si>
    <t>BUTTER COCONUT 168G</t>
  </si>
  <si>
    <t>06/08/2026</t>
  </si>
  <si>
    <t>0-144313</t>
  </si>
  <si>
    <t>0-144319</t>
  </si>
  <si>
    <t>0-144320</t>
  </si>
  <si>
    <t>888123456781387</t>
  </si>
  <si>
    <t>OTC DIATABS</t>
  </si>
  <si>
    <t>0-144322</t>
  </si>
  <si>
    <t>0-144324</t>
  </si>
  <si>
    <t>0-144325</t>
  </si>
  <si>
    <t>0-144326</t>
  </si>
  <si>
    <t>0-144327</t>
  </si>
  <si>
    <t>0-144328</t>
  </si>
  <si>
    <t>0-144329</t>
  </si>
  <si>
    <t>0-144330</t>
  </si>
  <si>
    <t>0-144334</t>
  </si>
  <si>
    <t>0-144337</t>
  </si>
  <si>
    <t>0-144338</t>
  </si>
  <si>
    <t>06/09/2026</t>
  </si>
  <si>
    <t>0-144340</t>
  </si>
  <si>
    <t>0-144341</t>
  </si>
  <si>
    <t>4800888209634</t>
  </si>
  <si>
    <t>SUNSILK SHAMPOO COCONUT HYDRATION 11ML</t>
  </si>
  <si>
    <t>0-144342</t>
  </si>
  <si>
    <t>0-144349</t>
  </si>
  <si>
    <t>4807770274275</t>
  </si>
  <si>
    <t>LM PANCIT CANTON KALAMANSI KASALO PACK 120G</t>
  </si>
  <si>
    <t>0-144350</t>
  </si>
  <si>
    <t>0-144351</t>
  </si>
  <si>
    <t>0-144354</t>
  </si>
  <si>
    <t>0-144355</t>
  </si>
  <si>
    <t>0-144356</t>
  </si>
  <si>
    <t>0-144357</t>
  </si>
  <si>
    <t>0-144358</t>
  </si>
  <si>
    <t>750515031029</t>
  </si>
  <si>
    <t>0-144359</t>
  </si>
  <si>
    <t>OTC SKYFLAKES TSOKOLATE</t>
  </si>
  <si>
    <t>750515031067</t>
  </si>
  <si>
    <t>OTC SKYFLAKES SWEET BUTTER 30G</t>
  </si>
  <si>
    <t>0-144363</t>
  </si>
  <si>
    <t>0-144364</t>
  </si>
  <si>
    <t>0-144365</t>
  </si>
  <si>
    <t>4800054113284</t>
  </si>
  <si>
    <t>0-144366</t>
  </si>
  <si>
    <t>GROWERS ORIENTAL FLAVOR PEANUTS 80G</t>
  </si>
  <si>
    <t>0-144368</t>
  </si>
  <si>
    <t>0-144372</t>
  </si>
  <si>
    <t>4800047841408</t>
  </si>
  <si>
    <t>0-144373</t>
  </si>
  <si>
    <t>DEL FABRIC SOFTENER BLOSSOM FRESH 1000ML</t>
  </si>
  <si>
    <t>0-144376</t>
  </si>
  <si>
    <t>8410028902477</t>
  </si>
  <si>
    <t>0-144378</t>
  </si>
  <si>
    <t>ALFONSO I LIGHT 500ML 25%VOL</t>
  </si>
  <si>
    <t>8410162100234</t>
  </si>
  <si>
    <t>FUNDADOR LIGHT 1L</t>
  </si>
  <si>
    <t>0-144379</t>
  </si>
  <si>
    <t>0-144380</t>
  </si>
  <si>
    <t>0-144381</t>
  </si>
  <si>
    <t>0-144382</t>
  </si>
  <si>
    <t>0-144384</t>
  </si>
  <si>
    <t>0-144385</t>
  </si>
  <si>
    <t>0-144386</t>
  </si>
  <si>
    <t>0-144388</t>
  </si>
  <si>
    <t>0-144389</t>
  </si>
  <si>
    <t>0-144390</t>
  </si>
  <si>
    <t>4800344001628</t>
  </si>
  <si>
    <t>0-144391</t>
  </si>
  <si>
    <t>SILVER SWAN SOY SAUCE 1L</t>
  </si>
  <si>
    <t>0-144392</t>
  </si>
  <si>
    <t>0-144393</t>
  </si>
  <si>
    <t>0-144394</t>
  </si>
  <si>
    <t>0-144395</t>
  </si>
  <si>
    <t>0-144396</t>
  </si>
  <si>
    <t>0-144397</t>
  </si>
  <si>
    <t>0-144398</t>
  </si>
  <si>
    <t>0-144401</t>
  </si>
  <si>
    <t>0-144402</t>
  </si>
  <si>
    <t>0-144403</t>
  </si>
  <si>
    <t>0-144404</t>
  </si>
  <si>
    <t>0-144405</t>
  </si>
  <si>
    <t>0-144406</t>
  </si>
  <si>
    <t>4800575144958</t>
  </si>
  <si>
    <t>0-144410</t>
  </si>
  <si>
    <t>COWBELL EVAPSARAP 360NL</t>
  </si>
  <si>
    <t>4801668606575</t>
  </si>
  <si>
    <t>UFC CREAM STYLE CORN 425GRAMS</t>
  </si>
  <si>
    <t>0-144411</t>
  </si>
  <si>
    <t>0-144413</t>
  </si>
  <si>
    <t>0-144416</t>
  </si>
  <si>
    <t>0-144418</t>
  </si>
  <si>
    <t>0-144204</t>
  </si>
  <si>
    <t>0-144205</t>
  </si>
  <si>
    <t>0-144206</t>
  </si>
  <si>
    <t>0-144207</t>
  </si>
  <si>
    <t>0-144208</t>
  </si>
  <si>
    <t>0-144209</t>
  </si>
  <si>
    <t>0-144210</t>
  </si>
  <si>
    <t>0-144212</t>
  </si>
  <si>
    <t>0-144213</t>
  </si>
  <si>
    <t>0-144214</t>
  </si>
  <si>
    <t>70110</t>
  </si>
  <si>
    <t>0-144215</t>
  </si>
  <si>
    <t>0-144217</t>
  </si>
  <si>
    <t>0-144222</t>
  </si>
  <si>
    <t>0-144223</t>
  </si>
  <si>
    <t>0-144317</t>
  </si>
  <si>
    <t>0-144321</t>
  </si>
  <si>
    <t>PRINTING ISYNERGIES T-SHIRT W/ DTF PRINT</t>
  </si>
  <si>
    <t>0-144417</t>
  </si>
  <si>
    <t>06/11/2026</t>
  </si>
  <si>
    <t>4800361388252</t>
  </si>
  <si>
    <t>4806517042085</t>
  </si>
  <si>
    <t>4800361423588</t>
  </si>
  <si>
    <t>4800086005610</t>
  </si>
  <si>
    <t>0-144419</t>
  </si>
  <si>
    <t>0-144420</t>
  </si>
  <si>
    <t>0-144421</t>
  </si>
  <si>
    <t>0-144422</t>
  </si>
  <si>
    <t>0-144423</t>
  </si>
  <si>
    <t>0-144424</t>
  </si>
  <si>
    <t>0-144425</t>
  </si>
  <si>
    <t>0-144426</t>
  </si>
  <si>
    <t>0-144429</t>
  </si>
  <si>
    <t>0-144430</t>
  </si>
  <si>
    <t>0-144431</t>
  </si>
  <si>
    <t>0-144432</t>
  </si>
  <si>
    <t>0-144441</t>
  </si>
  <si>
    <t>0-144442</t>
  </si>
  <si>
    <t>0-144444</t>
  </si>
  <si>
    <t>0-144445</t>
  </si>
  <si>
    <t>0-144447</t>
  </si>
  <si>
    <t>0-144449</t>
  </si>
  <si>
    <t>0-144450</t>
  </si>
  <si>
    <t>0-144453</t>
  </si>
  <si>
    <t>0-144454</t>
  </si>
  <si>
    <t>0-144456</t>
  </si>
  <si>
    <t>0-144457</t>
  </si>
  <si>
    <t>0-144458</t>
  </si>
  <si>
    <t>0-144459</t>
  </si>
  <si>
    <t>0-144460</t>
  </si>
  <si>
    <t>NESCAFE CLASSIC 1.9GX48</t>
  </si>
  <si>
    <t>GOYA BAR DARK CHOCOLATE 30G</t>
  </si>
  <si>
    <t>NESCAFE CREAMY WHITE SUGAR FREE TWIN PACK 11.2 GRAMS</t>
  </si>
  <si>
    <t>MAGNUM VANILLA ALMOND 80ML</t>
  </si>
  <si>
    <t>06/12/2026</t>
  </si>
  <si>
    <t>06/13/2026</t>
  </si>
  <si>
    <t>06/14/2026</t>
  </si>
  <si>
    <t>4800047847295</t>
  </si>
  <si>
    <t>4808888200583</t>
  </si>
  <si>
    <t>4800024558268</t>
  </si>
  <si>
    <t>4800086050168</t>
  </si>
  <si>
    <t>4800086045973</t>
  </si>
  <si>
    <t>4807770120770</t>
  </si>
  <si>
    <t>6920354823985</t>
  </si>
  <si>
    <t>0-144461</t>
  </si>
  <si>
    <t>0-144462</t>
  </si>
  <si>
    <t>0-144463</t>
  </si>
  <si>
    <t>0-144464</t>
  </si>
  <si>
    <t>0-144466</t>
  </si>
  <si>
    <t>0-144467</t>
  </si>
  <si>
    <t>0-144468</t>
  </si>
  <si>
    <t>0-144469</t>
  </si>
  <si>
    <t>0-144470</t>
  </si>
  <si>
    <t>0-144471</t>
  </si>
  <si>
    <t>0-144472</t>
  </si>
  <si>
    <t>0-144473</t>
  </si>
  <si>
    <t>0-144474</t>
  </si>
  <si>
    <t>0-144475</t>
  </si>
  <si>
    <t>0-144476</t>
  </si>
  <si>
    <t>0-144477</t>
  </si>
  <si>
    <t>0-144482</t>
  </si>
  <si>
    <t>0-144483</t>
  </si>
  <si>
    <t>0-144484</t>
  </si>
  <si>
    <t>0-144486</t>
  </si>
  <si>
    <t>0-144487</t>
  </si>
  <si>
    <t>0-144489</t>
  </si>
  <si>
    <t>0-144490</t>
  </si>
  <si>
    <t>0-144491</t>
  </si>
  <si>
    <t>0-144492</t>
  </si>
  <si>
    <t>0-144493</t>
  </si>
  <si>
    <t>0-144494</t>
  </si>
  <si>
    <t>0-144495</t>
  </si>
  <si>
    <t>0-144496</t>
  </si>
  <si>
    <t>0-144497</t>
  </si>
  <si>
    <t>0-144498</t>
  </si>
  <si>
    <t>0-144499</t>
  </si>
  <si>
    <t>0-144500</t>
  </si>
  <si>
    <t>0-144501</t>
  </si>
  <si>
    <t>0-144502</t>
  </si>
  <si>
    <t>0-144503</t>
  </si>
  <si>
    <t>0-144504</t>
  </si>
  <si>
    <t>0-144505</t>
  </si>
  <si>
    <t>0-144506</t>
  </si>
  <si>
    <t>0-144507</t>
  </si>
  <si>
    <t>0-144508</t>
  </si>
  <si>
    <t>0-144509</t>
  </si>
  <si>
    <t>0-144513</t>
  </si>
  <si>
    <t>0-144514</t>
  </si>
  <si>
    <t>0-144519</t>
  </si>
  <si>
    <t>0-144520</t>
  </si>
  <si>
    <t>0-144522</t>
  </si>
  <si>
    <t>0-144523</t>
  </si>
  <si>
    <t>0-144526</t>
  </si>
  <si>
    <t>0-144527</t>
  </si>
  <si>
    <t>0-144528</t>
  </si>
  <si>
    <t>0-144530</t>
  </si>
  <si>
    <t>0-144533</t>
  </si>
  <si>
    <t>0-144538</t>
  </si>
  <si>
    <t>0-144541</t>
  </si>
  <si>
    <t>0-144542</t>
  </si>
  <si>
    <t>0-144544</t>
  </si>
  <si>
    <t>ZONROX MULTI CLEAN FLORAL BLAST 450ML</t>
  </si>
  <si>
    <t>COLGATE CLASSIC CHILD BRUSH</t>
  </si>
  <si>
    <t>TODAYS MIXED FRUIT 836G</t>
  </si>
  <si>
    <t>SEL CRUNCHY MAX 65ML</t>
  </si>
  <si>
    <t>SEL WATERMELON SLICE STICK 60ML</t>
  </si>
  <si>
    <t>SUMO MINI COOKIES&amp;CREAM 10X20G</t>
  </si>
  <si>
    <t>COLGATE FRESH CONFIDENCE COOL MENTHOL FRESH 2X175G</t>
  </si>
  <si>
    <t>70292</t>
  </si>
  <si>
    <t>0-144571</t>
  </si>
  <si>
    <t>PRINTING LPEMC TARPAULIN 3X6FT</t>
  </si>
  <si>
    <t>PRINTING LPEMC POLO SHIRT W/ EMBROIDERY</t>
  </si>
  <si>
    <t>PRINTING LPEMC T-SHIRT W/ DTF PRINT</t>
  </si>
  <si>
    <t>06/15/2026</t>
  </si>
  <si>
    <t>4902430934800</t>
  </si>
  <si>
    <t>4800361393621</t>
  </si>
  <si>
    <t>750515031517</t>
  </si>
  <si>
    <t>4806502726532</t>
  </si>
  <si>
    <t>096785013038</t>
  </si>
  <si>
    <t>4800067600740</t>
  </si>
  <si>
    <t>4987176285249</t>
  </si>
  <si>
    <t>0-144545</t>
  </si>
  <si>
    <t>0-144546</t>
  </si>
  <si>
    <t>0-144547</t>
  </si>
  <si>
    <t>0-144549</t>
  </si>
  <si>
    <t>0-144550</t>
  </si>
  <si>
    <t>0-144551</t>
  </si>
  <si>
    <t>0-144552</t>
  </si>
  <si>
    <t>0-144553</t>
  </si>
  <si>
    <t>0-144554</t>
  </si>
  <si>
    <t>0-144555</t>
  </si>
  <si>
    <t>0-144556</t>
  </si>
  <si>
    <t>0-144557</t>
  </si>
  <si>
    <t>0-144558</t>
  </si>
  <si>
    <t>0-144559</t>
  </si>
  <si>
    <t>0-144562</t>
  </si>
  <si>
    <t>0-144563</t>
  </si>
  <si>
    <t>0-144567</t>
  </si>
  <si>
    <t>0-144569</t>
  </si>
  <si>
    <t>0-144572</t>
  </si>
  <si>
    <t>0-144576</t>
  </si>
  <si>
    <t>0-144577</t>
  </si>
  <si>
    <t>0-144579</t>
  </si>
  <si>
    <t>0-144580</t>
  </si>
  <si>
    <t>SAFEGUARD PURE WHITE 130G</t>
  </si>
  <si>
    <t>NESCAFE CLASSIC DECAF 160G</t>
  </si>
  <si>
    <t>SKYFLAKES TSOKOLATE 30GX10S</t>
  </si>
  <si>
    <t>GAR BANANA CHOCO MUFFIN 45G</t>
  </si>
  <si>
    <t>SABA PREMIUM MACKEREL IN NATURAL OIL 155G</t>
  </si>
  <si>
    <t>ALBATROSS SAMPAGUITA 100G</t>
  </si>
  <si>
    <t>JOY LEMON DISHWASHING LIQUID 540ML</t>
  </si>
  <si>
    <t>4807770274305</t>
  </si>
  <si>
    <t>4800888169709</t>
  </si>
  <si>
    <t>4809015665916</t>
  </si>
  <si>
    <t>4806517042061</t>
  </si>
  <si>
    <t>4800054121289</t>
  </si>
  <si>
    <t>200049</t>
  </si>
  <si>
    <t>0-144586</t>
  </si>
  <si>
    <t>0-144587</t>
  </si>
  <si>
    <t>0-144590</t>
  </si>
  <si>
    <t>0-144591</t>
  </si>
  <si>
    <t>0-144592</t>
  </si>
  <si>
    <t>0-144593</t>
  </si>
  <si>
    <t>0-144594</t>
  </si>
  <si>
    <t>0-144595</t>
  </si>
  <si>
    <t>0-144598</t>
  </si>
  <si>
    <t>0-144599</t>
  </si>
  <si>
    <t>0-144602</t>
  </si>
  <si>
    <t>0-144604</t>
  </si>
  <si>
    <t>0-144608</t>
  </si>
  <si>
    <t>0-144609</t>
  </si>
  <si>
    <t>0-144611</t>
  </si>
  <si>
    <t>0-144615</t>
  </si>
  <si>
    <t>0-144616</t>
  </si>
  <si>
    <t>0-144617</t>
  </si>
  <si>
    <t>0-144618</t>
  </si>
  <si>
    <t>0-144620</t>
  </si>
  <si>
    <t>0-144621</t>
  </si>
  <si>
    <t>0-144622</t>
  </si>
  <si>
    <t>0-144623</t>
  </si>
  <si>
    <t>0-144624</t>
  </si>
  <si>
    <t>0-144625</t>
  </si>
  <si>
    <t>0-144627</t>
  </si>
  <si>
    <t>LM PANCIT CANTON EXTRA HOT CHILI 80G</t>
  </si>
  <si>
    <t>SUNSILK GREEN 15ML</t>
  </si>
  <si>
    <t>SUPER MORINGA 7IN1 BOTANICAL LUYANG DILAW 60ML</t>
  </si>
  <si>
    <t>GOYA BAR CREAM WHITE CHOCOLATE 38G</t>
  </si>
  <si>
    <t>GROWERS SALTED CASHEW NUTS 80G</t>
  </si>
  <si>
    <t>HBW MATRIX BALLPEN RED</t>
  </si>
  <si>
    <t>0-144652</t>
  </si>
  <si>
    <t>0-144653</t>
  </si>
  <si>
    <t>0-144654</t>
  </si>
  <si>
    <t>4807770122736</t>
  </si>
  <si>
    <t>888123456782008</t>
  </si>
  <si>
    <t>48031813</t>
  </si>
  <si>
    <t>4800116077004</t>
  </si>
  <si>
    <t>4801668602034</t>
  </si>
  <si>
    <t>4800888285355</t>
  </si>
  <si>
    <t>4800888194268</t>
  </si>
  <si>
    <t>4800888218544</t>
  </si>
  <si>
    <t>4800888183804</t>
  </si>
  <si>
    <t>4806500807455</t>
  </si>
  <si>
    <t>4806500807356</t>
  </si>
  <si>
    <t>4806500807257</t>
  </si>
  <si>
    <t>4806500807554</t>
  </si>
  <si>
    <t>4806500807028</t>
  </si>
  <si>
    <t>8850006593356</t>
  </si>
  <si>
    <t>4801010501213</t>
  </si>
  <si>
    <t>48038065</t>
  </si>
  <si>
    <t>4801010504207</t>
  </si>
  <si>
    <t>4800888250438</t>
  </si>
  <si>
    <t>4806519891551</t>
  </si>
  <si>
    <t>4800011113937</t>
  </si>
  <si>
    <t>4800016560910</t>
  </si>
  <si>
    <t>4800016551581</t>
  </si>
  <si>
    <t>4800016077074</t>
  </si>
  <si>
    <t>4800016076947</t>
  </si>
  <si>
    <t>4800010075601</t>
  </si>
  <si>
    <t>4800060906313</t>
  </si>
  <si>
    <t>4800818809880</t>
  </si>
  <si>
    <t>4800818808302</t>
  </si>
  <si>
    <t>4800818810817</t>
  </si>
  <si>
    <t>8935001727668</t>
  </si>
  <si>
    <t>4800016307010</t>
  </si>
  <si>
    <t>4800818902017</t>
  </si>
  <si>
    <t>4800818809750</t>
  </si>
  <si>
    <t>4800016661099</t>
  </si>
  <si>
    <t>4800194150675</t>
  </si>
  <si>
    <t>4800194114462</t>
  </si>
  <si>
    <t>4808680651002</t>
  </si>
  <si>
    <t>4808680021355</t>
  </si>
  <si>
    <t>4800888607126</t>
  </si>
  <si>
    <t>4800888260451</t>
  </si>
  <si>
    <t>4800047840036</t>
  </si>
  <si>
    <t>4800047841712</t>
  </si>
  <si>
    <t>4800047840043</t>
  </si>
  <si>
    <t>4800888151827</t>
  </si>
  <si>
    <t>4800194153683</t>
  </si>
  <si>
    <t>4800016663802</t>
  </si>
  <si>
    <t>4800216110069</t>
  </si>
  <si>
    <t>4800016115011</t>
  </si>
  <si>
    <t>4800016625534</t>
  </si>
  <si>
    <t>4800016083778</t>
  </si>
  <si>
    <t>4800016082979</t>
  </si>
  <si>
    <t>4807770271175</t>
  </si>
  <si>
    <t>4807770273612</t>
  </si>
  <si>
    <t>4807770271168</t>
  </si>
  <si>
    <t>4807770273810</t>
  </si>
  <si>
    <t>4800016552106</t>
  </si>
  <si>
    <t>4800134103013</t>
  </si>
  <si>
    <t>4806504710355</t>
  </si>
  <si>
    <t>4808680211251</t>
  </si>
  <si>
    <t>4801958240007</t>
  </si>
  <si>
    <t>4801958341100</t>
  </si>
  <si>
    <t>4804888809474</t>
  </si>
  <si>
    <t>4800110069227</t>
  </si>
  <si>
    <t>4800249902068</t>
  </si>
  <si>
    <t>4800249909333</t>
  </si>
  <si>
    <t>4801668606551</t>
  </si>
  <si>
    <t>4809014128672</t>
  </si>
  <si>
    <t>4806519890233</t>
  </si>
  <si>
    <t>4809010120953</t>
  </si>
  <si>
    <t>748485100418</t>
  </si>
  <si>
    <t>4800092660788</t>
  </si>
  <si>
    <t>4808680651019</t>
  </si>
  <si>
    <t>4808680020754</t>
  </si>
  <si>
    <t>0-144631</t>
  </si>
  <si>
    <t>0-144632</t>
  </si>
  <si>
    <t>0-144634</t>
  </si>
  <si>
    <t>0-144635</t>
  </si>
  <si>
    <t>0-144637</t>
  </si>
  <si>
    <t>0-144638</t>
  </si>
  <si>
    <t>0-144639</t>
  </si>
  <si>
    <t>0-144640</t>
  </si>
  <si>
    <t>0-144643</t>
  </si>
  <si>
    <t>0-144644</t>
  </si>
  <si>
    <t>0-144645</t>
  </si>
  <si>
    <t>0-144646</t>
  </si>
  <si>
    <t>0-144647</t>
  </si>
  <si>
    <t>0-144648</t>
  </si>
  <si>
    <t>0-144649</t>
  </si>
  <si>
    <t>0-144650</t>
  </si>
  <si>
    <t>0-144655</t>
  </si>
  <si>
    <t>0-144656</t>
  </si>
  <si>
    <t>0-144657</t>
  </si>
  <si>
    <t>0-144659</t>
  </si>
  <si>
    <t>0-144660</t>
  </si>
  <si>
    <t>0-144661</t>
  </si>
  <si>
    <t>0-144663</t>
  </si>
  <si>
    <t>0-144664</t>
  </si>
  <si>
    <t>0-144665</t>
  </si>
  <si>
    <t>0-144666</t>
  </si>
  <si>
    <t>0-144668</t>
  </si>
  <si>
    <t>0-144670</t>
  </si>
  <si>
    <t>0-144672</t>
  </si>
  <si>
    <t>0-144673</t>
  </si>
  <si>
    <t>0-144676</t>
  </si>
  <si>
    <t>MONDE CHEESE BAR 230G</t>
  </si>
  <si>
    <t>PANI CORNICK</t>
  </si>
  <si>
    <t>OFF OVERTIME INSECT REPELLENT LOTION 6ML</t>
  </si>
  <si>
    <t>OTC BUTTER CREAM CHOCOLATE CRACKERS 25G</t>
  </si>
  <si>
    <t>DATU PUTI SOY SAUCE 200ML</t>
  </si>
  <si>
    <t>KNORR CHICKEN BROTH CUBE 10G 6+2</t>
  </si>
  <si>
    <t>SUNSILK GREEN (11+1)</t>
  </si>
  <si>
    <t>SURF SUNRISE FRESH YELLOW 6+1 65G</t>
  </si>
  <si>
    <t>SURF POWDER ROSE FRESH 70G</t>
  </si>
  <si>
    <t>MAGIC DRI PINK XL 30PCS+4FREE</t>
  </si>
  <si>
    <t>MAGIC DRI BLUE LARGE 30PCS+4FREE</t>
  </si>
  <si>
    <t>MAGIC DRI GREEN MEDIUM 30PCS+4FREE</t>
  </si>
  <si>
    <t>MAGIC DRI ORANGE XXL 30PCS+4FREE</t>
  </si>
  <si>
    <t>MAGIC DRI ORANGE XXL 10S</t>
  </si>
  <si>
    <t>TC SAKURA SCENT WHITE 100G</t>
  </si>
  <si>
    <t>JB OIL REGULAR 50ML</t>
  </si>
  <si>
    <t>JB OIL ALOE VERA &amp; VITAMIN E 25ML</t>
  </si>
  <si>
    <t>JB OIL ALOE VERA &amp; VIT E 50ML</t>
  </si>
  <si>
    <t>VITAKERATIN BRAZILIAN STRAIGHT 24ML 11+1</t>
  </si>
  <si>
    <t>UNI KERATIN GOLD BRAZILIAN DETOX &amp; NOURISH SHAMPOO</t>
  </si>
  <si>
    <t>BIODERM SOAP COOLNESS (BLUE) 60G</t>
  </si>
  <si>
    <t>NISSIN RAMEN SPICY SEAFOOD 59G</t>
  </si>
  <si>
    <t>NISSIN RAMEN BEEF 55G</t>
  </si>
  <si>
    <t>CREAM O CHOCOLATE CHIP COOKIES 35GX10</t>
  </si>
  <si>
    <t>JNJ PRESTO CREAMS DOUBLE CHOCO SANDWICH COOKIES 300G</t>
  </si>
  <si>
    <t>PRESTO CREAMS CHOCOLATE 300G</t>
  </si>
  <si>
    <t>PURITY COTTON ROLL NEGOSYO PACK</t>
  </si>
  <si>
    <t>VFRESH WINTER COOL GUM 165G</t>
  </si>
  <si>
    <t>FRUTOS ASSORTED SOFT CHEWY CANDIES 180G</t>
  </si>
  <si>
    <t>FRUTOS CHEWY SAMPALOK 175G</t>
  </si>
  <si>
    <t>MENTOS MINT FLAVOR 50+5 PCS.</t>
  </si>
  <si>
    <t>MAXX EUCALYPTUS MENTHOL CANDY 200G</t>
  </si>
  <si>
    <t>LUVLOV BUDDY BERRY MILK PACK 15PCSX15G</t>
  </si>
  <si>
    <t>ICOOL MENTHOLATED GUM 182G</t>
  </si>
  <si>
    <t>ROLLER COASTER CHEDDAR 85G</t>
  </si>
  <si>
    <t>OISHI CHOCO SPONGE CRUNCH 120G</t>
  </si>
  <si>
    <t>OISHI PILLOWS CHOCOLATE 150G</t>
  </si>
  <si>
    <t>LADYS CHOICE BACON SPREAD SACHET 80ML</t>
  </si>
  <si>
    <t>LADYS CHOICE REAL MAYONNAISE SACHET 80ML</t>
  </si>
  <si>
    <t>LADYS CHOICE REAL MAYONNAISE 27ML</t>
  </si>
  <si>
    <t>KNORR SINIGANG ORIGINAL 6X22G W/ FREE KOPIKO TP</t>
  </si>
  <si>
    <t>ZONROX BLEACH ORIGINAL 250ML</t>
  </si>
  <si>
    <t>ZONROX COLORSAFE BLEACH BLOSSOM FRESH 450ML</t>
  </si>
  <si>
    <t>ZONROX BLEACH ORIGINAL 100ML</t>
  </si>
  <si>
    <t>SURF POWDER KALAMANSI 61G</t>
  </si>
  <si>
    <t>BREAD PAN BUTTER 24G</t>
  </si>
  <si>
    <t>NOVA COUNTRY CHEDDAR 40G</t>
  </si>
  <si>
    <t>CLOVER CHIPS CHEESE 55G</t>
  </si>
  <si>
    <t>CHICKN SKIN NI MANG JUAN 17G</t>
  </si>
  <si>
    <t>POTATO CHIPS VCUT SPICY BBQ FLAVOR 60G</t>
  </si>
  <si>
    <t>MAGIC CHIPS SOUR CREAM AND ONION 28G</t>
  </si>
  <si>
    <t>MAGIC CHIPS BBQ FLAVOR 28G</t>
  </si>
  <si>
    <t>LM GO CUP BULALO 40G</t>
  </si>
  <si>
    <t>LM GO CUP SPICY BULALO 40G</t>
  </si>
  <si>
    <t>LM GO CUP BATCHOY 40G</t>
  </si>
  <si>
    <t>LM GO CUP SPICY BATCHOY 40G</t>
  </si>
  <si>
    <t>NISSIN CUP NOODLES BEEF 40G</t>
  </si>
  <si>
    <t>MASTER SARDINES GREEN 425G</t>
  </si>
  <si>
    <t>MEGA SARDINES IN TOMATO SAUCE CHILI 425G</t>
  </si>
  <si>
    <t>KNORR CRAB N CORN SOUP MIX 40G</t>
  </si>
  <si>
    <t>AJI-NO-MOTO UMAMI SEASONING 100G</t>
  </si>
  <si>
    <t>AJI-NO-MOTO UMAMI SEASONING 11GX12S</t>
  </si>
  <si>
    <t>MAMA SITAS OYSTER SAUCE 30G</t>
  </si>
  <si>
    <t>FIESTA SPAGHETTIPID SWEET STYLE SPAGHETTI AND SAUCE 1.6KG</t>
  </si>
  <si>
    <t>CDO MEAT LOAF 210G</t>
  </si>
  <si>
    <t>CDO MEAT LOAF CLASSIC 150G</t>
  </si>
  <si>
    <t>UFC CORN KERNELS 425 GRAMS</t>
  </si>
  <si>
    <t>KOJIE SAN SKIN LIGHTENING SOAP 3X65G</t>
  </si>
  <si>
    <t>UNI KOJIC WHITENING BEAUTY SOAP TWINPACK 90GX2</t>
  </si>
  <si>
    <t>KOJIC &amp; GLUTATHIONE ORIGINAL SOAP 135G</t>
  </si>
  <si>
    <t>CENTURY TUNA HOT AND SPICY 155G</t>
  </si>
  <si>
    <t>CHOCO MUCHO WHITE CHOCOLATE 33G</t>
  </si>
  <si>
    <t>LADYS CHOICE HAM SPREAD 80ML</t>
  </si>
  <si>
    <t>LADYS CHOICE SANDWICH SPREAD SACHET 80ML</t>
  </si>
  <si>
    <t>70257</t>
  </si>
  <si>
    <t>0-144693</t>
  </si>
  <si>
    <t>0-144694</t>
  </si>
  <si>
    <t>0-144697</t>
  </si>
  <si>
    <t>0-144699</t>
  </si>
  <si>
    <t>0-144700</t>
  </si>
  <si>
    <t>0-144701</t>
  </si>
  <si>
    <t>0-144703</t>
  </si>
  <si>
    <t>0-144704</t>
  </si>
  <si>
    <t>0-144705</t>
  </si>
  <si>
    <t>0-144706</t>
  </si>
  <si>
    <t>0-144707</t>
  </si>
  <si>
    <t>0-144708</t>
  </si>
  <si>
    <t>0-144727</t>
  </si>
  <si>
    <t>0-144728</t>
  </si>
  <si>
    <t>PRINTING STICKER PAPER-NEW</t>
  </si>
  <si>
    <t>4806500802450</t>
  </si>
  <si>
    <t>4800116099006</t>
  </si>
  <si>
    <t>888123456782039</t>
  </si>
  <si>
    <t>8850006590379</t>
  </si>
  <si>
    <t>4806506151118</t>
  </si>
  <si>
    <t>4800086051042</t>
  </si>
  <si>
    <t>4806504710126</t>
  </si>
  <si>
    <t>0-144678</t>
  </si>
  <si>
    <t>0-144682</t>
  </si>
  <si>
    <t>0-144685</t>
  </si>
  <si>
    <t>0-144686</t>
  </si>
  <si>
    <t>0-144687</t>
  </si>
  <si>
    <t>0-144688</t>
  </si>
  <si>
    <t>0-144689</t>
  </si>
  <si>
    <t>0-144690</t>
  </si>
  <si>
    <t>0-144692</t>
  </si>
  <si>
    <t>0-144695</t>
  </si>
  <si>
    <t>0-144696</t>
  </si>
  <si>
    <t>0-144698</t>
  </si>
  <si>
    <t>0-144702</t>
  </si>
  <si>
    <t>0-144710</t>
  </si>
  <si>
    <t>0-144711</t>
  </si>
  <si>
    <t>0-144712</t>
  </si>
  <si>
    <t>0-144713</t>
  </si>
  <si>
    <t>0-144714</t>
  </si>
  <si>
    <t>0-144716</t>
  </si>
  <si>
    <t>0-144717</t>
  </si>
  <si>
    <t>0-144723</t>
  </si>
  <si>
    <t>0-144730</t>
  </si>
  <si>
    <t>0-144731</t>
  </si>
  <si>
    <t>0-144732</t>
  </si>
  <si>
    <t>0-144734</t>
  </si>
  <si>
    <t>0-144736</t>
  </si>
  <si>
    <t>0-144738</t>
  </si>
  <si>
    <t>0-144739</t>
  </si>
  <si>
    <t>MAGIC PANTS DIAPERS PULL-UPS 30S-XL</t>
  </si>
  <si>
    <t>OTC BUTTER CREAM ENSAYMADA 25G</t>
  </si>
  <si>
    <t>OTC SUPERLAMIG PEPPERMINT</t>
  </si>
  <si>
    <t>TENDER CARE BABY POWDER PINK SOFT 50G</t>
  </si>
  <si>
    <t>SOFT N WHITE TRAVEL PACK 2PLY 50PULLS</t>
  </si>
  <si>
    <t>SEL SHOYU CARAMEL 450ML</t>
  </si>
  <si>
    <t>MEGA SARDINES RED 155G</t>
  </si>
  <si>
    <t>0-144753</t>
  </si>
  <si>
    <t>0-144755</t>
  </si>
  <si>
    <t>0-144763</t>
  </si>
  <si>
    <t>4902430873703</t>
  </si>
  <si>
    <t>4806500806311</t>
  </si>
  <si>
    <t>9555222605072</t>
  </si>
  <si>
    <t>8410028125906</t>
  </si>
  <si>
    <t>48041812</t>
  </si>
  <si>
    <t>0-144745</t>
  </si>
  <si>
    <t>0-144746</t>
  </si>
  <si>
    <t>0-144747</t>
  </si>
  <si>
    <t>0-144748</t>
  </si>
  <si>
    <t>0-144749</t>
  </si>
  <si>
    <t>0-144752</t>
  </si>
  <si>
    <t>0-144754</t>
  </si>
  <si>
    <t>0-144757</t>
  </si>
  <si>
    <t>0-144758</t>
  </si>
  <si>
    <t>0-144759</t>
  </si>
  <si>
    <t>0-144761</t>
  </si>
  <si>
    <t>0-144765</t>
  </si>
  <si>
    <t>0-144766</t>
  </si>
  <si>
    <t>0-144768</t>
  </si>
  <si>
    <t>0-144769</t>
  </si>
  <si>
    <t>0-144770</t>
  </si>
  <si>
    <t>0-144772</t>
  </si>
  <si>
    <t>0-144773</t>
  </si>
  <si>
    <t>0-144777</t>
  </si>
  <si>
    <t>0-144778</t>
  </si>
  <si>
    <t>0-144780</t>
  </si>
  <si>
    <t>0-144783</t>
  </si>
  <si>
    <t>DOWNY EXPERT KONTRA KULOB 23ML</t>
  </si>
  <si>
    <t>MAGIC DRI BLUE LARGE 4S</t>
  </si>
  <si>
    <t>GLADE SENSATIONS REFILLS-OCEAN ESCAPE 8G</t>
  </si>
  <si>
    <t>VINO FONTANA RED WINE 750ML</t>
  </si>
  <si>
    <t>MIGHTY GREEN PACK</t>
  </si>
  <si>
    <t>06/22/2026</t>
  </si>
  <si>
    <t>0-144882</t>
  </si>
  <si>
    <t>06/20/2026</t>
  </si>
  <si>
    <t>06/21/2026</t>
  </si>
  <si>
    <t>4800361423052</t>
  </si>
  <si>
    <t>8851932441438</t>
  </si>
  <si>
    <t>93682961</t>
  </si>
  <si>
    <t>4800154013057</t>
  </si>
  <si>
    <t>4800024012326</t>
  </si>
  <si>
    <t>93682978</t>
  </si>
  <si>
    <t>4800417059495</t>
  </si>
  <si>
    <t>4800361428408</t>
  </si>
  <si>
    <t>4806526078037</t>
  </si>
  <si>
    <t>4800016627262</t>
  </si>
  <si>
    <t>4806500802429</t>
  </si>
  <si>
    <t>4800361413480</t>
  </si>
  <si>
    <t>0-144784</t>
  </si>
  <si>
    <t>0-144785</t>
  </si>
  <si>
    <t>0-144786</t>
  </si>
  <si>
    <t>0-144787</t>
  </si>
  <si>
    <t>0-144788</t>
  </si>
  <si>
    <t>0-144794</t>
  </si>
  <si>
    <t>0-144795</t>
  </si>
  <si>
    <t>0-144796</t>
  </si>
  <si>
    <t>0-144797</t>
  </si>
  <si>
    <t>0-144798</t>
  </si>
  <si>
    <t>0-144799</t>
  </si>
  <si>
    <t>0-144801</t>
  </si>
  <si>
    <t>0-144803</t>
  </si>
  <si>
    <t>0-144804</t>
  </si>
  <si>
    <t>0-144805</t>
  </si>
  <si>
    <t>0-144806</t>
  </si>
  <si>
    <t>0-144811</t>
  </si>
  <si>
    <t>0-144813</t>
  </si>
  <si>
    <t>0-144814</t>
  </si>
  <si>
    <t>0-144815</t>
  </si>
  <si>
    <t>0-144816</t>
  </si>
  <si>
    <t>0-144818</t>
  </si>
  <si>
    <t>0-144819</t>
  </si>
  <si>
    <t>0-144820</t>
  </si>
  <si>
    <t>0-144821</t>
  </si>
  <si>
    <t>0-144822</t>
  </si>
  <si>
    <t>0-144824</t>
  </si>
  <si>
    <t>0-144825</t>
  </si>
  <si>
    <t>0-144828</t>
  </si>
  <si>
    <t>0-144829</t>
  </si>
  <si>
    <t>0-144830</t>
  </si>
  <si>
    <t>0-144833</t>
  </si>
  <si>
    <t>0-144837</t>
  </si>
  <si>
    <t>0-144838</t>
  </si>
  <si>
    <t>0-144840</t>
  </si>
  <si>
    <t>0-144841</t>
  </si>
  <si>
    <t>0-144842</t>
  </si>
  <si>
    <t>0-144843</t>
  </si>
  <si>
    <t>0-144846</t>
  </si>
  <si>
    <t>0-144849</t>
  </si>
  <si>
    <t>0-144853</t>
  </si>
  <si>
    <t>0-144854</t>
  </si>
  <si>
    <t>0-144856</t>
  </si>
  <si>
    <t>0-144857</t>
  </si>
  <si>
    <t>0-144858</t>
  </si>
  <si>
    <t>0-144861</t>
  </si>
  <si>
    <t>0-144862</t>
  </si>
  <si>
    <t>0-144863</t>
  </si>
  <si>
    <t>0-144867</t>
  </si>
  <si>
    <t>0-144870</t>
  </si>
  <si>
    <t>0-144874</t>
  </si>
  <si>
    <t>0-144875</t>
  </si>
  <si>
    <t>0-144877</t>
  </si>
  <si>
    <t>0-144878</t>
  </si>
  <si>
    <t>0-144879</t>
  </si>
  <si>
    <t>0-144880</t>
  </si>
  <si>
    <t>0-144881</t>
  </si>
  <si>
    <t>NESTLE LEMONADE CUCUMBER 200G</t>
  </si>
  <si>
    <t>WALLS BITES TIME VANILLA TOFFEE &amp; CARAMEL 60G</t>
  </si>
  <si>
    <t>M&amp;M'S MILK CHOCOLATE 40G</t>
  </si>
  <si>
    <t>DM PINEAPPLE SLICES 137G</t>
  </si>
  <si>
    <t>M&amp;M'S PEANUT 40G</t>
  </si>
  <si>
    <t>BENCH DAILY SCENT COLOGNE LAZY AFTERNOON 75ML</t>
  </si>
  <si>
    <t>NESCAFE CLASSIC 48STCKS 91.2G</t>
  </si>
  <si>
    <t>MINI CHOCO EGG 8G</t>
  </si>
  <si>
    <t>CHOCO KNOTS CHOCOLATE 28G</t>
  </si>
  <si>
    <t>MAGIC PANTS PULL-UPS XL 10S</t>
  </si>
  <si>
    <t>NESTLE MILO 24G</t>
  </si>
  <si>
    <t xml:space="preserve"> </t>
  </si>
  <si>
    <t>0-144907</t>
  </si>
  <si>
    <t>0-144910</t>
  </si>
  <si>
    <t>888123456781247</t>
  </si>
  <si>
    <t>4806500802351</t>
  </si>
  <si>
    <t>0-144883</t>
  </si>
  <si>
    <t>0-144884</t>
  </si>
  <si>
    <t>0-144885</t>
  </si>
  <si>
    <t>0-144887</t>
  </si>
  <si>
    <t>0-144888</t>
  </si>
  <si>
    <t>0-144891</t>
  </si>
  <si>
    <t>0-144894</t>
  </si>
  <si>
    <t>0-144895</t>
  </si>
  <si>
    <t>0-144896</t>
  </si>
  <si>
    <t>0-144897</t>
  </si>
  <si>
    <t>0-144899</t>
  </si>
  <si>
    <t>0-144900</t>
  </si>
  <si>
    <t>0-144901</t>
  </si>
  <si>
    <t>0-144902</t>
  </si>
  <si>
    <t>0-144903</t>
  </si>
  <si>
    <t>0-144904</t>
  </si>
  <si>
    <t>0-144905</t>
  </si>
  <si>
    <t>0-144906</t>
  </si>
  <si>
    <t>0-144912</t>
  </si>
  <si>
    <t>0-144913</t>
  </si>
  <si>
    <t>0-144914</t>
  </si>
  <si>
    <t>0-144916</t>
  </si>
  <si>
    <t>0-144919</t>
  </si>
  <si>
    <t>0-144920</t>
  </si>
  <si>
    <t>0-144921</t>
  </si>
  <si>
    <t>0-144924</t>
  </si>
  <si>
    <t>0-144926</t>
  </si>
  <si>
    <t>0-144927</t>
  </si>
  <si>
    <t>0-144928</t>
  </si>
  <si>
    <t>0-144930</t>
  </si>
  <si>
    <t>0-144931</t>
  </si>
  <si>
    <t>DM JUICE DRINK PINEAPPLE 100% W/ ACE</t>
  </si>
  <si>
    <t>MAGIC PANTS DIAPERS PULL-UPS 30PCS-LARGE</t>
  </si>
  <si>
    <t>06/24/2026</t>
  </si>
  <si>
    <t>0-144932</t>
  </si>
  <si>
    <t>0-144933</t>
  </si>
  <si>
    <t>0-144936</t>
  </si>
  <si>
    <t>0-144937</t>
  </si>
  <si>
    <t>0-144938</t>
  </si>
  <si>
    <t>0-144939</t>
  </si>
  <si>
    <t>0-144943</t>
  </si>
  <si>
    <t>0-144944</t>
  </si>
  <si>
    <t>0-144945</t>
  </si>
  <si>
    <t>0-144946</t>
  </si>
  <si>
    <t>0-144947</t>
  </si>
  <si>
    <t>0-144951</t>
  </si>
  <si>
    <t>0-144952</t>
  </si>
  <si>
    <t>0-144953</t>
  </si>
  <si>
    <t>0-144954</t>
  </si>
  <si>
    <t>0-144955</t>
  </si>
  <si>
    <t>0-144956</t>
  </si>
  <si>
    <t>0-144959</t>
  </si>
  <si>
    <t>0-144960</t>
  </si>
  <si>
    <t>0-145006</t>
  </si>
  <si>
    <t>0-145007</t>
  </si>
  <si>
    <t>0-145008</t>
  </si>
  <si>
    <t>0-145009</t>
  </si>
  <si>
    <t>0-145010</t>
  </si>
  <si>
    <t>0-145011</t>
  </si>
  <si>
    <t>0-145012</t>
  </si>
  <si>
    <t>0-145013</t>
  </si>
  <si>
    <t>0-145014</t>
  </si>
  <si>
    <t>0-145015</t>
  </si>
  <si>
    <t>0-145028</t>
  </si>
  <si>
    <t>0-145029</t>
  </si>
  <si>
    <t>748485801728</t>
  </si>
  <si>
    <t>750515031043</t>
  </si>
  <si>
    <t>4806500806410</t>
  </si>
  <si>
    <t>4800086043603</t>
  </si>
  <si>
    <t>4809012413046</t>
  </si>
  <si>
    <t>4801234146078</t>
  </si>
  <si>
    <t>4806512023522</t>
  </si>
  <si>
    <t>4800016021169</t>
  </si>
  <si>
    <t>0-144961</t>
  </si>
  <si>
    <t>0-144962</t>
  </si>
  <si>
    <t>0-144963</t>
  </si>
  <si>
    <t>0-144964</t>
  </si>
  <si>
    <t>0-144965</t>
  </si>
  <si>
    <t>0-144967</t>
  </si>
  <si>
    <t>0-144968</t>
  </si>
  <si>
    <t>0-144969</t>
  </si>
  <si>
    <t>0-144972</t>
  </si>
  <si>
    <t>0-144973</t>
  </si>
  <si>
    <t>0-144974</t>
  </si>
  <si>
    <t>0-144975</t>
  </si>
  <si>
    <t>0-144976</t>
  </si>
  <si>
    <t>0-144987</t>
  </si>
  <si>
    <t>0-144988</t>
  </si>
  <si>
    <t>0-144990</t>
  </si>
  <si>
    <t>0-144991</t>
  </si>
  <si>
    <t>0-144992</t>
  </si>
  <si>
    <t>0-144995</t>
  </si>
  <si>
    <t>0-144999</t>
  </si>
  <si>
    <t>0-145000</t>
  </si>
  <si>
    <t>0-145001</t>
  </si>
  <si>
    <t>0-145002</t>
  </si>
  <si>
    <t>0-145003</t>
  </si>
  <si>
    <t>0-145004</t>
  </si>
  <si>
    <t>0-145005</t>
  </si>
  <si>
    <t>0-145017</t>
  </si>
  <si>
    <t>0-145019</t>
  </si>
  <si>
    <t>0-145020</t>
  </si>
  <si>
    <t>LUCKY 7 CARNE NORTE 150G</t>
  </si>
  <si>
    <t>OTC SKYFLAKES CONDENSADA</t>
  </si>
  <si>
    <t>MAGIC DRI PINK XL 4S</t>
  </si>
  <si>
    <t>SEL SOLO PACK DOUBLE DUTCH 450ML</t>
  </si>
  <si>
    <t>KATINKO OINTMENT 10G</t>
  </si>
  <si>
    <t>GLADE SG FRESH LEMON 180G VALUE PACK</t>
  </si>
  <si>
    <t>MAMA SITAS OYSTER SAUCE 90G</t>
  </si>
  <si>
    <t>GREAT TASTE ORIGINAL TWIN PACK 33G</t>
  </si>
  <si>
    <t>70215</t>
  </si>
  <si>
    <t>70325</t>
  </si>
  <si>
    <t>0-145056</t>
  </si>
  <si>
    <t>0-145057</t>
  </si>
  <si>
    <t>0-145058</t>
  </si>
  <si>
    <t>PRINTING LRD ID LACE</t>
  </si>
  <si>
    <t>PRINTING MY GEL SIGN PEN .05 - NEW</t>
  </si>
  <si>
    <t>888123456781413</t>
  </si>
  <si>
    <t>4800067600702</t>
  </si>
  <si>
    <t>4801234108021</t>
  </si>
  <si>
    <t>4902430452779</t>
  </si>
  <si>
    <t>0-145030</t>
  </si>
  <si>
    <t>0-145031</t>
  </si>
  <si>
    <t>0-145032</t>
  </si>
  <si>
    <t>0-145033</t>
  </si>
  <si>
    <t>0-145034</t>
  </si>
  <si>
    <t>0-145035</t>
  </si>
  <si>
    <t>0-145036</t>
  </si>
  <si>
    <t>0-145037</t>
  </si>
  <si>
    <t>0-145038</t>
  </si>
  <si>
    <t>0-145041</t>
  </si>
  <si>
    <t>0-145045</t>
  </si>
  <si>
    <t>0-145049</t>
  </si>
  <si>
    <t>0-145051</t>
  </si>
  <si>
    <t>0-145052</t>
  </si>
  <si>
    <t>0-145054</t>
  </si>
  <si>
    <t>0-145055</t>
  </si>
  <si>
    <t>0-145059</t>
  </si>
  <si>
    <t>0-145060</t>
  </si>
  <si>
    <t>0-145062</t>
  </si>
  <si>
    <t>0-145064</t>
  </si>
  <si>
    <t>0-145065</t>
  </si>
  <si>
    <t>0-145066</t>
  </si>
  <si>
    <t>OTC ICE POP ASSORTED FLAVOR</t>
  </si>
  <si>
    <t>ALBATROSS LEMON 100G</t>
  </si>
  <si>
    <t>BAYGON MULTI INSECT KILLER KILLING ACTION 500ML</t>
  </si>
  <si>
    <t>DOWNY GARDEN BLOOM 800ML</t>
  </si>
  <si>
    <t>06/27/2026</t>
  </si>
  <si>
    <t>06/28/2026</t>
  </si>
  <si>
    <t>4806026378101</t>
  </si>
  <si>
    <t>8934868094982</t>
  </si>
  <si>
    <t>748485804057</t>
  </si>
  <si>
    <t>4800086050328</t>
  </si>
  <si>
    <t>4806526070093</t>
  </si>
  <si>
    <t>4806502161357</t>
  </si>
  <si>
    <t>4806517042009</t>
  </si>
  <si>
    <t>0-145067</t>
  </si>
  <si>
    <t>0-145068</t>
  </si>
  <si>
    <t>0-145069</t>
  </si>
  <si>
    <t>0-145070</t>
  </si>
  <si>
    <t>0-145077</t>
  </si>
  <si>
    <t>0-145078</t>
  </si>
  <si>
    <t>0-145079</t>
  </si>
  <si>
    <t>0-145082</t>
  </si>
  <si>
    <t>0-145083</t>
  </si>
  <si>
    <t>0-145085</t>
  </si>
  <si>
    <t>0-145086</t>
  </si>
  <si>
    <t>0-145087</t>
  </si>
  <si>
    <t>0-145088</t>
  </si>
  <si>
    <t>0-145089</t>
  </si>
  <si>
    <t>0-145090</t>
  </si>
  <si>
    <t>0-145091</t>
  </si>
  <si>
    <t>0-145093</t>
  </si>
  <si>
    <t>0-145094</t>
  </si>
  <si>
    <t>0-145095</t>
  </si>
  <si>
    <t>0-145096</t>
  </si>
  <si>
    <t>0-145097</t>
  </si>
  <si>
    <t>0-145098</t>
  </si>
  <si>
    <t>0-145099</t>
  </si>
  <si>
    <t>0-145100</t>
  </si>
  <si>
    <t>0-145101</t>
  </si>
  <si>
    <t>0-145102</t>
  </si>
  <si>
    <t>0-145103</t>
  </si>
  <si>
    <t>0-145104</t>
  </si>
  <si>
    <t>0-145108</t>
  </si>
  <si>
    <t>0-145109</t>
  </si>
  <si>
    <t>0-145110</t>
  </si>
  <si>
    <t>0-145112</t>
  </si>
  <si>
    <t>0-145115</t>
  </si>
  <si>
    <t>0-145116</t>
  </si>
  <si>
    <t>0-145118</t>
  </si>
  <si>
    <t>0-145119</t>
  </si>
  <si>
    <t>0-145120</t>
  </si>
  <si>
    <t>SNICKERS CLASSIC BUY2SAVE15</t>
  </si>
  <si>
    <t>SURF FABCON FRENCH PERFUME 25ML</t>
  </si>
  <si>
    <t>ARGENTINA GINILING 100G</t>
  </si>
  <si>
    <t>SEL 3IN1 UBE-MANGO-AVOCADO 750ML</t>
  </si>
  <si>
    <t>HELLO KITTY SOFT CANDY 30PCS</t>
  </si>
  <si>
    <t>CHEERS TRASH BAGS MEDIUM 10S</t>
  </si>
  <si>
    <t>GOYA BAR MILK CHOCOLATE 38G</t>
  </si>
  <si>
    <t>0-145122</t>
  </si>
  <si>
    <t>0-145124</t>
  </si>
  <si>
    <t>0-145126</t>
  </si>
  <si>
    <t>0-145127</t>
  </si>
  <si>
    <t>0-145128</t>
  </si>
  <si>
    <t>0-145131</t>
  </si>
  <si>
    <t>0-145132</t>
  </si>
  <si>
    <t>0-145135</t>
  </si>
  <si>
    <t>0-145136</t>
  </si>
  <si>
    <t>0-145138</t>
  </si>
  <si>
    <t>0-145139</t>
  </si>
  <si>
    <t>0-145140</t>
  </si>
  <si>
    <t>0-145141</t>
  </si>
  <si>
    <t>0-145142</t>
  </si>
  <si>
    <t>0-145143</t>
  </si>
  <si>
    <t>0-145144</t>
  </si>
  <si>
    <t>0-145145</t>
  </si>
  <si>
    <t>0-145146</t>
  </si>
  <si>
    <t>0-145147</t>
  </si>
  <si>
    <t>70298</t>
  </si>
  <si>
    <t>0-145155</t>
  </si>
  <si>
    <t>0-145156</t>
  </si>
  <si>
    <t>0-145157</t>
  </si>
  <si>
    <t>0-145158</t>
  </si>
  <si>
    <t>0-145159</t>
  </si>
  <si>
    <t>0-145160</t>
  </si>
  <si>
    <t>0-145161</t>
  </si>
  <si>
    <t>0-145162</t>
  </si>
  <si>
    <t>0-145163</t>
  </si>
  <si>
    <t>PRINTING STAPLER HD-50R/ML W/ REMOVER</t>
  </si>
  <si>
    <t>4800024575500</t>
  </si>
  <si>
    <t>4800016024276</t>
  </si>
  <si>
    <t>4800054122286</t>
  </si>
  <si>
    <t>4800054126284</t>
  </si>
  <si>
    <t>4806526074305</t>
  </si>
  <si>
    <t>4800194117180</t>
  </si>
  <si>
    <t>4800016077531</t>
  </si>
  <si>
    <t>4807770100963</t>
  </si>
  <si>
    <t>7622202336713</t>
  </si>
  <si>
    <t>4809013526349</t>
  </si>
  <si>
    <t>4807770272653</t>
  </si>
  <si>
    <t>4800249908725</t>
  </si>
  <si>
    <t>4800888602282</t>
  </si>
  <si>
    <t>4801668602027</t>
  </si>
  <si>
    <t>4809013526448</t>
  </si>
  <si>
    <t>4808888892566</t>
  </si>
  <si>
    <t>48035996</t>
  </si>
  <si>
    <t>4801010342724</t>
  </si>
  <si>
    <t>4801010342717</t>
  </si>
  <si>
    <t>4902430698078</t>
  </si>
  <si>
    <t>4800888151117</t>
  </si>
  <si>
    <t>4800888158888</t>
  </si>
  <si>
    <t>4800888142672</t>
  </si>
  <si>
    <t>4902430935616</t>
  </si>
  <si>
    <t>4800888214133</t>
  </si>
  <si>
    <t>4800888158475</t>
  </si>
  <si>
    <t>4800888230485</t>
  </si>
  <si>
    <t>4902430424264</t>
  </si>
  <si>
    <t>4902430401845</t>
  </si>
  <si>
    <t>4902430389556</t>
  </si>
  <si>
    <t>4902430434393</t>
  </si>
  <si>
    <t>4902430389532</t>
  </si>
  <si>
    <t>4801234014421</t>
  </si>
  <si>
    <t>4800888190987</t>
  </si>
  <si>
    <t>8998866801614</t>
  </si>
  <si>
    <t>8998866803564</t>
  </si>
  <si>
    <t>4902430381765</t>
  </si>
  <si>
    <t>4800067600474</t>
  </si>
  <si>
    <t>4800888158925</t>
  </si>
  <si>
    <t>4800034017441</t>
  </si>
  <si>
    <t>00006</t>
  </si>
  <si>
    <t>0-145149</t>
  </si>
  <si>
    <t>0-145150</t>
  </si>
  <si>
    <t>0-145151</t>
  </si>
  <si>
    <t>0-145152</t>
  </si>
  <si>
    <t>0-145153</t>
  </si>
  <si>
    <t>0-145204</t>
  </si>
  <si>
    <t>0-145207</t>
  </si>
  <si>
    <t>DM FILIPINO STYLE SPAGHETTI SAUCE 900G</t>
  </si>
  <si>
    <t>GREAT TASTE WHITE TWIN PACK 50G BUY 10 GET 1 FREE</t>
  </si>
  <si>
    <t>GROWERS TOASTED CASHEW NUTS 80G</t>
  </si>
  <si>
    <t>GROWERS ONION &amp; GARLIC ALMONDS 80G</t>
  </si>
  <si>
    <t>SUNFLOWER SEEDS 13GX20PCS</t>
  </si>
  <si>
    <t>SHOESTRING POTATOES PLAIN SALTED 20G</t>
  </si>
  <si>
    <t>CREAM-O COOKIES N CREAM 27GX10</t>
  </si>
  <si>
    <t>NISSIN EGGNOG COOKIES 18G PACK</t>
  </si>
  <si>
    <t>TIGER SANDWICH COOKIES VANILLA 9X35G</t>
  </si>
  <si>
    <t>MR. GULAMAN YELLOW 25G</t>
  </si>
  <si>
    <t>LM GO CUP JJAMPPONG 40G W/ SKYFLAKES</t>
  </si>
  <si>
    <t>CDO MEAT LOAF 100G</t>
  </si>
  <si>
    <t>LADYS CHOICE HAM SPREAD 220ML</t>
  </si>
  <si>
    <t>DATU PUTI VINEGAR 200ML</t>
  </si>
  <si>
    <t>MR. GULAMAN BLACK 25G</t>
  </si>
  <si>
    <t>COLGATE COOL MENTHOL FRESH 20G BUY 11 GET 1 FREE</t>
  </si>
  <si>
    <t>JB OIL REGULAR 25ML</t>
  </si>
  <si>
    <t>MODESS REGULAR NON WING 9+1 PADS</t>
  </si>
  <si>
    <t>MODESS REGULAR W/ WINGS 9+1 PADS</t>
  </si>
  <si>
    <t>REJOICE SHAMPOO FRAGRANT RICH 16ML</t>
  </si>
  <si>
    <t>REXONA QUANTUM DRY</t>
  </si>
  <si>
    <t>REXONA WOMEN DEO LOTION POWDER DRY 3ML</t>
  </si>
  <si>
    <t>REXONA WOMEN DEO-ROLL ON PASSION 25ML</t>
  </si>
  <si>
    <t>SAFEGUARD FLORAL PINK W/ ALOE 130G</t>
  </si>
  <si>
    <t>SUNSILK SHAMPOO SAKURA &amp; RASPBERRY RADIANCE 11ML</t>
  </si>
  <si>
    <t>VASELINE SOFT &amp; SMOOTH 16ML</t>
  </si>
  <si>
    <t>VITAKERATIN COLOR SHINE 24ML</t>
  </si>
  <si>
    <t>DOWNY ANTIBAC TRIPID PACK 63ML</t>
  </si>
  <si>
    <t>DOWNY SUNRISE FRESH 25ML</t>
  </si>
  <si>
    <t>JOY DISHWASHING LIQUID ANTIBAC 36ML</t>
  </si>
  <si>
    <t>JOY DISHWASHING LIQUID KALAMANSI 18.5ML</t>
  </si>
  <si>
    <t>JOY KALAMANSI 40ML</t>
  </si>
  <si>
    <t>KIWI BROWN CREAM SACHET 5ML</t>
  </si>
  <si>
    <t>SURF BAR CHERRY BLOSSOM 380G</t>
  </si>
  <si>
    <t>WINGS SOLVE CALAMANSI CLEAN 65G</t>
  </si>
  <si>
    <t>WINGS TOTAL CARE LAVENDER DREAM 60G</t>
  </si>
  <si>
    <t>SAFEGUARD IVORY WHITE CARE 135G</t>
  </si>
  <si>
    <t>ALBATROSS KIWI 50G</t>
  </si>
  <si>
    <t>REXONA WOMEN DEO-ROLL ON POWDER DRY 25ML</t>
  </si>
  <si>
    <t>HAPEE TOOTPASTE BLUE CHILL 55G</t>
  </si>
  <si>
    <t>CONVIE COKE IN CAN ORIGINAL 320ML</t>
  </si>
  <si>
    <t>TOTAL JUNE-SALES</t>
  </si>
  <si>
    <t>TO RECLASS SALES FOR UNCLAIMED RAFFLE ITEMS IN GENERAL ASSEMBLY FOR THE PERIOD OF JUNE 2026.</t>
  </si>
  <si>
    <t>JULY 2026</t>
  </si>
  <si>
    <t>07/02/2026</t>
  </si>
  <si>
    <t>07/03/2026</t>
  </si>
  <si>
    <t>07/06/2026</t>
  </si>
  <si>
    <t>PRINTING PILOT WYTEBOARD MARKER BLACK</t>
  </si>
  <si>
    <t>PRINTING CASIO CALCULATOR</t>
  </si>
  <si>
    <t>PRINTING TARPAULIN 3X4FT</t>
  </si>
  <si>
    <t>PRINTING TARPAULIN 2X3FT</t>
  </si>
  <si>
    <t>PRINTING CMPT POLOSHIRT</t>
  </si>
  <si>
    <t>PRINTING ASKI PRODUKTORISMO UV DTF STICKER</t>
  </si>
  <si>
    <t>PRINTING TARPAULIN 4X2FT ASKI PRODUKTURISMO</t>
  </si>
  <si>
    <t>70154</t>
  </si>
  <si>
    <t>70131</t>
  </si>
  <si>
    <t>70022</t>
  </si>
  <si>
    <t>70208</t>
  </si>
  <si>
    <t>70200</t>
  </si>
  <si>
    <t>70225</t>
  </si>
  <si>
    <t>70201</t>
  </si>
  <si>
    <t>0-145254</t>
  </si>
  <si>
    <t>0-145255</t>
  </si>
  <si>
    <t>0-145283</t>
  </si>
  <si>
    <t>0-145302</t>
  </si>
  <si>
    <t>0-145310</t>
  </si>
  <si>
    <t>0-145311</t>
  </si>
  <si>
    <t>0-145321</t>
  </si>
  <si>
    <t>0-145373</t>
  </si>
  <si>
    <t>0-145374</t>
  </si>
  <si>
    <t>07/01/2026</t>
  </si>
  <si>
    <t>07/04/2026</t>
  </si>
  <si>
    <t>07/05/2026</t>
  </si>
  <si>
    <t>07/07/2026</t>
  </si>
  <si>
    <t>748485802060</t>
  </si>
  <si>
    <t>8850007371403</t>
  </si>
  <si>
    <t>4800116133021</t>
  </si>
  <si>
    <t>8850006590355</t>
  </si>
  <si>
    <t>7622202336652</t>
  </si>
  <si>
    <t>4800888217455</t>
  </si>
  <si>
    <t>4806506150258</t>
  </si>
  <si>
    <t>888123456781315</t>
  </si>
  <si>
    <t>4800134101521</t>
  </si>
  <si>
    <t>4806512022099</t>
  </si>
  <si>
    <t>48038379</t>
  </si>
  <si>
    <t>4806517042153</t>
  </si>
  <si>
    <t>4902430495141</t>
  </si>
  <si>
    <t>8991001661746</t>
  </si>
  <si>
    <t>4806512022051</t>
  </si>
  <si>
    <t>8997035600010</t>
  </si>
  <si>
    <t>750515018402</t>
  </si>
  <si>
    <t>4800119221107</t>
  </si>
  <si>
    <t>4808888004181</t>
  </si>
  <si>
    <t>0-145208</t>
  </si>
  <si>
    <t>0-145209</t>
  </si>
  <si>
    <t>0-145210</t>
  </si>
  <si>
    <t>0-145211</t>
  </si>
  <si>
    <t>0-145213</t>
  </si>
  <si>
    <t>0-145216</t>
  </si>
  <si>
    <t>0-145218</t>
  </si>
  <si>
    <t>0-145219</t>
  </si>
  <si>
    <t>0-145220</t>
  </si>
  <si>
    <t>0-145222</t>
  </si>
  <si>
    <t>0-145224</t>
  </si>
  <si>
    <t>0-145225</t>
  </si>
  <si>
    <t>0-145229</t>
  </si>
  <si>
    <t>0-145230</t>
  </si>
  <si>
    <t>0-145236</t>
  </si>
  <si>
    <t>0-145237</t>
  </si>
  <si>
    <t>0-145238</t>
  </si>
  <si>
    <t>0-145239</t>
  </si>
  <si>
    <t>0-145242</t>
  </si>
  <si>
    <t>0-145243</t>
  </si>
  <si>
    <t>0-145244</t>
  </si>
  <si>
    <t>0-145246</t>
  </si>
  <si>
    <t>0-145247</t>
  </si>
  <si>
    <t>0-145248</t>
  </si>
  <si>
    <t>0-145249</t>
  </si>
  <si>
    <t>0-145250</t>
  </si>
  <si>
    <t>0-145251</t>
  </si>
  <si>
    <t>0-145253</t>
  </si>
  <si>
    <t>0-145256</t>
  </si>
  <si>
    <t>0-145257</t>
  </si>
  <si>
    <t>0-145258</t>
  </si>
  <si>
    <t>0-145259</t>
  </si>
  <si>
    <t>0-145260</t>
  </si>
  <si>
    <t>0-145261</t>
  </si>
  <si>
    <t>0-145262</t>
  </si>
  <si>
    <t>0-145263</t>
  </si>
  <si>
    <t>0-145266</t>
  </si>
  <si>
    <t>0-145271</t>
  </si>
  <si>
    <t>0-145272</t>
  </si>
  <si>
    <t>0-145275</t>
  </si>
  <si>
    <t>0-145276</t>
  </si>
  <si>
    <t>0-145278</t>
  </si>
  <si>
    <t>0-145279</t>
  </si>
  <si>
    <t>0-145280</t>
  </si>
  <si>
    <t>0-145284</t>
  </si>
  <si>
    <t>0-145285</t>
  </si>
  <si>
    <t>0-145289</t>
  </si>
  <si>
    <t>0-145291</t>
  </si>
  <si>
    <t>0-145292</t>
  </si>
  <si>
    <t>0-145294</t>
  </si>
  <si>
    <t>0-145295</t>
  </si>
  <si>
    <t>0-145297</t>
  </si>
  <si>
    <t>0-145298</t>
  </si>
  <si>
    <t>0-145299</t>
  </si>
  <si>
    <t>0-145300</t>
  </si>
  <si>
    <t>0-145301</t>
  </si>
  <si>
    <t>0-145303</t>
  </si>
  <si>
    <t>0-145305</t>
  </si>
  <si>
    <t>0-145309</t>
  </si>
  <si>
    <t>0-145312</t>
  </si>
  <si>
    <t>0-145313</t>
  </si>
  <si>
    <t>0-145314</t>
  </si>
  <si>
    <t>0-145315</t>
  </si>
  <si>
    <t>0-145316</t>
  </si>
  <si>
    <t>0-145320</t>
  </si>
  <si>
    <t>0-145322</t>
  </si>
  <si>
    <t>0-145323</t>
  </si>
  <si>
    <t>0-145325</t>
  </si>
  <si>
    <t>0-145326</t>
  </si>
  <si>
    <t>0-145327</t>
  </si>
  <si>
    <t>0-145329</t>
  </si>
  <si>
    <t>0-145330</t>
  </si>
  <si>
    <t>0-145331</t>
  </si>
  <si>
    <t>0-145332</t>
  </si>
  <si>
    <t>0-145333</t>
  </si>
  <si>
    <t>0-145334</t>
  </si>
  <si>
    <t>0-145335</t>
  </si>
  <si>
    <t>0-145337</t>
  </si>
  <si>
    <t>0-145339</t>
  </si>
  <si>
    <t>0-145340</t>
  </si>
  <si>
    <t>0-145342</t>
  </si>
  <si>
    <t>0-145343</t>
  </si>
  <si>
    <t>0-145345</t>
  </si>
  <si>
    <t>0-145346</t>
  </si>
  <si>
    <t>0-145348</t>
  </si>
  <si>
    <t>0-145349</t>
  </si>
  <si>
    <t>0-145350</t>
  </si>
  <si>
    <t>0-145351</t>
  </si>
  <si>
    <t>0-145354</t>
  </si>
  <si>
    <t>0-145357</t>
  </si>
  <si>
    <t>0-145359</t>
  </si>
  <si>
    <t>0-145360</t>
  </si>
  <si>
    <t>0-145361</t>
  </si>
  <si>
    <t>0-145362</t>
  </si>
  <si>
    <t>0-145363</t>
  </si>
  <si>
    <t>0-145364</t>
  </si>
  <si>
    <t>0-145365</t>
  </si>
  <si>
    <t>0-145366</t>
  </si>
  <si>
    <t>0-145367</t>
  </si>
  <si>
    <t>0-145368</t>
  </si>
  <si>
    <t>0-145370</t>
  </si>
  <si>
    <t>0-145371</t>
  </si>
  <si>
    <t>0-145372</t>
  </si>
  <si>
    <t>0-145376</t>
  </si>
  <si>
    <t>0-145377</t>
  </si>
  <si>
    <t>0-145378</t>
  </si>
  <si>
    <t>0-145380</t>
  </si>
  <si>
    <t>0-145381</t>
  </si>
  <si>
    <t>0-145383</t>
  </si>
  <si>
    <t>0-145384</t>
  </si>
  <si>
    <t>0-145385</t>
  </si>
  <si>
    <t>0-145386</t>
  </si>
  <si>
    <t>0-145390</t>
  </si>
  <si>
    <t>0-145391</t>
  </si>
  <si>
    <t>0-145392</t>
  </si>
  <si>
    <t>0-145393</t>
  </si>
  <si>
    <t>0-145394</t>
  </si>
  <si>
    <t>0-145395</t>
  </si>
  <si>
    <t>0-145396</t>
  </si>
  <si>
    <t>0-145397</t>
  </si>
  <si>
    <t>0-145399</t>
  </si>
  <si>
    <t>0-145401</t>
  </si>
  <si>
    <t>0-145402</t>
  </si>
  <si>
    <t>0-145403</t>
  </si>
  <si>
    <t>0-145404</t>
  </si>
  <si>
    <t>0-145406</t>
  </si>
  <si>
    <t>0-145407</t>
  </si>
  <si>
    <t>0-145408</t>
  </si>
  <si>
    <t>0-145409</t>
  </si>
  <si>
    <t>0-145410</t>
  </si>
  <si>
    <t>0-145412</t>
  </si>
  <si>
    <t>0-145413</t>
  </si>
  <si>
    <t>0-145414</t>
  </si>
  <si>
    <t>0-145415</t>
  </si>
  <si>
    <t>0-145416</t>
  </si>
  <si>
    <t>0-145417</t>
  </si>
  <si>
    <t>0-145419</t>
  </si>
  <si>
    <t>0-145421</t>
  </si>
  <si>
    <t>0-145422</t>
  </si>
  <si>
    <t>0-145426</t>
  </si>
  <si>
    <t>0-145429</t>
  </si>
  <si>
    <t>WOW ULAM ADOBO 155G</t>
  </si>
  <si>
    <t>MODESS REGULAR W/ WINGS 8S</t>
  </si>
  <si>
    <t>BUTTER CREAM MACAROON CRACKERS 250G</t>
  </si>
  <si>
    <t>TENDER CARE BABY POWDER CLASSIC MILD 50G</t>
  </si>
  <si>
    <t>TIGER SANDWICH COOKIES STRAWBERRY 9X35G</t>
  </si>
  <si>
    <t>DOVE SHAMPOO INTENSE REPAIR 12ML BUY 11 GET 1 FREE</t>
  </si>
  <si>
    <t>SOFT N WHITE EASY PACK 2PLY 40PULLS</t>
  </si>
  <si>
    <t>MT. KALINGA GROUND COFFEE 200G</t>
  </si>
  <si>
    <t>MASTER MACKEREL RED 155G</t>
  </si>
  <si>
    <t>MAMA SITAS ILOCANO PINAPAITAN BITTER STEW MIX 40G</t>
  </si>
  <si>
    <t>OFF FOR KIDS 6ML</t>
  </si>
  <si>
    <t>GOYA BAR ALMONDS IN MILK CHOCOLATE 35G</t>
  </si>
  <si>
    <t>SAFEGUARD FLORAL PINK W/ ALOE 90G</t>
  </si>
  <si>
    <t>DELFI TREASURES COOKIES N CREAM 4PCS</t>
  </si>
  <si>
    <t>MAMA SITAS BARBECUE MARINADE 150ML</t>
  </si>
  <si>
    <t>POCARI SWEAT 350ML</t>
  </si>
  <si>
    <t>OTC SKYFLAKES CRACKERS 25G</t>
  </si>
  <si>
    <t>SKIN WHITE PAPAYA MILK SPF10 200ML</t>
  </si>
  <si>
    <t>PALMOLIVE VIOLET BUY 11 GET 1 FREE</t>
  </si>
  <si>
    <t>07/09/2026</t>
  </si>
  <si>
    <t>0-145486</t>
  </si>
  <si>
    <t>07/08/2026</t>
  </si>
  <si>
    <t>4806502725900</t>
  </si>
  <si>
    <t>4806526074299</t>
  </si>
  <si>
    <t>888123456782042</t>
  </si>
  <si>
    <t>4800047820304</t>
  </si>
  <si>
    <t>4800047820182</t>
  </si>
  <si>
    <t>0-145431</t>
  </si>
  <si>
    <t>0-145432</t>
  </si>
  <si>
    <t>0-145433</t>
  </si>
  <si>
    <t>0-145435</t>
  </si>
  <si>
    <t>0-145436</t>
  </si>
  <si>
    <t>0-145437</t>
  </si>
  <si>
    <t>0-145438</t>
  </si>
  <si>
    <t>0-145439</t>
  </si>
  <si>
    <t>0-145441</t>
  </si>
  <si>
    <t>0-145443</t>
  </si>
  <si>
    <t>0-145445</t>
  </si>
  <si>
    <t>0-145446</t>
  </si>
  <si>
    <t>0-145447</t>
  </si>
  <si>
    <t>0-145449</t>
  </si>
  <si>
    <t>0-145450</t>
  </si>
  <si>
    <t>0-145455</t>
  </si>
  <si>
    <t>0-145456</t>
  </si>
  <si>
    <t>0-145458</t>
  </si>
  <si>
    <t>0-145459</t>
  </si>
  <si>
    <t>0-145460</t>
  </si>
  <si>
    <t>0-145465</t>
  </si>
  <si>
    <t>0-145466</t>
  </si>
  <si>
    <t>0-145468</t>
  </si>
  <si>
    <t>0-145469</t>
  </si>
  <si>
    <t>0-145470</t>
  </si>
  <si>
    <t>0-145472</t>
  </si>
  <si>
    <t>0-145474</t>
  </si>
  <si>
    <t>0-145476</t>
  </si>
  <si>
    <t>0-145478</t>
  </si>
  <si>
    <t>0-145484</t>
  </si>
  <si>
    <t>0-145487</t>
  </si>
  <si>
    <t>0-145488</t>
  </si>
  <si>
    <t>0-145489</t>
  </si>
  <si>
    <t>0-145490</t>
  </si>
  <si>
    <t>0-145491</t>
  </si>
  <si>
    <t>0-145492</t>
  </si>
  <si>
    <t>0-145493</t>
  </si>
  <si>
    <t>0-145494</t>
  </si>
  <si>
    <t>0-145496</t>
  </si>
  <si>
    <t>0-145497</t>
  </si>
  <si>
    <t>0-145498</t>
  </si>
  <si>
    <t>0-145501</t>
  </si>
  <si>
    <t>0-145502</t>
  </si>
  <si>
    <t>0-145503</t>
  </si>
  <si>
    <t>0-145504</t>
  </si>
  <si>
    <t>0-145505</t>
  </si>
  <si>
    <t>GAR HIGH FIBER WHEAT RAISIN LOAF 600G</t>
  </si>
  <si>
    <t>OTC SUNFLOWER SEEDS 13G</t>
  </si>
  <si>
    <t>OTC O PUFF CHOCO</t>
  </si>
  <si>
    <t>GC ETHYL ALCOHOL W/ MOIST 70% 500ML W/ FREE GC BAR 55G</t>
  </si>
  <si>
    <t>GC ISOP ALCOHOL W/ MOIST 70% 500ML</t>
  </si>
  <si>
    <t>999086</t>
  </si>
  <si>
    <t>999093</t>
  </si>
  <si>
    <t>999091</t>
  </si>
  <si>
    <t>999070</t>
  </si>
  <si>
    <t>999080</t>
  </si>
  <si>
    <t>999081</t>
  </si>
  <si>
    <t>999082</t>
  </si>
  <si>
    <t>999083</t>
  </si>
  <si>
    <t>999084</t>
  </si>
  <si>
    <t>999085</t>
  </si>
  <si>
    <t>0-145509</t>
  </si>
  <si>
    <t>0-145511</t>
  </si>
  <si>
    <t>RBV KAPE DE ILOKO</t>
  </si>
  <si>
    <t>RBV PAPER BAG-3</t>
  </si>
  <si>
    <t>RBV PAPER BAG-1</t>
  </si>
  <si>
    <t>RBV SANDOK BAO 12"</t>
  </si>
  <si>
    <t>RBV TOASTED MAMON</t>
  </si>
  <si>
    <t>RBV MACAPUNO BALLS</t>
  </si>
  <si>
    <t>RBV BISCOCHO</t>
  </si>
  <si>
    <t>RBV GARLIC BREAD</t>
  </si>
  <si>
    <t>RBV SUKA BALER</t>
  </si>
  <si>
    <t>RBV CHOCO DE ILOKO</t>
  </si>
  <si>
    <t>07/10/2026</t>
  </si>
  <si>
    <t>0-145560</t>
  </si>
  <si>
    <t>07/11/2026</t>
  </si>
  <si>
    <t>07/12/2026</t>
  </si>
  <si>
    <t>999003</t>
  </si>
  <si>
    <t>888123456782041</t>
  </si>
  <si>
    <t>4801958260005</t>
  </si>
  <si>
    <t>4800361409117</t>
  </si>
  <si>
    <t>4806500802320</t>
  </si>
  <si>
    <t>0-145514</t>
  </si>
  <si>
    <t>0-145515</t>
  </si>
  <si>
    <t>0-145517</t>
  </si>
  <si>
    <t>0-145518</t>
  </si>
  <si>
    <t>0-145519</t>
  </si>
  <si>
    <t>0-145520</t>
  </si>
  <si>
    <t>0-145521</t>
  </si>
  <si>
    <t>0-145522</t>
  </si>
  <si>
    <t>0-145523</t>
  </si>
  <si>
    <t>0-145524</t>
  </si>
  <si>
    <t>0-145525</t>
  </si>
  <si>
    <t>0-145526</t>
  </si>
  <si>
    <t>0-145527</t>
  </si>
  <si>
    <t>0-145528</t>
  </si>
  <si>
    <t>0-145529</t>
  </si>
  <si>
    <t>0-145530</t>
  </si>
  <si>
    <t>0-145531</t>
  </si>
  <si>
    <t>0-145532</t>
  </si>
  <si>
    <t>0-145534</t>
  </si>
  <si>
    <t>0-145535</t>
  </si>
  <si>
    <t>0-145539</t>
  </si>
  <si>
    <t>0-145540</t>
  </si>
  <si>
    <t>0-145542</t>
  </si>
  <si>
    <t>0-145543</t>
  </si>
  <si>
    <t>0-145544</t>
  </si>
  <si>
    <t>0-145546</t>
  </si>
  <si>
    <t>0-145547</t>
  </si>
  <si>
    <t>0-145548</t>
  </si>
  <si>
    <t>0-145549</t>
  </si>
  <si>
    <t>0-145550</t>
  </si>
  <si>
    <t>0-145551</t>
  </si>
  <si>
    <t>0-145552</t>
  </si>
  <si>
    <t>0-145553</t>
  </si>
  <si>
    <t>0-145554</t>
  </si>
  <si>
    <t>0-145555</t>
  </si>
  <si>
    <t>0-145556</t>
  </si>
  <si>
    <t>0-145557</t>
  </si>
  <si>
    <t>0-145558</t>
  </si>
  <si>
    <t>0-145563</t>
  </si>
  <si>
    <t>0-145564</t>
  </si>
  <si>
    <t>0-145568</t>
  </si>
  <si>
    <t>0-145569</t>
  </si>
  <si>
    <t>0-145570</t>
  </si>
  <si>
    <t>0-145571</t>
  </si>
  <si>
    <t>0-145572</t>
  </si>
  <si>
    <t>0-145574</t>
  </si>
  <si>
    <t>0-145575</t>
  </si>
  <si>
    <t>0-145576</t>
  </si>
  <si>
    <t>0-145577</t>
  </si>
  <si>
    <t>0-145578</t>
  </si>
  <si>
    <t>0-145579</t>
  </si>
  <si>
    <t>0-145582</t>
  </si>
  <si>
    <t>0-145583</t>
  </si>
  <si>
    <t>0-145584</t>
  </si>
  <si>
    <t>0-145585</t>
  </si>
  <si>
    <t>0-145587</t>
  </si>
  <si>
    <t>0-145593</t>
  </si>
  <si>
    <t>0-145595</t>
  </si>
  <si>
    <t>0-145596</t>
  </si>
  <si>
    <t>0-145597</t>
  </si>
  <si>
    <t>0-145598</t>
  </si>
  <si>
    <t>0-145599</t>
  </si>
  <si>
    <t>0-145600</t>
  </si>
  <si>
    <t>0-145601</t>
  </si>
  <si>
    <t>0-145602</t>
  </si>
  <si>
    <t>0-145603</t>
  </si>
  <si>
    <t>0-145605</t>
  </si>
  <si>
    <t>0-145608</t>
  </si>
  <si>
    <t>0-145609</t>
  </si>
  <si>
    <t>0-145610</t>
  </si>
  <si>
    <t>0-145611</t>
  </si>
  <si>
    <t>CONVIE TV LC LED 5D UR7350</t>
  </si>
  <si>
    <t>PANI-COATED PEANUTS</t>
  </si>
  <si>
    <t>AJI-NO-MOTO UMAMI SEASONING 500G</t>
  </si>
  <si>
    <t>NESTLE BEARBRAND CHOCO SWAK PACK 29G</t>
  </si>
  <si>
    <t>MAGIC PANTS PULL-UPS LARGE 10S</t>
  </si>
  <si>
    <t>07/13/2026</t>
  </si>
  <si>
    <t>07/14/2026</t>
  </si>
  <si>
    <t>70192</t>
  </si>
  <si>
    <t>70051</t>
  </si>
  <si>
    <t>70323</t>
  </si>
  <si>
    <t>0-145616</t>
  </si>
  <si>
    <t>0-145647</t>
  </si>
  <si>
    <t>0-145648</t>
  </si>
  <si>
    <t>0-145649</t>
  </si>
  <si>
    <t>0-145650</t>
  </si>
  <si>
    <t>0-145651</t>
  </si>
  <si>
    <t>0-145688</t>
  </si>
  <si>
    <t>0-145689</t>
  </si>
  <si>
    <t>PRINTING EXPANDING FOLDER  LONG-2</t>
  </si>
  <si>
    <t>4800116131003</t>
  </si>
  <si>
    <t>4800116024008</t>
  </si>
  <si>
    <t>4800575241664</t>
  </si>
  <si>
    <t>4800024573544</t>
  </si>
  <si>
    <t>0-145613</t>
  </si>
  <si>
    <t>0-145614</t>
  </si>
  <si>
    <t>0-145615</t>
  </si>
  <si>
    <t>0-145617</t>
  </si>
  <si>
    <t>0-145618</t>
  </si>
  <si>
    <t>0-145620</t>
  </si>
  <si>
    <t>0-145621</t>
  </si>
  <si>
    <t>0-145622</t>
  </si>
  <si>
    <t>0-145623</t>
  </si>
  <si>
    <t>0-145624</t>
  </si>
  <si>
    <t>0-145625</t>
  </si>
  <si>
    <t>0-145629</t>
  </si>
  <si>
    <t>0-145633</t>
  </si>
  <si>
    <t>0-145634</t>
  </si>
  <si>
    <t>0-145636</t>
  </si>
  <si>
    <t>0-145643</t>
  </si>
  <si>
    <t>0-145644</t>
  </si>
  <si>
    <t>0-145652</t>
  </si>
  <si>
    <t>0-145653</t>
  </si>
  <si>
    <t>0-145654</t>
  </si>
  <si>
    <t>0-145655</t>
  </si>
  <si>
    <t>0-145656</t>
  </si>
  <si>
    <t>0-145658</t>
  </si>
  <si>
    <t>0-145659</t>
  </si>
  <si>
    <t>0-145660</t>
  </si>
  <si>
    <t>0-145661</t>
  </si>
  <si>
    <t>0-145662</t>
  </si>
  <si>
    <t>0-145663</t>
  </si>
  <si>
    <t>0-145664</t>
  </si>
  <si>
    <t>0-145665</t>
  </si>
  <si>
    <t>0-145666</t>
  </si>
  <si>
    <t>0-145670</t>
  </si>
  <si>
    <t>0-145674</t>
  </si>
  <si>
    <t>0-145675</t>
  </si>
  <si>
    <t>0-145678</t>
  </si>
  <si>
    <t>0-145681</t>
  </si>
  <si>
    <t>0-145682</t>
  </si>
  <si>
    <t>0-145684</t>
  </si>
  <si>
    <t>0-145685</t>
  </si>
  <si>
    <t>0-145686</t>
  </si>
  <si>
    <t>0-145690</t>
  </si>
  <si>
    <t>OTC BUTTER CREAM CRACKERS LECHE FLAN</t>
  </si>
  <si>
    <t>OTC SUNFLOWER CRACKERS BLUEBERRY</t>
  </si>
  <si>
    <t>ALASKA SWEETENED CONDENSED 377G BUY1TAKE1</t>
  </si>
  <si>
    <t>DM SWEET STYLE SPAGHETTI SAUCE 900G</t>
  </si>
  <si>
    <t>07/15/2026</t>
  </si>
  <si>
    <t>70191</t>
  </si>
  <si>
    <t>70144</t>
  </si>
  <si>
    <t>70224</t>
  </si>
  <si>
    <t>70327</t>
  </si>
  <si>
    <t>70322</t>
  </si>
  <si>
    <t>0-145710</t>
  </si>
  <si>
    <t>0-145711</t>
  </si>
  <si>
    <t>0-145712</t>
  </si>
  <si>
    <t>0-145722</t>
  </si>
  <si>
    <t>0-145726</t>
  </si>
  <si>
    <t>PRINTING RULER JOY</t>
  </si>
  <si>
    <t>PRINTING BROWN ENVELOPE - LONG (NEW)</t>
  </si>
  <si>
    <t>PRINTING EXPANDING FOLDER PINK LONG -2</t>
  </si>
  <si>
    <t>4807770120213</t>
  </si>
  <si>
    <t>4800361420730</t>
  </si>
  <si>
    <t>999087</t>
  </si>
  <si>
    <t>0-145696</t>
  </si>
  <si>
    <t>0-145697</t>
  </si>
  <si>
    <t>0-145698</t>
  </si>
  <si>
    <t>0-145699</t>
  </si>
  <si>
    <t>0-145713</t>
  </si>
  <si>
    <t>0-145714</t>
  </si>
  <si>
    <t>0-145717</t>
  </si>
  <si>
    <t>0-145719</t>
  </si>
  <si>
    <t>0-145720</t>
  </si>
  <si>
    <t>0-145721</t>
  </si>
  <si>
    <t>0-145723</t>
  </si>
  <si>
    <t>0-145724</t>
  </si>
  <si>
    <t>0-145727</t>
  </si>
  <si>
    <t>0-145729</t>
  </si>
  <si>
    <t>0-145730</t>
  </si>
  <si>
    <t>0-145731</t>
  </si>
  <si>
    <t>0-145732</t>
  </si>
  <si>
    <t>0-145733</t>
  </si>
  <si>
    <t>0-145734</t>
  </si>
  <si>
    <t>0-145737</t>
  </si>
  <si>
    <t>NISSIN WAFER CHOCO 20X12G</t>
  </si>
  <si>
    <t>COFFEE-MATE 80G</t>
  </si>
  <si>
    <t>RBV TT-RIC COFFEE</t>
  </si>
  <si>
    <t>07/16/2026</t>
  </si>
  <si>
    <t>07/17/2026</t>
  </si>
  <si>
    <t>07/18/2026</t>
  </si>
  <si>
    <t>07/19/2026</t>
  </si>
  <si>
    <t>07/20/2026</t>
  </si>
  <si>
    <t>4806525940199</t>
  </si>
  <si>
    <t>8998389124160</t>
  </si>
  <si>
    <t>888123456782053</t>
  </si>
  <si>
    <t>888123456782056</t>
  </si>
  <si>
    <t>4902806015560</t>
  </si>
  <si>
    <t>4806501708102</t>
  </si>
  <si>
    <t>0745125096018</t>
  </si>
  <si>
    <t>888123456782054</t>
  </si>
  <si>
    <t>8992760121021</t>
  </si>
  <si>
    <t>4987176361684</t>
  </si>
  <si>
    <t>4806502720219</t>
  </si>
  <si>
    <t>4800888605078</t>
  </si>
  <si>
    <t>4800361420457</t>
  </si>
  <si>
    <t>888123456782059</t>
  </si>
  <si>
    <t>0-145739</t>
  </si>
  <si>
    <t>0-145740</t>
  </si>
  <si>
    <t>0-145741</t>
  </si>
  <si>
    <t>0-145742</t>
  </si>
  <si>
    <t>0-145743</t>
  </si>
  <si>
    <t>0-145744</t>
  </si>
  <si>
    <t>0-145745</t>
  </si>
  <si>
    <t>0-145746</t>
  </si>
  <si>
    <t>0-145747</t>
  </si>
  <si>
    <t>0-145748</t>
  </si>
  <si>
    <t>0-145749</t>
  </si>
  <si>
    <t>0-145750</t>
  </si>
  <si>
    <t>0-145751</t>
  </si>
  <si>
    <t>0-145752</t>
  </si>
  <si>
    <t>0-145753</t>
  </si>
  <si>
    <t>0-145755</t>
  </si>
  <si>
    <t>0-145756</t>
  </si>
  <si>
    <t>0-145757</t>
  </si>
  <si>
    <t>0-145758</t>
  </si>
  <si>
    <t>0-145761</t>
  </si>
  <si>
    <t>0-145762</t>
  </si>
  <si>
    <t>0-145763</t>
  </si>
  <si>
    <t>0-145764</t>
  </si>
  <si>
    <t>0-145765</t>
  </si>
  <si>
    <t>0-145766</t>
  </si>
  <si>
    <t>0-145767</t>
  </si>
  <si>
    <t>0-145768</t>
  </si>
  <si>
    <t>0-145769</t>
  </si>
  <si>
    <t>0-145770</t>
  </si>
  <si>
    <t>0-145771</t>
  </si>
  <si>
    <t>0-145772</t>
  </si>
  <si>
    <t>0-145773</t>
  </si>
  <si>
    <t>0-145776</t>
  </si>
  <si>
    <t>0-145777</t>
  </si>
  <si>
    <t>0-145778</t>
  </si>
  <si>
    <t>0-145779</t>
  </si>
  <si>
    <t>0-145780</t>
  </si>
  <si>
    <t>0-145781</t>
  </si>
  <si>
    <t>0-145782</t>
  </si>
  <si>
    <t>0-145783</t>
  </si>
  <si>
    <t>0-145784</t>
  </si>
  <si>
    <t>0-145785</t>
  </si>
  <si>
    <t>0-145788</t>
  </si>
  <si>
    <t>0-145789</t>
  </si>
  <si>
    <t>0-145792</t>
  </si>
  <si>
    <t>0-145793</t>
  </si>
  <si>
    <t>0-145795</t>
  </si>
  <si>
    <t>0-145797</t>
  </si>
  <si>
    <t>0-145800</t>
  </si>
  <si>
    <t>0-145801</t>
  </si>
  <si>
    <t>0-145802</t>
  </si>
  <si>
    <t>0-145803</t>
  </si>
  <si>
    <t>0-145804</t>
  </si>
  <si>
    <t>0-145807</t>
  </si>
  <si>
    <t>0-145809</t>
  </si>
  <si>
    <t>0-145810</t>
  </si>
  <si>
    <t>0-145813</t>
  </si>
  <si>
    <t>0-145814</t>
  </si>
  <si>
    <t>0-145815</t>
  </si>
  <si>
    <t>0-145816</t>
  </si>
  <si>
    <t>0-145817</t>
  </si>
  <si>
    <t>0-145818</t>
  </si>
  <si>
    <t>0-145819</t>
  </si>
  <si>
    <t>0-145820</t>
  </si>
  <si>
    <t>0-145825</t>
  </si>
  <si>
    <t>0-145826</t>
  </si>
  <si>
    <t>0-145827</t>
  </si>
  <si>
    <t>0-145829</t>
  </si>
  <si>
    <t>0-145830</t>
  </si>
  <si>
    <t>0-145831</t>
  </si>
  <si>
    <t>0-145832</t>
  </si>
  <si>
    <t>0-145835</t>
  </si>
  <si>
    <t>0-145836</t>
  </si>
  <si>
    <t>0-145838</t>
  </si>
  <si>
    <t>0-145843</t>
  </si>
  <si>
    <t>0-145845</t>
  </si>
  <si>
    <t>0-145846</t>
  </si>
  <si>
    <t>0-145848</t>
  </si>
  <si>
    <t>0-145849</t>
  </si>
  <si>
    <t>0-145850</t>
  </si>
  <si>
    <t>0-145851</t>
  </si>
  <si>
    <t>0-145852</t>
  </si>
  <si>
    <t>0-145853</t>
  </si>
  <si>
    <t>0-145854</t>
  </si>
  <si>
    <t>0-145855</t>
  </si>
  <si>
    <t>0-145857</t>
  </si>
  <si>
    <t>0-145858</t>
  </si>
  <si>
    <t>0-145859</t>
  </si>
  <si>
    <t>0-145860</t>
  </si>
  <si>
    <t>0-145861</t>
  </si>
  <si>
    <t>0-145862</t>
  </si>
  <si>
    <t>0-145864</t>
  </si>
  <si>
    <t>0-145865</t>
  </si>
  <si>
    <t>0-145866</t>
  </si>
  <si>
    <t>0-145867</t>
  </si>
  <si>
    <t>0-145868</t>
  </si>
  <si>
    <t>0-145870</t>
  </si>
  <si>
    <t>0-145872</t>
  </si>
  <si>
    <t>0-145874</t>
  </si>
  <si>
    <t>0-145875</t>
  </si>
  <si>
    <t>0-145876</t>
  </si>
  <si>
    <t>0-145878</t>
  </si>
  <si>
    <t>0-145879</t>
  </si>
  <si>
    <t>0-145880</t>
  </si>
  <si>
    <t>0-145881</t>
  </si>
  <si>
    <t>0-145882</t>
  </si>
  <si>
    <t>0-145883</t>
  </si>
  <si>
    <t>0-145884</t>
  </si>
  <si>
    <t>0-145885</t>
  </si>
  <si>
    <t>0-145886</t>
  </si>
  <si>
    <t>0-145887</t>
  </si>
  <si>
    <t>0-145888</t>
  </si>
  <si>
    <t>0-145889</t>
  </si>
  <si>
    <t>0-145890</t>
  </si>
  <si>
    <t>0-145891</t>
  </si>
  <si>
    <t>0-145897</t>
  </si>
  <si>
    <t>0-145899</t>
  </si>
  <si>
    <t>0-145900</t>
  </si>
  <si>
    <t>0-145905</t>
  </si>
  <si>
    <t>0-145906</t>
  </si>
  <si>
    <t>0-145907</t>
  </si>
  <si>
    <t>0-145908</t>
  </si>
  <si>
    <t>0-145910</t>
  </si>
  <si>
    <t>0-145911</t>
  </si>
  <si>
    <t>KINGS FINEST GLUTINOUS RICE FLOUR 500G</t>
  </si>
  <si>
    <t>KUKIS BUTTER COOKIES 60G</t>
  </si>
  <si>
    <t>COXIME PANDA FOIL 12X300-1.3KG</t>
  </si>
  <si>
    <t>QUARTER FOLD TISSUE BROWN</t>
  </si>
  <si>
    <t>GATSBY STYLING WAX MAT&amp;HARD 3G</t>
  </si>
  <si>
    <t>CHAMPION FABRICON PINK FRESH 28ML</t>
  </si>
  <si>
    <t>ALLYSSA SAVERS PATIS 1L</t>
  </si>
  <si>
    <t>SB 16X24 (4.2G) ROLL BAG 5ROLLS</t>
  </si>
  <si>
    <t>OTC OREO VANILLA 26.25G</t>
  </si>
  <si>
    <t>JOY KALAMANSI DISWASHING LIQUID 475ML</t>
  </si>
  <si>
    <t>GAR TOASTIES 25G</t>
  </si>
  <si>
    <t>KNORR SINIGANG NA MAY GABI 11G</t>
  </si>
  <si>
    <t>NESTLE BLUE LEMONADE 200G</t>
  </si>
  <si>
    <t>IBRE750 (BLACK) 6PACKSX50PCS</t>
  </si>
  <si>
    <t>07/21/2026</t>
  </si>
  <si>
    <t>07/22/2026</t>
  </si>
  <si>
    <t>07/23/2026</t>
  </si>
  <si>
    <t>70155</t>
  </si>
  <si>
    <t>70329</t>
  </si>
  <si>
    <t>70207</t>
  </si>
  <si>
    <t>0-145946</t>
  </si>
  <si>
    <t>0-145947</t>
  </si>
  <si>
    <t>0-145948</t>
  </si>
  <si>
    <t>0-145949</t>
  </si>
  <si>
    <t>0-145950</t>
  </si>
  <si>
    <t>0-145951</t>
  </si>
  <si>
    <t>0-145952</t>
  </si>
  <si>
    <t>0-145953</t>
  </si>
  <si>
    <t>0-146001</t>
  </si>
  <si>
    <t>0-146002</t>
  </si>
  <si>
    <t>0-146031</t>
  </si>
  <si>
    <t>0-146032</t>
  </si>
  <si>
    <t>0-146033</t>
  </si>
  <si>
    <t>0-146034</t>
  </si>
  <si>
    <t>PRINTING TAPE DISPENSER</t>
  </si>
  <si>
    <t>PRINTING FAMILIA FOUDATION WHITE SHIRT S-3XL</t>
  </si>
  <si>
    <t>PRINTING BONUS BOND SHORT-2</t>
  </si>
  <si>
    <t>PRINTING FFNE WHITE T-SHIRT W/ DTF PRINT</t>
  </si>
  <si>
    <t>PRINTING FFNE WHITE POLO SHIRT-ADDITIONAL</t>
  </si>
  <si>
    <t>PRINTING MAAM ISING RED &amp; VIOLET T-SHIRT W/ DTF PRINT</t>
  </si>
  <si>
    <t>PRINTING FFNE POLO SHIRT BURDA ONLY - SAMPLE</t>
  </si>
  <si>
    <t>4800361393683</t>
  </si>
  <si>
    <t>4800034015164</t>
  </si>
  <si>
    <t>8992760223039</t>
  </si>
  <si>
    <t>4800216121041</t>
  </si>
  <si>
    <t>4800116054128</t>
  </si>
  <si>
    <t>4800552888004</t>
  </si>
  <si>
    <t>4800016307041</t>
  </si>
  <si>
    <t>888123456782051</t>
  </si>
  <si>
    <t>4800116137029</t>
  </si>
  <si>
    <t>69024894</t>
  </si>
  <si>
    <t>4800552888103</t>
  </si>
  <si>
    <t>8850006480724</t>
  </si>
  <si>
    <t>0-145914</t>
  </si>
  <si>
    <t>0-145915</t>
  </si>
  <si>
    <t>0-145917</t>
  </si>
  <si>
    <t>0-145918</t>
  </si>
  <si>
    <t>0-145919</t>
  </si>
  <si>
    <t>0-145920</t>
  </si>
  <si>
    <t>0-145921</t>
  </si>
  <si>
    <t>0-145922</t>
  </si>
  <si>
    <t>0-145924</t>
  </si>
  <si>
    <t>0-145925</t>
  </si>
  <si>
    <t>0-145926</t>
  </si>
  <si>
    <t>0-145927</t>
  </si>
  <si>
    <t>0-145929</t>
  </si>
  <si>
    <t>0-145930</t>
  </si>
  <si>
    <t>0-145931</t>
  </si>
  <si>
    <t>0-145932</t>
  </si>
  <si>
    <t>0-145936</t>
  </si>
  <si>
    <t>0-145943</t>
  </si>
  <si>
    <t>0-145944</t>
  </si>
  <si>
    <t>0-145945</t>
  </si>
  <si>
    <t>0-145954</t>
  </si>
  <si>
    <t>0-145955</t>
  </si>
  <si>
    <t>0-145956</t>
  </si>
  <si>
    <t>0-145957</t>
  </si>
  <si>
    <t>0-145960</t>
  </si>
  <si>
    <t>0-145961</t>
  </si>
  <si>
    <t>0-145962</t>
  </si>
  <si>
    <t>0-145966</t>
  </si>
  <si>
    <t>0-145968</t>
  </si>
  <si>
    <t>0-145973</t>
  </si>
  <si>
    <t>0-145974</t>
  </si>
  <si>
    <t>0-145975</t>
  </si>
  <si>
    <t>0-145977</t>
  </si>
  <si>
    <t>0-145978</t>
  </si>
  <si>
    <t>0-145979</t>
  </si>
  <si>
    <t>0-145980</t>
  </si>
  <si>
    <t>0-145981</t>
  </si>
  <si>
    <t>0-145982</t>
  </si>
  <si>
    <t>0-145983</t>
  </si>
  <si>
    <t>0-145984</t>
  </si>
  <si>
    <t>0-145985</t>
  </si>
  <si>
    <t>0-145986</t>
  </si>
  <si>
    <t>0-145988</t>
  </si>
  <si>
    <t>0-145990</t>
  </si>
  <si>
    <t>0-145992</t>
  </si>
  <si>
    <t>0-145993</t>
  </si>
  <si>
    <t>0-145995</t>
  </si>
  <si>
    <t>0-145996</t>
  </si>
  <si>
    <t>0-146000</t>
  </si>
  <si>
    <t>0-146003</t>
  </si>
  <si>
    <t>0-146005</t>
  </si>
  <si>
    <t>0-146006</t>
  </si>
  <si>
    <t>0-146007</t>
  </si>
  <si>
    <t>0-146008</t>
  </si>
  <si>
    <t>0-146009</t>
  </si>
  <si>
    <t>0-146010</t>
  </si>
  <si>
    <t>0-146013</t>
  </si>
  <si>
    <t>0-146015</t>
  </si>
  <si>
    <t>0-146017</t>
  </si>
  <si>
    <t>0-146018</t>
  </si>
  <si>
    <t>0-146019</t>
  </si>
  <si>
    <t>0-146020</t>
  </si>
  <si>
    <t>0-146022</t>
  </si>
  <si>
    <t>0-146023</t>
  </si>
  <si>
    <t>0-146024</t>
  </si>
  <si>
    <t>0-146025</t>
  </si>
  <si>
    <t>0-146026</t>
  </si>
  <si>
    <t>0-146027</t>
  </si>
  <si>
    <t>0-146028</t>
  </si>
  <si>
    <t>0-146029</t>
  </si>
  <si>
    <t>0-146030</t>
  </si>
  <si>
    <t>0-146035</t>
  </si>
  <si>
    <t>0-146037</t>
  </si>
  <si>
    <t>0-146040</t>
  </si>
  <si>
    <t>0-146041</t>
  </si>
  <si>
    <t>0-146042</t>
  </si>
  <si>
    <t>0-146045</t>
  </si>
  <si>
    <t>0-146047</t>
  </si>
  <si>
    <t>0-146053</t>
  </si>
  <si>
    <t>0-146054</t>
  </si>
  <si>
    <t>0-146055</t>
  </si>
  <si>
    <t>NESCAFE CLASSIC RESEALABLE 100G</t>
  </si>
  <si>
    <t>HAPEE ECO TUBE-WHITENING 150G</t>
  </si>
  <si>
    <t>OTC OREO CHOCOCREME 26.25G</t>
  </si>
  <si>
    <t>CHEEZY CORN CRUNCH CHEESE 24G</t>
  </si>
  <si>
    <t>LOBO BISCUITS ORIGINAL</t>
  </si>
  <si>
    <t>CHIPS DELIGHT CHOCOLATE CHIP COOKIES 200G</t>
  </si>
  <si>
    <t>DYNAMITE CHOCO MINT CANDY 200G</t>
  </si>
  <si>
    <t>3IN1 PLAIN KRAFT WOODEN CUTLERY SET(SPOON FORK&amp;TISSUE)</t>
  </si>
  <si>
    <t>BUTTER CREAM RAINBOW CRACKERS 10X25G</t>
  </si>
  <si>
    <t>SNICKERS CLASSIC 35G</t>
  </si>
  <si>
    <t>CHIPS DELIGHT STRIPED CHOCOLATE CHIP COOKIES 70G</t>
  </si>
  <si>
    <t>PALMOLIVE HEALTHYSHINE 15ML</t>
  </si>
  <si>
    <t>07/24/2026</t>
  </si>
  <si>
    <t>07/25/2026</t>
  </si>
  <si>
    <t>07/26/2026</t>
  </si>
  <si>
    <t>07/27/2026</t>
  </si>
  <si>
    <t>4800016561443</t>
  </si>
  <si>
    <t>999088</t>
  </si>
  <si>
    <t>999069</t>
  </si>
  <si>
    <t>4800249006674</t>
  </si>
  <si>
    <t>888123456782057</t>
  </si>
  <si>
    <t>888123456782055</t>
  </si>
  <si>
    <t>4806518844022</t>
  </si>
  <si>
    <t>4800086043641</t>
  </si>
  <si>
    <t>4806518846026</t>
  </si>
  <si>
    <t>4806518844015</t>
  </si>
  <si>
    <t>4800417059594</t>
  </si>
  <si>
    <t>OLFM10013-PAIGE-XL</t>
  </si>
  <si>
    <t>888123456781954</t>
  </si>
  <si>
    <t>0-146060</t>
  </si>
  <si>
    <t>0-146061</t>
  </si>
  <si>
    <t>0-146062</t>
  </si>
  <si>
    <t>0-146063</t>
  </si>
  <si>
    <t>0-146064</t>
  </si>
  <si>
    <t>0-146065</t>
  </si>
  <si>
    <t>0-146066</t>
  </si>
  <si>
    <t>0-146067</t>
  </si>
  <si>
    <t>0-146068</t>
  </si>
  <si>
    <t>0-146069</t>
  </si>
  <si>
    <t>0-146070</t>
  </si>
  <si>
    <t>0-146072</t>
  </si>
  <si>
    <t>0-146073</t>
  </si>
  <si>
    <t>0-146074</t>
  </si>
  <si>
    <t>0-146076</t>
  </si>
  <si>
    <t>0-146077</t>
  </si>
  <si>
    <t>0-146078</t>
  </si>
  <si>
    <t>0-146081</t>
  </si>
  <si>
    <t>0-146082</t>
  </si>
  <si>
    <t>0-146083</t>
  </si>
  <si>
    <t>0-146084</t>
  </si>
  <si>
    <t>0-146085</t>
  </si>
  <si>
    <t>0-146088</t>
  </si>
  <si>
    <t>0-146089</t>
  </si>
  <si>
    <t>0-146090</t>
  </si>
  <si>
    <t>0-146091</t>
  </si>
  <si>
    <t>0-146093</t>
  </si>
  <si>
    <t>0-146094</t>
  </si>
  <si>
    <t>0-146096</t>
  </si>
  <si>
    <t>0-146097</t>
  </si>
  <si>
    <t>0-146100</t>
  </si>
  <si>
    <t>0-146101</t>
  </si>
  <si>
    <t>0-146102</t>
  </si>
  <si>
    <t>0-146105</t>
  </si>
  <si>
    <t>0-146107</t>
  </si>
  <si>
    <t>0-146110</t>
  </si>
  <si>
    <t>0-146112</t>
  </si>
  <si>
    <t>0-146115</t>
  </si>
  <si>
    <t>0-146116</t>
  </si>
  <si>
    <t>0-146118</t>
  </si>
  <si>
    <t>0-146119</t>
  </si>
  <si>
    <t>0-146120</t>
  </si>
  <si>
    <t>0-146121</t>
  </si>
  <si>
    <t>0-146122</t>
  </si>
  <si>
    <t>0-146123</t>
  </si>
  <si>
    <t>0-146124</t>
  </si>
  <si>
    <t>0-146125</t>
  </si>
  <si>
    <t>0-146126</t>
  </si>
  <si>
    <t>0-146131</t>
  </si>
  <si>
    <t>0-146132</t>
  </si>
  <si>
    <t>0-146135</t>
  </si>
  <si>
    <t>0-146136</t>
  </si>
  <si>
    <t>0-146137</t>
  </si>
  <si>
    <t>0-146138</t>
  </si>
  <si>
    <t>0-146139</t>
  </si>
  <si>
    <t>0-146141</t>
  </si>
  <si>
    <t>0-146142</t>
  </si>
  <si>
    <t>0-146143</t>
  </si>
  <si>
    <t>0-146144</t>
  </si>
  <si>
    <t>0-146145</t>
  </si>
  <si>
    <t>0-146146</t>
  </si>
  <si>
    <t>0-146147</t>
  </si>
  <si>
    <t>0-146148</t>
  </si>
  <si>
    <t>0-146149</t>
  </si>
  <si>
    <t>0-146150</t>
  </si>
  <si>
    <t>0-146151</t>
  </si>
  <si>
    <t>0-146152</t>
  </si>
  <si>
    <t>0-146153</t>
  </si>
  <si>
    <t>0-146154</t>
  </si>
  <si>
    <t>0-146155</t>
  </si>
  <si>
    <t>0-146163</t>
  </si>
  <si>
    <t>0-146164</t>
  </si>
  <si>
    <t>0-146166</t>
  </si>
  <si>
    <t>0-146167</t>
  </si>
  <si>
    <t>0-146168</t>
  </si>
  <si>
    <t>0-146169</t>
  </si>
  <si>
    <t>0-146170</t>
  </si>
  <si>
    <t>0-146171</t>
  </si>
  <si>
    <t>0-146173</t>
  </si>
  <si>
    <t>0-146174</t>
  </si>
  <si>
    <t>0-146175</t>
  </si>
  <si>
    <t>0-146176</t>
  </si>
  <si>
    <t>0-146177</t>
  </si>
  <si>
    <t>0-146178</t>
  </si>
  <si>
    <t>0-146179</t>
  </si>
  <si>
    <t>0-146180</t>
  </si>
  <si>
    <t>0-146181</t>
  </si>
  <si>
    <t>0-146182</t>
  </si>
  <si>
    <t>0-146183</t>
  </si>
  <si>
    <t>0-146184</t>
  </si>
  <si>
    <t>0-146185</t>
  </si>
  <si>
    <t>0-146186</t>
  </si>
  <si>
    <t>0-146187</t>
  </si>
  <si>
    <t>0-146188</t>
  </si>
  <si>
    <t>0-146189</t>
  </si>
  <si>
    <t>0-146190</t>
  </si>
  <si>
    <t>0-146192</t>
  </si>
  <si>
    <t>0-146193</t>
  </si>
  <si>
    <t>0-146197</t>
  </si>
  <si>
    <t>0-146198</t>
  </si>
  <si>
    <t>0-146201</t>
  </si>
  <si>
    <t>0-146202</t>
  </si>
  <si>
    <t>0-146203</t>
  </si>
  <si>
    <t>0-146205</t>
  </si>
  <si>
    <t>0-146207</t>
  </si>
  <si>
    <t>NISSIN CUP NOODLES HOT CREAMY SEAFOOD 48G</t>
  </si>
  <si>
    <t>RBV BOOSTER COFFEE</t>
  </si>
  <si>
    <t>RBV SANDOK ANAHAW 9"</t>
  </si>
  <si>
    <t>SM CHILI CORNED TUNA 180G</t>
  </si>
  <si>
    <t>IBRE2D (CLEAR) 3PACKSX50PCS</t>
  </si>
  <si>
    <t>KRAFT PAPER BAG 120</t>
  </si>
  <si>
    <t>OTC HONEY HOUSE SOUR CREAM &amp; ONION 22G</t>
  </si>
  <si>
    <t>SEL SOLO PACK PISTACHIO &amp; CASHEW 475ML</t>
  </si>
  <si>
    <t>HONEY HOUSE SOUR CREAM &amp; ONION 220G</t>
  </si>
  <si>
    <t>OTC HONEY HOUSE CLASSIC</t>
  </si>
  <si>
    <t>BENCH DAILY SCENT COLOGNE SUNDAY MORNING 125ML</t>
  </si>
  <si>
    <t>FEM PANTY OG COTTON PLAIN-PAIGE XL</t>
  </si>
  <si>
    <t>0-146210</t>
  </si>
  <si>
    <t>0-146225</t>
  </si>
  <si>
    <t>888123456782043</t>
  </si>
  <si>
    <t>888123456782023</t>
  </si>
  <si>
    <t>0-146211</t>
  </si>
  <si>
    <t>0-146212</t>
  </si>
  <si>
    <t>0-146213</t>
  </si>
  <si>
    <t>0-146214</t>
  </si>
  <si>
    <t>0-146215</t>
  </si>
  <si>
    <t>0-146216</t>
  </si>
  <si>
    <t>0-146217</t>
  </si>
  <si>
    <t>0-146218</t>
  </si>
  <si>
    <t>0-146219</t>
  </si>
  <si>
    <t>0-146220</t>
  </si>
  <si>
    <t>0-146221</t>
  </si>
  <si>
    <t>0-146222</t>
  </si>
  <si>
    <t>0-146223</t>
  </si>
  <si>
    <t>0-146224</t>
  </si>
  <si>
    <t>0-146226</t>
  </si>
  <si>
    <t>0-146228</t>
  </si>
  <si>
    <t>0-146232</t>
  </si>
  <si>
    <t>0-146233</t>
  </si>
  <si>
    <t>0-146235</t>
  </si>
  <si>
    <t>0-146236</t>
  </si>
  <si>
    <t>0-146237</t>
  </si>
  <si>
    <t>0-146239</t>
  </si>
  <si>
    <t>0-146240</t>
  </si>
  <si>
    <t>0-146241</t>
  </si>
  <si>
    <t>0-146243</t>
  </si>
  <si>
    <t>0-146244</t>
  </si>
  <si>
    <t>0-146247</t>
  </si>
  <si>
    <t>0-146248</t>
  </si>
  <si>
    <t>0-146249</t>
  </si>
  <si>
    <t>0-146250</t>
  </si>
  <si>
    <t>0-146251</t>
  </si>
  <si>
    <t>0-146252</t>
  </si>
  <si>
    <t>DM PINEAPPLE JUICE ACE 220ML-3</t>
  </si>
  <si>
    <t>ISYNERGIES-4 DRAWERS LATERAL FILING CABINET</t>
  </si>
  <si>
    <t>0-146253</t>
  </si>
  <si>
    <t>0-146254</t>
  </si>
  <si>
    <t>4800047861406</t>
  </si>
  <si>
    <t>888123456782052</t>
  </si>
  <si>
    <t>0-146255</t>
  </si>
  <si>
    <t>0-146257</t>
  </si>
  <si>
    <t>0-146258</t>
  </si>
  <si>
    <t>0-146259</t>
  </si>
  <si>
    <t>0-146260</t>
  </si>
  <si>
    <t>0-146261</t>
  </si>
  <si>
    <t>0-146262</t>
  </si>
  <si>
    <t>0-146263</t>
  </si>
  <si>
    <t>0-146264</t>
  </si>
  <si>
    <t>0-146265</t>
  </si>
  <si>
    <t>0-146266</t>
  </si>
  <si>
    <t>0-146267</t>
  </si>
  <si>
    <t>0-146268</t>
  </si>
  <si>
    <t>0-146270</t>
  </si>
  <si>
    <t>0-146272</t>
  </si>
  <si>
    <t>0-146273</t>
  </si>
  <si>
    <t>0-146274</t>
  </si>
  <si>
    <t>0-146275</t>
  </si>
  <si>
    <t>0-146276</t>
  </si>
  <si>
    <t>0-146277</t>
  </si>
  <si>
    <t>0-146278</t>
  </si>
  <si>
    <t>0-146280</t>
  </si>
  <si>
    <t>0-146283</t>
  </si>
  <si>
    <t>0-146286</t>
  </si>
  <si>
    <t>0-146287</t>
  </si>
  <si>
    <t>0-146288</t>
  </si>
  <si>
    <t>0-146290</t>
  </si>
  <si>
    <t>0-146291</t>
  </si>
  <si>
    <t>0-146292</t>
  </si>
  <si>
    <t>L&amp;P SCENTSHOP COOL FANTASY 75ML W/ FREE COIN PURSE</t>
  </si>
  <si>
    <t>CLING WRAP 2.74KG 15"X500M</t>
  </si>
  <si>
    <t>70328</t>
  </si>
  <si>
    <t>70143</t>
  </si>
  <si>
    <t>70213</t>
  </si>
  <si>
    <t>70321</t>
  </si>
  <si>
    <t>70057</t>
  </si>
  <si>
    <t>0-146312</t>
  </si>
  <si>
    <t>0-146314</t>
  </si>
  <si>
    <t>0-146315</t>
  </si>
  <si>
    <t>0-146316</t>
  </si>
  <si>
    <t>0-146317</t>
  </si>
  <si>
    <t>0-146318</t>
  </si>
  <si>
    <t>0-146319</t>
  </si>
  <si>
    <t>0-146321</t>
  </si>
  <si>
    <t>0-146324</t>
  </si>
  <si>
    <t>0-146327</t>
  </si>
  <si>
    <t>0-146328</t>
  </si>
  <si>
    <t>0-146329</t>
  </si>
  <si>
    <t>0-146330</t>
  </si>
  <si>
    <t>0-146331</t>
  </si>
  <si>
    <t>0-146332</t>
  </si>
  <si>
    <t>0-146333</t>
  </si>
  <si>
    <t>0-146334</t>
  </si>
  <si>
    <t>0-146335</t>
  </si>
  <si>
    <t>PRINTING PLASTIC FOLDER LONG- ROYAL BLUE</t>
  </si>
  <si>
    <t>PRINTING HEAVY DUTY PUNCHER</t>
  </si>
  <si>
    <t>PRINTING WINDOW ENVELOPE LONG</t>
  </si>
  <si>
    <t>PRINTING PLASTIC FOLDER GREEN LONG - 3</t>
  </si>
  <si>
    <t>PRINTING ELMERS GLUE ALL 40G</t>
  </si>
  <si>
    <t>4800067600665</t>
  </si>
  <si>
    <t>4801234141714</t>
  </si>
  <si>
    <t>4800067600764</t>
  </si>
  <si>
    <t>4800067600726</t>
  </si>
  <si>
    <t>4809015002988</t>
  </si>
  <si>
    <t>4800047865275</t>
  </si>
  <si>
    <t>999068</t>
  </si>
  <si>
    <t>999073</t>
  </si>
  <si>
    <t>0-146294</t>
  </si>
  <si>
    <t>0-146295</t>
  </si>
  <si>
    <t>0-146296</t>
  </si>
  <si>
    <t>0-146297</t>
  </si>
  <si>
    <t>0-146298</t>
  </si>
  <si>
    <t>0-146299</t>
  </si>
  <si>
    <t>0-146300</t>
  </si>
  <si>
    <t>0-146301</t>
  </si>
  <si>
    <t>0-146302</t>
  </si>
  <si>
    <t>0-146303</t>
  </si>
  <si>
    <t>0-146304</t>
  </si>
  <si>
    <t>0-146305</t>
  </si>
  <si>
    <t>0-146306</t>
  </si>
  <si>
    <t>0-146308</t>
  </si>
  <si>
    <t>0-146309</t>
  </si>
  <si>
    <t>0-146310</t>
  </si>
  <si>
    <t>0-146311</t>
  </si>
  <si>
    <t>0-146313</t>
  </si>
  <si>
    <t>0-146320</t>
  </si>
  <si>
    <t>0-146323</t>
  </si>
  <si>
    <t>0-146326</t>
  </si>
  <si>
    <t>0-146336</t>
  </si>
  <si>
    <t>0-146337</t>
  </si>
  <si>
    <t>0-146347</t>
  </si>
  <si>
    <t>0-146348</t>
  </si>
  <si>
    <t>0-146349</t>
  </si>
  <si>
    <t>0-146350</t>
  </si>
  <si>
    <t>0-146351</t>
  </si>
  <si>
    <t>0-146353</t>
  </si>
  <si>
    <t>0-146354</t>
  </si>
  <si>
    <t>0-146358</t>
  </si>
  <si>
    <t>0-146361</t>
  </si>
  <si>
    <t>0-146364</t>
  </si>
  <si>
    <t>0-146369</t>
  </si>
  <si>
    <t>0-146371</t>
  </si>
  <si>
    <t>0-146372</t>
  </si>
  <si>
    <t>ALBATROS JASMINE 100G</t>
  </si>
  <si>
    <t>GLADE AIR FRESHENER MORNING FRESHNESS 320ML</t>
  </si>
  <si>
    <t>ALBATROSS STRAWBERRY 100G</t>
  </si>
  <si>
    <t>ALBATROSS SAMBA 100G</t>
  </si>
  <si>
    <t>TEMOX MULTI-INSECT KILLER BLUE 600ML</t>
  </si>
  <si>
    <t>L&amp;P SCENTSHOP COLOGNE NEW YORK 125ML</t>
  </si>
  <si>
    <t>RBV BAO SANDOK 14"</t>
  </si>
  <si>
    <t>RBV ALMIRIS</t>
  </si>
  <si>
    <t>0-146381</t>
  </si>
  <si>
    <t>0-146399</t>
  </si>
  <si>
    <t>PRINTING MA'AM ISING RED &amp; VIOLET T-SHIRT W/ DTF PRINT</t>
  </si>
  <si>
    <t>UNDEP. 31.50</t>
  </si>
  <si>
    <t>4800361028639</t>
  </si>
  <si>
    <t>4807770100703</t>
  </si>
  <si>
    <t>4806533325254</t>
  </si>
  <si>
    <t>8934868139362</t>
  </si>
  <si>
    <t>4902430197359</t>
  </si>
  <si>
    <t>4800818809323</t>
  </si>
  <si>
    <t>4800016022180</t>
  </si>
  <si>
    <t>748485800448</t>
  </si>
  <si>
    <t>4807770101076</t>
  </si>
  <si>
    <t>0-146386</t>
  </si>
  <si>
    <t>NESTLE KOKO KRUNCH 20G</t>
  </si>
  <si>
    <t>NISSIN BREAD STIX 20G</t>
  </si>
  <si>
    <t>GOYA TAKE IT 2F 2+1</t>
  </si>
  <si>
    <t>SURF FABCON CHARCOAL FRESH 25ML</t>
  </si>
  <si>
    <t>SAFEGUARD BAR ARCTIC FRESH 130G</t>
  </si>
  <si>
    <t>FRUTOS MINIBITS FRUITS 10G</t>
  </si>
  <si>
    <t>GREAT TASTE WHITE CREMA TWINPACK 50G</t>
  </si>
  <si>
    <t>ARGENTINA MEAT LOAF 250G</t>
  </si>
  <si>
    <t>NISSIN CUBEE WAFER CHOCO N CREAM FLAVOR 25G</t>
  </si>
  <si>
    <t>N/A</t>
  </si>
  <si>
    <t>PRINTING EXPANDING FOLDER ORANGE LONG</t>
  </si>
  <si>
    <t>PRINTING DINAS CATERING MOCHA POLO SHIRT</t>
  </si>
  <si>
    <t>TO RECLASS SALES FOR UNCLAIMED RAFFLE ITEMS IN GENERAL ASSEMBLY FOR THE PERIOD OF JULY 2026.</t>
  </si>
  <si>
    <t>AUGUST 2026</t>
  </si>
  <si>
    <t>08/11/2026</t>
  </si>
  <si>
    <t>08/12/2026</t>
  </si>
  <si>
    <t>08/13/2026</t>
  </si>
  <si>
    <t>70073</t>
  </si>
  <si>
    <t>70330</t>
  </si>
  <si>
    <t>0-146712</t>
  </si>
  <si>
    <t>0-146731</t>
  </si>
  <si>
    <t>0-146749</t>
  </si>
  <si>
    <t>0-146807</t>
  </si>
  <si>
    <t>0-146808</t>
  </si>
  <si>
    <t>0-146809</t>
  </si>
  <si>
    <t>0-146810</t>
  </si>
  <si>
    <t>0-146815</t>
  </si>
  <si>
    <t>PRINTING BONUS BOND LONG-2</t>
  </si>
  <si>
    <t>08/01/2026</t>
  </si>
  <si>
    <t>08/02/2026</t>
  </si>
  <si>
    <t>08/03/2026</t>
  </si>
  <si>
    <t>08/04/2026</t>
  </si>
  <si>
    <t>08/05/2026</t>
  </si>
  <si>
    <t>08/06/2026</t>
  </si>
  <si>
    <t>08/07/2026</t>
  </si>
  <si>
    <t>08/08/2026</t>
  </si>
  <si>
    <t>08/09/2026</t>
  </si>
  <si>
    <t>08/10/2026</t>
  </si>
  <si>
    <t>08/14/2026</t>
  </si>
  <si>
    <t>4809015002995</t>
  </si>
  <si>
    <t>4800142118283</t>
  </si>
  <si>
    <t>4800016557217</t>
  </si>
  <si>
    <t>4800142110089</t>
  </si>
  <si>
    <t>8999999035624</t>
  </si>
  <si>
    <t>00042</t>
  </si>
  <si>
    <t>888123456782060</t>
  </si>
  <si>
    <t>888123456782050</t>
  </si>
  <si>
    <t>8410028905041</t>
  </si>
  <si>
    <t>8996001320051</t>
  </si>
  <si>
    <t>888123456782088</t>
  </si>
  <si>
    <t>888123456782087</t>
  </si>
  <si>
    <t>888123456782084</t>
  </si>
  <si>
    <t>888123456782063</t>
  </si>
  <si>
    <t>888123456782065</t>
  </si>
  <si>
    <t>4800060202101</t>
  </si>
  <si>
    <t>4807770122712</t>
  </si>
  <si>
    <t>4800016022265</t>
  </si>
  <si>
    <t>888123456782070</t>
  </si>
  <si>
    <t>888123456782069</t>
  </si>
  <si>
    <t>888123456782073</t>
  </si>
  <si>
    <t>888123456782074</t>
  </si>
  <si>
    <t>888123456782075</t>
  </si>
  <si>
    <t>4800067600481</t>
  </si>
  <si>
    <t>999002</t>
  </si>
  <si>
    <t>888123456782067</t>
  </si>
  <si>
    <t>888123456782085</t>
  </si>
  <si>
    <t>888123456782068</t>
  </si>
  <si>
    <t>888123456782066</t>
  </si>
  <si>
    <t>888123456782072</t>
  </si>
  <si>
    <t>888123456782076</t>
  </si>
  <si>
    <t>888123456782077</t>
  </si>
  <si>
    <t>888123456782078</t>
  </si>
  <si>
    <t>888123456782079</t>
  </si>
  <si>
    <t>888123456782080</t>
  </si>
  <si>
    <t>888123456782082</t>
  </si>
  <si>
    <t>888123456782083</t>
  </si>
  <si>
    <t>888123456782081</t>
  </si>
  <si>
    <t>888123456782086</t>
  </si>
  <si>
    <t>888123456782071</t>
  </si>
  <si>
    <t>888123456782062</t>
  </si>
  <si>
    <t>4806520150043</t>
  </si>
  <si>
    <t>4800116150028</t>
  </si>
  <si>
    <t>8996001320136</t>
  </si>
  <si>
    <t>888123456781877</t>
  </si>
  <si>
    <t>4800010961447</t>
  </si>
  <si>
    <t>888123456781263</t>
  </si>
  <si>
    <t>888123456781262</t>
  </si>
  <si>
    <t>999058</t>
  </si>
  <si>
    <t>4987176363411</t>
  </si>
  <si>
    <t>4800620848527</t>
  </si>
  <si>
    <t>8851028002505</t>
  </si>
  <si>
    <t>4800047865565</t>
  </si>
  <si>
    <t>888123456782089</t>
  </si>
  <si>
    <t>4800154156884</t>
  </si>
  <si>
    <t>888123456782012</t>
  </si>
  <si>
    <t>888123456781560</t>
  </si>
  <si>
    <t>4809015665312</t>
  </si>
  <si>
    <t>0-146401</t>
  </si>
  <si>
    <t>0-146402</t>
  </si>
  <si>
    <t>0-146403</t>
  </si>
  <si>
    <t>0-146405</t>
  </si>
  <si>
    <t>0-146406</t>
  </si>
  <si>
    <t>0-146407</t>
  </si>
  <si>
    <t>0-146408</t>
  </si>
  <si>
    <t>0-146411</t>
  </si>
  <si>
    <t>0-146419</t>
  </si>
  <si>
    <t>0-146420</t>
  </si>
  <si>
    <t>0-146423</t>
  </si>
  <si>
    <t>0-146424</t>
  </si>
  <si>
    <t>0-146425</t>
  </si>
  <si>
    <t>0-146426</t>
  </si>
  <si>
    <t>0-146429</t>
  </si>
  <si>
    <t>0-146431</t>
  </si>
  <si>
    <t>0-146432</t>
  </si>
  <si>
    <t>0-146434</t>
  </si>
  <si>
    <t>0-146435</t>
  </si>
  <si>
    <t>0-146436</t>
  </si>
  <si>
    <t>0-146440</t>
  </si>
  <si>
    <t>0-146441</t>
  </si>
  <si>
    <t>0-146442</t>
  </si>
  <si>
    <t>0-146443</t>
  </si>
  <si>
    <t>0-146444</t>
  </si>
  <si>
    <t>0-146446</t>
  </si>
  <si>
    <t>0-146448</t>
  </si>
  <si>
    <t>0-146449</t>
  </si>
  <si>
    <t>0-146452</t>
  </si>
  <si>
    <t>0-146453</t>
  </si>
  <si>
    <t>0-146454</t>
  </si>
  <si>
    <t>0-146455</t>
  </si>
  <si>
    <t>0-146456</t>
  </si>
  <si>
    <t>0-146457</t>
  </si>
  <si>
    <t>0-146458</t>
  </si>
  <si>
    <t>0-146460</t>
  </si>
  <si>
    <t>0-146461</t>
  </si>
  <si>
    <t>0-146462</t>
  </si>
  <si>
    <t>0-146463</t>
  </si>
  <si>
    <t>0-146464</t>
  </si>
  <si>
    <t>0-146466</t>
  </si>
  <si>
    <t>0-146468</t>
  </si>
  <si>
    <t>0-146470</t>
  </si>
  <si>
    <t>0-146472</t>
  </si>
  <si>
    <t>0-146473</t>
  </si>
  <si>
    <t>0-146474</t>
  </si>
  <si>
    <t>0-146475</t>
  </si>
  <si>
    <t>0-146476</t>
  </si>
  <si>
    <t>0-146481</t>
  </si>
  <si>
    <t>0-146482</t>
  </si>
  <si>
    <t>0-146483</t>
  </si>
  <si>
    <t>0-146484</t>
  </si>
  <si>
    <t>0-146486</t>
  </si>
  <si>
    <t>0-146487</t>
  </si>
  <si>
    <t>0-146490</t>
  </si>
  <si>
    <t>0-146491</t>
  </si>
  <si>
    <t>0-146493</t>
  </si>
  <si>
    <t>0-146494</t>
  </si>
  <si>
    <t>0-146495</t>
  </si>
  <si>
    <t>0-146496</t>
  </si>
  <si>
    <t>0-146498</t>
  </si>
  <si>
    <t>0-146501</t>
  </si>
  <si>
    <t>0-146503</t>
  </si>
  <si>
    <t>0-146504</t>
  </si>
  <si>
    <t>0-146505</t>
  </si>
  <si>
    <t>0-146506</t>
  </si>
  <si>
    <t>0-146509</t>
  </si>
  <si>
    <t>0-146510</t>
  </si>
  <si>
    <t>0-146511</t>
  </si>
  <si>
    <t>0-146513</t>
  </si>
  <si>
    <t>0-146514</t>
  </si>
  <si>
    <t>0-146515</t>
  </si>
  <si>
    <t>0-146516</t>
  </si>
  <si>
    <t>0-146517</t>
  </si>
  <si>
    <t>0-146519</t>
  </si>
  <si>
    <t>0-146520</t>
  </si>
  <si>
    <t>0-146521</t>
  </si>
  <si>
    <t>0-146522</t>
  </si>
  <si>
    <t>0-146523</t>
  </si>
  <si>
    <t>0-146524</t>
  </si>
  <si>
    <t>0-146525</t>
  </si>
  <si>
    <t>0-146527</t>
  </si>
  <si>
    <t>0-146528</t>
  </si>
  <si>
    <t>0-146530</t>
  </si>
  <si>
    <t>0-146531</t>
  </si>
  <si>
    <t>0-146533</t>
  </si>
  <si>
    <t>0-146536</t>
  </si>
  <si>
    <t>0-146538</t>
  </si>
  <si>
    <t>0-146539</t>
  </si>
  <si>
    <t>0-146540</t>
  </si>
  <si>
    <t>0-146541</t>
  </si>
  <si>
    <t>0-146542</t>
  </si>
  <si>
    <t>0-146543</t>
  </si>
  <si>
    <t>0-146545</t>
  </si>
  <si>
    <t>0-146546</t>
  </si>
  <si>
    <t>0-146547</t>
  </si>
  <si>
    <t>0-146548</t>
  </si>
  <si>
    <t>0-146550</t>
  </si>
  <si>
    <t>0-146554</t>
  </si>
  <si>
    <t>0-146555</t>
  </si>
  <si>
    <t>0-146556</t>
  </si>
  <si>
    <t>0-146557</t>
  </si>
  <si>
    <t>0-146558</t>
  </si>
  <si>
    <t>0-146561</t>
  </si>
  <si>
    <t>0-146564</t>
  </si>
  <si>
    <t>0-146565</t>
  </si>
  <si>
    <t>0-146568</t>
  </si>
  <si>
    <t>0-146569</t>
  </si>
  <si>
    <t>0-146570</t>
  </si>
  <si>
    <t>0-146573</t>
  </si>
  <si>
    <t>0-146574</t>
  </si>
  <si>
    <t>0-146575</t>
  </si>
  <si>
    <t>0-146577</t>
  </si>
  <si>
    <t>0-146578</t>
  </si>
  <si>
    <t>0-146579</t>
  </si>
  <si>
    <t>0-146580</t>
  </si>
  <si>
    <t>0-146581</t>
  </si>
  <si>
    <t>0-146582</t>
  </si>
  <si>
    <t>0-146584</t>
  </si>
  <si>
    <t>0-146585</t>
  </si>
  <si>
    <t>0-146586</t>
  </si>
  <si>
    <t>0-146587</t>
  </si>
  <si>
    <t>0-146588</t>
  </si>
  <si>
    <t>0-146589</t>
  </si>
  <si>
    <t>0-146590</t>
  </si>
  <si>
    <t>0-146591</t>
  </si>
  <si>
    <t>0-146592</t>
  </si>
  <si>
    <t>0-146593</t>
  </si>
  <si>
    <t>0-146594</t>
  </si>
  <si>
    <t>0-146595</t>
  </si>
  <si>
    <t>0-146596</t>
  </si>
  <si>
    <t>0-146597</t>
  </si>
  <si>
    <t>0-146598</t>
  </si>
  <si>
    <t>0-146599</t>
  </si>
  <si>
    <t>0-146600</t>
  </si>
  <si>
    <t>0-146609</t>
  </si>
  <si>
    <t>0-146610</t>
  </si>
  <si>
    <t>0-146611</t>
  </si>
  <si>
    <t>0-146612</t>
  </si>
  <si>
    <t>0-146613</t>
  </si>
  <si>
    <t>0-146614</t>
  </si>
  <si>
    <t>0-146618</t>
  </si>
  <si>
    <t>0-146619</t>
  </si>
  <si>
    <t>0-146621</t>
  </si>
  <si>
    <t>0-146622</t>
  </si>
  <si>
    <t>0-146623</t>
  </si>
  <si>
    <t>0-146628</t>
  </si>
  <si>
    <t>0-146629</t>
  </si>
  <si>
    <t>0-146630</t>
  </si>
  <si>
    <t>0-146631</t>
  </si>
  <si>
    <t>0-146632</t>
  </si>
  <si>
    <t>0-146633</t>
  </si>
  <si>
    <t>0-146635</t>
  </si>
  <si>
    <t>0-146636</t>
  </si>
  <si>
    <t>0-146642</t>
  </si>
  <si>
    <t>0-146643</t>
  </si>
  <si>
    <t>0-146645</t>
  </si>
  <si>
    <t>0-146646</t>
  </si>
  <si>
    <t>0-146650</t>
  </si>
  <si>
    <t>0-146651</t>
  </si>
  <si>
    <t>0-146652</t>
  </si>
  <si>
    <t>0-146653</t>
  </si>
  <si>
    <t>0-146656</t>
  </si>
  <si>
    <t>0-146657</t>
  </si>
  <si>
    <t>0-146659</t>
  </si>
  <si>
    <t>0-146661</t>
  </si>
  <si>
    <t>0-146662</t>
  </si>
  <si>
    <t>0-146666</t>
  </si>
  <si>
    <t>0-146668</t>
  </si>
  <si>
    <t>0-146670</t>
  </si>
  <si>
    <t>0-146671</t>
  </si>
  <si>
    <t>0-146676</t>
  </si>
  <si>
    <t>0-146678</t>
  </si>
  <si>
    <t>0-146681</t>
  </si>
  <si>
    <t>0-146682</t>
  </si>
  <si>
    <t>0-146683</t>
  </si>
  <si>
    <t>0-146684</t>
  </si>
  <si>
    <t>0-146687</t>
  </si>
  <si>
    <t>0-146689</t>
  </si>
  <si>
    <t>0-146690</t>
  </si>
  <si>
    <t>0-146692</t>
  </si>
  <si>
    <t>0-146693</t>
  </si>
  <si>
    <t>0-146694</t>
  </si>
  <si>
    <t>0-146696</t>
  </si>
  <si>
    <t>0-146699</t>
  </si>
  <si>
    <t>0-146700</t>
  </si>
  <si>
    <t>0-146701</t>
  </si>
  <si>
    <t>0-146705</t>
  </si>
  <si>
    <t>0-146706</t>
  </si>
  <si>
    <t>0-146708</t>
  </si>
  <si>
    <t>0-146709</t>
  </si>
  <si>
    <t>0-146710</t>
  </si>
  <si>
    <t>0-146711</t>
  </si>
  <si>
    <t>0-146715</t>
  </si>
  <si>
    <t>0-146717</t>
  </si>
  <si>
    <t>0-146718</t>
  </si>
  <si>
    <t>0-146719</t>
  </si>
  <si>
    <t>0-146720</t>
  </si>
  <si>
    <t>0-146721</t>
  </si>
  <si>
    <t>0-146722</t>
  </si>
  <si>
    <t>0-146726</t>
  </si>
  <si>
    <t>0-146727</t>
  </si>
  <si>
    <t>0-146728</t>
  </si>
  <si>
    <t>0-146730</t>
  </si>
  <si>
    <t>0-146732</t>
  </si>
  <si>
    <t>0-146733</t>
  </si>
  <si>
    <t>0-146734</t>
  </si>
  <si>
    <t>0-146735</t>
  </si>
  <si>
    <t>0-146737</t>
  </si>
  <si>
    <t>0-146738</t>
  </si>
  <si>
    <t>0-146740</t>
  </si>
  <si>
    <t>0-146741</t>
  </si>
  <si>
    <t>0-146743</t>
  </si>
  <si>
    <t>0-146747</t>
  </si>
  <si>
    <t>0-146750</t>
  </si>
  <si>
    <t>0-146752</t>
  </si>
  <si>
    <t>0-146757</t>
  </si>
  <si>
    <t>0-146758</t>
  </si>
  <si>
    <t>0-146759</t>
  </si>
  <si>
    <t>0-146762</t>
  </si>
  <si>
    <t>0-146763</t>
  </si>
  <si>
    <t>0-146765</t>
  </si>
  <si>
    <t>0-146767</t>
  </si>
  <si>
    <t>0-146768</t>
  </si>
  <si>
    <t>0-146769</t>
  </si>
  <si>
    <t>0-146770</t>
  </si>
  <si>
    <t>0-146771</t>
  </si>
  <si>
    <t>0-146772</t>
  </si>
  <si>
    <t>0-146773</t>
  </si>
  <si>
    <t>0-146774</t>
  </si>
  <si>
    <t>0-146775</t>
  </si>
  <si>
    <t>0-146777</t>
  </si>
  <si>
    <t>0-146778</t>
  </si>
  <si>
    <t>0-146781</t>
  </si>
  <si>
    <t>0-146782</t>
  </si>
  <si>
    <t>0-146785</t>
  </si>
  <si>
    <t>0-146787</t>
  </si>
  <si>
    <t>0-146788</t>
  </si>
  <si>
    <t>0-146790</t>
  </si>
  <si>
    <t>0-146791</t>
  </si>
  <si>
    <t>0-146792</t>
  </si>
  <si>
    <t>0-146793</t>
  </si>
  <si>
    <t>0-146794</t>
  </si>
  <si>
    <t>0-146795</t>
  </si>
  <si>
    <t>0-146796</t>
  </si>
  <si>
    <t>0-146797</t>
  </si>
  <si>
    <t>0-146799</t>
  </si>
  <si>
    <t>0-146800</t>
  </si>
  <si>
    <t>0-146801</t>
  </si>
  <si>
    <t>0-146802</t>
  </si>
  <si>
    <t>0-146803</t>
  </si>
  <si>
    <t>0-146805</t>
  </si>
  <si>
    <t>0-146811</t>
  </si>
  <si>
    <t>0-146813</t>
  </si>
  <si>
    <t>0-146814</t>
  </si>
  <si>
    <t>0-146816</t>
  </si>
  <si>
    <t>0-146822</t>
  </si>
  <si>
    <t>0-146823</t>
  </si>
  <si>
    <t>0-146824</t>
  </si>
  <si>
    <t>0-146825</t>
  </si>
  <si>
    <t>0-146826</t>
  </si>
  <si>
    <t>0-146832</t>
  </si>
  <si>
    <t>0-146833</t>
  </si>
  <si>
    <t>0-146834</t>
  </si>
  <si>
    <t>0-146835</t>
  </si>
  <si>
    <t>0-146836</t>
  </si>
  <si>
    <t>0-146837</t>
  </si>
  <si>
    <t>0-146838</t>
  </si>
  <si>
    <t>0-146839</t>
  </si>
  <si>
    <t>0-146840</t>
  </si>
  <si>
    <t>0-146843</t>
  </si>
  <si>
    <t>0-146844</t>
  </si>
  <si>
    <t>0-146845</t>
  </si>
  <si>
    <t>0-146846</t>
  </si>
  <si>
    <t>0-146847</t>
  </si>
  <si>
    <t>0-146849</t>
  </si>
  <si>
    <t>0-146850</t>
  </si>
  <si>
    <t>0-146851</t>
  </si>
  <si>
    <t>0-146852</t>
  </si>
  <si>
    <t>0-146853</t>
  </si>
  <si>
    <t>0-146854</t>
  </si>
  <si>
    <t>0-146855</t>
  </si>
  <si>
    <t>0-146856</t>
  </si>
  <si>
    <t>TEMOX MULTI-INSECT KILLER WATER BASED 600ML</t>
  </si>
  <si>
    <t>EMPERADOR DOUBLE LIGHT 750ML</t>
  </si>
  <si>
    <t>NISSIN CUP NOODLES SOTANGHON 30G</t>
  </si>
  <si>
    <t>EMPERADOR LIGHT 750ML</t>
  </si>
  <si>
    <t>MAGNUM MINI VANILLA CLASSIC 45ML</t>
  </si>
  <si>
    <t>CONVIE NUTRI CHOCO 110MLX24</t>
  </si>
  <si>
    <t>IBRE100 (BLACK) 6PACKSX50PCS</t>
  </si>
  <si>
    <t>2IN1 WOODEN CUTLERY SET(FORK&amp;NAPKIN)</t>
  </si>
  <si>
    <t>ALFONSO LIGHT 1L TRIPACK W/ POCARI</t>
  </si>
  <si>
    <t>KOPIKO COFFE CANDY 175G</t>
  </si>
  <si>
    <t>MAM MJ-NIPS WHITE CHOCO MINIS 4G PACK</t>
  </si>
  <si>
    <t>MAM MJ-NIPS MILK CHOCO MINIS 4G PACK</t>
  </si>
  <si>
    <t>MAM MJ - PAPERCUP 6.5OZ</t>
  </si>
  <si>
    <t xml:space="preserve">MAM MJ - VENDO </t>
  </si>
  <si>
    <t xml:space="preserve">MAM MJ - YELO </t>
  </si>
  <si>
    <t>KLEENEX ULTRA STYLE 200 SHEETS 2-PLY</t>
  </si>
  <si>
    <t>MONDE CHOCO PUFF 240G</t>
  </si>
  <si>
    <t>GREAT TASTE WHITE TWIN PACK 50G</t>
  </si>
  <si>
    <t>MAM MJ - MM FRESH APPLE</t>
  </si>
  <si>
    <t>MAM MJ - MM FRESH ORANGE</t>
  </si>
  <si>
    <t>MAM MJ - LS CHS CAKE</t>
  </si>
  <si>
    <t>MAM MJ - MAMON CLSS43G</t>
  </si>
  <si>
    <t>MAM MJ - CURLY TOPS BAG</t>
  </si>
  <si>
    <t>ALBATROSS JASMINE 50G</t>
  </si>
  <si>
    <t>ASKI-WATER DISPENSER</t>
  </si>
  <si>
    <t>MAM MJ - P.BOWL</t>
  </si>
  <si>
    <t>MAM MJ - PAPERCUP 8OZ 50IN1</t>
  </si>
  <si>
    <t>MAM MJ - SPOON</t>
  </si>
  <si>
    <t>MAM MJ - P.CUP 2</t>
  </si>
  <si>
    <t>MAM MJ - STIRRER</t>
  </si>
  <si>
    <t>MAM MJ - SMCFSWHT10G</t>
  </si>
  <si>
    <t>MAM MJ - KOPIKO LA CFFEE</t>
  </si>
  <si>
    <t>MAM MJ - SNMG CFSTANG</t>
  </si>
  <si>
    <t>MAM MJ - HAPPYNUTS</t>
  </si>
  <si>
    <t>MAM MJ - DINGDONG</t>
  </si>
  <si>
    <t>MAM MJ - DRAGON SID</t>
  </si>
  <si>
    <t>MAM MJ - SUGO PEANUT</t>
  </si>
  <si>
    <t>MAM MJ - FLAT TOPS</t>
  </si>
  <si>
    <t>MAM MJ - PAPERPLATE LAMINATED</t>
  </si>
  <si>
    <t>MAM MJ - PAPERCUP 8OZ</t>
  </si>
  <si>
    <t>MAM MJ - PAPERCUP 6.5</t>
  </si>
  <si>
    <t>HAW-HAW CHOCO 40X40S</t>
  </si>
  <si>
    <t>LOBO SUPREME BISCUITS</t>
  </si>
  <si>
    <t>KOPIKO CAPPUCCINO CANDY 175G</t>
  </si>
  <si>
    <t>COBRA ORIG FLAVOR ASTIG 300ML</t>
  </si>
  <si>
    <t>CLOUD 9 CLASSIC 28G</t>
  </si>
  <si>
    <t>NIPS PEANUT 14G</t>
  </si>
  <si>
    <t>NIPS MILK CHOCOLATE 14G</t>
  </si>
  <si>
    <t>CONVIE AUX FLOOR MOUNTED AIRCON 3TR W/ MOBILIZATION</t>
  </si>
  <si>
    <t>CONVIE DISMANTLE OLD UNIT</t>
  </si>
  <si>
    <t>DOWNY COTTON FRESH 24ML</t>
  </si>
  <si>
    <t>STAY FRESH MENTHOL CANDY 40PCS</t>
  </si>
  <si>
    <t>VITAMILK DOUBLE CHOCO SHAKE 300ML</t>
  </si>
  <si>
    <t>L&amp;P SCENTSHOP PINK PASSION 125ML</t>
  </si>
  <si>
    <t>IBRE 1000ML CLEAR</t>
  </si>
  <si>
    <t>UNIPAK SQUID 425G</t>
  </si>
  <si>
    <t>KULTURA MUSHROOM ASSRTED 100G</t>
  </si>
  <si>
    <t>SUPER MORINGA HERBAL CREAM 25G</t>
  </si>
  <si>
    <t>SUPER MORINGA MOISTURIZING MASSAGE OIL 60ML</t>
  </si>
  <si>
    <t>08/15/2026</t>
  </si>
  <si>
    <t>08/16/2026</t>
  </si>
  <si>
    <t>4800086040893</t>
  </si>
  <si>
    <t>0-146858</t>
  </si>
  <si>
    <t>0-146859</t>
  </si>
  <si>
    <t>0-146860</t>
  </si>
  <si>
    <t>0-146861</t>
  </si>
  <si>
    <t>0-146862</t>
  </si>
  <si>
    <t>0-146865</t>
  </si>
  <si>
    <t>0-146866</t>
  </si>
  <si>
    <t>0-146867</t>
  </si>
  <si>
    <t>0-146869</t>
  </si>
  <si>
    <t>0-146871</t>
  </si>
  <si>
    <t>0-146872</t>
  </si>
  <si>
    <t>0-146873</t>
  </si>
  <si>
    <t>0-146874</t>
  </si>
  <si>
    <t>0-146875</t>
  </si>
  <si>
    <t>0-146876</t>
  </si>
  <si>
    <t>0-146877</t>
  </si>
  <si>
    <t>0-146878</t>
  </si>
  <si>
    <t>0-146883</t>
  </si>
  <si>
    <t>0-146884</t>
  </si>
  <si>
    <t>0-146885</t>
  </si>
  <si>
    <t>0-146887</t>
  </si>
  <si>
    <t>0-146892</t>
  </si>
  <si>
    <t>0-146893</t>
  </si>
  <si>
    <t>0-146894</t>
  </si>
  <si>
    <t>0-146895</t>
  </si>
  <si>
    <t>0-146896</t>
  </si>
  <si>
    <t>0-146897</t>
  </si>
  <si>
    <t>0-146898</t>
  </si>
  <si>
    <t>0-146899</t>
  </si>
  <si>
    <t>0-146900</t>
  </si>
  <si>
    <t>0-146902</t>
  </si>
  <si>
    <t>0-146903</t>
  </si>
  <si>
    <t>0-146904</t>
  </si>
  <si>
    <t>0-146905</t>
  </si>
  <si>
    <t>0-146906</t>
  </si>
  <si>
    <t>0-146908</t>
  </si>
  <si>
    <t>0-146909</t>
  </si>
  <si>
    <t>0-146910</t>
  </si>
  <si>
    <t>0-146911</t>
  </si>
  <si>
    <t>0-146916</t>
  </si>
  <si>
    <t>0-146918</t>
  </si>
  <si>
    <t>0-146920</t>
  </si>
  <si>
    <t>0-146921</t>
  </si>
  <si>
    <t>0-146923</t>
  </si>
  <si>
    <t>0-146925</t>
  </si>
  <si>
    <t>0-146926</t>
  </si>
  <si>
    <t>SEL SUP COOKIES &amp; CREAM 750ML</t>
  </si>
  <si>
    <t>08/18/2026</t>
  </si>
  <si>
    <t>70242</t>
  </si>
  <si>
    <t>0-146966</t>
  </si>
  <si>
    <t>0-146967</t>
  </si>
  <si>
    <t>0-146968</t>
  </si>
  <si>
    <t>0-146969</t>
  </si>
  <si>
    <t>0-146970</t>
  </si>
  <si>
    <t>PRINTING MCDC RAFFLE TICKET</t>
  </si>
  <si>
    <t>08/17/2026</t>
  </si>
  <si>
    <t>4800116137005</t>
  </si>
  <si>
    <t>888123456782048</t>
  </si>
  <si>
    <t>999071</t>
  </si>
  <si>
    <t>888123456782064</t>
  </si>
  <si>
    <t>999077</t>
  </si>
  <si>
    <t>0-146927</t>
  </si>
  <si>
    <t>0-146931</t>
  </si>
  <si>
    <t>0-146932</t>
  </si>
  <si>
    <t>0-146933</t>
  </si>
  <si>
    <t>0-146934</t>
  </si>
  <si>
    <t>0-146935</t>
  </si>
  <si>
    <t>0-146936</t>
  </si>
  <si>
    <t>0-146937</t>
  </si>
  <si>
    <t>0-146938</t>
  </si>
  <si>
    <t>0-146939</t>
  </si>
  <si>
    <t>0-146941</t>
  </si>
  <si>
    <t>0-146942</t>
  </si>
  <si>
    <t>0-146945</t>
  </si>
  <si>
    <t>0-146946</t>
  </si>
  <si>
    <t>0-146947</t>
  </si>
  <si>
    <t>0-146948</t>
  </si>
  <si>
    <t>0-146949</t>
  </si>
  <si>
    <t>0-146950</t>
  </si>
  <si>
    <t>0-146952</t>
  </si>
  <si>
    <t>0-146955</t>
  </si>
  <si>
    <t>0-146956</t>
  </si>
  <si>
    <t>0-146959</t>
  </si>
  <si>
    <t>0-146960</t>
  </si>
  <si>
    <t>0-146961</t>
  </si>
  <si>
    <t>0-146964</t>
  </si>
  <si>
    <t>0-146965</t>
  </si>
  <si>
    <t>0-146971</t>
  </si>
  <si>
    <t>0-146972</t>
  </si>
  <si>
    <t>0-146973</t>
  </si>
  <si>
    <t>0-146975</t>
  </si>
  <si>
    <t>0-146976</t>
  </si>
  <si>
    <t>0-146977</t>
  </si>
  <si>
    <t>0-146978</t>
  </si>
  <si>
    <t>0-146979</t>
  </si>
  <si>
    <t>0-146980</t>
  </si>
  <si>
    <t>0-146985</t>
  </si>
  <si>
    <t>0-146986</t>
  </si>
  <si>
    <t>0-146988</t>
  </si>
  <si>
    <t>0-146989</t>
  </si>
  <si>
    <t>0-146990</t>
  </si>
  <si>
    <t>0-146992</t>
  </si>
  <si>
    <t>0-146993</t>
  </si>
  <si>
    <t>0-146996</t>
  </si>
  <si>
    <t>0-146997</t>
  </si>
  <si>
    <t>0-146999</t>
  </si>
  <si>
    <t>OTC BUTTER CREAM CHOCO RAINBOW SPRINKLES 25G</t>
  </si>
  <si>
    <t>KRAFT OCTAGONAL BOWL-750ML</t>
  </si>
  <si>
    <t>RBV SANDOK ANAHAW 14"</t>
  </si>
  <si>
    <t>PANI-MIXED CORNICK</t>
  </si>
  <si>
    <t>RBV COASTERS</t>
  </si>
  <si>
    <r>
      <rPr>
        <b/>
        <sz val="10"/>
        <rFont val="Calibri"/>
        <family val="2"/>
        <scheme val="minor"/>
      </rPr>
      <t>8.75</t>
    </r>
    <r>
      <rPr>
        <sz val="10"/>
        <rFont val="Calibri"/>
        <family val="2"/>
        <scheme val="minor"/>
      </rPr>
      <t xml:space="preserve"> - M.I. (8/14/2026) -RECLASS</t>
    </r>
  </si>
  <si>
    <t>08/19/2026</t>
  </si>
  <si>
    <t>8935001721697</t>
  </si>
  <si>
    <t>4806506318849</t>
  </si>
  <si>
    <t>0-147001</t>
  </si>
  <si>
    <t>0-147002</t>
  </si>
  <si>
    <t>0-147003</t>
  </si>
  <si>
    <t>0-147004</t>
  </si>
  <si>
    <t>0-147005</t>
  </si>
  <si>
    <t>0-147006</t>
  </si>
  <si>
    <t>0-147007</t>
  </si>
  <si>
    <t>0-147008</t>
  </si>
  <si>
    <t>0-147010</t>
  </si>
  <si>
    <t>0-147011</t>
  </si>
  <si>
    <t>0-147012</t>
  </si>
  <si>
    <t>0-147014</t>
  </si>
  <si>
    <t>0-147015</t>
  </si>
  <si>
    <t>0-147016</t>
  </si>
  <si>
    <t>0-147018</t>
  </si>
  <si>
    <t>0-147019</t>
  </si>
  <si>
    <t>0-147020</t>
  </si>
  <si>
    <t>0-147021</t>
  </si>
  <si>
    <t>0-147022</t>
  </si>
  <si>
    <t>0-147024</t>
  </si>
  <si>
    <t>0-147026</t>
  </si>
  <si>
    <t>0-147028</t>
  </si>
  <si>
    <t>0-147029</t>
  </si>
  <si>
    <t>0-147035</t>
  </si>
  <si>
    <t>0-147036</t>
  </si>
  <si>
    <t>MENTOS FRUIT CANDY 50PCS/135G</t>
  </si>
  <si>
    <t>SISTERS 8PADS DAY MAXI REGULAR FLOW NON-WINGS</t>
  </si>
  <si>
    <t>08/20/2026</t>
  </si>
  <si>
    <t>08/21/2026</t>
  </si>
  <si>
    <t>08/24/2026</t>
  </si>
  <si>
    <t>0-147060</t>
  </si>
  <si>
    <t>0-147095</t>
  </si>
  <si>
    <t>0-147178</t>
  </si>
  <si>
    <t>0-147180</t>
  </si>
  <si>
    <t>0-147181</t>
  </si>
  <si>
    <t>0-147182</t>
  </si>
  <si>
    <t>0-147183</t>
  </si>
  <si>
    <t>0-147184</t>
  </si>
  <si>
    <t>0-147185</t>
  </si>
  <si>
    <t>0-147186</t>
  </si>
  <si>
    <t>0-147187</t>
  </si>
  <si>
    <t>08/22/2026</t>
  </si>
  <si>
    <t>08/23/2026</t>
  </si>
  <si>
    <t>888123456782095</t>
  </si>
  <si>
    <t>999065</t>
  </si>
  <si>
    <t>999067</t>
  </si>
  <si>
    <t>888123456782046</t>
  </si>
  <si>
    <t>888123456781992</t>
  </si>
  <si>
    <t>888123456782096</t>
  </si>
  <si>
    <t>4800818808630</t>
  </si>
  <si>
    <t>8935001720126</t>
  </si>
  <si>
    <t>0-147042</t>
  </si>
  <si>
    <t>0-147043</t>
  </si>
  <si>
    <t>0-147044</t>
  </si>
  <si>
    <t>0-147045</t>
  </si>
  <si>
    <t>0-147046</t>
  </si>
  <si>
    <t>0-147047</t>
  </si>
  <si>
    <t>0-147049</t>
  </si>
  <si>
    <t>0-147050</t>
  </si>
  <si>
    <t>0-147052</t>
  </si>
  <si>
    <t>0-147053</t>
  </si>
  <si>
    <t>0-147055</t>
  </si>
  <si>
    <t>0-147057</t>
  </si>
  <si>
    <t>0-147058</t>
  </si>
  <si>
    <t>0-147059</t>
  </si>
  <si>
    <t>0-147063</t>
  </si>
  <si>
    <t>0-147068</t>
  </si>
  <si>
    <t>0-147070</t>
  </si>
  <si>
    <t>0-147071</t>
  </si>
  <si>
    <t>0-147072</t>
  </si>
  <si>
    <t>0-147073</t>
  </si>
  <si>
    <t>0-147074</t>
  </si>
  <si>
    <t>0-147076</t>
  </si>
  <si>
    <t>0-147077</t>
  </si>
  <si>
    <t>0-147081</t>
  </si>
  <si>
    <t>0-147083</t>
  </si>
  <si>
    <t>0-147084</t>
  </si>
  <si>
    <t>0-147085</t>
  </si>
  <si>
    <t>0-147089</t>
  </si>
  <si>
    <t>0-147091</t>
  </si>
  <si>
    <t>0-147092</t>
  </si>
  <si>
    <t>0-147093</t>
  </si>
  <si>
    <t>0-147099</t>
  </si>
  <si>
    <t>0-147100</t>
  </si>
  <si>
    <t>0-147101</t>
  </si>
  <si>
    <t>0-147102</t>
  </si>
  <si>
    <t>0-147103</t>
  </si>
  <si>
    <t>0-147104</t>
  </si>
  <si>
    <t>0-147105</t>
  </si>
  <si>
    <t>0-147106</t>
  </si>
  <si>
    <t>0-147109</t>
  </si>
  <si>
    <t>0-147110</t>
  </si>
  <si>
    <t>0-147111</t>
  </si>
  <si>
    <t>0-147113</t>
  </si>
  <si>
    <t>0-147115</t>
  </si>
  <si>
    <t>0-147117</t>
  </si>
  <si>
    <t>0-147118</t>
  </si>
  <si>
    <t>0-147119</t>
  </si>
  <si>
    <t>0-147120</t>
  </si>
  <si>
    <t>0-147121</t>
  </si>
  <si>
    <t>0-147123</t>
  </si>
  <si>
    <t>0-147124</t>
  </si>
  <si>
    <t>0-147125</t>
  </si>
  <si>
    <t>0-147126</t>
  </si>
  <si>
    <t>0-147127</t>
  </si>
  <si>
    <t>0-147128</t>
  </si>
  <si>
    <t>0-147131</t>
  </si>
  <si>
    <t>0-147132</t>
  </si>
  <si>
    <t>0-147135</t>
  </si>
  <si>
    <t>0-147136</t>
  </si>
  <si>
    <t>0-147137</t>
  </si>
  <si>
    <t>0-147138</t>
  </si>
  <si>
    <t>0-147140</t>
  </si>
  <si>
    <t>0-147141</t>
  </si>
  <si>
    <t>0-147142</t>
  </si>
  <si>
    <t>0-147143</t>
  </si>
  <si>
    <t>0-147144</t>
  </si>
  <si>
    <t>0-147145</t>
  </si>
  <si>
    <t>0-147146</t>
  </si>
  <si>
    <t>0-147147</t>
  </si>
  <si>
    <t>0-147148</t>
  </si>
  <si>
    <t>0-147149</t>
  </si>
  <si>
    <t>0-147150</t>
  </si>
  <si>
    <t>0-147151</t>
  </si>
  <si>
    <t>0-147152</t>
  </si>
  <si>
    <t>0-147153</t>
  </si>
  <si>
    <t>0-147155</t>
  </si>
  <si>
    <t>0-147156</t>
  </si>
  <si>
    <t>0-147157</t>
  </si>
  <si>
    <t>0-147161</t>
  </si>
  <si>
    <t>0-147162</t>
  </si>
  <si>
    <t>0-147163</t>
  </si>
  <si>
    <t>0-147166</t>
  </si>
  <si>
    <t>0-147167</t>
  </si>
  <si>
    <t>0-147168</t>
  </si>
  <si>
    <t>0-147172</t>
  </si>
  <si>
    <t>0-147173</t>
  </si>
  <si>
    <t>0-147174</t>
  </si>
  <si>
    <t>0-147175</t>
  </si>
  <si>
    <t>0-147176</t>
  </si>
  <si>
    <t>0-147177</t>
  </si>
  <si>
    <t>0-147179</t>
  </si>
  <si>
    <t>0-147188</t>
  </si>
  <si>
    <t>0-147189</t>
  </si>
  <si>
    <t>0-147191</t>
  </si>
  <si>
    <t>0-147193</t>
  </si>
  <si>
    <t>0-147194</t>
  </si>
  <si>
    <t>0-147195</t>
  </si>
  <si>
    <t>0-147199</t>
  </si>
  <si>
    <t>0-147200</t>
  </si>
  <si>
    <t>0-147202</t>
  </si>
  <si>
    <t>0-147203</t>
  </si>
  <si>
    <t>0-147205</t>
  </si>
  <si>
    <t>MANG DOY'S BAGNET SMALL</t>
  </si>
  <si>
    <t>MANG DOYS BAGNET SMALL</t>
  </si>
  <si>
    <t>RBV FAN BALER</t>
  </si>
  <si>
    <t>RBV BAO SANDOK 12"</t>
  </si>
  <si>
    <t>RBV SANDOK ANAHAW 12"</t>
  </si>
  <si>
    <t>AEVA 003-MEDIUM</t>
  </si>
  <si>
    <t>AEVA 006 - W/ DESIGN SMALL</t>
  </si>
  <si>
    <t>MANG DOY'S BAGNET BIG</t>
  </si>
  <si>
    <t>FROOTY CHOCO POP 190G</t>
  </si>
  <si>
    <t>MENTOS TROPICAL MIX 50PCS/135G</t>
  </si>
  <si>
    <t>08/26/2026</t>
  </si>
  <si>
    <t>70220</t>
  </si>
  <si>
    <t>0-147243</t>
  </si>
  <si>
    <t>0-147244</t>
  </si>
  <si>
    <t>0-147245</t>
  </si>
  <si>
    <t>0-147246</t>
  </si>
  <si>
    <t>0-147253</t>
  </si>
  <si>
    <t>0-147254</t>
  </si>
  <si>
    <t>PRINTING DINA'S MOCHA POLO SHIRT-ADDITIONAL</t>
  </si>
  <si>
    <t>PRINTING ST. JUDE VIOLET SHIRT W/ DTF PRINT</t>
  </si>
  <si>
    <t>08/25/2026</t>
  </si>
  <si>
    <t>888123456781403</t>
  </si>
  <si>
    <t>999063</t>
  </si>
  <si>
    <t>999078</t>
  </si>
  <si>
    <t>4801234107826</t>
  </si>
  <si>
    <t>4807770122644</t>
  </si>
  <si>
    <t>8853002310385</t>
  </si>
  <si>
    <t>0-147208</t>
  </si>
  <si>
    <t>0-147209</t>
  </si>
  <si>
    <t>0-147211</t>
  </si>
  <si>
    <t>0-147212</t>
  </si>
  <si>
    <t>0-147214</t>
  </si>
  <si>
    <t>0-147215</t>
  </si>
  <si>
    <t>0-147216</t>
  </si>
  <si>
    <t>0-147217</t>
  </si>
  <si>
    <t>0-147218</t>
  </si>
  <si>
    <t>0-147219</t>
  </si>
  <si>
    <t>0-147223</t>
  </si>
  <si>
    <t>0-147224</t>
  </si>
  <si>
    <t>0-147225</t>
  </si>
  <si>
    <t>0-147226</t>
  </si>
  <si>
    <t>0-147230</t>
  </si>
  <si>
    <t>0-147231</t>
  </si>
  <si>
    <t>0-147238</t>
  </si>
  <si>
    <t>0-147240</t>
  </si>
  <si>
    <t>0-147241</t>
  </si>
  <si>
    <t>0-147242</t>
  </si>
  <si>
    <t>0-147247</t>
  </si>
  <si>
    <t>0-147248</t>
  </si>
  <si>
    <t>0-147249</t>
  </si>
  <si>
    <t>0-147250</t>
  </si>
  <si>
    <t>0-147251</t>
  </si>
  <si>
    <t>0-147252</t>
  </si>
  <si>
    <t>0-147259</t>
  </si>
  <si>
    <t>0-147263</t>
  </si>
  <si>
    <t>0-147264</t>
  </si>
  <si>
    <t>0-147266</t>
  </si>
  <si>
    <t>0-147267</t>
  </si>
  <si>
    <t>0-147268</t>
  </si>
  <si>
    <t>0-147269</t>
  </si>
  <si>
    <t>0-147270</t>
  </si>
  <si>
    <t>0-147272</t>
  </si>
  <si>
    <t>0-147274</t>
  </si>
  <si>
    <t>BROWN PAPER BAG</t>
  </si>
  <si>
    <t>KULTURA MUSHROOM CHILI OIL 200G</t>
  </si>
  <si>
    <t>KULTURA MUSHROOM ASSRTED 100G-NEW</t>
  </si>
  <si>
    <t>RBV ELLA BAG</t>
  </si>
  <si>
    <t>RBV SAUCERS</t>
  </si>
  <si>
    <t>BAYGON SHIELD PROTECTOR 500ML</t>
  </si>
  <si>
    <t>NISSIN WAFER CHOCO 50G</t>
  </si>
  <si>
    <t>DUTCH MILL MANGO JUICE 190ML</t>
  </si>
  <si>
    <t>08/27/2026</t>
  </si>
  <si>
    <t>70289</t>
  </si>
  <si>
    <t>70331</t>
  </si>
  <si>
    <t>0-147298</t>
  </si>
  <si>
    <t>0-147299</t>
  </si>
  <si>
    <t>0-147300</t>
  </si>
  <si>
    <t>0-147301</t>
  </si>
  <si>
    <t>0-147314</t>
  </si>
  <si>
    <t>PRINTING AMPC CAVALRY YLW POLO SHIRT SAMPLE ONLY</t>
  </si>
  <si>
    <t>PRINTING ASKI FOUNDATION 3XL SHIRT</t>
  </si>
  <si>
    <t>PRINTING FORMS OFFICE PRO A4</t>
  </si>
  <si>
    <t>PRINTING MARCOS SENIOR CTZN WHITE SHIRT S-3XL</t>
  </si>
  <si>
    <t>08/28/2026</t>
  </si>
  <si>
    <t>08/29/2026</t>
  </si>
  <si>
    <t>08/30/2026</t>
  </si>
  <si>
    <t>072185407592</t>
  </si>
  <si>
    <t>8999999005610</t>
  </si>
  <si>
    <t>4806506318764</t>
  </si>
  <si>
    <t>4800194104913</t>
  </si>
  <si>
    <t>8850006325223</t>
  </si>
  <si>
    <t>4800888207869</t>
  </si>
  <si>
    <t>4800888190215</t>
  </si>
  <si>
    <t>4800888206565</t>
  </si>
  <si>
    <t>4800888190185</t>
  </si>
  <si>
    <t>4800047847356</t>
  </si>
  <si>
    <t>200016</t>
  </si>
  <si>
    <t>888123456782044</t>
  </si>
  <si>
    <t>888123456782058</t>
  </si>
  <si>
    <t>0-147275</t>
  </si>
  <si>
    <t>0-147276</t>
  </si>
  <si>
    <t>0-147277</t>
  </si>
  <si>
    <t>0-147279</t>
  </si>
  <si>
    <t>0-147280</t>
  </si>
  <si>
    <t>0-147281</t>
  </si>
  <si>
    <t>0-147283</t>
  </si>
  <si>
    <t>0-147284</t>
  </si>
  <si>
    <t>0-147286</t>
  </si>
  <si>
    <t>0-147287</t>
  </si>
  <si>
    <t>0-147288</t>
  </si>
  <si>
    <t>0-147289</t>
  </si>
  <si>
    <t>0-147290</t>
  </si>
  <si>
    <t>0-147291</t>
  </si>
  <si>
    <t>0-147292</t>
  </si>
  <si>
    <t>0-147294</t>
  </si>
  <si>
    <t>0-147295</t>
  </si>
  <si>
    <t>0-147304</t>
  </si>
  <si>
    <t>0-147306</t>
  </si>
  <si>
    <t>0-147307</t>
  </si>
  <si>
    <t>0-147308</t>
  </si>
  <si>
    <t>0-147309</t>
  </si>
  <si>
    <t>0-147310</t>
  </si>
  <si>
    <t>0-147311</t>
  </si>
  <si>
    <t>0-147312</t>
  </si>
  <si>
    <t>0-147313</t>
  </si>
  <si>
    <t>0-147320</t>
  </si>
  <si>
    <t>0-147321</t>
  </si>
  <si>
    <t>0-147322</t>
  </si>
  <si>
    <t>0-147324</t>
  </si>
  <si>
    <t>0-147325</t>
  </si>
  <si>
    <t>0-147326</t>
  </si>
  <si>
    <t>0-147327</t>
  </si>
  <si>
    <t>0-147328</t>
  </si>
  <si>
    <t>0-147329</t>
  </si>
  <si>
    <t>0-147331</t>
  </si>
  <si>
    <t>0-147332</t>
  </si>
  <si>
    <t>0-147334</t>
  </si>
  <si>
    <t>0-147335</t>
  </si>
  <si>
    <t>0-147336</t>
  </si>
  <si>
    <t>0-147337</t>
  </si>
  <si>
    <t>0-147338</t>
  </si>
  <si>
    <t>0-147340</t>
  </si>
  <si>
    <t>0-147341</t>
  </si>
  <si>
    <t>0-147342</t>
  </si>
  <si>
    <t>0-147343</t>
  </si>
  <si>
    <t>0-147344</t>
  </si>
  <si>
    <t>0-147346</t>
  </si>
  <si>
    <t>0-147348</t>
  </si>
  <si>
    <t>0-147349</t>
  </si>
  <si>
    <t>0-147355</t>
  </si>
  <si>
    <t>0-147356</t>
  </si>
  <si>
    <t>0-147357</t>
  </si>
  <si>
    <t>0-147358</t>
  </si>
  <si>
    <t>0-147359</t>
  </si>
  <si>
    <t>0-147360</t>
  </si>
  <si>
    <t>0-147361</t>
  </si>
  <si>
    <t>0-147362</t>
  </si>
  <si>
    <t>0-147365</t>
  </si>
  <si>
    <t>0-147366</t>
  </si>
  <si>
    <t>0-147367</t>
  </si>
  <si>
    <t>0-147368</t>
  </si>
  <si>
    <t>0-147369</t>
  </si>
  <si>
    <t>0-147370</t>
  </si>
  <si>
    <t>0-147371</t>
  </si>
  <si>
    <t>0-147372</t>
  </si>
  <si>
    <t>0-147373</t>
  </si>
  <si>
    <t>0-147374</t>
  </si>
  <si>
    <t>0-147378</t>
  </si>
  <si>
    <t>0-147379</t>
  </si>
  <si>
    <t>0-147383</t>
  </si>
  <si>
    <t>0-147385</t>
  </si>
  <si>
    <t>0-147388</t>
  </si>
  <si>
    <t>0-147390</t>
  </si>
  <si>
    <t>0-147392</t>
  </si>
  <si>
    <t>0-147394</t>
  </si>
  <si>
    <t>0-147395</t>
  </si>
  <si>
    <t>TIGABUNGA SQUID 425G</t>
  </si>
  <si>
    <t>SEL MAGNUM ALMOND 80ML</t>
  </si>
  <si>
    <t>SISTERS PANTYLINERS MEGA PACK 36+4LINERS</t>
  </si>
  <si>
    <t>OHEYA CHEESE FLAVOR 28G</t>
  </si>
  <si>
    <t>COLGATE SPICY FRESH TWINPACK 22G</t>
  </si>
  <si>
    <t>DOVE DERMA CARE SCALP SOOTING MOISTURE 10ML</t>
  </si>
  <si>
    <t>DOVE OXYGEN &amp; NOURISHMENT</t>
  </si>
  <si>
    <t>DOVE SERUM CONDITIONER KERATIN REPAIR 10ML</t>
  </si>
  <si>
    <t>DOVE SHAMPOO OXYGEN &amp; NOURISHMENT 10ML</t>
  </si>
  <si>
    <t>DEL GENTLE PROTECT FABRIC SOFTENER 26ML</t>
  </si>
  <si>
    <t>EXPANDING FOLDER SHORT - PINK</t>
  </si>
  <si>
    <t>DM PINEAPPLE HEART SMART 220ML-3</t>
  </si>
  <si>
    <t>IBRE3D (CLEAR) 3PACKSX50PCS</t>
  </si>
  <si>
    <t>490243 0583183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</si>
</sst>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0_)"/>
    <numFmt numFmtId="166" formatCode="0.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b/>
      <sz val="11"/>
      <name val="Candara"/>
      <family val="2"/>
    </font>
    <font>
      <sz val="11"/>
      <name val="Candara"/>
      <family val="2"/>
    </font>
    <font>
      <b/>
      <sz val="11"/>
      <color theme="1" tint="4.9989318521683403E-2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2"/>
      <name val="Candara"/>
      <family val="2"/>
    </font>
    <font>
      <b/>
      <sz val="11"/>
      <color theme="1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 tint="4.9989318521683403E-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CF0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38" fontId="5" fillId="2" borderId="0" applyNumberFormat="0" applyBorder="0" applyAlignment="0" applyProtection="0"/>
    <xf numFmtId="10" fontId="5" fillId="3" borderId="1" applyNumberFormat="0" applyBorder="0" applyAlignment="0" applyProtection="0"/>
    <xf numFmtId="165" fontId="6" fillId="0" borderId="0"/>
    <xf numFmtId="10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14" fillId="0" borderId="0">
      <alignment wrapText="1"/>
    </xf>
    <xf numFmtId="0" fontId="1" fillId="0" borderId="0"/>
    <xf numFmtId="0" fontId="1" fillId="0" borderId="0"/>
    <xf numFmtId="0" fontId="4" fillId="0" borderId="0">
      <alignment wrapText="1"/>
    </xf>
    <xf numFmtId="0" fontId="15" fillId="0" borderId="0">
      <alignment wrapText="1"/>
    </xf>
    <xf numFmtId="0" fontId="15" fillId="0" borderId="0">
      <alignment wrapText="1"/>
    </xf>
    <xf numFmtId="0" fontId="15" fillId="0" borderId="0">
      <alignment wrapText="1"/>
    </xf>
    <xf numFmtId="0" fontId="16" fillId="0" borderId="0"/>
  </cellStyleXfs>
  <cellXfs count="274">
    <xf numFmtId="0" fontId="0" fillId="0" borderId="0" xfId="0"/>
    <xf numFmtId="0" fontId="8" fillId="0" borderId="0" xfId="0" applyFont="1"/>
    <xf numFmtId="43" fontId="8" fillId="0" borderId="0" xfId="1" applyFont="1"/>
    <xf numFmtId="43" fontId="8" fillId="0" borderId="0" xfId="0" applyNumberFormat="1" applyFont="1"/>
    <xf numFmtId="0" fontId="8" fillId="0" borderId="0" xfId="0" applyFont="1" applyAlignment="1">
      <alignment horizontal="center"/>
    </xf>
    <xf numFmtId="43" fontId="8" fillId="6" borderId="3" xfId="1" applyFont="1" applyFill="1" applyBorder="1"/>
    <xf numFmtId="0" fontId="8" fillId="7" borderId="1" xfId="0" applyFont="1" applyFill="1" applyBorder="1" applyAlignment="1">
      <alignment horizontal="center"/>
    </xf>
    <xf numFmtId="43" fontId="8" fillId="4" borderId="1" xfId="1" applyFont="1" applyFill="1" applyBorder="1"/>
    <xf numFmtId="0" fontId="7" fillId="0" borderId="0" xfId="0" applyFont="1" applyAlignment="1">
      <alignment horizontal="center"/>
    </xf>
    <xf numFmtId="0" fontId="8" fillId="7" borderId="2" xfId="0" applyFont="1" applyFill="1" applyBorder="1" applyAlignment="1">
      <alignment horizontal="center"/>
    </xf>
    <xf numFmtId="43" fontId="7" fillId="5" borderId="5" xfId="1" applyFont="1" applyFill="1" applyBorder="1"/>
    <xf numFmtId="43" fontId="7" fillId="4" borderId="5" xfId="1" applyFont="1" applyFill="1" applyBorder="1"/>
    <xf numFmtId="43" fontId="7" fillId="6" borderId="5" xfId="1" applyFont="1" applyFill="1" applyBorder="1"/>
    <xf numFmtId="43" fontId="8" fillId="5" borderId="3" xfId="1" applyFont="1" applyFill="1" applyBorder="1" applyAlignment="1">
      <alignment horizontal="right"/>
    </xf>
    <xf numFmtId="0" fontId="8" fillId="7" borderId="1" xfId="0" applyFont="1" applyFill="1" applyBorder="1"/>
    <xf numFmtId="0" fontId="8" fillId="7" borderId="2" xfId="0" applyFont="1" applyFill="1" applyBorder="1"/>
    <xf numFmtId="43" fontId="8" fillId="0" borderId="0" xfId="1" applyFont="1" applyAlignment="1">
      <alignment horizontal="center"/>
    </xf>
    <xf numFmtId="43" fontId="8" fillId="7" borderId="1" xfId="1" applyFont="1" applyFill="1" applyBorder="1" applyAlignment="1">
      <alignment horizontal="center"/>
    </xf>
    <xf numFmtId="43" fontId="8" fillId="7" borderId="2" xfId="1" applyFont="1" applyFill="1" applyBorder="1" applyAlignment="1">
      <alignment horizontal="center"/>
    </xf>
    <xf numFmtId="43" fontId="7" fillId="7" borderId="5" xfId="1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14" fontId="11" fillId="9" borderId="0" xfId="0" applyNumberFormat="1" applyFont="1" applyFill="1"/>
    <xf numFmtId="0" fontId="8" fillId="7" borderId="3" xfId="0" applyFont="1" applyFill="1" applyBorder="1" applyAlignment="1">
      <alignment horizontal="center"/>
    </xf>
    <xf numFmtId="0" fontId="8" fillId="7" borderId="3" xfId="0" applyFont="1" applyFill="1" applyBorder="1"/>
    <xf numFmtId="43" fontId="8" fillId="7" borderId="3" xfId="1" applyFont="1" applyFill="1" applyBorder="1" applyAlignment="1">
      <alignment horizontal="center"/>
    </xf>
    <xf numFmtId="43" fontId="8" fillId="4" borderId="3" xfId="1" applyFont="1" applyFill="1" applyBorder="1"/>
    <xf numFmtId="43" fontId="12" fillId="10" borderId="9" xfId="1" applyFont="1" applyFill="1" applyBorder="1"/>
    <xf numFmtId="14" fontId="9" fillId="0" borderId="0" xfId="0" applyNumberFormat="1" applyFont="1"/>
    <xf numFmtId="14" fontId="10" fillId="8" borderId="3" xfId="0" applyNumberFormat="1" applyFont="1" applyFill="1" applyBorder="1" applyAlignment="1">
      <alignment horizontal="center"/>
    </xf>
    <xf numFmtId="14" fontId="10" fillId="8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/>
    <xf numFmtId="14" fontId="8" fillId="8" borderId="2" xfId="0" applyNumberFormat="1" applyFont="1" applyFill="1" applyBorder="1"/>
    <xf numFmtId="14" fontId="8" fillId="0" borderId="0" xfId="0" applyNumberFormat="1" applyFont="1"/>
    <xf numFmtId="43" fontId="7" fillId="8" borderId="4" xfId="1" applyFont="1" applyFill="1" applyBorder="1"/>
    <xf numFmtId="43" fontId="7" fillId="8" borderId="5" xfId="1" applyFont="1" applyFill="1" applyBorder="1" applyAlignment="1">
      <alignment horizontal="center"/>
    </xf>
    <xf numFmtId="43" fontId="7" fillId="7" borderId="5" xfId="1" applyFont="1" applyFill="1" applyBorder="1" applyAlignment="1"/>
    <xf numFmtId="43" fontId="7" fillId="0" borderId="0" xfId="1" applyFont="1"/>
    <xf numFmtId="14" fontId="7" fillId="8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43" fontId="7" fillId="7" borderId="5" xfId="1" applyFont="1" applyFill="1" applyBorder="1" applyAlignment="1">
      <alignment horizontal="center" vertical="center" wrapText="1"/>
    </xf>
    <xf numFmtId="43" fontId="7" fillId="5" borderId="5" xfId="1" applyFont="1" applyFill="1" applyBorder="1" applyAlignment="1">
      <alignment horizontal="center" vertical="center" wrapText="1"/>
    </xf>
    <xf numFmtId="43" fontId="7" fillId="4" borderId="8" xfId="1" applyFont="1" applyFill="1" applyBorder="1" applyAlignment="1">
      <alignment horizontal="center" vertical="center" wrapText="1"/>
    </xf>
    <xf numFmtId="43" fontId="7" fillId="6" borderId="6" xfId="1" applyFont="1" applyFill="1" applyBorder="1" applyAlignment="1">
      <alignment horizontal="center" vertical="center" wrapText="1"/>
    </xf>
    <xf numFmtId="43" fontId="13" fillId="11" borderId="5" xfId="1" applyFont="1" applyFill="1" applyBorder="1" applyAlignment="1">
      <alignment horizontal="center" vertical="center" wrapText="1"/>
    </xf>
    <xf numFmtId="43" fontId="10" fillId="11" borderId="3" xfId="1" applyFont="1" applyFill="1" applyBorder="1" applyAlignment="1">
      <alignment horizontal="center"/>
    </xf>
    <xf numFmtId="43" fontId="13" fillId="11" borderId="5" xfId="1" applyFont="1" applyFill="1" applyBorder="1" applyAlignment="1">
      <alignment horizontal="center"/>
    </xf>
    <xf numFmtId="43" fontId="7" fillId="10" borderId="10" xfId="0" applyNumberFormat="1" applyFont="1" applyFill="1" applyBorder="1" applyAlignment="1">
      <alignment horizontal="center"/>
    </xf>
    <xf numFmtId="43" fontId="7" fillId="10" borderId="7" xfId="1" applyFont="1" applyFill="1" applyBorder="1" applyAlignment="1">
      <alignment horizontal="center"/>
    </xf>
    <xf numFmtId="43" fontId="12" fillId="10" borderId="10" xfId="1" applyFon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3" fontId="18" fillId="0" borderId="0" xfId="1" applyFont="1" applyFill="1" applyAlignment="1">
      <alignment horizontal="center"/>
    </xf>
    <xf numFmtId="43" fontId="18" fillId="0" borderId="0" xfId="1" applyFont="1" applyFill="1"/>
    <xf numFmtId="43" fontId="19" fillId="0" borderId="10" xfId="0" applyNumberFormat="1" applyFont="1" applyBorder="1" applyAlignment="1">
      <alignment horizontal="center"/>
    </xf>
    <xf numFmtId="43" fontId="19" fillId="0" borderId="7" xfId="1" applyFont="1" applyFill="1" applyBorder="1" applyAlignment="1">
      <alignment horizontal="center"/>
    </xf>
    <xf numFmtId="43" fontId="19" fillId="0" borderId="10" xfId="1" applyFont="1" applyFill="1" applyBorder="1" applyAlignment="1">
      <alignment horizontal="center"/>
    </xf>
    <xf numFmtId="43" fontId="18" fillId="0" borderId="0" xfId="0" applyNumberFormat="1" applyFont="1"/>
    <xf numFmtId="0" fontId="19" fillId="0" borderId="5" xfId="0" applyFont="1" applyBorder="1" applyAlignment="1">
      <alignment horizontal="center" vertical="center" wrapText="1"/>
    </xf>
    <xf numFmtId="43" fontId="19" fillId="0" borderId="5" xfId="1" applyFont="1" applyFill="1" applyBorder="1" applyAlignment="1">
      <alignment horizontal="center" vertical="center" wrapText="1"/>
    </xf>
    <xf numFmtId="43" fontId="19" fillId="0" borderId="8" xfId="1" applyFont="1" applyFill="1" applyBorder="1" applyAlignment="1">
      <alignment horizontal="center" vertical="center" wrapText="1"/>
    </xf>
    <xf numFmtId="43" fontId="19" fillId="0" borderId="6" xfId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43" fontId="18" fillId="0" borderId="1" xfId="1" applyFont="1" applyFill="1" applyBorder="1" applyAlignment="1">
      <alignment horizontal="center"/>
    </xf>
    <xf numFmtId="43" fontId="18" fillId="0" borderId="3" xfId="1" applyFont="1" applyFill="1" applyBorder="1" applyAlignment="1">
      <alignment horizontal="right"/>
    </xf>
    <xf numFmtId="43" fontId="18" fillId="0" borderId="3" xfId="1" applyFont="1" applyFill="1" applyBorder="1"/>
    <xf numFmtId="164" fontId="18" fillId="0" borderId="0" xfId="0" applyNumberFormat="1" applyFont="1"/>
    <xf numFmtId="43" fontId="18" fillId="0" borderId="1" xfId="1" applyFont="1" applyFill="1" applyBorder="1"/>
    <xf numFmtId="43" fontId="19" fillId="0" borderId="12" xfId="1" applyFont="1" applyFill="1" applyBorder="1" applyAlignment="1">
      <alignment horizontal="center"/>
    </xf>
    <xf numFmtId="43" fontId="19" fillId="0" borderId="0" xfId="1" applyFont="1" applyFill="1"/>
    <xf numFmtId="14" fontId="18" fillId="0" borderId="0" xfId="0" applyNumberFormat="1" applyFont="1"/>
    <xf numFmtId="14" fontId="19" fillId="0" borderId="4" xfId="0" applyNumberFormat="1" applyFont="1" applyBorder="1" applyAlignment="1">
      <alignment horizontal="center" vertical="center" wrapText="1"/>
    </xf>
    <xf numFmtId="43" fontId="18" fillId="0" borderId="3" xfId="1" applyFont="1" applyFill="1" applyBorder="1" applyAlignment="1">
      <alignment horizontal="center"/>
    </xf>
    <xf numFmtId="43" fontId="18" fillId="0" borderId="0" xfId="1" applyFont="1" applyFill="1" applyBorder="1"/>
    <xf numFmtId="0" fontId="20" fillId="0" borderId="0" xfId="1" applyNumberFormat="1" applyFont="1" applyFill="1" applyBorder="1" applyAlignment="1">
      <alignment horizontal="center"/>
    </xf>
    <xf numFmtId="43" fontId="20" fillId="0" borderId="0" xfId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43" fontId="20" fillId="0" borderId="0" xfId="1" applyFont="1" applyFill="1" applyBorder="1"/>
    <xf numFmtId="43" fontId="19" fillId="0" borderId="0" xfId="1" applyFont="1" applyFill="1" applyBorder="1"/>
    <xf numFmtId="43" fontId="19" fillId="0" borderId="0" xfId="1" applyFont="1" applyFill="1" applyBorder="1" applyAlignment="1">
      <alignment horizontal="center"/>
    </xf>
    <xf numFmtId="43" fontId="19" fillId="0" borderId="0" xfId="1" applyFont="1" applyFill="1" applyBorder="1" applyAlignment="1"/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14" fontId="18" fillId="0" borderId="14" xfId="0" applyNumberFormat="1" applyFont="1" applyBorder="1" applyAlignment="1">
      <alignment horizontal="center"/>
    </xf>
    <xf numFmtId="43" fontId="18" fillId="0" borderId="15" xfId="0" applyNumberFormat="1" applyFont="1" applyBorder="1"/>
    <xf numFmtId="43" fontId="0" fillId="0" borderId="0" xfId="1" applyFont="1"/>
    <xf numFmtId="164" fontId="0" fillId="0" borderId="0" xfId="0" applyNumberFormat="1"/>
    <xf numFmtId="43" fontId="0" fillId="10" borderId="0" xfId="1" applyFont="1" applyFill="1"/>
    <xf numFmtId="43" fontId="0" fillId="0" borderId="0" xfId="0" applyNumberFormat="1"/>
    <xf numFmtId="0" fontId="0" fillId="10" borderId="0" xfId="0" applyFill="1"/>
    <xf numFmtId="43" fontId="0" fillId="12" borderId="0" xfId="1" applyFont="1" applyFill="1"/>
    <xf numFmtId="0" fontId="0" fillId="12" borderId="0" xfId="0" applyFill="1"/>
    <xf numFmtId="14" fontId="17" fillId="0" borderId="0" xfId="0" applyNumberFormat="1" applyFont="1"/>
    <xf numFmtId="14" fontId="19" fillId="0" borderId="0" xfId="0" quotePrefix="1" applyNumberFormat="1" applyFont="1"/>
    <xf numFmtId="14" fontId="18" fillId="0" borderId="13" xfId="0" applyNumberFormat="1" applyFont="1" applyBorder="1" applyAlignment="1">
      <alignment horizontal="center"/>
    </xf>
    <xf numFmtId="43" fontId="18" fillId="0" borderId="19" xfId="0" applyNumberFormat="1" applyFont="1" applyBorder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3" fontId="18" fillId="0" borderId="20" xfId="0" applyNumberFormat="1" applyFont="1" applyBorder="1"/>
    <xf numFmtId="0" fontId="18" fillId="9" borderId="1" xfId="0" applyFont="1" applyFill="1" applyBorder="1" applyAlignment="1">
      <alignment horizontal="center"/>
    </xf>
    <xf numFmtId="14" fontId="18" fillId="9" borderId="14" xfId="0" applyNumberFormat="1" applyFont="1" applyFill="1" applyBorder="1" applyAlignment="1">
      <alignment horizontal="center"/>
    </xf>
    <xf numFmtId="0" fontId="18" fillId="9" borderId="1" xfId="0" applyFont="1" applyFill="1" applyBorder="1"/>
    <xf numFmtId="43" fontId="18" fillId="9" borderId="1" xfId="1" applyFont="1" applyFill="1" applyBorder="1" applyAlignment="1">
      <alignment horizontal="center"/>
    </xf>
    <xf numFmtId="43" fontId="18" fillId="9" borderId="3" xfId="1" applyFont="1" applyFill="1" applyBorder="1" applyAlignment="1">
      <alignment horizontal="right"/>
    </xf>
    <xf numFmtId="43" fontId="18" fillId="9" borderId="3" xfId="1" applyFont="1" applyFill="1" applyBorder="1"/>
    <xf numFmtId="43" fontId="18" fillId="9" borderId="1" xfId="1" applyFont="1" applyFill="1" applyBorder="1"/>
    <xf numFmtId="43" fontId="18" fillId="9" borderId="15" xfId="0" applyNumberFormat="1" applyFont="1" applyFill="1" applyBorder="1"/>
    <xf numFmtId="164" fontId="18" fillId="9" borderId="0" xfId="0" applyNumberFormat="1" applyFont="1" applyFill="1"/>
    <xf numFmtId="0" fontId="18" fillId="9" borderId="0" xfId="0" applyFont="1" applyFill="1"/>
    <xf numFmtId="43" fontId="20" fillId="9" borderId="3" xfId="1" applyFont="1" applyFill="1" applyBorder="1" applyAlignment="1">
      <alignment horizontal="right"/>
    </xf>
    <xf numFmtId="14" fontId="18" fillId="9" borderId="13" xfId="0" applyNumberFormat="1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18" fillId="9" borderId="3" xfId="0" applyFont="1" applyFill="1" applyBorder="1"/>
    <xf numFmtId="43" fontId="18" fillId="9" borderId="3" xfId="1" applyFont="1" applyFill="1" applyBorder="1" applyAlignment="1">
      <alignment horizontal="center"/>
    </xf>
    <xf numFmtId="43" fontId="18" fillId="9" borderId="19" xfId="0" applyNumberFormat="1" applyFont="1" applyFill="1" applyBorder="1"/>
    <xf numFmtId="0" fontId="18" fillId="13" borderId="0" xfId="0" applyFont="1" applyFill="1"/>
    <xf numFmtId="14" fontId="18" fillId="13" borderId="14" xfId="0" applyNumberFormat="1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8" fillId="13" borderId="1" xfId="0" applyFont="1" applyFill="1" applyBorder="1"/>
    <xf numFmtId="43" fontId="18" fillId="13" borderId="1" xfId="1" applyFont="1" applyFill="1" applyBorder="1" applyAlignment="1">
      <alignment horizontal="center"/>
    </xf>
    <xf numFmtId="43" fontId="18" fillId="13" borderId="3" xfId="1" applyFont="1" applyFill="1" applyBorder="1" applyAlignment="1">
      <alignment horizontal="right"/>
    </xf>
    <xf numFmtId="43" fontId="18" fillId="13" borderId="3" xfId="1" applyFont="1" applyFill="1" applyBorder="1"/>
    <xf numFmtId="43" fontId="18" fillId="13" borderId="1" xfId="1" applyFont="1" applyFill="1" applyBorder="1"/>
    <xf numFmtId="43" fontId="18" fillId="13" borderId="15" xfId="0" applyNumberFormat="1" applyFont="1" applyFill="1" applyBorder="1"/>
    <xf numFmtId="164" fontId="18" fillId="13" borderId="0" xfId="0" applyNumberFormat="1" applyFont="1" applyFill="1"/>
    <xf numFmtId="43" fontId="18" fillId="13" borderId="0" xfId="1" applyFont="1" applyFill="1" applyBorder="1"/>
    <xf numFmtId="43" fontId="0" fillId="0" borderId="0" xfId="1" applyFont="1" applyFill="1" applyBorder="1"/>
    <xf numFmtId="2" fontId="18" fillId="9" borderId="3" xfId="1" applyNumberFormat="1" applyFont="1" applyFill="1" applyBorder="1" applyAlignment="1">
      <alignment horizontal="right"/>
    </xf>
    <xf numFmtId="2" fontId="18" fillId="9" borderId="1" xfId="1" applyNumberFormat="1" applyFont="1" applyFill="1" applyBorder="1" applyAlignment="1">
      <alignment horizontal="right"/>
    </xf>
    <xf numFmtId="166" fontId="18" fillId="9" borderId="1" xfId="1" applyNumberFormat="1" applyFont="1" applyFill="1" applyBorder="1" applyAlignment="1">
      <alignment horizontal="right"/>
    </xf>
    <xf numFmtId="0" fontId="18" fillId="9" borderId="1" xfId="1" applyNumberFormat="1" applyFont="1" applyFill="1" applyBorder="1" applyAlignment="1">
      <alignment horizontal="right"/>
    </xf>
    <xf numFmtId="4" fontId="18" fillId="0" borderId="0" xfId="0" applyNumberFormat="1" applyFont="1"/>
    <xf numFmtId="14" fontId="18" fillId="9" borderId="0" xfId="0" applyNumberFormat="1" applyFont="1" applyFill="1" applyAlignment="1">
      <alignment horizontal="left"/>
    </xf>
    <xf numFmtId="0" fontId="18" fillId="9" borderId="0" xfId="0" applyFont="1" applyFill="1" applyAlignment="1">
      <alignment horizontal="center"/>
    </xf>
    <xf numFmtId="43" fontId="18" fillId="9" borderId="0" xfId="1" applyFont="1" applyFill="1" applyAlignment="1">
      <alignment horizontal="center"/>
    </xf>
    <xf numFmtId="4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14" fontId="18" fillId="7" borderId="13" xfId="0" applyNumberFormat="1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left"/>
    </xf>
    <xf numFmtId="2" fontId="18" fillId="7" borderId="3" xfId="1" applyNumberFormat="1" applyFont="1" applyFill="1" applyBorder="1" applyAlignment="1">
      <alignment horizontal="center"/>
    </xf>
    <xf numFmtId="43" fontId="18" fillId="7" borderId="3" xfId="1" applyFont="1" applyFill="1" applyBorder="1" applyAlignment="1">
      <alignment horizontal="center"/>
    </xf>
    <xf numFmtId="43" fontId="18" fillId="7" borderId="19" xfId="0" applyNumberFormat="1" applyFont="1" applyFill="1" applyBorder="1" applyAlignment="1">
      <alignment horizontal="center"/>
    </xf>
    <xf numFmtId="0" fontId="18" fillId="9" borderId="1" xfId="0" applyFont="1" applyFill="1" applyBorder="1" applyAlignment="1">
      <alignment horizontal="left"/>
    </xf>
    <xf numFmtId="2" fontId="18" fillId="9" borderId="3" xfId="1" applyNumberFormat="1" applyFont="1" applyFill="1" applyBorder="1" applyAlignment="1">
      <alignment horizontal="center"/>
    </xf>
    <xf numFmtId="0" fontId="18" fillId="9" borderId="3" xfId="1" applyNumberFormat="1" applyFont="1" applyFill="1" applyBorder="1" applyAlignment="1">
      <alignment horizontal="center"/>
    </xf>
    <xf numFmtId="43" fontId="18" fillId="9" borderId="19" xfId="0" applyNumberFormat="1" applyFont="1" applyFill="1" applyBorder="1" applyAlignment="1">
      <alignment horizontal="center"/>
    </xf>
    <xf numFmtId="14" fontId="18" fillId="7" borderId="14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left"/>
    </xf>
    <xf numFmtId="0" fontId="18" fillId="7" borderId="3" xfId="1" applyNumberFormat="1" applyFont="1" applyFill="1" applyBorder="1" applyAlignment="1">
      <alignment horizontal="center"/>
    </xf>
    <xf numFmtId="1" fontId="18" fillId="9" borderId="1" xfId="0" applyNumberFormat="1" applyFont="1" applyFill="1" applyBorder="1" applyAlignment="1">
      <alignment horizontal="center"/>
    </xf>
    <xf numFmtId="2" fontId="18" fillId="9" borderId="1" xfId="1" applyNumberFormat="1" applyFont="1" applyFill="1" applyBorder="1" applyAlignment="1">
      <alignment horizontal="center"/>
    </xf>
    <xf numFmtId="1" fontId="18" fillId="7" borderId="1" xfId="0" applyNumberFormat="1" applyFont="1" applyFill="1" applyBorder="1" applyAlignment="1">
      <alignment horizontal="center"/>
    </xf>
    <xf numFmtId="2" fontId="18" fillId="7" borderId="1" xfId="1" applyNumberFormat="1" applyFont="1" applyFill="1" applyBorder="1" applyAlignment="1">
      <alignment horizontal="center"/>
    </xf>
    <xf numFmtId="14" fontId="18" fillId="9" borderId="14" xfId="0" applyNumberFormat="1" applyFont="1" applyFill="1" applyBorder="1"/>
    <xf numFmtId="14" fontId="18" fillId="9" borderId="14" xfId="0" applyNumberFormat="1" applyFont="1" applyFill="1" applyBorder="1" applyAlignment="1">
      <alignment horizontal="left"/>
    </xf>
    <xf numFmtId="14" fontId="18" fillId="7" borderId="14" xfId="0" applyNumberFormat="1" applyFont="1" applyFill="1" applyBorder="1" applyAlignment="1">
      <alignment horizontal="left"/>
    </xf>
    <xf numFmtId="43" fontId="19" fillId="9" borderId="12" xfId="1" applyFont="1" applyFill="1" applyBorder="1" applyAlignment="1">
      <alignment horizontal="center"/>
    </xf>
    <xf numFmtId="43" fontId="18" fillId="0" borderId="0" xfId="1" applyFont="1" applyFill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43" fontId="18" fillId="9" borderId="0" xfId="1" applyFont="1" applyFill="1" applyBorder="1" applyAlignment="1">
      <alignment horizontal="center"/>
    </xf>
    <xf numFmtId="14" fontId="18" fillId="9" borderId="0" xfId="0" applyNumberFormat="1" applyFont="1" applyFill="1" applyAlignment="1">
      <alignment horizontal="center"/>
    </xf>
    <xf numFmtId="43" fontId="19" fillId="0" borderId="0" xfId="1" applyFont="1" applyFill="1" applyBorder="1" applyAlignment="1">
      <alignment horizontal="left"/>
    </xf>
    <xf numFmtId="43" fontId="0" fillId="0" borderId="0" xfId="1" applyFont="1" applyFill="1" applyBorder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31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6" fillId="0" borderId="0" xfId="0" applyFont="1"/>
    <xf numFmtId="2" fontId="26" fillId="0" borderId="1" xfId="0" applyNumberFormat="1" applyFont="1" applyBorder="1" applyAlignment="1">
      <alignment horizontal="center"/>
    </xf>
    <xf numFmtId="2" fontId="26" fillId="0" borderId="24" xfId="0" applyNumberFormat="1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26" fillId="14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26" fillId="7" borderId="2" xfId="0" applyFont="1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0" fontId="27" fillId="14" borderId="10" xfId="0" applyFont="1" applyFill="1" applyBorder="1" applyAlignment="1">
      <alignment horizontal="center"/>
    </xf>
    <xf numFmtId="0" fontId="4" fillId="7" borderId="4" xfId="0" applyFont="1" applyFill="1" applyBorder="1"/>
    <xf numFmtId="43" fontId="27" fillId="7" borderId="5" xfId="1" applyFont="1" applyFill="1" applyBorder="1" applyAlignment="1">
      <alignment horizontal="center"/>
    </xf>
    <xf numFmtId="0" fontId="27" fillId="14" borderId="6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2" fillId="0" borderId="0" xfId="0" quotePrefix="1" applyFont="1"/>
    <xf numFmtId="14" fontId="17" fillId="9" borderId="0" xfId="0" applyNumberFormat="1" applyFont="1" applyFill="1"/>
    <xf numFmtId="43" fontId="18" fillId="9" borderId="0" xfId="0" applyNumberFormat="1" applyFont="1" applyFill="1" applyAlignment="1">
      <alignment horizontal="center"/>
    </xf>
    <xf numFmtId="0" fontId="18" fillId="9" borderId="0" xfId="0" applyFont="1" applyFill="1" applyAlignment="1">
      <alignment horizontal="left"/>
    </xf>
    <xf numFmtId="14" fontId="19" fillId="9" borderId="0" xfId="0" quotePrefix="1" applyNumberFormat="1" applyFont="1" applyFill="1"/>
    <xf numFmtId="43" fontId="19" fillId="9" borderId="10" xfId="0" applyNumberFormat="1" applyFont="1" applyFill="1" applyBorder="1" applyAlignment="1">
      <alignment horizontal="center"/>
    </xf>
    <xf numFmtId="43" fontId="19" fillId="9" borderId="7" xfId="1" applyFont="1" applyFill="1" applyBorder="1" applyAlignment="1">
      <alignment horizontal="center"/>
    </xf>
    <xf numFmtId="43" fontId="19" fillId="9" borderId="10" xfId="1" applyFont="1" applyFill="1" applyBorder="1" applyAlignment="1">
      <alignment horizontal="center"/>
    </xf>
    <xf numFmtId="14" fontId="19" fillId="9" borderId="4" xfId="0" applyNumberFormat="1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43" fontId="19" fillId="9" borderId="5" xfId="1" applyFont="1" applyFill="1" applyBorder="1" applyAlignment="1">
      <alignment horizontal="center" vertical="center" wrapText="1"/>
    </xf>
    <xf numFmtId="43" fontId="19" fillId="9" borderId="8" xfId="1" applyFont="1" applyFill="1" applyBorder="1" applyAlignment="1">
      <alignment horizontal="center" vertical="center" wrapText="1"/>
    </xf>
    <xf numFmtId="43" fontId="19" fillId="9" borderId="6" xfId="1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/>
    </xf>
    <xf numFmtId="0" fontId="18" fillId="9" borderId="3" xfId="0" applyFont="1" applyFill="1" applyBorder="1" applyAlignment="1">
      <alignment horizontal="left"/>
    </xf>
    <xf numFmtId="43" fontId="19" fillId="9" borderId="0" xfId="1" applyFont="1" applyFill="1"/>
    <xf numFmtId="14" fontId="18" fillId="9" borderId="0" xfId="0" applyNumberFormat="1" applyFont="1" applyFill="1"/>
    <xf numFmtId="0" fontId="20" fillId="9" borderId="0" xfId="0" applyFont="1" applyFill="1" applyAlignment="1">
      <alignment horizontal="left"/>
    </xf>
    <xf numFmtId="0" fontId="20" fillId="9" borderId="0" xfId="1" applyNumberFormat="1" applyFont="1" applyFill="1" applyBorder="1" applyAlignment="1">
      <alignment horizontal="center"/>
    </xf>
    <xf numFmtId="0" fontId="20" fillId="9" borderId="0" xfId="0" applyFont="1" applyFill="1" applyAlignment="1">
      <alignment horizontal="center"/>
    </xf>
    <xf numFmtId="43" fontId="20" fillId="9" borderId="0" xfId="1" applyFont="1" applyFill="1" applyBorder="1" applyAlignment="1">
      <alignment horizontal="center"/>
    </xf>
    <xf numFmtId="43" fontId="19" fillId="9" borderId="0" xfId="1" applyFont="1" applyFill="1" applyBorder="1"/>
    <xf numFmtId="43" fontId="19" fillId="9" borderId="0" xfId="1" applyFont="1" applyFill="1" applyBorder="1" applyAlignment="1">
      <alignment horizontal="center"/>
    </xf>
    <xf numFmtId="43" fontId="19" fillId="9" borderId="0" xfId="1" applyFont="1" applyFill="1" applyBorder="1" applyAlignment="1">
      <alignment horizontal="left"/>
    </xf>
    <xf numFmtId="2" fontId="20" fillId="9" borderId="0" xfId="1" applyNumberFormat="1" applyFont="1" applyFill="1" applyBorder="1" applyAlignment="1">
      <alignment horizontal="center"/>
    </xf>
    <xf numFmtId="43" fontId="0" fillId="9" borderId="0" xfId="1" applyFont="1" applyFill="1" applyBorder="1" applyAlignment="1">
      <alignment horizontal="left"/>
    </xf>
    <xf numFmtId="2" fontId="19" fillId="0" borderId="12" xfId="1" applyNumberFormat="1" applyFont="1" applyFill="1" applyBorder="1" applyAlignment="1">
      <alignment horizontal="center"/>
    </xf>
    <xf numFmtId="43" fontId="19" fillId="0" borderId="1" xfId="1" applyFont="1" applyFill="1" applyBorder="1" applyAlignment="1">
      <alignment horizontal="center"/>
    </xf>
    <xf numFmtId="43" fontId="19" fillId="0" borderId="20" xfId="1" applyFont="1" applyFill="1" applyBorder="1" applyAlignment="1">
      <alignment horizontal="center"/>
    </xf>
    <xf numFmtId="43" fontId="19" fillId="0" borderId="1" xfId="1" applyFont="1" applyFill="1" applyBorder="1" applyAlignment="1">
      <alignment horizontal="left"/>
    </xf>
    <xf numFmtId="43" fontId="19" fillId="9" borderId="1" xfId="1" applyFont="1" applyFill="1" applyBorder="1" applyAlignment="1">
      <alignment horizontal="center"/>
    </xf>
    <xf numFmtId="43" fontId="19" fillId="9" borderId="3" xfId="1" applyFont="1" applyFill="1" applyBorder="1" applyAlignment="1">
      <alignment horizontal="left"/>
    </xf>
    <xf numFmtId="43" fontId="19" fillId="9" borderId="1" xfId="1" applyFont="1" applyFill="1" applyBorder="1" applyAlignment="1">
      <alignment horizontal="left"/>
    </xf>
    <xf numFmtId="43" fontId="19" fillId="9" borderId="0" xfId="0" applyNumberFormat="1" applyFont="1" applyFill="1"/>
    <xf numFmtId="2" fontId="18" fillId="7" borderId="3" xfId="1" applyNumberFormat="1" applyFont="1" applyFill="1" applyBorder="1" applyAlignment="1">
      <alignment horizontal="right"/>
    </xf>
    <xf numFmtId="43" fontId="18" fillId="7" borderId="3" xfId="1" applyFont="1" applyFill="1" applyBorder="1" applyAlignment="1">
      <alignment horizontal="right"/>
    </xf>
    <xf numFmtId="2" fontId="18" fillId="7" borderId="1" xfId="1" applyNumberFormat="1" applyFont="1" applyFill="1" applyBorder="1" applyAlignment="1">
      <alignment horizontal="right"/>
    </xf>
    <xf numFmtId="43" fontId="19" fillId="10" borderId="12" xfId="1" applyFont="1" applyFill="1" applyBorder="1" applyAlignment="1">
      <alignment horizontal="center"/>
    </xf>
    <xf numFmtId="14" fontId="18" fillId="8" borderId="14" xfId="0" applyNumberFormat="1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8" fillId="8" borderId="1" xfId="0" applyFont="1" applyFill="1" applyBorder="1"/>
    <xf numFmtId="2" fontId="18" fillId="8" borderId="1" xfId="1" applyNumberFormat="1" applyFont="1" applyFill="1" applyBorder="1" applyAlignment="1">
      <alignment horizontal="right"/>
    </xf>
    <xf numFmtId="43" fontId="18" fillId="8" borderId="3" xfId="1" applyFont="1" applyFill="1" applyBorder="1" applyAlignment="1">
      <alignment horizontal="right"/>
    </xf>
    <xf numFmtId="43" fontId="18" fillId="8" borderId="3" xfId="1" applyFont="1" applyFill="1" applyBorder="1"/>
    <xf numFmtId="43" fontId="18" fillId="8" borderId="19" xfId="0" applyNumberFormat="1" applyFont="1" applyFill="1" applyBorder="1"/>
    <xf numFmtId="0" fontId="18" fillId="9" borderId="3" xfId="1" applyNumberFormat="1" applyFont="1" applyFill="1" applyBorder="1" applyAlignment="1">
      <alignment horizontal="right"/>
    </xf>
    <xf numFmtId="4" fontId="18" fillId="9" borderId="3" xfId="1" applyNumberFormat="1" applyFont="1" applyFill="1" applyBorder="1" applyAlignment="1">
      <alignment horizontal="right"/>
    </xf>
    <xf numFmtId="0" fontId="18" fillId="10" borderId="0" xfId="0" applyFont="1" applyFill="1"/>
    <xf numFmtId="14" fontId="18" fillId="15" borderId="14" xfId="0" applyNumberFormat="1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/>
    </xf>
    <xf numFmtId="0" fontId="18" fillId="15" borderId="1" xfId="0" applyFont="1" applyFill="1" applyBorder="1" applyAlignment="1">
      <alignment horizontal="left"/>
    </xf>
    <xf numFmtId="2" fontId="18" fillId="15" borderId="3" xfId="1" applyNumberFormat="1" applyFont="1" applyFill="1" applyBorder="1" applyAlignment="1">
      <alignment horizontal="right"/>
    </xf>
    <xf numFmtId="43" fontId="18" fillId="15" borderId="3" xfId="1" applyFont="1" applyFill="1" applyBorder="1" applyAlignment="1">
      <alignment horizontal="right"/>
    </xf>
    <xf numFmtId="43" fontId="18" fillId="15" borderId="3" xfId="1" applyFont="1" applyFill="1" applyBorder="1" applyAlignment="1">
      <alignment horizontal="center"/>
    </xf>
    <xf numFmtId="43" fontId="18" fillId="15" borderId="19" xfId="0" applyNumberFormat="1" applyFont="1" applyFill="1" applyBorder="1" applyAlignment="1">
      <alignment horizontal="center"/>
    </xf>
    <xf numFmtId="14" fontId="18" fillId="0" borderId="16" xfId="0" applyNumberFormat="1" applyFont="1" applyBorder="1" applyAlignment="1">
      <alignment horizontal="center"/>
    </xf>
    <xf numFmtId="14" fontId="18" fillId="0" borderId="17" xfId="0" applyNumberFormat="1" applyFont="1" applyBorder="1" applyAlignment="1">
      <alignment horizontal="center"/>
    </xf>
    <xf numFmtId="14" fontId="18" fillId="0" borderId="18" xfId="0" applyNumberFormat="1" applyFont="1" applyBorder="1" applyAlignment="1">
      <alignment horizontal="center"/>
    </xf>
    <xf numFmtId="14" fontId="18" fillId="0" borderId="21" xfId="0" applyNumberFormat="1" applyFont="1" applyBorder="1" applyAlignment="1">
      <alignment horizontal="center"/>
    </xf>
    <xf numFmtId="14" fontId="18" fillId="0" borderId="22" xfId="0" applyNumberFormat="1" applyFont="1" applyBorder="1" applyAlignment="1">
      <alignment horizontal="center"/>
    </xf>
    <xf numFmtId="14" fontId="18" fillId="0" borderId="23" xfId="0" applyNumberFormat="1" applyFont="1" applyBorder="1" applyAlignment="1">
      <alignment horizontal="center"/>
    </xf>
    <xf numFmtId="14" fontId="18" fillId="9" borderId="21" xfId="0" applyNumberFormat="1" applyFont="1" applyFill="1" applyBorder="1" applyAlignment="1">
      <alignment horizontal="center"/>
    </xf>
    <xf numFmtId="14" fontId="18" fillId="9" borderId="22" xfId="0" applyNumberFormat="1" applyFont="1" applyFill="1" applyBorder="1" applyAlignment="1">
      <alignment horizontal="center"/>
    </xf>
    <xf numFmtId="14" fontId="18" fillId="9" borderId="23" xfId="0" applyNumberFormat="1" applyFont="1" applyFill="1" applyBorder="1" applyAlignment="1">
      <alignment horizontal="center"/>
    </xf>
    <xf numFmtId="0" fontId="27" fillId="0" borderId="0" xfId="0" applyFont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8" fillId="14" borderId="1" xfId="0" applyFont="1" applyFill="1" applyBorder="1" applyAlignment="1">
      <alignment horizontal="center" wrapText="1"/>
    </xf>
    <xf numFmtId="0" fontId="33" fillId="0" borderId="0" xfId="0" applyFont="1" applyAlignment="1">
      <alignment horizontal="center"/>
    </xf>
    <xf numFmtId="43" fontId="18" fillId="9" borderId="25" xfId="0" applyNumberFormat="1" applyFont="1" applyFill="1" applyBorder="1" applyAlignment="1">
      <alignment horizontal="center"/>
    </xf>
    <xf numFmtId="43" fontId="18" fillId="9" borderId="0" xfId="0" applyNumberFormat="1" applyFont="1" applyFill="1" applyAlignment="1">
      <alignment horizontal="center"/>
    </xf>
    <xf numFmtId="0" fontId="18" fillId="16" borderId="1" xfId="0" applyFont="1" applyFill="1" applyBorder="1" applyAlignment="1">
      <alignment horizontal="center"/>
    </xf>
    <xf numFmtId="0" fontId="18" fillId="16" borderId="3" xfId="0" applyFont="1" applyFill="1" applyBorder="1" applyAlignment="1">
      <alignment horizontal="center"/>
    </xf>
  </cellXfs>
  <cellStyles count="25">
    <cellStyle name="Comma" xfId="1" builtinId="3"/>
    <cellStyle name="Comma 2" xfId="10" xr:uid="{00000000-0005-0000-0000-000001000000}"/>
    <cellStyle name="Comma 2 2" xfId="7" xr:uid="{00000000-0005-0000-0000-000002000000}"/>
    <cellStyle name="Grey" xfId="2" xr:uid="{00000000-0005-0000-0000-000003000000}"/>
    <cellStyle name="Input [yellow]" xfId="3" xr:uid="{00000000-0005-0000-0000-000004000000}"/>
    <cellStyle name="Normal" xfId="0" builtinId="0"/>
    <cellStyle name="Normal - Style1" xfId="4" xr:uid="{00000000-0005-0000-0000-000006000000}"/>
    <cellStyle name="Normal 10" xfId="16" xr:uid="{00000000-0005-0000-0000-000007000000}"/>
    <cellStyle name="Normal 10 2" xfId="19" xr:uid="{00000000-0005-0000-0000-000008000000}"/>
    <cellStyle name="Normal 11" xfId="21" xr:uid="{00000000-0005-0000-0000-000009000000}"/>
    <cellStyle name="Normal 12" xfId="22" xr:uid="{00000000-0005-0000-0000-00000A000000}"/>
    <cellStyle name="Normal 13" xfId="23" xr:uid="{00000000-0005-0000-0000-00000B000000}"/>
    <cellStyle name="Normal 2" xfId="6" xr:uid="{00000000-0005-0000-0000-00000C000000}"/>
    <cellStyle name="Normal 2 2" xfId="17" xr:uid="{00000000-0005-0000-0000-00000D000000}"/>
    <cellStyle name="Normal 2 2 2" xfId="20" xr:uid="{00000000-0005-0000-0000-00000E000000}"/>
    <cellStyle name="Normal 3" xfId="9" xr:uid="{00000000-0005-0000-0000-00000F000000}"/>
    <cellStyle name="Normal 4" xfId="11" xr:uid="{00000000-0005-0000-0000-000010000000}"/>
    <cellStyle name="Normal 40" xfId="24" xr:uid="{00000000-0005-0000-0000-000011000000}"/>
    <cellStyle name="Normal 5" xfId="13" xr:uid="{00000000-0005-0000-0000-000012000000}"/>
    <cellStyle name="Normal 6" xfId="12" xr:uid="{00000000-0005-0000-0000-000013000000}"/>
    <cellStyle name="Normal 7" xfId="14" xr:uid="{00000000-0005-0000-0000-000014000000}"/>
    <cellStyle name="Normal 8" xfId="15" xr:uid="{00000000-0005-0000-0000-000015000000}"/>
    <cellStyle name="Normal 9" xfId="8" xr:uid="{00000000-0005-0000-0000-000016000000}"/>
    <cellStyle name="Normal 9 2" xfId="18" xr:uid="{00000000-0005-0000-0000-000017000000}"/>
    <cellStyle name="Percent [2]" xfId="5" xr:uid="{00000000-0005-0000-0000-00001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CD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FFFFCC"/>
      <color rgb="FF8DFB43"/>
      <color rgb="FFF747AC"/>
      <color rgb="FFFFFF99"/>
      <color rgb="FF66FFFF"/>
      <color rgb="FFA4F0FA"/>
      <color rgb="FFFC42E6"/>
      <color rgb="FFA7FFCB"/>
      <color rgb="FF53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3FC2-7275-4AE9-A9B0-35DFF3F79574}">
  <sheetPr>
    <tabColor rgb="FFFFFFCC"/>
  </sheetPr>
  <dimension ref="A1:M210"/>
  <sheetViews>
    <sheetView showGridLines="0" zoomScaleNormal="100" workbookViewId="0">
      <pane ySplit="5" topLeftCell="A192" activePane="bottomLeft" state="frozen"/>
      <selection activeCell="B10" sqref="B10"/>
      <selection pane="bottomLeft" activeCell="A3" sqref="A3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1447</v>
      </c>
      <c r="E3" s="58">
        <f>+E196</f>
        <v>13423</v>
      </c>
      <c r="H3" s="59">
        <f>H196</f>
        <v>33107</v>
      </c>
      <c r="I3" s="59">
        <f>I196</f>
        <v>164410.25</v>
      </c>
      <c r="J3" s="59">
        <f>J196</f>
        <v>10611.55</v>
      </c>
      <c r="K3" s="60">
        <f>K196</f>
        <v>186905.7</v>
      </c>
      <c r="L3" s="61"/>
    </row>
    <row r="4" spans="1:13" ht="13.5" thickBot="1" x14ac:dyDescent="0.25">
      <c r="A4" s="98"/>
    </row>
    <row r="5" spans="1:13" s="66" customFormat="1" ht="59.2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x14ac:dyDescent="0.2">
      <c r="A6" s="100" t="s">
        <v>1331</v>
      </c>
      <c r="B6" s="88">
        <v>70071</v>
      </c>
      <c r="C6" s="88" t="s">
        <v>1071</v>
      </c>
      <c r="D6" s="87" t="s">
        <v>1332</v>
      </c>
      <c r="E6" s="88">
        <v>3</v>
      </c>
      <c r="F6" s="78">
        <v>14.5</v>
      </c>
      <c r="G6" s="78">
        <v>20</v>
      </c>
      <c r="H6" s="70">
        <f>E6*G6</f>
        <v>60</v>
      </c>
      <c r="I6" s="70"/>
      <c r="J6" s="71">
        <v>0</v>
      </c>
      <c r="K6" s="71">
        <f>H6+I6-J6</f>
        <v>60</v>
      </c>
      <c r="L6" s="101">
        <f>E6*F6</f>
        <v>43.5</v>
      </c>
      <c r="M6" s="72"/>
    </row>
    <row r="7" spans="1:13" x14ac:dyDescent="0.2">
      <c r="A7" s="89" t="s">
        <v>1333</v>
      </c>
      <c r="B7" s="67">
        <v>70055</v>
      </c>
      <c r="C7" s="67" t="s">
        <v>1334</v>
      </c>
      <c r="D7" s="68" t="s">
        <v>1335</v>
      </c>
      <c r="E7" s="67">
        <v>1</v>
      </c>
      <c r="F7" s="69">
        <v>85</v>
      </c>
      <c r="G7" s="69">
        <v>111</v>
      </c>
      <c r="H7" s="70">
        <f t="shared" ref="H7:H68" si="0">E7*G7</f>
        <v>111</v>
      </c>
      <c r="I7" s="70"/>
      <c r="J7" s="71">
        <v>0</v>
      </c>
      <c r="K7" s="73">
        <f t="shared" ref="K7:K70" si="1">H7+I7-J7</f>
        <v>111</v>
      </c>
      <c r="L7" s="90">
        <f>E7*F7</f>
        <v>85</v>
      </c>
      <c r="M7" s="72"/>
    </row>
    <row r="8" spans="1:13" x14ac:dyDescent="0.2">
      <c r="A8" s="89" t="s">
        <v>1333</v>
      </c>
      <c r="B8" s="67">
        <v>70270</v>
      </c>
      <c r="C8" s="67" t="s">
        <v>1127</v>
      </c>
      <c r="D8" s="68" t="s">
        <v>1250</v>
      </c>
      <c r="E8" s="67">
        <v>2</v>
      </c>
      <c r="F8" s="69">
        <v>55</v>
      </c>
      <c r="G8" s="69">
        <v>71.5</v>
      </c>
      <c r="H8" s="70">
        <f t="shared" si="0"/>
        <v>143</v>
      </c>
      <c r="I8" s="70"/>
      <c r="J8" s="71">
        <v>0</v>
      </c>
      <c r="K8" s="73">
        <f t="shared" si="1"/>
        <v>143</v>
      </c>
      <c r="L8" s="90">
        <f>E8*F8</f>
        <v>110</v>
      </c>
      <c r="M8" s="72"/>
    </row>
    <row r="9" spans="1:13" x14ac:dyDescent="0.2">
      <c r="A9" s="89" t="s">
        <v>1333</v>
      </c>
      <c r="B9" s="67">
        <v>70283</v>
      </c>
      <c r="C9" s="67" t="s">
        <v>1133</v>
      </c>
      <c r="D9" s="68" t="s">
        <v>27</v>
      </c>
      <c r="E9" s="67">
        <v>1</v>
      </c>
      <c r="F9" s="69">
        <v>8</v>
      </c>
      <c r="G9" s="69">
        <v>10</v>
      </c>
      <c r="H9" s="70">
        <f t="shared" si="0"/>
        <v>10</v>
      </c>
      <c r="I9" s="70"/>
      <c r="J9" s="71">
        <v>0</v>
      </c>
      <c r="K9" s="73">
        <f t="shared" si="1"/>
        <v>10</v>
      </c>
      <c r="L9" s="90">
        <f>E9*F9</f>
        <v>8</v>
      </c>
      <c r="M9" s="72"/>
    </row>
    <row r="10" spans="1:13" x14ac:dyDescent="0.2">
      <c r="A10" s="89" t="s">
        <v>1333</v>
      </c>
      <c r="B10" s="67">
        <v>70194</v>
      </c>
      <c r="C10" s="67"/>
      <c r="D10" s="68" t="s">
        <v>1251</v>
      </c>
      <c r="E10" s="67">
        <v>1</v>
      </c>
      <c r="F10" s="69">
        <v>60</v>
      </c>
      <c r="G10" s="69">
        <v>78</v>
      </c>
      <c r="H10" s="70">
        <f t="shared" si="0"/>
        <v>78</v>
      </c>
      <c r="I10" s="70"/>
      <c r="J10" s="71">
        <v>0</v>
      </c>
      <c r="K10" s="73">
        <f t="shared" si="1"/>
        <v>78</v>
      </c>
      <c r="L10" s="90">
        <f t="shared" ref="L10:L73" si="2">E10*F10</f>
        <v>60</v>
      </c>
      <c r="M10" s="72"/>
    </row>
    <row r="11" spans="1:13" x14ac:dyDescent="0.2">
      <c r="A11" s="89" t="s">
        <v>1333</v>
      </c>
      <c r="B11" s="67">
        <v>70127</v>
      </c>
      <c r="C11" s="67"/>
      <c r="D11" s="68" t="s">
        <v>1247</v>
      </c>
      <c r="E11" s="67">
        <v>1</v>
      </c>
      <c r="F11" s="69">
        <v>35.75</v>
      </c>
      <c r="G11" s="69">
        <v>47</v>
      </c>
      <c r="H11" s="70">
        <f t="shared" si="0"/>
        <v>47</v>
      </c>
      <c r="I11" s="70"/>
      <c r="J11" s="71">
        <v>0</v>
      </c>
      <c r="K11" s="73">
        <f t="shared" si="1"/>
        <v>47</v>
      </c>
      <c r="L11" s="90">
        <f t="shared" si="2"/>
        <v>35.75</v>
      </c>
      <c r="M11" s="72"/>
    </row>
    <row r="12" spans="1:13" x14ac:dyDescent="0.2">
      <c r="A12" s="89" t="s">
        <v>1333</v>
      </c>
      <c r="B12" s="67">
        <v>70288</v>
      </c>
      <c r="C12" s="67"/>
      <c r="D12" s="68" t="s">
        <v>1336</v>
      </c>
      <c r="E12" s="67">
        <v>1</v>
      </c>
      <c r="F12" s="69">
        <v>9</v>
      </c>
      <c r="G12" s="69">
        <v>12</v>
      </c>
      <c r="H12" s="70">
        <f t="shared" si="0"/>
        <v>12</v>
      </c>
      <c r="I12" s="70"/>
      <c r="J12" s="71">
        <v>0</v>
      </c>
      <c r="K12" s="73">
        <f t="shared" si="1"/>
        <v>12</v>
      </c>
      <c r="L12" s="90">
        <f t="shared" si="2"/>
        <v>9</v>
      </c>
      <c r="M12" s="72"/>
    </row>
    <row r="13" spans="1:13" x14ac:dyDescent="0.2">
      <c r="A13" s="89" t="s">
        <v>1337</v>
      </c>
      <c r="B13" s="67">
        <v>70123</v>
      </c>
      <c r="C13" s="67" t="s">
        <v>1338</v>
      </c>
      <c r="D13" s="68" t="s">
        <v>21</v>
      </c>
      <c r="E13" s="67">
        <v>1</v>
      </c>
      <c r="F13" s="69">
        <v>148.9</v>
      </c>
      <c r="G13" s="69">
        <v>237</v>
      </c>
      <c r="H13" s="70">
        <f t="shared" si="0"/>
        <v>237</v>
      </c>
      <c r="I13" s="70"/>
      <c r="J13" s="71">
        <v>0</v>
      </c>
      <c r="K13" s="73">
        <f t="shared" si="1"/>
        <v>237</v>
      </c>
      <c r="L13" s="90">
        <f t="shared" si="2"/>
        <v>148.9</v>
      </c>
      <c r="M13" s="72"/>
    </row>
    <row r="14" spans="1:13" x14ac:dyDescent="0.2">
      <c r="A14" s="89" t="s">
        <v>1337</v>
      </c>
      <c r="B14" s="67">
        <v>70124</v>
      </c>
      <c r="C14" s="67"/>
      <c r="D14" s="68" t="s">
        <v>22</v>
      </c>
      <c r="E14" s="67">
        <v>1</v>
      </c>
      <c r="F14" s="69">
        <v>126</v>
      </c>
      <c r="G14" s="69">
        <v>201</v>
      </c>
      <c r="H14" s="70">
        <f t="shared" si="0"/>
        <v>201</v>
      </c>
      <c r="I14" s="70"/>
      <c r="J14" s="71">
        <v>0</v>
      </c>
      <c r="K14" s="73">
        <f t="shared" si="1"/>
        <v>201</v>
      </c>
      <c r="L14" s="90">
        <f t="shared" si="2"/>
        <v>126</v>
      </c>
      <c r="M14" s="72"/>
    </row>
    <row r="15" spans="1:13" x14ac:dyDescent="0.2">
      <c r="A15" s="89" t="s">
        <v>1337</v>
      </c>
      <c r="B15" s="67">
        <v>70016</v>
      </c>
      <c r="C15" s="67" t="s">
        <v>1168</v>
      </c>
      <c r="D15" s="68" t="s">
        <v>23</v>
      </c>
      <c r="E15" s="67">
        <v>21</v>
      </c>
      <c r="F15" s="69">
        <v>99.3</v>
      </c>
      <c r="G15" s="69">
        <v>175</v>
      </c>
      <c r="H15" s="70">
        <f t="shared" si="0"/>
        <v>3675</v>
      </c>
      <c r="I15" s="70"/>
      <c r="J15" s="71">
        <v>0</v>
      </c>
      <c r="K15" s="73">
        <f t="shared" si="1"/>
        <v>3675</v>
      </c>
      <c r="L15" s="90">
        <f t="shared" si="2"/>
        <v>2085.2999999999997</v>
      </c>
      <c r="M15" s="72"/>
    </row>
    <row r="16" spans="1:13" x14ac:dyDescent="0.2">
      <c r="A16" s="89" t="s">
        <v>1337</v>
      </c>
      <c r="B16" s="67">
        <v>70017</v>
      </c>
      <c r="C16" s="67"/>
      <c r="D16" s="68" t="s">
        <v>20</v>
      </c>
      <c r="E16" s="67">
        <v>9</v>
      </c>
      <c r="F16" s="69">
        <v>84</v>
      </c>
      <c r="G16" s="69">
        <v>157</v>
      </c>
      <c r="H16" s="70">
        <f t="shared" si="0"/>
        <v>1413</v>
      </c>
      <c r="I16" s="70"/>
      <c r="J16" s="71">
        <v>0</v>
      </c>
      <c r="K16" s="73">
        <f t="shared" si="1"/>
        <v>1413</v>
      </c>
      <c r="L16" s="90">
        <f t="shared" si="2"/>
        <v>756</v>
      </c>
      <c r="M16" s="72"/>
    </row>
    <row r="17" spans="1:13" x14ac:dyDescent="0.2">
      <c r="A17" s="89" t="s">
        <v>1337</v>
      </c>
      <c r="B17" s="67">
        <v>70019</v>
      </c>
      <c r="C17" s="67"/>
      <c r="D17" s="68" t="s">
        <v>1339</v>
      </c>
      <c r="E17" s="67">
        <v>1</v>
      </c>
      <c r="F17" s="69">
        <v>1.75</v>
      </c>
      <c r="G17" s="69">
        <v>3</v>
      </c>
      <c r="H17" s="70">
        <f t="shared" si="0"/>
        <v>3</v>
      </c>
      <c r="I17" s="70"/>
      <c r="J17" s="71">
        <v>0</v>
      </c>
      <c r="K17" s="73">
        <f t="shared" si="1"/>
        <v>3</v>
      </c>
      <c r="L17" s="90">
        <f t="shared" si="2"/>
        <v>1.75</v>
      </c>
      <c r="M17" s="72"/>
    </row>
    <row r="18" spans="1:13" x14ac:dyDescent="0.2">
      <c r="A18" s="89" t="s">
        <v>1337</v>
      </c>
      <c r="B18" s="67">
        <v>70025</v>
      </c>
      <c r="C18" s="67"/>
      <c r="D18" s="68" t="s">
        <v>1340</v>
      </c>
      <c r="E18" s="67">
        <v>2</v>
      </c>
      <c r="F18" s="69">
        <v>6</v>
      </c>
      <c r="G18" s="69">
        <v>8</v>
      </c>
      <c r="H18" s="70">
        <f t="shared" si="0"/>
        <v>16</v>
      </c>
      <c r="I18" s="70"/>
      <c r="J18" s="71">
        <v>0</v>
      </c>
      <c r="K18" s="73">
        <f t="shared" si="1"/>
        <v>16</v>
      </c>
      <c r="L18" s="90">
        <f t="shared" si="2"/>
        <v>12</v>
      </c>
      <c r="M18" s="72"/>
    </row>
    <row r="19" spans="1:13" x14ac:dyDescent="0.2">
      <c r="A19" s="89" t="s">
        <v>1337</v>
      </c>
      <c r="B19" s="67">
        <v>70170</v>
      </c>
      <c r="C19" s="67"/>
      <c r="D19" s="68" t="s">
        <v>1341</v>
      </c>
      <c r="E19" s="67">
        <v>350</v>
      </c>
      <c r="F19" s="69">
        <v>1.5</v>
      </c>
      <c r="G19" s="69">
        <v>3.5</v>
      </c>
      <c r="H19" s="70">
        <f t="shared" si="0"/>
        <v>1225</v>
      </c>
      <c r="I19" s="70"/>
      <c r="J19" s="71">
        <v>0</v>
      </c>
      <c r="K19" s="73">
        <f t="shared" si="1"/>
        <v>1225</v>
      </c>
      <c r="L19" s="90">
        <f t="shared" si="2"/>
        <v>525</v>
      </c>
      <c r="M19" s="72"/>
    </row>
    <row r="20" spans="1:13" x14ac:dyDescent="0.2">
      <c r="A20" s="89" t="s">
        <v>1337</v>
      </c>
      <c r="B20" s="67">
        <v>70054</v>
      </c>
      <c r="C20" s="67"/>
      <c r="D20" s="68" t="s">
        <v>1342</v>
      </c>
      <c r="E20" s="67">
        <v>3</v>
      </c>
      <c r="F20" s="69">
        <v>23.5</v>
      </c>
      <c r="G20" s="69">
        <v>39</v>
      </c>
      <c r="H20" s="70">
        <f t="shared" si="0"/>
        <v>117</v>
      </c>
      <c r="I20" s="70"/>
      <c r="J20" s="71">
        <v>0</v>
      </c>
      <c r="K20" s="73">
        <f t="shared" si="1"/>
        <v>117</v>
      </c>
      <c r="L20" s="90">
        <f t="shared" si="2"/>
        <v>70.5</v>
      </c>
      <c r="M20" s="72"/>
    </row>
    <row r="21" spans="1:13" x14ac:dyDescent="0.2">
      <c r="A21" s="89" t="s">
        <v>1337</v>
      </c>
      <c r="B21" s="67">
        <v>70085</v>
      </c>
      <c r="C21" s="67"/>
      <c r="D21" s="68" t="s">
        <v>24</v>
      </c>
      <c r="E21" s="67">
        <v>518</v>
      </c>
      <c r="F21" s="69">
        <v>2.7</v>
      </c>
      <c r="G21" s="69">
        <v>8</v>
      </c>
      <c r="H21" s="70">
        <f t="shared" si="0"/>
        <v>4144</v>
      </c>
      <c r="I21" s="70"/>
      <c r="J21" s="71">
        <v>0</v>
      </c>
      <c r="K21" s="73">
        <f t="shared" si="1"/>
        <v>4144</v>
      </c>
      <c r="L21" s="90">
        <f t="shared" si="2"/>
        <v>1398.6000000000001</v>
      </c>
      <c r="M21" s="72"/>
    </row>
    <row r="22" spans="1:13" x14ac:dyDescent="0.2">
      <c r="A22" s="89" t="s">
        <v>1337</v>
      </c>
      <c r="B22" s="67">
        <v>70174</v>
      </c>
      <c r="C22" s="67"/>
      <c r="D22" s="68" t="s">
        <v>1343</v>
      </c>
      <c r="E22" s="67">
        <v>2</v>
      </c>
      <c r="F22" s="69">
        <v>88</v>
      </c>
      <c r="G22" s="69">
        <v>280</v>
      </c>
      <c r="H22" s="70">
        <f t="shared" si="0"/>
        <v>560</v>
      </c>
      <c r="I22" s="70"/>
      <c r="J22" s="71">
        <v>0</v>
      </c>
      <c r="K22" s="73">
        <f t="shared" si="1"/>
        <v>560</v>
      </c>
      <c r="L22" s="90">
        <f t="shared" si="2"/>
        <v>176</v>
      </c>
      <c r="M22" s="72"/>
    </row>
    <row r="23" spans="1:13" x14ac:dyDescent="0.2">
      <c r="A23" s="89" t="s">
        <v>1337</v>
      </c>
      <c r="B23" s="67">
        <v>70175</v>
      </c>
      <c r="C23" s="67"/>
      <c r="D23" s="68" t="s">
        <v>1344</v>
      </c>
      <c r="E23" s="67">
        <v>4</v>
      </c>
      <c r="F23" s="69">
        <v>167.8</v>
      </c>
      <c r="G23" s="69">
        <v>460</v>
      </c>
      <c r="H23" s="70">
        <f t="shared" si="0"/>
        <v>1840</v>
      </c>
      <c r="I23" s="70"/>
      <c r="J23" s="71">
        <v>0</v>
      </c>
      <c r="K23" s="73">
        <f t="shared" si="1"/>
        <v>1840</v>
      </c>
      <c r="L23" s="90">
        <f t="shared" si="2"/>
        <v>671.2</v>
      </c>
      <c r="M23" s="72"/>
    </row>
    <row r="24" spans="1:13" x14ac:dyDescent="0.2">
      <c r="A24" s="89" t="s">
        <v>1337</v>
      </c>
      <c r="B24" s="67">
        <v>70233</v>
      </c>
      <c r="C24" s="67"/>
      <c r="D24" s="68" t="s">
        <v>1345</v>
      </c>
      <c r="E24" s="67">
        <v>2</v>
      </c>
      <c r="F24" s="69">
        <v>55</v>
      </c>
      <c r="G24" s="69">
        <v>88</v>
      </c>
      <c r="H24" s="70">
        <f t="shared" si="0"/>
        <v>176</v>
      </c>
      <c r="I24" s="70"/>
      <c r="J24" s="71">
        <v>0</v>
      </c>
      <c r="K24" s="73">
        <f t="shared" si="1"/>
        <v>176</v>
      </c>
      <c r="L24" s="90">
        <f t="shared" si="2"/>
        <v>110</v>
      </c>
      <c r="M24" s="72"/>
    </row>
    <row r="25" spans="1:13" x14ac:dyDescent="0.2">
      <c r="A25" s="89" t="s">
        <v>1337</v>
      </c>
      <c r="B25" s="67">
        <v>70110</v>
      </c>
      <c r="C25" s="67"/>
      <c r="D25" s="68" t="s">
        <v>1346</v>
      </c>
      <c r="E25" s="67">
        <v>7</v>
      </c>
      <c r="F25" s="69">
        <v>15</v>
      </c>
      <c r="G25" s="69">
        <v>20</v>
      </c>
      <c r="H25" s="70">
        <f t="shared" si="0"/>
        <v>140</v>
      </c>
      <c r="I25" s="70"/>
      <c r="J25" s="71">
        <v>0</v>
      </c>
      <c r="K25" s="73">
        <f t="shared" si="1"/>
        <v>140</v>
      </c>
      <c r="L25" s="90">
        <f t="shared" si="2"/>
        <v>105</v>
      </c>
      <c r="M25" s="72"/>
    </row>
    <row r="26" spans="1:13" x14ac:dyDescent="0.2">
      <c r="A26" s="89" t="s">
        <v>1337</v>
      </c>
      <c r="B26" s="67">
        <v>70114</v>
      </c>
      <c r="C26" s="67"/>
      <c r="D26" s="68" t="s">
        <v>1347</v>
      </c>
      <c r="E26" s="67">
        <v>11</v>
      </c>
      <c r="F26" s="69">
        <v>145</v>
      </c>
      <c r="G26" s="69">
        <v>175</v>
      </c>
      <c r="H26" s="70">
        <f t="shared" si="0"/>
        <v>1925</v>
      </c>
      <c r="I26" s="70"/>
      <c r="J26" s="71">
        <v>0</v>
      </c>
      <c r="K26" s="73">
        <f t="shared" si="1"/>
        <v>1925</v>
      </c>
      <c r="L26" s="90">
        <f t="shared" si="2"/>
        <v>1595</v>
      </c>
      <c r="M26" s="72"/>
    </row>
    <row r="27" spans="1:13" x14ac:dyDescent="0.2">
      <c r="A27" s="89" t="s">
        <v>1337</v>
      </c>
      <c r="B27" s="67">
        <v>70123</v>
      </c>
      <c r="C27" s="67"/>
      <c r="D27" s="68" t="s">
        <v>21</v>
      </c>
      <c r="E27" s="67">
        <v>25</v>
      </c>
      <c r="F27" s="69">
        <v>148.9</v>
      </c>
      <c r="G27" s="69">
        <v>237</v>
      </c>
      <c r="H27" s="70">
        <f t="shared" si="0"/>
        <v>5925</v>
      </c>
      <c r="I27" s="70"/>
      <c r="J27" s="71">
        <v>10561.3</v>
      </c>
      <c r="K27" s="73">
        <f t="shared" si="1"/>
        <v>-4636.2999999999993</v>
      </c>
      <c r="L27" s="90">
        <f t="shared" si="2"/>
        <v>3722.5</v>
      </c>
      <c r="M27" s="72"/>
    </row>
    <row r="28" spans="1:13" x14ac:dyDescent="0.2">
      <c r="A28" s="89" t="s">
        <v>1337</v>
      </c>
      <c r="B28" s="67">
        <v>70124</v>
      </c>
      <c r="C28" s="67"/>
      <c r="D28" s="68" t="s">
        <v>22</v>
      </c>
      <c r="E28" s="67">
        <v>11</v>
      </c>
      <c r="F28" s="69">
        <v>126</v>
      </c>
      <c r="G28" s="69">
        <v>201</v>
      </c>
      <c r="H28" s="70">
        <f t="shared" si="0"/>
        <v>2211</v>
      </c>
      <c r="I28" s="70"/>
      <c r="J28" s="71">
        <v>0</v>
      </c>
      <c r="K28" s="73">
        <f t="shared" si="1"/>
        <v>2211</v>
      </c>
      <c r="L28" s="90">
        <f t="shared" si="2"/>
        <v>1386</v>
      </c>
      <c r="M28" s="72"/>
    </row>
    <row r="29" spans="1:13" x14ac:dyDescent="0.2">
      <c r="A29" s="89" t="s">
        <v>1337</v>
      </c>
      <c r="B29" s="67">
        <v>70168</v>
      </c>
      <c r="C29" s="67"/>
      <c r="D29" s="68" t="s">
        <v>1348</v>
      </c>
      <c r="E29" s="67">
        <v>1</v>
      </c>
      <c r="F29" s="69">
        <v>32</v>
      </c>
      <c r="G29" s="69">
        <v>45</v>
      </c>
      <c r="H29" s="70">
        <f t="shared" si="0"/>
        <v>45</v>
      </c>
      <c r="I29" s="70"/>
      <c r="J29" s="71">
        <v>0</v>
      </c>
      <c r="K29" s="73">
        <f t="shared" si="1"/>
        <v>45</v>
      </c>
      <c r="L29" s="90">
        <f t="shared" si="2"/>
        <v>32</v>
      </c>
      <c r="M29" s="72"/>
    </row>
    <row r="30" spans="1:13" x14ac:dyDescent="0.2">
      <c r="A30" s="89" t="s">
        <v>1337</v>
      </c>
      <c r="B30" s="67">
        <v>70169</v>
      </c>
      <c r="C30" s="67"/>
      <c r="D30" s="68" t="s">
        <v>1349</v>
      </c>
      <c r="E30" s="67">
        <v>3</v>
      </c>
      <c r="F30" s="69">
        <v>28.5</v>
      </c>
      <c r="G30" s="69">
        <v>45</v>
      </c>
      <c r="H30" s="70">
        <f t="shared" si="0"/>
        <v>135</v>
      </c>
      <c r="I30" s="70"/>
      <c r="J30" s="71">
        <v>0</v>
      </c>
      <c r="K30" s="73">
        <f t="shared" si="1"/>
        <v>135</v>
      </c>
      <c r="L30" s="90">
        <f t="shared" si="2"/>
        <v>85.5</v>
      </c>
      <c r="M30" s="72"/>
    </row>
    <row r="31" spans="1:13" x14ac:dyDescent="0.2">
      <c r="A31" s="89" t="s">
        <v>1350</v>
      </c>
      <c r="B31" s="67">
        <v>70293</v>
      </c>
      <c r="C31" s="67" t="s">
        <v>1197</v>
      </c>
      <c r="D31" s="68" t="s">
        <v>1252</v>
      </c>
      <c r="E31" s="67">
        <v>1</v>
      </c>
      <c r="F31" s="69">
        <v>30</v>
      </c>
      <c r="G31" s="69">
        <v>39</v>
      </c>
      <c r="H31" s="70">
        <f t="shared" si="0"/>
        <v>39</v>
      </c>
      <c r="I31" s="70"/>
      <c r="J31" s="71">
        <v>0</v>
      </c>
      <c r="K31" s="73">
        <f t="shared" si="1"/>
        <v>39</v>
      </c>
      <c r="L31" s="90">
        <f t="shared" si="2"/>
        <v>30</v>
      </c>
      <c r="M31" s="72"/>
    </row>
    <row r="32" spans="1:13" x14ac:dyDescent="0.2">
      <c r="A32" s="89" t="s">
        <v>1350</v>
      </c>
      <c r="B32" s="67">
        <v>70073</v>
      </c>
      <c r="C32" s="67"/>
      <c r="D32" s="68" t="s">
        <v>1351</v>
      </c>
      <c r="E32" s="67">
        <v>15</v>
      </c>
      <c r="F32" s="69">
        <v>14.5</v>
      </c>
      <c r="G32" s="69">
        <v>20</v>
      </c>
      <c r="H32" s="70">
        <f t="shared" si="0"/>
        <v>300</v>
      </c>
      <c r="I32" s="70"/>
      <c r="J32" s="71">
        <v>0</v>
      </c>
      <c r="K32" s="73">
        <f t="shared" si="1"/>
        <v>300</v>
      </c>
      <c r="L32" s="90">
        <f t="shared" si="2"/>
        <v>217.5</v>
      </c>
      <c r="M32" s="72"/>
    </row>
    <row r="33" spans="1:13" x14ac:dyDescent="0.2">
      <c r="A33" s="89" t="s">
        <v>1350</v>
      </c>
      <c r="B33" s="67">
        <v>70192</v>
      </c>
      <c r="C33" s="67"/>
      <c r="D33" s="68" t="s">
        <v>1352</v>
      </c>
      <c r="E33" s="67">
        <v>25</v>
      </c>
      <c r="F33" s="69">
        <v>14.5</v>
      </c>
      <c r="G33" s="69">
        <v>20</v>
      </c>
      <c r="H33" s="70">
        <f t="shared" si="0"/>
        <v>500</v>
      </c>
      <c r="I33" s="70"/>
      <c r="J33" s="71">
        <v>0</v>
      </c>
      <c r="K33" s="73">
        <f t="shared" si="1"/>
        <v>500</v>
      </c>
      <c r="L33" s="90">
        <f t="shared" si="2"/>
        <v>362.5</v>
      </c>
      <c r="M33" s="72"/>
    </row>
    <row r="34" spans="1:13" x14ac:dyDescent="0.2">
      <c r="A34" s="89" t="s">
        <v>1350</v>
      </c>
      <c r="B34" s="67">
        <v>70270</v>
      </c>
      <c r="C34" s="67"/>
      <c r="D34" s="68" t="s">
        <v>1250</v>
      </c>
      <c r="E34" s="67">
        <v>1</v>
      </c>
      <c r="F34" s="69">
        <v>55</v>
      </c>
      <c r="G34" s="69">
        <v>71.5</v>
      </c>
      <c r="H34" s="70">
        <f t="shared" si="0"/>
        <v>71.5</v>
      </c>
      <c r="I34" s="70"/>
      <c r="J34" s="71">
        <v>0</v>
      </c>
      <c r="K34" s="73">
        <f t="shared" si="1"/>
        <v>71.5</v>
      </c>
      <c r="L34" s="90">
        <f t="shared" si="2"/>
        <v>55</v>
      </c>
      <c r="M34" s="72"/>
    </row>
    <row r="35" spans="1:13" x14ac:dyDescent="0.2">
      <c r="A35" s="89" t="s">
        <v>1350</v>
      </c>
      <c r="B35" s="67">
        <v>70112</v>
      </c>
      <c r="C35" s="67"/>
      <c r="D35" s="68" t="s">
        <v>29</v>
      </c>
      <c r="E35" s="67">
        <v>2</v>
      </c>
      <c r="F35" s="69">
        <v>21.5</v>
      </c>
      <c r="G35" s="69">
        <v>28</v>
      </c>
      <c r="H35" s="70">
        <f t="shared" si="0"/>
        <v>56</v>
      </c>
      <c r="I35" s="70"/>
      <c r="J35" s="71">
        <v>0</v>
      </c>
      <c r="K35" s="73">
        <f t="shared" si="1"/>
        <v>56</v>
      </c>
      <c r="L35" s="90">
        <f t="shared" si="2"/>
        <v>43</v>
      </c>
      <c r="M35" s="72"/>
    </row>
    <row r="36" spans="1:13" x14ac:dyDescent="0.2">
      <c r="A36" s="89" t="s">
        <v>1350</v>
      </c>
      <c r="B36" s="67">
        <v>70123</v>
      </c>
      <c r="C36" s="67"/>
      <c r="D36" s="68" t="s">
        <v>21</v>
      </c>
      <c r="E36" s="67">
        <v>10</v>
      </c>
      <c r="F36" s="69">
        <v>148.9</v>
      </c>
      <c r="G36" s="69">
        <v>237</v>
      </c>
      <c r="H36" s="70">
        <f t="shared" si="0"/>
        <v>2370</v>
      </c>
      <c r="I36" s="70"/>
      <c r="J36" s="71">
        <v>0</v>
      </c>
      <c r="K36" s="73">
        <f t="shared" si="1"/>
        <v>2370</v>
      </c>
      <c r="L36" s="90">
        <f t="shared" si="2"/>
        <v>1489</v>
      </c>
      <c r="M36" s="72"/>
    </row>
    <row r="37" spans="1:13" x14ac:dyDescent="0.2">
      <c r="A37" s="89" t="s">
        <v>1350</v>
      </c>
      <c r="B37" s="67">
        <v>70017</v>
      </c>
      <c r="C37" s="67"/>
      <c r="D37" s="68" t="s">
        <v>20</v>
      </c>
      <c r="E37" s="67">
        <v>3</v>
      </c>
      <c r="F37" s="69">
        <v>84</v>
      </c>
      <c r="G37" s="69">
        <v>157</v>
      </c>
      <c r="H37" s="70">
        <f t="shared" si="0"/>
        <v>471</v>
      </c>
      <c r="I37" s="70"/>
      <c r="J37" s="71">
        <v>0</v>
      </c>
      <c r="K37" s="73">
        <f t="shared" si="1"/>
        <v>471</v>
      </c>
      <c r="L37" s="90">
        <f t="shared" si="2"/>
        <v>252</v>
      </c>
      <c r="M37" s="72"/>
    </row>
    <row r="38" spans="1:13" x14ac:dyDescent="0.2">
      <c r="A38" s="89" t="s">
        <v>1350</v>
      </c>
      <c r="B38" s="67">
        <v>70004</v>
      </c>
      <c r="C38" s="67"/>
      <c r="D38" s="68" t="s">
        <v>1353</v>
      </c>
      <c r="E38" s="67">
        <v>1</v>
      </c>
      <c r="F38" s="69">
        <v>17</v>
      </c>
      <c r="G38" s="69">
        <v>31</v>
      </c>
      <c r="H38" s="70">
        <f t="shared" si="0"/>
        <v>31</v>
      </c>
      <c r="I38" s="70"/>
      <c r="J38" s="71">
        <v>0</v>
      </c>
      <c r="K38" s="73">
        <f t="shared" si="1"/>
        <v>31</v>
      </c>
      <c r="L38" s="90">
        <f t="shared" si="2"/>
        <v>17</v>
      </c>
      <c r="M38" s="72"/>
    </row>
    <row r="39" spans="1:13" x14ac:dyDescent="0.2">
      <c r="A39" s="89" t="s">
        <v>1354</v>
      </c>
      <c r="B39" s="67">
        <v>70176</v>
      </c>
      <c r="C39" s="67" t="s">
        <v>1355</v>
      </c>
      <c r="D39" s="68" t="s">
        <v>26</v>
      </c>
      <c r="E39" s="67">
        <v>6</v>
      </c>
      <c r="F39" s="69">
        <v>167.8</v>
      </c>
      <c r="G39" s="69">
        <v>360</v>
      </c>
      <c r="H39" s="70">
        <f t="shared" si="0"/>
        <v>2160</v>
      </c>
      <c r="I39" s="70"/>
      <c r="J39" s="71">
        <v>0</v>
      </c>
      <c r="K39" s="73">
        <f t="shared" si="1"/>
        <v>2160</v>
      </c>
      <c r="L39" s="90">
        <f t="shared" si="2"/>
        <v>1006.8000000000001</v>
      </c>
      <c r="M39" s="72"/>
    </row>
    <row r="40" spans="1:13" x14ac:dyDescent="0.2">
      <c r="A40" s="89" t="s">
        <v>1356</v>
      </c>
      <c r="B40" s="67">
        <v>70071</v>
      </c>
      <c r="C40" s="67" t="s">
        <v>1357</v>
      </c>
      <c r="D40" s="68" t="s">
        <v>1332</v>
      </c>
      <c r="E40" s="67">
        <v>2</v>
      </c>
      <c r="F40" s="69">
        <v>14.5</v>
      </c>
      <c r="G40" s="69">
        <v>20</v>
      </c>
      <c r="H40" s="70">
        <f t="shared" si="0"/>
        <v>40</v>
      </c>
      <c r="I40" s="70"/>
      <c r="J40" s="71">
        <v>0</v>
      </c>
      <c r="K40" s="73">
        <f t="shared" si="1"/>
        <v>40</v>
      </c>
      <c r="L40" s="90">
        <f t="shared" si="2"/>
        <v>29</v>
      </c>
      <c r="M40" s="72"/>
    </row>
    <row r="41" spans="1:13" x14ac:dyDescent="0.2">
      <c r="A41" s="89" t="s">
        <v>1358</v>
      </c>
      <c r="B41" s="67">
        <v>70124</v>
      </c>
      <c r="C41" s="67" t="s">
        <v>1359</v>
      </c>
      <c r="D41" s="68" t="s">
        <v>22</v>
      </c>
      <c r="E41" s="67">
        <v>10</v>
      </c>
      <c r="F41" s="69">
        <v>126</v>
      </c>
      <c r="G41" s="69">
        <v>201</v>
      </c>
      <c r="H41" s="70"/>
      <c r="I41" s="70">
        <f>E41*G41</f>
        <v>2010</v>
      </c>
      <c r="J41" s="71">
        <v>0</v>
      </c>
      <c r="K41" s="73">
        <f t="shared" si="1"/>
        <v>2010</v>
      </c>
      <c r="L41" s="90">
        <f t="shared" si="2"/>
        <v>1260</v>
      </c>
      <c r="M41" s="72"/>
    </row>
    <row r="42" spans="1:13" x14ac:dyDescent="0.2">
      <c r="A42" s="89" t="s">
        <v>1358</v>
      </c>
      <c r="B42" s="67">
        <v>70296</v>
      </c>
      <c r="C42" s="67"/>
      <c r="D42" s="68" t="s">
        <v>1253</v>
      </c>
      <c r="E42" s="67">
        <v>15</v>
      </c>
      <c r="F42" s="69">
        <v>14</v>
      </c>
      <c r="G42" s="69">
        <v>18.25</v>
      </c>
      <c r="H42" s="70"/>
      <c r="I42" s="70">
        <f t="shared" ref="I42:I59" si="3">E42*G42</f>
        <v>273.75</v>
      </c>
      <c r="J42" s="71">
        <v>0</v>
      </c>
      <c r="K42" s="73">
        <f t="shared" si="1"/>
        <v>273.75</v>
      </c>
      <c r="L42" s="90">
        <f t="shared" si="2"/>
        <v>210</v>
      </c>
      <c r="M42" s="72"/>
    </row>
    <row r="43" spans="1:13" x14ac:dyDescent="0.2">
      <c r="A43" s="89" t="s">
        <v>1358</v>
      </c>
      <c r="B43" s="67">
        <v>70294</v>
      </c>
      <c r="C43" s="67"/>
      <c r="D43" s="68" t="s">
        <v>1360</v>
      </c>
      <c r="E43" s="67">
        <v>3</v>
      </c>
      <c r="F43" s="69">
        <v>19</v>
      </c>
      <c r="G43" s="69">
        <v>22</v>
      </c>
      <c r="H43" s="70"/>
      <c r="I43" s="70">
        <f t="shared" si="3"/>
        <v>66</v>
      </c>
      <c r="J43" s="71">
        <v>0</v>
      </c>
      <c r="K43" s="73">
        <f t="shared" si="1"/>
        <v>66</v>
      </c>
      <c r="L43" s="90">
        <f t="shared" si="2"/>
        <v>57</v>
      </c>
      <c r="M43" s="72"/>
    </row>
    <row r="44" spans="1:13" x14ac:dyDescent="0.2">
      <c r="A44" s="89" t="s">
        <v>1358</v>
      </c>
      <c r="B44" s="67">
        <v>70273</v>
      </c>
      <c r="C44" s="67"/>
      <c r="D44" s="68" t="s">
        <v>1361</v>
      </c>
      <c r="E44" s="67">
        <v>3</v>
      </c>
      <c r="F44" s="69">
        <v>95</v>
      </c>
      <c r="G44" s="69">
        <v>124</v>
      </c>
      <c r="H44" s="70"/>
      <c r="I44" s="70">
        <f t="shared" si="3"/>
        <v>372</v>
      </c>
      <c r="J44" s="71">
        <v>0</v>
      </c>
      <c r="K44" s="73">
        <f t="shared" si="1"/>
        <v>372</v>
      </c>
      <c r="L44" s="90">
        <f t="shared" si="2"/>
        <v>285</v>
      </c>
      <c r="M44" s="72"/>
    </row>
    <row r="45" spans="1:13" x14ac:dyDescent="0.2">
      <c r="A45" s="89" t="s">
        <v>1358</v>
      </c>
      <c r="B45" s="67">
        <v>70191</v>
      </c>
      <c r="C45" s="67"/>
      <c r="D45" s="68" t="s">
        <v>1327</v>
      </c>
      <c r="E45" s="67">
        <v>3</v>
      </c>
      <c r="F45" s="69">
        <v>38.5</v>
      </c>
      <c r="G45" s="69">
        <v>49</v>
      </c>
      <c r="H45" s="70"/>
      <c r="I45" s="70">
        <f t="shared" si="3"/>
        <v>147</v>
      </c>
      <c r="J45" s="71">
        <v>0</v>
      </c>
      <c r="K45" s="73">
        <f t="shared" si="1"/>
        <v>147</v>
      </c>
      <c r="L45" s="90">
        <f t="shared" si="2"/>
        <v>115.5</v>
      </c>
      <c r="M45" s="72"/>
    </row>
    <row r="46" spans="1:13" x14ac:dyDescent="0.2">
      <c r="A46" s="89" t="s">
        <v>1358</v>
      </c>
      <c r="B46" s="67">
        <v>70112</v>
      </c>
      <c r="C46" s="67"/>
      <c r="D46" s="68" t="s">
        <v>29</v>
      </c>
      <c r="E46" s="67">
        <v>12</v>
      </c>
      <c r="F46" s="69">
        <v>21.5</v>
      </c>
      <c r="G46" s="69">
        <v>28</v>
      </c>
      <c r="H46" s="70"/>
      <c r="I46" s="70">
        <f t="shared" si="3"/>
        <v>336</v>
      </c>
      <c r="J46" s="71">
        <v>0</v>
      </c>
      <c r="K46" s="73">
        <f t="shared" si="1"/>
        <v>336</v>
      </c>
      <c r="L46" s="90">
        <f t="shared" si="2"/>
        <v>258</v>
      </c>
      <c r="M46" s="72"/>
    </row>
    <row r="47" spans="1:13" x14ac:dyDescent="0.2">
      <c r="A47" s="89" t="s">
        <v>1358</v>
      </c>
      <c r="B47" s="67">
        <v>70091</v>
      </c>
      <c r="C47" s="67"/>
      <c r="D47" s="68" t="s">
        <v>1362</v>
      </c>
      <c r="E47" s="67">
        <v>1</v>
      </c>
      <c r="F47" s="69">
        <v>20</v>
      </c>
      <c r="G47" s="69">
        <v>23</v>
      </c>
      <c r="H47" s="70"/>
      <c r="I47" s="70">
        <f t="shared" si="3"/>
        <v>23</v>
      </c>
      <c r="J47" s="71">
        <v>0</v>
      </c>
      <c r="K47" s="73">
        <f t="shared" si="1"/>
        <v>23</v>
      </c>
      <c r="L47" s="90">
        <f t="shared" si="2"/>
        <v>20</v>
      </c>
      <c r="M47" s="72"/>
    </row>
    <row r="48" spans="1:13" x14ac:dyDescent="0.2">
      <c r="A48" s="89" t="s">
        <v>1358</v>
      </c>
      <c r="B48" s="67">
        <v>70112</v>
      </c>
      <c r="C48" s="67" t="s">
        <v>1363</v>
      </c>
      <c r="D48" s="68" t="s">
        <v>29</v>
      </c>
      <c r="E48" s="67">
        <v>12</v>
      </c>
      <c r="F48" s="69">
        <v>21.5</v>
      </c>
      <c r="G48" s="69">
        <v>28</v>
      </c>
      <c r="H48" s="70"/>
      <c r="I48" s="70">
        <f t="shared" si="3"/>
        <v>336</v>
      </c>
      <c r="J48" s="71">
        <v>0</v>
      </c>
      <c r="K48" s="73">
        <f t="shared" si="1"/>
        <v>336</v>
      </c>
      <c r="L48" s="90">
        <f t="shared" si="2"/>
        <v>258</v>
      </c>
      <c r="M48" s="72"/>
    </row>
    <row r="49" spans="1:13" x14ac:dyDescent="0.2">
      <c r="A49" s="89" t="s">
        <v>1358</v>
      </c>
      <c r="B49" s="67">
        <v>70054</v>
      </c>
      <c r="C49" s="67"/>
      <c r="D49" s="68" t="s">
        <v>1342</v>
      </c>
      <c r="E49" s="67">
        <v>2</v>
      </c>
      <c r="F49" s="69">
        <v>23.5</v>
      </c>
      <c r="G49" s="69">
        <v>39</v>
      </c>
      <c r="H49" s="70"/>
      <c r="I49" s="70">
        <f t="shared" si="3"/>
        <v>78</v>
      </c>
      <c r="J49" s="71">
        <v>0</v>
      </c>
      <c r="K49" s="73">
        <f t="shared" si="1"/>
        <v>78</v>
      </c>
      <c r="L49" s="90">
        <f t="shared" si="2"/>
        <v>47</v>
      </c>
      <c r="M49" s="72"/>
    </row>
    <row r="50" spans="1:13" x14ac:dyDescent="0.2">
      <c r="A50" s="89" t="s">
        <v>1358</v>
      </c>
      <c r="B50" s="67">
        <v>70166</v>
      </c>
      <c r="C50" s="67"/>
      <c r="D50" s="68" t="s">
        <v>30</v>
      </c>
      <c r="E50" s="67">
        <v>30</v>
      </c>
      <c r="F50" s="69">
        <v>0.54</v>
      </c>
      <c r="G50" s="69">
        <v>1.5</v>
      </c>
      <c r="H50" s="70"/>
      <c r="I50" s="70">
        <f t="shared" si="3"/>
        <v>45</v>
      </c>
      <c r="J50" s="71">
        <v>0</v>
      </c>
      <c r="K50" s="73">
        <f t="shared" si="1"/>
        <v>45</v>
      </c>
      <c r="L50" s="90">
        <f t="shared" si="2"/>
        <v>16.200000000000003</v>
      </c>
      <c r="M50" s="72"/>
    </row>
    <row r="51" spans="1:13" x14ac:dyDescent="0.2">
      <c r="A51" s="89" t="s">
        <v>1358</v>
      </c>
      <c r="B51" s="67">
        <v>70018</v>
      </c>
      <c r="C51" s="67"/>
      <c r="D51" s="68" t="s">
        <v>1248</v>
      </c>
      <c r="E51" s="67">
        <v>10</v>
      </c>
      <c r="F51" s="69">
        <v>2</v>
      </c>
      <c r="G51" s="69">
        <v>5.25</v>
      </c>
      <c r="H51" s="70"/>
      <c r="I51" s="70">
        <f t="shared" si="3"/>
        <v>52.5</v>
      </c>
      <c r="J51" s="71">
        <v>0</v>
      </c>
      <c r="K51" s="73">
        <f t="shared" si="1"/>
        <v>52.5</v>
      </c>
      <c r="L51" s="90">
        <f t="shared" si="2"/>
        <v>20</v>
      </c>
      <c r="M51" s="72"/>
    </row>
    <row r="52" spans="1:13" x14ac:dyDescent="0.2">
      <c r="A52" s="89" t="s">
        <v>1358</v>
      </c>
      <c r="B52" s="67">
        <v>70146</v>
      </c>
      <c r="C52" s="67"/>
      <c r="D52" s="68" t="s">
        <v>1364</v>
      </c>
      <c r="E52" s="67">
        <v>2</v>
      </c>
      <c r="F52" s="69">
        <v>10</v>
      </c>
      <c r="G52" s="69">
        <v>24</v>
      </c>
      <c r="H52" s="70"/>
      <c r="I52" s="70">
        <f t="shared" si="3"/>
        <v>48</v>
      </c>
      <c r="J52" s="71">
        <v>0</v>
      </c>
      <c r="K52" s="73">
        <f t="shared" si="1"/>
        <v>48</v>
      </c>
      <c r="L52" s="90">
        <f t="shared" si="2"/>
        <v>20</v>
      </c>
      <c r="M52" s="72"/>
    </row>
    <row r="53" spans="1:13" x14ac:dyDescent="0.2">
      <c r="A53" s="89" t="s">
        <v>1358</v>
      </c>
      <c r="B53" s="67">
        <v>70295</v>
      </c>
      <c r="C53" s="67" t="s">
        <v>1365</v>
      </c>
      <c r="D53" s="68" t="s">
        <v>1254</v>
      </c>
      <c r="E53" s="67">
        <v>2</v>
      </c>
      <c r="F53" s="69">
        <v>75</v>
      </c>
      <c r="G53" s="69">
        <v>97.5</v>
      </c>
      <c r="H53" s="78"/>
      <c r="I53" s="70">
        <f t="shared" si="3"/>
        <v>195</v>
      </c>
      <c r="J53" s="71">
        <v>0</v>
      </c>
      <c r="K53" s="73">
        <f t="shared" si="1"/>
        <v>195</v>
      </c>
      <c r="L53" s="90">
        <f t="shared" si="2"/>
        <v>150</v>
      </c>
      <c r="M53" s="72"/>
    </row>
    <row r="54" spans="1:13" x14ac:dyDescent="0.2">
      <c r="A54" s="89" t="s">
        <v>1358</v>
      </c>
      <c r="B54" s="67">
        <v>70017</v>
      </c>
      <c r="C54" s="67"/>
      <c r="D54" s="68" t="s">
        <v>20</v>
      </c>
      <c r="E54" s="67">
        <v>4</v>
      </c>
      <c r="F54" s="69">
        <v>84</v>
      </c>
      <c r="G54" s="69">
        <v>157</v>
      </c>
      <c r="H54" s="78"/>
      <c r="I54" s="70">
        <f t="shared" si="3"/>
        <v>628</v>
      </c>
      <c r="J54" s="71">
        <v>0</v>
      </c>
      <c r="K54" s="73">
        <f t="shared" si="1"/>
        <v>628</v>
      </c>
      <c r="L54" s="90">
        <f t="shared" si="2"/>
        <v>336</v>
      </c>
      <c r="M54" s="72"/>
    </row>
    <row r="55" spans="1:13" x14ac:dyDescent="0.2">
      <c r="A55" s="89" t="s">
        <v>1358</v>
      </c>
      <c r="B55" s="67">
        <v>70110</v>
      </c>
      <c r="C55" s="67"/>
      <c r="D55" s="68" t="s">
        <v>1346</v>
      </c>
      <c r="E55" s="67">
        <v>12</v>
      </c>
      <c r="F55" s="69">
        <v>15</v>
      </c>
      <c r="G55" s="69">
        <v>20</v>
      </c>
      <c r="H55" s="78"/>
      <c r="I55" s="70">
        <f t="shared" si="3"/>
        <v>240</v>
      </c>
      <c r="J55" s="71">
        <v>0</v>
      </c>
      <c r="K55" s="73">
        <f t="shared" si="1"/>
        <v>240</v>
      </c>
      <c r="L55" s="90">
        <f t="shared" si="2"/>
        <v>180</v>
      </c>
      <c r="M55" s="72"/>
    </row>
    <row r="56" spans="1:13" x14ac:dyDescent="0.2">
      <c r="A56" s="89" t="s">
        <v>1358</v>
      </c>
      <c r="B56" s="67">
        <v>70208</v>
      </c>
      <c r="C56" s="67" t="s">
        <v>1366</v>
      </c>
      <c r="D56" s="68" t="s">
        <v>1367</v>
      </c>
      <c r="E56" s="67">
        <v>2</v>
      </c>
      <c r="F56" s="69">
        <v>120</v>
      </c>
      <c r="G56" s="69">
        <v>180</v>
      </c>
      <c r="H56" s="78"/>
      <c r="I56" s="70">
        <f t="shared" si="3"/>
        <v>360</v>
      </c>
      <c r="J56" s="71">
        <v>0</v>
      </c>
      <c r="K56" s="73">
        <f t="shared" si="1"/>
        <v>360</v>
      </c>
      <c r="L56" s="90">
        <f t="shared" si="2"/>
        <v>240</v>
      </c>
      <c r="M56" s="72"/>
    </row>
    <row r="57" spans="1:13" x14ac:dyDescent="0.2">
      <c r="A57" s="89" t="s">
        <v>1358</v>
      </c>
      <c r="B57" s="67">
        <v>70200</v>
      </c>
      <c r="C57" s="67"/>
      <c r="D57" s="68" t="s">
        <v>1368</v>
      </c>
      <c r="E57" s="67">
        <v>5</v>
      </c>
      <c r="F57" s="69">
        <v>60</v>
      </c>
      <c r="G57" s="69">
        <v>90</v>
      </c>
      <c r="H57" s="78"/>
      <c r="I57" s="70">
        <f t="shared" si="3"/>
        <v>450</v>
      </c>
      <c r="J57" s="71">
        <v>0</v>
      </c>
      <c r="K57" s="73">
        <f t="shared" si="1"/>
        <v>450</v>
      </c>
      <c r="L57" s="90">
        <f t="shared" si="2"/>
        <v>300</v>
      </c>
      <c r="M57" s="72"/>
    </row>
    <row r="58" spans="1:13" x14ac:dyDescent="0.2">
      <c r="A58" s="89" t="s">
        <v>1358</v>
      </c>
      <c r="B58" s="67">
        <v>70110</v>
      </c>
      <c r="C58" s="67" t="s">
        <v>1369</v>
      </c>
      <c r="D58" s="68" t="s">
        <v>1346</v>
      </c>
      <c r="E58" s="67">
        <v>12</v>
      </c>
      <c r="F58" s="69">
        <v>15</v>
      </c>
      <c r="G58" s="69">
        <v>20</v>
      </c>
      <c r="H58" s="78"/>
      <c r="I58" s="70">
        <f t="shared" si="3"/>
        <v>240</v>
      </c>
      <c r="J58" s="71">
        <v>0</v>
      </c>
      <c r="K58" s="73">
        <f t="shared" si="1"/>
        <v>240</v>
      </c>
      <c r="L58" s="90">
        <f t="shared" si="2"/>
        <v>180</v>
      </c>
      <c r="M58" s="72"/>
    </row>
    <row r="59" spans="1:13" x14ac:dyDescent="0.2">
      <c r="A59" s="89" t="s">
        <v>1358</v>
      </c>
      <c r="B59" s="67">
        <v>70215</v>
      </c>
      <c r="C59" s="67" t="s">
        <v>1370</v>
      </c>
      <c r="D59" s="68" t="s">
        <v>1371</v>
      </c>
      <c r="E59" s="67">
        <v>20</v>
      </c>
      <c r="F59" s="69">
        <v>35</v>
      </c>
      <c r="G59" s="69">
        <v>50</v>
      </c>
      <c r="H59" s="78"/>
      <c r="I59" s="70">
        <f t="shared" si="3"/>
        <v>1000</v>
      </c>
      <c r="J59" s="71">
        <v>0</v>
      </c>
      <c r="K59" s="73">
        <f t="shared" si="1"/>
        <v>1000</v>
      </c>
      <c r="L59" s="90">
        <f t="shared" si="2"/>
        <v>700</v>
      </c>
      <c r="M59" s="72"/>
    </row>
    <row r="60" spans="1:13" x14ac:dyDescent="0.2">
      <c r="A60" s="89" t="s">
        <v>1372</v>
      </c>
      <c r="B60" s="67">
        <v>70176</v>
      </c>
      <c r="C60" s="67" t="s">
        <v>1373</v>
      </c>
      <c r="D60" s="68" t="s">
        <v>26</v>
      </c>
      <c r="E60" s="67">
        <v>5</v>
      </c>
      <c r="F60" s="69">
        <v>167.8</v>
      </c>
      <c r="G60" s="69">
        <v>360</v>
      </c>
      <c r="H60" s="78"/>
      <c r="I60" s="70">
        <f>E60*G60</f>
        <v>1800</v>
      </c>
      <c r="J60" s="71">
        <v>0</v>
      </c>
      <c r="K60" s="73">
        <f t="shared" si="1"/>
        <v>1800</v>
      </c>
      <c r="L60" s="90">
        <f t="shared" si="2"/>
        <v>839</v>
      </c>
      <c r="M60" s="72"/>
    </row>
    <row r="61" spans="1:13" x14ac:dyDescent="0.2">
      <c r="A61" s="89" t="s">
        <v>1374</v>
      </c>
      <c r="B61" s="67">
        <v>70123</v>
      </c>
      <c r="C61" s="67" t="s">
        <v>1375</v>
      </c>
      <c r="D61" s="68" t="s">
        <v>21</v>
      </c>
      <c r="E61" s="67">
        <v>5</v>
      </c>
      <c r="F61" s="69">
        <v>148.9</v>
      </c>
      <c r="G61" s="69">
        <v>237</v>
      </c>
      <c r="H61" s="78"/>
      <c r="I61" s="70">
        <f>E61*G61</f>
        <v>1185</v>
      </c>
      <c r="J61" s="71">
        <v>0</v>
      </c>
      <c r="K61" s="73">
        <f t="shared" si="1"/>
        <v>1185</v>
      </c>
      <c r="L61" s="90">
        <f t="shared" si="2"/>
        <v>744.5</v>
      </c>
      <c r="M61" s="72"/>
    </row>
    <row r="62" spans="1:13" x14ac:dyDescent="0.2">
      <c r="A62" s="89" t="s">
        <v>1374</v>
      </c>
      <c r="B62" s="67">
        <v>70124</v>
      </c>
      <c r="C62" s="67"/>
      <c r="D62" s="68" t="s">
        <v>22</v>
      </c>
      <c r="E62" s="67">
        <v>5</v>
      </c>
      <c r="F62" s="69">
        <v>126</v>
      </c>
      <c r="G62" s="69">
        <v>201</v>
      </c>
      <c r="H62" s="78"/>
      <c r="I62" s="70">
        <f t="shared" ref="I62:I66" si="4">E62*G62</f>
        <v>1005</v>
      </c>
      <c r="J62" s="71">
        <v>0</v>
      </c>
      <c r="K62" s="73">
        <f t="shared" si="1"/>
        <v>1005</v>
      </c>
      <c r="L62" s="90">
        <f t="shared" si="2"/>
        <v>630</v>
      </c>
      <c r="M62" s="72"/>
    </row>
    <row r="63" spans="1:13" x14ac:dyDescent="0.2">
      <c r="A63" s="89" t="s">
        <v>1374</v>
      </c>
      <c r="B63" s="67">
        <v>70295</v>
      </c>
      <c r="C63" s="67"/>
      <c r="D63" s="68" t="s">
        <v>1254</v>
      </c>
      <c r="E63" s="67">
        <v>5</v>
      </c>
      <c r="F63" s="69">
        <v>75</v>
      </c>
      <c r="G63" s="69">
        <v>97.5</v>
      </c>
      <c r="H63" s="78"/>
      <c r="I63" s="70">
        <f t="shared" si="4"/>
        <v>487.5</v>
      </c>
      <c r="J63" s="71">
        <v>0</v>
      </c>
      <c r="K63" s="73">
        <f t="shared" si="1"/>
        <v>487.5</v>
      </c>
      <c r="L63" s="90">
        <f t="shared" si="2"/>
        <v>375</v>
      </c>
      <c r="M63" s="72"/>
    </row>
    <row r="64" spans="1:13" x14ac:dyDescent="0.2">
      <c r="A64" s="89" t="s">
        <v>1374</v>
      </c>
      <c r="B64" s="67">
        <v>70018</v>
      </c>
      <c r="C64" s="67"/>
      <c r="D64" s="68" t="s">
        <v>1248</v>
      </c>
      <c r="E64" s="67">
        <v>10</v>
      </c>
      <c r="F64" s="69">
        <v>2</v>
      </c>
      <c r="G64" s="69">
        <v>5.25</v>
      </c>
      <c r="H64" s="78"/>
      <c r="I64" s="70">
        <f t="shared" si="4"/>
        <v>52.5</v>
      </c>
      <c r="J64" s="71">
        <v>0</v>
      </c>
      <c r="K64" s="73">
        <f t="shared" si="1"/>
        <v>52.5</v>
      </c>
      <c r="L64" s="90">
        <f t="shared" si="2"/>
        <v>20</v>
      </c>
      <c r="M64" s="72"/>
    </row>
    <row r="65" spans="1:13" x14ac:dyDescent="0.2">
      <c r="A65" s="89" t="s">
        <v>1374</v>
      </c>
      <c r="B65" s="67">
        <v>70287</v>
      </c>
      <c r="C65" s="67"/>
      <c r="D65" s="68" t="s">
        <v>1376</v>
      </c>
      <c r="E65" s="67">
        <v>8</v>
      </c>
      <c r="F65" s="69">
        <v>25</v>
      </c>
      <c r="G65" s="69">
        <v>32.5</v>
      </c>
      <c r="H65" s="78"/>
      <c r="I65" s="70">
        <f t="shared" si="4"/>
        <v>260</v>
      </c>
      <c r="J65" s="71">
        <v>0</v>
      </c>
      <c r="K65" s="73">
        <f t="shared" si="1"/>
        <v>260</v>
      </c>
      <c r="L65" s="90">
        <f t="shared" si="2"/>
        <v>200</v>
      </c>
      <c r="M65" s="72"/>
    </row>
    <row r="66" spans="1:13" x14ac:dyDescent="0.2">
      <c r="A66" s="89" t="s">
        <v>1374</v>
      </c>
      <c r="B66" s="67">
        <v>70019</v>
      </c>
      <c r="C66" s="67"/>
      <c r="D66" s="68" t="s">
        <v>1339</v>
      </c>
      <c r="E66" s="67">
        <v>10</v>
      </c>
      <c r="F66" s="69">
        <v>1.75</v>
      </c>
      <c r="G66" s="69">
        <v>3</v>
      </c>
      <c r="H66" s="78"/>
      <c r="I66" s="70">
        <f t="shared" si="4"/>
        <v>30</v>
      </c>
      <c r="J66" s="71">
        <v>0</v>
      </c>
      <c r="K66" s="73">
        <f t="shared" si="1"/>
        <v>30</v>
      </c>
      <c r="L66" s="90">
        <f t="shared" si="2"/>
        <v>17.5</v>
      </c>
      <c r="M66" s="72"/>
    </row>
    <row r="67" spans="1:13" x14ac:dyDescent="0.2">
      <c r="A67" s="89" t="s">
        <v>1374</v>
      </c>
      <c r="B67" s="67">
        <v>70069</v>
      </c>
      <c r="C67" s="67"/>
      <c r="D67" s="68" t="s">
        <v>1249</v>
      </c>
      <c r="E67" s="67">
        <v>10</v>
      </c>
      <c r="F67" s="69">
        <v>14.5</v>
      </c>
      <c r="G67" s="69">
        <v>20</v>
      </c>
      <c r="H67" s="78"/>
      <c r="I67" s="70">
        <f>E67*G67</f>
        <v>200</v>
      </c>
      <c r="J67" s="71">
        <v>0</v>
      </c>
      <c r="K67" s="73">
        <f t="shared" si="1"/>
        <v>200</v>
      </c>
      <c r="L67" s="90">
        <f t="shared" si="2"/>
        <v>145</v>
      </c>
      <c r="M67" s="72"/>
    </row>
    <row r="68" spans="1:13" x14ac:dyDescent="0.2">
      <c r="A68" s="89" t="s">
        <v>1374</v>
      </c>
      <c r="B68" s="67">
        <v>70124</v>
      </c>
      <c r="C68" s="67" t="s">
        <v>1377</v>
      </c>
      <c r="D68" s="68" t="s">
        <v>22</v>
      </c>
      <c r="E68" s="67">
        <v>5</v>
      </c>
      <c r="F68" s="69">
        <v>126</v>
      </c>
      <c r="G68" s="69">
        <v>201</v>
      </c>
      <c r="H68" s="78">
        <f t="shared" si="0"/>
        <v>1005</v>
      </c>
      <c r="I68" s="70"/>
      <c r="J68" s="71">
        <v>50.25</v>
      </c>
      <c r="K68" s="73">
        <f t="shared" si="1"/>
        <v>954.75</v>
      </c>
      <c r="L68" s="90">
        <f t="shared" si="2"/>
        <v>630</v>
      </c>
      <c r="M68" s="72"/>
    </row>
    <row r="69" spans="1:13" x14ac:dyDescent="0.2">
      <c r="A69" s="89" t="s">
        <v>1378</v>
      </c>
      <c r="B69" s="67">
        <v>70290</v>
      </c>
      <c r="C69" s="67" t="s">
        <v>1379</v>
      </c>
      <c r="D69" s="68" t="s">
        <v>1255</v>
      </c>
      <c r="E69" s="67">
        <v>1</v>
      </c>
      <c r="F69" s="69">
        <v>15</v>
      </c>
      <c r="G69" s="69">
        <v>200</v>
      </c>
      <c r="H69" s="78"/>
      <c r="I69" s="70">
        <f>E69*G69</f>
        <v>200</v>
      </c>
      <c r="J69" s="71">
        <v>0</v>
      </c>
      <c r="K69" s="73">
        <f t="shared" si="1"/>
        <v>200</v>
      </c>
      <c r="L69" s="90">
        <f t="shared" si="2"/>
        <v>15</v>
      </c>
      <c r="M69" s="72"/>
    </row>
    <row r="70" spans="1:13" x14ac:dyDescent="0.2">
      <c r="A70" s="89" t="s">
        <v>1378</v>
      </c>
      <c r="B70" s="67">
        <v>70123</v>
      </c>
      <c r="C70" s="67" t="s">
        <v>1380</v>
      </c>
      <c r="D70" s="68" t="s">
        <v>21</v>
      </c>
      <c r="E70" s="67">
        <v>5</v>
      </c>
      <c r="F70" s="69">
        <v>148.9</v>
      </c>
      <c r="G70" s="69">
        <v>237</v>
      </c>
      <c r="H70" s="78"/>
      <c r="I70" s="70">
        <f t="shared" ref="I70:I88" si="5">E70*G70</f>
        <v>1185</v>
      </c>
      <c r="J70" s="71">
        <v>0</v>
      </c>
      <c r="K70" s="73">
        <f t="shared" si="1"/>
        <v>1185</v>
      </c>
      <c r="L70" s="90">
        <f t="shared" si="2"/>
        <v>744.5</v>
      </c>
      <c r="M70" s="72"/>
    </row>
    <row r="71" spans="1:13" x14ac:dyDescent="0.2">
      <c r="A71" s="89" t="s">
        <v>1378</v>
      </c>
      <c r="B71" s="67">
        <v>70124</v>
      </c>
      <c r="C71" s="67"/>
      <c r="D71" s="68" t="s">
        <v>22</v>
      </c>
      <c r="E71" s="67">
        <v>10</v>
      </c>
      <c r="F71" s="69">
        <v>126</v>
      </c>
      <c r="G71" s="69">
        <v>201</v>
      </c>
      <c r="H71" s="78"/>
      <c r="I71" s="70">
        <f t="shared" si="5"/>
        <v>2010</v>
      </c>
      <c r="J71" s="71">
        <v>0</v>
      </c>
      <c r="K71" s="73">
        <f t="shared" ref="K71:K134" si="6">H71+I71-J71</f>
        <v>2010</v>
      </c>
      <c r="L71" s="90">
        <f t="shared" si="2"/>
        <v>1260</v>
      </c>
      <c r="M71" s="72"/>
    </row>
    <row r="72" spans="1:13" x14ac:dyDescent="0.2">
      <c r="A72" s="89" t="s">
        <v>1378</v>
      </c>
      <c r="B72" s="67">
        <v>70176</v>
      </c>
      <c r="C72" s="67" t="s">
        <v>1381</v>
      </c>
      <c r="D72" s="68" t="s">
        <v>26</v>
      </c>
      <c r="E72" s="67">
        <v>10</v>
      </c>
      <c r="F72" s="69">
        <v>167.8</v>
      </c>
      <c r="G72" s="69">
        <v>360</v>
      </c>
      <c r="H72" s="78"/>
      <c r="I72" s="70">
        <f t="shared" si="5"/>
        <v>3600</v>
      </c>
      <c r="J72" s="71">
        <v>0</v>
      </c>
      <c r="K72" s="73">
        <f t="shared" si="6"/>
        <v>3600</v>
      </c>
      <c r="L72" s="90">
        <f t="shared" si="2"/>
        <v>1678</v>
      </c>
      <c r="M72" s="72"/>
    </row>
    <row r="73" spans="1:13" x14ac:dyDescent="0.2">
      <c r="A73" s="89" t="s">
        <v>1378</v>
      </c>
      <c r="B73" s="67">
        <v>70290</v>
      </c>
      <c r="C73" s="67" t="s">
        <v>1382</v>
      </c>
      <c r="D73" s="68" t="s">
        <v>1255</v>
      </c>
      <c r="E73" s="67">
        <v>1</v>
      </c>
      <c r="F73" s="69">
        <v>15</v>
      </c>
      <c r="G73" s="69">
        <v>200</v>
      </c>
      <c r="H73" s="78"/>
      <c r="I73" s="70">
        <f t="shared" si="5"/>
        <v>200</v>
      </c>
      <c r="J73" s="71">
        <v>0</v>
      </c>
      <c r="K73" s="73">
        <f t="shared" si="6"/>
        <v>200</v>
      </c>
      <c r="L73" s="90">
        <f t="shared" si="2"/>
        <v>15</v>
      </c>
      <c r="M73" s="72"/>
    </row>
    <row r="74" spans="1:13" x14ac:dyDescent="0.2">
      <c r="A74" s="89" t="s">
        <v>1378</v>
      </c>
      <c r="B74" s="67">
        <v>70081</v>
      </c>
      <c r="C74" s="67" t="s">
        <v>1383</v>
      </c>
      <c r="D74" s="68" t="s">
        <v>1384</v>
      </c>
      <c r="E74" s="67">
        <v>50</v>
      </c>
      <c r="F74" s="69">
        <v>8</v>
      </c>
      <c r="G74" s="69">
        <v>12</v>
      </c>
      <c r="H74" s="78"/>
      <c r="I74" s="70">
        <f t="shared" si="5"/>
        <v>600</v>
      </c>
      <c r="J74" s="71">
        <v>0</v>
      </c>
      <c r="K74" s="73">
        <f t="shared" si="6"/>
        <v>600</v>
      </c>
      <c r="L74" s="90">
        <f t="shared" ref="L74:L137" si="7">E74*F74</f>
        <v>400</v>
      </c>
      <c r="M74" s="72"/>
    </row>
    <row r="75" spans="1:13" x14ac:dyDescent="0.2">
      <c r="A75" s="89" t="s">
        <v>1378</v>
      </c>
      <c r="B75" s="67">
        <v>70085</v>
      </c>
      <c r="C75" s="67"/>
      <c r="D75" s="68" t="s">
        <v>24</v>
      </c>
      <c r="E75" s="67">
        <v>100</v>
      </c>
      <c r="F75" s="69">
        <v>2.7</v>
      </c>
      <c r="G75" s="69">
        <v>8</v>
      </c>
      <c r="H75" s="78"/>
      <c r="I75" s="70">
        <f t="shared" si="5"/>
        <v>800</v>
      </c>
      <c r="J75" s="71">
        <v>0</v>
      </c>
      <c r="K75" s="73">
        <f t="shared" si="6"/>
        <v>800</v>
      </c>
      <c r="L75" s="90">
        <f t="shared" si="7"/>
        <v>270</v>
      </c>
      <c r="M75" s="72"/>
    </row>
    <row r="76" spans="1:13" x14ac:dyDescent="0.2">
      <c r="A76" s="89" t="s">
        <v>1378</v>
      </c>
      <c r="B76" s="67">
        <v>70019</v>
      </c>
      <c r="C76" s="67"/>
      <c r="D76" s="68" t="s">
        <v>1339</v>
      </c>
      <c r="E76" s="67">
        <v>50</v>
      </c>
      <c r="F76" s="69">
        <v>1.75</v>
      </c>
      <c r="G76" s="69">
        <v>3</v>
      </c>
      <c r="H76" s="78"/>
      <c r="I76" s="70">
        <f t="shared" si="5"/>
        <v>150</v>
      </c>
      <c r="J76" s="71">
        <v>0</v>
      </c>
      <c r="K76" s="73">
        <f t="shared" si="6"/>
        <v>150</v>
      </c>
      <c r="L76" s="90">
        <f t="shared" si="7"/>
        <v>87.5</v>
      </c>
      <c r="M76" s="72"/>
    </row>
    <row r="77" spans="1:13" x14ac:dyDescent="0.2">
      <c r="A77" s="89" t="s">
        <v>1378</v>
      </c>
      <c r="B77" s="67">
        <v>70283</v>
      </c>
      <c r="C77" s="67"/>
      <c r="D77" s="68" t="s">
        <v>27</v>
      </c>
      <c r="E77" s="67">
        <v>50</v>
      </c>
      <c r="F77" s="69">
        <v>8</v>
      </c>
      <c r="G77" s="69">
        <v>10</v>
      </c>
      <c r="H77" s="78"/>
      <c r="I77" s="70">
        <f t="shared" si="5"/>
        <v>500</v>
      </c>
      <c r="J77" s="71">
        <v>0</v>
      </c>
      <c r="K77" s="73">
        <f t="shared" si="6"/>
        <v>500</v>
      </c>
      <c r="L77" s="90">
        <f t="shared" si="7"/>
        <v>400</v>
      </c>
      <c r="M77" s="72"/>
    </row>
    <row r="78" spans="1:13" x14ac:dyDescent="0.2">
      <c r="A78" s="89" t="s">
        <v>1378</v>
      </c>
      <c r="B78" s="67">
        <v>70287</v>
      </c>
      <c r="C78" s="67"/>
      <c r="D78" s="68" t="s">
        <v>1376</v>
      </c>
      <c r="E78" s="67">
        <v>15</v>
      </c>
      <c r="F78" s="69">
        <v>25</v>
      </c>
      <c r="G78" s="69">
        <v>32.5</v>
      </c>
      <c r="H78" s="78"/>
      <c r="I78" s="70">
        <f t="shared" si="5"/>
        <v>487.5</v>
      </c>
      <c r="J78" s="71">
        <v>0</v>
      </c>
      <c r="K78" s="73">
        <f t="shared" si="6"/>
        <v>487.5</v>
      </c>
      <c r="L78" s="90">
        <f t="shared" si="7"/>
        <v>375</v>
      </c>
      <c r="M78" s="72"/>
    </row>
    <row r="79" spans="1:13" x14ac:dyDescent="0.2">
      <c r="A79" s="89" t="s">
        <v>1378</v>
      </c>
      <c r="B79" s="67">
        <v>70269</v>
      </c>
      <c r="C79" s="67"/>
      <c r="D79" s="68" t="s">
        <v>1385</v>
      </c>
      <c r="E79" s="67">
        <v>5</v>
      </c>
      <c r="F79" s="69">
        <v>55.5</v>
      </c>
      <c r="G79" s="69">
        <v>72</v>
      </c>
      <c r="H79" s="78"/>
      <c r="I79" s="70">
        <f t="shared" si="5"/>
        <v>360</v>
      </c>
      <c r="J79" s="71">
        <v>0</v>
      </c>
      <c r="K79" s="73">
        <f t="shared" si="6"/>
        <v>360</v>
      </c>
      <c r="L79" s="90">
        <f t="shared" si="7"/>
        <v>277.5</v>
      </c>
      <c r="M79" s="72"/>
    </row>
    <row r="80" spans="1:13" x14ac:dyDescent="0.2">
      <c r="A80" s="89" t="s">
        <v>1378</v>
      </c>
      <c r="B80" s="67">
        <v>70153</v>
      </c>
      <c r="C80" s="67"/>
      <c r="D80" s="68" t="s">
        <v>1386</v>
      </c>
      <c r="E80" s="67">
        <v>10</v>
      </c>
      <c r="F80" s="69">
        <v>65</v>
      </c>
      <c r="G80" s="69">
        <v>84.5</v>
      </c>
      <c r="H80" s="78"/>
      <c r="I80" s="70">
        <f t="shared" si="5"/>
        <v>845</v>
      </c>
      <c r="J80" s="71">
        <v>0</v>
      </c>
      <c r="K80" s="73">
        <f t="shared" si="6"/>
        <v>845</v>
      </c>
      <c r="L80" s="90">
        <f t="shared" si="7"/>
        <v>650</v>
      </c>
      <c r="M80" s="72"/>
    </row>
    <row r="81" spans="1:13" x14ac:dyDescent="0.2">
      <c r="A81" s="89" t="s">
        <v>1378</v>
      </c>
      <c r="B81" s="67">
        <v>70159</v>
      </c>
      <c r="C81" s="67"/>
      <c r="D81" s="68" t="s">
        <v>1387</v>
      </c>
      <c r="E81" s="67">
        <v>5</v>
      </c>
      <c r="F81" s="69">
        <v>30</v>
      </c>
      <c r="G81" s="69">
        <v>39</v>
      </c>
      <c r="H81" s="78"/>
      <c r="I81" s="70">
        <f t="shared" si="5"/>
        <v>195</v>
      </c>
      <c r="J81" s="71">
        <v>0</v>
      </c>
      <c r="K81" s="73">
        <f t="shared" si="6"/>
        <v>195</v>
      </c>
      <c r="L81" s="90">
        <f t="shared" si="7"/>
        <v>150</v>
      </c>
      <c r="M81" s="72"/>
    </row>
    <row r="82" spans="1:13" x14ac:dyDescent="0.2">
      <c r="A82" s="89" t="s">
        <v>1378</v>
      </c>
      <c r="B82" s="67">
        <v>70004</v>
      </c>
      <c r="C82" s="67"/>
      <c r="D82" s="68" t="s">
        <v>1353</v>
      </c>
      <c r="E82" s="67">
        <v>5</v>
      </c>
      <c r="F82" s="69">
        <v>17</v>
      </c>
      <c r="G82" s="69">
        <v>31</v>
      </c>
      <c r="H82" s="78"/>
      <c r="I82" s="70">
        <f t="shared" si="5"/>
        <v>155</v>
      </c>
      <c r="J82" s="71">
        <v>0</v>
      </c>
      <c r="K82" s="73">
        <f t="shared" si="6"/>
        <v>155</v>
      </c>
      <c r="L82" s="90">
        <f t="shared" si="7"/>
        <v>85</v>
      </c>
      <c r="M82" s="72"/>
    </row>
    <row r="83" spans="1:13" x14ac:dyDescent="0.2">
      <c r="A83" s="89" t="s">
        <v>1378</v>
      </c>
      <c r="B83" s="67">
        <v>70288</v>
      </c>
      <c r="C83" s="67"/>
      <c r="D83" s="68" t="s">
        <v>1336</v>
      </c>
      <c r="E83" s="67">
        <v>10</v>
      </c>
      <c r="F83" s="69">
        <v>9</v>
      </c>
      <c r="G83" s="69">
        <v>12</v>
      </c>
      <c r="H83" s="78"/>
      <c r="I83" s="70">
        <f t="shared" si="5"/>
        <v>120</v>
      </c>
      <c r="J83" s="71">
        <v>0</v>
      </c>
      <c r="K83" s="73">
        <f t="shared" si="6"/>
        <v>120</v>
      </c>
      <c r="L83" s="90">
        <f t="shared" si="7"/>
        <v>90</v>
      </c>
      <c r="M83" s="72"/>
    </row>
    <row r="84" spans="1:13" x14ac:dyDescent="0.2">
      <c r="A84" s="89" t="s">
        <v>1378</v>
      </c>
      <c r="B84" s="67">
        <v>70085</v>
      </c>
      <c r="C84" s="67" t="s">
        <v>1388</v>
      </c>
      <c r="D84" s="68" t="s">
        <v>24</v>
      </c>
      <c r="E84" s="67">
        <v>100</v>
      </c>
      <c r="F84" s="69">
        <v>2.7</v>
      </c>
      <c r="G84" s="69">
        <v>8</v>
      </c>
      <c r="H84" s="78"/>
      <c r="I84" s="70">
        <f t="shared" si="5"/>
        <v>800</v>
      </c>
      <c r="J84" s="71">
        <v>0</v>
      </c>
      <c r="K84" s="73">
        <f t="shared" si="6"/>
        <v>800</v>
      </c>
      <c r="L84" s="90">
        <f t="shared" si="7"/>
        <v>270</v>
      </c>
      <c r="M84" s="72"/>
    </row>
    <row r="85" spans="1:13" x14ac:dyDescent="0.2">
      <c r="A85" s="89" t="s">
        <v>1378</v>
      </c>
      <c r="B85" s="67">
        <v>70176</v>
      </c>
      <c r="C85" s="67" t="s">
        <v>1389</v>
      </c>
      <c r="D85" s="68" t="s">
        <v>26</v>
      </c>
      <c r="E85" s="67">
        <v>5</v>
      </c>
      <c r="F85" s="69">
        <v>167.8</v>
      </c>
      <c r="G85" s="69">
        <v>360</v>
      </c>
      <c r="H85" s="78"/>
      <c r="I85" s="70">
        <f t="shared" si="5"/>
        <v>1800</v>
      </c>
      <c r="J85" s="71">
        <v>0</v>
      </c>
      <c r="K85" s="73">
        <f t="shared" si="6"/>
        <v>1800</v>
      </c>
      <c r="L85" s="90">
        <f t="shared" si="7"/>
        <v>839</v>
      </c>
      <c r="M85" s="72"/>
    </row>
    <row r="86" spans="1:13" x14ac:dyDescent="0.2">
      <c r="A86" s="89" t="s">
        <v>1378</v>
      </c>
      <c r="B86" s="67">
        <v>70124</v>
      </c>
      <c r="C86" s="67" t="s">
        <v>1390</v>
      </c>
      <c r="D86" s="68" t="s">
        <v>22</v>
      </c>
      <c r="E86" s="67">
        <v>5</v>
      </c>
      <c r="F86" s="69">
        <v>126</v>
      </c>
      <c r="G86" s="69">
        <v>201</v>
      </c>
      <c r="H86" s="78"/>
      <c r="I86" s="70">
        <f t="shared" si="5"/>
        <v>1005</v>
      </c>
      <c r="J86" s="71">
        <v>0</v>
      </c>
      <c r="K86" s="73">
        <f t="shared" si="6"/>
        <v>1005</v>
      </c>
      <c r="L86" s="90">
        <f t="shared" si="7"/>
        <v>630</v>
      </c>
      <c r="M86" s="72"/>
    </row>
    <row r="87" spans="1:13" x14ac:dyDescent="0.2">
      <c r="A87" s="89" t="s">
        <v>1378</v>
      </c>
      <c r="B87" s="67">
        <v>70123</v>
      </c>
      <c r="C87" s="67" t="s">
        <v>1391</v>
      </c>
      <c r="D87" s="68" t="s">
        <v>21</v>
      </c>
      <c r="E87" s="67">
        <v>5</v>
      </c>
      <c r="F87" s="69">
        <v>148.9</v>
      </c>
      <c r="G87" s="69">
        <v>237</v>
      </c>
      <c r="H87" s="78"/>
      <c r="I87" s="70">
        <f t="shared" si="5"/>
        <v>1185</v>
      </c>
      <c r="J87" s="71">
        <v>0</v>
      </c>
      <c r="K87" s="73">
        <f t="shared" si="6"/>
        <v>1185</v>
      </c>
      <c r="L87" s="90">
        <f t="shared" si="7"/>
        <v>744.5</v>
      </c>
      <c r="M87" s="72"/>
    </row>
    <row r="88" spans="1:13" x14ac:dyDescent="0.2">
      <c r="A88" s="89" t="s">
        <v>1378</v>
      </c>
      <c r="B88" s="67">
        <v>70124</v>
      </c>
      <c r="C88" s="67"/>
      <c r="D88" s="68" t="s">
        <v>22</v>
      </c>
      <c r="E88" s="67">
        <v>2</v>
      </c>
      <c r="F88" s="69">
        <v>126</v>
      </c>
      <c r="G88" s="69">
        <v>201</v>
      </c>
      <c r="H88" s="78"/>
      <c r="I88" s="70">
        <f t="shared" si="5"/>
        <v>402</v>
      </c>
      <c r="J88" s="71">
        <v>0</v>
      </c>
      <c r="K88" s="73">
        <f t="shared" si="6"/>
        <v>402</v>
      </c>
      <c r="L88" s="90">
        <f t="shared" si="7"/>
        <v>252</v>
      </c>
      <c r="M88" s="72"/>
    </row>
    <row r="89" spans="1:13" x14ac:dyDescent="0.2">
      <c r="A89" s="89" t="s">
        <v>1378</v>
      </c>
      <c r="B89" s="67">
        <v>70292</v>
      </c>
      <c r="C89" s="67" t="s">
        <v>1392</v>
      </c>
      <c r="D89" s="68" t="s">
        <v>1393</v>
      </c>
      <c r="E89" s="67">
        <v>20</v>
      </c>
      <c r="F89" s="69">
        <v>176</v>
      </c>
      <c r="G89" s="69">
        <v>250</v>
      </c>
      <c r="H89" s="78"/>
      <c r="I89" s="70">
        <f>E89*G89</f>
        <v>5000</v>
      </c>
      <c r="J89" s="71">
        <v>0</v>
      </c>
      <c r="K89" s="73">
        <f t="shared" si="6"/>
        <v>5000</v>
      </c>
      <c r="L89" s="90">
        <f t="shared" si="7"/>
        <v>3520</v>
      </c>
      <c r="M89" s="72"/>
    </row>
    <row r="90" spans="1:13" x14ac:dyDescent="0.2">
      <c r="A90" s="89" t="s">
        <v>1378</v>
      </c>
      <c r="B90" s="67">
        <v>70017</v>
      </c>
      <c r="C90" s="67" t="s">
        <v>1394</v>
      </c>
      <c r="D90" s="68" t="s">
        <v>20</v>
      </c>
      <c r="E90" s="67">
        <v>3</v>
      </c>
      <c r="F90" s="69">
        <v>84</v>
      </c>
      <c r="G90" s="69">
        <v>157</v>
      </c>
      <c r="H90" s="78"/>
      <c r="I90" s="70">
        <f>E90*G90</f>
        <v>471</v>
      </c>
      <c r="J90" s="71">
        <v>0</v>
      </c>
      <c r="K90" s="73">
        <f t="shared" si="6"/>
        <v>471</v>
      </c>
      <c r="L90" s="90">
        <f t="shared" si="7"/>
        <v>252</v>
      </c>
      <c r="M90" s="72"/>
    </row>
    <row r="91" spans="1:13" x14ac:dyDescent="0.2">
      <c r="A91" s="89" t="s">
        <v>1378</v>
      </c>
      <c r="B91" s="67">
        <v>70290</v>
      </c>
      <c r="C91" s="67" t="s">
        <v>1395</v>
      </c>
      <c r="D91" s="68" t="s">
        <v>1255</v>
      </c>
      <c r="E91" s="67">
        <v>1</v>
      </c>
      <c r="F91" s="69">
        <v>15</v>
      </c>
      <c r="G91" s="69">
        <v>200</v>
      </c>
      <c r="H91" s="78"/>
      <c r="I91" s="70">
        <f>E91*G91</f>
        <v>200</v>
      </c>
      <c r="J91" s="71">
        <v>0</v>
      </c>
      <c r="K91" s="73">
        <f t="shared" si="6"/>
        <v>200</v>
      </c>
      <c r="L91" s="90">
        <f t="shared" si="7"/>
        <v>15</v>
      </c>
      <c r="M91" s="72"/>
    </row>
    <row r="92" spans="1:13" x14ac:dyDescent="0.2">
      <c r="A92" s="89" t="s">
        <v>1396</v>
      </c>
      <c r="B92" s="67">
        <v>70286</v>
      </c>
      <c r="C92" s="67" t="s">
        <v>1397</v>
      </c>
      <c r="D92" s="68" t="s">
        <v>1398</v>
      </c>
      <c r="E92" s="67">
        <v>1</v>
      </c>
      <c r="F92" s="69">
        <v>147.69999999999999</v>
      </c>
      <c r="G92" s="69">
        <v>207</v>
      </c>
      <c r="H92" s="78"/>
      <c r="I92" s="70">
        <f t="shared" ref="I92:I96" si="8">E92*G92</f>
        <v>207</v>
      </c>
      <c r="J92" s="71">
        <v>0</v>
      </c>
      <c r="K92" s="73">
        <f t="shared" si="6"/>
        <v>207</v>
      </c>
      <c r="L92" s="90">
        <f t="shared" si="7"/>
        <v>147.69999999999999</v>
      </c>
      <c r="M92" s="72"/>
    </row>
    <row r="93" spans="1:13" x14ac:dyDescent="0.2">
      <c r="A93" s="89" t="s">
        <v>1396</v>
      </c>
      <c r="B93" s="67">
        <v>70124</v>
      </c>
      <c r="C93" s="67"/>
      <c r="D93" s="68" t="s">
        <v>22</v>
      </c>
      <c r="E93" s="67">
        <v>5</v>
      </c>
      <c r="F93" s="69">
        <v>126</v>
      </c>
      <c r="G93" s="69">
        <v>201</v>
      </c>
      <c r="H93" s="78"/>
      <c r="I93" s="70">
        <f t="shared" si="8"/>
        <v>1005</v>
      </c>
      <c r="J93" s="71">
        <v>0</v>
      </c>
      <c r="K93" s="73">
        <f t="shared" si="6"/>
        <v>1005</v>
      </c>
      <c r="L93" s="90">
        <f t="shared" si="7"/>
        <v>630</v>
      </c>
      <c r="M93" s="72"/>
    </row>
    <row r="94" spans="1:13" x14ac:dyDescent="0.2">
      <c r="A94" s="89" t="s">
        <v>1396</v>
      </c>
      <c r="B94" s="67">
        <v>70088</v>
      </c>
      <c r="C94" s="67"/>
      <c r="D94" s="68" t="s">
        <v>1399</v>
      </c>
      <c r="E94" s="67">
        <v>20</v>
      </c>
      <c r="F94" s="69">
        <v>3.1</v>
      </c>
      <c r="G94" s="69">
        <v>5</v>
      </c>
      <c r="H94" s="78"/>
      <c r="I94" s="70">
        <f t="shared" si="8"/>
        <v>100</v>
      </c>
      <c r="J94" s="71">
        <v>0</v>
      </c>
      <c r="K94" s="73">
        <f t="shared" si="6"/>
        <v>100</v>
      </c>
      <c r="L94" s="90">
        <f t="shared" si="7"/>
        <v>62</v>
      </c>
      <c r="M94" s="72"/>
    </row>
    <row r="95" spans="1:13" x14ac:dyDescent="0.2">
      <c r="A95" s="89" t="s">
        <v>1396</v>
      </c>
      <c r="B95" s="67">
        <v>70014</v>
      </c>
      <c r="C95" s="67"/>
      <c r="D95" s="68" t="s">
        <v>1328</v>
      </c>
      <c r="E95" s="67">
        <v>12</v>
      </c>
      <c r="F95" s="69">
        <v>1.54</v>
      </c>
      <c r="G95" s="69">
        <v>5</v>
      </c>
      <c r="H95" s="78"/>
      <c r="I95" s="70">
        <f t="shared" si="8"/>
        <v>60</v>
      </c>
      <c r="J95" s="71">
        <v>0</v>
      </c>
      <c r="K95" s="73">
        <f t="shared" si="6"/>
        <v>60</v>
      </c>
      <c r="L95" s="90">
        <f t="shared" si="7"/>
        <v>18.48</v>
      </c>
      <c r="M95" s="72"/>
    </row>
    <row r="96" spans="1:13" x14ac:dyDescent="0.2">
      <c r="A96" s="89" t="s">
        <v>1396</v>
      </c>
      <c r="B96" s="67">
        <v>70287</v>
      </c>
      <c r="C96" s="67"/>
      <c r="D96" s="68" t="s">
        <v>1376</v>
      </c>
      <c r="E96" s="67">
        <v>5</v>
      </c>
      <c r="F96" s="69">
        <v>25</v>
      </c>
      <c r="G96" s="69">
        <v>32.5</v>
      </c>
      <c r="H96" s="78"/>
      <c r="I96" s="70">
        <f t="shared" si="8"/>
        <v>162.5</v>
      </c>
      <c r="J96" s="71">
        <v>0</v>
      </c>
      <c r="K96" s="73">
        <f t="shared" si="6"/>
        <v>162.5</v>
      </c>
      <c r="L96" s="90">
        <f t="shared" si="7"/>
        <v>125</v>
      </c>
      <c r="M96" s="72"/>
    </row>
    <row r="97" spans="1:13" x14ac:dyDescent="0.2">
      <c r="A97" s="89" t="s">
        <v>1396</v>
      </c>
      <c r="B97" s="67">
        <v>70288</v>
      </c>
      <c r="C97" s="67"/>
      <c r="D97" s="68" t="s">
        <v>1336</v>
      </c>
      <c r="E97" s="67">
        <v>5</v>
      </c>
      <c r="F97" s="69">
        <v>9</v>
      </c>
      <c r="G97" s="69">
        <v>12</v>
      </c>
      <c r="H97" s="78"/>
      <c r="I97" s="70">
        <f>E97*G97</f>
        <v>60</v>
      </c>
      <c r="J97" s="71">
        <v>0</v>
      </c>
      <c r="K97" s="73">
        <f t="shared" si="6"/>
        <v>60</v>
      </c>
      <c r="L97" s="90">
        <f t="shared" si="7"/>
        <v>45</v>
      </c>
      <c r="M97" s="72"/>
    </row>
    <row r="98" spans="1:13" x14ac:dyDescent="0.2">
      <c r="A98" s="89" t="s">
        <v>1396</v>
      </c>
      <c r="B98" s="67">
        <v>70016</v>
      </c>
      <c r="C98" s="67" t="s">
        <v>1400</v>
      </c>
      <c r="D98" s="68" t="s">
        <v>23</v>
      </c>
      <c r="E98" s="67">
        <v>3</v>
      </c>
      <c r="F98" s="69">
        <v>99.3</v>
      </c>
      <c r="G98" s="69">
        <v>175</v>
      </c>
      <c r="H98" s="78">
        <f t="shared" ref="H98:H104" si="9">E98*G98</f>
        <v>525</v>
      </c>
      <c r="I98" s="70"/>
      <c r="J98" s="71">
        <v>0</v>
      </c>
      <c r="K98" s="73">
        <f t="shared" si="6"/>
        <v>525</v>
      </c>
      <c r="L98" s="90">
        <f t="shared" si="7"/>
        <v>297.89999999999998</v>
      </c>
      <c r="M98" s="72"/>
    </row>
    <row r="99" spans="1:13" x14ac:dyDescent="0.2">
      <c r="A99" s="89" t="s">
        <v>1396</v>
      </c>
      <c r="B99" s="67">
        <v>70017</v>
      </c>
      <c r="C99" s="67"/>
      <c r="D99" s="68" t="s">
        <v>20</v>
      </c>
      <c r="E99" s="67">
        <v>3</v>
      </c>
      <c r="F99" s="69">
        <v>84</v>
      </c>
      <c r="G99" s="69">
        <v>157</v>
      </c>
      <c r="H99" s="78">
        <f t="shared" si="9"/>
        <v>471</v>
      </c>
      <c r="I99" s="70"/>
      <c r="J99" s="71">
        <v>0</v>
      </c>
      <c r="K99" s="73">
        <f t="shared" si="6"/>
        <v>471</v>
      </c>
      <c r="L99" s="90">
        <f t="shared" si="7"/>
        <v>252</v>
      </c>
      <c r="M99" s="72"/>
    </row>
    <row r="100" spans="1:13" x14ac:dyDescent="0.2">
      <c r="A100" s="89" t="s">
        <v>1396</v>
      </c>
      <c r="B100" s="67">
        <v>70153</v>
      </c>
      <c r="C100" s="67"/>
      <c r="D100" s="68" t="s">
        <v>1386</v>
      </c>
      <c r="E100" s="67">
        <v>3</v>
      </c>
      <c r="F100" s="69">
        <v>65</v>
      </c>
      <c r="G100" s="69">
        <v>84.5</v>
      </c>
      <c r="H100" s="78">
        <f t="shared" si="9"/>
        <v>253.5</v>
      </c>
      <c r="I100" s="70"/>
      <c r="J100" s="71">
        <v>0</v>
      </c>
      <c r="K100" s="73">
        <f t="shared" si="6"/>
        <v>253.5</v>
      </c>
      <c r="L100" s="90">
        <f t="shared" si="7"/>
        <v>195</v>
      </c>
      <c r="M100" s="72"/>
    </row>
    <row r="101" spans="1:13" x14ac:dyDescent="0.2">
      <c r="A101" s="89" t="s">
        <v>1396</v>
      </c>
      <c r="B101" s="67">
        <v>70294</v>
      </c>
      <c r="C101" s="67"/>
      <c r="D101" s="68" t="s">
        <v>1360</v>
      </c>
      <c r="E101" s="67">
        <v>1</v>
      </c>
      <c r="F101" s="69">
        <v>19</v>
      </c>
      <c r="G101" s="69">
        <v>22</v>
      </c>
      <c r="H101" s="78">
        <f t="shared" si="9"/>
        <v>22</v>
      </c>
      <c r="I101" s="70"/>
      <c r="J101" s="71">
        <v>0</v>
      </c>
      <c r="K101" s="73">
        <f t="shared" si="6"/>
        <v>22</v>
      </c>
      <c r="L101" s="90">
        <f t="shared" si="7"/>
        <v>19</v>
      </c>
      <c r="M101" s="72"/>
    </row>
    <row r="102" spans="1:13" x14ac:dyDescent="0.2">
      <c r="A102" s="89" t="s">
        <v>1396</v>
      </c>
      <c r="B102" s="67">
        <v>70166</v>
      </c>
      <c r="C102" s="67"/>
      <c r="D102" s="68" t="s">
        <v>30</v>
      </c>
      <c r="E102" s="67">
        <v>10</v>
      </c>
      <c r="F102" s="69">
        <v>0.54</v>
      </c>
      <c r="G102" s="69">
        <v>1.5</v>
      </c>
      <c r="H102" s="78">
        <f t="shared" si="9"/>
        <v>15</v>
      </c>
      <c r="I102" s="70"/>
      <c r="J102" s="71">
        <v>0</v>
      </c>
      <c r="K102" s="73">
        <f t="shared" si="6"/>
        <v>15</v>
      </c>
      <c r="L102" s="90">
        <f t="shared" si="7"/>
        <v>5.4</v>
      </c>
      <c r="M102" s="72"/>
    </row>
    <row r="103" spans="1:13" x14ac:dyDescent="0.2">
      <c r="A103" s="89" t="s">
        <v>1396</v>
      </c>
      <c r="B103" s="67">
        <v>70071</v>
      </c>
      <c r="C103" s="67"/>
      <c r="D103" s="68" t="s">
        <v>1332</v>
      </c>
      <c r="E103" s="67">
        <v>2</v>
      </c>
      <c r="F103" s="69">
        <v>14.5</v>
      </c>
      <c r="G103" s="69">
        <v>20</v>
      </c>
      <c r="H103" s="78">
        <f t="shared" si="9"/>
        <v>40</v>
      </c>
      <c r="I103" s="70"/>
      <c r="J103" s="71">
        <v>0</v>
      </c>
      <c r="K103" s="73">
        <f t="shared" si="6"/>
        <v>40</v>
      </c>
      <c r="L103" s="90">
        <f t="shared" si="7"/>
        <v>29</v>
      </c>
      <c r="M103" s="72"/>
    </row>
    <row r="104" spans="1:13" x14ac:dyDescent="0.2">
      <c r="A104" s="89" t="s">
        <v>1396</v>
      </c>
      <c r="B104" s="67">
        <v>70283</v>
      </c>
      <c r="C104" s="67"/>
      <c r="D104" s="68" t="s">
        <v>27</v>
      </c>
      <c r="E104" s="67">
        <v>10</v>
      </c>
      <c r="F104" s="69">
        <v>8</v>
      </c>
      <c r="G104" s="69">
        <v>10</v>
      </c>
      <c r="H104" s="78">
        <f t="shared" si="9"/>
        <v>100</v>
      </c>
      <c r="I104" s="70"/>
      <c r="J104" s="71">
        <v>0</v>
      </c>
      <c r="K104" s="73">
        <f t="shared" si="6"/>
        <v>100</v>
      </c>
      <c r="L104" s="90">
        <f t="shared" si="7"/>
        <v>80</v>
      </c>
      <c r="M104" s="72"/>
    </row>
    <row r="105" spans="1:13" x14ac:dyDescent="0.2">
      <c r="A105" s="89" t="s">
        <v>1396</v>
      </c>
      <c r="B105" s="67">
        <v>70019</v>
      </c>
      <c r="C105" s="67" t="s">
        <v>1401</v>
      </c>
      <c r="D105" s="68" t="s">
        <v>1339</v>
      </c>
      <c r="E105" s="67">
        <v>20</v>
      </c>
      <c r="F105" s="69">
        <v>1.75</v>
      </c>
      <c r="G105" s="69">
        <v>3</v>
      </c>
      <c r="H105" s="78"/>
      <c r="I105" s="70">
        <f t="shared" ref="I105:I107" si="10">E105*G105</f>
        <v>60</v>
      </c>
      <c r="J105" s="71">
        <v>0</v>
      </c>
      <c r="K105" s="73">
        <f t="shared" si="6"/>
        <v>60</v>
      </c>
      <c r="L105" s="90">
        <f t="shared" si="7"/>
        <v>35</v>
      </c>
      <c r="M105" s="72"/>
    </row>
    <row r="106" spans="1:13" x14ac:dyDescent="0.2">
      <c r="A106" s="89" t="s">
        <v>1396</v>
      </c>
      <c r="B106" s="67">
        <v>70270</v>
      </c>
      <c r="C106" s="67"/>
      <c r="D106" s="68" t="s">
        <v>1250</v>
      </c>
      <c r="E106" s="67">
        <v>2</v>
      </c>
      <c r="F106" s="69">
        <v>55</v>
      </c>
      <c r="G106" s="69">
        <v>71.5</v>
      </c>
      <c r="H106" s="78"/>
      <c r="I106" s="70">
        <f t="shared" si="10"/>
        <v>143</v>
      </c>
      <c r="J106" s="71">
        <v>0</v>
      </c>
      <c r="K106" s="73">
        <f t="shared" si="6"/>
        <v>143</v>
      </c>
      <c r="L106" s="90">
        <f t="shared" si="7"/>
        <v>110</v>
      </c>
      <c r="M106" s="72"/>
    </row>
    <row r="107" spans="1:13" x14ac:dyDescent="0.2">
      <c r="A107" s="89" t="s">
        <v>1396</v>
      </c>
      <c r="B107" s="67">
        <v>70017</v>
      </c>
      <c r="C107" s="67"/>
      <c r="D107" s="68" t="s">
        <v>20</v>
      </c>
      <c r="E107" s="67">
        <v>2</v>
      </c>
      <c r="F107" s="69">
        <v>84</v>
      </c>
      <c r="G107" s="69">
        <v>157</v>
      </c>
      <c r="H107" s="78"/>
      <c r="I107" s="70">
        <f t="shared" si="10"/>
        <v>314</v>
      </c>
      <c r="J107" s="71">
        <v>0</v>
      </c>
      <c r="K107" s="73">
        <f t="shared" si="6"/>
        <v>314</v>
      </c>
      <c r="L107" s="90">
        <f t="shared" si="7"/>
        <v>168</v>
      </c>
      <c r="M107" s="72"/>
    </row>
    <row r="108" spans="1:13" x14ac:dyDescent="0.2">
      <c r="A108" s="89" t="s">
        <v>1396</v>
      </c>
      <c r="B108" s="67">
        <v>70176</v>
      </c>
      <c r="C108" s="67" t="s">
        <v>1402</v>
      </c>
      <c r="D108" s="68" t="s">
        <v>26</v>
      </c>
      <c r="E108" s="67">
        <v>50</v>
      </c>
      <c r="F108" s="69">
        <v>167.8</v>
      </c>
      <c r="G108" s="69">
        <v>360</v>
      </c>
      <c r="H108" s="78"/>
      <c r="I108" s="70">
        <f>E108*G108</f>
        <v>18000</v>
      </c>
      <c r="J108" s="71">
        <v>0</v>
      </c>
      <c r="K108" s="73">
        <f t="shared" si="6"/>
        <v>18000</v>
      </c>
      <c r="L108" s="90">
        <f t="shared" si="7"/>
        <v>8390</v>
      </c>
      <c r="M108" s="72"/>
    </row>
    <row r="109" spans="1:13" x14ac:dyDescent="0.2">
      <c r="A109" s="89" t="s">
        <v>1396</v>
      </c>
      <c r="B109" s="67">
        <v>70173</v>
      </c>
      <c r="C109" s="67" t="s">
        <v>1403</v>
      </c>
      <c r="D109" s="68" t="s">
        <v>25</v>
      </c>
      <c r="E109" s="67">
        <v>2</v>
      </c>
      <c r="F109" s="69">
        <v>115.85</v>
      </c>
      <c r="G109" s="69">
        <v>280</v>
      </c>
      <c r="H109" s="70"/>
      <c r="I109" s="70">
        <f>E109*G109</f>
        <v>560</v>
      </c>
      <c r="J109" s="71">
        <v>0</v>
      </c>
      <c r="K109" s="73">
        <f t="shared" si="6"/>
        <v>560</v>
      </c>
      <c r="L109" s="90">
        <f t="shared" si="7"/>
        <v>231.7</v>
      </c>
      <c r="M109" s="72"/>
    </row>
    <row r="110" spans="1:13" x14ac:dyDescent="0.2">
      <c r="A110" s="89" t="s">
        <v>1396</v>
      </c>
      <c r="B110" s="67">
        <v>70085</v>
      </c>
      <c r="C110" s="67" t="s">
        <v>1404</v>
      </c>
      <c r="D110" s="68" t="s">
        <v>24</v>
      </c>
      <c r="E110" s="67">
        <v>100</v>
      </c>
      <c r="F110" s="69">
        <v>2.7</v>
      </c>
      <c r="G110" s="69">
        <v>8</v>
      </c>
      <c r="H110" s="78"/>
      <c r="I110" s="70">
        <f>E110*G110</f>
        <v>800</v>
      </c>
      <c r="J110" s="71">
        <v>0</v>
      </c>
      <c r="K110" s="73">
        <f t="shared" si="6"/>
        <v>800</v>
      </c>
      <c r="L110" s="90">
        <f t="shared" si="7"/>
        <v>270</v>
      </c>
      <c r="M110" s="72"/>
    </row>
    <row r="111" spans="1:13" x14ac:dyDescent="0.2">
      <c r="A111" s="89" t="s">
        <v>1396</v>
      </c>
      <c r="B111" s="67">
        <v>70088</v>
      </c>
      <c r="C111" s="67"/>
      <c r="D111" s="68" t="s">
        <v>1399</v>
      </c>
      <c r="E111" s="67">
        <v>20</v>
      </c>
      <c r="F111" s="69">
        <v>3.1</v>
      </c>
      <c r="G111" s="69">
        <v>5</v>
      </c>
      <c r="H111" s="78"/>
      <c r="I111" s="70">
        <f t="shared" ref="I111:I118" si="11">E111*G111</f>
        <v>100</v>
      </c>
      <c r="J111" s="71">
        <v>0</v>
      </c>
      <c r="K111" s="73">
        <f t="shared" si="6"/>
        <v>100</v>
      </c>
      <c r="L111" s="90">
        <f t="shared" si="7"/>
        <v>62</v>
      </c>
      <c r="M111" s="72"/>
    </row>
    <row r="112" spans="1:13" x14ac:dyDescent="0.2">
      <c r="A112" s="89" t="s">
        <v>1396</v>
      </c>
      <c r="B112" s="67">
        <v>70123</v>
      </c>
      <c r="C112" s="67"/>
      <c r="D112" s="68" t="s">
        <v>21</v>
      </c>
      <c r="E112" s="67">
        <v>2</v>
      </c>
      <c r="F112" s="69">
        <v>148.9</v>
      </c>
      <c r="G112" s="69">
        <v>237</v>
      </c>
      <c r="H112" s="78"/>
      <c r="I112" s="70">
        <f t="shared" si="11"/>
        <v>474</v>
      </c>
      <c r="J112" s="71">
        <v>0</v>
      </c>
      <c r="K112" s="73">
        <f t="shared" si="6"/>
        <v>474</v>
      </c>
      <c r="L112" s="90">
        <f t="shared" si="7"/>
        <v>297.8</v>
      </c>
      <c r="M112" s="72"/>
    </row>
    <row r="113" spans="1:13" x14ac:dyDescent="0.2">
      <c r="A113" s="89" t="s">
        <v>1396</v>
      </c>
      <c r="B113" s="67">
        <v>70124</v>
      </c>
      <c r="C113" s="67"/>
      <c r="D113" s="68" t="s">
        <v>22</v>
      </c>
      <c r="E113" s="67">
        <v>5</v>
      </c>
      <c r="F113" s="69">
        <v>126</v>
      </c>
      <c r="G113" s="69">
        <v>201</v>
      </c>
      <c r="H113" s="78"/>
      <c r="I113" s="70">
        <f t="shared" si="11"/>
        <v>1005</v>
      </c>
      <c r="J113" s="71">
        <v>0</v>
      </c>
      <c r="K113" s="73">
        <f t="shared" si="6"/>
        <v>1005</v>
      </c>
      <c r="L113" s="90">
        <f t="shared" si="7"/>
        <v>630</v>
      </c>
      <c r="M113" s="72"/>
    </row>
    <row r="114" spans="1:13" x14ac:dyDescent="0.2">
      <c r="A114" s="89" t="s">
        <v>1396</v>
      </c>
      <c r="B114" s="67">
        <v>70017</v>
      </c>
      <c r="C114" s="67"/>
      <c r="D114" s="68" t="s">
        <v>20</v>
      </c>
      <c r="E114" s="67">
        <v>2</v>
      </c>
      <c r="F114" s="69">
        <v>84</v>
      </c>
      <c r="G114" s="69">
        <v>157</v>
      </c>
      <c r="H114" s="78"/>
      <c r="I114" s="70">
        <f t="shared" si="11"/>
        <v>314</v>
      </c>
      <c r="J114" s="71">
        <v>0</v>
      </c>
      <c r="K114" s="73">
        <f t="shared" si="6"/>
        <v>314</v>
      </c>
      <c r="L114" s="90">
        <f t="shared" si="7"/>
        <v>168</v>
      </c>
      <c r="M114" s="72"/>
    </row>
    <row r="115" spans="1:13" x14ac:dyDescent="0.2">
      <c r="A115" s="89" t="s">
        <v>1396</v>
      </c>
      <c r="B115" s="67">
        <v>70295</v>
      </c>
      <c r="C115" s="67"/>
      <c r="D115" s="68" t="s">
        <v>1254</v>
      </c>
      <c r="E115" s="67">
        <v>3</v>
      </c>
      <c r="F115" s="69">
        <v>75</v>
      </c>
      <c r="G115" s="69">
        <v>97.5</v>
      </c>
      <c r="H115" s="78"/>
      <c r="I115" s="70">
        <f t="shared" si="11"/>
        <v>292.5</v>
      </c>
      <c r="J115" s="71">
        <v>0</v>
      </c>
      <c r="K115" s="73">
        <f t="shared" si="6"/>
        <v>292.5</v>
      </c>
      <c r="L115" s="90">
        <f t="shared" si="7"/>
        <v>225</v>
      </c>
      <c r="M115" s="72"/>
    </row>
    <row r="116" spans="1:13" x14ac:dyDescent="0.2">
      <c r="A116" s="89" t="s">
        <v>1396</v>
      </c>
      <c r="B116" s="67">
        <v>70076</v>
      </c>
      <c r="C116" s="67"/>
      <c r="D116" s="68" t="s">
        <v>1405</v>
      </c>
      <c r="E116" s="67">
        <v>3</v>
      </c>
      <c r="F116" s="69">
        <v>35</v>
      </c>
      <c r="G116" s="69">
        <v>45.5</v>
      </c>
      <c r="H116" s="78"/>
      <c r="I116" s="70">
        <f t="shared" si="11"/>
        <v>136.5</v>
      </c>
      <c r="J116" s="71">
        <v>0</v>
      </c>
      <c r="K116" s="73">
        <f t="shared" si="6"/>
        <v>136.5</v>
      </c>
      <c r="L116" s="90">
        <f t="shared" si="7"/>
        <v>105</v>
      </c>
      <c r="M116" s="72"/>
    </row>
    <row r="117" spans="1:13" x14ac:dyDescent="0.2">
      <c r="A117" s="89" t="s">
        <v>1396</v>
      </c>
      <c r="B117" s="67">
        <v>70066</v>
      </c>
      <c r="C117" s="67" t="s">
        <v>1406</v>
      </c>
      <c r="D117" s="68" t="s">
        <v>1407</v>
      </c>
      <c r="E117" s="67">
        <v>15</v>
      </c>
      <c r="F117" s="69">
        <v>11.5</v>
      </c>
      <c r="G117" s="69">
        <v>19</v>
      </c>
      <c r="H117" s="78"/>
      <c r="I117" s="70">
        <f t="shared" si="11"/>
        <v>285</v>
      </c>
      <c r="J117" s="71">
        <v>0</v>
      </c>
      <c r="K117" s="73">
        <f t="shared" si="6"/>
        <v>285</v>
      </c>
      <c r="L117" s="90">
        <f t="shared" si="7"/>
        <v>172.5</v>
      </c>
      <c r="M117" s="72"/>
    </row>
    <row r="118" spans="1:13" x14ac:dyDescent="0.2">
      <c r="A118" s="89" t="s">
        <v>1396</v>
      </c>
      <c r="B118" s="67">
        <v>70296</v>
      </c>
      <c r="C118" s="67"/>
      <c r="D118" s="68" t="s">
        <v>1253</v>
      </c>
      <c r="E118" s="67">
        <v>10</v>
      </c>
      <c r="F118" s="69">
        <v>14</v>
      </c>
      <c r="G118" s="69">
        <v>18.25</v>
      </c>
      <c r="H118" s="78"/>
      <c r="I118" s="70">
        <f t="shared" si="11"/>
        <v>182.5</v>
      </c>
      <c r="J118" s="71">
        <v>0</v>
      </c>
      <c r="K118" s="73">
        <f t="shared" si="6"/>
        <v>182.5</v>
      </c>
      <c r="L118" s="90">
        <f t="shared" si="7"/>
        <v>140</v>
      </c>
      <c r="M118" s="72"/>
    </row>
    <row r="119" spans="1:13" x14ac:dyDescent="0.2">
      <c r="A119" s="89" t="s">
        <v>1396</v>
      </c>
      <c r="B119" s="67">
        <v>70296</v>
      </c>
      <c r="C119" s="67" t="s">
        <v>1408</v>
      </c>
      <c r="D119" s="68" t="s">
        <v>1253</v>
      </c>
      <c r="E119" s="67">
        <v>2</v>
      </c>
      <c r="F119" s="69">
        <v>14</v>
      </c>
      <c r="G119" s="69">
        <v>18.25</v>
      </c>
      <c r="H119" s="78"/>
      <c r="I119" s="70">
        <f>E119*G119</f>
        <v>36.5</v>
      </c>
      <c r="J119" s="71">
        <v>0</v>
      </c>
      <c r="K119" s="73">
        <f t="shared" si="6"/>
        <v>36.5</v>
      </c>
      <c r="L119" s="90">
        <f t="shared" si="7"/>
        <v>28</v>
      </c>
      <c r="M119" s="72"/>
    </row>
    <row r="120" spans="1:13" x14ac:dyDescent="0.2">
      <c r="A120" s="89" t="s">
        <v>1396</v>
      </c>
      <c r="B120" s="67">
        <v>70066</v>
      </c>
      <c r="C120" s="67"/>
      <c r="D120" s="68" t="s">
        <v>1407</v>
      </c>
      <c r="E120" s="67">
        <v>4</v>
      </c>
      <c r="F120" s="69">
        <v>11.5</v>
      </c>
      <c r="G120" s="69">
        <v>19</v>
      </c>
      <c r="H120" s="78"/>
      <c r="I120" s="70">
        <f t="shared" ref="I120:I127" si="12">E120*G120</f>
        <v>76</v>
      </c>
      <c r="J120" s="71">
        <v>0</v>
      </c>
      <c r="K120" s="73">
        <f t="shared" si="6"/>
        <v>76</v>
      </c>
      <c r="L120" s="90">
        <f t="shared" si="7"/>
        <v>46</v>
      </c>
      <c r="M120" s="72"/>
    </row>
    <row r="121" spans="1:13" x14ac:dyDescent="0.2">
      <c r="A121" s="89" t="s">
        <v>1396</v>
      </c>
      <c r="B121" s="67">
        <v>70072</v>
      </c>
      <c r="C121" s="67"/>
      <c r="D121" s="68" t="s">
        <v>1409</v>
      </c>
      <c r="E121" s="67">
        <v>4</v>
      </c>
      <c r="F121" s="69">
        <v>13.25</v>
      </c>
      <c r="G121" s="69">
        <v>19</v>
      </c>
      <c r="H121" s="78"/>
      <c r="I121" s="70">
        <f t="shared" si="12"/>
        <v>76</v>
      </c>
      <c r="J121" s="71">
        <v>0</v>
      </c>
      <c r="K121" s="73">
        <f t="shared" si="6"/>
        <v>76</v>
      </c>
      <c r="L121" s="90">
        <f t="shared" si="7"/>
        <v>53</v>
      </c>
      <c r="M121" s="72"/>
    </row>
    <row r="122" spans="1:13" x14ac:dyDescent="0.2">
      <c r="A122" s="89" t="s">
        <v>1410</v>
      </c>
      <c r="B122" s="67">
        <v>70301</v>
      </c>
      <c r="C122" s="67" t="s">
        <v>1411</v>
      </c>
      <c r="D122" s="68" t="s">
        <v>1412</v>
      </c>
      <c r="E122" s="67">
        <v>10000</v>
      </c>
      <c r="F122" s="69">
        <v>0.7</v>
      </c>
      <c r="G122" s="69">
        <v>0.95</v>
      </c>
      <c r="H122" s="78"/>
      <c r="I122" s="70">
        <f t="shared" si="12"/>
        <v>9500</v>
      </c>
      <c r="J122" s="71">
        <v>0</v>
      </c>
      <c r="K122" s="73">
        <f t="shared" si="6"/>
        <v>9500</v>
      </c>
      <c r="L122" s="90">
        <f t="shared" si="7"/>
        <v>7000</v>
      </c>
      <c r="M122" s="72"/>
    </row>
    <row r="123" spans="1:13" x14ac:dyDescent="0.2">
      <c r="A123" s="89" t="s">
        <v>1410</v>
      </c>
      <c r="B123" s="67">
        <v>70076</v>
      </c>
      <c r="C123" s="67" t="s">
        <v>1413</v>
      </c>
      <c r="D123" s="68" t="s">
        <v>1405</v>
      </c>
      <c r="E123" s="67">
        <v>4</v>
      </c>
      <c r="F123" s="69">
        <v>35</v>
      </c>
      <c r="G123" s="69">
        <v>45.5</v>
      </c>
      <c r="H123" s="78"/>
      <c r="I123" s="70">
        <f t="shared" si="12"/>
        <v>182</v>
      </c>
      <c r="J123" s="71">
        <v>0</v>
      </c>
      <c r="K123" s="73">
        <f t="shared" si="6"/>
        <v>182</v>
      </c>
      <c r="L123" s="90">
        <f t="shared" si="7"/>
        <v>140</v>
      </c>
      <c r="M123" s="72"/>
    </row>
    <row r="124" spans="1:13" x14ac:dyDescent="0.2">
      <c r="A124" s="89" t="s">
        <v>1410</v>
      </c>
      <c r="B124" s="67">
        <v>70190</v>
      </c>
      <c r="C124" s="67"/>
      <c r="D124" s="68" t="s">
        <v>1414</v>
      </c>
      <c r="E124" s="67">
        <v>1</v>
      </c>
      <c r="F124" s="69">
        <v>26</v>
      </c>
      <c r="G124" s="69">
        <v>38</v>
      </c>
      <c r="H124" s="78"/>
      <c r="I124" s="70">
        <f t="shared" si="12"/>
        <v>38</v>
      </c>
      <c r="J124" s="71">
        <v>0</v>
      </c>
      <c r="K124" s="73">
        <f t="shared" si="6"/>
        <v>38</v>
      </c>
      <c r="L124" s="90">
        <f t="shared" si="7"/>
        <v>26</v>
      </c>
      <c r="M124" s="72"/>
    </row>
    <row r="125" spans="1:13" x14ac:dyDescent="0.2">
      <c r="A125" s="89" t="s">
        <v>1410</v>
      </c>
      <c r="B125" s="67">
        <v>70085</v>
      </c>
      <c r="C125" s="67"/>
      <c r="D125" s="68" t="s">
        <v>24</v>
      </c>
      <c r="E125" s="67">
        <v>100</v>
      </c>
      <c r="F125" s="69">
        <v>2.7</v>
      </c>
      <c r="G125" s="69">
        <v>8</v>
      </c>
      <c r="H125" s="78"/>
      <c r="I125" s="70">
        <f t="shared" si="12"/>
        <v>800</v>
      </c>
      <c r="J125" s="71">
        <v>0</v>
      </c>
      <c r="K125" s="73">
        <f t="shared" si="6"/>
        <v>800</v>
      </c>
      <c r="L125" s="90">
        <f t="shared" si="7"/>
        <v>270</v>
      </c>
      <c r="M125" s="72"/>
    </row>
    <row r="126" spans="1:13" x14ac:dyDescent="0.2">
      <c r="A126" s="89" t="s">
        <v>1410</v>
      </c>
      <c r="B126" s="67">
        <v>70173</v>
      </c>
      <c r="C126" s="67" t="s">
        <v>1415</v>
      </c>
      <c r="D126" s="68" t="s">
        <v>25</v>
      </c>
      <c r="E126" s="67">
        <v>1</v>
      </c>
      <c r="F126" s="69">
        <v>115.85</v>
      </c>
      <c r="G126" s="69">
        <v>280</v>
      </c>
      <c r="H126" s="78"/>
      <c r="I126" s="70">
        <f t="shared" si="12"/>
        <v>280</v>
      </c>
      <c r="J126" s="71">
        <v>0</v>
      </c>
      <c r="K126" s="73">
        <f t="shared" si="6"/>
        <v>280</v>
      </c>
      <c r="L126" s="90">
        <f t="shared" si="7"/>
        <v>115.85</v>
      </c>
      <c r="M126" s="72"/>
    </row>
    <row r="127" spans="1:13" x14ac:dyDescent="0.2">
      <c r="A127" s="89" t="s">
        <v>1410</v>
      </c>
      <c r="B127" s="67">
        <v>70176</v>
      </c>
      <c r="C127" s="67"/>
      <c r="D127" s="68" t="s">
        <v>26</v>
      </c>
      <c r="E127" s="67">
        <v>1</v>
      </c>
      <c r="F127" s="69">
        <v>167.8</v>
      </c>
      <c r="G127" s="69">
        <v>360</v>
      </c>
      <c r="H127" s="78"/>
      <c r="I127" s="70">
        <f t="shared" si="12"/>
        <v>360</v>
      </c>
      <c r="J127" s="71">
        <v>0</v>
      </c>
      <c r="K127" s="73">
        <f t="shared" si="6"/>
        <v>360</v>
      </c>
      <c r="L127" s="90">
        <f t="shared" si="7"/>
        <v>167.8</v>
      </c>
      <c r="M127" s="72"/>
    </row>
    <row r="128" spans="1:13" x14ac:dyDescent="0.2">
      <c r="A128" s="89" t="s">
        <v>1410</v>
      </c>
      <c r="B128" s="67">
        <v>70303</v>
      </c>
      <c r="C128" s="67" t="s">
        <v>1416</v>
      </c>
      <c r="D128" s="68" t="s">
        <v>1417</v>
      </c>
      <c r="E128" s="67">
        <v>30</v>
      </c>
      <c r="F128" s="69">
        <v>249.67</v>
      </c>
      <c r="G128" s="69">
        <v>350</v>
      </c>
      <c r="H128" s="78"/>
      <c r="I128" s="70">
        <f>E128*G128</f>
        <v>10500</v>
      </c>
      <c r="J128" s="71">
        <v>0</v>
      </c>
      <c r="K128" s="73">
        <f t="shared" si="6"/>
        <v>10500</v>
      </c>
      <c r="L128" s="90">
        <f t="shared" si="7"/>
        <v>7490.0999999999995</v>
      </c>
      <c r="M128" s="72"/>
    </row>
    <row r="129" spans="1:13" x14ac:dyDescent="0.2">
      <c r="A129" s="89" t="s">
        <v>1410</v>
      </c>
      <c r="B129" s="67">
        <v>70302</v>
      </c>
      <c r="C129" s="67"/>
      <c r="D129" s="68" t="s">
        <v>1418</v>
      </c>
      <c r="E129" s="67">
        <v>1</v>
      </c>
      <c r="F129" s="69">
        <v>250</v>
      </c>
      <c r="G129" s="69">
        <v>350</v>
      </c>
      <c r="H129" s="78"/>
      <c r="I129" s="70">
        <f t="shared" ref="I129:I131" si="13">E129*G129</f>
        <v>350</v>
      </c>
      <c r="J129" s="71">
        <v>0</v>
      </c>
      <c r="K129" s="73">
        <f t="shared" si="6"/>
        <v>350</v>
      </c>
      <c r="L129" s="90">
        <f t="shared" si="7"/>
        <v>250</v>
      </c>
      <c r="M129" s="72"/>
    </row>
    <row r="130" spans="1:13" x14ac:dyDescent="0.2">
      <c r="A130" s="89" t="s">
        <v>1410</v>
      </c>
      <c r="B130" s="67">
        <v>70291</v>
      </c>
      <c r="C130" s="67"/>
      <c r="D130" s="68" t="s">
        <v>1419</v>
      </c>
      <c r="E130" s="67">
        <v>2</v>
      </c>
      <c r="F130" s="69">
        <v>270</v>
      </c>
      <c r="G130" s="69">
        <v>450</v>
      </c>
      <c r="H130" s="78"/>
      <c r="I130" s="70">
        <f t="shared" si="13"/>
        <v>900</v>
      </c>
      <c r="J130" s="71">
        <v>0</v>
      </c>
      <c r="K130" s="73">
        <f t="shared" si="6"/>
        <v>900</v>
      </c>
      <c r="L130" s="90">
        <f t="shared" si="7"/>
        <v>540</v>
      </c>
      <c r="M130" s="72"/>
    </row>
    <row r="131" spans="1:13" x14ac:dyDescent="0.2">
      <c r="A131" s="89" t="s">
        <v>1410</v>
      </c>
      <c r="B131" s="67">
        <v>70304</v>
      </c>
      <c r="C131" s="67"/>
      <c r="D131" s="68" t="s">
        <v>1420</v>
      </c>
      <c r="E131" s="67">
        <v>3</v>
      </c>
      <c r="F131" s="69">
        <v>343.33</v>
      </c>
      <c r="G131" s="69">
        <v>450</v>
      </c>
      <c r="H131" s="78"/>
      <c r="I131" s="70">
        <f t="shared" si="13"/>
        <v>1350</v>
      </c>
      <c r="J131" s="71">
        <v>0</v>
      </c>
      <c r="K131" s="73">
        <f t="shared" si="6"/>
        <v>1350</v>
      </c>
      <c r="L131" s="90">
        <f t="shared" si="7"/>
        <v>1029.99</v>
      </c>
      <c r="M131" s="72"/>
    </row>
    <row r="132" spans="1:13" x14ac:dyDescent="0.2">
      <c r="A132" s="89" t="s">
        <v>1410</v>
      </c>
      <c r="B132" s="67">
        <v>70175</v>
      </c>
      <c r="C132" s="67" t="s">
        <v>1421</v>
      </c>
      <c r="D132" s="68" t="s">
        <v>1344</v>
      </c>
      <c r="E132" s="67">
        <v>1</v>
      </c>
      <c r="F132" s="69">
        <v>167.8</v>
      </c>
      <c r="G132" s="69">
        <v>460</v>
      </c>
      <c r="H132" s="78"/>
      <c r="I132" s="70">
        <f>E132*G132</f>
        <v>460</v>
      </c>
      <c r="J132" s="71">
        <v>0</v>
      </c>
      <c r="K132" s="73">
        <f t="shared" si="6"/>
        <v>460</v>
      </c>
      <c r="L132" s="90">
        <f t="shared" si="7"/>
        <v>167.8</v>
      </c>
      <c r="M132" s="72"/>
    </row>
    <row r="133" spans="1:13" x14ac:dyDescent="0.2">
      <c r="A133" s="89" t="s">
        <v>1410</v>
      </c>
      <c r="B133" s="67">
        <v>70175</v>
      </c>
      <c r="C133" s="67" t="s">
        <v>1422</v>
      </c>
      <c r="D133" s="68" t="s">
        <v>1344</v>
      </c>
      <c r="E133" s="67">
        <v>1</v>
      </c>
      <c r="F133" s="69">
        <v>167.8</v>
      </c>
      <c r="G133" s="69">
        <v>460</v>
      </c>
      <c r="H133" s="78"/>
      <c r="I133" s="70">
        <f t="shared" ref="I133:I134" si="14">E133*G133</f>
        <v>460</v>
      </c>
      <c r="J133" s="71">
        <v>0</v>
      </c>
      <c r="K133" s="73">
        <f t="shared" si="6"/>
        <v>460</v>
      </c>
      <c r="L133" s="90">
        <f t="shared" si="7"/>
        <v>167.8</v>
      </c>
      <c r="M133" s="72"/>
    </row>
    <row r="134" spans="1:13" x14ac:dyDescent="0.2">
      <c r="A134" s="89" t="s">
        <v>1410</v>
      </c>
      <c r="B134" s="67">
        <v>70173</v>
      </c>
      <c r="C134" s="67"/>
      <c r="D134" s="68" t="s">
        <v>25</v>
      </c>
      <c r="E134" s="67">
        <v>2</v>
      </c>
      <c r="F134" s="69">
        <v>115.85</v>
      </c>
      <c r="G134" s="69">
        <v>280</v>
      </c>
      <c r="H134" s="78"/>
      <c r="I134" s="70">
        <f t="shared" si="14"/>
        <v>560</v>
      </c>
      <c r="J134" s="71">
        <v>0</v>
      </c>
      <c r="K134" s="73">
        <f t="shared" si="6"/>
        <v>560</v>
      </c>
      <c r="L134" s="90">
        <f t="shared" si="7"/>
        <v>231.7</v>
      </c>
      <c r="M134" s="72"/>
    </row>
    <row r="135" spans="1:13" x14ac:dyDescent="0.2">
      <c r="A135" s="89" t="s">
        <v>1410</v>
      </c>
      <c r="B135" s="67">
        <v>70203</v>
      </c>
      <c r="C135" s="67" t="s">
        <v>1423</v>
      </c>
      <c r="D135" s="68" t="s">
        <v>1424</v>
      </c>
      <c r="E135" s="67">
        <v>42</v>
      </c>
      <c r="F135" s="69">
        <v>244.3</v>
      </c>
      <c r="G135" s="69">
        <v>350</v>
      </c>
      <c r="H135" s="78"/>
      <c r="I135" s="70">
        <f>E135*G135</f>
        <v>14700</v>
      </c>
      <c r="J135" s="71">
        <v>0</v>
      </c>
      <c r="K135" s="73">
        <f t="shared" ref="K135:K195" si="15">H135+I135-J135</f>
        <v>14700</v>
      </c>
      <c r="L135" s="90">
        <f t="shared" si="7"/>
        <v>10260.6</v>
      </c>
      <c r="M135" s="72"/>
    </row>
    <row r="136" spans="1:13" x14ac:dyDescent="0.2">
      <c r="A136" s="89" t="s">
        <v>1410</v>
      </c>
      <c r="B136" s="67">
        <v>70304</v>
      </c>
      <c r="C136" s="67"/>
      <c r="D136" s="68" t="s">
        <v>1420</v>
      </c>
      <c r="E136" s="67">
        <v>2</v>
      </c>
      <c r="F136" s="69">
        <v>320</v>
      </c>
      <c r="G136" s="69">
        <v>450</v>
      </c>
      <c r="H136" s="78"/>
      <c r="I136" s="70">
        <f>E136*G136</f>
        <v>900</v>
      </c>
      <c r="J136" s="71">
        <v>0</v>
      </c>
      <c r="K136" s="73">
        <f t="shared" si="15"/>
        <v>900</v>
      </c>
      <c r="L136" s="90">
        <f t="shared" si="7"/>
        <v>640</v>
      </c>
      <c r="M136" s="72"/>
    </row>
    <row r="137" spans="1:13" x14ac:dyDescent="0.2">
      <c r="A137" s="89" t="s">
        <v>1425</v>
      </c>
      <c r="B137" s="67">
        <v>70056</v>
      </c>
      <c r="C137" s="67" t="s">
        <v>1426</v>
      </c>
      <c r="D137" s="68" t="s">
        <v>1256</v>
      </c>
      <c r="E137" s="67">
        <v>1</v>
      </c>
      <c r="F137" s="69">
        <v>110</v>
      </c>
      <c r="G137" s="69">
        <v>188</v>
      </c>
      <c r="H137" s="78">
        <f t="shared" ref="H137" si="16">E137*G137</f>
        <v>188</v>
      </c>
      <c r="I137" s="70"/>
      <c r="J137" s="71">
        <v>0</v>
      </c>
      <c r="K137" s="73">
        <f t="shared" si="15"/>
        <v>188</v>
      </c>
      <c r="L137" s="90">
        <f t="shared" si="7"/>
        <v>110</v>
      </c>
      <c r="M137" s="72"/>
    </row>
    <row r="138" spans="1:13" x14ac:dyDescent="0.2">
      <c r="A138" s="89" t="s">
        <v>1425</v>
      </c>
      <c r="B138" s="67">
        <v>70176</v>
      </c>
      <c r="C138" s="67" t="s">
        <v>1427</v>
      </c>
      <c r="D138" s="68" t="s">
        <v>26</v>
      </c>
      <c r="E138" s="67">
        <v>5</v>
      </c>
      <c r="F138" s="69">
        <v>167.8</v>
      </c>
      <c r="G138" s="69">
        <v>360</v>
      </c>
      <c r="H138" s="78"/>
      <c r="I138" s="70">
        <f t="shared" ref="I138:I139" si="17">E138*G138</f>
        <v>1800</v>
      </c>
      <c r="J138" s="71">
        <v>0</v>
      </c>
      <c r="K138" s="73">
        <f t="shared" si="15"/>
        <v>1800</v>
      </c>
      <c r="L138" s="90">
        <f t="shared" ref="L138:L195" si="18">E138*F138</f>
        <v>839</v>
      </c>
      <c r="M138" s="72"/>
    </row>
    <row r="139" spans="1:13" x14ac:dyDescent="0.2">
      <c r="A139" s="89" t="s">
        <v>1425</v>
      </c>
      <c r="B139" s="67">
        <v>70173</v>
      </c>
      <c r="C139" s="67"/>
      <c r="D139" s="68" t="s">
        <v>25</v>
      </c>
      <c r="E139" s="67">
        <v>7</v>
      </c>
      <c r="F139" s="69">
        <v>115.85</v>
      </c>
      <c r="G139" s="69">
        <v>280</v>
      </c>
      <c r="H139" s="78"/>
      <c r="I139" s="70">
        <f t="shared" si="17"/>
        <v>1960</v>
      </c>
      <c r="J139" s="71">
        <v>0</v>
      </c>
      <c r="K139" s="73">
        <f t="shared" si="15"/>
        <v>1960</v>
      </c>
      <c r="L139" s="90">
        <f t="shared" si="18"/>
        <v>810.94999999999993</v>
      </c>
      <c r="M139" s="72"/>
    </row>
    <row r="140" spans="1:13" x14ac:dyDescent="0.2">
      <c r="A140" s="89" t="s">
        <v>1425</v>
      </c>
      <c r="B140" s="67">
        <v>70176</v>
      </c>
      <c r="C140" s="67" t="s">
        <v>1428</v>
      </c>
      <c r="D140" s="68" t="s">
        <v>26</v>
      </c>
      <c r="E140" s="67">
        <v>3</v>
      </c>
      <c r="F140" s="69">
        <v>167.8</v>
      </c>
      <c r="G140" s="69">
        <v>360</v>
      </c>
      <c r="H140" s="78"/>
      <c r="I140" s="70">
        <f>E140*G140</f>
        <v>1080</v>
      </c>
      <c r="J140" s="71">
        <v>0</v>
      </c>
      <c r="K140" s="73">
        <f t="shared" si="15"/>
        <v>1080</v>
      </c>
      <c r="L140" s="90">
        <f t="shared" si="18"/>
        <v>503.40000000000003</v>
      </c>
      <c r="M140" s="72"/>
    </row>
    <row r="141" spans="1:13" x14ac:dyDescent="0.2">
      <c r="A141" s="89" t="s">
        <v>1425</v>
      </c>
      <c r="B141" s="67">
        <v>70173</v>
      </c>
      <c r="C141" s="67"/>
      <c r="D141" s="68" t="s">
        <v>25</v>
      </c>
      <c r="E141" s="67">
        <v>10</v>
      </c>
      <c r="F141" s="69">
        <v>115.85</v>
      </c>
      <c r="G141" s="69">
        <v>280</v>
      </c>
      <c r="H141" s="78"/>
      <c r="I141" s="70">
        <f t="shared" ref="I141:I195" si="19">E141*G141</f>
        <v>2800</v>
      </c>
      <c r="J141" s="71">
        <v>0</v>
      </c>
      <c r="K141" s="73">
        <f t="shared" si="15"/>
        <v>2800</v>
      </c>
      <c r="L141" s="90">
        <f t="shared" si="18"/>
        <v>1158.5</v>
      </c>
      <c r="M141" s="72"/>
    </row>
    <row r="142" spans="1:13" x14ac:dyDescent="0.2">
      <c r="A142" s="89" t="s">
        <v>1425</v>
      </c>
      <c r="B142" s="67">
        <v>70174</v>
      </c>
      <c r="C142" s="67"/>
      <c r="D142" s="68" t="s">
        <v>1343</v>
      </c>
      <c r="E142" s="67">
        <v>1</v>
      </c>
      <c r="F142" s="69">
        <v>88</v>
      </c>
      <c r="G142" s="69">
        <v>280</v>
      </c>
      <c r="H142" s="78"/>
      <c r="I142" s="70">
        <f t="shared" si="19"/>
        <v>280</v>
      </c>
      <c r="J142" s="71">
        <v>0</v>
      </c>
      <c r="K142" s="73">
        <f t="shared" si="15"/>
        <v>280</v>
      </c>
      <c r="L142" s="90">
        <f t="shared" si="18"/>
        <v>88</v>
      </c>
      <c r="M142" s="72"/>
    </row>
    <row r="143" spans="1:13" x14ac:dyDescent="0.2">
      <c r="A143" s="89" t="s">
        <v>1425</v>
      </c>
      <c r="B143" s="67">
        <v>70124</v>
      </c>
      <c r="C143" s="67" t="s">
        <v>1429</v>
      </c>
      <c r="D143" s="68" t="s">
        <v>22</v>
      </c>
      <c r="E143" s="67">
        <v>20</v>
      </c>
      <c r="F143" s="69">
        <v>126</v>
      </c>
      <c r="G143" s="69">
        <v>201</v>
      </c>
      <c r="H143" s="78"/>
      <c r="I143" s="70">
        <f t="shared" si="19"/>
        <v>4020</v>
      </c>
      <c r="J143" s="71">
        <v>0</v>
      </c>
      <c r="K143" s="73">
        <f t="shared" si="15"/>
        <v>4020</v>
      </c>
      <c r="L143" s="90">
        <f t="shared" si="18"/>
        <v>2520</v>
      </c>
      <c r="M143" s="72"/>
    </row>
    <row r="144" spans="1:13" x14ac:dyDescent="0.2">
      <c r="A144" s="89" t="s">
        <v>1425</v>
      </c>
      <c r="B144" s="67">
        <v>70123</v>
      </c>
      <c r="C144" s="67"/>
      <c r="D144" s="68" t="s">
        <v>21</v>
      </c>
      <c r="E144" s="67">
        <v>10</v>
      </c>
      <c r="F144" s="69">
        <v>148.9</v>
      </c>
      <c r="G144" s="69">
        <v>237</v>
      </c>
      <c r="H144" s="78"/>
      <c r="I144" s="70">
        <f t="shared" si="19"/>
        <v>2370</v>
      </c>
      <c r="J144" s="71">
        <v>0</v>
      </c>
      <c r="K144" s="73">
        <f t="shared" si="15"/>
        <v>2370</v>
      </c>
      <c r="L144" s="90">
        <f t="shared" si="18"/>
        <v>1489</v>
      </c>
      <c r="M144" s="72"/>
    </row>
    <row r="145" spans="1:13" x14ac:dyDescent="0.2">
      <c r="A145" s="89" t="s">
        <v>1425</v>
      </c>
      <c r="B145" s="67">
        <v>70139</v>
      </c>
      <c r="C145" s="67"/>
      <c r="D145" s="68" t="s">
        <v>1430</v>
      </c>
      <c r="E145" s="67">
        <v>46</v>
      </c>
      <c r="F145" s="69">
        <v>9</v>
      </c>
      <c r="G145" s="69">
        <v>16</v>
      </c>
      <c r="H145" s="78"/>
      <c r="I145" s="70">
        <f t="shared" si="19"/>
        <v>736</v>
      </c>
      <c r="J145" s="71">
        <v>0</v>
      </c>
      <c r="K145" s="73">
        <f t="shared" si="15"/>
        <v>736</v>
      </c>
      <c r="L145" s="90">
        <f t="shared" si="18"/>
        <v>414</v>
      </c>
      <c r="M145" s="72"/>
    </row>
    <row r="146" spans="1:13" x14ac:dyDescent="0.2">
      <c r="A146" s="89" t="s">
        <v>1425</v>
      </c>
      <c r="B146" s="67">
        <v>70088</v>
      </c>
      <c r="C146" s="67"/>
      <c r="D146" s="68" t="s">
        <v>1399</v>
      </c>
      <c r="E146" s="67">
        <v>100</v>
      </c>
      <c r="F146" s="69">
        <v>3.1</v>
      </c>
      <c r="G146" s="69">
        <v>5</v>
      </c>
      <c r="H146" s="78"/>
      <c r="I146" s="70">
        <f t="shared" si="19"/>
        <v>500</v>
      </c>
      <c r="J146" s="71">
        <v>0</v>
      </c>
      <c r="K146" s="73">
        <f t="shared" si="15"/>
        <v>500</v>
      </c>
      <c r="L146" s="90">
        <f t="shared" si="18"/>
        <v>310</v>
      </c>
      <c r="M146" s="72"/>
    </row>
    <row r="147" spans="1:13" x14ac:dyDescent="0.2">
      <c r="A147" s="89" t="s">
        <v>1425</v>
      </c>
      <c r="B147" s="67">
        <v>70283</v>
      </c>
      <c r="C147" s="67"/>
      <c r="D147" s="68" t="s">
        <v>27</v>
      </c>
      <c r="E147" s="67">
        <v>100</v>
      </c>
      <c r="F147" s="69">
        <v>8</v>
      </c>
      <c r="G147" s="69">
        <v>10</v>
      </c>
      <c r="H147" s="78"/>
      <c r="I147" s="70">
        <f t="shared" si="19"/>
        <v>1000</v>
      </c>
      <c r="J147" s="71">
        <v>0</v>
      </c>
      <c r="K147" s="73">
        <f t="shared" si="15"/>
        <v>1000</v>
      </c>
      <c r="L147" s="90">
        <f t="shared" si="18"/>
        <v>800</v>
      </c>
      <c r="M147" s="72"/>
    </row>
    <row r="148" spans="1:13" x14ac:dyDescent="0.2">
      <c r="A148" s="89" t="s">
        <v>1425</v>
      </c>
      <c r="B148" s="67">
        <v>70287</v>
      </c>
      <c r="C148" s="67"/>
      <c r="D148" s="68" t="s">
        <v>1376</v>
      </c>
      <c r="E148" s="67">
        <v>10</v>
      </c>
      <c r="F148" s="69">
        <v>25</v>
      </c>
      <c r="G148" s="69">
        <v>32.5</v>
      </c>
      <c r="H148" s="78"/>
      <c r="I148" s="70">
        <f t="shared" si="19"/>
        <v>325</v>
      </c>
      <c r="J148" s="71">
        <v>0</v>
      </c>
      <c r="K148" s="73">
        <f t="shared" si="15"/>
        <v>325</v>
      </c>
      <c r="L148" s="90">
        <f t="shared" si="18"/>
        <v>250</v>
      </c>
      <c r="M148" s="72"/>
    </row>
    <row r="149" spans="1:13" x14ac:dyDescent="0.2">
      <c r="A149" s="89" t="s">
        <v>1425</v>
      </c>
      <c r="B149" s="67">
        <v>70076</v>
      </c>
      <c r="C149" s="67"/>
      <c r="D149" s="68" t="s">
        <v>1405</v>
      </c>
      <c r="E149" s="67">
        <v>8</v>
      </c>
      <c r="F149" s="69">
        <v>35</v>
      </c>
      <c r="G149" s="69">
        <v>45.5</v>
      </c>
      <c r="H149" s="78"/>
      <c r="I149" s="70">
        <f t="shared" si="19"/>
        <v>364</v>
      </c>
      <c r="J149" s="71">
        <v>0</v>
      </c>
      <c r="K149" s="73">
        <f t="shared" si="15"/>
        <v>364</v>
      </c>
      <c r="L149" s="90">
        <f t="shared" si="18"/>
        <v>280</v>
      </c>
      <c r="M149" s="72"/>
    </row>
    <row r="150" spans="1:13" x14ac:dyDescent="0.2">
      <c r="A150" s="89" t="s">
        <v>1425</v>
      </c>
      <c r="B150" s="67">
        <v>70077</v>
      </c>
      <c r="C150" s="67"/>
      <c r="D150" s="68" t="s">
        <v>1431</v>
      </c>
      <c r="E150" s="67">
        <v>2</v>
      </c>
      <c r="F150" s="69">
        <v>130</v>
      </c>
      <c r="G150" s="69">
        <v>169</v>
      </c>
      <c r="H150" s="78"/>
      <c r="I150" s="70">
        <f t="shared" si="19"/>
        <v>338</v>
      </c>
      <c r="J150" s="71">
        <v>0</v>
      </c>
      <c r="K150" s="73">
        <f t="shared" si="15"/>
        <v>338</v>
      </c>
      <c r="L150" s="90">
        <f t="shared" si="18"/>
        <v>260</v>
      </c>
      <c r="M150" s="72"/>
    </row>
    <row r="151" spans="1:13" x14ac:dyDescent="0.2">
      <c r="A151" s="89" t="s">
        <v>1425</v>
      </c>
      <c r="B151" s="67">
        <v>70295</v>
      </c>
      <c r="C151" s="67"/>
      <c r="D151" s="68" t="s">
        <v>1254</v>
      </c>
      <c r="E151" s="67">
        <v>5</v>
      </c>
      <c r="F151" s="69">
        <v>75</v>
      </c>
      <c r="G151" s="69">
        <v>97.5</v>
      </c>
      <c r="H151" s="78"/>
      <c r="I151" s="70">
        <f t="shared" si="19"/>
        <v>487.5</v>
      </c>
      <c r="J151" s="71">
        <v>0</v>
      </c>
      <c r="K151" s="73">
        <f t="shared" si="15"/>
        <v>487.5</v>
      </c>
      <c r="L151" s="90">
        <f t="shared" si="18"/>
        <v>375</v>
      </c>
      <c r="M151" s="72"/>
    </row>
    <row r="152" spans="1:13" x14ac:dyDescent="0.2">
      <c r="A152" s="89" t="s">
        <v>1425</v>
      </c>
      <c r="B152" s="67">
        <v>70269</v>
      </c>
      <c r="C152" s="67"/>
      <c r="D152" s="68" t="s">
        <v>1385</v>
      </c>
      <c r="E152" s="67">
        <v>3</v>
      </c>
      <c r="F152" s="69">
        <v>55.5</v>
      </c>
      <c r="G152" s="69">
        <v>72</v>
      </c>
      <c r="H152" s="78"/>
      <c r="I152" s="70">
        <f t="shared" si="19"/>
        <v>216</v>
      </c>
      <c r="J152" s="71">
        <v>0</v>
      </c>
      <c r="K152" s="73">
        <f t="shared" si="15"/>
        <v>216</v>
      </c>
      <c r="L152" s="90">
        <f t="shared" si="18"/>
        <v>166.5</v>
      </c>
      <c r="M152" s="72"/>
    </row>
    <row r="153" spans="1:13" x14ac:dyDescent="0.2">
      <c r="A153" s="89" t="s">
        <v>1425</v>
      </c>
      <c r="B153" s="67">
        <v>70174</v>
      </c>
      <c r="C153" s="67" t="s">
        <v>1432</v>
      </c>
      <c r="D153" s="68" t="s">
        <v>1343</v>
      </c>
      <c r="E153" s="67">
        <v>1</v>
      </c>
      <c r="F153" s="69">
        <v>88</v>
      </c>
      <c r="G153" s="69">
        <v>280</v>
      </c>
      <c r="H153" s="78"/>
      <c r="I153" s="70">
        <f t="shared" si="19"/>
        <v>280</v>
      </c>
      <c r="J153" s="71">
        <v>0</v>
      </c>
      <c r="K153" s="73">
        <f t="shared" si="15"/>
        <v>280</v>
      </c>
      <c r="L153" s="90">
        <f t="shared" si="18"/>
        <v>88</v>
      </c>
      <c r="M153" s="72"/>
    </row>
    <row r="154" spans="1:13" x14ac:dyDescent="0.2">
      <c r="A154" s="89" t="s">
        <v>1425</v>
      </c>
      <c r="B154" s="67">
        <v>70124</v>
      </c>
      <c r="C154" s="67" t="s">
        <v>1433</v>
      </c>
      <c r="D154" s="68" t="s">
        <v>22</v>
      </c>
      <c r="E154" s="67">
        <v>5</v>
      </c>
      <c r="F154" s="69">
        <v>126</v>
      </c>
      <c r="G154" s="69">
        <v>201</v>
      </c>
      <c r="H154" s="78"/>
      <c r="I154" s="70">
        <f t="shared" si="19"/>
        <v>1005</v>
      </c>
      <c r="J154" s="71">
        <v>0</v>
      </c>
      <c r="K154" s="73">
        <f t="shared" si="15"/>
        <v>1005</v>
      </c>
      <c r="L154" s="90">
        <f t="shared" si="18"/>
        <v>630</v>
      </c>
      <c r="M154" s="72"/>
    </row>
    <row r="155" spans="1:13" x14ac:dyDescent="0.2">
      <c r="A155" s="89" t="s">
        <v>1425</v>
      </c>
      <c r="B155" s="67">
        <v>70123</v>
      </c>
      <c r="C155" s="67"/>
      <c r="D155" s="68" t="s">
        <v>21</v>
      </c>
      <c r="E155" s="67">
        <v>5</v>
      </c>
      <c r="F155" s="69">
        <v>148.9</v>
      </c>
      <c r="G155" s="69">
        <v>237</v>
      </c>
      <c r="H155" s="78"/>
      <c r="I155" s="70">
        <f t="shared" si="19"/>
        <v>1185</v>
      </c>
      <c r="J155" s="71">
        <v>0</v>
      </c>
      <c r="K155" s="73">
        <f t="shared" si="15"/>
        <v>1185</v>
      </c>
      <c r="L155" s="90">
        <f t="shared" si="18"/>
        <v>744.5</v>
      </c>
      <c r="M155" s="72"/>
    </row>
    <row r="156" spans="1:13" x14ac:dyDescent="0.2">
      <c r="A156" s="89" t="s">
        <v>1425</v>
      </c>
      <c r="B156" s="67">
        <v>70016</v>
      </c>
      <c r="C156" s="67"/>
      <c r="D156" s="68" t="s">
        <v>23</v>
      </c>
      <c r="E156" s="67">
        <v>3</v>
      </c>
      <c r="F156" s="69">
        <v>99.3</v>
      </c>
      <c r="G156" s="69">
        <v>175</v>
      </c>
      <c r="H156" s="78"/>
      <c r="I156" s="70">
        <f t="shared" si="19"/>
        <v>525</v>
      </c>
      <c r="J156" s="71">
        <v>0</v>
      </c>
      <c r="K156" s="73">
        <f t="shared" si="15"/>
        <v>525</v>
      </c>
      <c r="L156" s="90">
        <f t="shared" si="18"/>
        <v>297.89999999999998</v>
      </c>
      <c r="M156" s="72"/>
    </row>
    <row r="157" spans="1:13" x14ac:dyDescent="0.2">
      <c r="A157" s="89" t="s">
        <v>1425</v>
      </c>
      <c r="B157" s="67">
        <v>70017</v>
      </c>
      <c r="C157" s="67"/>
      <c r="D157" s="68" t="s">
        <v>20</v>
      </c>
      <c r="E157" s="67">
        <v>3</v>
      </c>
      <c r="F157" s="69">
        <v>84</v>
      </c>
      <c r="G157" s="69">
        <v>157</v>
      </c>
      <c r="H157" s="78"/>
      <c r="I157" s="70">
        <f t="shared" si="19"/>
        <v>471</v>
      </c>
      <c r="J157" s="71">
        <v>0</v>
      </c>
      <c r="K157" s="73">
        <f t="shared" si="15"/>
        <v>471</v>
      </c>
      <c r="L157" s="90">
        <f t="shared" si="18"/>
        <v>252</v>
      </c>
      <c r="M157" s="72"/>
    </row>
    <row r="158" spans="1:13" x14ac:dyDescent="0.2">
      <c r="A158" s="89" t="s">
        <v>1425</v>
      </c>
      <c r="B158" s="67">
        <v>70173</v>
      </c>
      <c r="C158" s="67" t="s">
        <v>1434</v>
      </c>
      <c r="D158" s="68" t="s">
        <v>25</v>
      </c>
      <c r="E158" s="67">
        <v>12</v>
      </c>
      <c r="F158" s="69">
        <v>115.85</v>
      </c>
      <c r="G158" s="69">
        <v>280</v>
      </c>
      <c r="H158" s="78"/>
      <c r="I158" s="70">
        <f t="shared" si="19"/>
        <v>3360</v>
      </c>
      <c r="J158" s="71">
        <v>0</v>
      </c>
      <c r="K158" s="73">
        <f t="shared" si="15"/>
        <v>3360</v>
      </c>
      <c r="L158" s="90">
        <f t="shared" si="18"/>
        <v>1390.1999999999998</v>
      </c>
      <c r="M158" s="72"/>
    </row>
    <row r="159" spans="1:13" x14ac:dyDescent="0.2">
      <c r="A159" s="89" t="s">
        <v>1425</v>
      </c>
      <c r="B159" s="67">
        <v>70124</v>
      </c>
      <c r="C159" s="67" t="s">
        <v>1435</v>
      </c>
      <c r="D159" s="68" t="s">
        <v>22</v>
      </c>
      <c r="E159" s="67">
        <v>10</v>
      </c>
      <c r="F159" s="69">
        <v>126</v>
      </c>
      <c r="G159" s="69">
        <v>201</v>
      </c>
      <c r="H159" s="78"/>
      <c r="I159" s="70">
        <f t="shared" si="19"/>
        <v>2010</v>
      </c>
      <c r="J159" s="71">
        <v>0</v>
      </c>
      <c r="K159" s="73">
        <f t="shared" si="15"/>
        <v>2010</v>
      </c>
      <c r="L159" s="90">
        <f t="shared" si="18"/>
        <v>1260</v>
      </c>
      <c r="M159" s="72"/>
    </row>
    <row r="160" spans="1:13" x14ac:dyDescent="0.2">
      <c r="A160" s="89" t="s">
        <v>1425</v>
      </c>
      <c r="B160" s="67">
        <v>70123</v>
      </c>
      <c r="C160" s="67"/>
      <c r="D160" s="68" t="s">
        <v>21</v>
      </c>
      <c r="E160" s="67">
        <v>10</v>
      </c>
      <c r="F160" s="69">
        <v>148.9</v>
      </c>
      <c r="G160" s="69">
        <v>237</v>
      </c>
      <c r="H160" s="78"/>
      <c r="I160" s="70">
        <f t="shared" si="19"/>
        <v>2370</v>
      </c>
      <c r="J160" s="71">
        <v>0</v>
      </c>
      <c r="K160" s="73">
        <f t="shared" si="15"/>
        <v>2370</v>
      </c>
      <c r="L160" s="90">
        <f t="shared" si="18"/>
        <v>1489</v>
      </c>
      <c r="M160" s="72"/>
    </row>
    <row r="161" spans="1:13" x14ac:dyDescent="0.2">
      <c r="A161" s="89" t="s">
        <v>1425</v>
      </c>
      <c r="B161" s="67">
        <v>70288</v>
      </c>
      <c r="C161" s="67"/>
      <c r="D161" s="68" t="s">
        <v>1336</v>
      </c>
      <c r="E161" s="67">
        <v>3</v>
      </c>
      <c r="F161" s="69">
        <v>9</v>
      </c>
      <c r="G161" s="69">
        <v>12</v>
      </c>
      <c r="H161" s="78"/>
      <c r="I161" s="70">
        <f t="shared" si="19"/>
        <v>36</v>
      </c>
      <c r="J161" s="71">
        <v>0</v>
      </c>
      <c r="K161" s="73">
        <f t="shared" si="15"/>
        <v>36</v>
      </c>
      <c r="L161" s="90">
        <f t="shared" si="18"/>
        <v>27</v>
      </c>
      <c r="M161" s="72"/>
    </row>
    <row r="162" spans="1:13" x14ac:dyDescent="0.2">
      <c r="A162" s="89" t="s">
        <v>1425</v>
      </c>
      <c r="B162" s="67">
        <v>70016</v>
      </c>
      <c r="C162" s="67"/>
      <c r="D162" s="68" t="s">
        <v>23</v>
      </c>
      <c r="E162" s="67">
        <v>15</v>
      </c>
      <c r="F162" s="69">
        <v>99.3</v>
      </c>
      <c r="G162" s="69">
        <v>175</v>
      </c>
      <c r="H162" s="78"/>
      <c r="I162" s="70">
        <f t="shared" si="19"/>
        <v>2625</v>
      </c>
      <c r="J162" s="71">
        <v>0</v>
      </c>
      <c r="K162" s="73">
        <f t="shared" si="15"/>
        <v>2625</v>
      </c>
      <c r="L162" s="90">
        <f t="shared" si="18"/>
        <v>1489.5</v>
      </c>
      <c r="M162" s="72"/>
    </row>
    <row r="163" spans="1:13" x14ac:dyDescent="0.2">
      <c r="A163" s="89" t="s">
        <v>1425</v>
      </c>
      <c r="B163" s="67">
        <v>70017</v>
      </c>
      <c r="C163" s="67"/>
      <c r="D163" s="68" t="s">
        <v>20</v>
      </c>
      <c r="E163" s="67">
        <v>20</v>
      </c>
      <c r="F163" s="69">
        <v>84</v>
      </c>
      <c r="G163" s="69">
        <v>157</v>
      </c>
      <c r="H163" s="78"/>
      <c r="I163" s="70">
        <f t="shared" si="19"/>
        <v>3140</v>
      </c>
      <c r="J163" s="71">
        <v>0</v>
      </c>
      <c r="K163" s="73">
        <f t="shared" si="15"/>
        <v>3140</v>
      </c>
      <c r="L163" s="90">
        <f t="shared" si="18"/>
        <v>1680</v>
      </c>
      <c r="M163" s="72"/>
    </row>
    <row r="164" spans="1:13" x14ac:dyDescent="0.2">
      <c r="A164" s="89" t="s">
        <v>1425</v>
      </c>
      <c r="B164" s="67">
        <v>70080</v>
      </c>
      <c r="C164" s="67"/>
      <c r="D164" s="68" t="s">
        <v>1436</v>
      </c>
      <c r="E164" s="67">
        <v>50</v>
      </c>
      <c r="F164" s="69">
        <v>8</v>
      </c>
      <c r="G164" s="69">
        <v>12</v>
      </c>
      <c r="H164" s="78"/>
      <c r="I164" s="70">
        <f t="shared" si="19"/>
        <v>600</v>
      </c>
      <c r="J164" s="71">
        <v>0</v>
      </c>
      <c r="K164" s="73">
        <f t="shared" si="15"/>
        <v>600</v>
      </c>
      <c r="L164" s="90">
        <f t="shared" si="18"/>
        <v>400</v>
      </c>
      <c r="M164" s="72"/>
    </row>
    <row r="165" spans="1:13" x14ac:dyDescent="0.2">
      <c r="A165" s="89" t="s">
        <v>1425</v>
      </c>
      <c r="B165" s="67">
        <v>70083</v>
      </c>
      <c r="C165" s="67"/>
      <c r="D165" s="68" t="s">
        <v>1437</v>
      </c>
      <c r="E165" s="67">
        <v>50</v>
      </c>
      <c r="F165" s="69">
        <v>8</v>
      </c>
      <c r="G165" s="69">
        <v>12</v>
      </c>
      <c r="H165" s="78"/>
      <c r="I165" s="70">
        <f t="shared" si="19"/>
        <v>600</v>
      </c>
      <c r="J165" s="71">
        <v>0</v>
      </c>
      <c r="K165" s="73">
        <f t="shared" si="15"/>
        <v>600</v>
      </c>
      <c r="L165" s="90">
        <f t="shared" si="18"/>
        <v>400</v>
      </c>
      <c r="M165" s="72"/>
    </row>
    <row r="166" spans="1:13" x14ac:dyDescent="0.2">
      <c r="A166" s="89" t="s">
        <v>1425</v>
      </c>
      <c r="B166" s="67">
        <v>70086</v>
      </c>
      <c r="C166" s="67"/>
      <c r="D166" s="68" t="s">
        <v>1438</v>
      </c>
      <c r="E166" s="67">
        <v>50</v>
      </c>
      <c r="F166" s="69">
        <v>8</v>
      </c>
      <c r="G166" s="69">
        <v>12</v>
      </c>
      <c r="H166" s="78"/>
      <c r="I166" s="70">
        <f t="shared" si="19"/>
        <v>600</v>
      </c>
      <c r="J166" s="71">
        <v>0</v>
      </c>
      <c r="K166" s="73">
        <f t="shared" si="15"/>
        <v>600</v>
      </c>
      <c r="L166" s="90">
        <f t="shared" si="18"/>
        <v>400</v>
      </c>
      <c r="M166" s="72"/>
    </row>
    <row r="167" spans="1:13" x14ac:dyDescent="0.2">
      <c r="A167" s="89" t="s">
        <v>1425</v>
      </c>
      <c r="B167" s="67">
        <v>70082</v>
      </c>
      <c r="C167" s="67"/>
      <c r="D167" s="68" t="s">
        <v>1439</v>
      </c>
      <c r="E167" s="67">
        <v>50</v>
      </c>
      <c r="F167" s="69">
        <v>4.75</v>
      </c>
      <c r="G167" s="69">
        <v>12</v>
      </c>
      <c r="H167" s="78"/>
      <c r="I167" s="70">
        <f t="shared" si="19"/>
        <v>600</v>
      </c>
      <c r="J167" s="71">
        <v>0</v>
      </c>
      <c r="K167" s="73">
        <f t="shared" si="15"/>
        <v>600</v>
      </c>
      <c r="L167" s="90">
        <f t="shared" si="18"/>
        <v>237.5</v>
      </c>
      <c r="M167" s="72"/>
    </row>
    <row r="168" spans="1:13" x14ac:dyDescent="0.2">
      <c r="A168" s="89" t="s">
        <v>1425</v>
      </c>
      <c r="B168" s="67">
        <v>70192</v>
      </c>
      <c r="C168" s="67"/>
      <c r="D168" s="68" t="s">
        <v>1352</v>
      </c>
      <c r="E168" s="67">
        <v>50</v>
      </c>
      <c r="F168" s="69">
        <v>14.5</v>
      </c>
      <c r="G168" s="69">
        <v>20</v>
      </c>
      <c r="H168" s="78"/>
      <c r="I168" s="70">
        <f t="shared" si="19"/>
        <v>1000</v>
      </c>
      <c r="J168" s="71">
        <v>0</v>
      </c>
      <c r="K168" s="73">
        <f t="shared" si="15"/>
        <v>1000</v>
      </c>
      <c r="L168" s="90">
        <f t="shared" si="18"/>
        <v>725</v>
      </c>
      <c r="M168" s="72"/>
    </row>
    <row r="169" spans="1:13" x14ac:dyDescent="0.2">
      <c r="A169" s="89" t="s">
        <v>1425</v>
      </c>
      <c r="B169" s="67">
        <v>70073</v>
      </c>
      <c r="C169" s="67"/>
      <c r="D169" s="68" t="s">
        <v>1351</v>
      </c>
      <c r="E169" s="67">
        <v>30</v>
      </c>
      <c r="F169" s="69">
        <v>14.5</v>
      </c>
      <c r="G169" s="69">
        <v>20</v>
      </c>
      <c r="H169" s="78"/>
      <c r="I169" s="70">
        <f t="shared" si="19"/>
        <v>600</v>
      </c>
      <c r="J169" s="71">
        <v>0</v>
      </c>
      <c r="K169" s="73">
        <f t="shared" si="15"/>
        <v>600</v>
      </c>
      <c r="L169" s="90">
        <f t="shared" si="18"/>
        <v>435</v>
      </c>
      <c r="M169" s="72"/>
    </row>
    <row r="170" spans="1:13" x14ac:dyDescent="0.2">
      <c r="A170" s="89" t="s">
        <v>1425</v>
      </c>
      <c r="B170" s="67">
        <v>70074</v>
      </c>
      <c r="C170" s="67"/>
      <c r="D170" s="68" t="s">
        <v>1440</v>
      </c>
      <c r="E170" s="67">
        <v>30</v>
      </c>
      <c r="F170" s="69">
        <v>13.5</v>
      </c>
      <c r="G170" s="69">
        <v>20</v>
      </c>
      <c r="H170" s="78"/>
      <c r="I170" s="70">
        <f t="shared" si="19"/>
        <v>600</v>
      </c>
      <c r="J170" s="71">
        <v>0</v>
      </c>
      <c r="K170" s="73">
        <f t="shared" si="15"/>
        <v>600</v>
      </c>
      <c r="L170" s="90">
        <f t="shared" si="18"/>
        <v>405</v>
      </c>
      <c r="M170" s="72"/>
    </row>
    <row r="171" spans="1:13" x14ac:dyDescent="0.2">
      <c r="A171" s="89" t="s">
        <v>1425</v>
      </c>
      <c r="B171" s="67">
        <v>70071</v>
      </c>
      <c r="C171" s="67"/>
      <c r="D171" s="68" t="s">
        <v>1332</v>
      </c>
      <c r="E171" s="67">
        <v>30</v>
      </c>
      <c r="F171" s="69">
        <v>14.5</v>
      </c>
      <c r="G171" s="69">
        <v>20</v>
      </c>
      <c r="H171" s="78"/>
      <c r="I171" s="70">
        <f t="shared" si="19"/>
        <v>600</v>
      </c>
      <c r="J171" s="71">
        <v>0</v>
      </c>
      <c r="K171" s="73">
        <f t="shared" si="15"/>
        <v>600</v>
      </c>
      <c r="L171" s="90">
        <f t="shared" si="18"/>
        <v>435</v>
      </c>
      <c r="M171" s="72"/>
    </row>
    <row r="172" spans="1:13" x14ac:dyDescent="0.2">
      <c r="A172" s="89" t="s">
        <v>1425</v>
      </c>
      <c r="B172" s="67">
        <v>70069</v>
      </c>
      <c r="C172" s="67"/>
      <c r="D172" s="68" t="s">
        <v>1249</v>
      </c>
      <c r="E172" s="67">
        <v>30</v>
      </c>
      <c r="F172" s="69">
        <v>14.5</v>
      </c>
      <c r="G172" s="69">
        <v>20</v>
      </c>
      <c r="H172" s="78"/>
      <c r="I172" s="70">
        <f t="shared" si="19"/>
        <v>600</v>
      </c>
      <c r="J172" s="71">
        <v>0</v>
      </c>
      <c r="K172" s="73">
        <f t="shared" si="15"/>
        <v>600</v>
      </c>
      <c r="L172" s="90">
        <f t="shared" si="18"/>
        <v>435</v>
      </c>
      <c r="M172" s="72"/>
    </row>
    <row r="173" spans="1:13" x14ac:dyDescent="0.2">
      <c r="A173" s="89" t="s">
        <v>1425</v>
      </c>
      <c r="B173" s="67">
        <v>70014</v>
      </c>
      <c r="C173" s="67"/>
      <c r="D173" s="68" t="s">
        <v>1328</v>
      </c>
      <c r="E173" s="67">
        <v>36</v>
      </c>
      <c r="F173" s="69">
        <v>1.54</v>
      </c>
      <c r="G173" s="69">
        <v>5</v>
      </c>
      <c r="H173" s="78"/>
      <c r="I173" s="70">
        <f t="shared" si="19"/>
        <v>180</v>
      </c>
      <c r="J173" s="71">
        <v>0</v>
      </c>
      <c r="K173" s="73">
        <f t="shared" si="15"/>
        <v>180</v>
      </c>
      <c r="L173" s="90">
        <f t="shared" si="18"/>
        <v>55.44</v>
      </c>
      <c r="M173" s="72"/>
    </row>
    <row r="174" spans="1:13" x14ac:dyDescent="0.2">
      <c r="A174" s="89" t="s">
        <v>1425</v>
      </c>
      <c r="B174" s="67">
        <v>70085</v>
      </c>
      <c r="C174" s="67"/>
      <c r="D174" s="68" t="s">
        <v>24</v>
      </c>
      <c r="E174" s="67">
        <v>20</v>
      </c>
      <c r="F174" s="69">
        <v>2.7</v>
      </c>
      <c r="G174" s="69">
        <v>8</v>
      </c>
      <c r="H174" s="78"/>
      <c r="I174" s="70">
        <f t="shared" si="19"/>
        <v>160</v>
      </c>
      <c r="J174" s="71">
        <v>0</v>
      </c>
      <c r="K174" s="73">
        <f t="shared" si="15"/>
        <v>160</v>
      </c>
      <c r="L174" s="90">
        <f t="shared" si="18"/>
        <v>54</v>
      </c>
      <c r="M174" s="72"/>
    </row>
    <row r="175" spans="1:13" x14ac:dyDescent="0.2">
      <c r="A175" s="89" t="s">
        <v>1425</v>
      </c>
      <c r="B175" s="67">
        <v>70088</v>
      </c>
      <c r="C175" s="67"/>
      <c r="D175" s="68" t="s">
        <v>1399</v>
      </c>
      <c r="E175" s="67">
        <v>20</v>
      </c>
      <c r="F175" s="69">
        <v>3.1</v>
      </c>
      <c r="G175" s="69">
        <v>5</v>
      </c>
      <c r="H175" s="78"/>
      <c r="I175" s="70">
        <f t="shared" si="19"/>
        <v>100</v>
      </c>
      <c r="J175" s="71">
        <v>0</v>
      </c>
      <c r="K175" s="73">
        <f t="shared" si="15"/>
        <v>100</v>
      </c>
      <c r="L175" s="90">
        <f t="shared" si="18"/>
        <v>62</v>
      </c>
      <c r="M175" s="72"/>
    </row>
    <row r="176" spans="1:13" x14ac:dyDescent="0.2">
      <c r="A176" s="89" t="s">
        <v>1425</v>
      </c>
      <c r="B176" s="67">
        <v>70295</v>
      </c>
      <c r="C176" s="67"/>
      <c r="D176" s="68" t="s">
        <v>1254</v>
      </c>
      <c r="E176" s="67">
        <v>10</v>
      </c>
      <c r="F176" s="69">
        <v>75</v>
      </c>
      <c r="G176" s="69">
        <v>97.5</v>
      </c>
      <c r="H176" s="78"/>
      <c r="I176" s="70">
        <f t="shared" si="19"/>
        <v>975</v>
      </c>
      <c r="J176" s="71">
        <v>0</v>
      </c>
      <c r="K176" s="73">
        <f t="shared" si="15"/>
        <v>975</v>
      </c>
      <c r="L176" s="90">
        <f t="shared" si="18"/>
        <v>750</v>
      </c>
      <c r="M176" s="72"/>
    </row>
    <row r="177" spans="1:13" x14ac:dyDescent="0.2">
      <c r="A177" s="89" t="s">
        <v>1425</v>
      </c>
      <c r="B177" s="67">
        <v>70174</v>
      </c>
      <c r="C177" s="67" t="s">
        <v>1441</v>
      </c>
      <c r="D177" s="68" t="s">
        <v>1343</v>
      </c>
      <c r="E177" s="67">
        <v>3</v>
      </c>
      <c r="F177" s="69">
        <v>88</v>
      </c>
      <c r="G177" s="69">
        <v>280</v>
      </c>
      <c r="H177" s="78"/>
      <c r="I177" s="70">
        <f t="shared" si="19"/>
        <v>840</v>
      </c>
      <c r="J177" s="71">
        <v>0</v>
      </c>
      <c r="K177" s="73">
        <f t="shared" si="15"/>
        <v>840</v>
      </c>
      <c r="L177" s="90">
        <f t="shared" si="18"/>
        <v>264</v>
      </c>
      <c r="M177" s="72"/>
    </row>
    <row r="178" spans="1:13" x14ac:dyDescent="0.2">
      <c r="A178" s="89" t="s">
        <v>1425</v>
      </c>
      <c r="B178" s="67">
        <v>70173</v>
      </c>
      <c r="C178" s="67"/>
      <c r="D178" s="68" t="s">
        <v>25</v>
      </c>
      <c r="E178" s="67">
        <v>2</v>
      </c>
      <c r="F178" s="69">
        <v>115.85</v>
      </c>
      <c r="G178" s="69">
        <v>280</v>
      </c>
      <c r="H178" s="78"/>
      <c r="I178" s="70">
        <f t="shared" si="19"/>
        <v>560</v>
      </c>
      <c r="J178" s="71">
        <v>0</v>
      </c>
      <c r="K178" s="73">
        <f t="shared" si="15"/>
        <v>560</v>
      </c>
      <c r="L178" s="90">
        <f t="shared" si="18"/>
        <v>231.7</v>
      </c>
      <c r="M178" s="72"/>
    </row>
    <row r="179" spans="1:13" x14ac:dyDescent="0.2">
      <c r="A179" s="89" t="s">
        <v>1425</v>
      </c>
      <c r="B179" s="67">
        <v>70016</v>
      </c>
      <c r="C179" s="67" t="s">
        <v>1442</v>
      </c>
      <c r="D179" s="68" t="s">
        <v>23</v>
      </c>
      <c r="E179" s="67">
        <v>20</v>
      </c>
      <c r="F179" s="69">
        <v>99.3</v>
      </c>
      <c r="G179" s="69">
        <v>175</v>
      </c>
      <c r="H179" s="78"/>
      <c r="I179" s="70">
        <f t="shared" si="19"/>
        <v>3500</v>
      </c>
      <c r="J179" s="71">
        <v>0</v>
      </c>
      <c r="K179" s="73">
        <f t="shared" si="15"/>
        <v>3500</v>
      </c>
      <c r="L179" s="90">
        <f t="shared" si="18"/>
        <v>1986</v>
      </c>
      <c r="M179" s="72"/>
    </row>
    <row r="180" spans="1:13" x14ac:dyDescent="0.2">
      <c r="A180" s="89" t="s">
        <v>1425</v>
      </c>
      <c r="B180" s="67">
        <v>70017</v>
      </c>
      <c r="C180" s="67"/>
      <c r="D180" s="68" t="s">
        <v>20</v>
      </c>
      <c r="E180" s="67">
        <v>30</v>
      </c>
      <c r="F180" s="69">
        <v>84</v>
      </c>
      <c r="G180" s="69">
        <v>157</v>
      </c>
      <c r="H180" s="78"/>
      <c r="I180" s="70">
        <f t="shared" si="19"/>
        <v>4710</v>
      </c>
      <c r="J180" s="71">
        <v>0</v>
      </c>
      <c r="K180" s="73">
        <f t="shared" si="15"/>
        <v>4710</v>
      </c>
      <c r="L180" s="90">
        <f t="shared" si="18"/>
        <v>2520</v>
      </c>
      <c r="M180" s="72"/>
    </row>
    <row r="181" spans="1:13" x14ac:dyDescent="0.2">
      <c r="A181" s="89" t="s">
        <v>1425</v>
      </c>
      <c r="B181" s="67">
        <v>70019</v>
      </c>
      <c r="C181" s="67"/>
      <c r="D181" s="68" t="s">
        <v>1339</v>
      </c>
      <c r="E181" s="67">
        <v>100</v>
      </c>
      <c r="F181" s="69">
        <v>1.75</v>
      </c>
      <c r="G181" s="69">
        <v>3</v>
      </c>
      <c r="H181" s="78"/>
      <c r="I181" s="70">
        <f t="shared" si="19"/>
        <v>300</v>
      </c>
      <c r="J181" s="71">
        <v>0</v>
      </c>
      <c r="K181" s="73">
        <f t="shared" si="15"/>
        <v>300</v>
      </c>
      <c r="L181" s="90">
        <f t="shared" si="18"/>
        <v>175</v>
      </c>
      <c r="M181" s="72"/>
    </row>
    <row r="182" spans="1:13" x14ac:dyDescent="0.2">
      <c r="A182" s="89" t="s">
        <v>1425</v>
      </c>
      <c r="B182" s="67">
        <v>70071</v>
      </c>
      <c r="C182" s="67"/>
      <c r="D182" s="68" t="s">
        <v>1332</v>
      </c>
      <c r="E182" s="67">
        <v>10</v>
      </c>
      <c r="F182" s="69">
        <v>14.5</v>
      </c>
      <c r="G182" s="69">
        <v>20</v>
      </c>
      <c r="H182" s="78"/>
      <c r="I182" s="70">
        <f t="shared" si="19"/>
        <v>200</v>
      </c>
      <c r="J182" s="71">
        <v>0</v>
      </c>
      <c r="K182" s="73">
        <f t="shared" si="15"/>
        <v>200</v>
      </c>
      <c r="L182" s="90">
        <f t="shared" si="18"/>
        <v>145</v>
      </c>
      <c r="M182" s="72"/>
    </row>
    <row r="183" spans="1:13" x14ac:dyDescent="0.2">
      <c r="A183" s="89" t="s">
        <v>1425</v>
      </c>
      <c r="B183" s="67">
        <v>70072</v>
      </c>
      <c r="C183" s="67"/>
      <c r="D183" s="68" t="s">
        <v>1409</v>
      </c>
      <c r="E183" s="67">
        <v>10</v>
      </c>
      <c r="F183" s="69">
        <v>13.25</v>
      </c>
      <c r="G183" s="69">
        <v>19</v>
      </c>
      <c r="H183" s="78"/>
      <c r="I183" s="70">
        <f t="shared" si="19"/>
        <v>190</v>
      </c>
      <c r="J183" s="71">
        <v>0</v>
      </c>
      <c r="K183" s="73">
        <f t="shared" si="15"/>
        <v>190</v>
      </c>
      <c r="L183" s="90">
        <f t="shared" si="18"/>
        <v>132.5</v>
      </c>
      <c r="M183" s="72"/>
    </row>
    <row r="184" spans="1:13" x14ac:dyDescent="0.2">
      <c r="A184" s="89" t="s">
        <v>1425</v>
      </c>
      <c r="B184" s="67">
        <v>70296</v>
      </c>
      <c r="C184" s="67"/>
      <c r="D184" s="68" t="s">
        <v>1253</v>
      </c>
      <c r="E184" s="67">
        <v>10</v>
      </c>
      <c r="F184" s="69">
        <v>14</v>
      </c>
      <c r="G184" s="69">
        <v>18.25</v>
      </c>
      <c r="H184" s="78"/>
      <c r="I184" s="70">
        <f t="shared" si="19"/>
        <v>182.5</v>
      </c>
      <c r="J184" s="71">
        <v>0</v>
      </c>
      <c r="K184" s="73">
        <f t="shared" si="15"/>
        <v>182.5</v>
      </c>
      <c r="L184" s="90">
        <f t="shared" si="18"/>
        <v>140</v>
      </c>
      <c r="M184" s="72"/>
    </row>
    <row r="185" spans="1:13" x14ac:dyDescent="0.2">
      <c r="A185" s="89" t="s">
        <v>1425</v>
      </c>
      <c r="B185" s="67">
        <v>70073</v>
      </c>
      <c r="C185" s="67"/>
      <c r="D185" s="68" t="s">
        <v>1351</v>
      </c>
      <c r="E185" s="67">
        <v>20</v>
      </c>
      <c r="F185" s="69">
        <v>14.5</v>
      </c>
      <c r="G185" s="69">
        <v>20</v>
      </c>
      <c r="H185" s="78"/>
      <c r="I185" s="70">
        <f t="shared" si="19"/>
        <v>400</v>
      </c>
      <c r="J185" s="71">
        <v>0</v>
      </c>
      <c r="K185" s="73">
        <f t="shared" si="15"/>
        <v>400</v>
      </c>
      <c r="L185" s="90">
        <f t="shared" si="18"/>
        <v>290</v>
      </c>
      <c r="M185" s="72"/>
    </row>
    <row r="186" spans="1:13" x14ac:dyDescent="0.2">
      <c r="A186" s="89" t="s">
        <v>1425</v>
      </c>
      <c r="B186" s="67">
        <v>70069</v>
      </c>
      <c r="C186" s="67"/>
      <c r="D186" s="68" t="s">
        <v>1249</v>
      </c>
      <c r="E186" s="67">
        <v>10</v>
      </c>
      <c r="F186" s="69">
        <v>14.5</v>
      </c>
      <c r="G186" s="69">
        <v>20</v>
      </c>
      <c r="H186" s="78"/>
      <c r="I186" s="70">
        <f t="shared" si="19"/>
        <v>200</v>
      </c>
      <c r="J186" s="71">
        <v>0</v>
      </c>
      <c r="K186" s="73">
        <f t="shared" si="15"/>
        <v>200</v>
      </c>
      <c r="L186" s="90">
        <f t="shared" si="18"/>
        <v>145</v>
      </c>
      <c r="M186" s="72"/>
    </row>
    <row r="187" spans="1:13" x14ac:dyDescent="0.2">
      <c r="A187" s="89" t="s">
        <v>1425</v>
      </c>
      <c r="B187" s="67">
        <v>70173</v>
      </c>
      <c r="C187" s="67" t="s">
        <v>1443</v>
      </c>
      <c r="D187" s="68" t="s">
        <v>25</v>
      </c>
      <c r="E187" s="67">
        <v>7</v>
      </c>
      <c r="F187" s="69">
        <v>115.85</v>
      </c>
      <c r="G187" s="69">
        <v>280</v>
      </c>
      <c r="H187" s="78"/>
      <c r="I187" s="70">
        <f t="shared" si="19"/>
        <v>1960</v>
      </c>
      <c r="J187" s="71">
        <v>0</v>
      </c>
      <c r="K187" s="73">
        <f t="shared" si="15"/>
        <v>1960</v>
      </c>
      <c r="L187" s="90">
        <f t="shared" si="18"/>
        <v>810.94999999999993</v>
      </c>
      <c r="M187" s="72"/>
    </row>
    <row r="188" spans="1:13" x14ac:dyDescent="0.2">
      <c r="A188" s="89" t="s">
        <v>1425</v>
      </c>
      <c r="B188" s="67">
        <v>70176</v>
      </c>
      <c r="C188" s="67"/>
      <c r="D188" s="68" t="s">
        <v>26</v>
      </c>
      <c r="E188" s="67">
        <v>2</v>
      </c>
      <c r="F188" s="69">
        <v>167.8</v>
      </c>
      <c r="G188" s="69">
        <v>360</v>
      </c>
      <c r="H188" s="78"/>
      <c r="I188" s="70">
        <f t="shared" si="19"/>
        <v>720</v>
      </c>
      <c r="J188" s="71">
        <v>0</v>
      </c>
      <c r="K188" s="73">
        <f t="shared" si="15"/>
        <v>720</v>
      </c>
      <c r="L188" s="90">
        <f t="shared" si="18"/>
        <v>335.6</v>
      </c>
      <c r="M188" s="72"/>
    </row>
    <row r="189" spans="1:13" x14ac:dyDescent="0.2">
      <c r="A189" s="89" t="s">
        <v>1425</v>
      </c>
      <c r="B189" s="67">
        <v>70018</v>
      </c>
      <c r="C189" s="67" t="s">
        <v>1444</v>
      </c>
      <c r="D189" s="68" t="s">
        <v>1248</v>
      </c>
      <c r="E189" s="67">
        <v>20</v>
      </c>
      <c r="F189" s="69">
        <v>2</v>
      </c>
      <c r="G189" s="69">
        <v>5.25</v>
      </c>
      <c r="H189" s="78"/>
      <c r="I189" s="70">
        <f t="shared" si="19"/>
        <v>105</v>
      </c>
      <c r="J189" s="71">
        <v>0</v>
      </c>
      <c r="K189" s="73">
        <f t="shared" si="15"/>
        <v>105</v>
      </c>
      <c r="L189" s="90">
        <f t="shared" si="18"/>
        <v>40</v>
      </c>
      <c r="M189" s="72"/>
    </row>
    <row r="190" spans="1:13" x14ac:dyDescent="0.2">
      <c r="A190" s="89" t="s">
        <v>1425</v>
      </c>
      <c r="B190" s="67">
        <v>70192</v>
      </c>
      <c r="C190" s="67"/>
      <c r="D190" s="68" t="s">
        <v>1352</v>
      </c>
      <c r="E190" s="67">
        <v>5</v>
      </c>
      <c r="F190" s="69">
        <v>14.5</v>
      </c>
      <c r="G190" s="69">
        <v>20</v>
      </c>
      <c r="H190" s="78"/>
      <c r="I190" s="70">
        <f t="shared" si="19"/>
        <v>100</v>
      </c>
      <c r="J190" s="71">
        <v>0</v>
      </c>
      <c r="K190" s="73">
        <f t="shared" si="15"/>
        <v>100</v>
      </c>
      <c r="L190" s="90">
        <f t="shared" si="18"/>
        <v>72.5</v>
      </c>
      <c r="M190" s="72"/>
    </row>
    <row r="191" spans="1:13" x14ac:dyDescent="0.2">
      <c r="A191" s="89" t="s">
        <v>1425</v>
      </c>
      <c r="B191" s="67">
        <v>70069</v>
      </c>
      <c r="C191" s="67"/>
      <c r="D191" s="68" t="s">
        <v>1249</v>
      </c>
      <c r="E191" s="67">
        <v>10</v>
      </c>
      <c r="F191" s="69">
        <v>14.5</v>
      </c>
      <c r="G191" s="69">
        <v>20</v>
      </c>
      <c r="H191" s="78"/>
      <c r="I191" s="70">
        <f t="shared" si="19"/>
        <v>200</v>
      </c>
      <c r="J191" s="71">
        <v>0</v>
      </c>
      <c r="K191" s="73">
        <f t="shared" si="15"/>
        <v>200</v>
      </c>
      <c r="L191" s="90">
        <f t="shared" si="18"/>
        <v>145</v>
      </c>
      <c r="M191" s="72"/>
    </row>
    <row r="192" spans="1:13" x14ac:dyDescent="0.2">
      <c r="A192" s="89" t="s">
        <v>1425</v>
      </c>
      <c r="B192" s="67">
        <v>70273</v>
      </c>
      <c r="C192" s="67"/>
      <c r="D192" s="68" t="s">
        <v>1361</v>
      </c>
      <c r="E192" s="67">
        <v>2</v>
      </c>
      <c r="F192" s="69">
        <v>95</v>
      </c>
      <c r="G192" s="69">
        <v>124</v>
      </c>
      <c r="H192" s="78"/>
      <c r="I192" s="70">
        <f t="shared" si="19"/>
        <v>248</v>
      </c>
      <c r="J192" s="71">
        <v>0</v>
      </c>
      <c r="K192" s="73">
        <f t="shared" si="15"/>
        <v>248</v>
      </c>
      <c r="L192" s="90">
        <f t="shared" si="18"/>
        <v>190</v>
      </c>
      <c r="M192" s="72"/>
    </row>
    <row r="193" spans="1:13" x14ac:dyDescent="0.2">
      <c r="A193" s="89" t="s">
        <v>1425</v>
      </c>
      <c r="B193" s="67">
        <v>70154</v>
      </c>
      <c r="C193" s="67"/>
      <c r="D193" s="68" t="s">
        <v>1445</v>
      </c>
      <c r="E193" s="67">
        <v>2</v>
      </c>
      <c r="F193" s="69">
        <v>450</v>
      </c>
      <c r="G193" s="69">
        <v>563</v>
      </c>
      <c r="H193" s="78"/>
      <c r="I193" s="70">
        <f t="shared" si="19"/>
        <v>1126</v>
      </c>
      <c r="J193" s="71">
        <v>0</v>
      </c>
      <c r="K193" s="73">
        <f t="shared" si="15"/>
        <v>1126</v>
      </c>
      <c r="L193" s="90">
        <f t="shared" si="18"/>
        <v>900</v>
      </c>
      <c r="M193" s="72"/>
    </row>
    <row r="194" spans="1:13" x14ac:dyDescent="0.2">
      <c r="A194" s="89" t="s">
        <v>1425</v>
      </c>
      <c r="B194" s="67">
        <v>70123</v>
      </c>
      <c r="C194" s="67" t="s">
        <v>1446</v>
      </c>
      <c r="D194" s="68" t="s">
        <v>21</v>
      </c>
      <c r="E194" s="67">
        <v>10</v>
      </c>
      <c r="F194" s="69">
        <v>148.9</v>
      </c>
      <c r="G194" s="69">
        <v>237</v>
      </c>
      <c r="H194" s="78"/>
      <c r="I194" s="70">
        <f t="shared" si="19"/>
        <v>2370</v>
      </c>
      <c r="J194" s="71">
        <v>0</v>
      </c>
      <c r="K194" s="73">
        <f t="shared" si="15"/>
        <v>2370</v>
      </c>
      <c r="L194" s="90">
        <f t="shared" si="18"/>
        <v>1489</v>
      </c>
      <c r="M194" s="72"/>
    </row>
    <row r="195" spans="1:13" x14ac:dyDescent="0.2">
      <c r="A195" s="89" t="s">
        <v>1425</v>
      </c>
      <c r="B195" s="67">
        <v>70124</v>
      </c>
      <c r="C195" s="67"/>
      <c r="D195" s="68" t="s">
        <v>22</v>
      </c>
      <c r="E195" s="67">
        <v>20</v>
      </c>
      <c r="F195" s="69">
        <v>126</v>
      </c>
      <c r="G195" s="69">
        <v>201</v>
      </c>
      <c r="H195" s="78"/>
      <c r="I195" s="70">
        <f t="shared" si="19"/>
        <v>4020</v>
      </c>
      <c r="J195" s="71">
        <v>0</v>
      </c>
      <c r="K195" s="73">
        <f t="shared" si="15"/>
        <v>4020</v>
      </c>
      <c r="L195" s="90">
        <f t="shared" si="18"/>
        <v>2520</v>
      </c>
      <c r="M195" s="72"/>
    </row>
    <row r="196" spans="1:13" s="75" customFormat="1" ht="13.5" thickBot="1" x14ac:dyDescent="0.25">
      <c r="A196" s="257" t="s">
        <v>0</v>
      </c>
      <c r="B196" s="258"/>
      <c r="C196" s="258"/>
      <c r="D196" s="259"/>
      <c r="E196" s="74">
        <f t="shared" ref="E196:L196" si="20">SUM(E6:E195)</f>
        <v>13423</v>
      </c>
      <c r="F196" s="74">
        <f t="shared" si="20"/>
        <v>13488.009999999998</v>
      </c>
      <c r="G196" s="74">
        <f t="shared" si="20"/>
        <v>23958.7</v>
      </c>
      <c r="H196" s="74">
        <f t="shared" si="20"/>
        <v>33107</v>
      </c>
      <c r="I196" s="74">
        <f t="shared" si="20"/>
        <v>164410.25</v>
      </c>
      <c r="J196" s="74">
        <f t="shared" si="20"/>
        <v>10611.55</v>
      </c>
      <c r="K196" s="74">
        <f t="shared" si="20"/>
        <v>186905.7</v>
      </c>
      <c r="L196" s="104">
        <f t="shared" si="20"/>
        <v>116718.76000000001</v>
      </c>
      <c r="M196" s="61"/>
    </row>
    <row r="197" spans="1:13" x14ac:dyDescent="0.2">
      <c r="G197" s="79"/>
      <c r="H197" s="79"/>
      <c r="I197" s="79"/>
      <c r="J197" s="79"/>
      <c r="K197" s="79"/>
      <c r="L197" s="61"/>
      <c r="M197" s="61"/>
    </row>
    <row r="198" spans="1:13" x14ac:dyDescent="0.2">
      <c r="D198" s="102"/>
      <c r="E198" s="80"/>
      <c r="F198" s="103"/>
      <c r="G198" s="79"/>
      <c r="H198" s="83"/>
      <c r="I198" s="83"/>
      <c r="J198" s="79" t="s">
        <v>16</v>
      </c>
      <c r="K198" s="79">
        <v>22495.45</v>
      </c>
      <c r="L198" s="72"/>
    </row>
    <row r="199" spans="1:13" x14ac:dyDescent="0.2">
      <c r="D199" s="102"/>
      <c r="E199" s="80"/>
      <c r="F199" s="81"/>
      <c r="G199" s="79"/>
      <c r="H199" s="83"/>
      <c r="I199" s="79"/>
      <c r="J199" s="79" t="s">
        <v>28</v>
      </c>
      <c r="K199" s="79">
        <v>164410.25</v>
      </c>
    </row>
    <row r="200" spans="1:13" x14ac:dyDescent="0.2">
      <c r="A200" s="84"/>
      <c r="C200" s="85"/>
      <c r="D200" s="86"/>
      <c r="E200" s="85"/>
      <c r="F200" s="85"/>
      <c r="G200" s="79"/>
      <c r="H200" s="79"/>
      <c r="I200" s="85"/>
      <c r="J200" s="85" t="s">
        <v>0</v>
      </c>
      <c r="K200" s="85">
        <f>SUM(K197:K199)</f>
        <v>186905.7</v>
      </c>
      <c r="L200" s="61"/>
      <c r="M200" s="75"/>
    </row>
    <row r="201" spans="1:13" x14ac:dyDescent="0.2">
      <c r="D201" s="102"/>
      <c r="E201" s="80"/>
      <c r="F201" s="103"/>
      <c r="G201" s="82"/>
      <c r="H201" s="83"/>
      <c r="I201" s="79"/>
      <c r="J201" s="79"/>
      <c r="K201" s="79">
        <f>K196-K200</f>
        <v>0</v>
      </c>
      <c r="L201" s="61"/>
    </row>
    <row r="202" spans="1:13" x14ac:dyDescent="0.2">
      <c r="D202" s="102"/>
      <c r="E202" s="80"/>
      <c r="F202" s="81"/>
      <c r="G202" s="81"/>
      <c r="H202" s="83"/>
      <c r="I202" s="79"/>
      <c r="J202" s="79"/>
      <c r="K202" s="79"/>
    </row>
    <row r="203" spans="1:13" x14ac:dyDescent="0.2">
      <c r="D203" s="102"/>
      <c r="E203" s="80"/>
      <c r="F203" s="103"/>
      <c r="G203" s="81"/>
      <c r="H203" s="83"/>
      <c r="I203" s="79"/>
      <c r="J203" s="79"/>
      <c r="K203" s="79"/>
    </row>
    <row r="204" spans="1:13" x14ac:dyDescent="0.2">
      <c r="D204" s="102"/>
      <c r="E204" s="80"/>
      <c r="F204" s="103"/>
      <c r="G204" s="82"/>
      <c r="H204" s="83"/>
      <c r="I204" s="79"/>
      <c r="J204" s="79"/>
      <c r="K204" s="79"/>
    </row>
    <row r="205" spans="1:13" x14ac:dyDescent="0.2">
      <c r="D205" s="102"/>
      <c r="E205" s="80"/>
      <c r="F205" s="103"/>
      <c r="G205" s="82"/>
      <c r="H205" s="83"/>
      <c r="I205" s="79"/>
      <c r="J205" s="79"/>
      <c r="K205" s="79"/>
    </row>
    <row r="206" spans="1:13" x14ac:dyDescent="0.2">
      <c r="D206" s="102"/>
      <c r="E206" s="80"/>
      <c r="F206" s="103"/>
      <c r="G206" s="82"/>
      <c r="H206" s="83"/>
      <c r="I206" s="79"/>
      <c r="J206" s="79"/>
      <c r="K206" s="79"/>
    </row>
    <row r="207" spans="1:13" x14ac:dyDescent="0.2">
      <c r="D207" s="102"/>
      <c r="E207" s="80"/>
      <c r="F207" s="81"/>
      <c r="G207" s="81"/>
      <c r="H207" s="83"/>
      <c r="I207" s="79"/>
      <c r="J207" s="79"/>
      <c r="K207" s="79"/>
    </row>
    <row r="208" spans="1:13" x14ac:dyDescent="0.2">
      <c r="D208" s="102"/>
      <c r="E208" s="80"/>
      <c r="F208" s="81"/>
      <c r="G208" s="81"/>
      <c r="H208" s="83"/>
      <c r="I208" s="79"/>
      <c r="J208" s="79"/>
      <c r="K208" s="79"/>
    </row>
    <row r="209" spans="4:11" x14ac:dyDescent="0.2">
      <c r="D209" s="102"/>
      <c r="E209" s="80"/>
      <c r="F209" s="103"/>
      <c r="G209" s="82"/>
      <c r="H209" s="83"/>
      <c r="I209" s="79"/>
      <c r="J209" s="79"/>
      <c r="K209" s="79"/>
    </row>
    <row r="210" spans="4:11" x14ac:dyDescent="0.2">
      <c r="D210" s="102"/>
      <c r="E210" s="80"/>
      <c r="F210" s="103"/>
      <c r="G210" s="82"/>
      <c r="H210" s="83"/>
      <c r="I210" s="79"/>
      <c r="J210" s="79"/>
      <c r="K210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196:D196"/>
  </mergeCells>
  <pageMargins left="0.25" right="0.25" top="0.75" bottom="0.75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14C5-1DCC-4A17-B3E5-22CF74A39338}">
  <sheetPr>
    <tabColor rgb="FFFFFFCC"/>
  </sheetPr>
  <dimension ref="A1:M190"/>
  <sheetViews>
    <sheetView showGridLines="0" zoomScaleNormal="100" workbookViewId="0">
      <pane ySplit="5" topLeftCell="A159" activePane="bottomLeft" state="frozen"/>
      <selection activeCell="B10" sqref="B10"/>
      <selection pane="bottomLeft" activeCell="A4" sqref="A4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1594</v>
      </c>
      <c r="E3" s="58">
        <f>+E176</f>
        <v>46170</v>
      </c>
      <c r="H3" s="59">
        <f>H176</f>
        <v>9472.25</v>
      </c>
      <c r="I3" s="59">
        <f>I176</f>
        <v>544332.75</v>
      </c>
      <c r="J3" s="59">
        <f>J176</f>
        <v>50.25</v>
      </c>
      <c r="K3" s="60">
        <f>K176</f>
        <v>553754.75</v>
      </c>
      <c r="L3" s="61"/>
    </row>
    <row r="4" spans="1:13" ht="13.5" thickBot="1" x14ac:dyDescent="0.25">
      <c r="A4" s="98"/>
    </row>
    <row r="5" spans="1:13" s="66" customFormat="1" ht="59.2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x14ac:dyDescent="0.2">
      <c r="A6" s="100" t="s">
        <v>1448</v>
      </c>
      <c r="B6" s="88" t="s">
        <v>1449</v>
      </c>
      <c r="C6" s="88" t="s">
        <v>1450</v>
      </c>
      <c r="D6" s="87" t="s">
        <v>1451</v>
      </c>
      <c r="E6" s="88">
        <v>2500</v>
      </c>
      <c r="F6" s="78">
        <v>22</v>
      </c>
      <c r="G6" s="78">
        <v>50</v>
      </c>
      <c r="H6" s="70"/>
      <c r="I6" s="70">
        <f>E6*G6</f>
        <v>125000</v>
      </c>
      <c r="J6" s="71">
        <v>0</v>
      </c>
      <c r="K6" s="71">
        <f>H6+I6-J6</f>
        <v>125000</v>
      </c>
      <c r="L6" s="101">
        <f>E6*F6</f>
        <v>55000</v>
      </c>
      <c r="M6" s="72"/>
    </row>
    <row r="7" spans="1:13" x14ac:dyDescent="0.2">
      <c r="A7" s="89" t="s">
        <v>1452</v>
      </c>
      <c r="B7" s="67" t="s">
        <v>1453</v>
      </c>
      <c r="C7" s="67" t="s">
        <v>1454</v>
      </c>
      <c r="D7" s="68" t="s">
        <v>26</v>
      </c>
      <c r="E7" s="67">
        <v>2</v>
      </c>
      <c r="F7" s="69">
        <v>167.8</v>
      </c>
      <c r="G7" s="69">
        <v>360</v>
      </c>
      <c r="H7" s="70"/>
      <c r="I7" s="70">
        <f t="shared" ref="I7:I8" si="0">E7*G7</f>
        <v>720</v>
      </c>
      <c r="J7" s="71">
        <v>0</v>
      </c>
      <c r="K7" s="73">
        <f t="shared" ref="K7:K70" si="1">H7+I7-J7</f>
        <v>720</v>
      </c>
      <c r="L7" s="90">
        <f>E7*F7</f>
        <v>335.6</v>
      </c>
      <c r="M7" s="72"/>
    </row>
    <row r="8" spans="1:13" x14ac:dyDescent="0.2">
      <c r="A8" s="89" t="s">
        <v>1452</v>
      </c>
      <c r="B8" s="67" t="s">
        <v>1455</v>
      </c>
      <c r="C8" s="67"/>
      <c r="D8" s="68" t="s">
        <v>25</v>
      </c>
      <c r="E8" s="67">
        <v>2</v>
      </c>
      <c r="F8" s="69">
        <v>115.85</v>
      </c>
      <c r="G8" s="69">
        <v>280</v>
      </c>
      <c r="H8" s="70"/>
      <c r="I8" s="70">
        <f t="shared" si="0"/>
        <v>560</v>
      </c>
      <c r="J8" s="71">
        <v>0</v>
      </c>
      <c r="K8" s="73">
        <f t="shared" si="1"/>
        <v>560</v>
      </c>
      <c r="L8" s="90">
        <f>E8*F8</f>
        <v>231.7</v>
      </c>
      <c r="M8" s="72"/>
    </row>
    <row r="9" spans="1:13" x14ac:dyDescent="0.2">
      <c r="A9" s="89" t="s">
        <v>1452</v>
      </c>
      <c r="B9" s="67" t="s">
        <v>1456</v>
      </c>
      <c r="C9" s="67" t="s">
        <v>1457</v>
      </c>
      <c r="D9" s="68" t="s">
        <v>21</v>
      </c>
      <c r="E9" s="67">
        <v>3</v>
      </c>
      <c r="F9" s="69">
        <v>148.9</v>
      </c>
      <c r="G9" s="69">
        <v>237</v>
      </c>
      <c r="H9" s="70"/>
      <c r="I9" s="70">
        <f>E9*G9</f>
        <v>711</v>
      </c>
      <c r="J9" s="71">
        <v>0</v>
      </c>
      <c r="K9" s="73">
        <f t="shared" si="1"/>
        <v>711</v>
      </c>
      <c r="L9" s="90">
        <f>E9*F9</f>
        <v>446.70000000000005</v>
      </c>
      <c r="M9" s="72"/>
    </row>
    <row r="10" spans="1:13" x14ac:dyDescent="0.2">
      <c r="A10" s="89" t="s">
        <v>1452</v>
      </c>
      <c r="B10" s="67" t="s">
        <v>1458</v>
      </c>
      <c r="C10" s="67"/>
      <c r="D10" s="68" t="s">
        <v>22</v>
      </c>
      <c r="E10" s="67">
        <v>3</v>
      </c>
      <c r="F10" s="69">
        <v>126</v>
      </c>
      <c r="G10" s="69">
        <v>201</v>
      </c>
      <c r="H10" s="70"/>
      <c r="I10" s="70">
        <f t="shared" ref="I10:I15" si="2">E10*G10</f>
        <v>603</v>
      </c>
      <c r="J10" s="71">
        <v>0</v>
      </c>
      <c r="K10" s="73">
        <f t="shared" si="1"/>
        <v>603</v>
      </c>
      <c r="L10" s="90">
        <f t="shared" ref="L10:L73" si="3">E10*F10</f>
        <v>378</v>
      </c>
      <c r="M10" s="72"/>
    </row>
    <row r="11" spans="1:13" x14ac:dyDescent="0.2">
      <c r="A11" s="89" t="s">
        <v>1452</v>
      </c>
      <c r="B11" s="67" t="s">
        <v>1459</v>
      </c>
      <c r="C11" s="67"/>
      <c r="D11" s="68" t="s">
        <v>1259</v>
      </c>
      <c r="E11" s="67">
        <v>2</v>
      </c>
      <c r="F11" s="69">
        <v>40</v>
      </c>
      <c r="G11" s="69">
        <v>52</v>
      </c>
      <c r="H11" s="70"/>
      <c r="I11" s="70">
        <f t="shared" si="2"/>
        <v>104</v>
      </c>
      <c r="J11" s="71">
        <v>0</v>
      </c>
      <c r="K11" s="73">
        <f t="shared" si="1"/>
        <v>104</v>
      </c>
      <c r="L11" s="90">
        <f t="shared" si="3"/>
        <v>80</v>
      </c>
      <c r="M11" s="72"/>
    </row>
    <row r="12" spans="1:13" x14ac:dyDescent="0.2">
      <c r="A12" s="89" t="s">
        <v>1452</v>
      </c>
      <c r="B12" s="67" t="s">
        <v>1460</v>
      </c>
      <c r="C12" s="67"/>
      <c r="D12" s="68" t="s">
        <v>24</v>
      </c>
      <c r="E12" s="67">
        <v>50</v>
      </c>
      <c r="F12" s="69">
        <v>2.7</v>
      </c>
      <c r="G12" s="69">
        <v>8</v>
      </c>
      <c r="H12" s="70"/>
      <c r="I12" s="70">
        <f t="shared" si="2"/>
        <v>400</v>
      </c>
      <c r="J12" s="71">
        <v>0</v>
      </c>
      <c r="K12" s="73">
        <f t="shared" si="1"/>
        <v>400</v>
      </c>
      <c r="L12" s="90">
        <f t="shared" si="3"/>
        <v>135</v>
      </c>
      <c r="M12" s="72"/>
    </row>
    <row r="13" spans="1:13" x14ac:dyDescent="0.2">
      <c r="A13" s="89" t="s">
        <v>1452</v>
      </c>
      <c r="B13" s="67" t="s">
        <v>1461</v>
      </c>
      <c r="C13" s="67"/>
      <c r="D13" s="68" t="s">
        <v>1399</v>
      </c>
      <c r="E13" s="67">
        <v>25</v>
      </c>
      <c r="F13" s="69">
        <v>3.1</v>
      </c>
      <c r="G13" s="69">
        <v>5</v>
      </c>
      <c r="H13" s="70"/>
      <c r="I13" s="70">
        <f t="shared" si="2"/>
        <v>125</v>
      </c>
      <c r="J13" s="71">
        <v>0</v>
      </c>
      <c r="K13" s="73">
        <f t="shared" si="1"/>
        <v>125</v>
      </c>
      <c r="L13" s="90">
        <f t="shared" si="3"/>
        <v>77.5</v>
      </c>
      <c r="M13" s="72"/>
    </row>
    <row r="14" spans="1:13" x14ac:dyDescent="0.2">
      <c r="A14" s="89" t="s">
        <v>1452</v>
      </c>
      <c r="B14" s="67" t="s">
        <v>1462</v>
      </c>
      <c r="C14" s="67"/>
      <c r="D14" s="68" t="s">
        <v>27</v>
      </c>
      <c r="E14" s="67">
        <v>10</v>
      </c>
      <c r="F14" s="69">
        <v>8</v>
      </c>
      <c r="G14" s="69">
        <v>10</v>
      </c>
      <c r="H14" s="70"/>
      <c r="I14" s="70">
        <f t="shared" si="2"/>
        <v>100</v>
      </c>
      <c r="J14" s="71">
        <v>0</v>
      </c>
      <c r="K14" s="73">
        <f t="shared" si="1"/>
        <v>100</v>
      </c>
      <c r="L14" s="90">
        <f t="shared" si="3"/>
        <v>80</v>
      </c>
      <c r="M14" s="72"/>
    </row>
    <row r="15" spans="1:13" x14ac:dyDescent="0.2">
      <c r="A15" s="89" t="s">
        <v>1452</v>
      </c>
      <c r="B15" s="67" t="s">
        <v>1463</v>
      </c>
      <c r="C15" s="67"/>
      <c r="D15" s="68" t="s">
        <v>1342</v>
      </c>
      <c r="E15" s="67">
        <v>1</v>
      </c>
      <c r="F15" s="69">
        <v>23.5</v>
      </c>
      <c r="G15" s="69">
        <v>39</v>
      </c>
      <c r="H15" s="70"/>
      <c r="I15" s="70">
        <f t="shared" si="2"/>
        <v>39</v>
      </c>
      <c r="J15" s="71">
        <v>0</v>
      </c>
      <c r="K15" s="73">
        <f t="shared" si="1"/>
        <v>39</v>
      </c>
      <c r="L15" s="90">
        <f t="shared" si="3"/>
        <v>23.5</v>
      </c>
      <c r="M15" s="72"/>
    </row>
    <row r="16" spans="1:13" x14ac:dyDescent="0.2">
      <c r="A16" s="89" t="s">
        <v>1464</v>
      </c>
      <c r="B16" s="67" t="s">
        <v>1453</v>
      </c>
      <c r="C16" s="67" t="s">
        <v>1465</v>
      </c>
      <c r="D16" s="68" t="s">
        <v>26</v>
      </c>
      <c r="E16" s="67">
        <v>6</v>
      </c>
      <c r="F16" s="69">
        <v>167.8</v>
      </c>
      <c r="G16" s="69">
        <v>360</v>
      </c>
      <c r="H16" s="70">
        <f t="shared" ref="H16:H28" si="4">E16*G16</f>
        <v>2160</v>
      </c>
      <c r="I16" s="70"/>
      <c r="J16" s="71">
        <v>0</v>
      </c>
      <c r="K16" s="73">
        <f t="shared" si="1"/>
        <v>2160</v>
      </c>
      <c r="L16" s="90">
        <f t="shared" si="3"/>
        <v>1006.8000000000001</v>
      </c>
      <c r="M16" s="72"/>
    </row>
    <row r="17" spans="1:13" x14ac:dyDescent="0.2">
      <c r="A17" s="89" t="s">
        <v>1464</v>
      </c>
      <c r="B17" s="67" t="s">
        <v>1466</v>
      </c>
      <c r="C17" s="67" t="s">
        <v>1467</v>
      </c>
      <c r="D17" s="68" t="s">
        <v>1260</v>
      </c>
      <c r="E17" s="67">
        <v>1</v>
      </c>
      <c r="F17" s="69">
        <v>60</v>
      </c>
      <c r="G17" s="69">
        <v>78</v>
      </c>
      <c r="H17" s="70">
        <f t="shared" si="4"/>
        <v>78</v>
      </c>
      <c r="I17" s="70"/>
      <c r="J17" s="71">
        <v>0</v>
      </c>
      <c r="K17" s="73">
        <f t="shared" si="1"/>
        <v>78</v>
      </c>
      <c r="L17" s="90">
        <f t="shared" si="3"/>
        <v>60</v>
      </c>
      <c r="M17" s="72"/>
    </row>
    <row r="18" spans="1:13" x14ac:dyDescent="0.2">
      <c r="A18" s="89" t="s">
        <v>1464</v>
      </c>
      <c r="B18" s="67" t="s">
        <v>1468</v>
      </c>
      <c r="C18" s="67"/>
      <c r="D18" s="68" t="s">
        <v>1251</v>
      </c>
      <c r="E18" s="67">
        <v>1</v>
      </c>
      <c r="F18" s="69">
        <v>60</v>
      </c>
      <c r="G18" s="69">
        <v>78</v>
      </c>
      <c r="H18" s="70">
        <f t="shared" si="4"/>
        <v>78</v>
      </c>
      <c r="I18" s="70"/>
      <c r="J18" s="71">
        <v>0</v>
      </c>
      <c r="K18" s="73">
        <f t="shared" si="1"/>
        <v>78</v>
      </c>
      <c r="L18" s="90">
        <f t="shared" si="3"/>
        <v>60</v>
      </c>
      <c r="M18" s="72"/>
    </row>
    <row r="19" spans="1:13" x14ac:dyDescent="0.2">
      <c r="A19" s="89" t="s">
        <v>1464</v>
      </c>
      <c r="B19" s="67" t="s">
        <v>1469</v>
      </c>
      <c r="C19" s="67"/>
      <c r="D19" s="68" t="s">
        <v>1247</v>
      </c>
      <c r="E19" s="67">
        <v>1</v>
      </c>
      <c r="F19" s="69">
        <v>35.75</v>
      </c>
      <c r="G19" s="69">
        <v>47</v>
      </c>
      <c r="H19" s="70">
        <f t="shared" si="4"/>
        <v>47</v>
      </c>
      <c r="I19" s="70"/>
      <c r="J19" s="71">
        <v>0</v>
      </c>
      <c r="K19" s="73">
        <f t="shared" si="1"/>
        <v>47</v>
      </c>
      <c r="L19" s="90">
        <f t="shared" si="3"/>
        <v>35.75</v>
      </c>
      <c r="M19" s="72"/>
    </row>
    <row r="20" spans="1:13" x14ac:dyDescent="0.2">
      <c r="A20" s="89" t="s">
        <v>1464</v>
      </c>
      <c r="B20" s="67" t="s">
        <v>1470</v>
      </c>
      <c r="C20" s="67"/>
      <c r="D20" s="68" t="s">
        <v>1336</v>
      </c>
      <c r="E20" s="67">
        <v>2</v>
      </c>
      <c r="F20" s="69">
        <v>9</v>
      </c>
      <c r="G20" s="69">
        <v>12</v>
      </c>
      <c r="H20" s="70">
        <f t="shared" si="4"/>
        <v>24</v>
      </c>
      <c r="I20" s="70"/>
      <c r="J20" s="71">
        <v>0</v>
      </c>
      <c r="K20" s="73">
        <f t="shared" si="1"/>
        <v>24</v>
      </c>
      <c r="L20" s="90">
        <f t="shared" si="3"/>
        <v>18</v>
      </c>
      <c r="M20" s="72"/>
    </row>
    <row r="21" spans="1:13" x14ac:dyDescent="0.2">
      <c r="A21" s="89" t="s">
        <v>1471</v>
      </c>
      <c r="B21" s="67" t="s">
        <v>1472</v>
      </c>
      <c r="C21" s="67" t="s">
        <v>1473</v>
      </c>
      <c r="D21" s="68" t="s">
        <v>1398</v>
      </c>
      <c r="E21" s="67">
        <v>5</v>
      </c>
      <c r="F21" s="69">
        <v>147.69999999999999</v>
      </c>
      <c r="G21" s="69">
        <v>207</v>
      </c>
      <c r="H21" s="70">
        <f t="shared" si="4"/>
        <v>1035</v>
      </c>
      <c r="I21" s="70"/>
      <c r="J21" s="71">
        <v>0</v>
      </c>
      <c r="K21" s="73">
        <f t="shared" si="1"/>
        <v>1035</v>
      </c>
      <c r="L21" s="90">
        <f t="shared" si="3"/>
        <v>738.5</v>
      </c>
      <c r="M21" s="72"/>
    </row>
    <row r="22" spans="1:13" x14ac:dyDescent="0.2">
      <c r="A22" s="89" t="s">
        <v>1471</v>
      </c>
      <c r="B22" s="67" t="s">
        <v>1456</v>
      </c>
      <c r="C22" s="67"/>
      <c r="D22" s="68" t="s">
        <v>21</v>
      </c>
      <c r="E22" s="67">
        <v>5</v>
      </c>
      <c r="F22" s="69">
        <v>148.9</v>
      </c>
      <c r="G22" s="69">
        <v>237</v>
      </c>
      <c r="H22" s="70">
        <f t="shared" si="4"/>
        <v>1185</v>
      </c>
      <c r="I22" s="70"/>
      <c r="J22" s="71">
        <v>0</v>
      </c>
      <c r="K22" s="73">
        <f t="shared" si="1"/>
        <v>1185</v>
      </c>
      <c r="L22" s="90">
        <f t="shared" si="3"/>
        <v>744.5</v>
      </c>
      <c r="M22" s="72"/>
    </row>
    <row r="23" spans="1:13" x14ac:dyDescent="0.2">
      <c r="A23" s="89" t="s">
        <v>1471</v>
      </c>
      <c r="B23" s="67" t="s">
        <v>1458</v>
      </c>
      <c r="C23" s="67"/>
      <c r="D23" s="68" t="s">
        <v>22</v>
      </c>
      <c r="E23" s="67">
        <v>5</v>
      </c>
      <c r="F23" s="69">
        <v>126</v>
      </c>
      <c r="G23" s="69">
        <v>201</v>
      </c>
      <c r="H23" s="70">
        <f t="shared" si="4"/>
        <v>1005</v>
      </c>
      <c r="I23" s="70"/>
      <c r="J23" s="71">
        <v>0</v>
      </c>
      <c r="K23" s="73">
        <f t="shared" si="1"/>
        <v>1005</v>
      </c>
      <c r="L23" s="90">
        <f t="shared" si="3"/>
        <v>630</v>
      </c>
      <c r="M23" s="72"/>
    </row>
    <row r="24" spans="1:13" x14ac:dyDescent="0.2">
      <c r="A24" s="89" t="s">
        <v>1471</v>
      </c>
      <c r="B24" s="67" t="s">
        <v>1474</v>
      </c>
      <c r="C24" s="67"/>
      <c r="D24" s="68" t="s">
        <v>23</v>
      </c>
      <c r="E24" s="67">
        <v>3</v>
      </c>
      <c r="F24" s="69">
        <v>99.3</v>
      </c>
      <c r="G24" s="69">
        <v>175</v>
      </c>
      <c r="H24" s="70">
        <f t="shared" si="4"/>
        <v>525</v>
      </c>
      <c r="I24" s="70"/>
      <c r="J24" s="71">
        <v>0</v>
      </c>
      <c r="K24" s="73">
        <f t="shared" si="1"/>
        <v>525</v>
      </c>
      <c r="L24" s="90">
        <f t="shared" si="3"/>
        <v>297.89999999999998</v>
      </c>
      <c r="M24" s="72"/>
    </row>
    <row r="25" spans="1:13" x14ac:dyDescent="0.2">
      <c r="A25" s="89" t="s">
        <v>1471</v>
      </c>
      <c r="B25" s="67" t="s">
        <v>1475</v>
      </c>
      <c r="C25" s="67"/>
      <c r="D25" s="68" t="s">
        <v>20</v>
      </c>
      <c r="E25" s="67">
        <v>3</v>
      </c>
      <c r="F25" s="69">
        <v>84</v>
      </c>
      <c r="G25" s="69">
        <v>157</v>
      </c>
      <c r="H25" s="70">
        <f t="shared" si="4"/>
        <v>471</v>
      </c>
      <c r="I25" s="70"/>
      <c r="J25" s="71">
        <v>0</v>
      </c>
      <c r="K25" s="73">
        <f t="shared" si="1"/>
        <v>471</v>
      </c>
      <c r="L25" s="90">
        <f t="shared" si="3"/>
        <v>252</v>
      </c>
      <c r="M25" s="72"/>
    </row>
    <row r="26" spans="1:13" x14ac:dyDescent="0.2">
      <c r="A26" s="89" t="s">
        <v>1471</v>
      </c>
      <c r="B26" s="67" t="s">
        <v>1476</v>
      </c>
      <c r="C26" s="67" t="s">
        <v>1477</v>
      </c>
      <c r="D26" s="68" t="s">
        <v>1478</v>
      </c>
      <c r="E26" s="67">
        <v>1</v>
      </c>
      <c r="F26" s="69">
        <v>130</v>
      </c>
      <c r="G26" s="69">
        <v>169</v>
      </c>
      <c r="H26" s="70">
        <f t="shared" si="4"/>
        <v>169</v>
      </c>
      <c r="I26" s="70"/>
      <c r="J26" s="71">
        <v>0</v>
      </c>
      <c r="K26" s="73">
        <f t="shared" si="1"/>
        <v>169</v>
      </c>
      <c r="L26" s="90">
        <f t="shared" si="3"/>
        <v>130</v>
      </c>
      <c r="M26" s="72"/>
    </row>
    <row r="27" spans="1:13" x14ac:dyDescent="0.2">
      <c r="A27" s="89" t="s">
        <v>1471</v>
      </c>
      <c r="B27" s="67" t="s">
        <v>1479</v>
      </c>
      <c r="C27" s="67"/>
      <c r="D27" s="68" t="s">
        <v>1480</v>
      </c>
      <c r="E27" s="67">
        <v>1</v>
      </c>
      <c r="F27" s="69">
        <v>20</v>
      </c>
      <c r="G27" s="69">
        <v>26</v>
      </c>
      <c r="H27" s="70">
        <f t="shared" si="4"/>
        <v>26</v>
      </c>
      <c r="I27" s="70"/>
      <c r="J27" s="71">
        <v>0</v>
      </c>
      <c r="K27" s="73">
        <f t="shared" si="1"/>
        <v>26</v>
      </c>
      <c r="L27" s="90">
        <f t="shared" si="3"/>
        <v>20</v>
      </c>
      <c r="M27" s="72"/>
    </row>
    <row r="28" spans="1:13" x14ac:dyDescent="0.2">
      <c r="A28" s="89" t="s">
        <v>1481</v>
      </c>
      <c r="B28" s="67" t="s">
        <v>1456</v>
      </c>
      <c r="C28" s="67" t="s">
        <v>1482</v>
      </c>
      <c r="D28" s="68" t="s">
        <v>21</v>
      </c>
      <c r="E28" s="67">
        <v>1</v>
      </c>
      <c r="F28" s="69">
        <v>148.9</v>
      </c>
      <c r="G28" s="69">
        <v>237</v>
      </c>
      <c r="H28" s="70">
        <f t="shared" si="4"/>
        <v>237</v>
      </c>
      <c r="I28" s="70"/>
      <c r="J28" s="71">
        <v>0</v>
      </c>
      <c r="K28" s="73">
        <f t="shared" si="1"/>
        <v>237</v>
      </c>
      <c r="L28" s="90">
        <f t="shared" si="3"/>
        <v>148.9</v>
      </c>
      <c r="M28" s="72"/>
    </row>
    <row r="29" spans="1:13" x14ac:dyDescent="0.2">
      <c r="A29" s="89" t="s">
        <v>1481</v>
      </c>
      <c r="B29" s="67" t="s">
        <v>1456</v>
      </c>
      <c r="C29" s="67" t="s">
        <v>1483</v>
      </c>
      <c r="D29" s="68" t="s">
        <v>21</v>
      </c>
      <c r="E29" s="67">
        <v>1</v>
      </c>
      <c r="F29" s="69">
        <v>148.9</v>
      </c>
      <c r="G29" s="69">
        <v>237</v>
      </c>
      <c r="H29" s="70"/>
      <c r="I29" s="70">
        <f>E29*G29</f>
        <v>237</v>
      </c>
      <c r="J29" s="71">
        <v>0</v>
      </c>
      <c r="K29" s="73">
        <f t="shared" si="1"/>
        <v>237</v>
      </c>
      <c r="L29" s="90">
        <f t="shared" si="3"/>
        <v>148.9</v>
      </c>
      <c r="M29" s="72"/>
    </row>
    <row r="30" spans="1:13" x14ac:dyDescent="0.2">
      <c r="A30" s="89" t="s">
        <v>1481</v>
      </c>
      <c r="B30" s="67" t="s">
        <v>1458</v>
      </c>
      <c r="C30" s="67"/>
      <c r="D30" s="68" t="s">
        <v>22</v>
      </c>
      <c r="E30" s="67">
        <v>1</v>
      </c>
      <c r="F30" s="69">
        <v>126</v>
      </c>
      <c r="G30" s="69">
        <v>201</v>
      </c>
      <c r="H30" s="70"/>
      <c r="I30" s="70">
        <f t="shared" ref="I30:I73" si="5">E30*G30</f>
        <v>201</v>
      </c>
      <c r="J30" s="71">
        <v>0</v>
      </c>
      <c r="K30" s="73">
        <f t="shared" si="1"/>
        <v>201</v>
      </c>
      <c r="L30" s="90">
        <f t="shared" si="3"/>
        <v>126</v>
      </c>
      <c r="M30" s="72"/>
    </row>
    <row r="31" spans="1:13" x14ac:dyDescent="0.2">
      <c r="A31" s="89" t="s">
        <v>1481</v>
      </c>
      <c r="B31" s="67" t="s">
        <v>1462</v>
      </c>
      <c r="C31" s="67"/>
      <c r="D31" s="68" t="s">
        <v>27</v>
      </c>
      <c r="E31" s="67">
        <v>50</v>
      </c>
      <c r="F31" s="69">
        <v>8</v>
      </c>
      <c r="G31" s="69">
        <v>10</v>
      </c>
      <c r="H31" s="70"/>
      <c r="I31" s="70">
        <f t="shared" si="5"/>
        <v>500</v>
      </c>
      <c r="J31" s="71">
        <v>0</v>
      </c>
      <c r="K31" s="73">
        <f t="shared" si="1"/>
        <v>500</v>
      </c>
      <c r="L31" s="90">
        <f t="shared" si="3"/>
        <v>400</v>
      </c>
      <c r="M31" s="72"/>
    </row>
    <row r="32" spans="1:13" x14ac:dyDescent="0.2">
      <c r="A32" s="89" t="s">
        <v>1481</v>
      </c>
      <c r="B32" s="67" t="s">
        <v>1484</v>
      </c>
      <c r="C32" s="67"/>
      <c r="D32" s="68" t="s">
        <v>1256</v>
      </c>
      <c r="E32" s="67">
        <v>1</v>
      </c>
      <c r="F32" s="69">
        <v>110</v>
      </c>
      <c r="G32" s="69">
        <v>188</v>
      </c>
      <c r="H32" s="70"/>
      <c r="I32" s="70">
        <f t="shared" si="5"/>
        <v>188</v>
      </c>
      <c r="J32" s="71">
        <v>0</v>
      </c>
      <c r="K32" s="73">
        <f t="shared" si="1"/>
        <v>188</v>
      </c>
      <c r="L32" s="90">
        <f t="shared" si="3"/>
        <v>110</v>
      </c>
      <c r="M32" s="72"/>
    </row>
    <row r="33" spans="1:13" x14ac:dyDescent="0.2">
      <c r="A33" s="89" t="s">
        <v>1481</v>
      </c>
      <c r="B33" s="67" t="s">
        <v>1468</v>
      </c>
      <c r="C33" s="67"/>
      <c r="D33" s="68" t="s">
        <v>1251</v>
      </c>
      <c r="E33" s="67">
        <v>5</v>
      </c>
      <c r="F33" s="69">
        <v>60</v>
      </c>
      <c r="G33" s="69">
        <v>78</v>
      </c>
      <c r="H33" s="70"/>
      <c r="I33" s="70">
        <f t="shared" si="5"/>
        <v>390</v>
      </c>
      <c r="J33" s="71">
        <v>0</v>
      </c>
      <c r="K33" s="73">
        <f t="shared" si="1"/>
        <v>390</v>
      </c>
      <c r="L33" s="90">
        <f t="shared" si="3"/>
        <v>300</v>
      </c>
      <c r="M33" s="72"/>
    </row>
    <row r="34" spans="1:13" x14ac:dyDescent="0.2">
      <c r="A34" s="89" t="s">
        <v>1481</v>
      </c>
      <c r="B34" s="67" t="s">
        <v>1485</v>
      </c>
      <c r="C34" s="67" t="s">
        <v>1486</v>
      </c>
      <c r="D34" s="68" t="s">
        <v>1253</v>
      </c>
      <c r="E34" s="67">
        <v>30</v>
      </c>
      <c r="F34" s="69">
        <v>14</v>
      </c>
      <c r="G34" s="69">
        <v>18.25</v>
      </c>
      <c r="H34" s="70"/>
      <c r="I34" s="70">
        <f t="shared" si="5"/>
        <v>547.5</v>
      </c>
      <c r="J34" s="71">
        <v>0</v>
      </c>
      <c r="K34" s="73">
        <f t="shared" si="1"/>
        <v>547.5</v>
      </c>
      <c r="L34" s="90">
        <f t="shared" si="3"/>
        <v>420</v>
      </c>
      <c r="M34" s="72"/>
    </row>
    <row r="35" spans="1:13" x14ac:dyDescent="0.2">
      <c r="A35" s="89" t="s">
        <v>1481</v>
      </c>
      <c r="B35" s="67" t="s">
        <v>1475</v>
      </c>
      <c r="C35" s="67" t="s">
        <v>1487</v>
      </c>
      <c r="D35" s="68" t="s">
        <v>20</v>
      </c>
      <c r="E35" s="67">
        <v>2</v>
      </c>
      <c r="F35" s="69">
        <v>84</v>
      </c>
      <c r="G35" s="69">
        <v>157</v>
      </c>
      <c r="H35" s="70"/>
      <c r="I35" s="70">
        <f t="shared" si="5"/>
        <v>314</v>
      </c>
      <c r="J35" s="71">
        <v>0</v>
      </c>
      <c r="K35" s="73">
        <f t="shared" si="1"/>
        <v>314</v>
      </c>
      <c r="L35" s="90">
        <f t="shared" si="3"/>
        <v>168</v>
      </c>
      <c r="M35" s="72"/>
    </row>
    <row r="36" spans="1:13" x14ac:dyDescent="0.2">
      <c r="A36" s="89" t="s">
        <v>1481</v>
      </c>
      <c r="B36" s="67" t="s">
        <v>1488</v>
      </c>
      <c r="C36" s="67"/>
      <c r="D36" s="68" t="s">
        <v>1249</v>
      </c>
      <c r="E36" s="67">
        <v>30</v>
      </c>
      <c r="F36" s="69">
        <v>14.5</v>
      </c>
      <c r="G36" s="69">
        <v>20</v>
      </c>
      <c r="H36" s="70"/>
      <c r="I36" s="70">
        <f t="shared" si="5"/>
        <v>600</v>
      </c>
      <c r="J36" s="71">
        <v>0</v>
      </c>
      <c r="K36" s="73">
        <f t="shared" si="1"/>
        <v>600</v>
      </c>
      <c r="L36" s="90">
        <f t="shared" si="3"/>
        <v>435</v>
      </c>
      <c r="M36" s="72"/>
    </row>
    <row r="37" spans="1:13" x14ac:dyDescent="0.2">
      <c r="A37" s="89" t="s">
        <v>1481</v>
      </c>
      <c r="B37" s="67" t="s">
        <v>1489</v>
      </c>
      <c r="C37" s="67"/>
      <c r="D37" s="68" t="s">
        <v>29</v>
      </c>
      <c r="E37" s="67">
        <v>12</v>
      </c>
      <c r="F37" s="69">
        <v>21.5</v>
      </c>
      <c r="G37" s="69">
        <v>28</v>
      </c>
      <c r="H37" s="70"/>
      <c r="I37" s="70">
        <f t="shared" si="5"/>
        <v>336</v>
      </c>
      <c r="J37" s="71">
        <v>0</v>
      </c>
      <c r="K37" s="73">
        <f t="shared" si="1"/>
        <v>336</v>
      </c>
      <c r="L37" s="90">
        <f t="shared" si="3"/>
        <v>258</v>
      </c>
      <c r="M37" s="72"/>
    </row>
    <row r="38" spans="1:13" x14ac:dyDescent="0.2">
      <c r="A38" s="89" t="s">
        <v>1481</v>
      </c>
      <c r="B38" s="67" t="s">
        <v>1490</v>
      </c>
      <c r="C38" s="67" t="s">
        <v>1491</v>
      </c>
      <c r="D38" s="68" t="s">
        <v>1407</v>
      </c>
      <c r="E38" s="67">
        <v>15</v>
      </c>
      <c r="F38" s="69">
        <v>11.5</v>
      </c>
      <c r="G38" s="69">
        <v>19</v>
      </c>
      <c r="H38" s="70"/>
      <c r="I38" s="70">
        <f t="shared" si="5"/>
        <v>285</v>
      </c>
      <c r="J38" s="71">
        <v>0</v>
      </c>
      <c r="K38" s="73">
        <f t="shared" si="1"/>
        <v>285</v>
      </c>
      <c r="L38" s="90">
        <f t="shared" si="3"/>
        <v>172.5</v>
      </c>
      <c r="M38" s="72"/>
    </row>
    <row r="39" spans="1:13" x14ac:dyDescent="0.2">
      <c r="A39" s="89" t="s">
        <v>1481</v>
      </c>
      <c r="B39" s="67" t="s">
        <v>1485</v>
      </c>
      <c r="C39" s="67"/>
      <c r="D39" s="68" t="s">
        <v>1253</v>
      </c>
      <c r="E39" s="67">
        <v>2</v>
      </c>
      <c r="F39" s="69">
        <v>14</v>
      </c>
      <c r="G39" s="69">
        <v>18.25</v>
      </c>
      <c r="H39" s="70"/>
      <c r="I39" s="70">
        <f t="shared" si="5"/>
        <v>36.5</v>
      </c>
      <c r="J39" s="71">
        <v>0</v>
      </c>
      <c r="K39" s="73">
        <f t="shared" si="1"/>
        <v>36.5</v>
      </c>
      <c r="L39" s="90">
        <f t="shared" si="3"/>
        <v>28</v>
      </c>
      <c r="M39" s="72"/>
    </row>
    <row r="40" spans="1:13" x14ac:dyDescent="0.2">
      <c r="A40" s="89" t="s">
        <v>1481</v>
      </c>
      <c r="B40" s="67" t="s">
        <v>1472</v>
      </c>
      <c r="C40" s="67"/>
      <c r="D40" s="68" t="s">
        <v>1398</v>
      </c>
      <c r="E40" s="67">
        <v>1</v>
      </c>
      <c r="F40" s="69">
        <v>147.69999999999999</v>
      </c>
      <c r="G40" s="69">
        <v>207</v>
      </c>
      <c r="H40" s="70"/>
      <c r="I40" s="70">
        <f t="shared" si="5"/>
        <v>207</v>
      </c>
      <c r="J40" s="71">
        <v>0</v>
      </c>
      <c r="K40" s="73">
        <f t="shared" si="1"/>
        <v>207</v>
      </c>
      <c r="L40" s="90">
        <f t="shared" si="3"/>
        <v>147.69999999999999</v>
      </c>
      <c r="M40" s="72"/>
    </row>
    <row r="41" spans="1:13" x14ac:dyDescent="0.2">
      <c r="A41" s="89" t="s">
        <v>1481</v>
      </c>
      <c r="B41" s="67" t="s">
        <v>1492</v>
      </c>
      <c r="C41" s="67"/>
      <c r="D41" s="68" t="s">
        <v>1347</v>
      </c>
      <c r="E41" s="67">
        <v>1</v>
      </c>
      <c r="F41" s="69">
        <v>145</v>
      </c>
      <c r="G41" s="69">
        <v>175</v>
      </c>
      <c r="H41" s="70"/>
      <c r="I41" s="70">
        <f t="shared" si="5"/>
        <v>175</v>
      </c>
      <c r="J41" s="71">
        <v>0</v>
      </c>
      <c r="K41" s="73">
        <f t="shared" si="1"/>
        <v>175</v>
      </c>
      <c r="L41" s="90">
        <f t="shared" si="3"/>
        <v>145</v>
      </c>
      <c r="M41" s="72"/>
    </row>
    <row r="42" spans="1:13" x14ac:dyDescent="0.2">
      <c r="A42" s="89" t="s">
        <v>1481</v>
      </c>
      <c r="B42" s="67" t="s">
        <v>1490</v>
      </c>
      <c r="C42" s="67" t="s">
        <v>1493</v>
      </c>
      <c r="D42" s="68" t="s">
        <v>1407</v>
      </c>
      <c r="E42" s="67">
        <v>10</v>
      </c>
      <c r="F42" s="69">
        <v>11.5</v>
      </c>
      <c r="G42" s="69">
        <v>19</v>
      </c>
      <c r="H42" s="70"/>
      <c r="I42" s="70">
        <f t="shared" si="5"/>
        <v>190</v>
      </c>
      <c r="J42" s="71">
        <v>0</v>
      </c>
      <c r="K42" s="73">
        <f t="shared" si="1"/>
        <v>190</v>
      </c>
      <c r="L42" s="90">
        <f t="shared" si="3"/>
        <v>115</v>
      </c>
      <c r="M42" s="72"/>
    </row>
    <row r="43" spans="1:13" x14ac:dyDescent="0.2">
      <c r="A43" s="89" t="s">
        <v>1481</v>
      </c>
      <c r="B43" s="67" t="s">
        <v>1456</v>
      </c>
      <c r="C43" s="67" t="s">
        <v>1494</v>
      </c>
      <c r="D43" s="68" t="s">
        <v>21</v>
      </c>
      <c r="E43" s="67">
        <v>2</v>
      </c>
      <c r="F43" s="69">
        <v>148.9</v>
      </c>
      <c r="G43" s="69">
        <v>237</v>
      </c>
      <c r="H43" s="70"/>
      <c r="I43" s="70">
        <f t="shared" si="5"/>
        <v>474</v>
      </c>
      <c r="J43" s="71">
        <v>0</v>
      </c>
      <c r="K43" s="73">
        <f t="shared" si="1"/>
        <v>474</v>
      </c>
      <c r="L43" s="90">
        <f t="shared" si="3"/>
        <v>297.8</v>
      </c>
      <c r="M43" s="72"/>
    </row>
    <row r="44" spans="1:13" x14ac:dyDescent="0.2">
      <c r="A44" s="89" t="s">
        <v>1481</v>
      </c>
      <c r="B44" s="67" t="s">
        <v>1475</v>
      </c>
      <c r="C44" s="67"/>
      <c r="D44" s="68" t="s">
        <v>20</v>
      </c>
      <c r="E44" s="67">
        <v>1</v>
      </c>
      <c r="F44" s="69">
        <v>84</v>
      </c>
      <c r="G44" s="69">
        <v>157</v>
      </c>
      <c r="H44" s="70"/>
      <c r="I44" s="70">
        <f t="shared" si="5"/>
        <v>157</v>
      </c>
      <c r="J44" s="71">
        <v>0</v>
      </c>
      <c r="K44" s="73">
        <f t="shared" si="1"/>
        <v>157</v>
      </c>
      <c r="L44" s="90">
        <f t="shared" si="3"/>
        <v>84</v>
      </c>
      <c r="M44" s="72"/>
    </row>
    <row r="45" spans="1:13" x14ac:dyDescent="0.2">
      <c r="A45" s="89" t="s">
        <v>1481</v>
      </c>
      <c r="B45" s="67" t="s">
        <v>1495</v>
      </c>
      <c r="C45" s="67"/>
      <c r="D45" s="68" t="s">
        <v>1248</v>
      </c>
      <c r="E45" s="67">
        <v>15</v>
      </c>
      <c r="F45" s="69">
        <v>2</v>
      </c>
      <c r="G45" s="69">
        <v>5.25</v>
      </c>
      <c r="H45" s="70"/>
      <c r="I45" s="70">
        <f t="shared" si="5"/>
        <v>78.75</v>
      </c>
      <c r="J45" s="71">
        <v>0</v>
      </c>
      <c r="K45" s="73">
        <f t="shared" si="1"/>
        <v>78.75</v>
      </c>
      <c r="L45" s="90">
        <f t="shared" si="3"/>
        <v>30</v>
      </c>
      <c r="M45" s="72"/>
    </row>
    <row r="46" spans="1:13" x14ac:dyDescent="0.2">
      <c r="A46" s="89" t="s">
        <v>1481</v>
      </c>
      <c r="B46" s="67" t="s">
        <v>1462</v>
      </c>
      <c r="C46" s="67"/>
      <c r="D46" s="68" t="s">
        <v>27</v>
      </c>
      <c r="E46" s="67">
        <v>10</v>
      </c>
      <c r="F46" s="69">
        <v>8</v>
      </c>
      <c r="G46" s="69">
        <v>10</v>
      </c>
      <c r="H46" s="70"/>
      <c r="I46" s="70">
        <f t="shared" si="5"/>
        <v>100</v>
      </c>
      <c r="J46" s="71">
        <v>0</v>
      </c>
      <c r="K46" s="73">
        <f t="shared" si="1"/>
        <v>100</v>
      </c>
      <c r="L46" s="90">
        <f t="shared" si="3"/>
        <v>80</v>
      </c>
      <c r="M46" s="72"/>
    </row>
    <row r="47" spans="1:13" x14ac:dyDescent="0.2">
      <c r="A47" s="89" t="s">
        <v>1481</v>
      </c>
      <c r="B47" s="67" t="s">
        <v>1496</v>
      </c>
      <c r="C47" s="67"/>
      <c r="D47" s="68" t="s">
        <v>1360</v>
      </c>
      <c r="E47" s="67">
        <v>3</v>
      </c>
      <c r="F47" s="69">
        <v>19</v>
      </c>
      <c r="G47" s="69">
        <v>22</v>
      </c>
      <c r="H47" s="70"/>
      <c r="I47" s="70">
        <f t="shared" si="5"/>
        <v>66</v>
      </c>
      <c r="J47" s="71">
        <v>0</v>
      </c>
      <c r="K47" s="73">
        <f t="shared" si="1"/>
        <v>66</v>
      </c>
      <c r="L47" s="90">
        <f t="shared" si="3"/>
        <v>57</v>
      </c>
      <c r="M47" s="72"/>
    </row>
    <row r="48" spans="1:13" x14ac:dyDescent="0.2">
      <c r="A48" s="89" t="s">
        <v>1481</v>
      </c>
      <c r="B48" s="67" t="s">
        <v>1497</v>
      </c>
      <c r="C48" s="67" t="s">
        <v>1498</v>
      </c>
      <c r="D48" s="68" t="s">
        <v>1499</v>
      </c>
      <c r="E48" s="67">
        <v>29</v>
      </c>
      <c r="F48" s="69">
        <v>163.44999999999999</v>
      </c>
      <c r="G48" s="69">
        <v>200</v>
      </c>
      <c r="H48" s="70"/>
      <c r="I48" s="70">
        <f t="shared" si="5"/>
        <v>5800</v>
      </c>
      <c r="J48" s="71">
        <v>0</v>
      </c>
      <c r="K48" s="73">
        <f t="shared" si="1"/>
        <v>5800</v>
      </c>
      <c r="L48" s="90">
        <f t="shared" si="3"/>
        <v>4740.0499999999993</v>
      </c>
      <c r="M48" s="72"/>
    </row>
    <row r="49" spans="1:13" x14ac:dyDescent="0.2">
      <c r="A49" s="89" t="s">
        <v>1481</v>
      </c>
      <c r="B49" s="67" t="s">
        <v>1500</v>
      </c>
      <c r="C49" s="67" t="s">
        <v>1501</v>
      </c>
      <c r="D49" s="68" t="s">
        <v>1339</v>
      </c>
      <c r="E49" s="67">
        <v>200</v>
      </c>
      <c r="F49" s="69">
        <v>1.75</v>
      </c>
      <c r="G49" s="69">
        <v>3</v>
      </c>
      <c r="H49" s="70"/>
      <c r="I49" s="70">
        <f t="shared" si="5"/>
        <v>600</v>
      </c>
      <c r="J49" s="71">
        <v>0</v>
      </c>
      <c r="K49" s="73">
        <f t="shared" si="1"/>
        <v>600</v>
      </c>
      <c r="L49" s="90">
        <f t="shared" si="3"/>
        <v>350</v>
      </c>
      <c r="M49" s="72"/>
    </row>
    <row r="50" spans="1:13" x14ac:dyDescent="0.2">
      <c r="A50" s="89" t="s">
        <v>1481</v>
      </c>
      <c r="B50" s="67" t="s">
        <v>1495</v>
      </c>
      <c r="C50" s="67"/>
      <c r="D50" s="68" t="s">
        <v>1248</v>
      </c>
      <c r="E50" s="67">
        <v>100</v>
      </c>
      <c r="F50" s="69">
        <v>2</v>
      </c>
      <c r="G50" s="69">
        <v>5.25</v>
      </c>
      <c r="H50" s="70"/>
      <c r="I50" s="70">
        <f t="shared" si="5"/>
        <v>525</v>
      </c>
      <c r="J50" s="71">
        <v>0</v>
      </c>
      <c r="K50" s="73">
        <f t="shared" si="1"/>
        <v>525</v>
      </c>
      <c r="L50" s="90">
        <f t="shared" si="3"/>
        <v>200</v>
      </c>
      <c r="M50" s="72"/>
    </row>
    <row r="51" spans="1:13" x14ac:dyDescent="0.2">
      <c r="A51" s="89" t="s">
        <v>1481</v>
      </c>
      <c r="B51" s="67" t="s">
        <v>1453</v>
      </c>
      <c r="C51" s="67" t="s">
        <v>1502</v>
      </c>
      <c r="D51" s="68" t="s">
        <v>26</v>
      </c>
      <c r="E51" s="67">
        <v>2</v>
      </c>
      <c r="F51" s="69">
        <v>167.8</v>
      </c>
      <c r="G51" s="69">
        <v>360</v>
      </c>
      <c r="H51" s="70"/>
      <c r="I51" s="70">
        <f t="shared" si="5"/>
        <v>720</v>
      </c>
      <c r="J51" s="71">
        <v>0</v>
      </c>
      <c r="K51" s="73">
        <f t="shared" si="1"/>
        <v>720</v>
      </c>
      <c r="L51" s="90">
        <f t="shared" si="3"/>
        <v>335.6</v>
      </c>
      <c r="M51" s="72"/>
    </row>
    <row r="52" spans="1:13" x14ac:dyDescent="0.2">
      <c r="A52" s="89" t="s">
        <v>1481</v>
      </c>
      <c r="B52" s="67" t="s">
        <v>1503</v>
      </c>
      <c r="C52" s="67"/>
      <c r="D52" s="68" t="s">
        <v>1344</v>
      </c>
      <c r="E52" s="67">
        <v>1</v>
      </c>
      <c r="F52" s="69">
        <v>167.8</v>
      </c>
      <c r="G52" s="69">
        <v>460</v>
      </c>
      <c r="H52" s="70"/>
      <c r="I52" s="70">
        <f t="shared" si="5"/>
        <v>460</v>
      </c>
      <c r="J52" s="71">
        <v>0</v>
      </c>
      <c r="K52" s="73">
        <f t="shared" si="1"/>
        <v>460</v>
      </c>
      <c r="L52" s="90">
        <f t="shared" si="3"/>
        <v>167.8</v>
      </c>
      <c r="M52" s="72"/>
    </row>
    <row r="53" spans="1:13" x14ac:dyDescent="0.2">
      <c r="A53" s="89" t="s">
        <v>1481</v>
      </c>
      <c r="B53" s="67" t="s">
        <v>1456</v>
      </c>
      <c r="C53" s="67" t="s">
        <v>1504</v>
      </c>
      <c r="D53" s="68" t="s">
        <v>21</v>
      </c>
      <c r="E53" s="67">
        <v>5</v>
      </c>
      <c r="F53" s="69">
        <v>148.9</v>
      </c>
      <c r="G53" s="69">
        <v>237</v>
      </c>
      <c r="H53" s="78"/>
      <c r="I53" s="70">
        <f t="shared" si="5"/>
        <v>1185</v>
      </c>
      <c r="J53" s="71">
        <v>0</v>
      </c>
      <c r="K53" s="73">
        <f t="shared" si="1"/>
        <v>1185</v>
      </c>
      <c r="L53" s="90">
        <f t="shared" si="3"/>
        <v>744.5</v>
      </c>
      <c r="M53" s="72"/>
    </row>
    <row r="54" spans="1:13" x14ac:dyDescent="0.2">
      <c r="A54" s="89" t="s">
        <v>1481</v>
      </c>
      <c r="B54" s="67" t="s">
        <v>1458</v>
      </c>
      <c r="C54" s="67"/>
      <c r="D54" s="68" t="s">
        <v>22</v>
      </c>
      <c r="E54" s="67">
        <v>10</v>
      </c>
      <c r="F54" s="69">
        <v>126</v>
      </c>
      <c r="G54" s="69">
        <v>201</v>
      </c>
      <c r="H54" s="78"/>
      <c r="I54" s="70">
        <f t="shared" si="5"/>
        <v>2010</v>
      </c>
      <c r="J54" s="71">
        <v>0</v>
      </c>
      <c r="K54" s="73">
        <f t="shared" si="1"/>
        <v>2010</v>
      </c>
      <c r="L54" s="90">
        <f t="shared" si="3"/>
        <v>1260</v>
      </c>
      <c r="M54" s="72"/>
    </row>
    <row r="55" spans="1:13" x14ac:dyDescent="0.2">
      <c r="A55" s="89" t="s">
        <v>1481</v>
      </c>
      <c r="B55" s="67" t="s">
        <v>1472</v>
      </c>
      <c r="C55" s="67" t="s">
        <v>1505</v>
      </c>
      <c r="D55" s="68" t="s">
        <v>1398</v>
      </c>
      <c r="E55" s="67">
        <v>1</v>
      </c>
      <c r="F55" s="69">
        <v>147.69999999999999</v>
      </c>
      <c r="G55" s="69">
        <v>207</v>
      </c>
      <c r="H55" s="78"/>
      <c r="I55" s="70">
        <f t="shared" si="5"/>
        <v>207</v>
      </c>
      <c r="J55" s="71">
        <v>0</v>
      </c>
      <c r="K55" s="73">
        <f t="shared" si="1"/>
        <v>207</v>
      </c>
      <c r="L55" s="90">
        <f t="shared" si="3"/>
        <v>147.69999999999999</v>
      </c>
      <c r="M55" s="72"/>
    </row>
    <row r="56" spans="1:13" x14ac:dyDescent="0.2">
      <c r="A56" s="89" t="s">
        <v>1481</v>
      </c>
      <c r="B56" s="67" t="s">
        <v>1458</v>
      </c>
      <c r="C56" s="67"/>
      <c r="D56" s="68" t="s">
        <v>22</v>
      </c>
      <c r="E56" s="67">
        <v>5</v>
      </c>
      <c r="F56" s="69">
        <v>126</v>
      </c>
      <c r="G56" s="69">
        <v>201</v>
      </c>
      <c r="H56" s="78"/>
      <c r="I56" s="70">
        <f t="shared" si="5"/>
        <v>1005</v>
      </c>
      <c r="J56" s="71">
        <v>0</v>
      </c>
      <c r="K56" s="73">
        <f t="shared" si="1"/>
        <v>1005</v>
      </c>
      <c r="L56" s="90">
        <f t="shared" si="3"/>
        <v>630</v>
      </c>
      <c r="M56" s="72"/>
    </row>
    <row r="57" spans="1:13" x14ac:dyDescent="0.2">
      <c r="A57" s="89" t="s">
        <v>1481</v>
      </c>
      <c r="B57" s="67" t="s">
        <v>1456</v>
      </c>
      <c r="C57" s="67"/>
      <c r="D57" s="68" t="s">
        <v>21</v>
      </c>
      <c r="E57" s="67">
        <v>2</v>
      </c>
      <c r="F57" s="69">
        <v>148.9</v>
      </c>
      <c r="G57" s="69">
        <v>237</v>
      </c>
      <c r="H57" s="78"/>
      <c r="I57" s="70">
        <f t="shared" si="5"/>
        <v>474</v>
      </c>
      <c r="J57" s="71">
        <v>0</v>
      </c>
      <c r="K57" s="73">
        <f t="shared" si="1"/>
        <v>474</v>
      </c>
      <c r="L57" s="90">
        <f t="shared" si="3"/>
        <v>297.8</v>
      </c>
      <c r="M57" s="72"/>
    </row>
    <row r="58" spans="1:13" x14ac:dyDescent="0.2">
      <c r="A58" s="89" t="s">
        <v>1481</v>
      </c>
      <c r="B58" s="67" t="s">
        <v>1506</v>
      </c>
      <c r="C58" s="67"/>
      <c r="D58" s="68" t="s">
        <v>1261</v>
      </c>
      <c r="E58" s="67">
        <v>1</v>
      </c>
      <c r="F58" s="69">
        <v>115</v>
      </c>
      <c r="G58" s="69">
        <v>149.5</v>
      </c>
      <c r="H58" s="78"/>
      <c r="I58" s="70">
        <f t="shared" si="5"/>
        <v>149.5</v>
      </c>
      <c r="J58" s="71">
        <v>0</v>
      </c>
      <c r="K58" s="73">
        <f t="shared" si="1"/>
        <v>149.5</v>
      </c>
      <c r="L58" s="90">
        <f t="shared" si="3"/>
        <v>115</v>
      </c>
      <c r="M58" s="72"/>
    </row>
    <row r="59" spans="1:13" x14ac:dyDescent="0.2">
      <c r="A59" s="89" t="s">
        <v>1481</v>
      </c>
      <c r="B59" s="67" t="s">
        <v>1469</v>
      </c>
      <c r="C59" s="67"/>
      <c r="D59" s="68" t="s">
        <v>1247</v>
      </c>
      <c r="E59" s="67">
        <v>3</v>
      </c>
      <c r="F59" s="69">
        <v>35.75</v>
      </c>
      <c r="G59" s="69">
        <v>47</v>
      </c>
      <c r="H59" s="78"/>
      <c r="I59" s="70">
        <f t="shared" si="5"/>
        <v>141</v>
      </c>
      <c r="J59" s="71">
        <v>0</v>
      </c>
      <c r="K59" s="73">
        <f t="shared" si="1"/>
        <v>141</v>
      </c>
      <c r="L59" s="90">
        <f t="shared" si="3"/>
        <v>107.25</v>
      </c>
      <c r="M59" s="72"/>
    </row>
    <row r="60" spans="1:13" x14ac:dyDescent="0.2">
      <c r="A60" s="89" t="s">
        <v>1481</v>
      </c>
      <c r="B60" s="67" t="s">
        <v>1507</v>
      </c>
      <c r="C60" s="67"/>
      <c r="D60" s="68" t="s">
        <v>1252</v>
      </c>
      <c r="E60" s="67">
        <v>3</v>
      </c>
      <c r="F60" s="69">
        <v>30</v>
      </c>
      <c r="G60" s="69">
        <v>39</v>
      </c>
      <c r="H60" s="78"/>
      <c r="I60" s="70">
        <f t="shared" si="5"/>
        <v>117</v>
      </c>
      <c r="J60" s="71">
        <v>0</v>
      </c>
      <c r="K60" s="73">
        <f t="shared" si="1"/>
        <v>117</v>
      </c>
      <c r="L60" s="90">
        <f t="shared" si="3"/>
        <v>90</v>
      </c>
      <c r="M60" s="72"/>
    </row>
    <row r="61" spans="1:13" x14ac:dyDescent="0.2">
      <c r="A61" s="89" t="s">
        <v>1481</v>
      </c>
      <c r="B61" s="67" t="s">
        <v>1508</v>
      </c>
      <c r="C61" s="67"/>
      <c r="D61" s="68" t="s">
        <v>1509</v>
      </c>
      <c r="E61" s="67">
        <v>1</v>
      </c>
      <c r="F61" s="69">
        <v>72</v>
      </c>
      <c r="G61" s="69">
        <v>94</v>
      </c>
      <c r="H61" s="78"/>
      <c r="I61" s="70">
        <f t="shared" si="5"/>
        <v>94</v>
      </c>
      <c r="J61" s="71">
        <v>0</v>
      </c>
      <c r="K61" s="73">
        <f t="shared" si="1"/>
        <v>94</v>
      </c>
      <c r="L61" s="90">
        <f t="shared" si="3"/>
        <v>72</v>
      </c>
      <c r="M61" s="72"/>
    </row>
    <row r="62" spans="1:13" x14ac:dyDescent="0.2">
      <c r="A62" s="89" t="s">
        <v>1481</v>
      </c>
      <c r="B62" s="67" t="s">
        <v>1510</v>
      </c>
      <c r="C62" s="67"/>
      <c r="D62" s="68" t="s">
        <v>1511</v>
      </c>
      <c r="E62" s="67">
        <v>10</v>
      </c>
      <c r="F62" s="69">
        <v>6</v>
      </c>
      <c r="G62" s="69">
        <v>8</v>
      </c>
      <c r="H62" s="78"/>
      <c r="I62" s="70">
        <f t="shared" si="5"/>
        <v>80</v>
      </c>
      <c r="J62" s="71">
        <v>0</v>
      </c>
      <c r="K62" s="73">
        <f t="shared" si="1"/>
        <v>80</v>
      </c>
      <c r="L62" s="90">
        <f t="shared" si="3"/>
        <v>60</v>
      </c>
      <c r="M62" s="72"/>
    </row>
    <row r="63" spans="1:13" x14ac:dyDescent="0.2">
      <c r="A63" s="89" t="s">
        <v>1481</v>
      </c>
      <c r="B63" s="67" t="s">
        <v>1453</v>
      </c>
      <c r="C63" s="67" t="s">
        <v>1512</v>
      </c>
      <c r="D63" s="68" t="s">
        <v>26</v>
      </c>
      <c r="E63" s="67">
        <v>5</v>
      </c>
      <c r="F63" s="69">
        <v>167.8</v>
      </c>
      <c r="G63" s="69">
        <v>360</v>
      </c>
      <c r="H63" s="78"/>
      <c r="I63" s="70">
        <f t="shared" si="5"/>
        <v>1800</v>
      </c>
      <c r="J63" s="71">
        <v>0</v>
      </c>
      <c r="K63" s="73">
        <f t="shared" si="1"/>
        <v>1800</v>
      </c>
      <c r="L63" s="90">
        <f t="shared" si="3"/>
        <v>839</v>
      </c>
      <c r="M63" s="72"/>
    </row>
    <row r="64" spans="1:13" x14ac:dyDescent="0.2">
      <c r="A64" s="89" t="s">
        <v>1481</v>
      </c>
      <c r="B64" s="67" t="s">
        <v>1455</v>
      </c>
      <c r="C64" s="67"/>
      <c r="D64" s="68" t="s">
        <v>25</v>
      </c>
      <c r="E64" s="67">
        <v>7</v>
      </c>
      <c r="F64" s="69">
        <v>115.85</v>
      </c>
      <c r="G64" s="69">
        <v>280</v>
      </c>
      <c r="H64" s="78"/>
      <c r="I64" s="70">
        <f t="shared" si="5"/>
        <v>1960</v>
      </c>
      <c r="J64" s="71">
        <v>0</v>
      </c>
      <c r="K64" s="73">
        <f t="shared" si="1"/>
        <v>1960</v>
      </c>
      <c r="L64" s="90">
        <f t="shared" si="3"/>
        <v>810.94999999999993</v>
      </c>
      <c r="M64" s="72"/>
    </row>
    <row r="65" spans="1:13" x14ac:dyDescent="0.2">
      <c r="A65" s="89" t="s">
        <v>1481</v>
      </c>
      <c r="B65" s="67" t="s">
        <v>1503</v>
      </c>
      <c r="C65" s="67" t="s">
        <v>1513</v>
      </c>
      <c r="D65" s="68" t="s">
        <v>1344</v>
      </c>
      <c r="E65" s="67">
        <v>1</v>
      </c>
      <c r="F65" s="69">
        <v>167.8</v>
      </c>
      <c r="G65" s="69">
        <v>460</v>
      </c>
      <c r="H65" s="78"/>
      <c r="I65" s="70">
        <f t="shared" si="5"/>
        <v>460</v>
      </c>
      <c r="J65" s="71">
        <v>0</v>
      </c>
      <c r="K65" s="73">
        <f t="shared" si="1"/>
        <v>460</v>
      </c>
      <c r="L65" s="90">
        <f t="shared" si="3"/>
        <v>167.8</v>
      </c>
      <c r="M65" s="72"/>
    </row>
    <row r="66" spans="1:13" x14ac:dyDescent="0.2">
      <c r="A66" s="89" t="s">
        <v>1481</v>
      </c>
      <c r="B66" s="67" t="s">
        <v>1514</v>
      </c>
      <c r="C66" s="67"/>
      <c r="D66" s="68" t="s">
        <v>1343</v>
      </c>
      <c r="E66" s="67">
        <v>1</v>
      </c>
      <c r="F66" s="69">
        <v>88</v>
      </c>
      <c r="G66" s="69">
        <v>280</v>
      </c>
      <c r="H66" s="78"/>
      <c r="I66" s="70">
        <f t="shared" si="5"/>
        <v>280</v>
      </c>
      <c r="J66" s="71">
        <v>0</v>
      </c>
      <c r="K66" s="73">
        <f t="shared" si="1"/>
        <v>280</v>
      </c>
      <c r="L66" s="90">
        <f t="shared" si="3"/>
        <v>88</v>
      </c>
      <c r="M66" s="72"/>
    </row>
    <row r="67" spans="1:13" x14ac:dyDescent="0.2">
      <c r="A67" s="89" t="s">
        <v>1481</v>
      </c>
      <c r="B67" s="67" t="s">
        <v>1455</v>
      </c>
      <c r="C67" s="67"/>
      <c r="D67" s="68" t="s">
        <v>25</v>
      </c>
      <c r="E67" s="67">
        <v>3</v>
      </c>
      <c r="F67" s="69">
        <v>115.85</v>
      </c>
      <c r="G67" s="69">
        <v>280</v>
      </c>
      <c r="H67" s="78"/>
      <c r="I67" s="70">
        <f t="shared" si="5"/>
        <v>840</v>
      </c>
      <c r="J67" s="71">
        <v>0</v>
      </c>
      <c r="K67" s="73">
        <f t="shared" si="1"/>
        <v>840</v>
      </c>
      <c r="L67" s="90">
        <f t="shared" si="3"/>
        <v>347.54999999999995</v>
      </c>
      <c r="M67" s="72"/>
    </row>
    <row r="68" spans="1:13" x14ac:dyDescent="0.2">
      <c r="A68" s="89" t="s">
        <v>1481</v>
      </c>
      <c r="B68" s="67" t="s">
        <v>1458</v>
      </c>
      <c r="C68" s="67" t="s">
        <v>1515</v>
      </c>
      <c r="D68" s="68" t="s">
        <v>22</v>
      </c>
      <c r="E68" s="67">
        <v>2</v>
      </c>
      <c r="F68" s="69">
        <v>126</v>
      </c>
      <c r="G68" s="69">
        <v>201</v>
      </c>
      <c r="H68" s="78"/>
      <c r="I68" s="70">
        <f t="shared" si="5"/>
        <v>402</v>
      </c>
      <c r="J68" s="71">
        <v>0</v>
      </c>
      <c r="K68" s="73">
        <f t="shared" si="1"/>
        <v>402</v>
      </c>
      <c r="L68" s="90">
        <f t="shared" si="3"/>
        <v>252</v>
      </c>
      <c r="M68" s="72"/>
    </row>
    <row r="69" spans="1:13" x14ac:dyDescent="0.2">
      <c r="A69" s="89" t="s">
        <v>1481</v>
      </c>
      <c r="B69" s="67" t="s">
        <v>1516</v>
      </c>
      <c r="C69" s="67"/>
      <c r="D69" s="68" t="s">
        <v>1517</v>
      </c>
      <c r="E69" s="67">
        <v>5</v>
      </c>
      <c r="F69" s="69">
        <v>13.5</v>
      </c>
      <c r="G69" s="69">
        <v>18</v>
      </c>
      <c r="H69" s="78"/>
      <c r="I69" s="70">
        <f t="shared" si="5"/>
        <v>90</v>
      </c>
      <c r="J69" s="71">
        <v>0</v>
      </c>
      <c r="K69" s="73">
        <f t="shared" si="1"/>
        <v>90</v>
      </c>
      <c r="L69" s="90">
        <f t="shared" si="3"/>
        <v>67.5</v>
      </c>
      <c r="M69" s="72"/>
    </row>
    <row r="70" spans="1:13" x14ac:dyDescent="0.2">
      <c r="A70" s="89" t="s">
        <v>1481</v>
      </c>
      <c r="B70" s="67" t="s">
        <v>1518</v>
      </c>
      <c r="C70" s="67"/>
      <c r="D70" s="68" t="s">
        <v>1262</v>
      </c>
      <c r="E70" s="67">
        <v>10</v>
      </c>
      <c r="F70" s="69">
        <v>12</v>
      </c>
      <c r="G70" s="69">
        <v>15.75</v>
      </c>
      <c r="H70" s="78"/>
      <c r="I70" s="70">
        <f t="shared" si="5"/>
        <v>157.5</v>
      </c>
      <c r="J70" s="71">
        <v>0</v>
      </c>
      <c r="K70" s="73">
        <f t="shared" si="1"/>
        <v>157.5</v>
      </c>
      <c r="L70" s="90">
        <f t="shared" si="3"/>
        <v>120</v>
      </c>
      <c r="M70" s="72"/>
    </row>
    <row r="71" spans="1:13" x14ac:dyDescent="0.2">
      <c r="A71" s="89" t="s">
        <v>1481</v>
      </c>
      <c r="B71" s="67" t="s">
        <v>1469</v>
      </c>
      <c r="C71" s="67"/>
      <c r="D71" s="68" t="s">
        <v>1247</v>
      </c>
      <c r="E71" s="67">
        <v>1</v>
      </c>
      <c r="F71" s="69">
        <v>35.75</v>
      </c>
      <c r="G71" s="69">
        <v>47</v>
      </c>
      <c r="H71" s="78"/>
      <c r="I71" s="70">
        <f t="shared" si="5"/>
        <v>47</v>
      </c>
      <c r="J71" s="71">
        <v>0</v>
      </c>
      <c r="K71" s="73">
        <f t="shared" ref="K71:K134" si="6">H71+I71-J71</f>
        <v>47</v>
      </c>
      <c r="L71" s="90">
        <f t="shared" si="3"/>
        <v>35.75</v>
      </c>
      <c r="M71" s="72"/>
    </row>
    <row r="72" spans="1:13" x14ac:dyDescent="0.2">
      <c r="A72" s="89" t="s">
        <v>1481</v>
      </c>
      <c r="B72" s="67" t="s">
        <v>1489</v>
      </c>
      <c r="C72" s="67"/>
      <c r="D72" s="68" t="s">
        <v>29</v>
      </c>
      <c r="E72" s="67">
        <v>12</v>
      </c>
      <c r="F72" s="69">
        <v>21.5</v>
      </c>
      <c r="G72" s="69">
        <v>28</v>
      </c>
      <c r="H72" s="78"/>
      <c r="I72" s="70">
        <f t="shared" si="5"/>
        <v>336</v>
      </c>
      <c r="J72" s="71">
        <v>0</v>
      </c>
      <c r="K72" s="73">
        <f t="shared" si="6"/>
        <v>336</v>
      </c>
      <c r="L72" s="90">
        <f t="shared" si="3"/>
        <v>258</v>
      </c>
      <c r="M72" s="72"/>
    </row>
    <row r="73" spans="1:13" x14ac:dyDescent="0.2">
      <c r="A73" s="89" t="s">
        <v>1481</v>
      </c>
      <c r="B73" s="67" t="s">
        <v>1519</v>
      </c>
      <c r="C73" s="67"/>
      <c r="D73" s="68" t="s">
        <v>1409</v>
      </c>
      <c r="E73" s="67">
        <v>10</v>
      </c>
      <c r="F73" s="69">
        <v>13.25</v>
      </c>
      <c r="G73" s="69">
        <v>19</v>
      </c>
      <c r="H73" s="78"/>
      <c r="I73" s="70">
        <f t="shared" si="5"/>
        <v>190</v>
      </c>
      <c r="J73" s="71">
        <v>0</v>
      </c>
      <c r="K73" s="73">
        <f t="shared" si="6"/>
        <v>190</v>
      </c>
      <c r="L73" s="90">
        <f t="shared" si="3"/>
        <v>132.5</v>
      </c>
      <c r="M73" s="72"/>
    </row>
    <row r="74" spans="1:13" x14ac:dyDescent="0.2">
      <c r="A74" s="89" t="s">
        <v>1520</v>
      </c>
      <c r="B74" s="67" t="s">
        <v>1458</v>
      </c>
      <c r="C74" s="67" t="s">
        <v>1521</v>
      </c>
      <c r="D74" s="68" t="s">
        <v>22</v>
      </c>
      <c r="E74" s="67">
        <v>5</v>
      </c>
      <c r="F74" s="69">
        <v>126</v>
      </c>
      <c r="G74" s="69">
        <v>201</v>
      </c>
      <c r="H74" s="78">
        <f>E74*G74</f>
        <v>1005</v>
      </c>
      <c r="I74" s="70"/>
      <c r="J74" s="71">
        <v>50.25</v>
      </c>
      <c r="K74" s="73">
        <f t="shared" si="6"/>
        <v>954.75</v>
      </c>
      <c r="L74" s="90">
        <f t="shared" ref="L74:L137" si="7">E74*F74</f>
        <v>630</v>
      </c>
      <c r="M74" s="72"/>
    </row>
    <row r="75" spans="1:13" x14ac:dyDescent="0.2">
      <c r="A75" s="89" t="s">
        <v>1520</v>
      </c>
      <c r="B75" s="67" t="s">
        <v>1522</v>
      </c>
      <c r="C75" s="67" t="s">
        <v>1523</v>
      </c>
      <c r="D75" s="68" t="s">
        <v>1524</v>
      </c>
      <c r="E75" s="67">
        <v>22</v>
      </c>
      <c r="F75" s="69">
        <v>249.38</v>
      </c>
      <c r="G75" s="69">
        <v>350</v>
      </c>
      <c r="H75" s="78"/>
      <c r="I75" s="70">
        <f>E75*G75</f>
        <v>7700</v>
      </c>
      <c r="J75" s="71">
        <v>0</v>
      </c>
      <c r="K75" s="73">
        <f t="shared" si="6"/>
        <v>7700</v>
      </c>
      <c r="L75" s="90">
        <f t="shared" si="7"/>
        <v>5486.36</v>
      </c>
      <c r="M75" s="72"/>
    </row>
    <row r="76" spans="1:13" x14ac:dyDescent="0.2">
      <c r="A76" s="89" t="s">
        <v>1520</v>
      </c>
      <c r="B76" s="67" t="s">
        <v>1525</v>
      </c>
      <c r="C76" s="67"/>
      <c r="D76" s="68" t="s">
        <v>1526</v>
      </c>
      <c r="E76" s="67">
        <v>2</v>
      </c>
      <c r="F76" s="69">
        <v>249.38</v>
      </c>
      <c r="G76" s="69">
        <v>350</v>
      </c>
      <c r="H76" s="78"/>
      <c r="I76" s="70">
        <f>E76*G76</f>
        <v>700</v>
      </c>
      <c r="J76" s="71">
        <v>0</v>
      </c>
      <c r="K76" s="73">
        <f t="shared" si="6"/>
        <v>700</v>
      </c>
      <c r="L76" s="90">
        <f t="shared" si="7"/>
        <v>498.76</v>
      </c>
      <c r="M76" s="72"/>
    </row>
    <row r="77" spans="1:13" x14ac:dyDescent="0.2">
      <c r="A77" s="89" t="s">
        <v>1527</v>
      </c>
      <c r="B77" s="67" t="s">
        <v>1468</v>
      </c>
      <c r="C77" s="67" t="s">
        <v>1528</v>
      </c>
      <c r="D77" s="68" t="s">
        <v>1251</v>
      </c>
      <c r="E77" s="67">
        <v>2</v>
      </c>
      <c r="F77" s="69">
        <v>60</v>
      </c>
      <c r="G77" s="69">
        <v>78</v>
      </c>
      <c r="H77" s="78">
        <f>E77*G77</f>
        <v>156</v>
      </c>
      <c r="I77" s="70"/>
      <c r="J77" s="71">
        <v>0</v>
      </c>
      <c r="K77" s="73">
        <f t="shared" si="6"/>
        <v>156</v>
      </c>
      <c r="L77" s="90">
        <f t="shared" si="7"/>
        <v>120</v>
      </c>
      <c r="M77" s="72"/>
    </row>
    <row r="78" spans="1:13" x14ac:dyDescent="0.2">
      <c r="A78" s="89" t="s">
        <v>1527</v>
      </c>
      <c r="B78" s="67" t="s">
        <v>1518</v>
      </c>
      <c r="C78" s="67"/>
      <c r="D78" s="68" t="s">
        <v>1262</v>
      </c>
      <c r="E78" s="67">
        <v>3</v>
      </c>
      <c r="F78" s="69">
        <v>12</v>
      </c>
      <c r="G78" s="69">
        <v>15.75</v>
      </c>
      <c r="H78" s="78">
        <f t="shared" ref="H78:H87" si="8">E78*G78</f>
        <v>47.25</v>
      </c>
      <c r="I78" s="70"/>
      <c r="J78" s="71">
        <v>0</v>
      </c>
      <c r="K78" s="73">
        <f t="shared" si="6"/>
        <v>47.25</v>
      </c>
      <c r="L78" s="90">
        <f t="shared" si="7"/>
        <v>36</v>
      </c>
      <c r="M78" s="72"/>
    </row>
    <row r="79" spans="1:13" x14ac:dyDescent="0.2">
      <c r="A79" s="89" t="s">
        <v>1527</v>
      </c>
      <c r="B79" s="67" t="s">
        <v>1469</v>
      </c>
      <c r="C79" s="67"/>
      <c r="D79" s="68" t="s">
        <v>1247</v>
      </c>
      <c r="E79" s="67">
        <v>1</v>
      </c>
      <c r="F79" s="69">
        <v>35.75</v>
      </c>
      <c r="G79" s="69">
        <v>47</v>
      </c>
      <c r="H79" s="78">
        <f t="shared" si="8"/>
        <v>47</v>
      </c>
      <c r="I79" s="70"/>
      <c r="J79" s="71">
        <v>0</v>
      </c>
      <c r="K79" s="73">
        <f t="shared" si="6"/>
        <v>47</v>
      </c>
      <c r="L79" s="90">
        <f t="shared" si="7"/>
        <v>35.75</v>
      </c>
      <c r="M79" s="72"/>
    </row>
    <row r="80" spans="1:13" x14ac:dyDescent="0.2">
      <c r="A80" s="89" t="s">
        <v>1529</v>
      </c>
      <c r="B80" s="67" t="s">
        <v>1530</v>
      </c>
      <c r="C80" s="67" t="s">
        <v>1531</v>
      </c>
      <c r="D80" s="68" t="s">
        <v>1332</v>
      </c>
      <c r="E80" s="67">
        <v>2</v>
      </c>
      <c r="F80" s="69">
        <v>14.5</v>
      </c>
      <c r="G80" s="69">
        <v>20</v>
      </c>
      <c r="H80" s="78">
        <f t="shared" si="8"/>
        <v>40</v>
      </c>
      <c r="I80" s="70"/>
      <c r="J80" s="71">
        <v>0</v>
      </c>
      <c r="K80" s="73">
        <f t="shared" si="6"/>
        <v>40</v>
      </c>
      <c r="L80" s="90">
        <f t="shared" si="7"/>
        <v>29</v>
      </c>
      <c r="M80" s="72"/>
    </row>
    <row r="81" spans="1:13" x14ac:dyDescent="0.2">
      <c r="A81" s="89" t="s">
        <v>1529</v>
      </c>
      <c r="B81" s="67" t="s">
        <v>1532</v>
      </c>
      <c r="C81" s="67"/>
      <c r="D81" s="68" t="s">
        <v>1533</v>
      </c>
      <c r="E81" s="67">
        <v>2</v>
      </c>
      <c r="F81" s="69">
        <v>4.75</v>
      </c>
      <c r="G81" s="69">
        <v>12</v>
      </c>
      <c r="H81" s="78">
        <f t="shared" si="8"/>
        <v>24</v>
      </c>
      <c r="I81" s="70"/>
      <c r="J81" s="71">
        <v>0</v>
      </c>
      <c r="K81" s="73">
        <f t="shared" si="6"/>
        <v>24</v>
      </c>
      <c r="L81" s="90">
        <f t="shared" si="7"/>
        <v>9.5</v>
      </c>
      <c r="M81" s="72"/>
    </row>
    <row r="82" spans="1:13" x14ac:dyDescent="0.2">
      <c r="A82" s="89" t="s">
        <v>1529</v>
      </c>
      <c r="B82" s="67" t="s">
        <v>1475</v>
      </c>
      <c r="C82" s="67"/>
      <c r="D82" s="68" t="s">
        <v>20</v>
      </c>
      <c r="E82" s="67">
        <v>5</v>
      </c>
      <c r="F82" s="69">
        <v>84</v>
      </c>
      <c r="G82" s="69">
        <v>157</v>
      </c>
      <c r="H82" s="78">
        <f t="shared" si="8"/>
        <v>785</v>
      </c>
      <c r="I82" s="70"/>
      <c r="J82" s="71">
        <v>0</v>
      </c>
      <c r="K82" s="73">
        <f t="shared" si="6"/>
        <v>785</v>
      </c>
      <c r="L82" s="90">
        <f t="shared" si="7"/>
        <v>420</v>
      </c>
      <c r="M82" s="72"/>
    </row>
    <row r="83" spans="1:13" x14ac:dyDescent="0.2">
      <c r="A83" s="89" t="s">
        <v>1529</v>
      </c>
      <c r="B83" s="67" t="s">
        <v>1534</v>
      </c>
      <c r="C83" s="67"/>
      <c r="D83" s="68" t="s">
        <v>1250</v>
      </c>
      <c r="E83" s="67">
        <v>1</v>
      </c>
      <c r="F83" s="69">
        <v>55</v>
      </c>
      <c r="G83" s="69">
        <v>71.5</v>
      </c>
      <c r="H83" s="78">
        <f t="shared" si="8"/>
        <v>71.5</v>
      </c>
      <c r="I83" s="70"/>
      <c r="J83" s="71">
        <v>0</v>
      </c>
      <c r="K83" s="73">
        <f t="shared" si="6"/>
        <v>71.5</v>
      </c>
      <c r="L83" s="90">
        <f t="shared" si="7"/>
        <v>55</v>
      </c>
      <c r="M83" s="72"/>
    </row>
    <row r="84" spans="1:13" x14ac:dyDescent="0.2">
      <c r="A84" s="89" t="s">
        <v>1529</v>
      </c>
      <c r="B84" s="67" t="s">
        <v>1518</v>
      </c>
      <c r="C84" s="67"/>
      <c r="D84" s="68" t="s">
        <v>1262</v>
      </c>
      <c r="E84" s="67">
        <v>2</v>
      </c>
      <c r="F84" s="69">
        <v>12</v>
      </c>
      <c r="G84" s="69">
        <v>15.75</v>
      </c>
      <c r="H84" s="78">
        <f t="shared" si="8"/>
        <v>31.5</v>
      </c>
      <c r="I84" s="70"/>
      <c r="J84" s="71">
        <v>0</v>
      </c>
      <c r="K84" s="73">
        <f t="shared" si="6"/>
        <v>31.5</v>
      </c>
      <c r="L84" s="90">
        <f t="shared" si="7"/>
        <v>24</v>
      </c>
      <c r="M84" s="72"/>
    </row>
    <row r="85" spans="1:13" x14ac:dyDescent="0.2">
      <c r="A85" s="89" t="s">
        <v>1535</v>
      </c>
      <c r="B85" s="67" t="s">
        <v>1469</v>
      </c>
      <c r="C85" s="67" t="s">
        <v>1536</v>
      </c>
      <c r="D85" s="68" t="s">
        <v>1247</v>
      </c>
      <c r="E85" s="67">
        <v>1</v>
      </c>
      <c r="F85" s="69">
        <v>35.75</v>
      </c>
      <c r="G85" s="69">
        <v>47</v>
      </c>
      <c r="H85" s="78">
        <f t="shared" si="8"/>
        <v>47</v>
      </c>
      <c r="I85" s="70"/>
      <c r="J85" s="71">
        <v>0</v>
      </c>
      <c r="K85" s="73">
        <f t="shared" si="6"/>
        <v>47</v>
      </c>
      <c r="L85" s="90">
        <f t="shared" si="7"/>
        <v>35.75</v>
      </c>
      <c r="M85" s="72"/>
    </row>
    <row r="86" spans="1:13" x14ac:dyDescent="0.2">
      <c r="A86" s="89" t="s">
        <v>1535</v>
      </c>
      <c r="B86" s="67" t="s">
        <v>1468</v>
      </c>
      <c r="C86" s="67"/>
      <c r="D86" s="68" t="s">
        <v>1251</v>
      </c>
      <c r="E86" s="67">
        <v>1</v>
      </c>
      <c r="F86" s="69">
        <v>60</v>
      </c>
      <c r="G86" s="69">
        <v>78</v>
      </c>
      <c r="H86" s="78">
        <f t="shared" si="8"/>
        <v>78</v>
      </c>
      <c r="I86" s="70"/>
      <c r="J86" s="71">
        <v>0</v>
      </c>
      <c r="K86" s="73">
        <f t="shared" si="6"/>
        <v>78</v>
      </c>
      <c r="L86" s="90">
        <f t="shared" si="7"/>
        <v>60</v>
      </c>
      <c r="M86" s="72"/>
    </row>
    <row r="87" spans="1:13" x14ac:dyDescent="0.2">
      <c r="A87" s="89" t="s">
        <v>1535</v>
      </c>
      <c r="B87" s="67" t="s">
        <v>1530</v>
      </c>
      <c r="C87" s="67" t="s">
        <v>1537</v>
      </c>
      <c r="D87" s="68" t="s">
        <v>1332</v>
      </c>
      <c r="E87" s="67">
        <v>5</v>
      </c>
      <c r="F87" s="69">
        <v>14.5</v>
      </c>
      <c r="G87" s="69">
        <v>20</v>
      </c>
      <c r="H87" s="78">
        <f t="shared" si="8"/>
        <v>100</v>
      </c>
      <c r="I87" s="70"/>
      <c r="J87" s="71">
        <v>0</v>
      </c>
      <c r="K87" s="73">
        <f t="shared" si="6"/>
        <v>100</v>
      </c>
      <c r="L87" s="90">
        <f t="shared" si="7"/>
        <v>72.5</v>
      </c>
      <c r="M87" s="72"/>
    </row>
    <row r="88" spans="1:13" x14ac:dyDescent="0.2">
      <c r="A88" s="89" t="s">
        <v>1535</v>
      </c>
      <c r="B88" s="67" t="s">
        <v>1538</v>
      </c>
      <c r="C88" s="67" t="s">
        <v>1539</v>
      </c>
      <c r="D88" s="68" t="s">
        <v>1255</v>
      </c>
      <c r="E88" s="67">
        <v>2</v>
      </c>
      <c r="F88" s="69">
        <v>15</v>
      </c>
      <c r="G88" s="69">
        <v>200</v>
      </c>
      <c r="H88" s="78"/>
      <c r="I88" s="70">
        <f t="shared" ref="I88:I142" si="9">E88*G88</f>
        <v>400</v>
      </c>
      <c r="J88" s="71">
        <v>0</v>
      </c>
      <c r="K88" s="73">
        <f t="shared" si="6"/>
        <v>400</v>
      </c>
      <c r="L88" s="90">
        <f t="shared" si="7"/>
        <v>30</v>
      </c>
      <c r="M88" s="72"/>
    </row>
    <row r="89" spans="1:13" x14ac:dyDescent="0.2">
      <c r="A89" s="89" t="s">
        <v>1535</v>
      </c>
      <c r="B89" s="67" t="s">
        <v>1538</v>
      </c>
      <c r="C89" s="67" t="s">
        <v>1540</v>
      </c>
      <c r="D89" s="68" t="s">
        <v>1255</v>
      </c>
      <c r="E89" s="67">
        <v>1</v>
      </c>
      <c r="F89" s="69">
        <v>15</v>
      </c>
      <c r="G89" s="69">
        <v>200</v>
      </c>
      <c r="H89" s="78"/>
      <c r="I89" s="70">
        <f t="shared" si="9"/>
        <v>200</v>
      </c>
      <c r="J89" s="71">
        <v>0</v>
      </c>
      <c r="K89" s="73">
        <f t="shared" si="6"/>
        <v>200</v>
      </c>
      <c r="L89" s="90">
        <f t="shared" si="7"/>
        <v>15</v>
      </c>
      <c r="M89" s="72"/>
    </row>
    <row r="90" spans="1:13" x14ac:dyDescent="0.2">
      <c r="A90" s="89" t="s">
        <v>1535</v>
      </c>
      <c r="B90" s="67" t="s">
        <v>1538</v>
      </c>
      <c r="C90" s="67" t="s">
        <v>1541</v>
      </c>
      <c r="D90" s="68" t="s">
        <v>1255</v>
      </c>
      <c r="E90" s="67">
        <v>6</v>
      </c>
      <c r="F90" s="69">
        <v>15</v>
      </c>
      <c r="G90" s="69">
        <v>200</v>
      </c>
      <c r="H90" s="78"/>
      <c r="I90" s="70">
        <f t="shared" si="9"/>
        <v>1200</v>
      </c>
      <c r="J90" s="71">
        <v>0</v>
      </c>
      <c r="K90" s="73">
        <f t="shared" si="6"/>
        <v>1200</v>
      </c>
      <c r="L90" s="90">
        <f t="shared" si="7"/>
        <v>90</v>
      </c>
      <c r="M90" s="72"/>
    </row>
    <row r="91" spans="1:13" x14ac:dyDescent="0.2">
      <c r="A91" s="89" t="s">
        <v>1535</v>
      </c>
      <c r="B91" s="67" t="s">
        <v>1538</v>
      </c>
      <c r="C91" s="67" t="s">
        <v>1542</v>
      </c>
      <c r="D91" s="68" t="s">
        <v>1255</v>
      </c>
      <c r="E91" s="67">
        <v>3</v>
      </c>
      <c r="F91" s="69">
        <v>15</v>
      </c>
      <c r="G91" s="69">
        <v>200</v>
      </c>
      <c r="H91" s="78"/>
      <c r="I91" s="70">
        <f t="shared" si="9"/>
        <v>600</v>
      </c>
      <c r="J91" s="71">
        <v>0</v>
      </c>
      <c r="K91" s="73">
        <f t="shared" si="6"/>
        <v>600</v>
      </c>
      <c r="L91" s="90">
        <f t="shared" si="7"/>
        <v>45</v>
      </c>
      <c r="M91" s="72"/>
    </row>
    <row r="92" spans="1:13" x14ac:dyDescent="0.2">
      <c r="A92" s="89" t="s">
        <v>1535</v>
      </c>
      <c r="B92" s="67" t="s">
        <v>1538</v>
      </c>
      <c r="C92" s="67" t="s">
        <v>1543</v>
      </c>
      <c r="D92" s="68" t="s">
        <v>1255</v>
      </c>
      <c r="E92" s="67">
        <v>1</v>
      </c>
      <c r="F92" s="69">
        <v>15</v>
      </c>
      <c r="G92" s="69">
        <v>200</v>
      </c>
      <c r="H92" s="78"/>
      <c r="I92" s="70">
        <f t="shared" si="9"/>
        <v>200</v>
      </c>
      <c r="J92" s="71">
        <v>0</v>
      </c>
      <c r="K92" s="73">
        <f t="shared" si="6"/>
        <v>200</v>
      </c>
      <c r="L92" s="90">
        <f t="shared" si="7"/>
        <v>15</v>
      </c>
      <c r="M92" s="72"/>
    </row>
    <row r="93" spans="1:13" x14ac:dyDescent="0.2">
      <c r="A93" s="89" t="s">
        <v>1535</v>
      </c>
      <c r="B93" s="67" t="s">
        <v>1538</v>
      </c>
      <c r="C93" s="67" t="s">
        <v>1544</v>
      </c>
      <c r="D93" s="68" t="s">
        <v>1255</v>
      </c>
      <c r="E93" s="67">
        <v>4</v>
      </c>
      <c r="F93" s="69">
        <v>15</v>
      </c>
      <c r="G93" s="69">
        <v>200</v>
      </c>
      <c r="H93" s="78"/>
      <c r="I93" s="70">
        <f t="shared" si="9"/>
        <v>800</v>
      </c>
      <c r="J93" s="71">
        <v>0</v>
      </c>
      <c r="K93" s="73">
        <f t="shared" si="6"/>
        <v>800</v>
      </c>
      <c r="L93" s="90">
        <f t="shared" si="7"/>
        <v>60</v>
      </c>
      <c r="M93" s="72"/>
    </row>
    <row r="94" spans="1:13" x14ac:dyDescent="0.2">
      <c r="A94" s="89" t="s">
        <v>1535</v>
      </c>
      <c r="B94" s="67" t="s">
        <v>1461</v>
      </c>
      <c r="C94" s="67" t="s">
        <v>1545</v>
      </c>
      <c r="D94" s="68" t="s">
        <v>1399</v>
      </c>
      <c r="E94" s="67">
        <v>100</v>
      </c>
      <c r="F94" s="69">
        <v>3.1</v>
      </c>
      <c r="G94" s="69">
        <v>5</v>
      </c>
      <c r="H94" s="78"/>
      <c r="I94" s="70">
        <f t="shared" si="9"/>
        <v>500</v>
      </c>
      <c r="J94" s="71">
        <v>0</v>
      </c>
      <c r="K94" s="73">
        <f t="shared" si="6"/>
        <v>500</v>
      </c>
      <c r="L94" s="90">
        <f t="shared" si="7"/>
        <v>310</v>
      </c>
      <c r="M94" s="72"/>
    </row>
    <row r="95" spans="1:13" x14ac:dyDescent="0.2">
      <c r="A95" s="89" t="s">
        <v>1535</v>
      </c>
      <c r="B95" s="67" t="s">
        <v>1460</v>
      </c>
      <c r="C95" s="67"/>
      <c r="D95" s="68" t="s">
        <v>24</v>
      </c>
      <c r="E95" s="67">
        <v>100</v>
      </c>
      <c r="F95" s="69">
        <v>2.7</v>
      </c>
      <c r="G95" s="69">
        <v>8</v>
      </c>
      <c r="H95" s="78"/>
      <c r="I95" s="70">
        <f t="shared" si="9"/>
        <v>800</v>
      </c>
      <c r="J95" s="71">
        <v>0</v>
      </c>
      <c r="K95" s="73">
        <f t="shared" si="6"/>
        <v>800</v>
      </c>
      <c r="L95" s="90">
        <f t="shared" si="7"/>
        <v>270</v>
      </c>
      <c r="M95" s="72"/>
    </row>
    <row r="96" spans="1:13" x14ac:dyDescent="0.2">
      <c r="A96" s="89" t="s">
        <v>1535</v>
      </c>
      <c r="B96" s="67" t="s">
        <v>1546</v>
      </c>
      <c r="C96" s="67"/>
      <c r="D96" s="68" t="s">
        <v>1547</v>
      </c>
      <c r="E96" s="67">
        <v>3</v>
      </c>
      <c r="F96" s="69">
        <v>1032</v>
      </c>
      <c r="G96" s="69">
        <v>1550</v>
      </c>
      <c r="H96" s="78"/>
      <c r="I96" s="70">
        <f t="shared" si="9"/>
        <v>4650</v>
      </c>
      <c r="J96" s="71">
        <v>0</v>
      </c>
      <c r="K96" s="73">
        <f t="shared" si="6"/>
        <v>4650</v>
      </c>
      <c r="L96" s="90">
        <f t="shared" si="7"/>
        <v>3096</v>
      </c>
      <c r="M96" s="72"/>
    </row>
    <row r="97" spans="1:13" x14ac:dyDescent="0.2">
      <c r="A97" s="89" t="s">
        <v>1535</v>
      </c>
      <c r="B97" s="67" t="s">
        <v>1456</v>
      </c>
      <c r="C97" s="67"/>
      <c r="D97" s="68" t="s">
        <v>21</v>
      </c>
      <c r="E97" s="67">
        <v>10</v>
      </c>
      <c r="F97" s="69">
        <v>148.9</v>
      </c>
      <c r="G97" s="69">
        <v>237</v>
      </c>
      <c r="H97" s="78"/>
      <c r="I97" s="70">
        <f t="shared" si="9"/>
        <v>2370</v>
      </c>
      <c r="J97" s="71">
        <v>0</v>
      </c>
      <c r="K97" s="73">
        <f t="shared" si="6"/>
        <v>2370</v>
      </c>
      <c r="L97" s="90">
        <f t="shared" si="7"/>
        <v>1489</v>
      </c>
      <c r="M97" s="72"/>
    </row>
    <row r="98" spans="1:13" x14ac:dyDescent="0.2">
      <c r="A98" s="89" t="s">
        <v>1535</v>
      </c>
      <c r="B98" s="67" t="s">
        <v>1458</v>
      </c>
      <c r="C98" s="67"/>
      <c r="D98" s="68" t="s">
        <v>22</v>
      </c>
      <c r="E98" s="67">
        <v>10</v>
      </c>
      <c r="F98" s="69">
        <v>126</v>
      </c>
      <c r="G98" s="69">
        <v>201</v>
      </c>
      <c r="H98" s="78"/>
      <c r="I98" s="70">
        <f t="shared" si="9"/>
        <v>2010</v>
      </c>
      <c r="J98" s="71">
        <v>0</v>
      </c>
      <c r="K98" s="73">
        <f t="shared" si="6"/>
        <v>2010</v>
      </c>
      <c r="L98" s="90">
        <f t="shared" si="7"/>
        <v>1260</v>
      </c>
      <c r="M98" s="72"/>
    </row>
    <row r="99" spans="1:13" x14ac:dyDescent="0.2">
      <c r="A99" s="89" t="s">
        <v>1535</v>
      </c>
      <c r="B99" s="67" t="s">
        <v>1503</v>
      </c>
      <c r="C99" s="67" t="s">
        <v>1548</v>
      </c>
      <c r="D99" s="68" t="s">
        <v>1344</v>
      </c>
      <c r="E99" s="67">
        <v>1</v>
      </c>
      <c r="F99" s="69">
        <v>167.8</v>
      </c>
      <c r="G99" s="69">
        <v>460</v>
      </c>
      <c r="H99" s="78"/>
      <c r="I99" s="70">
        <f t="shared" si="9"/>
        <v>460</v>
      </c>
      <c r="J99" s="71">
        <v>0</v>
      </c>
      <c r="K99" s="73">
        <f t="shared" si="6"/>
        <v>460</v>
      </c>
      <c r="L99" s="90">
        <f t="shared" si="7"/>
        <v>167.8</v>
      </c>
      <c r="M99" s="72"/>
    </row>
    <row r="100" spans="1:13" x14ac:dyDescent="0.2">
      <c r="A100" s="89" t="s">
        <v>1535</v>
      </c>
      <c r="B100" s="67" t="s">
        <v>1453</v>
      </c>
      <c r="C100" s="67"/>
      <c r="D100" s="68" t="s">
        <v>26</v>
      </c>
      <c r="E100" s="67">
        <v>2</v>
      </c>
      <c r="F100" s="69">
        <v>167.8</v>
      </c>
      <c r="G100" s="69">
        <v>360</v>
      </c>
      <c r="H100" s="78"/>
      <c r="I100" s="70">
        <f t="shared" si="9"/>
        <v>720</v>
      </c>
      <c r="J100" s="71">
        <v>0</v>
      </c>
      <c r="K100" s="73">
        <f t="shared" si="6"/>
        <v>720</v>
      </c>
      <c r="L100" s="90">
        <f t="shared" si="7"/>
        <v>335.6</v>
      </c>
      <c r="M100" s="72"/>
    </row>
    <row r="101" spans="1:13" x14ac:dyDescent="0.2">
      <c r="A101" s="89" t="s">
        <v>1535</v>
      </c>
      <c r="B101" s="67" t="s">
        <v>1455</v>
      </c>
      <c r="C101" s="67"/>
      <c r="D101" s="68" t="s">
        <v>25</v>
      </c>
      <c r="E101" s="67">
        <v>6</v>
      </c>
      <c r="F101" s="69">
        <v>115.85</v>
      </c>
      <c r="G101" s="69">
        <v>280</v>
      </c>
      <c r="H101" s="78"/>
      <c r="I101" s="70">
        <f t="shared" si="9"/>
        <v>1680</v>
      </c>
      <c r="J101" s="71">
        <v>0</v>
      </c>
      <c r="K101" s="73">
        <f t="shared" si="6"/>
        <v>1680</v>
      </c>
      <c r="L101" s="90">
        <f t="shared" si="7"/>
        <v>695.09999999999991</v>
      </c>
      <c r="M101" s="72"/>
    </row>
    <row r="102" spans="1:13" x14ac:dyDescent="0.2">
      <c r="A102" s="89" t="s">
        <v>1535</v>
      </c>
      <c r="B102" s="67" t="s">
        <v>1453</v>
      </c>
      <c r="C102" s="67" t="s">
        <v>1549</v>
      </c>
      <c r="D102" s="68" t="s">
        <v>26</v>
      </c>
      <c r="E102" s="67">
        <v>3</v>
      </c>
      <c r="F102" s="69">
        <v>167.8</v>
      </c>
      <c r="G102" s="69">
        <v>360</v>
      </c>
      <c r="H102" s="78"/>
      <c r="I102" s="70">
        <f t="shared" si="9"/>
        <v>1080</v>
      </c>
      <c r="J102" s="71">
        <v>0</v>
      </c>
      <c r="K102" s="73">
        <f t="shared" si="6"/>
        <v>1080</v>
      </c>
      <c r="L102" s="90">
        <f t="shared" si="7"/>
        <v>503.40000000000003</v>
      </c>
      <c r="M102" s="72"/>
    </row>
    <row r="103" spans="1:13" x14ac:dyDescent="0.2">
      <c r="A103" s="89" t="s">
        <v>1535</v>
      </c>
      <c r="B103" s="67" t="s">
        <v>1514</v>
      </c>
      <c r="C103" s="67"/>
      <c r="D103" s="68" t="s">
        <v>1343</v>
      </c>
      <c r="E103" s="67">
        <v>2</v>
      </c>
      <c r="F103" s="69">
        <v>88</v>
      </c>
      <c r="G103" s="69">
        <v>280</v>
      </c>
      <c r="H103" s="78"/>
      <c r="I103" s="70">
        <f t="shared" si="9"/>
        <v>560</v>
      </c>
      <c r="J103" s="71">
        <v>0</v>
      </c>
      <c r="K103" s="73">
        <f t="shared" si="6"/>
        <v>560</v>
      </c>
      <c r="L103" s="90">
        <f t="shared" si="7"/>
        <v>176</v>
      </c>
      <c r="M103" s="72"/>
    </row>
    <row r="104" spans="1:13" x14ac:dyDescent="0.2">
      <c r="A104" s="89" t="s">
        <v>1535</v>
      </c>
      <c r="B104" s="67" t="s">
        <v>1458</v>
      </c>
      <c r="C104" s="67" t="s">
        <v>1550</v>
      </c>
      <c r="D104" s="68" t="s">
        <v>22</v>
      </c>
      <c r="E104" s="67">
        <v>10</v>
      </c>
      <c r="F104" s="69">
        <v>126</v>
      </c>
      <c r="G104" s="69">
        <v>201</v>
      </c>
      <c r="H104" s="78"/>
      <c r="I104" s="70">
        <f t="shared" si="9"/>
        <v>2010</v>
      </c>
      <c r="J104" s="71">
        <v>0</v>
      </c>
      <c r="K104" s="73">
        <f t="shared" si="6"/>
        <v>2010</v>
      </c>
      <c r="L104" s="90">
        <f t="shared" si="7"/>
        <v>1260</v>
      </c>
      <c r="M104" s="72"/>
    </row>
    <row r="105" spans="1:13" x14ac:dyDescent="0.2">
      <c r="A105" s="89" t="s">
        <v>1535</v>
      </c>
      <c r="B105" s="67" t="s">
        <v>1475</v>
      </c>
      <c r="C105" s="67"/>
      <c r="D105" s="68" t="s">
        <v>20</v>
      </c>
      <c r="E105" s="67">
        <v>5</v>
      </c>
      <c r="F105" s="69">
        <v>84</v>
      </c>
      <c r="G105" s="69">
        <v>157</v>
      </c>
      <c r="H105" s="78"/>
      <c r="I105" s="70">
        <f t="shared" si="9"/>
        <v>785</v>
      </c>
      <c r="J105" s="71">
        <v>0</v>
      </c>
      <c r="K105" s="73">
        <f t="shared" si="6"/>
        <v>785</v>
      </c>
      <c r="L105" s="90">
        <f t="shared" si="7"/>
        <v>420</v>
      </c>
      <c r="M105" s="72"/>
    </row>
    <row r="106" spans="1:13" x14ac:dyDescent="0.2">
      <c r="A106" s="89" t="s">
        <v>1535</v>
      </c>
      <c r="B106" s="67" t="s">
        <v>1551</v>
      </c>
      <c r="C106" s="67"/>
      <c r="D106" s="68" t="s">
        <v>1552</v>
      </c>
      <c r="E106" s="67">
        <v>1</v>
      </c>
      <c r="F106" s="69">
        <v>100</v>
      </c>
      <c r="G106" s="69">
        <v>130</v>
      </c>
      <c r="H106" s="78"/>
      <c r="I106" s="70">
        <f t="shared" si="9"/>
        <v>130</v>
      </c>
      <c r="J106" s="71">
        <v>0</v>
      </c>
      <c r="K106" s="73">
        <f t="shared" si="6"/>
        <v>130</v>
      </c>
      <c r="L106" s="90">
        <f t="shared" si="7"/>
        <v>100</v>
      </c>
      <c r="M106" s="72"/>
    </row>
    <row r="107" spans="1:13" x14ac:dyDescent="0.2">
      <c r="A107" s="89" t="s">
        <v>1535</v>
      </c>
      <c r="B107" s="67" t="s">
        <v>1489</v>
      </c>
      <c r="C107" s="67"/>
      <c r="D107" s="68" t="s">
        <v>29</v>
      </c>
      <c r="E107" s="67">
        <v>5</v>
      </c>
      <c r="F107" s="69">
        <v>21.5</v>
      </c>
      <c r="G107" s="69">
        <v>28</v>
      </c>
      <c r="H107" s="78"/>
      <c r="I107" s="70">
        <f t="shared" si="9"/>
        <v>140</v>
      </c>
      <c r="J107" s="71">
        <v>0</v>
      </c>
      <c r="K107" s="73">
        <f t="shared" si="6"/>
        <v>140</v>
      </c>
      <c r="L107" s="90">
        <f t="shared" si="7"/>
        <v>107.5</v>
      </c>
      <c r="M107" s="72"/>
    </row>
    <row r="108" spans="1:13" x14ac:dyDescent="0.2">
      <c r="A108" s="89" t="s">
        <v>1535</v>
      </c>
      <c r="B108" s="67" t="s">
        <v>1459</v>
      </c>
      <c r="C108" s="67"/>
      <c r="D108" s="68" t="s">
        <v>1259</v>
      </c>
      <c r="E108" s="67">
        <v>5</v>
      </c>
      <c r="F108" s="69">
        <v>40</v>
      </c>
      <c r="G108" s="69">
        <v>52</v>
      </c>
      <c r="H108" s="78"/>
      <c r="I108" s="70">
        <f t="shared" si="9"/>
        <v>260</v>
      </c>
      <c r="J108" s="71">
        <v>0</v>
      </c>
      <c r="K108" s="73">
        <f t="shared" si="6"/>
        <v>260</v>
      </c>
      <c r="L108" s="90">
        <f t="shared" si="7"/>
        <v>200</v>
      </c>
      <c r="M108" s="72"/>
    </row>
    <row r="109" spans="1:13" x14ac:dyDescent="0.2">
      <c r="A109" s="89" t="s">
        <v>1535</v>
      </c>
      <c r="B109" s="67" t="s">
        <v>1553</v>
      </c>
      <c r="C109" s="67"/>
      <c r="D109" s="68" t="s">
        <v>1263</v>
      </c>
      <c r="E109" s="67">
        <v>5</v>
      </c>
      <c r="F109" s="69">
        <v>24</v>
      </c>
      <c r="G109" s="69">
        <v>31.25</v>
      </c>
      <c r="H109" s="70"/>
      <c r="I109" s="70">
        <f t="shared" si="9"/>
        <v>156.25</v>
      </c>
      <c r="J109" s="71">
        <v>0</v>
      </c>
      <c r="K109" s="73">
        <f t="shared" si="6"/>
        <v>156.25</v>
      </c>
      <c r="L109" s="90">
        <f t="shared" si="7"/>
        <v>120</v>
      </c>
      <c r="M109" s="72"/>
    </row>
    <row r="110" spans="1:13" x14ac:dyDescent="0.2">
      <c r="A110" s="89" t="s">
        <v>1535</v>
      </c>
      <c r="B110" s="67" t="s">
        <v>1554</v>
      </c>
      <c r="C110" s="67"/>
      <c r="D110" s="68" t="s">
        <v>30</v>
      </c>
      <c r="E110" s="67">
        <v>100</v>
      </c>
      <c r="F110" s="69">
        <v>0.54</v>
      </c>
      <c r="G110" s="69">
        <v>1.5</v>
      </c>
      <c r="H110" s="78"/>
      <c r="I110" s="70">
        <f t="shared" si="9"/>
        <v>150</v>
      </c>
      <c r="J110" s="71">
        <v>0</v>
      </c>
      <c r="K110" s="73">
        <f t="shared" si="6"/>
        <v>150</v>
      </c>
      <c r="L110" s="90">
        <f t="shared" si="7"/>
        <v>54</v>
      </c>
      <c r="M110" s="72"/>
    </row>
    <row r="111" spans="1:13" x14ac:dyDescent="0.2">
      <c r="A111" s="89" t="s">
        <v>1535</v>
      </c>
      <c r="B111" s="67" t="s">
        <v>1460</v>
      </c>
      <c r="C111" s="67"/>
      <c r="D111" s="68" t="s">
        <v>24</v>
      </c>
      <c r="E111" s="67">
        <v>50</v>
      </c>
      <c r="F111" s="69">
        <v>2.7</v>
      </c>
      <c r="G111" s="69">
        <v>8</v>
      </c>
      <c r="H111" s="78"/>
      <c r="I111" s="70">
        <f t="shared" si="9"/>
        <v>400</v>
      </c>
      <c r="J111" s="71">
        <v>0</v>
      </c>
      <c r="K111" s="73">
        <f t="shared" si="6"/>
        <v>400</v>
      </c>
      <c r="L111" s="90">
        <f t="shared" si="7"/>
        <v>135</v>
      </c>
      <c r="M111" s="72"/>
    </row>
    <row r="112" spans="1:13" x14ac:dyDescent="0.2">
      <c r="A112" s="89" t="s">
        <v>1535</v>
      </c>
      <c r="B112" s="67" t="s">
        <v>1456</v>
      </c>
      <c r="C112" s="67" t="s">
        <v>1555</v>
      </c>
      <c r="D112" s="68" t="s">
        <v>21</v>
      </c>
      <c r="E112" s="67">
        <v>15</v>
      </c>
      <c r="F112" s="69">
        <v>148.9</v>
      </c>
      <c r="G112" s="69">
        <v>237</v>
      </c>
      <c r="H112" s="78"/>
      <c r="I112" s="70">
        <f t="shared" si="9"/>
        <v>3555</v>
      </c>
      <c r="J112" s="71">
        <v>0</v>
      </c>
      <c r="K112" s="73">
        <f t="shared" si="6"/>
        <v>3555</v>
      </c>
      <c r="L112" s="90">
        <f t="shared" si="7"/>
        <v>2233.5</v>
      </c>
      <c r="M112" s="72"/>
    </row>
    <row r="113" spans="1:13" x14ac:dyDescent="0.2">
      <c r="A113" s="89" t="s">
        <v>1535</v>
      </c>
      <c r="B113" s="67" t="s">
        <v>1458</v>
      </c>
      <c r="C113" s="67"/>
      <c r="D113" s="68" t="s">
        <v>22</v>
      </c>
      <c r="E113" s="67">
        <v>15</v>
      </c>
      <c r="F113" s="69">
        <v>126</v>
      </c>
      <c r="G113" s="69">
        <v>201</v>
      </c>
      <c r="H113" s="78"/>
      <c r="I113" s="70">
        <f t="shared" si="9"/>
        <v>3015</v>
      </c>
      <c r="J113" s="71">
        <v>0</v>
      </c>
      <c r="K113" s="73">
        <f t="shared" si="6"/>
        <v>3015</v>
      </c>
      <c r="L113" s="90">
        <f t="shared" si="7"/>
        <v>1890</v>
      </c>
      <c r="M113" s="72"/>
    </row>
    <row r="114" spans="1:13" x14ac:dyDescent="0.2">
      <c r="A114" s="89" t="s">
        <v>1535</v>
      </c>
      <c r="B114" s="67" t="s">
        <v>1553</v>
      </c>
      <c r="C114" s="67"/>
      <c r="D114" s="68" t="s">
        <v>1263</v>
      </c>
      <c r="E114" s="67">
        <v>5</v>
      </c>
      <c r="F114" s="69">
        <v>24</v>
      </c>
      <c r="G114" s="69">
        <v>31.25</v>
      </c>
      <c r="H114" s="78"/>
      <c r="I114" s="70">
        <f t="shared" si="9"/>
        <v>156.25</v>
      </c>
      <c r="J114" s="71">
        <v>0</v>
      </c>
      <c r="K114" s="73">
        <f t="shared" si="6"/>
        <v>156.25</v>
      </c>
      <c r="L114" s="90">
        <f t="shared" si="7"/>
        <v>120</v>
      </c>
      <c r="M114" s="72"/>
    </row>
    <row r="115" spans="1:13" x14ac:dyDescent="0.2">
      <c r="A115" s="89" t="s">
        <v>1535</v>
      </c>
      <c r="B115" s="67" t="s">
        <v>1507</v>
      </c>
      <c r="C115" s="67"/>
      <c r="D115" s="68" t="s">
        <v>1252</v>
      </c>
      <c r="E115" s="67">
        <v>2</v>
      </c>
      <c r="F115" s="69">
        <v>30</v>
      </c>
      <c r="G115" s="69">
        <v>39</v>
      </c>
      <c r="H115" s="78"/>
      <c r="I115" s="70">
        <f t="shared" si="9"/>
        <v>78</v>
      </c>
      <c r="J115" s="71">
        <v>0</v>
      </c>
      <c r="K115" s="73">
        <f t="shared" si="6"/>
        <v>78</v>
      </c>
      <c r="L115" s="90">
        <f t="shared" si="7"/>
        <v>60</v>
      </c>
      <c r="M115" s="72"/>
    </row>
    <row r="116" spans="1:13" x14ac:dyDescent="0.2">
      <c r="A116" s="89" t="s">
        <v>1535</v>
      </c>
      <c r="B116" s="67" t="s">
        <v>1489</v>
      </c>
      <c r="C116" s="67"/>
      <c r="D116" s="68" t="s">
        <v>29</v>
      </c>
      <c r="E116" s="67">
        <v>12</v>
      </c>
      <c r="F116" s="69">
        <v>21.5</v>
      </c>
      <c r="G116" s="69">
        <v>28</v>
      </c>
      <c r="H116" s="78"/>
      <c r="I116" s="70">
        <f t="shared" si="9"/>
        <v>336</v>
      </c>
      <c r="J116" s="71">
        <v>0</v>
      </c>
      <c r="K116" s="73">
        <f t="shared" si="6"/>
        <v>336</v>
      </c>
      <c r="L116" s="90">
        <f t="shared" si="7"/>
        <v>258</v>
      </c>
      <c r="M116" s="72"/>
    </row>
    <row r="117" spans="1:13" x14ac:dyDescent="0.2">
      <c r="A117" s="89" t="s">
        <v>1535</v>
      </c>
      <c r="B117" s="67" t="s">
        <v>1458</v>
      </c>
      <c r="C117" s="67" t="s">
        <v>1556</v>
      </c>
      <c r="D117" s="68" t="s">
        <v>22</v>
      </c>
      <c r="E117" s="67">
        <v>10</v>
      </c>
      <c r="F117" s="69">
        <v>126</v>
      </c>
      <c r="G117" s="69">
        <v>201</v>
      </c>
      <c r="H117" s="78"/>
      <c r="I117" s="70">
        <f t="shared" si="9"/>
        <v>2010</v>
      </c>
      <c r="J117" s="71">
        <v>0</v>
      </c>
      <c r="K117" s="73">
        <f t="shared" si="6"/>
        <v>2010</v>
      </c>
      <c r="L117" s="90">
        <f t="shared" si="7"/>
        <v>1260</v>
      </c>
      <c r="M117" s="72"/>
    </row>
    <row r="118" spans="1:13" x14ac:dyDescent="0.2">
      <c r="A118" s="89" t="s">
        <v>1535</v>
      </c>
      <c r="B118" s="67" t="s">
        <v>1500</v>
      </c>
      <c r="C118" s="67"/>
      <c r="D118" s="68" t="s">
        <v>1339</v>
      </c>
      <c r="E118" s="67">
        <v>20</v>
      </c>
      <c r="F118" s="69">
        <v>1.75</v>
      </c>
      <c r="G118" s="69">
        <v>3</v>
      </c>
      <c r="H118" s="78"/>
      <c r="I118" s="70">
        <f t="shared" si="9"/>
        <v>60</v>
      </c>
      <c r="J118" s="71">
        <v>0</v>
      </c>
      <c r="K118" s="73">
        <f t="shared" si="6"/>
        <v>60</v>
      </c>
      <c r="L118" s="90">
        <f t="shared" si="7"/>
        <v>35</v>
      </c>
      <c r="M118" s="72"/>
    </row>
    <row r="119" spans="1:13" x14ac:dyDescent="0.2">
      <c r="A119" s="89" t="s">
        <v>1535</v>
      </c>
      <c r="B119" s="67" t="s">
        <v>1557</v>
      </c>
      <c r="C119" s="67"/>
      <c r="D119" s="68" t="s">
        <v>1558</v>
      </c>
      <c r="E119" s="67">
        <v>50</v>
      </c>
      <c r="F119" s="69">
        <v>1.56</v>
      </c>
      <c r="G119" s="69">
        <v>5</v>
      </c>
      <c r="H119" s="78"/>
      <c r="I119" s="70">
        <f t="shared" si="9"/>
        <v>250</v>
      </c>
      <c r="J119" s="71">
        <v>0</v>
      </c>
      <c r="K119" s="73">
        <f t="shared" si="6"/>
        <v>250</v>
      </c>
      <c r="L119" s="90">
        <f t="shared" si="7"/>
        <v>78</v>
      </c>
      <c r="M119" s="72"/>
    </row>
    <row r="120" spans="1:13" x14ac:dyDescent="0.2">
      <c r="A120" s="89" t="s">
        <v>1535</v>
      </c>
      <c r="B120" s="67" t="s">
        <v>1503</v>
      </c>
      <c r="C120" s="67" t="s">
        <v>1559</v>
      </c>
      <c r="D120" s="68" t="s">
        <v>1344</v>
      </c>
      <c r="E120" s="67">
        <v>2</v>
      </c>
      <c r="F120" s="69">
        <v>167.8</v>
      </c>
      <c r="G120" s="69">
        <v>460</v>
      </c>
      <c r="H120" s="78"/>
      <c r="I120" s="70">
        <f t="shared" si="9"/>
        <v>920</v>
      </c>
      <c r="J120" s="71">
        <v>0</v>
      </c>
      <c r="K120" s="73">
        <f t="shared" si="6"/>
        <v>920</v>
      </c>
      <c r="L120" s="90">
        <f t="shared" si="7"/>
        <v>335.6</v>
      </c>
      <c r="M120" s="72"/>
    </row>
    <row r="121" spans="1:13" x14ac:dyDescent="0.2">
      <c r="A121" s="89" t="s">
        <v>1535</v>
      </c>
      <c r="B121" s="67" t="s">
        <v>1455</v>
      </c>
      <c r="C121" s="67"/>
      <c r="D121" s="68" t="s">
        <v>25</v>
      </c>
      <c r="E121" s="67">
        <v>1</v>
      </c>
      <c r="F121" s="69">
        <v>115.85</v>
      </c>
      <c r="G121" s="69">
        <v>280</v>
      </c>
      <c r="H121" s="78"/>
      <c r="I121" s="70">
        <f t="shared" si="9"/>
        <v>280</v>
      </c>
      <c r="J121" s="71">
        <v>0</v>
      </c>
      <c r="K121" s="73">
        <f t="shared" si="6"/>
        <v>280</v>
      </c>
      <c r="L121" s="90">
        <f t="shared" si="7"/>
        <v>115.85</v>
      </c>
      <c r="M121" s="72"/>
    </row>
    <row r="122" spans="1:13" x14ac:dyDescent="0.2">
      <c r="A122" s="89" t="s">
        <v>1535</v>
      </c>
      <c r="B122" s="67" t="s">
        <v>1560</v>
      </c>
      <c r="C122" s="67" t="s">
        <v>1561</v>
      </c>
      <c r="D122" s="68" t="s">
        <v>1264</v>
      </c>
      <c r="E122" s="67">
        <v>20</v>
      </c>
      <c r="F122" s="69">
        <v>16</v>
      </c>
      <c r="G122" s="69">
        <v>21</v>
      </c>
      <c r="H122" s="78"/>
      <c r="I122" s="70">
        <f t="shared" si="9"/>
        <v>420</v>
      </c>
      <c r="J122" s="71">
        <v>0</v>
      </c>
      <c r="K122" s="73">
        <f t="shared" si="6"/>
        <v>420</v>
      </c>
      <c r="L122" s="90">
        <f t="shared" si="7"/>
        <v>320</v>
      </c>
      <c r="M122" s="72"/>
    </row>
    <row r="123" spans="1:13" x14ac:dyDescent="0.2">
      <c r="A123" s="89" t="s">
        <v>1535</v>
      </c>
      <c r="B123" s="67" t="s">
        <v>1488</v>
      </c>
      <c r="C123" s="67"/>
      <c r="D123" s="68" t="s">
        <v>1249</v>
      </c>
      <c r="E123" s="67">
        <v>20</v>
      </c>
      <c r="F123" s="69">
        <v>14.5</v>
      </c>
      <c r="G123" s="69">
        <v>20</v>
      </c>
      <c r="H123" s="78"/>
      <c r="I123" s="70">
        <f t="shared" si="9"/>
        <v>400</v>
      </c>
      <c r="J123" s="71">
        <v>0</v>
      </c>
      <c r="K123" s="73">
        <f t="shared" si="6"/>
        <v>400</v>
      </c>
      <c r="L123" s="90">
        <f t="shared" si="7"/>
        <v>290</v>
      </c>
      <c r="M123" s="72"/>
    </row>
    <row r="124" spans="1:13" x14ac:dyDescent="0.2">
      <c r="A124" s="89" t="s">
        <v>1535</v>
      </c>
      <c r="B124" s="67" t="s">
        <v>1562</v>
      </c>
      <c r="C124" s="67" t="s">
        <v>1563</v>
      </c>
      <c r="D124" s="68" t="s">
        <v>1424</v>
      </c>
      <c r="E124" s="67">
        <v>320</v>
      </c>
      <c r="F124" s="69">
        <v>223.9</v>
      </c>
      <c r="G124" s="69">
        <v>285</v>
      </c>
      <c r="H124" s="78"/>
      <c r="I124" s="70">
        <f t="shared" si="9"/>
        <v>91200</v>
      </c>
      <c r="J124" s="71">
        <v>0</v>
      </c>
      <c r="K124" s="73">
        <f t="shared" si="6"/>
        <v>91200</v>
      </c>
      <c r="L124" s="90">
        <f t="shared" si="7"/>
        <v>71648</v>
      </c>
      <c r="M124" s="72"/>
    </row>
    <row r="125" spans="1:13" x14ac:dyDescent="0.2">
      <c r="A125" s="89" t="s">
        <v>1535</v>
      </c>
      <c r="B125" s="67" t="s">
        <v>1562</v>
      </c>
      <c r="C125" s="67" t="s">
        <v>1564</v>
      </c>
      <c r="D125" s="68" t="s">
        <v>1424</v>
      </c>
      <c r="E125" s="67">
        <v>320</v>
      </c>
      <c r="F125" s="69">
        <v>223.9</v>
      </c>
      <c r="G125" s="69">
        <v>285</v>
      </c>
      <c r="H125" s="78"/>
      <c r="I125" s="70">
        <f t="shared" si="9"/>
        <v>91200</v>
      </c>
      <c r="J125" s="71">
        <v>0</v>
      </c>
      <c r="K125" s="73">
        <f t="shared" si="6"/>
        <v>91200</v>
      </c>
      <c r="L125" s="90">
        <f t="shared" si="7"/>
        <v>71648</v>
      </c>
      <c r="M125" s="72"/>
    </row>
    <row r="126" spans="1:13" x14ac:dyDescent="0.2">
      <c r="A126" s="89" t="s">
        <v>1535</v>
      </c>
      <c r="B126" s="67" t="s">
        <v>1562</v>
      </c>
      <c r="C126" s="67" t="s">
        <v>1565</v>
      </c>
      <c r="D126" s="68" t="s">
        <v>1424</v>
      </c>
      <c r="E126" s="67">
        <v>160</v>
      </c>
      <c r="F126" s="69">
        <v>223.9</v>
      </c>
      <c r="G126" s="69">
        <v>285</v>
      </c>
      <c r="H126" s="78"/>
      <c r="I126" s="70">
        <f t="shared" si="9"/>
        <v>45600</v>
      </c>
      <c r="J126" s="71">
        <v>0</v>
      </c>
      <c r="K126" s="73">
        <f t="shared" si="6"/>
        <v>45600</v>
      </c>
      <c r="L126" s="90">
        <f t="shared" si="7"/>
        <v>35824</v>
      </c>
      <c r="M126" s="72"/>
    </row>
    <row r="127" spans="1:13" x14ac:dyDescent="0.2">
      <c r="A127" s="89" t="s">
        <v>1535</v>
      </c>
      <c r="B127" s="67" t="s">
        <v>1518</v>
      </c>
      <c r="C127" s="67" t="s">
        <v>1566</v>
      </c>
      <c r="D127" s="68" t="s">
        <v>1262</v>
      </c>
      <c r="E127" s="67">
        <v>3</v>
      </c>
      <c r="F127" s="69">
        <v>12</v>
      </c>
      <c r="G127" s="69">
        <v>15.75</v>
      </c>
      <c r="H127" s="78"/>
      <c r="I127" s="70">
        <f t="shared" si="9"/>
        <v>47.25</v>
      </c>
      <c r="J127" s="71">
        <v>0</v>
      </c>
      <c r="K127" s="73">
        <f t="shared" si="6"/>
        <v>47.25</v>
      </c>
      <c r="L127" s="90">
        <f t="shared" si="7"/>
        <v>36</v>
      </c>
      <c r="M127" s="72"/>
    </row>
    <row r="128" spans="1:13" x14ac:dyDescent="0.2">
      <c r="A128" s="89" t="s">
        <v>1535</v>
      </c>
      <c r="B128" s="67" t="s">
        <v>1567</v>
      </c>
      <c r="C128" s="67" t="s">
        <v>1568</v>
      </c>
      <c r="D128" s="68" t="s">
        <v>1569</v>
      </c>
      <c r="E128" s="67">
        <v>40000</v>
      </c>
      <c r="F128" s="69">
        <v>0.7</v>
      </c>
      <c r="G128" s="69">
        <v>0.95</v>
      </c>
      <c r="H128" s="78"/>
      <c r="I128" s="70">
        <f t="shared" si="9"/>
        <v>38000</v>
      </c>
      <c r="J128" s="71">
        <v>0</v>
      </c>
      <c r="K128" s="73">
        <f t="shared" si="6"/>
        <v>38000</v>
      </c>
      <c r="L128" s="90">
        <f t="shared" si="7"/>
        <v>28000</v>
      </c>
      <c r="M128" s="72"/>
    </row>
    <row r="129" spans="1:13" x14ac:dyDescent="0.2">
      <c r="A129" s="89" t="s">
        <v>1535</v>
      </c>
      <c r="B129" s="67" t="s">
        <v>1453</v>
      </c>
      <c r="C129" s="67" t="s">
        <v>1570</v>
      </c>
      <c r="D129" s="68" t="s">
        <v>26</v>
      </c>
      <c r="E129" s="67">
        <v>3</v>
      </c>
      <c r="F129" s="69">
        <v>167.8</v>
      </c>
      <c r="G129" s="69">
        <v>360</v>
      </c>
      <c r="H129" s="78"/>
      <c r="I129" s="70">
        <f t="shared" si="9"/>
        <v>1080</v>
      </c>
      <c r="J129" s="71">
        <v>0</v>
      </c>
      <c r="K129" s="73">
        <f t="shared" si="6"/>
        <v>1080</v>
      </c>
      <c r="L129" s="90">
        <f t="shared" si="7"/>
        <v>503.40000000000003</v>
      </c>
      <c r="M129" s="72"/>
    </row>
    <row r="130" spans="1:13" x14ac:dyDescent="0.2">
      <c r="A130" s="89" t="s">
        <v>1535</v>
      </c>
      <c r="B130" s="67" t="s">
        <v>1455</v>
      </c>
      <c r="C130" s="67"/>
      <c r="D130" s="68" t="s">
        <v>25</v>
      </c>
      <c r="E130" s="67">
        <v>5</v>
      </c>
      <c r="F130" s="69">
        <v>115.85</v>
      </c>
      <c r="G130" s="69">
        <v>280</v>
      </c>
      <c r="H130" s="78"/>
      <c r="I130" s="70">
        <f t="shared" si="9"/>
        <v>1400</v>
      </c>
      <c r="J130" s="71">
        <v>0</v>
      </c>
      <c r="K130" s="73">
        <f t="shared" si="6"/>
        <v>1400</v>
      </c>
      <c r="L130" s="90">
        <f t="shared" si="7"/>
        <v>579.25</v>
      </c>
      <c r="M130" s="72"/>
    </row>
    <row r="131" spans="1:13" x14ac:dyDescent="0.2">
      <c r="A131" s="89" t="s">
        <v>1535</v>
      </c>
      <c r="B131" s="67" t="s">
        <v>1455</v>
      </c>
      <c r="C131" s="67" t="s">
        <v>1571</v>
      </c>
      <c r="D131" s="68" t="s">
        <v>25</v>
      </c>
      <c r="E131" s="67">
        <v>6</v>
      </c>
      <c r="F131" s="69">
        <v>115.85</v>
      </c>
      <c r="G131" s="69">
        <v>280</v>
      </c>
      <c r="H131" s="78"/>
      <c r="I131" s="70">
        <f t="shared" si="9"/>
        <v>1680</v>
      </c>
      <c r="J131" s="71">
        <v>0</v>
      </c>
      <c r="K131" s="73">
        <f t="shared" si="6"/>
        <v>1680</v>
      </c>
      <c r="L131" s="90">
        <f t="shared" si="7"/>
        <v>695.09999999999991</v>
      </c>
      <c r="M131" s="72"/>
    </row>
    <row r="132" spans="1:13" x14ac:dyDescent="0.2">
      <c r="A132" s="89" t="s">
        <v>1535</v>
      </c>
      <c r="B132" s="67" t="s">
        <v>1453</v>
      </c>
      <c r="C132" s="67"/>
      <c r="D132" s="68" t="s">
        <v>26</v>
      </c>
      <c r="E132" s="67">
        <v>4</v>
      </c>
      <c r="F132" s="69">
        <v>167.8</v>
      </c>
      <c r="G132" s="69">
        <v>360</v>
      </c>
      <c r="H132" s="78"/>
      <c r="I132" s="70">
        <f t="shared" si="9"/>
        <v>1440</v>
      </c>
      <c r="J132" s="71">
        <v>0</v>
      </c>
      <c r="K132" s="73">
        <f t="shared" si="6"/>
        <v>1440</v>
      </c>
      <c r="L132" s="90">
        <f t="shared" si="7"/>
        <v>671.2</v>
      </c>
      <c r="M132" s="72"/>
    </row>
    <row r="133" spans="1:13" x14ac:dyDescent="0.2">
      <c r="A133" s="89" t="s">
        <v>1535</v>
      </c>
      <c r="B133" s="67" t="s">
        <v>1503</v>
      </c>
      <c r="C133" s="67"/>
      <c r="D133" s="68" t="s">
        <v>1344</v>
      </c>
      <c r="E133" s="67">
        <v>8</v>
      </c>
      <c r="F133" s="69">
        <v>167.8</v>
      </c>
      <c r="G133" s="69">
        <v>460</v>
      </c>
      <c r="H133" s="78"/>
      <c r="I133" s="70">
        <f t="shared" si="9"/>
        <v>3680</v>
      </c>
      <c r="J133" s="71">
        <v>0</v>
      </c>
      <c r="K133" s="73">
        <f t="shared" si="6"/>
        <v>3680</v>
      </c>
      <c r="L133" s="90">
        <f t="shared" si="7"/>
        <v>1342.4</v>
      </c>
      <c r="M133" s="72"/>
    </row>
    <row r="134" spans="1:13" x14ac:dyDescent="0.2">
      <c r="A134" s="89" t="s">
        <v>1535</v>
      </c>
      <c r="B134" s="67" t="s">
        <v>1503</v>
      </c>
      <c r="C134" s="67" t="s">
        <v>1572</v>
      </c>
      <c r="D134" s="68" t="s">
        <v>1344</v>
      </c>
      <c r="E134" s="67">
        <v>1</v>
      </c>
      <c r="F134" s="69">
        <v>167.8</v>
      </c>
      <c r="G134" s="69">
        <v>460</v>
      </c>
      <c r="H134" s="78"/>
      <c r="I134" s="70">
        <f t="shared" si="9"/>
        <v>460</v>
      </c>
      <c r="J134" s="71">
        <v>0</v>
      </c>
      <c r="K134" s="73">
        <f t="shared" si="6"/>
        <v>460</v>
      </c>
      <c r="L134" s="90">
        <f t="shared" si="7"/>
        <v>167.8</v>
      </c>
      <c r="M134" s="72"/>
    </row>
    <row r="135" spans="1:13" x14ac:dyDescent="0.2">
      <c r="A135" s="89" t="s">
        <v>1535</v>
      </c>
      <c r="B135" s="67" t="s">
        <v>1455</v>
      </c>
      <c r="C135" s="67"/>
      <c r="D135" s="68" t="s">
        <v>25</v>
      </c>
      <c r="E135" s="67">
        <v>2</v>
      </c>
      <c r="F135" s="69">
        <v>115.85</v>
      </c>
      <c r="G135" s="69">
        <v>280</v>
      </c>
      <c r="H135" s="78"/>
      <c r="I135" s="70">
        <f t="shared" si="9"/>
        <v>560</v>
      </c>
      <c r="J135" s="71">
        <v>0</v>
      </c>
      <c r="K135" s="73">
        <f t="shared" ref="K135:K175" si="10">H135+I135-J135</f>
        <v>560</v>
      </c>
      <c r="L135" s="90">
        <f t="shared" si="7"/>
        <v>231.7</v>
      </c>
      <c r="M135" s="72"/>
    </row>
    <row r="136" spans="1:13" x14ac:dyDescent="0.2">
      <c r="A136" s="89" t="s">
        <v>1535</v>
      </c>
      <c r="B136" s="67" t="s">
        <v>1456</v>
      </c>
      <c r="C136" s="67" t="s">
        <v>1573</v>
      </c>
      <c r="D136" s="68" t="s">
        <v>21</v>
      </c>
      <c r="E136" s="67">
        <v>2</v>
      </c>
      <c r="F136" s="69">
        <v>148.9</v>
      </c>
      <c r="G136" s="69">
        <v>237</v>
      </c>
      <c r="H136" s="78"/>
      <c r="I136" s="70">
        <f t="shared" si="9"/>
        <v>474</v>
      </c>
      <c r="J136" s="71">
        <v>0</v>
      </c>
      <c r="K136" s="73">
        <f t="shared" si="10"/>
        <v>474</v>
      </c>
      <c r="L136" s="90">
        <f t="shared" si="7"/>
        <v>297.8</v>
      </c>
      <c r="M136" s="72"/>
    </row>
    <row r="137" spans="1:13" x14ac:dyDescent="0.2">
      <c r="A137" s="89" t="s">
        <v>1535</v>
      </c>
      <c r="B137" s="67" t="s">
        <v>1472</v>
      </c>
      <c r="C137" s="67"/>
      <c r="D137" s="68" t="s">
        <v>1398</v>
      </c>
      <c r="E137" s="67">
        <v>1</v>
      </c>
      <c r="F137" s="69">
        <v>147.69999999999999</v>
      </c>
      <c r="G137" s="69">
        <v>207</v>
      </c>
      <c r="H137" s="78"/>
      <c r="I137" s="70">
        <f t="shared" si="9"/>
        <v>207</v>
      </c>
      <c r="J137" s="71">
        <v>0</v>
      </c>
      <c r="K137" s="73">
        <f t="shared" si="10"/>
        <v>207</v>
      </c>
      <c r="L137" s="90">
        <f t="shared" si="7"/>
        <v>147.69999999999999</v>
      </c>
      <c r="M137" s="72"/>
    </row>
    <row r="138" spans="1:13" x14ac:dyDescent="0.2">
      <c r="A138" s="89" t="s">
        <v>1535</v>
      </c>
      <c r="B138" s="67" t="s">
        <v>1458</v>
      </c>
      <c r="C138" s="67"/>
      <c r="D138" s="68" t="s">
        <v>22</v>
      </c>
      <c r="E138" s="67">
        <v>2</v>
      </c>
      <c r="F138" s="69">
        <v>126</v>
      </c>
      <c r="G138" s="69">
        <v>201</v>
      </c>
      <c r="H138" s="78"/>
      <c r="I138" s="70">
        <f t="shared" si="9"/>
        <v>402</v>
      </c>
      <c r="J138" s="71">
        <v>0</v>
      </c>
      <c r="K138" s="73">
        <f t="shared" si="10"/>
        <v>402</v>
      </c>
      <c r="L138" s="90">
        <f t="shared" ref="L138:L175" si="11">E138*F138</f>
        <v>252</v>
      </c>
      <c r="M138" s="72"/>
    </row>
    <row r="139" spans="1:13" x14ac:dyDescent="0.2">
      <c r="A139" s="89" t="s">
        <v>1535</v>
      </c>
      <c r="B139" s="67" t="s">
        <v>1497</v>
      </c>
      <c r="C139" s="67" t="s">
        <v>1574</v>
      </c>
      <c r="D139" s="68" t="s">
        <v>1499</v>
      </c>
      <c r="E139" s="67">
        <v>50</v>
      </c>
      <c r="F139" s="69">
        <v>65</v>
      </c>
      <c r="G139" s="69">
        <v>90</v>
      </c>
      <c r="H139" s="78"/>
      <c r="I139" s="70">
        <f t="shared" si="9"/>
        <v>4500</v>
      </c>
      <c r="J139" s="71">
        <v>0</v>
      </c>
      <c r="K139" s="73">
        <f t="shared" si="10"/>
        <v>4500</v>
      </c>
      <c r="L139" s="90">
        <f t="shared" si="11"/>
        <v>3250</v>
      </c>
      <c r="M139" s="72"/>
    </row>
    <row r="140" spans="1:13" x14ac:dyDescent="0.2">
      <c r="A140" s="89" t="s">
        <v>1535</v>
      </c>
      <c r="B140" s="67" t="s">
        <v>1575</v>
      </c>
      <c r="C140" s="67" t="s">
        <v>1576</v>
      </c>
      <c r="D140" s="68" t="s">
        <v>1577</v>
      </c>
      <c r="E140" s="67">
        <v>9</v>
      </c>
      <c r="F140" s="69">
        <v>80</v>
      </c>
      <c r="G140" s="69">
        <v>100</v>
      </c>
      <c r="H140" s="78"/>
      <c r="I140" s="70">
        <f t="shared" si="9"/>
        <v>900</v>
      </c>
      <c r="J140" s="71">
        <v>0</v>
      </c>
      <c r="K140" s="73">
        <f t="shared" si="10"/>
        <v>900</v>
      </c>
      <c r="L140" s="90">
        <f t="shared" si="11"/>
        <v>720</v>
      </c>
      <c r="M140" s="72"/>
    </row>
    <row r="141" spans="1:13" x14ac:dyDescent="0.2">
      <c r="A141" s="89" t="s">
        <v>1535</v>
      </c>
      <c r="B141" s="67" t="s">
        <v>1578</v>
      </c>
      <c r="C141" s="67" t="s">
        <v>1579</v>
      </c>
      <c r="D141" s="68" t="s">
        <v>1580</v>
      </c>
      <c r="E141" s="67">
        <v>152</v>
      </c>
      <c r="F141" s="69">
        <v>106.97</v>
      </c>
      <c r="G141" s="69">
        <v>198</v>
      </c>
      <c r="H141" s="78"/>
      <c r="I141" s="70">
        <f t="shared" si="9"/>
        <v>30096</v>
      </c>
      <c r="J141" s="71">
        <v>0</v>
      </c>
      <c r="K141" s="73">
        <f t="shared" si="10"/>
        <v>30096</v>
      </c>
      <c r="L141" s="90">
        <f t="shared" si="11"/>
        <v>16259.44</v>
      </c>
      <c r="M141" s="72"/>
    </row>
    <row r="142" spans="1:13" x14ac:dyDescent="0.2">
      <c r="A142" s="89" t="s">
        <v>1535</v>
      </c>
      <c r="B142" s="67" t="s">
        <v>1581</v>
      </c>
      <c r="C142" s="67"/>
      <c r="D142" s="68" t="s">
        <v>1582</v>
      </c>
      <c r="E142" s="67">
        <v>18</v>
      </c>
      <c r="F142" s="69">
        <v>120.96</v>
      </c>
      <c r="G142" s="69">
        <v>198</v>
      </c>
      <c r="H142" s="78"/>
      <c r="I142" s="70">
        <f t="shared" si="9"/>
        <v>3564</v>
      </c>
      <c r="J142" s="71">
        <v>0</v>
      </c>
      <c r="K142" s="73">
        <f t="shared" si="10"/>
        <v>3564</v>
      </c>
      <c r="L142" s="90">
        <f t="shared" si="11"/>
        <v>2177.2799999999997</v>
      </c>
      <c r="M142" s="72"/>
    </row>
    <row r="143" spans="1:13" x14ac:dyDescent="0.2">
      <c r="A143" s="89" t="s">
        <v>1535</v>
      </c>
      <c r="B143" s="67" t="s">
        <v>1456</v>
      </c>
      <c r="C143" s="67" t="s">
        <v>1583</v>
      </c>
      <c r="D143" s="68" t="s">
        <v>21</v>
      </c>
      <c r="E143" s="67">
        <v>15</v>
      </c>
      <c r="F143" s="69">
        <v>148.9</v>
      </c>
      <c r="G143" s="69">
        <v>237</v>
      </c>
      <c r="H143" s="78"/>
      <c r="I143" s="70">
        <f>E143*G143</f>
        <v>3555</v>
      </c>
      <c r="J143" s="71">
        <v>0</v>
      </c>
      <c r="K143" s="73">
        <f t="shared" si="10"/>
        <v>3555</v>
      </c>
      <c r="L143" s="90">
        <f t="shared" si="11"/>
        <v>2233.5</v>
      </c>
      <c r="M143" s="72"/>
    </row>
    <row r="144" spans="1:13" x14ac:dyDescent="0.2">
      <c r="A144" s="89" t="s">
        <v>1535</v>
      </c>
      <c r="B144" s="67" t="s">
        <v>1458</v>
      </c>
      <c r="C144" s="67"/>
      <c r="D144" s="68" t="s">
        <v>22</v>
      </c>
      <c r="E144" s="67">
        <v>15</v>
      </c>
      <c r="F144" s="69">
        <v>126</v>
      </c>
      <c r="G144" s="69">
        <v>201</v>
      </c>
      <c r="H144" s="78"/>
      <c r="I144" s="70">
        <f t="shared" ref="I144:I172" si="12">E144*G144</f>
        <v>3015</v>
      </c>
      <c r="J144" s="71">
        <v>0</v>
      </c>
      <c r="K144" s="73">
        <f t="shared" si="10"/>
        <v>3015</v>
      </c>
      <c r="L144" s="90">
        <f t="shared" si="11"/>
        <v>1890</v>
      </c>
      <c r="M144" s="72"/>
    </row>
    <row r="145" spans="1:13" x14ac:dyDescent="0.2">
      <c r="A145" s="89" t="s">
        <v>1535</v>
      </c>
      <c r="B145" s="67" t="s">
        <v>1460</v>
      </c>
      <c r="C145" s="67"/>
      <c r="D145" s="68" t="s">
        <v>24</v>
      </c>
      <c r="E145" s="67">
        <v>100</v>
      </c>
      <c r="F145" s="69">
        <v>2.7</v>
      </c>
      <c r="G145" s="69">
        <v>8</v>
      </c>
      <c r="H145" s="78"/>
      <c r="I145" s="70">
        <f t="shared" si="12"/>
        <v>800</v>
      </c>
      <c r="J145" s="71">
        <v>0</v>
      </c>
      <c r="K145" s="73">
        <f t="shared" si="10"/>
        <v>800</v>
      </c>
      <c r="L145" s="90">
        <f t="shared" si="11"/>
        <v>270</v>
      </c>
      <c r="M145" s="72"/>
    </row>
    <row r="146" spans="1:13" x14ac:dyDescent="0.2">
      <c r="A146" s="89" t="s">
        <v>1535</v>
      </c>
      <c r="B146" s="67" t="s">
        <v>1584</v>
      </c>
      <c r="C146" s="67"/>
      <c r="D146" s="68" t="s">
        <v>1436</v>
      </c>
      <c r="E146" s="67">
        <v>100</v>
      </c>
      <c r="F146" s="69">
        <v>8</v>
      </c>
      <c r="G146" s="69">
        <v>12</v>
      </c>
      <c r="H146" s="78"/>
      <c r="I146" s="70">
        <f t="shared" si="12"/>
        <v>1200</v>
      </c>
      <c r="J146" s="71">
        <v>0</v>
      </c>
      <c r="K146" s="73">
        <f t="shared" si="10"/>
        <v>1200</v>
      </c>
      <c r="L146" s="90">
        <f t="shared" si="11"/>
        <v>800</v>
      </c>
      <c r="M146" s="72"/>
    </row>
    <row r="147" spans="1:13" x14ac:dyDescent="0.2">
      <c r="A147" s="89" t="s">
        <v>1535</v>
      </c>
      <c r="B147" s="67" t="s">
        <v>1553</v>
      </c>
      <c r="C147" s="67"/>
      <c r="D147" s="68" t="s">
        <v>1263</v>
      </c>
      <c r="E147" s="67">
        <v>5</v>
      </c>
      <c r="F147" s="69">
        <v>24</v>
      </c>
      <c r="G147" s="69">
        <v>31.25</v>
      </c>
      <c r="H147" s="78"/>
      <c r="I147" s="70">
        <f t="shared" si="12"/>
        <v>156.25</v>
      </c>
      <c r="J147" s="71">
        <v>0</v>
      </c>
      <c r="K147" s="73">
        <f t="shared" si="10"/>
        <v>156.25</v>
      </c>
      <c r="L147" s="90">
        <f t="shared" si="11"/>
        <v>120</v>
      </c>
      <c r="M147" s="72"/>
    </row>
    <row r="148" spans="1:13" x14ac:dyDescent="0.2">
      <c r="A148" s="89" t="s">
        <v>1535</v>
      </c>
      <c r="B148" s="67" t="s">
        <v>1459</v>
      </c>
      <c r="C148" s="67"/>
      <c r="D148" s="68" t="s">
        <v>1259</v>
      </c>
      <c r="E148" s="67">
        <v>10</v>
      </c>
      <c r="F148" s="69">
        <v>40</v>
      </c>
      <c r="G148" s="69">
        <v>52</v>
      </c>
      <c r="H148" s="78"/>
      <c r="I148" s="70">
        <f t="shared" si="12"/>
        <v>520</v>
      </c>
      <c r="J148" s="71">
        <v>0</v>
      </c>
      <c r="K148" s="73">
        <f t="shared" si="10"/>
        <v>520</v>
      </c>
      <c r="L148" s="90">
        <f t="shared" si="11"/>
        <v>400</v>
      </c>
      <c r="M148" s="72"/>
    </row>
    <row r="149" spans="1:13" x14ac:dyDescent="0.2">
      <c r="A149" s="89" t="s">
        <v>1535</v>
      </c>
      <c r="B149" s="67" t="s">
        <v>1518</v>
      </c>
      <c r="C149" s="67"/>
      <c r="D149" s="68" t="s">
        <v>1262</v>
      </c>
      <c r="E149" s="67">
        <v>10</v>
      </c>
      <c r="F149" s="69">
        <v>12</v>
      </c>
      <c r="G149" s="69">
        <v>15.75</v>
      </c>
      <c r="H149" s="78"/>
      <c r="I149" s="70">
        <f t="shared" si="12"/>
        <v>157.5</v>
      </c>
      <c r="J149" s="71">
        <v>0</v>
      </c>
      <c r="K149" s="73">
        <f t="shared" si="10"/>
        <v>157.5</v>
      </c>
      <c r="L149" s="90">
        <f t="shared" si="11"/>
        <v>120</v>
      </c>
      <c r="M149" s="72"/>
    </row>
    <row r="150" spans="1:13" x14ac:dyDescent="0.2">
      <c r="A150" s="89" t="s">
        <v>1535</v>
      </c>
      <c r="B150" s="67" t="s">
        <v>1479</v>
      </c>
      <c r="C150" s="67"/>
      <c r="D150" s="68" t="s">
        <v>1480</v>
      </c>
      <c r="E150" s="67">
        <v>10</v>
      </c>
      <c r="F150" s="69">
        <v>20</v>
      </c>
      <c r="G150" s="69">
        <v>26</v>
      </c>
      <c r="H150" s="78"/>
      <c r="I150" s="70">
        <f t="shared" si="12"/>
        <v>260</v>
      </c>
      <c r="J150" s="71">
        <v>0</v>
      </c>
      <c r="K150" s="73">
        <f t="shared" si="10"/>
        <v>260</v>
      </c>
      <c r="L150" s="90">
        <f t="shared" si="11"/>
        <v>200</v>
      </c>
      <c r="M150" s="72"/>
    </row>
    <row r="151" spans="1:13" x14ac:dyDescent="0.2">
      <c r="A151" s="89" t="s">
        <v>1535</v>
      </c>
      <c r="B151" s="67" t="s">
        <v>1585</v>
      </c>
      <c r="C151" s="67"/>
      <c r="D151" s="68" t="s">
        <v>1254</v>
      </c>
      <c r="E151" s="67">
        <v>5</v>
      </c>
      <c r="F151" s="69">
        <v>75</v>
      </c>
      <c r="G151" s="69">
        <v>97.5</v>
      </c>
      <c r="H151" s="78"/>
      <c r="I151" s="70">
        <f t="shared" si="12"/>
        <v>487.5</v>
      </c>
      <c r="J151" s="71">
        <v>0</v>
      </c>
      <c r="K151" s="73">
        <f t="shared" si="10"/>
        <v>487.5</v>
      </c>
      <c r="L151" s="90">
        <f t="shared" si="11"/>
        <v>375</v>
      </c>
      <c r="M151" s="72"/>
    </row>
    <row r="152" spans="1:13" x14ac:dyDescent="0.2">
      <c r="A152" s="89" t="s">
        <v>1535</v>
      </c>
      <c r="B152" s="67" t="s">
        <v>1462</v>
      </c>
      <c r="C152" s="67"/>
      <c r="D152" s="68" t="s">
        <v>27</v>
      </c>
      <c r="E152" s="67">
        <v>100</v>
      </c>
      <c r="F152" s="69">
        <v>8</v>
      </c>
      <c r="G152" s="69">
        <v>10</v>
      </c>
      <c r="H152" s="78"/>
      <c r="I152" s="70">
        <f t="shared" si="12"/>
        <v>1000</v>
      </c>
      <c r="J152" s="71">
        <v>0</v>
      </c>
      <c r="K152" s="73">
        <f t="shared" si="10"/>
        <v>1000</v>
      </c>
      <c r="L152" s="90">
        <f t="shared" si="11"/>
        <v>800</v>
      </c>
      <c r="M152" s="72"/>
    </row>
    <row r="153" spans="1:13" x14ac:dyDescent="0.2">
      <c r="A153" s="89" t="s">
        <v>1535</v>
      </c>
      <c r="B153" s="67" t="s">
        <v>1495</v>
      </c>
      <c r="C153" s="67"/>
      <c r="D153" s="68" t="s">
        <v>1248</v>
      </c>
      <c r="E153" s="67">
        <v>50</v>
      </c>
      <c r="F153" s="69">
        <v>2</v>
      </c>
      <c r="G153" s="69">
        <v>5.25</v>
      </c>
      <c r="H153" s="78"/>
      <c r="I153" s="70">
        <f t="shared" si="12"/>
        <v>262.5</v>
      </c>
      <c r="J153" s="71">
        <v>0</v>
      </c>
      <c r="K153" s="73">
        <f t="shared" si="10"/>
        <v>262.5</v>
      </c>
      <c r="L153" s="90">
        <f t="shared" si="11"/>
        <v>100</v>
      </c>
      <c r="M153" s="72"/>
    </row>
    <row r="154" spans="1:13" x14ac:dyDescent="0.2">
      <c r="A154" s="89" t="s">
        <v>1535</v>
      </c>
      <c r="B154" s="67" t="s">
        <v>1500</v>
      </c>
      <c r="C154" s="67"/>
      <c r="D154" s="68" t="s">
        <v>1339</v>
      </c>
      <c r="E154" s="67">
        <v>50</v>
      </c>
      <c r="F154" s="69">
        <v>1.75</v>
      </c>
      <c r="G154" s="69">
        <v>3</v>
      </c>
      <c r="H154" s="78"/>
      <c r="I154" s="70">
        <f t="shared" si="12"/>
        <v>150</v>
      </c>
      <c r="J154" s="71">
        <v>0</v>
      </c>
      <c r="K154" s="73">
        <f t="shared" si="10"/>
        <v>150</v>
      </c>
      <c r="L154" s="90">
        <f t="shared" si="11"/>
        <v>87.5</v>
      </c>
      <c r="M154" s="72"/>
    </row>
    <row r="155" spans="1:13" x14ac:dyDescent="0.2">
      <c r="A155" s="89" t="s">
        <v>1535</v>
      </c>
      <c r="B155" s="67" t="s">
        <v>1456</v>
      </c>
      <c r="C155" s="67" t="s">
        <v>1586</v>
      </c>
      <c r="D155" s="68" t="s">
        <v>21</v>
      </c>
      <c r="E155" s="67">
        <v>10</v>
      </c>
      <c r="F155" s="69">
        <v>148.9</v>
      </c>
      <c r="G155" s="69">
        <v>237</v>
      </c>
      <c r="H155" s="78"/>
      <c r="I155" s="70">
        <f t="shared" si="12"/>
        <v>2370</v>
      </c>
      <c r="J155" s="71">
        <v>0</v>
      </c>
      <c r="K155" s="73">
        <f t="shared" si="10"/>
        <v>2370</v>
      </c>
      <c r="L155" s="90">
        <f t="shared" si="11"/>
        <v>1489</v>
      </c>
      <c r="M155" s="72"/>
    </row>
    <row r="156" spans="1:13" x14ac:dyDescent="0.2">
      <c r="A156" s="89" t="s">
        <v>1535</v>
      </c>
      <c r="B156" s="67" t="s">
        <v>1458</v>
      </c>
      <c r="C156" s="67"/>
      <c r="D156" s="68" t="s">
        <v>22</v>
      </c>
      <c r="E156" s="67">
        <v>10</v>
      </c>
      <c r="F156" s="69">
        <v>126</v>
      </c>
      <c r="G156" s="69">
        <v>201</v>
      </c>
      <c r="H156" s="78"/>
      <c r="I156" s="70">
        <f t="shared" si="12"/>
        <v>2010</v>
      </c>
      <c r="J156" s="71">
        <v>0</v>
      </c>
      <c r="K156" s="73">
        <f t="shared" si="10"/>
        <v>2010</v>
      </c>
      <c r="L156" s="90">
        <f t="shared" si="11"/>
        <v>1260</v>
      </c>
      <c r="M156" s="72"/>
    </row>
    <row r="157" spans="1:13" x14ac:dyDescent="0.2">
      <c r="A157" s="89" t="s">
        <v>1535</v>
      </c>
      <c r="B157" s="67" t="s">
        <v>1460</v>
      </c>
      <c r="C157" s="67"/>
      <c r="D157" s="68" t="s">
        <v>24</v>
      </c>
      <c r="E157" s="67">
        <v>200</v>
      </c>
      <c r="F157" s="69">
        <v>2.7</v>
      </c>
      <c r="G157" s="69">
        <v>8</v>
      </c>
      <c r="H157" s="78"/>
      <c r="I157" s="70">
        <f t="shared" si="12"/>
        <v>1600</v>
      </c>
      <c r="J157" s="71">
        <v>0</v>
      </c>
      <c r="K157" s="73">
        <f t="shared" si="10"/>
        <v>1600</v>
      </c>
      <c r="L157" s="90">
        <f t="shared" si="11"/>
        <v>540</v>
      </c>
      <c r="M157" s="72"/>
    </row>
    <row r="158" spans="1:13" x14ac:dyDescent="0.2">
      <c r="A158" s="89" t="s">
        <v>1535</v>
      </c>
      <c r="B158" s="67" t="s">
        <v>1587</v>
      </c>
      <c r="C158" s="67"/>
      <c r="D158" s="68" t="s">
        <v>1384</v>
      </c>
      <c r="E158" s="67">
        <v>50</v>
      </c>
      <c r="F158" s="69">
        <v>8</v>
      </c>
      <c r="G158" s="69">
        <v>12</v>
      </c>
      <c r="H158" s="78"/>
      <c r="I158" s="70">
        <f t="shared" si="12"/>
        <v>600</v>
      </c>
      <c r="J158" s="71">
        <v>0</v>
      </c>
      <c r="K158" s="73">
        <f t="shared" si="10"/>
        <v>600</v>
      </c>
      <c r="L158" s="90">
        <f t="shared" si="11"/>
        <v>400</v>
      </c>
      <c r="M158" s="72"/>
    </row>
    <row r="159" spans="1:13" x14ac:dyDescent="0.2">
      <c r="A159" s="89" t="s">
        <v>1535</v>
      </c>
      <c r="B159" s="67" t="s">
        <v>1588</v>
      </c>
      <c r="C159" s="67"/>
      <c r="D159" s="68" t="s">
        <v>1589</v>
      </c>
      <c r="E159" s="67">
        <v>20</v>
      </c>
      <c r="F159" s="69">
        <v>4.5</v>
      </c>
      <c r="G159" s="69">
        <v>8</v>
      </c>
      <c r="H159" s="78"/>
      <c r="I159" s="70">
        <f t="shared" si="12"/>
        <v>160</v>
      </c>
      <c r="J159" s="71">
        <v>0</v>
      </c>
      <c r="K159" s="73">
        <f t="shared" si="10"/>
        <v>160</v>
      </c>
      <c r="L159" s="90">
        <f t="shared" si="11"/>
        <v>90</v>
      </c>
      <c r="M159" s="72"/>
    </row>
    <row r="160" spans="1:13" x14ac:dyDescent="0.2">
      <c r="A160" s="89" t="s">
        <v>1535</v>
      </c>
      <c r="B160" s="67" t="s">
        <v>1461</v>
      </c>
      <c r="C160" s="67"/>
      <c r="D160" s="68" t="s">
        <v>1399</v>
      </c>
      <c r="E160" s="67">
        <v>20</v>
      </c>
      <c r="F160" s="69">
        <v>3.1</v>
      </c>
      <c r="G160" s="69">
        <v>5</v>
      </c>
      <c r="H160" s="78"/>
      <c r="I160" s="70">
        <f t="shared" si="12"/>
        <v>100</v>
      </c>
      <c r="J160" s="71">
        <v>0</v>
      </c>
      <c r="K160" s="73">
        <f t="shared" si="10"/>
        <v>100</v>
      </c>
      <c r="L160" s="90">
        <f t="shared" si="11"/>
        <v>62</v>
      </c>
      <c r="M160" s="72"/>
    </row>
    <row r="161" spans="1:13" x14ac:dyDescent="0.2">
      <c r="A161" s="89" t="s">
        <v>1535</v>
      </c>
      <c r="B161" s="67" t="s">
        <v>1495</v>
      </c>
      <c r="C161" s="67"/>
      <c r="D161" s="68" t="s">
        <v>1248</v>
      </c>
      <c r="E161" s="67">
        <v>50</v>
      </c>
      <c r="F161" s="69">
        <v>2</v>
      </c>
      <c r="G161" s="69">
        <v>5.25</v>
      </c>
      <c r="H161" s="78"/>
      <c r="I161" s="70">
        <f t="shared" si="12"/>
        <v>262.5</v>
      </c>
      <c r="J161" s="71">
        <v>0</v>
      </c>
      <c r="K161" s="73">
        <f t="shared" si="10"/>
        <v>262.5</v>
      </c>
      <c r="L161" s="90">
        <f t="shared" si="11"/>
        <v>100</v>
      </c>
      <c r="M161" s="72"/>
    </row>
    <row r="162" spans="1:13" x14ac:dyDescent="0.2">
      <c r="A162" s="89" t="s">
        <v>1535</v>
      </c>
      <c r="B162" s="67" t="s">
        <v>1553</v>
      </c>
      <c r="C162" s="67"/>
      <c r="D162" s="68" t="s">
        <v>1263</v>
      </c>
      <c r="E162" s="67">
        <v>10</v>
      </c>
      <c r="F162" s="69">
        <v>24</v>
      </c>
      <c r="G162" s="69">
        <v>31.25</v>
      </c>
      <c r="H162" s="78"/>
      <c r="I162" s="70">
        <f t="shared" si="12"/>
        <v>312.5</v>
      </c>
      <c r="J162" s="71">
        <v>0</v>
      </c>
      <c r="K162" s="73">
        <f t="shared" si="10"/>
        <v>312.5</v>
      </c>
      <c r="L162" s="90">
        <f t="shared" si="11"/>
        <v>240</v>
      </c>
      <c r="M162" s="72"/>
    </row>
    <row r="163" spans="1:13" x14ac:dyDescent="0.2">
      <c r="A163" s="89" t="s">
        <v>1535</v>
      </c>
      <c r="B163" s="67" t="s">
        <v>1546</v>
      </c>
      <c r="C163" s="67"/>
      <c r="D163" s="68" t="s">
        <v>1547</v>
      </c>
      <c r="E163" s="67">
        <v>3</v>
      </c>
      <c r="F163" s="69">
        <v>1032</v>
      </c>
      <c r="G163" s="69">
        <v>1550</v>
      </c>
      <c r="H163" s="78"/>
      <c r="I163" s="70">
        <f t="shared" si="12"/>
        <v>4650</v>
      </c>
      <c r="J163" s="71">
        <v>0</v>
      </c>
      <c r="K163" s="73">
        <f t="shared" si="10"/>
        <v>4650</v>
      </c>
      <c r="L163" s="90">
        <f t="shared" si="11"/>
        <v>3096</v>
      </c>
      <c r="M163" s="72"/>
    </row>
    <row r="164" spans="1:13" x14ac:dyDescent="0.2">
      <c r="A164" s="89" t="s">
        <v>1535</v>
      </c>
      <c r="B164" s="67" t="s">
        <v>1585</v>
      </c>
      <c r="C164" s="67"/>
      <c r="D164" s="68" t="s">
        <v>1254</v>
      </c>
      <c r="E164" s="67">
        <v>5</v>
      </c>
      <c r="F164" s="69">
        <v>75</v>
      </c>
      <c r="G164" s="69">
        <v>97.5</v>
      </c>
      <c r="H164" s="78"/>
      <c r="I164" s="70">
        <f t="shared" si="12"/>
        <v>487.5</v>
      </c>
      <c r="J164" s="71">
        <v>0</v>
      </c>
      <c r="K164" s="73">
        <f t="shared" si="10"/>
        <v>487.5</v>
      </c>
      <c r="L164" s="90">
        <f t="shared" si="11"/>
        <v>375</v>
      </c>
      <c r="M164" s="72"/>
    </row>
    <row r="165" spans="1:13" x14ac:dyDescent="0.2">
      <c r="A165" s="89" t="s">
        <v>1535</v>
      </c>
      <c r="B165" s="67" t="s">
        <v>1459</v>
      </c>
      <c r="C165" s="67"/>
      <c r="D165" s="68" t="s">
        <v>1259</v>
      </c>
      <c r="E165" s="67">
        <v>10</v>
      </c>
      <c r="F165" s="69">
        <v>40</v>
      </c>
      <c r="G165" s="69">
        <v>52</v>
      </c>
      <c r="H165" s="78"/>
      <c r="I165" s="70">
        <f t="shared" si="12"/>
        <v>520</v>
      </c>
      <c r="J165" s="71">
        <v>0</v>
      </c>
      <c r="K165" s="73">
        <f t="shared" si="10"/>
        <v>520</v>
      </c>
      <c r="L165" s="90">
        <f t="shared" si="11"/>
        <v>400</v>
      </c>
      <c r="M165" s="72"/>
    </row>
    <row r="166" spans="1:13" x14ac:dyDescent="0.2">
      <c r="A166" s="89" t="s">
        <v>1535</v>
      </c>
      <c r="B166" s="67" t="s">
        <v>1479</v>
      </c>
      <c r="C166" s="67"/>
      <c r="D166" s="68" t="s">
        <v>1480</v>
      </c>
      <c r="E166" s="67">
        <v>4</v>
      </c>
      <c r="F166" s="69">
        <v>20</v>
      </c>
      <c r="G166" s="69">
        <v>26</v>
      </c>
      <c r="H166" s="78"/>
      <c r="I166" s="70">
        <f t="shared" si="12"/>
        <v>104</v>
      </c>
      <c r="J166" s="71">
        <v>0</v>
      </c>
      <c r="K166" s="73">
        <f t="shared" si="10"/>
        <v>104</v>
      </c>
      <c r="L166" s="90">
        <f t="shared" si="11"/>
        <v>80</v>
      </c>
      <c r="M166" s="72"/>
    </row>
    <row r="167" spans="1:13" x14ac:dyDescent="0.2">
      <c r="A167" s="89" t="s">
        <v>1535</v>
      </c>
      <c r="B167" s="67" t="s">
        <v>1590</v>
      </c>
      <c r="C167" s="67"/>
      <c r="D167" s="68" t="s">
        <v>1362</v>
      </c>
      <c r="E167" s="67">
        <v>2</v>
      </c>
      <c r="F167" s="69">
        <v>20</v>
      </c>
      <c r="G167" s="69">
        <v>23</v>
      </c>
      <c r="H167" s="78"/>
      <c r="I167" s="70">
        <f t="shared" si="12"/>
        <v>46</v>
      </c>
      <c r="J167" s="71">
        <v>0</v>
      </c>
      <c r="K167" s="73">
        <f t="shared" si="10"/>
        <v>46</v>
      </c>
      <c r="L167" s="90">
        <f t="shared" si="11"/>
        <v>40</v>
      </c>
      <c r="M167" s="72"/>
    </row>
    <row r="168" spans="1:13" x14ac:dyDescent="0.2">
      <c r="A168" s="89" t="s">
        <v>1535</v>
      </c>
      <c r="B168" s="67" t="s">
        <v>1507</v>
      </c>
      <c r="C168" s="67"/>
      <c r="D168" s="68" t="s">
        <v>1252</v>
      </c>
      <c r="E168" s="67">
        <v>5</v>
      </c>
      <c r="F168" s="69">
        <v>30</v>
      </c>
      <c r="G168" s="69">
        <v>39</v>
      </c>
      <c r="H168" s="78"/>
      <c r="I168" s="70">
        <f t="shared" si="12"/>
        <v>195</v>
      </c>
      <c r="J168" s="71">
        <v>0</v>
      </c>
      <c r="K168" s="73">
        <f t="shared" si="10"/>
        <v>195</v>
      </c>
      <c r="L168" s="90">
        <f t="shared" si="11"/>
        <v>150</v>
      </c>
      <c r="M168" s="72"/>
    </row>
    <row r="169" spans="1:13" x14ac:dyDescent="0.2">
      <c r="A169" s="89" t="s">
        <v>1535</v>
      </c>
      <c r="B169" s="67" t="s">
        <v>1500</v>
      </c>
      <c r="C169" s="67"/>
      <c r="D169" s="68" t="s">
        <v>1339</v>
      </c>
      <c r="E169" s="67">
        <v>50</v>
      </c>
      <c r="F169" s="69">
        <v>1.75</v>
      </c>
      <c r="G169" s="69">
        <v>3</v>
      </c>
      <c r="H169" s="78"/>
      <c r="I169" s="70">
        <f t="shared" si="12"/>
        <v>150</v>
      </c>
      <c r="J169" s="71">
        <v>0</v>
      </c>
      <c r="K169" s="73">
        <f t="shared" si="10"/>
        <v>150</v>
      </c>
      <c r="L169" s="90">
        <f t="shared" si="11"/>
        <v>87.5</v>
      </c>
      <c r="M169" s="72"/>
    </row>
    <row r="170" spans="1:13" x14ac:dyDescent="0.2">
      <c r="A170" s="89" t="s">
        <v>1535</v>
      </c>
      <c r="B170" s="67" t="s">
        <v>1455</v>
      </c>
      <c r="C170" s="67" t="s">
        <v>1591</v>
      </c>
      <c r="D170" s="68" t="s">
        <v>25</v>
      </c>
      <c r="E170" s="67">
        <v>2</v>
      </c>
      <c r="F170" s="69">
        <v>115.85</v>
      </c>
      <c r="G170" s="69">
        <v>280</v>
      </c>
      <c r="H170" s="78"/>
      <c r="I170" s="70">
        <f t="shared" si="12"/>
        <v>560</v>
      </c>
      <c r="J170" s="71">
        <v>0</v>
      </c>
      <c r="K170" s="73">
        <f t="shared" si="10"/>
        <v>560</v>
      </c>
      <c r="L170" s="90">
        <f t="shared" si="11"/>
        <v>231.7</v>
      </c>
      <c r="M170" s="72"/>
    </row>
    <row r="171" spans="1:13" x14ac:dyDescent="0.2">
      <c r="A171" s="89" t="s">
        <v>1535</v>
      </c>
      <c r="B171" s="67" t="s">
        <v>1453</v>
      </c>
      <c r="C171" s="67"/>
      <c r="D171" s="68" t="s">
        <v>26</v>
      </c>
      <c r="E171" s="67">
        <v>10</v>
      </c>
      <c r="F171" s="69">
        <v>167.8</v>
      </c>
      <c r="G171" s="69">
        <v>360</v>
      </c>
      <c r="H171" s="78"/>
      <c r="I171" s="70">
        <f t="shared" si="12"/>
        <v>3600</v>
      </c>
      <c r="J171" s="71">
        <v>0</v>
      </c>
      <c r="K171" s="73">
        <f t="shared" si="10"/>
        <v>3600</v>
      </c>
      <c r="L171" s="90">
        <f t="shared" si="11"/>
        <v>1678</v>
      </c>
      <c r="M171" s="72"/>
    </row>
    <row r="172" spans="1:13" x14ac:dyDescent="0.2">
      <c r="A172" s="89" t="s">
        <v>1535</v>
      </c>
      <c r="B172" s="67" t="s">
        <v>1592</v>
      </c>
      <c r="C172" s="67"/>
      <c r="D172" s="68" t="s">
        <v>1341</v>
      </c>
      <c r="E172" s="67">
        <v>250</v>
      </c>
      <c r="F172" s="69">
        <v>1.5</v>
      </c>
      <c r="G172" s="69">
        <v>3.5</v>
      </c>
      <c r="H172" s="78"/>
      <c r="I172" s="70">
        <f t="shared" si="12"/>
        <v>875</v>
      </c>
      <c r="J172" s="71">
        <v>0</v>
      </c>
      <c r="K172" s="73">
        <f t="shared" si="10"/>
        <v>875</v>
      </c>
      <c r="L172" s="90">
        <f t="shared" si="11"/>
        <v>375</v>
      </c>
      <c r="M172" s="72"/>
    </row>
    <row r="173" spans="1:13" x14ac:dyDescent="0.2">
      <c r="A173" s="89" t="s">
        <v>1535</v>
      </c>
      <c r="B173" s="67" t="s">
        <v>1514</v>
      </c>
      <c r="C173" s="67" t="s">
        <v>1593</v>
      </c>
      <c r="D173" s="68" t="s">
        <v>1343</v>
      </c>
      <c r="E173" s="67">
        <v>4</v>
      </c>
      <c r="F173" s="69">
        <v>88</v>
      </c>
      <c r="G173" s="69">
        <v>280</v>
      </c>
      <c r="H173" s="78"/>
      <c r="I173" s="70">
        <f>E173*G173</f>
        <v>1120</v>
      </c>
      <c r="J173" s="71">
        <v>0</v>
      </c>
      <c r="K173" s="73">
        <f t="shared" si="10"/>
        <v>1120</v>
      </c>
      <c r="L173" s="90">
        <f t="shared" si="11"/>
        <v>352</v>
      </c>
      <c r="M173" s="72"/>
    </row>
    <row r="174" spans="1:13" x14ac:dyDescent="0.2">
      <c r="A174" s="89" t="s">
        <v>1535</v>
      </c>
      <c r="B174" s="67" t="s">
        <v>1455</v>
      </c>
      <c r="C174" s="67"/>
      <c r="D174" s="68" t="s">
        <v>25</v>
      </c>
      <c r="E174" s="67">
        <v>3</v>
      </c>
      <c r="F174" s="69">
        <v>115.85</v>
      </c>
      <c r="G174" s="69">
        <v>280</v>
      </c>
      <c r="H174" s="78"/>
      <c r="I174" s="70">
        <f>E174*G174</f>
        <v>840</v>
      </c>
      <c r="J174" s="71">
        <v>0</v>
      </c>
      <c r="K174" s="73">
        <f t="shared" si="10"/>
        <v>840</v>
      </c>
      <c r="L174" s="90">
        <f t="shared" si="11"/>
        <v>347.54999999999995</v>
      </c>
      <c r="M174" s="72"/>
    </row>
    <row r="175" spans="1:13" x14ac:dyDescent="0.2">
      <c r="A175" s="89"/>
      <c r="B175" s="67"/>
      <c r="C175" s="67"/>
      <c r="D175" s="68"/>
      <c r="E175" s="67"/>
      <c r="F175" s="69"/>
      <c r="G175" s="69"/>
      <c r="H175" s="78"/>
      <c r="I175" s="70"/>
      <c r="J175" s="71"/>
      <c r="K175" s="73">
        <f t="shared" si="10"/>
        <v>0</v>
      </c>
      <c r="L175" s="90">
        <f t="shared" si="11"/>
        <v>0</v>
      </c>
      <c r="M175" s="72"/>
    </row>
    <row r="176" spans="1:13" s="75" customFormat="1" ht="13.5" thickBot="1" x14ac:dyDescent="0.25">
      <c r="A176" s="257" t="s">
        <v>0</v>
      </c>
      <c r="B176" s="258"/>
      <c r="C176" s="258"/>
      <c r="D176" s="259"/>
      <c r="E176" s="74">
        <f>SUM(E6:E175)</f>
        <v>46170</v>
      </c>
      <c r="F176" s="74">
        <f>SUM(F6:F175)</f>
        <v>14719.589999999998</v>
      </c>
      <c r="G176" s="74">
        <f>SUM(G6:G175)</f>
        <v>26792.2</v>
      </c>
      <c r="H176" s="74">
        <f>SUM(H6:H175)</f>
        <v>9472.25</v>
      </c>
      <c r="I176" s="74">
        <f>SUM(I6:I175)</f>
        <v>544332.75</v>
      </c>
      <c r="J176" s="74">
        <f t="shared" ref="J176:L176" si="13">SUM(J6:J175)</f>
        <v>50.25</v>
      </c>
      <c r="K176" s="74">
        <f t="shared" si="13"/>
        <v>553754.75</v>
      </c>
      <c r="L176" s="74">
        <f t="shared" si="13"/>
        <v>355593.7900000001</v>
      </c>
      <c r="M176" s="61"/>
    </row>
    <row r="177" spans="1:13" x14ac:dyDescent="0.2">
      <c r="G177" s="79"/>
      <c r="H177" s="79"/>
      <c r="I177" s="79"/>
      <c r="J177" s="79"/>
      <c r="K177" s="79"/>
      <c r="L177" s="61"/>
      <c r="M177" s="61"/>
    </row>
    <row r="178" spans="1:13" x14ac:dyDescent="0.2">
      <c r="D178" s="102"/>
      <c r="E178" s="80"/>
      <c r="F178" s="103"/>
      <c r="G178" s="79"/>
      <c r="H178" s="83"/>
      <c r="I178" s="83"/>
      <c r="J178" s="79" t="s">
        <v>16</v>
      </c>
      <c r="K178" s="79">
        <v>9422</v>
      </c>
      <c r="L178" s="72"/>
    </row>
    <row r="179" spans="1:13" x14ac:dyDescent="0.2">
      <c r="D179" s="102"/>
      <c r="E179" s="80"/>
      <c r="F179" s="81"/>
      <c r="G179" s="79"/>
      <c r="H179" s="83"/>
      <c r="I179" s="79"/>
      <c r="J179" s="79" t="s">
        <v>28</v>
      </c>
      <c r="K179" s="79">
        <v>544332.75</v>
      </c>
    </row>
    <row r="180" spans="1:13" x14ac:dyDescent="0.2">
      <c r="A180" s="84"/>
      <c r="C180" s="85"/>
      <c r="D180" s="86"/>
      <c r="E180" s="85"/>
      <c r="F180" s="85"/>
      <c r="G180" s="79"/>
      <c r="H180" s="79"/>
      <c r="I180" s="85"/>
      <c r="J180" s="85" t="s">
        <v>0</v>
      </c>
      <c r="K180" s="85">
        <f>SUM(K177:K179)</f>
        <v>553754.75</v>
      </c>
      <c r="L180" s="61"/>
      <c r="M180" s="75"/>
    </row>
    <row r="181" spans="1:13" x14ac:dyDescent="0.2">
      <c r="D181" s="102"/>
      <c r="E181" s="80"/>
      <c r="F181" s="103"/>
      <c r="G181" s="82"/>
      <c r="H181" s="83"/>
      <c r="I181" s="79"/>
      <c r="J181" s="79"/>
      <c r="K181" s="79">
        <f>K176-K180</f>
        <v>0</v>
      </c>
      <c r="L181" s="61"/>
    </row>
    <row r="182" spans="1:13" x14ac:dyDescent="0.2">
      <c r="D182" s="102"/>
      <c r="E182" s="80"/>
      <c r="F182" s="81"/>
      <c r="G182" s="81"/>
      <c r="H182" s="83"/>
      <c r="I182" s="79"/>
      <c r="J182" s="79"/>
      <c r="K182" s="79"/>
    </row>
    <row r="183" spans="1:13" x14ac:dyDescent="0.2">
      <c r="D183" s="102"/>
      <c r="E183" s="80"/>
      <c r="F183" s="103"/>
      <c r="G183" s="81"/>
      <c r="H183" s="83"/>
      <c r="I183" s="79"/>
      <c r="J183" s="79"/>
      <c r="K183" s="79"/>
    </row>
    <row r="184" spans="1:13" x14ac:dyDescent="0.2">
      <c r="D184" s="102"/>
      <c r="E184" s="80"/>
      <c r="F184" s="103"/>
      <c r="G184" s="82"/>
      <c r="H184" s="83"/>
      <c r="I184" s="79"/>
      <c r="J184" s="79"/>
      <c r="K184" s="79"/>
    </row>
    <row r="185" spans="1:13" x14ac:dyDescent="0.2">
      <c r="D185" s="102"/>
      <c r="E185" s="80"/>
      <c r="F185" s="103"/>
      <c r="G185" s="82"/>
      <c r="H185" s="83"/>
      <c r="I185" s="79"/>
      <c r="J185" s="79"/>
      <c r="K185" s="79"/>
    </row>
    <row r="186" spans="1:13" x14ac:dyDescent="0.2">
      <c r="D186" s="102"/>
      <c r="E186" s="80"/>
      <c r="F186" s="103"/>
      <c r="G186" s="82"/>
      <c r="H186" s="83"/>
      <c r="I186" s="79"/>
      <c r="J186" s="79"/>
      <c r="K186" s="79"/>
    </row>
    <row r="187" spans="1:13" x14ac:dyDescent="0.2">
      <c r="D187" s="102"/>
      <c r="E187" s="80"/>
      <c r="F187" s="81"/>
      <c r="G187" s="81"/>
      <c r="H187" s="83"/>
      <c r="I187" s="79"/>
      <c r="J187" s="79"/>
      <c r="K187" s="79"/>
    </row>
    <row r="188" spans="1:13" x14ac:dyDescent="0.2">
      <c r="D188" s="102"/>
      <c r="E188" s="80"/>
      <c r="F188" s="81"/>
      <c r="G188" s="81"/>
      <c r="H188" s="83"/>
      <c r="I188" s="79"/>
      <c r="J188" s="79"/>
      <c r="K188" s="79"/>
    </row>
    <row r="189" spans="1:13" x14ac:dyDescent="0.2">
      <c r="D189" s="102"/>
      <c r="E189" s="80"/>
      <c r="F189" s="103"/>
      <c r="G189" s="82"/>
      <c r="H189" s="83"/>
      <c r="I189" s="79"/>
      <c r="J189" s="79"/>
      <c r="K189" s="79"/>
    </row>
    <row r="190" spans="1:13" x14ac:dyDescent="0.2">
      <c r="D190" s="102"/>
      <c r="E190" s="80"/>
      <c r="F190" s="103"/>
      <c r="G190" s="82"/>
      <c r="H190" s="83"/>
      <c r="I190" s="79"/>
      <c r="J190" s="79"/>
      <c r="K190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176:D176"/>
  </mergeCells>
  <pageMargins left="0.25" right="0.25" top="0.75" bottom="0.75" header="0.3" footer="0.3"/>
  <pageSetup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A1:M102"/>
  <sheetViews>
    <sheetView showGridLines="0" zoomScaleNormal="100" workbookViewId="0">
      <pane ySplit="5" topLeftCell="A6" activePane="bottomLeft" state="frozen"/>
      <selection activeCell="B10" sqref="B10"/>
      <selection pane="bottomLeft" activeCell="H5" sqref="H5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1265</v>
      </c>
      <c r="E3" s="58">
        <f>+E88</f>
        <v>635</v>
      </c>
      <c r="H3" s="59">
        <f>H88</f>
        <v>12896</v>
      </c>
      <c r="I3" s="59">
        <f>I88</f>
        <v>45322.75</v>
      </c>
      <c r="J3" s="59">
        <f>J88</f>
        <v>50.25</v>
      </c>
      <c r="K3" s="60">
        <f>K88</f>
        <v>58168.5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ht="14.25" customHeight="1" x14ac:dyDescent="0.2">
      <c r="A6" s="100" t="s">
        <v>1266</v>
      </c>
      <c r="B6" s="88">
        <v>70247</v>
      </c>
      <c r="C6" s="88" t="s">
        <v>1275</v>
      </c>
      <c r="D6" s="87" t="s">
        <v>1319</v>
      </c>
      <c r="E6" s="88">
        <v>1</v>
      </c>
      <c r="F6" s="78">
        <v>288</v>
      </c>
      <c r="G6" s="78">
        <v>480</v>
      </c>
      <c r="H6" s="70">
        <f>E6*G6</f>
        <v>480</v>
      </c>
      <c r="I6" s="70"/>
      <c r="J6" s="71">
        <v>0</v>
      </c>
      <c r="K6" s="71">
        <f>H6+I6-J6</f>
        <v>480</v>
      </c>
      <c r="L6" s="101">
        <f>E6*F6</f>
        <v>288</v>
      </c>
      <c r="M6" s="72"/>
    </row>
    <row r="7" spans="1:13" ht="14.25" customHeight="1" x14ac:dyDescent="0.2">
      <c r="A7" s="89" t="s">
        <v>1267</v>
      </c>
      <c r="B7" s="67">
        <v>70151</v>
      </c>
      <c r="C7" s="67" t="s">
        <v>1276</v>
      </c>
      <c r="D7" s="68" t="s">
        <v>1320</v>
      </c>
      <c r="E7" s="67">
        <v>2</v>
      </c>
      <c r="F7" s="69">
        <v>20</v>
      </c>
      <c r="G7" s="69">
        <v>30</v>
      </c>
      <c r="H7" s="70">
        <f t="shared" ref="H7:H68" si="0">E7*G7</f>
        <v>60</v>
      </c>
      <c r="I7" s="70"/>
      <c r="J7" s="71">
        <v>0</v>
      </c>
      <c r="K7" s="73">
        <f t="shared" ref="K7:K70" si="1">H7+I7-J7</f>
        <v>60</v>
      </c>
      <c r="L7" s="90">
        <f>E7*F7</f>
        <v>40</v>
      </c>
      <c r="M7" s="72"/>
    </row>
    <row r="8" spans="1:13" ht="14.25" customHeight="1" x14ac:dyDescent="0.2">
      <c r="A8" s="89" t="s">
        <v>1267</v>
      </c>
      <c r="B8" s="67">
        <v>70085</v>
      </c>
      <c r="C8" s="67"/>
      <c r="D8" s="68" t="s">
        <v>24</v>
      </c>
      <c r="E8" s="67">
        <v>5</v>
      </c>
      <c r="F8" s="69">
        <v>2.7</v>
      </c>
      <c r="G8" s="69">
        <v>8</v>
      </c>
      <c r="H8" s="70">
        <f t="shared" si="0"/>
        <v>40</v>
      </c>
      <c r="I8" s="70"/>
      <c r="J8" s="71">
        <v>0</v>
      </c>
      <c r="K8" s="73">
        <f t="shared" si="1"/>
        <v>40</v>
      </c>
      <c r="L8" s="90">
        <f>E8*F8</f>
        <v>13.5</v>
      </c>
      <c r="M8" s="72"/>
    </row>
    <row r="9" spans="1:13" ht="14.25" customHeight="1" x14ac:dyDescent="0.2">
      <c r="A9" s="89" t="s">
        <v>1267</v>
      </c>
      <c r="B9" s="67">
        <v>70123</v>
      </c>
      <c r="C9" s="67"/>
      <c r="D9" s="68" t="s">
        <v>21</v>
      </c>
      <c r="E9" s="67">
        <v>2</v>
      </c>
      <c r="F9" s="69">
        <v>148.9</v>
      </c>
      <c r="G9" s="69">
        <v>237</v>
      </c>
      <c r="H9" s="70">
        <f t="shared" si="0"/>
        <v>474</v>
      </c>
      <c r="I9" s="70"/>
      <c r="J9" s="71">
        <v>0</v>
      </c>
      <c r="K9" s="73">
        <f t="shared" si="1"/>
        <v>474</v>
      </c>
      <c r="L9" s="90">
        <f>E9*F9</f>
        <v>297.8</v>
      </c>
      <c r="M9" s="72"/>
    </row>
    <row r="10" spans="1:13" ht="14.25" customHeight="1" x14ac:dyDescent="0.2">
      <c r="A10" s="89" t="s">
        <v>1267</v>
      </c>
      <c r="B10" s="67">
        <v>70016</v>
      </c>
      <c r="C10" s="67"/>
      <c r="D10" s="68" t="s">
        <v>23</v>
      </c>
      <c r="E10" s="67">
        <v>2</v>
      </c>
      <c r="F10" s="69">
        <v>99.3</v>
      </c>
      <c r="G10" s="69">
        <v>175</v>
      </c>
      <c r="H10" s="70">
        <f>E10*G10</f>
        <v>350</v>
      </c>
      <c r="I10" s="70"/>
      <c r="J10" s="71">
        <v>0</v>
      </c>
      <c r="K10" s="73">
        <f t="shared" si="1"/>
        <v>350</v>
      </c>
      <c r="L10" s="90">
        <f t="shared" ref="L10:L45" si="2">E10*F10</f>
        <v>198.6</v>
      </c>
      <c r="M10" s="72"/>
    </row>
    <row r="11" spans="1:13" ht="14.25" customHeight="1" x14ac:dyDescent="0.2">
      <c r="A11" s="89" t="s">
        <v>1267</v>
      </c>
      <c r="B11" s="67">
        <v>70051</v>
      </c>
      <c r="C11" s="67"/>
      <c r="D11" s="68" t="s">
        <v>1321</v>
      </c>
      <c r="E11" s="67">
        <v>1</v>
      </c>
      <c r="F11" s="69">
        <v>60</v>
      </c>
      <c r="G11" s="69">
        <v>80</v>
      </c>
      <c r="H11" s="70">
        <f t="shared" si="0"/>
        <v>80</v>
      </c>
      <c r="I11" s="70"/>
      <c r="J11" s="71">
        <v>0</v>
      </c>
      <c r="K11" s="73">
        <f t="shared" si="1"/>
        <v>80</v>
      </c>
      <c r="L11" s="90">
        <f t="shared" si="2"/>
        <v>60</v>
      </c>
      <c r="M11" s="72"/>
    </row>
    <row r="12" spans="1:13" ht="14.25" customHeight="1" x14ac:dyDescent="0.2">
      <c r="A12" s="89" t="s">
        <v>1268</v>
      </c>
      <c r="B12" s="67">
        <v>70247</v>
      </c>
      <c r="C12" s="67" t="s">
        <v>1277</v>
      </c>
      <c r="D12" s="68" t="s">
        <v>1319</v>
      </c>
      <c r="E12" s="67">
        <v>12</v>
      </c>
      <c r="F12" s="69">
        <v>240</v>
      </c>
      <c r="G12" s="69">
        <v>300</v>
      </c>
      <c r="H12" s="70"/>
      <c r="I12" s="70">
        <f>E12*G12</f>
        <v>3600</v>
      </c>
      <c r="J12" s="71">
        <v>0</v>
      </c>
      <c r="K12" s="73">
        <f t="shared" si="1"/>
        <v>3600</v>
      </c>
      <c r="L12" s="90">
        <f t="shared" si="2"/>
        <v>2880</v>
      </c>
      <c r="M12" s="72"/>
    </row>
    <row r="13" spans="1:13" ht="14.25" customHeight="1" x14ac:dyDescent="0.2">
      <c r="A13" s="89" t="s">
        <v>1268</v>
      </c>
      <c r="B13" s="67">
        <v>70124</v>
      </c>
      <c r="C13" s="67" t="s">
        <v>1278</v>
      </c>
      <c r="D13" s="68" t="s">
        <v>22</v>
      </c>
      <c r="E13" s="67">
        <v>5</v>
      </c>
      <c r="F13" s="69">
        <v>126</v>
      </c>
      <c r="G13" s="69">
        <v>201</v>
      </c>
      <c r="H13" s="70"/>
      <c r="I13" s="70">
        <f t="shared" ref="I13:I18" si="3">E13*G13</f>
        <v>1005</v>
      </c>
      <c r="J13" s="71">
        <v>0</v>
      </c>
      <c r="K13" s="73">
        <f t="shared" si="1"/>
        <v>1005</v>
      </c>
      <c r="L13" s="90">
        <f t="shared" si="2"/>
        <v>630</v>
      </c>
      <c r="M13" s="72"/>
    </row>
    <row r="14" spans="1:13" ht="14.25" customHeight="1" x14ac:dyDescent="0.2">
      <c r="A14" s="89" t="s">
        <v>1268</v>
      </c>
      <c r="B14" s="67">
        <v>70305</v>
      </c>
      <c r="C14" s="67"/>
      <c r="D14" s="68" t="s">
        <v>1262</v>
      </c>
      <c r="E14" s="67">
        <v>5</v>
      </c>
      <c r="F14" s="69">
        <v>12</v>
      </c>
      <c r="G14" s="69">
        <v>15.75</v>
      </c>
      <c r="H14" s="70"/>
      <c r="I14" s="70">
        <f t="shared" si="3"/>
        <v>78.75</v>
      </c>
      <c r="J14" s="71">
        <v>0</v>
      </c>
      <c r="K14" s="73">
        <f t="shared" si="1"/>
        <v>78.75</v>
      </c>
      <c r="L14" s="90">
        <f t="shared" si="2"/>
        <v>60</v>
      </c>
      <c r="M14" s="72"/>
    </row>
    <row r="15" spans="1:13" ht="14.25" customHeight="1" x14ac:dyDescent="0.2">
      <c r="A15" s="89" t="s">
        <v>1268</v>
      </c>
      <c r="B15" s="67">
        <v>70075</v>
      </c>
      <c r="C15" s="67"/>
      <c r="D15" s="68" t="s">
        <v>1259</v>
      </c>
      <c r="E15" s="67">
        <v>2</v>
      </c>
      <c r="F15" s="69">
        <v>40</v>
      </c>
      <c r="G15" s="69">
        <v>52</v>
      </c>
      <c r="H15" s="70"/>
      <c r="I15" s="70">
        <f t="shared" si="3"/>
        <v>104</v>
      </c>
      <c r="J15" s="71">
        <v>0</v>
      </c>
      <c r="K15" s="73">
        <f t="shared" si="1"/>
        <v>104</v>
      </c>
      <c r="L15" s="90">
        <f t="shared" si="2"/>
        <v>80</v>
      </c>
      <c r="M15" s="72"/>
    </row>
    <row r="16" spans="1:13" ht="14.25" customHeight="1" x14ac:dyDescent="0.2">
      <c r="A16" s="89" t="s">
        <v>1268</v>
      </c>
      <c r="B16" s="67">
        <v>70127</v>
      </c>
      <c r="C16" s="67"/>
      <c r="D16" s="68" t="s">
        <v>1247</v>
      </c>
      <c r="E16" s="67">
        <v>1</v>
      </c>
      <c r="F16" s="69">
        <v>35.75</v>
      </c>
      <c r="G16" s="69">
        <v>47</v>
      </c>
      <c r="H16" s="70"/>
      <c r="I16" s="70">
        <f t="shared" si="3"/>
        <v>47</v>
      </c>
      <c r="J16" s="71">
        <v>0</v>
      </c>
      <c r="K16" s="73">
        <f t="shared" si="1"/>
        <v>47</v>
      </c>
      <c r="L16" s="90">
        <f t="shared" si="2"/>
        <v>35.75</v>
      </c>
      <c r="M16" s="72"/>
    </row>
    <row r="17" spans="1:13" ht="14.25" customHeight="1" x14ac:dyDescent="0.2">
      <c r="A17" s="89" t="s">
        <v>1268</v>
      </c>
      <c r="B17" s="67">
        <v>70306</v>
      </c>
      <c r="C17" s="67"/>
      <c r="D17" s="68" t="s">
        <v>1263</v>
      </c>
      <c r="E17" s="67">
        <v>3</v>
      </c>
      <c r="F17" s="69">
        <v>24</v>
      </c>
      <c r="G17" s="69">
        <v>31.25</v>
      </c>
      <c r="H17" s="70"/>
      <c r="I17" s="70">
        <f t="shared" si="3"/>
        <v>93.75</v>
      </c>
      <c r="J17" s="71">
        <v>0</v>
      </c>
      <c r="K17" s="73">
        <f t="shared" si="1"/>
        <v>93.75</v>
      </c>
      <c r="L17" s="90">
        <f t="shared" si="2"/>
        <v>72</v>
      </c>
      <c r="M17" s="72"/>
    </row>
    <row r="18" spans="1:13" ht="14.25" customHeight="1" x14ac:dyDescent="0.2">
      <c r="A18" s="89" t="s">
        <v>1268</v>
      </c>
      <c r="B18" s="67">
        <v>70123</v>
      </c>
      <c r="C18" s="67" t="s">
        <v>1279</v>
      </c>
      <c r="D18" s="68" t="s">
        <v>21</v>
      </c>
      <c r="E18" s="67">
        <v>5</v>
      </c>
      <c r="F18" s="69">
        <v>148.9</v>
      </c>
      <c r="G18" s="69">
        <v>237</v>
      </c>
      <c r="H18" s="70"/>
      <c r="I18" s="70">
        <f t="shared" si="3"/>
        <v>1185</v>
      </c>
      <c r="J18" s="71">
        <v>0</v>
      </c>
      <c r="K18" s="73">
        <f t="shared" si="1"/>
        <v>1185</v>
      </c>
      <c r="L18" s="90">
        <f t="shared" si="2"/>
        <v>744.5</v>
      </c>
      <c r="M18" s="72"/>
    </row>
    <row r="19" spans="1:13" ht="14.25" customHeight="1" x14ac:dyDescent="0.2">
      <c r="A19" s="89" t="s">
        <v>1268</v>
      </c>
      <c r="B19" s="67">
        <v>70123</v>
      </c>
      <c r="C19" s="67" t="s">
        <v>1280</v>
      </c>
      <c r="D19" s="68" t="s">
        <v>21</v>
      </c>
      <c r="E19" s="67">
        <v>1</v>
      </c>
      <c r="F19" s="69">
        <v>148.9</v>
      </c>
      <c r="G19" s="69">
        <v>237</v>
      </c>
      <c r="H19" s="70"/>
      <c r="I19" s="70">
        <f>E19*G19</f>
        <v>237</v>
      </c>
      <c r="J19" s="71">
        <v>0</v>
      </c>
      <c r="K19" s="73">
        <f t="shared" si="1"/>
        <v>237</v>
      </c>
      <c r="L19" s="90">
        <f t="shared" si="2"/>
        <v>148.9</v>
      </c>
      <c r="M19" s="72"/>
    </row>
    <row r="20" spans="1:13" ht="14.25" customHeight="1" x14ac:dyDescent="0.2">
      <c r="A20" s="89" t="s">
        <v>1268</v>
      </c>
      <c r="B20" s="67">
        <v>70124</v>
      </c>
      <c r="C20" s="67"/>
      <c r="D20" s="68" t="s">
        <v>22</v>
      </c>
      <c r="E20" s="67">
        <v>1</v>
      </c>
      <c r="F20" s="69">
        <v>126</v>
      </c>
      <c r="G20" s="69">
        <v>201</v>
      </c>
      <c r="H20" s="70"/>
      <c r="I20" s="70">
        <f t="shared" ref="I20:I25" si="4">E20*G20</f>
        <v>201</v>
      </c>
      <c r="J20" s="71">
        <v>0</v>
      </c>
      <c r="K20" s="73">
        <f t="shared" si="1"/>
        <v>201</v>
      </c>
      <c r="L20" s="90">
        <f t="shared" si="2"/>
        <v>126</v>
      </c>
      <c r="M20" s="72"/>
    </row>
    <row r="21" spans="1:13" ht="14.25" customHeight="1" x14ac:dyDescent="0.2">
      <c r="A21" s="89" t="s">
        <v>1268</v>
      </c>
      <c r="B21" s="67">
        <v>70194</v>
      </c>
      <c r="C21" s="67"/>
      <c r="D21" s="68" t="s">
        <v>1251</v>
      </c>
      <c r="E21" s="67">
        <v>5</v>
      </c>
      <c r="F21" s="69">
        <v>60</v>
      </c>
      <c r="G21" s="69">
        <v>78</v>
      </c>
      <c r="H21" s="70"/>
      <c r="I21" s="70">
        <f t="shared" si="4"/>
        <v>390</v>
      </c>
      <c r="J21" s="71">
        <v>0</v>
      </c>
      <c r="K21" s="73">
        <f t="shared" si="1"/>
        <v>390</v>
      </c>
      <c r="L21" s="90">
        <f t="shared" si="2"/>
        <v>300</v>
      </c>
      <c r="M21" s="72"/>
    </row>
    <row r="22" spans="1:13" ht="14.25" customHeight="1" x14ac:dyDescent="0.2">
      <c r="A22" s="89" t="s">
        <v>1268</v>
      </c>
      <c r="B22" s="67">
        <v>70305</v>
      </c>
      <c r="C22" s="67"/>
      <c r="D22" s="68" t="s">
        <v>1262</v>
      </c>
      <c r="E22" s="67">
        <v>3</v>
      </c>
      <c r="F22" s="69">
        <v>12</v>
      </c>
      <c r="G22" s="69">
        <v>15.75</v>
      </c>
      <c r="H22" s="70"/>
      <c r="I22" s="70">
        <f t="shared" si="4"/>
        <v>47.25</v>
      </c>
      <c r="J22" s="71">
        <v>0</v>
      </c>
      <c r="K22" s="73">
        <f t="shared" si="1"/>
        <v>47.25</v>
      </c>
      <c r="L22" s="90">
        <f t="shared" si="2"/>
        <v>36</v>
      </c>
      <c r="M22" s="72"/>
    </row>
    <row r="23" spans="1:13" ht="14.25" customHeight="1" x14ac:dyDescent="0.2">
      <c r="A23" s="89" t="s">
        <v>1268</v>
      </c>
      <c r="B23" s="67">
        <v>70056</v>
      </c>
      <c r="C23" s="67"/>
      <c r="D23" s="68" t="s">
        <v>1256</v>
      </c>
      <c r="E23" s="67">
        <v>1</v>
      </c>
      <c r="F23" s="69">
        <v>110</v>
      </c>
      <c r="G23" s="69">
        <v>188</v>
      </c>
      <c r="H23" s="70"/>
      <c r="I23" s="70">
        <f t="shared" si="4"/>
        <v>188</v>
      </c>
      <c r="J23" s="71">
        <v>0</v>
      </c>
      <c r="K23" s="73">
        <f t="shared" si="1"/>
        <v>188</v>
      </c>
      <c r="L23" s="90">
        <f t="shared" si="2"/>
        <v>110</v>
      </c>
      <c r="M23" s="72"/>
    </row>
    <row r="24" spans="1:13" ht="14.25" customHeight="1" x14ac:dyDescent="0.2">
      <c r="A24" s="89" t="s">
        <v>1268</v>
      </c>
      <c r="B24" s="67">
        <v>70112</v>
      </c>
      <c r="C24" s="67"/>
      <c r="D24" s="68" t="s">
        <v>29</v>
      </c>
      <c r="E24" s="67">
        <v>12</v>
      </c>
      <c r="F24" s="69">
        <v>21.5</v>
      </c>
      <c r="G24" s="69">
        <v>28</v>
      </c>
      <c r="H24" s="70"/>
      <c r="I24" s="70">
        <f t="shared" si="4"/>
        <v>336</v>
      </c>
      <c r="J24" s="71">
        <v>0</v>
      </c>
      <c r="K24" s="73">
        <f t="shared" si="1"/>
        <v>336</v>
      </c>
      <c r="L24" s="90">
        <f t="shared" si="2"/>
        <v>258</v>
      </c>
      <c r="M24" s="72"/>
    </row>
    <row r="25" spans="1:13" ht="14.25" customHeight="1" x14ac:dyDescent="0.2">
      <c r="A25" s="89" t="s">
        <v>1268</v>
      </c>
      <c r="B25" s="67">
        <v>70315</v>
      </c>
      <c r="C25" s="67"/>
      <c r="D25" s="68" t="s">
        <v>1261</v>
      </c>
      <c r="E25" s="67">
        <v>2</v>
      </c>
      <c r="F25" s="69">
        <v>115</v>
      </c>
      <c r="G25" s="69">
        <v>149.5</v>
      </c>
      <c r="H25" s="70"/>
      <c r="I25" s="70">
        <f t="shared" si="4"/>
        <v>299</v>
      </c>
      <c r="J25" s="71">
        <v>0</v>
      </c>
      <c r="K25" s="73">
        <f t="shared" si="1"/>
        <v>299</v>
      </c>
      <c r="L25" s="90">
        <f t="shared" si="2"/>
        <v>230</v>
      </c>
      <c r="M25" s="72"/>
    </row>
    <row r="26" spans="1:13" ht="14.25" customHeight="1" x14ac:dyDescent="0.2">
      <c r="A26" s="89" t="s">
        <v>1268</v>
      </c>
      <c r="B26" s="67">
        <v>70176</v>
      </c>
      <c r="C26" s="67" t="s">
        <v>1281</v>
      </c>
      <c r="D26" s="68" t="s">
        <v>26</v>
      </c>
      <c r="E26" s="67">
        <v>6</v>
      </c>
      <c r="F26" s="69">
        <v>167.8</v>
      </c>
      <c r="G26" s="69">
        <v>360</v>
      </c>
      <c r="H26" s="70">
        <f t="shared" si="0"/>
        <v>2160</v>
      </c>
      <c r="I26" s="70"/>
      <c r="J26" s="71">
        <v>0</v>
      </c>
      <c r="K26" s="73">
        <f t="shared" si="1"/>
        <v>2160</v>
      </c>
      <c r="L26" s="90">
        <f t="shared" si="2"/>
        <v>1006.8000000000001</v>
      </c>
      <c r="M26" s="72"/>
    </row>
    <row r="27" spans="1:13" ht="14.25" customHeight="1" x14ac:dyDescent="0.2">
      <c r="A27" s="89" t="s">
        <v>1268</v>
      </c>
      <c r="B27" s="67">
        <v>70290</v>
      </c>
      <c r="C27" s="67" t="s">
        <v>1282</v>
      </c>
      <c r="D27" s="68" t="s">
        <v>1255</v>
      </c>
      <c r="E27" s="67">
        <v>1</v>
      </c>
      <c r="F27" s="69">
        <v>15</v>
      </c>
      <c r="G27" s="69">
        <v>200</v>
      </c>
      <c r="H27" s="70"/>
      <c r="I27" s="70">
        <f t="shared" ref="I27:I33" si="5">E27*G27</f>
        <v>200</v>
      </c>
      <c r="J27" s="71">
        <v>0</v>
      </c>
      <c r="K27" s="73">
        <f t="shared" si="1"/>
        <v>200</v>
      </c>
      <c r="L27" s="90">
        <f t="shared" si="2"/>
        <v>15</v>
      </c>
      <c r="M27" s="72"/>
    </row>
    <row r="28" spans="1:13" ht="14.25" customHeight="1" x14ac:dyDescent="0.2">
      <c r="A28" s="89" t="s">
        <v>1268</v>
      </c>
      <c r="B28" s="67">
        <v>70290</v>
      </c>
      <c r="C28" s="67" t="s">
        <v>1283</v>
      </c>
      <c r="D28" s="68" t="s">
        <v>1255</v>
      </c>
      <c r="E28" s="67">
        <v>1</v>
      </c>
      <c r="F28" s="69">
        <v>15</v>
      </c>
      <c r="G28" s="69">
        <v>200</v>
      </c>
      <c r="H28" s="70"/>
      <c r="I28" s="70">
        <f t="shared" si="5"/>
        <v>200</v>
      </c>
      <c r="J28" s="71">
        <v>0</v>
      </c>
      <c r="K28" s="73">
        <f t="shared" si="1"/>
        <v>200</v>
      </c>
      <c r="L28" s="90">
        <f t="shared" si="2"/>
        <v>15</v>
      </c>
      <c r="M28" s="72"/>
    </row>
    <row r="29" spans="1:13" ht="14.25" customHeight="1" x14ac:dyDescent="0.2">
      <c r="A29" s="89" t="s">
        <v>1268</v>
      </c>
      <c r="B29" s="67">
        <v>70290</v>
      </c>
      <c r="C29" s="67" t="s">
        <v>1284</v>
      </c>
      <c r="D29" s="68" t="s">
        <v>1255</v>
      </c>
      <c r="E29" s="67">
        <v>1</v>
      </c>
      <c r="F29" s="69">
        <v>15</v>
      </c>
      <c r="G29" s="69">
        <v>200</v>
      </c>
      <c r="H29" s="70"/>
      <c r="I29" s="70">
        <f t="shared" si="5"/>
        <v>200</v>
      </c>
      <c r="J29" s="71">
        <v>0</v>
      </c>
      <c r="K29" s="73">
        <f t="shared" si="1"/>
        <v>200</v>
      </c>
      <c r="L29" s="90">
        <f t="shared" si="2"/>
        <v>15</v>
      </c>
      <c r="M29" s="72"/>
    </row>
    <row r="30" spans="1:13" ht="14.25" customHeight="1" x14ac:dyDescent="0.2">
      <c r="A30" s="89" t="s">
        <v>1268</v>
      </c>
      <c r="B30" s="67">
        <v>70290</v>
      </c>
      <c r="C30" s="67" t="s">
        <v>1285</v>
      </c>
      <c r="D30" s="68" t="s">
        <v>1255</v>
      </c>
      <c r="E30" s="67">
        <v>2</v>
      </c>
      <c r="F30" s="69">
        <v>15</v>
      </c>
      <c r="G30" s="69">
        <v>200</v>
      </c>
      <c r="H30" s="70"/>
      <c r="I30" s="70">
        <f t="shared" si="5"/>
        <v>400</v>
      </c>
      <c r="J30" s="71">
        <v>0</v>
      </c>
      <c r="K30" s="73">
        <f t="shared" si="1"/>
        <v>400</v>
      </c>
      <c r="L30" s="90">
        <f t="shared" si="2"/>
        <v>30</v>
      </c>
      <c r="M30" s="72"/>
    </row>
    <row r="31" spans="1:13" ht="14.25" customHeight="1" x14ac:dyDescent="0.2">
      <c r="A31" s="89" t="s">
        <v>1268</v>
      </c>
      <c r="B31" s="67">
        <v>70290</v>
      </c>
      <c r="C31" s="67" t="s">
        <v>1286</v>
      </c>
      <c r="D31" s="68" t="s">
        <v>1255</v>
      </c>
      <c r="E31" s="67">
        <v>3</v>
      </c>
      <c r="F31" s="69">
        <v>15</v>
      </c>
      <c r="G31" s="69">
        <v>200</v>
      </c>
      <c r="H31" s="70"/>
      <c r="I31" s="70">
        <f t="shared" si="5"/>
        <v>600</v>
      </c>
      <c r="J31" s="71">
        <v>0</v>
      </c>
      <c r="K31" s="73">
        <f t="shared" si="1"/>
        <v>600</v>
      </c>
      <c r="L31" s="90">
        <f t="shared" si="2"/>
        <v>45</v>
      </c>
      <c r="M31" s="72"/>
    </row>
    <row r="32" spans="1:13" ht="14.25" customHeight="1" x14ac:dyDescent="0.2">
      <c r="A32" s="89" t="s">
        <v>1269</v>
      </c>
      <c r="B32" s="67">
        <v>70017</v>
      </c>
      <c r="C32" s="67" t="s">
        <v>1287</v>
      </c>
      <c r="D32" s="68" t="s">
        <v>20</v>
      </c>
      <c r="E32" s="67">
        <v>6</v>
      </c>
      <c r="F32" s="69">
        <v>84</v>
      </c>
      <c r="G32" s="69">
        <v>157</v>
      </c>
      <c r="H32" s="70"/>
      <c r="I32" s="70">
        <f t="shared" si="5"/>
        <v>942</v>
      </c>
      <c r="J32" s="71">
        <v>0</v>
      </c>
      <c r="K32" s="73">
        <f t="shared" si="1"/>
        <v>942</v>
      </c>
      <c r="L32" s="90">
        <f t="shared" si="2"/>
        <v>504</v>
      </c>
      <c r="M32" s="72"/>
    </row>
    <row r="33" spans="1:13" ht="14.25" customHeight="1" x14ac:dyDescent="0.2">
      <c r="A33" s="89" t="s">
        <v>1269</v>
      </c>
      <c r="B33" s="67">
        <v>70306</v>
      </c>
      <c r="C33" s="67" t="s">
        <v>1288</v>
      </c>
      <c r="D33" s="68" t="s">
        <v>1263</v>
      </c>
      <c r="E33" s="67">
        <v>3</v>
      </c>
      <c r="F33" s="69">
        <v>24</v>
      </c>
      <c r="G33" s="69">
        <v>31.25</v>
      </c>
      <c r="H33" s="70"/>
      <c r="I33" s="70">
        <f t="shared" si="5"/>
        <v>93.75</v>
      </c>
      <c r="J33" s="71">
        <v>0</v>
      </c>
      <c r="K33" s="73">
        <f t="shared" si="1"/>
        <v>93.75</v>
      </c>
      <c r="L33" s="90">
        <f t="shared" si="2"/>
        <v>72</v>
      </c>
      <c r="M33" s="72"/>
    </row>
    <row r="34" spans="1:13" ht="14.25" customHeight="1" x14ac:dyDescent="0.2">
      <c r="A34" s="89" t="s">
        <v>1270</v>
      </c>
      <c r="B34" s="67">
        <v>70201</v>
      </c>
      <c r="C34" s="67" t="s">
        <v>1289</v>
      </c>
      <c r="D34" s="68" t="s">
        <v>1322</v>
      </c>
      <c r="E34" s="67">
        <v>2</v>
      </c>
      <c r="F34" s="69">
        <v>384</v>
      </c>
      <c r="G34" s="69">
        <v>640</v>
      </c>
      <c r="H34" s="70">
        <v>420</v>
      </c>
      <c r="I34" s="70">
        <v>860</v>
      </c>
      <c r="J34" s="71">
        <v>0</v>
      </c>
      <c r="K34" s="73">
        <f t="shared" si="1"/>
        <v>1280</v>
      </c>
      <c r="L34" s="90">
        <f t="shared" si="2"/>
        <v>768</v>
      </c>
      <c r="M34" s="72"/>
    </row>
    <row r="35" spans="1:13" ht="14.25" customHeight="1" x14ac:dyDescent="0.2">
      <c r="A35" s="89" t="s">
        <v>1271</v>
      </c>
      <c r="B35" s="67">
        <v>70250</v>
      </c>
      <c r="C35" s="67" t="s">
        <v>1290</v>
      </c>
      <c r="D35" s="68" t="s">
        <v>1323</v>
      </c>
      <c r="E35" s="67">
        <v>1</v>
      </c>
      <c r="F35" s="69">
        <v>576</v>
      </c>
      <c r="G35" s="69">
        <v>960</v>
      </c>
      <c r="H35" s="70">
        <f t="shared" si="0"/>
        <v>960</v>
      </c>
      <c r="I35" s="70"/>
      <c r="J35" s="71">
        <v>0</v>
      </c>
      <c r="K35" s="73">
        <f t="shared" si="1"/>
        <v>960</v>
      </c>
      <c r="L35" s="90">
        <f t="shared" si="2"/>
        <v>576</v>
      </c>
      <c r="M35" s="72"/>
    </row>
    <row r="36" spans="1:13" ht="14.25" customHeight="1" x14ac:dyDescent="0.2">
      <c r="A36" s="89" t="s">
        <v>1271</v>
      </c>
      <c r="B36" s="67">
        <v>70166</v>
      </c>
      <c r="C36" s="67" t="s">
        <v>1291</v>
      </c>
      <c r="D36" s="68" t="s">
        <v>30</v>
      </c>
      <c r="E36" s="67">
        <v>50</v>
      </c>
      <c r="F36" s="69">
        <v>0.54</v>
      </c>
      <c r="G36" s="69">
        <v>1.5</v>
      </c>
      <c r="H36" s="70">
        <f t="shared" si="0"/>
        <v>75</v>
      </c>
      <c r="I36" s="70"/>
      <c r="J36" s="71">
        <v>0</v>
      </c>
      <c r="K36" s="73">
        <f t="shared" si="1"/>
        <v>75</v>
      </c>
      <c r="L36" s="90">
        <f t="shared" si="2"/>
        <v>27</v>
      </c>
      <c r="M36" s="72"/>
    </row>
    <row r="37" spans="1:13" ht="14.25" customHeight="1" x14ac:dyDescent="0.2">
      <c r="A37" s="89" t="s">
        <v>1271</v>
      </c>
      <c r="B37" s="67">
        <v>70085</v>
      </c>
      <c r="C37" s="67"/>
      <c r="D37" s="68" t="s">
        <v>24</v>
      </c>
      <c r="E37" s="67">
        <v>5</v>
      </c>
      <c r="F37" s="69">
        <v>2.7</v>
      </c>
      <c r="G37" s="69">
        <v>8</v>
      </c>
      <c r="H37" s="70">
        <f t="shared" si="0"/>
        <v>40</v>
      </c>
      <c r="I37" s="70"/>
      <c r="J37" s="71">
        <v>0</v>
      </c>
      <c r="K37" s="73">
        <f t="shared" si="1"/>
        <v>40</v>
      </c>
      <c r="L37" s="90">
        <f t="shared" si="2"/>
        <v>13.5</v>
      </c>
      <c r="M37" s="72"/>
    </row>
    <row r="38" spans="1:13" ht="14.25" customHeight="1" x14ac:dyDescent="0.2">
      <c r="A38" s="89" t="s">
        <v>1271</v>
      </c>
      <c r="B38" s="67">
        <v>70176</v>
      </c>
      <c r="C38" s="67" t="s">
        <v>1292</v>
      </c>
      <c r="D38" s="68" t="s">
        <v>26</v>
      </c>
      <c r="E38" s="67">
        <v>6</v>
      </c>
      <c r="F38" s="69">
        <v>167.8</v>
      </c>
      <c r="G38" s="69">
        <v>360</v>
      </c>
      <c r="H38" s="70">
        <f t="shared" ref="H38" si="6">E38*G38</f>
        <v>2160</v>
      </c>
      <c r="I38" s="70"/>
      <c r="J38" s="71">
        <v>0</v>
      </c>
      <c r="K38" s="73">
        <f t="shared" si="1"/>
        <v>2160</v>
      </c>
      <c r="L38" s="90">
        <f t="shared" si="2"/>
        <v>1006.8000000000001</v>
      </c>
      <c r="M38" s="72"/>
    </row>
    <row r="39" spans="1:13" ht="14.25" customHeight="1" x14ac:dyDescent="0.2">
      <c r="A39" s="89" t="s">
        <v>1272</v>
      </c>
      <c r="B39" s="67">
        <v>70124</v>
      </c>
      <c r="C39" s="67" t="s">
        <v>1293</v>
      </c>
      <c r="D39" s="68" t="s">
        <v>22</v>
      </c>
      <c r="E39" s="67">
        <v>5</v>
      </c>
      <c r="F39" s="69">
        <v>126</v>
      </c>
      <c r="G39" s="69">
        <v>201</v>
      </c>
      <c r="H39" s="70">
        <f t="shared" si="0"/>
        <v>1005</v>
      </c>
      <c r="I39" s="70"/>
      <c r="J39" s="71">
        <v>50.25</v>
      </c>
      <c r="K39" s="73">
        <f t="shared" si="1"/>
        <v>954.75</v>
      </c>
      <c r="L39" s="90">
        <f t="shared" si="2"/>
        <v>630</v>
      </c>
      <c r="M39" s="72"/>
    </row>
    <row r="40" spans="1:13" ht="14.25" customHeight="1" x14ac:dyDescent="0.2">
      <c r="A40" s="89" t="s">
        <v>1272</v>
      </c>
      <c r="B40" s="67">
        <v>70270</v>
      </c>
      <c r="C40" s="67" t="s">
        <v>1294</v>
      </c>
      <c r="D40" s="68" t="s">
        <v>1250</v>
      </c>
      <c r="E40" s="67">
        <v>1</v>
      </c>
      <c r="F40" s="69">
        <v>55</v>
      </c>
      <c r="G40" s="69">
        <v>71.5</v>
      </c>
      <c r="H40" s="70">
        <f t="shared" si="0"/>
        <v>71.5</v>
      </c>
      <c r="I40" s="70"/>
      <c r="J40" s="71">
        <v>0</v>
      </c>
      <c r="K40" s="73">
        <f t="shared" si="1"/>
        <v>71.5</v>
      </c>
      <c r="L40" s="90">
        <f t="shared" si="2"/>
        <v>55</v>
      </c>
      <c r="M40" s="72"/>
    </row>
    <row r="41" spans="1:13" ht="14.25" customHeight="1" x14ac:dyDescent="0.2">
      <c r="A41" s="89" t="s">
        <v>1272</v>
      </c>
      <c r="B41" s="67">
        <v>70283</v>
      </c>
      <c r="C41" s="67"/>
      <c r="D41" s="68" t="s">
        <v>27</v>
      </c>
      <c r="E41" s="67">
        <v>10</v>
      </c>
      <c r="F41" s="69">
        <v>8</v>
      </c>
      <c r="G41" s="69">
        <v>10</v>
      </c>
      <c r="H41" s="70">
        <f t="shared" si="0"/>
        <v>100</v>
      </c>
      <c r="I41" s="70"/>
      <c r="J41" s="71">
        <v>0</v>
      </c>
      <c r="K41" s="73">
        <f t="shared" si="1"/>
        <v>100</v>
      </c>
      <c r="L41" s="90">
        <f t="shared" si="2"/>
        <v>80</v>
      </c>
      <c r="M41" s="72"/>
    </row>
    <row r="42" spans="1:13" ht="14.25" customHeight="1" x14ac:dyDescent="0.2">
      <c r="A42" s="89" t="s">
        <v>1273</v>
      </c>
      <c r="B42" s="67">
        <v>70210</v>
      </c>
      <c r="C42" s="67" t="s">
        <v>1295</v>
      </c>
      <c r="D42" s="68" t="s">
        <v>1324</v>
      </c>
      <c r="E42" s="67">
        <v>76</v>
      </c>
      <c r="F42" s="69">
        <v>4</v>
      </c>
      <c r="G42" s="69">
        <v>8</v>
      </c>
      <c r="H42" s="70">
        <f t="shared" si="0"/>
        <v>608</v>
      </c>
      <c r="I42" s="70"/>
      <c r="J42" s="71">
        <v>0</v>
      </c>
      <c r="K42" s="73">
        <f t="shared" si="1"/>
        <v>608</v>
      </c>
      <c r="L42" s="90">
        <f t="shared" si="2"/>
        <v>304</v>
      </c>
      <c r="M42" s="72"/>
    </row>
    <row r="43" spans="1:13" ht="14.25" customHeight="1" x14ac:dyDescent="0.2">
      <c r="A43" s="89" t="s">
        <v>1273</v>
      </c>
      <c r="B43" s="67">
        <v>70218</v>
      </c>
      <c r="C43" s="67"/>
      <c r="D43" s="68" t="s">
        <v>1325</v>
      </c>
      <c r="E43" s="67">
        <v>3</v>
      </c>
      <c r="F43" s="69">
        <v>87</v>
      </c>
      <c r="G43" s="69">
        <v>150</v>
      </c>
      <c r="H43" s="70">
        <f t="shared" si="0"/>
        <v>450</v>
      </c>
      <c r="I43" s="70"/>
      <c r="J43" s="71">
        <v>0</v>
      </c>
      <c r="K43" s="73">
        <f t="shared" si="1"/>
        <v>450</v>
      </c>
      <c r="L43" s="90">
        <f t="shared" si="2"/>
        <v>261</v>
      </c>
      <c r="M43" s="72"/>
    </row>
    <row r="44" spans="1:13" ht="14.25" customHeight="1" x14ac:dyDescent="0.2">
      <c r="A44" s="89" t="s">
        <v>1273</v>
      </c>
      <c r="B44" s="67">
        <v>70254</v>
      </c>
      <c r="C44" s="67" t="s">
        <v>1296</v>
      </c>
      <c r="D44" s="68" t="s">
        <v>1326</v>
      </c>
      <c r="E44" s="67">
        <v>6</v>
      </c>
      <c r="F44" s="69">
        <v>240</v>
      </c>
      <c r="G44" s="69">
        <v>300</v>
      </c>
      <c r="H44" s="70"/>
      <c r="I44" s="70">
        <f>E44*G44</f>
        <v>1800</v>
      </c>
      <c r="J44" s="71">
        <v>0</v>
      </c>
      <c r="K44" s="73">
        <f t="shared" si="1"/>
        <v>1800</v>
      </c>
      <c r="L44" s="90">
        <f t="shared" si="2"/>
        <v>1440</v>
      </c>
      <c r="M44" s="72"/>
    </row>
    <row r="45" spans="1:13" ht="14.25" customHeight="1" x14ac:dyDescent="0.2">
      <c r="A45" s="89" t="s">
        <v>1273</v>
      </c>
      <c r="B45" s="67">
        <v>70124</v>
      </c>
      <c r="C45" s="67" t="s">
        <v>1297</v>
      </c>
      <c r="D45" s="68" t="s">
        <v>22</v>
      </c>
      <c r="E45" s="67">
        <v>10</v>
      </c>
      <c r="F45" s="69">
        <v>126</v>
      </c>
      <c r="G45" s="69">
        <v>201</v>
      </c>
      <c r="H45" s="70"/>
      <c r="I45" s="70">
        <f>E45*G45</f>
        <v>2010</v>
      </c>
      <c r="J45" s="71">
        <v>0</v>
      </c>
      <c r="K45" s="73">
        <f t="shared" si="1"/>
        <v>2010</v>
      </c>
      <c r="L45" s="90">
        <f t="shared" si="2"/>
        <v>1260</v>
      </c>
      <c r="M45" s="72"/>
    </row>
    <row r="46" spans="1:13" ht="14.25" customHeight="1" x14ac:dyDescent="0.2">
      <c r="A46" s="89" t="s">
        <v>1273</v>
      </c>
      <c r="B46" s="67">
        <v>70173</v>
      </c>
      <c r="C46" s="67" t="s">
        <v>1298</v>
      </c>
      <c r="D46" s="68" t="s">
        <v>25</v>
      </c>
      <c r="E46" s="67">
        <v>5</v>
      </c>
      <c r="F46" s="69">
        <v>115.85</v>
      </c>
      <c r="G46" s="69">
        <v>280</v>
      </c>
      <c r="H46" s="70"/>
      <c r="I46" s="70">
        <f>E46*G46</f>
        <v>1400</v>
      </c>
      <c r="J46" s="71">
        <v>0</v>
      </c>
      <c r="K46" s="73">
        <f t="shared" si="1"/>
        <v>1400</v>
      </c>
      <c r="L46" s="90">
        <f t="shared" ref="L46:L70" si="7">E46*F46</f>
        <v>579.25</v>
      </c>
      <c r="M46" s="72"/>
    </row>
    <row r="47" spans="1:13" ht="14.25" customHeight="1" x14ac:dyDescent="0.2">
      <c r="A47" s="89" t="s">
        <v>1273</v>
      </c>
      <c r="B47" s="67">
        <v>70123</v>
      </c>
      <c r="C47" s="67" t="s">
        <v>1299</v>
      </c>
      <c r="D47" s="68" t="s">
        <v>21</v>
      </c>
      <c r="E47" s="67">
        <v>5</v>
      </c>
      <c r="F47" s="69">
        <v>148.9</v>
      </c>
      <c r="G47" s="69">
        <v>237</v>
      </c>
      <c r="H47" s="70"/>
      <c r="I47" s="70">
        <f>E47*G47</f>
        <v>1185</v>
      </c>
      <c r="J47" s="71">
        <v>0</v>
      </c>
      <c r="K47" s="73">
        <f t="shared" si="1"/>
        <v>1185</v>
      </c>
      <c r="L47" s="90">
        <f t="shared" si="7"/>
        <v>744.5</v>
      </c>
      <c r="M47" s="72"/>
    </row>
    <row r="48" spans="1:13" ht="14.25" customHeight="1" x14ac:dyDescent="0.2">
      <c r="A48" s="89" t="s">
        <v>1273</v>
      </c>
      <c r="B48" s="67">
        <v>70112</v>
      </c>
      <c r="C48" s="67" t="s">
        <v>1300</v>
      </c>
      <c r="D48" s="68" t="s">
        <v>29</v>
      </c>
      <c r="E48" s="67">
        <v>12</v>
      </c>
      <c r="F48" s="69">
        <v>21.5</v>
      </c>
      <c r="G48" s="69">
        <v>28</v>
      </c>
      <c r="H48" s="70"/>
      <c r="I48" s="70">
        <f t="shared" ref="I48:I65" si="8">E48*G48</f>
        <v>336</v>
      </c>
      <c r="J48" s="71">
        <v>0</v>
      </c>
      <c r="K48" s="73">
        <f t="shared" si="1"/>
        <v>336</v>
      </c>
      <c r="L48" s="90">
        <f t="shared" si="7"/>
        <v>258</v>
      </c>
      <c r="M48" s="72"/>
    </row>
    <row r="49" spans="1:13" ht="14.25" customHeight="1" x14ac:dyDescent="0.2">
      <c r="A49" s="89" t="s">
        <v>1273</v>
      </c>
      <c r="B49" s="67">
        <v>70123</v>
      </c>
      <c r="C49" s="67"/>
      <c r="D49" s="68" t="s">
        <v>21</v>
      </c>
      <c r="E49" s="67">
        <v>10</v>
      </c>
      <c r="F49" s="69">
        <v>148.9</v>
      </c>
      <c r="G49" s="69">
        <v>237</v>
      </c>
      <c r="H49" s="70"/>
      <c r="I49" s="70">
        <f t="shared" si="8"/>
        <v>2370</v>
      </c>
      <c r="J49" s="71">
        <v>0</v>
      </c>
      <c r="K49" s="73">
        <f t="shared" si="1"/>
        <v>2370</v>
      </c>
      <c r="L49" s="90">
        <f t="shared" si="7"/>
        <v>1489</v>
      </c>
      <c r="M49" s="72"/>
    </row>
    <row r="50" spans="1:13" ht="14.25" customHeight="1" x14ac:dyDescent="0.2">
      <c r="A50" s="89" t="s">
        <v>1273</v>
      </c>
      <c r="B50" s="67">
        <v>70124</v>
      </c>
      <c r="C50" s="67"/>
      <c r="D50" s="68" t="s">
        <v>22</v>
      </c>
      <c r="E50" s="67">
        <v>5</v>
      </c>
      <c r="F50" s="69">
        <v>126</v>
      </c>
      <c r="G50" s="69">
        <v>201</v>
      </c>
      <c r="H50" s="70"/>
      <c r="I50" s="70">
        <f t="shared" si="8"/>
        <v>1005</v>
      </c>
      <c r="J50" s="71">
        <v>0</v>
      </c>
      <c r="K50" s="73">
        <f t="shared" si="1"/>
        <v>1005</v>
      </c>
      <c r="L50" s="90">
        <f t="shared" si="7"/>
        <v>630</v>
      </c>
      <c r="M50" s="72"/>
    </row>
    <row r="51" spans="1:13" ht="14.25" customHeight="1" x14ac:dyDescent="0.2">
      <c r="A51" s="89" t="s">
        <v>1273</v>
      </c>
      <c r="B51" s="67">
        <v>70295</v>
      </c>
      <c r="C51" s="67"/>
      <c r="D51" s="68" t="s">
        <v>1254</v>
      </c>
      <c r="E51" s="67">
        <v>3</v>
      </c>
      <c r="F51" s="69">
        <v>75</v>
      </c>
      <c r="G51" s="69">
        <v>97.5</v>
      </c>
      <c r="H51" s="70"/>
      <c r="I51" s="70">
        <f t="shared" si="8"/>
        <v>292.5</v>
      </c>
      <c r="J51" s="71">
        <v>0</v>
      </c>
      <c r="K51" s="73">
        <f t="shared" si="1"/>
        <v>292.5</v>
      </c>
      <c r="L51" s="90">
        <f t="shared" si="7"/>
        <v>225</v>
      </c>
      <c r="M51" s="72"/>
    </row>
    <row r="52" spans="1:13" ht="14.25" customHeight="1" x14ac:dyDescent="0.2">
      <c r="A52" s="89" t="s">
        <v>1273</v>
      </c>
      <c r="B52" s="67">
        <v>70305</v>
      </c>
      <c r="C52" s="67"/>
      <c r="D52" s="68" t="s">
        <v>1262</v>
      </c>
      <c r="E52" s="67">
        <v>5</v>
      </c>
      <c r="F52" s="69">
        <v>12</v>
      </c>
      <c r="G52" s="69">
        <v>15.75</v>
      </c>
      <c r="H52" s="70"/>
      <c r="I52" s="70">
        <f t="shared" si="8"/>
        <v>78.75</v>
      </c>
      <c r="J52" s="71">
        <v>0</v>
      </c>
      <c r="K52" s="73">
        <f t="shared" si="1"/>
        <v>78.75</v>
      </c>
      <c r="L52" s="90">
        <f t="shared" si="7"/>
        <v>60</v>
      </c>
      <c r="M52" s="72"/>
    </row>
    <row r="53" spans="1:13" ht="14.25" customHeight="1" x14ac:dyDescent="0.2">
      <c r="A53" s="89" t="s">
        <v>1273</v>
      </c>
      <c r="B53" s="67">
        <v>70018</v>
      </c>
      <c r="C53" s="67"/>
      <c r="D53" s="68" t="s">
        <v>1248</v>
      </c>
      <c r="E53" s="67">
        <v>20</v>
      </c>
      <c r="F53" s="69">
        <v>2</v>
      </c>
      <c r="G53" s="69">
        <v>5.25</v>
      </c>
      <c r="H53" s="70"/>
      <c r="I53" s="70">
        <f t="shared" si="8"/>
        <v>105</v>
      </c>
      <c r="J53" s="71">
        <v>0</v>
      </c>
      <c r="K53" s="73">
        <f t="shared" si="1"/>
        <v>105</v>
      </c>
      <c r="L53" s="90">
        <f t="shared" si="7"/>
        <v>40</v>
      </c>
      <c r="M53" s="72"/>
    </row>
    <row r="54" spans="1:13" ht="14.25" customHeight="1" x14ac:dyDescent="0.2">
      <c r="A54" s="89" t="s">
        <v>1273</v>
      </c>
      <c r="B54" s="67">
        <v>70191</v>
      </c>
      <c r="C54" s="67"/>
      <c r="D54" s="68" t="s">
        <v>1327</v>
      </c>
      <c r="E54" s="67">
        <v>1</v>
      </c>
      <c r="F54" s="69">
        <v>38.5</v>
      </c>
      <c r="G54" s="69">
        <v>49</v>
      </c>
      <c r="H54" s="70"/>
      <c r="I54" s="70">
        <f t="shared" si="8"/>
        <v>49</v>
      </c>
      <c r="J54" s="71">
        <v>0</v>
      </c>
      <c r="K54" s="73">
        <f t="shared" si="1"/>
        <v>49</v>
      </c>
      <c r="L54" s="90">
        <f t="shared" si="7"/>
        <v>38.5</v>
      </c>
      <c r="M54" s="72"/>
    </row>
    <row r="55" spans="1:13" ht="14.25" customHeight="1" x14ac:dyDescent="0.2">
      <c r="A55" s="89" t="s">
        <v>1273</v>
      </c>
      <c r="B55" s="67">
        <v>70014</v>
      </c>
      <c r="C55" s="67"/>
      <c r="D55" s="68" t="s">
        <v>1328</v>
      </c>
      <c r="E55" s="67">
        <v>36</v>
      </c>
      <c r="F55" s="69">
        <v>1.54</v>
      </c>
      <c r="G55" s="69">
        <v>5</v>
      </c>
      <c r="H55" s="70"/>
      <c r="I55" s="70">
        <f t="shared" si="8"/>
        <v>180</v>
      </c>
      <c r="J55" s="71">
        <v>0</v>
      </c>
      <c r="K55" s="73">
        <f t="shared" si="1"/>
        <v>180</v>
      </c>
      <c r="L55" s="90">
        <f t="shared" si="7"/>
        <v>55.44</v>
      </c>
      <c r="M55" s="72"/>
    </row>
    <row r="56" spans="1:13" ht="14.25" customHeight="1" x14ac:dyDescent="0.2">
      <c r="A56" s="89" t="s">
        <v>1273</v>
      </c>
      <c r="B56" s="67">
        <v>70293</v>
      </c>
      <c r="C56" s="67"/>
      <c r="D56" s="68" t="s">
        <v>1252</v>
      </c>
      <c r="E56" s="67">
        <v>3</v>
      </c>
      <c r="F56" s="69">
        <v>30</v>
      </c>
      <c r="G56" s="69">
        <v>39</v>
      </c>
      <c r="H56" s="70"/>
      <c r="I56" s="70">
        <f t="shared" si="8"/>
        <v>117</v>
      </c>
      <c r="J56" s="71">
        <v>0</v>
      </c>
      <c r="K56" s="73">
        <f t="shared" si="1"/>
        <v>117</v>
      </c>
      <c r="L56" s="90">
        <f t="shared" si="7"/>
        <v>90</v>
      </c>
      <c r="M56" s="72"/>
    </row>
    <row r="57" spans="1:13" ht="14.25" customHeight="1" x14ac:dyDescent="0.2">
      <c r="A57" s="89" t="s">
        <v>1273</v>
      </c>
      <c r="B57" s="67">
        <v>70290</v>
      </c>
      <c r="C57" s="67" t="s">
        <v>1301</v>
      </c>
      <c r="D57" s="68" t="s">
        <v>1255</v>
      </c>
      <c r="E57" s="67">
        <v>1</v>
      </c>
      <c r="F57" s="69">
        <v>15</v>
      </c>
      <c r="G57" s="69">
        <v>200</v>
      </c>
      <c r="H57" s="70"/>
      <c r="I57" s="70">
        <f t="shared" si="8"/>
        <v>200</v>
      </c>
      <c r="J57" s="71">
        <v>0</v>
      </c>
      <c r="K57" s="73">
        <f t="shared" si="1"/>
        <v>200</v>
      </c>
      <c r="L57" s="90">
        <f t="shared" si="7"/>
        <v>15</v>
      </c>
      <c r="M57" s="72"/>
    </row>
    <row r="58" spans="1:13" ht="14.25" customHeight="1" x14ac:dyDescent="0.2">
      <c r="A58" s="89" t="s">
        <v>1273</v>
      </c>
      <c r="B58" s="67">
        <v>70290</v>
      </c>
      <c r="C58" s="67" t="s">
        <v>1302</v>
      </c>
      <c r="D58" s="68" t="s">
        <v>1255</v>
      </c>
      <c r="E58" s="67">
        <v>1</v>
      </c>
      <c r="F58" s="69">
        <v>15</v>
      </c>
      <c r="G58" s="69">
        <v>200</v>
      </c>
      <c r="H58" s="70"/>
      <c r="I58" s="70">
        <f t="shared" si="8"/>
        <v>200</v>
      </c>
      <c r="J58" s="71">
        <v>0</v>
      </c>
      <c r="K58" s="73">
        <f t="shared" si="1"/>
        <v>200</v>
      </c>
      <c r="L58" s="90">
        <f t="shared" si="7"/>
        <v>15</v>
      </c>
      <c r="M58" s="72"/>
    </row>
    <row r="59" spans="1:13" ht="14.25" customHeight="1" x14ac:dyDescent="0.2">
      <c r="A59" s="89" t="s">
        <v>1273</v>
      </c>
      <c r="B59" s="67">
        <v>70290</v>
      </c>
      <c r="C59" s="67" t="s">
        <v>1303</v>
      </c>
      <c r="D59" s="68" t="s">
        <v>1255</v>
      </c>
      <c r="E59" s="67">
        <v>1</v>
      </c>
      <c r="F59" s="69">
        <v>15</v>
      </c>
      <c r="G59" s="69">
        <v>200</v>
      </c>
      <c r="H59" s="70"/>
      <c r="I59" s="70">
        <f t="shared" si="8"/>
        <v>200</v>
      </c>
      <c r="J59" s="71">
        <v>0</v>
      </c>
      <c r="K59" s="73">
        <f t="shared" si="1"/>
        <v>200</v>
      </c>
      <c r="L59" s="90">
        <f t="shared" si="7"/>
        <v>15</v>
      </c>
      <c r="M59" s="72"/>
    </row>
    <row r="60" spans="1:13" ht="14.25" customHeight="1" x14ac:dyDescent="0.2">
      <c r="A60" s="89" t="s">
        <v>1273</v>
      </c>
      <c r="B60" s="67">
        <v>70290</v>
      </c>
      <c r="C60" s="67" t="s">
        <v>1304</v>
      </c>
      <c r="D60" s="68" t="s">
        <v>1255</v>
      </c>
      <c r="E60" s="67">
        <v>6</v>
      </c>
      <c r="F60" s="69">
        <v>15</v>
      </c>
      <c r="G60" s="69">
        <v>200</v>
      </c>
      <c r="H60" s="70"/>
      <c r="I60" s="70">
        <f t="shared" si="8"/>
        <v>1200</v>
      </c>
      <c r="J60" s="71">
        <v>0</v>
      </c>
      <c r="K60" s="73">
        <f t="shared" si="1"/>
        <v>1200</v>
      </c>
      <c r="L60" s="90">
        <f t="shared" si="7"/>
        <v>90</v>
      </c>
      <c r="M60" s="72"/>
    </row>
    <row r="61" spans="1:13" ht="14.25" customHeight="1" x14ac:dyDescent="0.2">
      <c r="A61" s="89" t="s">
        <v>1273</v>
      </c>
      <c r="B61" s="67">
        <v>70290</v>
      </c>
      <c r="C61" s="67" t="s">
        <v>1305</v>
      </c>
      <c r="D61" s="68" t="s">
        <v>1255</v>
      </c>
      <c r="E61" s="67">
        <v>1</v>
      </c>
      <c r="F61" s="69">
        <v>15</v>
      </c>
      <c r="G61" s="69">
        <v>200</v>
      </c>
      <c r="H61" s="70"/>
      <c r="I61" s="70">
        <f t="shared" si="8"/>
        <v>200</v>
      </c>
      <c r="J61" s="71">
        <v>0</v>
      </c>
      <c r="K61" s="73">
        <f t="shared" si="1"/>
        <v>200</v>
      </c>
      <c r="L61" s="90">
        <f t="shared" si="7"/>
        <v>15</v>
      </c>
      <c r="M61" s="72"/>
    </row>
    <row r="62" spans="1:13" ht="14.25" customHeight="1" x14ac:dyDescent="0.2">
      <c r="A62" s="89" t="s">
        <v>1273</v>
      </c>
      <c r="B62" s="67">
        <v>70290</v>
      </c>
      <c r="C62" s="67" t="s">
        <v>1306</v>
      </c>
      <c r="D62" s="68" t="s">
        <v>1255</v>
      </c>
      <c r="E62" s="67">
        <v>2</v>
      </c>
      <c r="F62" s="69">
        <v>15</v>
      </c>
      <c r="G62" s="69">
        <v>200</v>
      </c>
      <c r="H62" s="70"/>
      <c r="I62" s="70">
        <f t="shared" si="8"/>
        <v>400</v>
      </c>
      <c r="J62" s="71">
        <v>0</v>
      </c>
      <c r="K62" s="73">
        <f t="shared" si="1"/>
        <v>400</v>
      </c>
      <c r="L62" s="90">
        <f t="shared" si="7"/>
        <v>30</v>
      </c>
      <c r="M62" s="72"/>
    </row>
    <row r="63" spans="1:13" ht="14.25" customHeight="1" x14ac:dyDescent="0.2">
      <c r="A63" s="89" t="s">
        <v>1273</v>
      </c>
      <c r="B63" s="67">
        <v>70290</v>
      </c>
      <c r="C63" s="67" t="s">
        <v>1307</v>
      </c>
      <c r="D63" s="68" t="s">
        <v>1255</v>
      </c>
      <c r="E63" s="67">
        <v>1</v>
      </c>
      <c r="F63" s="69">
        <v>15</v>
      </c>
      <c r="G63" s="69">
        <v>200</v>
      </c>
      <c r="H63" s="70"/>
      <c r="I63" s="70">
        <f t="shared" si="8"/>
        <v>200</v>
      </c>
      <c r="J63" s="71">
        <v>0</v>
      </c>
      <c r="K63" s="73">
        <f t="shared" si="1"/>
        <v>200</v>
      </c>
      <c r="L63" s="90">
        <f t="shared" si="7"/>
        <v>15</v>
      </c>
      <c r="M63" s="72"/>
    </row>
    <row r="64" spans="1:13" ht="14.25" customHeight="1" x14ac:dyDescent="0.2">
      <c r="A64" s="89" t="s">
        <v>1273</v>
      </c>
      <c r="B64" s="67">
        <v>70290</v>
      </c>
      <c r="C64" s="67" t="s">
        <v>1308</v>
      </c>
      <c r="D64" s="68" t="s">
        <v>1255</v>
      </c>
      <c r="E64" s="67">
        <v>8</v>
      </c>
      <c r="F64" s="69">
        <v>15</v>
      </c>
      <c r="G64" s="69">
        <v>200</v>
      </c>
      <c r="H64" s="70"/>
      <c r="I64" s="70">
        <f t="shared" si="8"/>
        <v>1600</v>
      </c>
      <c r="J64" s="71">
        <v>0</v>
      </c>
      <c r="K64" s="73">
        <f t="shared" si="1"/>
        <v>1600</v>
      </c>
      <c r="L64" s="90">
        <f t="shared" si="7"/>
        <v>120</v>
      </c>
      <c r="M64" s="72"/>
    </row>
    <row r="65" spans="1:13" ht="14.25" customHeight="1" x14ac:dyDescent="0.2">
      <c r="A65" s="89" t="s">
        <v>1273</v>
      </c>
      <c r="B65" s="67">
        <v>70220</v>
      </c>
      <c r="C65" s="67" t="s">
        <v>1309</v>
      </c>
      <c r="D65" s="68" t="s">
        <v>1329</v>
      </c>
      <c r="E65" s="67">
        <v>66</v>
      </c>
      <c r="F65" s="69">
        <v>170.3</v>
      </c>
      <c r="G65" s="69">
        <v>200</v>
      </c>
      <c r="H65" s="70"/>
      <c r="I65" s="70">
        <f t="shared" si="8"/>
        <v>13200</v>
      </c>
      <c r="J65" s="71">
        <v>0</v>
      </c>
      <c r="K65" s="73">
        <f t="shared" si="1"/>
        <v>13200</v>
      </c>
      <c r="L65" s="90">
        <f t="shared" si="7"/>
        <v>11239.800000000001</v>
      </c>
      <c r="M65" s="72"/>
    </row>
    <row r="66" spans="1:13" ht="14.25" customHeight="1" x14ac:dyDescent="0.2">
      <c r="A66" s="89" t="s">
        <v>1273</v>
      </c>
      <c r="B66" s="67">
        <v>70123</v>
      </c>
      <c r="C66" s="67" t="s">
        <v>1310</v>
      </c>
      <c r="D66" s="68" t="s">
        <v>21</v>
      </c>
      <c r="E66" s="67">
        <v>3</v>
      </c>
      <c r="F66" s="69">
        <v>148.9</v>
      </c>
      <c r="G66" s="69">
        <v>237</v>
      </c>
      <c r="H66" s="70">
        <f>E66*G66</f>
        <v>711</v>
      </c>
      <c r="I66" s="70"/>
      <c r="J66" s="71">
        <v>0</v>
      </c>
      <c r="K66" s="73">
        <f t="shared" si="1"/>
        <v>711</v>
      </c>
      <c r="L66" s="90">
        <f t="shared" si="7"/>
        <v>446.70000000000005</v>
      </c>
      <c r="M66" s="72"/>
    </row>
    <row r="67" spans="1:13" x14ac:dyDescent="0.2">
      <c r="A67" s="89" t="s">
        <v>1273</v>
      </c>
      <c r="B67" s="67">
        <v>70085</v>
      </c>
      <c r="C67" s="67"/>
      <c r="D67" s="68" t="s">
        <v>24</v>
      </c>
      <c r="E67" s="67">
        <v>5</v>
      </c>
      <c r="F67" s="69">
        <v>2.7</v>
      </c>
      <c r="G67" s="69">
        <v>8</v>
      </c>
      <c r="H67" s="70">
        <f t="shared" si="0"/>
        <v>40</v>
      </c>
      <c r="I67" s="70"/>
      <c r="J67" s="71">
        <v>0</v>
      </c>
      <c r="K67" s="73">
        <f t="shared" si="1"/>
        <v>40</v>
      </c>
      <c r="L67" s="90">
        <f t="shared" si="7"/>
        <v>13.5</v>
      </c>
      <c r="M67" s="72"/>
    </row>
    <row r="68" spans="1:13" x14ac:dyDescent="0.2">
      <c r="A68" s="89" t="s">
        <v>1273</v>
      </c>
      <c r="B68" s="67">
        <v>70311</v>
      </c>
      <c r="C68" s="67"/>
      <c r="D68" s="68" t="s">
        <v>1264</v>
      </c>
      <c r="E68" s="67">
        <v>20</v>
      </c>
      <c r="F68" s="69">
        <v>16</v>
      </c>
      <c r="G68" s="69">
        <v>21</v>
      </c>
      <c r="H68" s="70">
        <f t="shared" si="0"/>
        <v>420</v>
      </c>
      <c r="I68" s="70"/>
      <c r="J68" s="71">
        <v>0</v>
      </c>
      <c r="K68" s="73">
        <f t="shared" si="1"/>
        <v>420</v>
      </c>
      <c r="L68" s="90">
        <f t="shared" si="7"/>
        <v>320</v>
      </c>
      <c r="M68" s="72"/>
    </row>
    <row r="69" spans="1:13" x14ac:dyDescent="0.2">
      <c r="A69" s="89" t="s">
        <v>1274</v>
      </c>
      <c r="B69" s="67">
        <v>70176</v>
      </c>
      <c r="C69" s="67" t="s">
        <v>1311</v>
      </c>
      <c r="D69" s="68" t="s">
        <v>26</v>
      </c>
      <c r="E69" s="67">
        <v>6</v>
      </c>
      <c r="F69" s="69">
        <v>167.8</v>
      </c>
      <c r="G69" s="69">
        <v>360</v>
      </c>
      <c r="H69" s="70">
        <f>E69*G69</f>
        <v>2160</v>
      </c>
      <c r="I69" s="70"/>
      <c r="J69" s="71">
        <v>0</v>
      </c>
      <c r="K69" s="73">
        <f t="shared" si="1"/>
        <v>2160</v>
      </c>
      <c r="L69" s="90">
        <f>E69*F69</f>
        <v>1006.8000000000001</v>
      </c>
      <c r="M69" s="72"/>
    </row>
    <row r="70" spans="1:13" x14ac:dyDescent="0.2">
      <c r="A70" s="89" t="s">
        <v>1274</v>
      </c>
      <c r="B70" s="67">
        <v>70305</v>
      </c>
      <c r="C70" s="67" t="s">
        <v>1312</v>
      </c>
      <c r="D70" s="68" t="s">
        <v>1262</v>
      </c>
      <c r="E70" s="67">
        <v>2</v>
      </c>
      <c r="F70" s="69">
        <v>12</v>
      </c>
      <c r="G70" s="69">
        <v>15.75</v>
      </c>
      <c r="H70" s="70">
        <f t="shared" ref="H70" si="9">E70*G70</f>
        <v>31.5</v>
      </c>
      <c r="I70" s="70"/>
      <c r="J70" s="71">
        <v>0</v>
      </c>
      <c r="K70" s="73">
        <f t="shared" si="1"/>
        <v>31.5</v>
      </c>
      <c r="L70" s="90">
        <f t="shared" si="7"/>
        <v>24</v>
      </c>
      <c r="M70" s="72"/>
    </row>
    <row r="71" spans="1:13" x14ac:dyDescent="0.2">
      <c r="A71" s="89" t="s">
        <v>1274</v>
      </c>
      <c r="B71" s="67">
        <v>70304</v>
      </c>
      <c r="C71" s="67" t="s">
        <v>1313</v>
      </c>
      <c r="D71" s="68" t="s">
        <v>1330</v>
      </c>
      <c r="E71" s="67">
        <v>1</v>
      </c>
      <c r="F71" s="69">
        <v>325</v>
      </c>
      <c r="G71" s="69">
        <v>400</v>
      </c>
      <c r="H71" s="70"/>
      <c r="I71" s="70">
        <f>E71*G71</f>
        <v>400</v>
      </c>
      <c r="J71" s="71">
        <v>0</v>
      </c>
      <c r="K71" s="73">
        <f t="shared" ref="K71:K86" si="10">H71+I71-J71</f>
        <v>400</v>
      </c>
      <c r="L71" s="90">
        <f t="shared" ref="L71:L86" si="11">E71*F71</f>
        <v>325</v>
      </c>
      <c r="M71" s="72"/>
    </row>
    <row r="72" spans="1:13" x14ac:dyDescent="0.2">
      <c r="A72" s="89" t="s">
        <v>1274</v>
      </c>
      <c r="B72" s="67">
        <v>70290</v>
      </c>
      <c r="C72" s="67" t="s">
        <v>1314</v>
      </c>
      <c r="D72" s="68" t="s">
        <v>1255</v>
      </c>
      <c r="E72" s="67">
        <v>2</v>
      </c>
      <c r="F72" s="69">
        <v>15</v>
      </c>
      <c r="G72" s="69">
        <v>200</v>
      </c>
      <c r="H72" s="70"/>
      <c r="I72" s="70">
        <f>E72*G72</f>
        <v>400</v>
      </c>
      <c r="J72" s="71">
        <v>0</v>
      </c>
      <c r="K72" s="73">
        <f t="shared" si="10"/>
        <v>400</v>
      </c>
      <c r="L72" s="90">
        <f t="shared" si="11"/>
        <v>30</v>
      </c>
      <c r="M72" s="72"/>
    </row>
    <row r="73" spans="1:13" x14ac:dyDescent="0.2">
      <c r="A73" s="89" t="s">
        <v>1274</v>
      </c>
      <c r="B73" s="67">
        <v>70017</v>
      </c>
      <c r="C73" s="67" t="s">
        <v>1315</v>
      </c>
      <c r="D73" s="68" t="s">
        <v>20</v>
      </c>
      <c r="E73" s="67">
        <v>2</v>
      </c>
      <c r="F73" s="69">
        <v>84</v>
      </c>
      <c r="G73" s="69">
        <v>157</v>
      </c>
      <c r="H73" s="70"/>
      <c r="I73" s="70">
        <f t="shared" ref="I73:I86" si="12">E73*G73</f>
        <v>314</v>
      </c>
      <c r="J73" s="71">
        <v>0</v>
      </c>
      <c r="K73" s="73">
        <f t="shared" si="10"/>
        <v>314</v>
      </c>
      <c r="L73" s="90">
        <f t="shared" si="11"/>
        <v>168</v>
      </c>
      <c r="M73" s="72"/>
    </row>
    <row r="74" spans="1:13" x14ac:dyDescent="0.2">
      <c r="A74" s="89" t="s">
        <v>1274</v>
      </c>
      <c r="B74" s="67">
        <v>70305</v>
      </c>
      <c r="C74" s="67"/>
      <c r="D74" s="68" t="s">
        <v>1262</v>
      </c>
      <c r="E74" s="67">
        <v>15</v>
      </c>
      <c r="F74" s="69">
        <v>12</v>
      </c>
      <c r="G74" s="69">
        <v>15.75</v>
      </c>
      <c r="H74" s="70"/>
      <c r="I74" s="70">
        <f t="shared" si="12"/>
        <v>236.25</v>
      </c>
      <c r="J74" s="71">
        <v>0</v>
      </c>
      <c r="K74" s="73">
        <f t="shared" si="10"/>
        <v>236.25</v>
      </c>
      <c r="L74" s="90">
        <f t="shared" si="11"/>
        <v>180</v>
      </c>
      <c r="M74" s="72"/>
    </row>
    <row r="75" spans="1:13" x14ac:dyDescent="0.2">
      <c r="A75" s="89" t="s">
        <v>1274</v>
      </c>
      <c r="B75" s="67">
        <v>70069</v>
      </c>
      <c r="C75" s="67"/>
      <c r="D75" s="68" t="s">
        <v>1249</v>
      </c>
      <c r="E75" s="67">
        <v>30</v>
      </c>
      <c r="F75" s="69">
        <v>14.5</v>
      </c>
      <c r="G75" s="69">
        <v>20</v>
      </c>
      <c r="H75" s="70"/>
      <c r="I75" s="70">
        <f t="shared" si="12"/>
        <v>600</v>
      </c>
      <c r="J75" s="71">
        <v>0</v>
      </c>
      <c r="K75" s="73">
        <f t="shared" si="10"/>
        <v>600</v>
      </c>
      <c r="L75" s="90">
        <f t="shared" si="11"/>
        <v>435</v>
      </c>
      <c r="M75" s="72"/>
    </row>
    <row r="76" spans="1:13" x14ac:dyDescent="0.2">
      <c r="A76" s="89" t="s">
        <v>1274</v>
      </c>
      <c r="B76" s="67">
        <v>70112</v>
      </c>
      <c r="C76" s="67"/>
      <c r="D76" s="68" t="s">
        <v>29</v>
      </c>
      <c r="E76" s="67">
        <v>12</v>
      </c>
      <c r="F76" s="69">
        <v>21.5</v>
      </c>
      <c r="G76" s="69">
        <v>28</v>
      </c>
      <c r="H76" s="70"/>
      <c r="I76" s="70">
        <f t="shared" si="12"/>
        <v>336</v>
      </c>
      <c r="J76" s="71">
        <v>0</v>
      </c>
      <c r="K76" s="73">
        <f t="shared" si="10"/>
        <v>336</v>
      </c>
      <c r="L76" s="90">
        <f t="shared" si="11"/>
        <v>258</v>
      </c>
      <c r="M76" s="72"/>
    </row>
    <row r="77" spans="1:13" x14ac:dyDescent="0.2">
      <c r="A77" s="89" t="s">
        <v>1274</v>
      </c>
      <c r="B77" s="67">
        <v>70193</v>
      </c>
      <c r="C77" s="67"/>
      <c r="D77" s="68" t="s">
        <v>1260</v>
      </c>
      <c r="E77" s="67">
        <v>2</v>
      </c>
      <c r="F77" s="69">
        <v>60</v>
      </c>
      <c r="G77" s="69">
        <v>78</v>
      </c>
      <c r="H77" s="70"/>
      <c r="I77" s="70">
        <f t="shared" si="12"/>
        <v>156</v>
      </c>
      <c r="J77" s="71">
        <v>0</v>
      </c>
      <c r="K77" s="73">
        <f t="shared" si="10"/>
        <v>156</v>
      </c>
      <c r="L77" s="90">
        <f t="shared" si="11"/>
        <v>120</v>
      </c>
      <c r="M77" s="72"/>
    </row>
    <row r="78" spans="1:13" x14ac:dyDescent="0.2">
      <c r="A78" s="89" t="s">
        <v>1274</v>
      </c>
      <c r="B78" s="67">
        <v>70124</v>
      </c>
      <c r="C78" s="67"/>
      <c r="D78" s="68" t="s">
        <v>22</v>
      </c>
      <c r="E78" s="67">
        <v>3</v>
      </c>
      <c r="F78" s="69">
        <v>126</v>
      </c>
      <c r="G78" s="69">
        <v>201</v>
      </c>
      <c r="H78" s="70"/>
      <c r="I78" s="70">
        <f t="shared" si="12"/>
        <v>603</v>
      </c>
      <c r="J78" s="71">
        <v>0</v>
      </c>
      <c r="K78" s="73">
        <f t="shared" si="10"/>
        <v>603</v>
      </c>
      <c r="L78" s="90">
        <f t="shared" si="11"/>
        <v>378</v>
      </c>
      <c r="M78" s="72"/>
    </row>
    <row r="79" spans="1:13" x14ac:dyDescent="0.2">
      <c r="A79" s="89" t="s">
        <v>1274</v>
      </c>
      <c r="B79" s="67">
        <v>70124</v>
      </c>
      <c r="C79" s="67" t="s">
        <v>1316</v>
      </c>
      <c r="D79" s="68" t="s">
        <v>22</v>
      </c>
      <c r="E79" s="67">
        <v>1</v>
      </c>
      <c r="F79" s="69">
        <v>126</v>
      </c>
      <c r="G79" s="69">
        <v>201</v>
      </c>
      <c r="H79" s="70"/>
      <c r="I79" s="70">
        <f t="shared" si="12"/>
        <v>201</v>
      </c>
      <c r="J79" s="71">
        <v>0</v>
      </c>
      <c r="K79" s="73">
        <f t="shared" si="10"/>
        <v>201</v>
      </c>
      <c r="L79" s="90">
        <f t="shared" si="11"/>
        <v>126</v>
      </c>
      <c r="M79" s="72"/>
    </row>
    <row r="80" spans="1:13" x14ac:dyDescent="0.2">
      <c r="A80" s="89" t="s">
        <v>1274</v>
      </c>
      <c r="B80" s="67">
        <v>70018</v>
      </c>
      <c r="C80" s="67"/>
      <c r="D80" s="68" t="s">
        <v>1248</v>
      </c>
      <c r="E80" s="67">
        <v>10</v>
      </c>
      <c r="F80" s="69">
        <v>2</v>
      </c>
      <c r="G80" s="69">
        <v>5.25</v>
      </c>
      <c r="H80" s="70"/>
      <c r="I80" s="70">
        <f t="shared" si="12"/>
        <v>52.5</v>
      </c>
      <c r="J80" s="71">
        <v>0</v>
      </c>
      <c r="K80" s="73">
        <f t="shared" si="10"/>
        <v>52.5</v>
      </c>
      <c r="L80" s="90">
        <f t="shared" si="11"/>
        <v>20</v>
      </c>
      <c r="M80" s="72"/>
    </row>
    <row r="81" spans="1:13" x14ac:dyDescent="0.2">
      <c r="A81" s="89" t="s">
        <v>1274</v>
      </c>
      <c r="B81" s="67">
        <v>70123</v>
      </c>
      <c r="C81" s="67" t="s">
        <v>1317</v>
      </c>
      <c r="D81" s="68" t="s">
        <v>21</v>
      </c>
      <c r="E81" s="67">
        <v>5</v>
      </c>
      <c r="F81" s="69">
        <v>148.9</v>
      </c>
      <c r="G81" s="69">
        <v>237</v>
      </c>
      <c r="H81" s="70"/>
      <c r="I81" s="70">
        <f t="shared" si="12"/>
        <v>1185</v>
      </c>
      <c r="J81" s="71">
        <v>0</v>
      </c>
      <c r="K81" s="73">
        <f t="shared" si="10"/>
        <v>1185</v>
      </c>
      <c r="L81" s="90">
        <f t="shared" si="11"/>
        <v>744.5</v>
      </c>
      <c r="M81" s="72"/>
    </row>
    <row r="82" spans="1:13" x14ac:dyDescent="0.2">
      <c r="A82" s="89" t="s">
        <v>1274</v>
      </c>
      <c r="B82" s="67">
        <v>70085</v>
      </c>
      <c r="C82" s="67"/>
      <c r="D82" s="68" t="s">
        <v>24</v>
      </c>
      <c r="E82" s="67">
        <v>20</v>
      </c>
      <c r="F82" s="69">
        <v>2.7</v>
      </c>
      <c r="G82" s="69">
        <v>8</v>
      </c>
      <c r="H82" s="70"/>
      <c r="I82" s="70">
        <f t="shared" si="12"/>
        <v>160</v>
      </c>
      <c r="J82" s="71">
        <v>0</v>
      </c>
      <c r="K82" s="73">
        <f t="shared" si="10"/>
        <v>160</v>
      </c>
      <c r="L82" s="90">
        <f t="shared" si="11"/>
        <v>54</v>
      </c>
      <c r="M82" s="72"/>
    </row>
    <row r="83" spans="1:13" x14ac:dyDescent="0.2">
      <c r="A83" s="89" t="s">
        <v>1274</v>
      </c>
      <c r="B83" s="67">
        <v>70296</v>
      </c>
      <c r="C83" s="67" t="s">
        <v>1318</v>
      </c>
      <c r="D83" s="68" t="s">
        <v>1253</v>
      </c>
      <c r="E83" s="67">
        <v>1</v>
      </c>
      <c r="F83" s="69">
        <v>14</v>
      </c>
      <c r="G83" s="69">
        <v>18.25</v>
      </c>
      <c r="H83" s="70"/>
      <c r="I83" s="70">
        <f t="shared" si="12"/>
        <v>18.25</v>
      </c>
      <c r="J83" s="71">
        <v>0</v>
      </c>
      <c r="K83" s="73">
        <f t="shared" si="10"/>
        <v>18.25</v>
      </c>
      <c r="L83" s="90">
        <f t="shared" si="11"/>
        <v>14</v>
      </c>
      <c r="M83" s="72"/>
    </row>
    <row r="84" spans="1:13" x14ac:dyDescent="0.2">
      <c r="A84" s="89" t="s">
        <v>1274</v>
      </c>
      <c r="B84" s="67">
        <v>70313</v>
      </c>
      <c r="C84" s="67"/>
      <c r="D84" s="68" t="s">
        <v>1253</v>
      </c>
      <c r="E84" s="67">
        <v>29</v>
      </c>
      <c r="F84" s="69">
        <v>15</v>
      </c>
      <c r="G84" s="69">
        <v>18.25</v>
      </c>
      <c r="H84" s="70"/>
      <c r="I84" s="70">
        <f>E84*G84</f>
        <v>529.25</v>
      </c>
      <c r="J84" s="71">
        <v>0</v>
      </c>
      <c r="K84" s="73">
        <f t="shared" si="10"/>
        <v>529.25</v>
      </c>
      <c r="L84" s="90">
        <f t="shared" si="11"/>
        <v>435</v>
      </c>
      <c r="M84" s="72"/>
    </row>
    <row r="85" spans="1:13" x14ac:dyDescent="0.2">
      <c r="A85" s="89" t="s">
        <v>1274</v>
      </c>
      <c r="B85" s="67">
        <v>70306</v>
      </c>
      <c r="C85" s="67"/>
      <c r="D85" s="68" t="s">
        <v>1263</v>
      </c>
      <c r="E85" s="67">
        <v>3</v>
      </c>
      <c r="F85" s="69">
        <v>24</v>
      </c>
      <c r="G85" s="69">
        <v>31.25</v>
      </c>
      <c r="H85" s="70"/>
      <c r="I85" s="70">
        <f t="shared" si="12"/>
        <v>93.75</v>
      </c>
      <c r="J85" s="71">
        <v>0</v>
      </c>
      <c r="K85" s="73">
        <f t="shared" si="10"/>
        <v>93.75</v>
      </c>
      <c r="L85" s="90">
        <f t="shared" si="11"/>
        <v>72</v>
      </c>
      <c r="M85" s="72"/>
    </row>
    <row r="86" spans="1:13" x14ac:dyDescent="0.2">
      <c r="A86" s="89" t="s">
        <v>1274</v>
      </c>
      <c r="B86" s="67">
        <v>70124</v>
      </c>
      <c r="C86" s="67"/>
      <c r="D86" s="68" t="s">
        <v>22</v>
      </c>
      <c r="E86" s="67">
        <v>2</v>
      </c>
      <c r="F86" s="69">
        <v>126</v>
      </c>
      <c r="G86" s="69">
        <v>201</v>
      </c>
      <c r="H86" s="70"/>
      <c r="I86" s="70">
        <f t="shared" si="12"/>
        <v>402</v>
      </c>
      <c r="J86" s="71">
        <v>0</v>
      </c>
      <c r="K86" s="73">
        <f t="shared" si="10"/>
        <v>402</v>
      </c>
      <c r="L86" s="90">
        <f t="shared" si="11"/>
        <v>252</v>
      </c>
      <c r="M86" s="72"/>
    </row>
    <row r="87" spans="1:13" x14ac:dyDescent="0.2">
      <c r="A87" s="89"/>
      <c r="B87" s="67"/>
      <c r="C87" s="67"/>
      <c r="D87" s="68"/>
      <c r="E87" s="67"/>
      <c r="F87" s="69"/>
      <c r="G87" s="69"/>
      <c r="H87" s="78"/>
      <c r="I87" s="70"/>
      <c r="J87" s="71"/>
      <c r="K87" s="73">
        <f t="shared" ref="K87" si="13">H87+I87-J87</f>
        <v>0</v>
      </c>
      <c r="L87" s="90">
        <f t="shared" ref="L87" si="14">E87*F87</f>
        <v>0</v>
      </c>
      <c r="M87" s="72"/>
    </row>
    <row r="88" spans="1:13" s="75" customFormat="1" ht="13.5" thickBot="1" x14ac:dyDescent="0.25">
      <c r="A88" s="260" t="s">
        <v>0</v>
      </c>
      <c r="B88" s="261"/>
      <c r="C88" s="261"/>
      <c r="D88" s="262"/>
      <c r="E88" s="74">
        <f t="shared" ref="E88:L88" si="15">SUM(E6:E87)</f>
        <v>635</v>
      </c>
      <c r="F88" s="74">
        <f t="shared" si="15"/>
        <v>6441.2799999999988</v>
      </c>
      <c r="G88" s="74">
        <f t="shared" si="15"/>
        <v>12706.5</v>
      </c>
      <c r="H88" s="74">
        <f t="shared" si="15"/>
        <v>12896</v>
      </c>
      <c r="I88" s="74">
        <f>SUM(I6:I87)</f>
        <v>45322.75</v>
      </c>
      <c r="J88" s="74">
        <f t="shared" si="15"/>
        <v>50.25</v>
      </c>
      <c r="K88" s="74">
        <f t="shared" si="15"/>
        <v>58168.5</v>
      </c>
      <c r="L88" s="74">
        <f t="shared" si="15"/>
        <v>35920.14</v>
      </c>
      <c r="M88" s="61"/>
    </row>
    <row r="89" spans="1:13" x14ac:dyDescent="0.2">
      <c r="G89" s="79"/>
      <c r="H89" s="79"/>
      <c r="I89" s="79"/>
      <c r="J89" s="79"/>
      <c r="K89" s="79"/>
      <c r="L89" s="61"/>
      <c r="M89" s="61"/>
    </row>
    <row r="90" spans="1:13" x14ac:dyDescent="0.2">
      <c r="D90" s="102"/>
      <c r="E90" s="80"/>
      <c r="F90" s="103"/>
      <c r="G90" s="79"/>
      <c r="H90" s="83"/>
      <c r="I90" s="83"/>
      <c r="J90" s="79" t="s">
        <v>16</v>
      </c>
      <c r="K90" s="79">
        <v>12845.75</v>
      </c>
      <c r="L90" s="72"/>
    </row>
    <row r="91" spans="1:13" x14ac:dyDescent="0.2">
      <c r="D91" s="102"/>
      <c r="E91" s="80"/>
      <c r="F91" s="81"/>
      <c r="G91" s="79"/>
      <c r="H91" s="83"/>
      <c r="I91" s="79"/>
      <c r="J91" s="79" t="s">
        <v>28</v>
      </c>
      <c r="K91" s="79">
        <v>45322.75</v>
      </c>
    </row>
    <row r="92" spans="1:13" x14ac:dyDescent="0.2">
      <c r="A92" s="84"/>
      <c r="C92" s="85"/>
      <c r="D92" s="86"/>
      <c r="E92" s="85"/>
      <c r="F92" s="85"/>
      <c r="G92" s="79"/>
      <c r="H92" s="79"/>
      <c r="I92" s="85"/>
      <c r="J92" s="85" t="s">
        <v>0</v>
      </c>
      <c r="K92" s="85">
        <f>SUM(K89:K91)</f>
        <v>58168.5</v>
      </c>
      <c r="L92" s="61"/>
      <c r="M92" s="75"/>
    </row>
    <row r="93" spans="1:13" x14ac:dyDescent="0.2">
      <c r="D93" s="102"/>
      <c r="E93" s="80"/>
      <c r="F93" s="103"/>
      <c r="G93" s="82"/>
      <c r="H93" s="83"/>
      <c r="I93" s="79"/>
      <c r="J93" s="79"/>
      <c r="K93" s="79">
        <f>K88-K92</f>
        <v>0</v>
      </c>
      <c r="L93" s="61"/>
    </row>
    <row r="94" spans="1:13" x14ac:dyDescent="0.2">
      <c r="D94" s="102"/>
      <c r="E94" s="80"/>
      <c r="F94" s="81"/>
      <c r="G94" s="81"/>
      <c r="H94" s="83"/>
      <c r="I94" s="79"/>
      <c r="J94" s="79"/>
      <c r="K94" s="79"/>
    </row>
    <row r="95" spans="1:13" x14ac:dyDescent="0.2">
      <c r="D95" s="102"/>
      <c r="E95" s="80"/>
      <c r="F95" s="103"/>
      <c r="G95" s="81"/>
      <c r="H95" s="83"/>
      <c r="I95" s="79"/>
      <c r="J95" s="79"/>
      <c r="K95" s="79"/>
    </row>
    <row r="96" spans="1:13" x14ac:dyDescent="0.2">
      <c r="D96" s="102"/>
      <c r="E96" s="80"/>
      <c r="F96" s="103"/>
      <c r="G96" s="82"/>
      <c r="H96" s="83"/>
      <c r="I96" s="79"/>
      <c r="J96" s="79"/>
      <c r="K96" s="79"/>
    </row>
    <row r="97" spans="4:11" x14ac:dyDescent="0.2">
      <c r="D97" s="102"/>
      <c r="E97" s="80"/>
      <c r="F97" s="103"/>
      <c r="G97" s="82"/>
      <c r="H97" s="83"/>
      <c r="I97" s="79"/>
      <c r="J97" s="79"/>
      <c r="K97" s="79"/>
    </row>
    <row r="98" spans="4:11" x14ac:dyDescent="0.2">
      <c r="D98" s="102"/>
      <c r="E98" s="80"/>
      <c r="F98" s="103"/>
      <c r="G98" s="82"/>
      <c r="H98" s="83"/>
      <c r="I98" s="79"/>
      <c r="J98" s="79"/>
      <c r="K98" s="79"/>
    </row>
    <row r="99" spans="4:11" x14ac:dyDescent="0.2">
      <c r="D99" s="102"/>
      <c r="E99" s="80"/>
      <c r="F99" s="81"/>
      <c r="G99" s="81"/>
      <c r="H99" s="83"/>
      <c r="I99" s="79"/>
      <c r="J99" s="79"/>
      <c r="K99" s="79"/>
    </row>
    <row r="100" spans="4:11" x14ac:dyDescent="0.2">
      <c r="D100" s="102"/>
      <c r="E100" s="80"/>
      <c r="F100" s="81"/>
      <c r="G100" s="81"/>
      <c r="H100" s="83"/>
      <c r="I100" s="79"/>
      <c r="J100" s="79"/>
      <c r="K100" s="79"/>
    </row>
    <row r="101" spans="4:11" x14ac:dyDescent="0.2">
      <c r="D101" s="102"/>
      <c r="E101" s="80"/>
      <c r="F101" s="103"/>
      <c r="G101" s="82"/>
      <c r="H101" s="83"/>
      <c r="I101" s="79"/>
      <c r="J101" s="79"/>
      <c r="K101" s="79"/>
    </row>
    <row r="102" spans="4:11" x14ac:dyDescent="0.2">
      <c r="D102" s="102"/>
      <c r="E102" s="80"/>
      <c r="F102" s="103"/>
      <c r="G102" s="82"/>
      <c r="H102" s="83"/>
      <c r="I102" s="79"/>
      <c r="J102" s="79"/>
      <c r="K102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88:D88"/>
  </mergeCells>
  <pageMargins left="0.25" right="0.25" top="0.75" bottom="0.75" header="0.3" footer="0.3"/>
  <pageSetup scale="5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592-8779-4C16-97BA-BB2AD5B873DE}">
  <sheetPr>
    <tabColor rgb="FFFFFFCC"/>
  </sheetPr>
  <dimension ref="A1:M156"/>
  <sheetViews>
    <sheetView showGridLines="0" zoomScaleNormal="100" workbookViewId="0">
      <pane ySplit="5" topLeftCell="A15" activePane="bottomLeft" state="frozen"/>
      <selection activeCell="B10" sqref="B10"/>
      <selection pane="bottomLeft" activeCell="D26" sqref="D26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1595</v>
      </c>
      <c r="E3" s="58">
        <f>+E140</f>
        <v>2714</v>
      </c>
      <c r="H3" s="59">
        <f>H140</f>
        <v>8539</v>
      </c>
      <c r="I3" s="59">
        <f>I140</f>
        <v>161980</v>
      </c>
      <c r="J3" s="59">
        <f>J140</f>
        <v>50.25</v>
      </c>
      <c r="K3" s="60">
        <f>K140</f>
        <v>170468.75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>
        <v>46120</v>
      </c>
      <c r="B6" s="117">
        <v>70273</v>
      </c>
      <c r="C6" s="117" t="s">
        <v>1596</v>
      </c>
      <c r="D6" s="118" t="s">
        <v>1361</v>
      </c>
      <c r="E6" s="117">
        <v>2</v>
      </c>
      <c r="F6" s="119">
        <v>95</v>
      </c>
      <c r="G6" s="119">
        <v>124</v>
      </c>
      <c r="H6" s="109">
        <f>E6*G6</f>
        <v>248</v>
      </c>
      <c r="I6" s="109"/>
      <c r="J6" s="110">
        <v>0</v>
      </c>
      <c r="K6" s="110">
        <f>H6+I6-J6</f>
        <v>248</v>
      </c>
      <c r="L6" s="120">
        <f>E6*F6</f>
        <v>190</v>
      </c>
      <c r="M6" s="113"/>
    </row>
    <row r="7" spans="1:13" s="114" customFormat="1" ht="14.25" customHeight="1" x14ac:dyDescent="0.2">
      <c r="A7" s="106">
        <v>46125</v>
      </c>
      <c r="B7" s="105">
        <v>70305</v>
      </c>
      <c r="C7" s="105" t="s">
        <v>1597</v>
      </c>
      <c r="D7" s="107" t="s">
        <v>1262</v>
      </c>
      <c r="E7" s="105">
        <v>2</v>
      </c>
      <c r="F7" s="108">
        <v>12</v>
      </c>
      <c r="G7" s="108">
        <v>15.75</v>
      </c>
      <c r="H7" s="109">
        <f t="shared" ref="H7:H10" si="0">E7*G7</f>
        <v>31.5</v>
      </c>
      <c r="I7" s="109"/>
      <c r="J7" s="110">
        <v>0</v>
      </c>
      <c r="K7" s="111">
        <f t="shared" ref="K7:K70" si="1">H7+I7-J7</f>
        <v>31.5</v>
      </c>
      <c r="L7" s="112">
        <f>E7*F7</f>
        <v>24</v>
      </c>
      <c r="M7" s="113"/>
    </row>
    <row r="8" spans="1:13" s="114" customFormat="1" ht="14.25" customHeight="1" x14ac:dyDescent="0.2">
      <c r="A8" s="106">
        <v>46125</v>
      </c>
      <c r="B8" s="105">
        <v>70168</v>
      </c>
      <c r="C8" s="105" t="s">
        <v>1598</v>
      </c>
      <c r="D8" s="107" t="s">
        <v>1348</v>
      </c>
      <c r="E8" s="105">
        <v>5</v>
      </c>
      <c r="F8" s="108">
        <v>32</v>
      </c>
      <c r="G8" s="108">
        <v>45</v>
      </c>
      <c r="H8" s="109">
        <f t="shared" si="0"/>
        <v>225</v>
      </c>
      <c r="I8" s="109"/>
      <c r="J8" s="110">
        <v>0</v>
      </c>
      <c r="K8" s="111">
        <f t="shared" si="1"/>
        <v>225</v>
      </c>
      <c r="L8" s="112">
        <f>E8*F8</f>
        <v>160</v>
      </c>
      <c r="M8" s="113"/>
    </row>
    <row r="9" spans="1:13" s="114" customFormat="1" ht="14.25" customHeight="1" x14ac:dyDescent="0.2">
      <c r="A9" s="106">
        <v>46126</v>
      </c>
      <c r="B9" s="105">
        <v>70176</v>
      </c>
      <c r="C9" s="105" t="s">
        <v>1599</v>
      </c>
      <c r="D9" s="107" t="s">
        <v>26</v>
      </c>
      <c r="E9" s="105">
        <v>1</v>
      </c>
      <c r="F9" s="108">
        <v>167.8</v>
      </c>
      <c r="G9" s="108">
        <v>360</v>
      </c>
      <c r="H9" s="109">
        <f t="shared" si="0"/>
        <v>360</v>
      </c>
      <c r="I9" s="109"/>
      <c r="J9" s="110">
        <v>0</v>
      </c>
      <c r="K9" s="111">
        <f t="shared" si="1"/>
        <v>360</v>
      </c>
      <c r="L9" s="112">
        <f>E9*F9</f>
        <v>167.8</v>
      </c>
      <c r="M9" s="113"/>
    </row>
    <row r="10" spans="1:13" s="114" customFormat="1" ht="14.25" customHeight="1" x14ac:dyDescent="0.2">
      <c r="A10" s="106">
        <v>46127</v>
      </c>
      <c r="B10" s="105">
        <v>70317</v>
      </c>
      <c r="C10" s="105" t="s">
        <v>1600</v>
      </c>
      <c r="D10" s="107" t="s">
        <v>1601</v>
      </c>
      <c r="E10" s="105">
        <v>1</v>
      </c>
      <c r="F10" s="108">
        <v>285</v>
      </c>
      <c r="G10" s="108">
        <v>380</v>
      </c>
      <c r="H10" s="109">
        <f t="shared" si="0"/>
        <v>380</v>
      </c>
      <c r="I10" s="109"/>
      <c r="J10" s="110">
        <v>0</v>
      </c>
      <c r="K10" s="111">
        <f t="shared" si="1"/>
        <v>380</v>
      </c>
      <c r="L10" s="112">
        <f t="shared" ref="L10:L73" si="2">E10*F10</f>
        <v>285</v>
      </c>
      <c r="M10" s="113"/>
    </row>
    <row r="11" spans="1:13" s="114" customFormat="1" ht="14.25" customHeight="1" x14ac:dyDescent="0.2">
      <c r="A11" s="106">
        <v>46128</v>
      </c>
      <c r="B11" s="105">
        <v>70201</v>
      </c>
      <c r="C11" s="105" t="s">
        <v>1602</v>
      </c>
      <c r="D11" s="107" t="s">
        <v>1603</v>
      </c>
      <c r="E11" s="105">
        <v>1</v>
      </c>
      <c r="F11" s="108">
        <v>384</v>
      </c>
      <c r="G11" s="108">
        <v>480</v>
      </c>
      <c r="H11" s="109">
        <v>480</v>
      </c>
      <c r="I11" s="109"/>
      <c r="J11" s="110">
        <v>0</v>
      </c>
      <c r="K11" s="111">
        <f t="shared" si="1"/>
        <v>480</v>
      </c>
      <c r="L11" s="112">
        <f t="shared" si="2"/>
        <v>384</v>
      </c>
      <c r="M11" s="113"/>
    </row>
    <row r="12" spans="1:13" s="114" customFormat="1" ht="14.25" customHeight="1" x14ac:dyDescent="0.2">
      <c r="A12" s="106">
        <v>46128</v>
      </c>
      <c r="B12" s="105">
        <v>70176</v>
      </c>
      <c r="C12" s="105" t="s">
        <v>1604</v>
      </c>
      <c r="D12" s="107" t="s">
        <v>26</v>
      </c>
      <c r="E12" s="105">
        <v>1</v>
      </c>
      <c r="F12" s="108">
        <v>167.8</v>
      </c>
      <c r="G12" s="108">
        <v>360</v>
      </c>
      <c r="H12" s="109">
        <v>360</v>
      </c>
      <c r="I12" s="109"/>
      <c r="J12" s="110">
        <v>0</v>
      </c>
      <c r="K12" s="111">
        <f t="shared" si="1"/>
        <v>360</v>
      </c>
      <c r="L12" s="112">
        <f t="shared" si="2"/>
        <v>167.8</v>
      </c>
      <c r="M12" s="113"/>
    </row>
    <row r="13" spans="1:13" s="114" customFormat="1" ht="14.25" customHeight="1" x14ac:dyDescent="0.2">
      <c r="A13" s="106">
        <v>46132</v>
      </c>
      <c r="B13" s="105" t="s">
        <v>1605</v>
      </c>
      <c r="C13" s="105" t="s">
        <v>1609</v>
      </c>
      <c r="D13" s="107" t="s">
        <v>1320</v>
      </c>
      <c r="E13" s="105">
        <v>2</v>
      </c>
      <c r="F13" s="108">
        <v>20</v>
      </c>
      <c r="G13" s="108">
        <v>30</v>
      </c>
      <c r="H13" s="109"/>
      <c r="I13" s="109">
        <f t="shared" ref="I13:I76" si="3">E13*G13</f>
        <v>60</v>
      </c>
      <c r="J13" s="110">
        <v>0</v>
      </c>
      <c r="K13" s="111">
        <f t="shared" si="1"/>
        <v>60</v>
      </c>
      <c r="L13" s="112">
        <f t="shared" si="2"/>
        <v>40</v>
      </c>
      <c r="M13" s="113"/>
    </row>
    <row r="14" spans="1:13" s="114" customFormat="1" ht="14.25" customHeight="1" x14ac:dyDescent="0.2">
      <c r="A14" s="106">
        <v>46132</v>
      </c>
      <c r="B14" s="105" t="s">
        <v>1518</v>
      </c>
      <c r="C14" s="105" t="s">
        <v>1609</v>
      </c>
      <c r="D14" s="107" t="s">
        <v>1262</v>
      </c>
      <c r="E14" s="105">
        <v>5</v>
      </c>
      <c r="F14" s="108">
        <v>12</v>
      </c>
      <c r="G14" s="108">
        <v>15.75</v>
      </c>
      <c r="H14" s="109"/>
      <c r="I14" s="109">
        <f t="shared" si="3"/>
        <v>78.75</v>
      </c>
      <c r="J14" s="110">
        <v>0</v>
      </c>
      <c r="K14" s="111">
        <f t="shared" si="1"/>
        <v>78.75</v>
      </c>
      <c r="L14" s="112">
        <f t="shared" si="2"/>
        <v>60</v>
      </c>
      <c r="M14" s="113"/>
    </row>
    <row r="15" spans="1:13" s="114" customFormat="1" ht="14.25" customHeight="1" x14ac:dyDescent="0.2">
      <c r="A15" s="106">
        <v>46132</v>
      </c>
      <c r="B15" s="105" t="s">
        <v>1458</v>
      </c>
      <c r="C15" s="105" t="s">
        <v>1609</v>
      </c>
      <c r="D15" s="107" t="s">
        <v>22</v>
      </c>
      <c r="E15" s="105">
        <v>5</v>
      </c>
      <c r="F15" s="108">
        <v>126</v>
      </c>
      <c r="G15" s="108">
        <v>201</v>
      </c>
      <c r="H15" s="109"/>
      <c r="I15" s="109">
        <f t="shared" si="3"/>
        <v>1005</v>
      </c>
      <c r="J15" s="110">
        <v>0</v>
      </c>
      <c r="K15" s="111">
        <f t="shared" si="1"/>
        <v>1005</v>
      </c>
      <c r="L15" s="112">
        <f t="shared" si="2"/>
        <v>630</v>
      </c>
      <c r="M15" s="113"/>
    </row>
    <row r="16" spans="1:13" s="114" customFormat="1" ht="14.25" customHeight="1" x14ac:dyDescent="0.2">
      <c r="A16" s="106">
        <v>46132</v>
      </c>
      <c r="B16" s="105" t="s">
        <v>1606</v>
      </c>
      <c r="C16" s="105" t="s">
        <v>1609</v>
      </c>
      <c r="D16" s="107" t="s">
        <v>1353</v>
      </c>
      <c r="E16" s="105">
        <v>2</v>
      </c>
      <c r="F16" s="108">
        <v>17</v>
      </c>
      <c r="G16" s="108">
        <v>31</v>
      </c>
      <c r="H16" s="109"/>
      <c r="I16" s="109">
        <f t="shared" si="3"/>
        <v>62</v>
      </c>
      <c r="J16" s="110">
        <v>0</v>
      </c>
      <c r="K16" s="111">
        <f t="shared" si="1"/>
        <v>62</v>
      </c>
      <c r="L16" s="112">
        <f t="shared" si="2"/>
        <v>34</v>
      </c>
      <c r="M16" s="113"/>
    </row>
    <row r="17" spans="1:13" s="114" customFormat="1" ht="14.25" customHeight="1" x14ac:dyDescent="0.2">
      <c r="A17" s="106">
        <v>46132</v>
      </c>
      <c r="B17" s="105" t="s">
        <v>1458</v>
      </c>
      <c r="C17" s="105" t="s">
        <v>1610</v>
      </c>
      <c r="D17" s="107" t="s">
        <v>22</v>
      </c>
      <c r="E17" s="105">
        <v>5</v>
      </c>
      <c r="F17" s="108">
        <v>126</v>
      </c>
      <c r="G17" s="108">
        <v>201</v>
      </c>
      <c r="H17" s="109"/>
      <c r="I17" s="109">
        <f t="shared" si="3"/>
        <v>1005</v>
      </c>
      <c r="J17" s="110">
        <v>0</v>
      </c>
      <c r="K17" s="111">
        <f t="shared" si="1"/>
        <v>1005</v>
      </c>
      <c r="L17" s="112">
        <f t="shared" si="2"/>
        <v>630</v>
      </c>
      <c r="M17" s="113"/>
    </row>
    <row r="18" spans="1:13" s="114" customFormat="1" ht="14.25" customHeight="1" x14ac:dyDescent="0.2">
      <c r="A18" s="106">
        <v>46132</v>
      </c>
      <c r="B18" s="105" t="s">
        <v>1607</v>
      </c>
      <c r="C18" s="105" t="s">
        <v>1610</v>
      </c>
      <c r="D18" s="107" t="s">
        <v>1611</v>
      </c>
      <c r="E18" s="105">
        <v>3</v>
      </c>
      <c r="F18" s="108">
        <v>876</v>
      </c>
      <c r="G18" s="108">
        <v>1442</v>
      </c>
      <c r="H18" s="109"/>
      <c r="I18" s="109">
        <f t="shared" si="3"/>
        <v>4326</v>
      </c>
      <c r="J18" s="110">
        <v>0</v>
      </c>
      <c r="K18" s="111">
        <f t="shared" si="1"/>
        <v>4326</v>
      </c>
      <c r="L18" s="112">
        <f t="shared" si="2"/>
        <v>2628</v>
      </c>
      <c r="M18" s="113"/>
    </row>
    <row r="19" spans="1:13" s="114" customFormat="1" ht="14.25" customHeight="1" x14ac:dyDescent="0.2">
      <c r="A19" s="106">
        <v>46132</v>
      </c>
      <c r="B19" s="105" t="s">
        <v>1518</v>
      </c>
      <c r="C19" s="105" t="s">
        <v>1610</v>
      </c>
      <c r="D19" s="107" t="s">
        <v>1262</v>
      </c>
      <c r="E19" s="105">
        <v>10</v>
      </c>
      <c r="F19" s="108">
        <v>12</v>
      </c>
      <c r="G19" s="108">
        <v>15.75</v>
      </c>
      <c r="H19" s="109"/>
      <c r="I19" s="109">
        <f t="shared" si="3"/>
        <v>157.5</v>
      </c>
      <c r="J19" s="110">
        <v>0</v>
      </c>
      <c r="K19" s="111">
        <f t="shared" si="1"/>
        <v>157.5</v>
      </c>
      <c r="L19" s="112">
        <f t="shared" si="2"/>
        <v>120</v>
      </c>
      <c r="M19" s="113"/>
    </row>
    <row r="20" spans="1:13" s="114" customFormat="1" ht="14.25" customHeight="1" x14ac:dyDescent="0.2">
      <c r="A20" s="106">
        <v>46132</v>
      </c>
      <c r="B20" s="105" t="s">
        <v>1585</v>
      </c>
      <c r="C20" s="105" t="s">
        <v>1610</v>
      </c>
      <c r="D20" s="107" t="s">
        <v>1254</v>
      </c>
      <c r="E20" s="105">
        <v>10</v>
      </c>
      <c r="F20" s="108">
        <v>75</v>
      </c>
      <c r="G20" s="108">
        <v>97.5</v>
      </c>
      <c r="H20" s="109"/>
      <c r="I20" s="109">
        <f t="shared" si="3"/>
        <v>975</v>
      </c>
      <c r="J20" s="110">
        <v>0</v>
      </c>
      <c r="K20" s="111">
        <f t="shared" si="1"/>
        <v>975</v>
      </c>
      <c r="L20" s="112">
        <f t="shared" si="2"/>
        <v>750</v>
      </c>
      <c r="M20" s="113"/>
    </row>
    <row r="21" spans="1:13" s="114" customFormat="1" ht="14.25" customHeight="1" x14ac:dyDescent="0.2">
      <c r="A21" s="106">
        <v>46132</v>
      </c>
      <c r="B21" s="105" t="s">
        <v>1456</v>
      </c>
      <c r="C21" s="105" t="s">
        <v>1612</v>
      </c>
      <c r="D21" s="107" t="s">
        <v>21</v>
      </c>
      <c r="E21" s="105">
        <v>10</v>
      </c>
      <c r="F21" s="108">
        <v>148.9</v>
      </c>
      <c r="G21" s="108">
        <v>237</v>
      </c>
      <c r="H21" s="109"/>
      <c r="I21" s="109">
        <f t="shared" si="3"/>
        <v>2370</v>
      </c>
      <c r="J21" s="110">
        <v>0</v>
      </c>
      <c r="K21" s="111">
        <f t="shared" si="1"/>
        <v>2370</v>
      </c>
      <c r="L21" s="112">
        <f t="shared" si="2"/>
        <v>1489</v>
      </c>
      <c r="M21" s="113"/>
    </row>
    <row r="22" spans="1:13" s="114" customFormat="1" ht="14.25" customHeight="1" x14ac:dyDescent="0.2">
      <c r="A22" s="106">
        <v>46132</v>
      </c>
      <c r="B22" s="105" t="s">
        <v>1458</v>
      </c>
      <c r="C22" s="105" t="s">
        <v>1612</v>
      </c>
      <c r="D22" s="107" t="s">
        <v>22</v>
      </c>
      <c r="E22" s="105">
        <v>10</v>
      </c>
      <c r="F22" s="108">
        <v>126</v>
      </c>
      <c r="G22" s="108">
        <v>201</v>
      </c>
      <c r="H22" s="109"/>
      <c r="I22" s="109">
        <f t="shared" si="3"/>
        <v>2010</v>
      </c>
      <c r="J22" s="110">
        <v>0</v>
      </c>
      <c r="K22" s="111">
        <f t="shared" si="1"/>
        <v>2010</v>
      </c>
      <c r="L22" s="112">
        <f t="shared" si="2"/>
        <v>1260</v>
      </c>
      <c r="M22" s="113"/>
    </row>
    <row r="23" spans="1:13" s="114" customFormat="1" ht="14.25" customHeight="1" x14ac:dyDescent="0.2">
      <c r="A23" s="106">
        <v>46132</v>
      </c>
      <c r="B23" s="105" t="s">
        <v>1607</v>
      </c>
      <c r="C23" s="105" t="s">
        <v>1612</v>
      </c>
      <c r="D23" s="107" t="s">
        <v>1611</v>
      </c>
      <c r="E23" s="105">
        <v>2</v>
      </c>
      <c r="F23" s="108">
        <v>876</v>
      </c>
      <c r="G23" s="108">
        <v>1442</v>
      </c>
      <c r="H23" s="109"/>
      <c r="I23" s="109">
        <f t="shared" si="3"/>
        <v>2884</v>
      </c>
      <c r="J23" s="110">
        <v>0</v>
      </c>
      <c r="K23" s="111">
        <f t="shared" si="1"/>
        <v>2884</v>
      </c>
      <c r="L23" s="112">
        <f t="shared" si="2"/>
        <v>1752</v>
      </c>
      <c r="M23" s="113"/>
    </row>
    <row r="24" spans="1:13" s="114" customFormat="1" ht="14.25" customHeight="1" x14ac:dyDescent="0.2">
      <c r="A24" s="106">
        <v>46132</v>
      </c>
      <c r="B24" s="105" t="s">
        <v>1608</v>
      </c>
      <c r="C24" s="105" t="s">
        <v>1612</v>
      </c>
      <c r="D24" s="107" t="s">
        <v>1613</v>
      </c>
      <c r="E24" s="105">
        <v>50</v>
      </c>
      <c r="F24" s="108">
        <v>12.5</v>
      </c>
      <c r="G24" s="108">
        <v>16.25</v>
      </c>
      <c r="H24" s="109"/>
      <c r="I24" s="109">
        <f t="shared" si="3"/>
        <v>812.5</v>
      </c>
      <c r="J24" s="110">
        <v>0</v>
      </c>
      <c r="K24" s="111">
        <f t="shared" si="1"/>
        <v>812.5</v>
      </c>
      <c r="L24" s="112">
        <f t="shared" si="2"/>
        <v>625</v>
      </c>
      <c r="M24" s="113"/>
    </row>
    <row r="25" spans="1:13" s="114" customFormat="1" ht="14.25" customHeight="1" x14ac:dyDescent="0.2">
      <c r="A25" s="106">
        <v>46132</v>
      </c>
      <c r="B25" s="105" t="s">
        <v>1518</v>
      </c>
      <c r="C25" s="105" t="s">
        <v>1612</v>
      </c>
      <c r="D25" s="107" t="s">
        <v>1262</v>
      </c>
      <c r="E25" s="105">
        <v>10</v>
      </c>
      <c r="F25" s="108">
        <v>12</v>
      </c>
      <c r="G25" s="108">
        <v>15.75</v>
      </c>
      <c r="H25" s="109"/>
      <c r="I25" s="109">
        <f t="shared" si="3"/>
        <v>157.5</v>
      </c>
      <c r="J25" s="110">
        <v>0</v>
      </c>
      <c r="K25" s="111">
        <f t="shared" si="1"/>
        <v>157.5</v>
      </c>
      <c r="L25" s="112">
        <f t="shared" si="2"/>
        <v>120</v>
      </c>
      <c r="M25" s="113"/>
    </row>
    <row r="26" spans="1:13" s="114" customFormat="1" ht="14.25" customHeight="1" x14ac:dyDescent="0.2">
      <c r="A26" s="106">
        <v>46132</v>
      </c>
      <c r="B26" s="105" t="s">
        <v>1553</v>
      </c>
      <c r="C26" s="105" t="s">
        <v>1612</v>
      </c>
      <c r="D26" s="107" t="s">
        <v>1263</v>
      </c>
      <c r="E26" s="105">
        <v>24</v>
      </c>
      <c r="F26" s="108">
        <v>24</v>
      </c>
      <c r="G26" s="108">
        <v>31.25</v>
      </c>
      <c r="H26" s="109"/>
      <c r="I26" s="109">
        <f t="shared" si="3"/>
        <v>750</v>
      </c>
      <c r="J26" s="110">
        <v>0</v>
      </c>
      <c r="K26" s="111">
        <f t="shared" si="1"/>
        <v>750</v>
      </c>
      <c r="L26" s="112">
        <f t="shared" si="2"/>
        <v>576</v>
      </c>
      <c r="M26" s="113"/>
    </row>
    <row r="27" spans="1:13" s="114" customFormat="1" ht="14.25" customHeight="1" x14ac:dyDescent="0.2">
      <c r="A27" s="106">
        <v>46132</v>
      </c>
      <c r="B27" s="105" t="s">
        <v>1462</v>
      </c>
      <c r="C27" s="105" t="s">
        <v>1612</v>
      </c>
      <c r="D27" s="107" t="s">
        <v>27</v>
      </c>
      <c r="E27" s="105">
        <v>50</v>
      </c>
      <c r="F27" s="108">
        <v>8</v>
      </c>
      <c r="G27" s="108">
        <v>10</v>
      </c>
      <c r="H27" s="109"/>
      <c r="I27" s="109">
        <f t="shared" si="3"/>
        <v>500</v>
      </c>
      <c r="J27" s="110">
        <v>0</v>
      </c>
      <c r="K27" s="111">
        <f t="shared" si="1"/>
        <v>500</v>
      </c>
      <c r="L27" s="112">
        <f t="shared" si="2"/>
        <v>400</v>
      </c>
      <c r="M27" s="113"/>
    </row>
    <row r="28" spans="1:13" s="114" customFormat="1" ht="14.25" customHeight="1" x14ac:dyDescent="0.2">
      <c r="A28" s="106">
        <v>46132</v>
      </c>
      <c r="B28" s="105" t="s">
        <v>1472</v>
      </c>
      <c r="C28" s="105" t="s">
        <v>1614</v>
      </c>
      <c r="D28" s="107" t="s">
        <v>1398</v>
      </c>
      <c r="E28" s="105">
        <v>1</v>
      </c>
      <c r="F28" s="108">
        <v>147.69999999999999</v>
      </c>
      <c r="G28" s="108">
        <v>207</v>
      </c>
      <c r="H28" s="109"/>
      <c r="I28" s="109">
        <f t="shared" si="3"/>
        <v>207</v>
      </c>
      <c r="J28" s="110">
        <v>0</v>
      </c>
      <c r="K28" s="111">
        <f t="shared" si="1"/>
        <v>207</v>
      </c>
      <c r="L28" s="112">
        <f t="shared" si="2"/>
        <v>147.69999999999999</v>
      </c>
      <c r="M28" s="113"/>
    </row>
    <row r="29" spans="1:13" s="114" customFormat="1" ht="14.25" customHeight="1" x14ac:dyDescent="0.2">
      <c r="A29" s="106">
        <v>46132</v>
      </c>
      <c r="B29" s="105" t="s">
        <v>1615</v>
      </c>
      <c r="C29" s="105" t="s">
        <v>1614</v>
      </c>
      <c r="D29" s="107" t="s">
        <v>1618</v>
      </c>
      <c r="E29" s="105">
        <v>12</v>
      </c>
      <c r="F29" s="108">
        <v>21.5</v>
      </c>
      <c r="G29" s="108">
        <v>26</v>
      </c>
      <c r="H29" s="109"/>
      <c r="I29" s="109">
        <f t="shared" si="3"/>
        <v>312</v>
      </c>
      <c r="J29" s="110">
        <v>0</v>
      </c>
      <c r="K29" s="111">
        <f t="shared" si="1"/>
        <v>312</v>
      </c>
      <c r="L29" s="112">
        <f t="shared" si="2"/>
        <v>258</v>
      </c>
      <c r="M29" s="113"/>
    </row>
    <row r="30" spans="1:13" s="114" customFormat="1" ht="14.25" customHeight="1" x14ac:dyDescent="0.2">
      <c r="A30" s="106">
        <v>46132</v>
      </c>
      <c r="B30" s="105" t="s">
        <v>1616</v>
      </c>
      <c r="C30" s="105" t="s">
        <v>1614</v>
      </c>
      <c r="D30" s="107" t="s">
        <v>1619</v>
      </c>
      <c r="E30" s="105">
        <v>70</v>
      </c>
      <c r="F30" s="108">
        <v>7</v>
      </c>
      <c r="G30" s="108">
        <v>13</v>
      </c>
      <c r="H30" s="109"/>
      <c r="I30" s="109">
        <f t="shared" si="3"/>
        <v>910</v>
      </c>
      <c r="J30" s="110">
        <v>0</v>
      </c>
      <c r="K30" s="111">
        <f t="shared" si="1"/>
        <v>910</v>
      </c>
      <c r="L30" s="112">
        <f t="shared" si="2"/>
        <v>490</v>
      </c>
      <c r="M30" s="113"/>
    </row>
    <row r="31" spans="1:13" s="114" customFormat="1" ht="14.25" customHeight="1" x14ac:dyDescent="0.2">
      <c r="A31" s="106">
        <v>46132</v>
      </c>
      <c r="B31" s="105" t="s">
        <v>1469</v>
      </c>
      <c r="C31" s="105" t="s">
        <v>1614</v>
      </c>
      <c r="D31" s="107" t="s">
        <v>1247</v>
      </c>
      <c r="E31" s="105">
        <v>3</v>
      </c>
      <c r="F31" s="108">
        <v>35.75</v>
      </c>
      <c r="G31" s="108">
        <v>47</v>
      </c>
      <c r="H31" s="109"/>
      <c r="I31" s="109">
        <f t="shared" si="3"/>
        <v>141</v>
      </c>
      <c r="J31" s="110">
        <v>0</v>
      </c>
      <c r="K31" s="111">
        <f t="shared" si="1"/>
        <v>141</v>
      </c>
      <c r="L31" s="112">
        <f t="shared" si="2"/>
        <v>107.25</v>
      </c>
      <c r="M31" s="113"/>
    </row>
    <row r="32" spans="1:13" s="114" customFormat="1" ht="14.25" customHeight="1" x14ac:dyDescent="0.2">
      <c r="A32" s="106">
        <v>46132</v>
      </c>
      <c r="B32" s="105" t="s">
        <v>1560</v>
      </c>
      <c r="C32" s="105" t="s">
        <v>1614</v>
      </c>
      <c r="D32" s="107" t="s">
        <v>1264</v>
      </c>
      <c r="E32" s="105">
        <v>70</v>
      </c>
      <c r="F32" s="108">
        <v>16</v>
      </c>
      <c r="G32" s="108">
        <v>21</v>
      </c>
      <c r="H32" s="109"/>
      <c r="I32" s="109">
        <f t="shared" si="3"/>
        <v>1470</v>
      </c>
      <c r="J32" s="110">
        <v>0</v>
      </c>
      <c r="K32" s="111">
        <f t="shared" si="1"/>
        <v>1470</v>
      </c>
      <c r="L32" s="112">
        <f t="shared" si="2"/>
        <v>1120</v>
      </c>
      <c r="M32" s="113"/>
    </row>
    <row r="33" spans="1:13" s="114" customFormat="1" ht="14.25" customHeight="1" x14ac:dyDescent="0.2">
      <c r="A33" s="106">
        <v>46132</v>
      </c>
      <c r="B33" s="105" t="s">
        <v>1453</v>
      </c>
      <c r="C33" s="105" t="s">
        <v>1617</v>
      </c>
      <c r="D33" s="107" t="s">
        <v>26</v>
      </c>
      <c r="E33" s="105">
        <v>2</v>
      </c>
      <c r="F33" s="108">
        <v>167.8</v>
      </c>
      <c r="G33" s="108">
        <v>360</v>
      </c>
      <c r="H33" s="109"/>
      <c r="I33" s="109">
        <f t="shared" si="3"/>
        <v>720</v>
      </c>
      <c r="J33" s="110">
        <v>0</v>
      </c>
      <c r="K33" s="111">
        <f t="shared" si="1"/>
        <v>720</v>
      </c>
      <c r="L33" s="112">
        <f t="shared" si="2"/>
        <v>335.6</v>
      </c>
      <c r="M33" s="113"/>
    </row>
    <row r="34" spans="1:13" s="114" customFormat="1" ht="14.25" customHeight="1" x14ac:dyDescent="0.2">
      <c r="A34" s="106">
        <v>46132</v>
      </c>
      <c r="B34" s="105" t="s">
        <v>1455</v>
      </c>
      <c r="C34" s="105" t="s">
        <v>1617</v>
      </c>
      <c r="D34" s="107" t="s">
        <v>25</v>
      </c>
      <c r="E34" s="105">
        <v>2</v>
      </c>
      <c r="F34" s="108">
        <v>115.85</v>
      </c>
      <c r="G34" s="108">
        <v>280</v>
      </c>
      <c r="H34" s="109"/>
      <c r="I34" s="109">
        <f t="shared" si="3"/>
        <v>560</v>
      </c>
      <c r="J34" s="110">
        <v>0</v>
      </c>
      <c r="K34" s="111">
        <f t="shared" si="1"/>
        <v>560</v>
      </c>
      <c r="L34" s="112">
        <f t="shared" si="2"/>
        <v>231.7</v>
      </c>
      <c r="M34" s="113"/>
    </row>
    <row r="35" spans="1:13" s="114" customFormat="1" ht="14.25" customHeight="1" x14ac:dyDescent="0.2">
      <c r="A35" s="106">
        <v>46132</v>
      </c>
      <c r="B35" s="105" t="s">
        <v>1459</v>
      </c>
      <c r="C35" s="105" t="s">
        <v>1633</v>
      </c>
      <c r="D35" s="107" t="s">
        <v>1259</v>
      </c>
      <c r="E35" s="105">
        <v>1</v>
      </c>
      <c r="F35" s="108">
        <v>40</v>
      </c>
      <c r="G35" s="108">
        <v>52</v>
      </c>
      <c r="H35" s="109"/>
      <c r="I35" s="109">
        <f t="shared" si="3"/>
        <v>52</v>
      </c>
      <c r="J35" s="110">
        <v>0</v>
      </c>
      <c r="K35" s="111">
        <f t="shared" si="1"/>
        <v>52</v>
      </c>
      <c r="L35" s="112">
        <f t="shared" si="2"/>
        <v>40</v>
      </c>
      <c r="M35" s="113"/>
    </row>
    <row r="36" spans="1:13" s="114" customFormat="1" ht="14.25" customHeight="1" x14ac:dyDescent="0.2">
      <c r="A36" s="106">
        <v>46132</v>
      </c>
      <c r="B36" s="105" t="s">
        <v>1458</v>
      </c>
      <c r="C36" s="105" t="s">
        <v>1634</v>
      </c>
      <c r="D36" s="107" t="s">
        <v>22</v>
      </c>
      <c r="E36" s="105">
        <v>15</v>
      </c>
      <c r="F36" s="108">
        <v>126</v>
      </c>
      <c r="G36" s="108">
        <v>201</v>
      </c>
      <c r="H36" s="109"/>
      <c r="I36" s="109">
        <f t="shared" si="3"/>
        <v>3015</v>
      </c>
      <c r="J36" s="110">
        <v>0</v>
      </c>
      <c r="K36" s="111">
        <f t="shared" si="1"/>
        <v>3015</v>
      </c>
      <c r="L36" s="112">
        <f t="shared" si="2"/>
        <v>1890</v>
      </c>
      <c r="M36" s="113"/>
    </row>
    <row r="37" spans="1:13" s="114" customFormat="1" ht="14.25" customHeight="1" x14ac:dyDescent="0.2">
      <c r="A37" s="106">
        <v>46132</v>
      </c>
      <c r="B37" s="105" t="s">
        <v>1620</v>
      </c>
      <c r="C37" s="105" t="s">
        <v>1634</v>
      </c>
      <c r="D37" s="107" t="s">
        <v>1627</v>
      </c>
      <c r="E37" s="105">
        <v>20</v>
      </c>
      <c r="F37" s="108">
        <v>16</v>
      </c>
      <c r="G37" s="108">
        <v>21</v>
      </c>
      <c r="H37" s="109"/>
      <c r="I37" s="109">
        <f t="shared" si="3"/>
        <v>420</v>
      </c>
      <c r="J37" s="110">
        <v>0</v>
      </c>
      <c r="K37" s="111">
        <f t="shared" si="1"/>
        <v>420</v>
      </c>
      <c r="L37" s="112">
        <f t="shared" si="2"/>
        <v>320</v>
      </c>
      <c r="M37" s="113"/>
    </row>
    <row r="38" spans="1:13" s="114" customFormat="1" ht="14.25" customHeight="1" x14ac:dyDescent="0.2">
      <c r="A38" s="106">
        <v>46132</v>
      </c>
      <c r="B38" s="105" t="s">
        <v>1621</v>
      </c>
      <c r="C38" s="105" t="s">
        <v>1634</v>
      </c>
      <c r="D38" s="107" t="s">
        <v>1628</v>
      </c>
      <c r="E38" s="105">
        <v>100</v>
      </c>
      <c r="F38" s="108">
        <v>12.5</v>
      </c>
      <c r="G38" s="108">
        <v>16.25</v>
      </c>
      <c r="H38" s="109"/>
      <c r="I38" s="109">
        <f t="shared" si="3"/>
        <v>1625</v>
      </c>
      <c r="J38" s="110">
        <v>0</v>
      </c>
      <c r="K38" s="111">
        <f t="shared" si="1"/>
        <v>1625</v>
      </c>
      <c r="L38" s="112">
        <f t="shared" si="2"/>
        <v>1250</v>
      </c>
      <c r="M38" s="113"/>
    </row>
    <row r="39" spans="1:13" s="114" customFormat="1" ht="14.25" customHeight="1" x14ac:dyDescent="0.2">
      <c r="A39" s="106">
        <v>46132</v>
      </c>
      <c r="B39" s="105" t="s">
        <v>1585</v>
      </c>
      <c r="C39" s="105" t="s">
        <v>1634</v>
      </c>
      <c r="D39" s="107" t="s">
        <v>1254</v>
      </c>
      <c r="E39" s="105">
        <v>5</v>
      </c>
      <c r="F39" s="108">
        <v>75</v>
      </c>
      <c r="G39" s="108">
        <v>97.5</v>
      </c>
      <c r="H39" s="109"/>
      <c r="I39" s="109">
        <f t="shared" si="3"/>
        <v>487.5</v>
      </c>
      <c r="J39" s="110">
        <v>0</v>
      </c>
      <c r="K39" s="111">
        <f t="shared" si="1"/>
        <v>487.5</v>
      </c>
      <c r="L39" s="112">
        <f t="shared" si="2"/>
        <v>375</v>
      </c>
      <c r="M39" s="113"/>
    </row>
    <row r="40" spans="1:13" s="114" customFormat="1" ht="14.25" customHeight="1" x14ac:dyDescent="0.2">
      <c r="A40" s="106">
        <v>46132</v>
      </c>
      <c r="B40" s="105" t="s">
        <v>1581</v>
      </c>
      <c r="C40" s="105" t="s">
        <v>1635</v>
      </c>
      <c r="D40" s="107" t="s">
        <v>1629</v>
      </c>
      <c r="E40" s="105">
        <v>160</v>
      </c>
      <c r="F40" s="108">
        <v>297.47000000000003</v>
      </c>
      <c r="G40" s="108">
        <v>380</v>
      </c>
      <c r="H40" s="109"/>
      <c r="I40" s="109">
        <f t="shared" si="3"/>
        <v>60800</v>
      </c>
      <c r="J40" s="110">
        <v>0</v>
      </c>
      <c r="K40" s="111">
        <f t="shared" si="1"/>
        <v>60800</v>
      </c>
      <c r="L40" s="112">
        <f t="shared" si="2"/>
        <v>47595.200000000004</v>
      </c>
      <c r="M40" s="113"/>
    </row>
    <row r="41" spans="1:13" s="114" customFormat="1" ht="14.25" customHeight="1" x14ac:dyDescent="0.2">
      <c r="A41" s="106">
        <v>46132</v>
      </c>
      <c r="B41" s="105" t="s">
        <v>1607</v>
      </c>
      <c r="C41" s="105" t="s">
        <v>1636</v>
      </c>
      <c r="D41" s="107" t="s">
        <v>1611</v>
      </c>
      <c r="E41" s="105">
        <v>3</v>
      </c>
      <c r="F41" s="108">
        <v>876</v>
      </c>
      <c r="G41" s="108">
        <v>1442</v>
      </c>
      <c r="H41" s="109"/>
      <c r="I41" s="109">
        <f t="shared" si="3"/>
        <v>4326</v>
      </c>
      <c r="J41" s="110">
        <v>0</v>
      </c>
      <c r="K41" s="111">
        <f t="shared" si="1"/>
        <v>4326</v>
      </c>
      <c r="L41" s="112">
        <f t="shared" si="2"/>
        <v>2628</v>
      </c>
      <c r="M41" s="113"/>
    </row>
    <row r="42" spans="1:13" s="114" customFormat="1" ht="14.25" customHeight="1" x14ac:dyDescent="0.2">
      <c r="A42" s="106">
        <v>46132</v>
      </c>
      <c r="B42" s="105" t="s">
        <v>1621</v>
      </c>
      <c r="C42" s="105" t="s">
        <v>1636</v>
      </c>
      <c r="D42" s="107" t="s">
        <v>1628</v>
      </c>
      <c r="E42" s="105">
        <v>100</v>
      </c>
      <c r="F42" s="108">
        <v>12.5</v>
      </c>
      <c r="G42" s="108">
        <v>16.25</v>
      </c>
      <c r="H42" s="109"/>
      <c r="I42" s="109">
        <f t="shared" si="3"/>
        <v>1625</v>
      </c>
      <c r="J42" s="110">
        <v>0</v>
      </c>
      <c r="K42" s="111">
        <f t="shared" si="1"/>
        <v>1625</v>
      </c>
      <c r="L42" s="112">
        <f t="shared" si="2"/>
        <v>1250</v>
      </c>
      <c r="M42" s="113"/>
    </row>
    <row r="43" spans="1:13" s="114" customFormat="1" ht="14.25" customHeight="1" x14ac:dyDescent="0.2">
      <c r="A43" s="106">
        <v>46132</v>
      </c>
      <c r="B43" s="105" t="s">
        <v>1608</v>
      </c>
      <c r="C43" s="105" t="s">
        <v>1636</v>
      </c>
      <c r="D43" s="107" t="s">
        <v>1613</v>
      </c>
      <c r="E43" s="105">
        <v>100</v>
      </c>
      <c r="F43" s="108">
        <v>12.5</v>
      </c>
      <c r="G43" s="108">
        <v>16.25</v>
      </c>
      <c r="H43" s="109"/>
      <c r="I43" s="109">
        <f t="shared" si="3"/>
        <v>1625</v>
      </c>
      <c r="J43" s="110">
        <v>0</v>
      </c>
      <c r="K43" s="111">
        <f t="shared" si="1"/>
        <v>1625</v>
      </c>
      <c r="L43" s="112">
        <f t="shared" si="2"/>
        <v>1250</v>
      </c>
      <c r="M43" s="113"/>
    </row>
    <row r="44" spans="1:13" s="114" customFormat="1" ht="14.25" customHeight="1" x14ac:dyDescent="0.2">
      <c r="A44" s="106">
        <v>46132</v>
      </c>
      <c r="B44" s="105" t="s">
        <v>1518</v>
      </c>
      <c r="C44" s="105" t="s">
        <v>1636</v>
      </c>
      <c r="D44" s="107" t="s">
        <v>1262</v>
      </c>
      <c r="E44" s="105">
        <v>10</v>
      </c>
      <c r="F44" s="108">
        <v>12</v>
      </c>
      <c r="G44" s="108">
        <v>15.75</v>
      </c>
      <c r="H44" s="109"/>
      <c r="I44" s="109">
        <f t="shared" si="3"/>
        <v>157.5</v>
      </c>
      <c r="J44" s="110">
        <v>0</v>
      </c>
      <c r="K44" s="111">
        <f t="shared" si="1"/>
        <v>157.5</v>
      </c>
      <c r="L44" s="112">
        <f t="shared" si="2"/>
        <v>120</v>
      </c>
      <c r="M44" s="113"/>
    </row>
    <row r="45" spans="1:13" s="114" customFormat="1" ht="14.25" customHeight="1" x14ac:dyDescent="0.2">
      <c r="A45" s="106">
        <v>46132</v>
      </c>
      <c r="B45" s="105" t="s">
        <v>1622</v>
      </c>
      <c r="C45" s="105" t="s">
        <v>1636</v>
      </c>
      <c r="D45" s="107" t="s">
        <v>1630</v>
      </c>
      <c r="E45" s="105">
        <v>5</v>
      </c>
      <c r="F45" s="108">
        <v>10</v>
      </c>
      <c r="G45" s="108">
        <v>13</v>
      </c>
      <c r="H45" s="109"/>
      <c r="I45" s="109">
        <f t="shared" si="3"/>
        <v>65</v>
      </c>
      <c r="J45" s="110">
        <v>0</v>
      </c>
      <c r="K45" s="111">
        <f t="shared" si="1"/>
        <v>65</v>
      </c>
      <c r="L45" s="112">
        <f t="shared" si="2"/>
        <v>50</v>
      </c>
      <c r="M45" s="113"/>
    </row>
    <row r="46" spans="1:13" s="114" customFormat="1" ht="14.25" customHeight="1" x14ac:dyDescent="0.2">
      <c r="A46" s="106">
        <v>46132</v>
      </c>
      <c r="B46" s="105" t="s">
        <v>1623</v>
      </c>
      <c r="C46" s="105" t="s">
        <v>1636</v>
      </c>
      <c r="D46" s="107" t="s">
        <v>1387</v>
      </c>
      <c r="E46" s="105">
        <v>5</v>
      </c>
      <c r="F46" s="108">
        <v>30</v>
      </c>
      <c r="G46" s="108">
        <v>39</v>
      </c>
      <c r="H46" s="109"/>
      <c r="I46" s="109">
        <f t="shared" si="3"/>
        <v>195</v>
      </c>
      <c r="J46" s="110">
        <v>0</v>
      </c>
      <c r="K46" s="111">
        <f t="shared" si="1"/>
        <v>195</v>
      </c>
      <c r="L46" s="112">
        <f t="shared" si="2"/>
        <v>150</v>
      </c>
      <c r="M46" s="113"/>
    </row>
    <row r="47" spans="1:13" s="114" customFormat="1" ht="14.25" customHeight="1" x14ac:dyDescent="0.2">
      <c r="A47" s="106">
        <v>46132</v>
      </c>
      <c r="B47" s="105" t="s">
        <v>1534</v>
      </c>
      <c r="C47" s="105" t="s">
        <v>1636</v>
      </c>
      <c r="D47" s="107" t="s">
        <v>1250</v>
      </c>
      <c r="E47" s="105">
        <v>5</v>
      </c>
      <c r="F47" s="108">
        <v>55</v>
      </c>
      <c r="G47" s="108">
        <v>71.5</v>
      </c>
      <c r="H47" s="109"/>
      <c r="I47" s="109">
        <f t="shared" si="3"/>
        <v>357.5</v>
      </c>
      <c r="J47" s="110">
        <v>0</v>
      </c>
      <c r="K47" s="111">
        <f t="shared" si="1"/>
        <v>357.5</v>
      </c>
      <c r="L47" s="112">
        <f t="shared" si="2"/>
        <v>275</v>
      </c>
      <c r="M47" s="113"/>
    </row>
    <row r="48" spans="1:13" s="114" customFormat="1" ht="14.25" customHeight="1" x14ac:dyDescent="0.2">
      <c r="A48" s="106">
        <v>46132</v>
      </c>
      <c r="B48" s="105" t="s">
        <v>1553</v>
      </c>
      <c r="C48" s="105" t="s">
        <v>1636</v>
      </c>
      <c r="D48" s="107" t="s">
        <v>1263</v>
      </c>
      <c r="E48" s="105">
        <v>10</v>
      </c>
      <c r="F48" s="108">
        <v>24</v>
      </c>
      <c r="G48" s="108">
        <v>31.25</v>
      </c>
      <c r="H48" s="109"/>
      <c r="I48" s="109">
        <f t="shared" si="3"/>
        <v>312.5</v>
      </c>
      <c r="J48" s="110">
        <v>0</v>
      </c>
      <c r="K48" s="111">
        <f t="shared" si="1"/>
        <v>312.5</v>
      </c>
      <c r="L48" s="112">
        <f t="shared" si="2"/>
        <v>240</v>
      </c>
      <c r="M48" s="113"/>
    </row>
    <row r="49" spans="1:13" s="114" customFormat="1" ht="14.25" customHeight="1" x14ac:dyDescent="0.2">
      <c r="A49" s="106">
        <v>46132</v>
      </c>
      <c r="B49" s="105" t="s">
        <v>1456</v>
      </c>
      <c r="C49" s="105" t="s">
        <v>1636</v>
      </c>
      <c r="D49" s="107" t="s">
        <v>21</v>
      </c>
      <c r="E49" s="105">
        <v>10</v>
      </c>
      <c r="F49" s="108">
        <v>148.9</v>
      </c>
      <c r="G49" s="108">
        <v>237</v>
      </c>
      <c r="H49" s="109"/>
      <c r="I49" s="109">
        <f t="shared" si="3"/>
        <v>2370</v>
      </c>
      <c r="J49" s="110">
        <v>0</v>
      </c>
      <c r="K49" s="111">
        <f t="shared" si="1"/>
        <v>2370</v>
      </c>
      <c r="L49" s="112">
        <f t="shared" si="2"/>
        <v>1489</v>
      </c>
      <c r="M49" s="113"/>
    </row>
    <row r="50" spans="1:13" s="114" customFormat="1" ht="14.25" customHeight="1" x14ac:dyDescent="0.2">
      <c r="A50" s="106">
        <v>46132</v>
      </c>
      <c r="B50" s="105" t="s">
        <v>1458</v>
      </c>
      <c r="C50" s="105" t="s">
        <v>1636</v>
      </c>
      <c r="D50" s="107" t="s">
        <v>22</v>
      </c>
      <c r="E50" s="105">
        <v>10</v>
      </c>
      <c r="F50" s="108">
        <v>126</v>
      </c>
      <c r="G50" s="108">
        <v>201</v>
      </c>
      <c r="H50" s="109"/>
      <c r="I50" s="109">
        <f t="shared" si="3"/>
        <v>2010</v>
      </c>
      <c r="J50" s="110">
        <v>0</v>
      </c>
      <c r="K50" s="111">
        <f t="shared" si="1"/>
        <v>2010</v>
      </c>
      <c r="L50" s="112">
        <f t="shared" si="2"/>
        <v>1260</v>
      </c>
      <c r="M50" s="113"/>
    </row>
    <row r="51" spans="1:13" s="114" customFormat="1" ht="14.25" customHeight="1" x14ac:dyDescent="0.2">
      <c r="A51" s="106">
        <v>46132</v>
      </c>
      <c r="B51" s="105" t="s">
        <v>1624</v>
      </c>
      <c r="C51" s="105" t="s">
        <v>1636</v>
      </c>
      <c r="D51" s="107" t="s">
        <v>1631</v>
      </c>
      <c r="E51" s="105">
        <v>24</v>
      </c>
      <c r="F51" s="108">
        <v>6</v>
      </c>
      <c r="G51" s="108">
        <v>8</v>
      </c>
      <c r="H51" s="109"/>
      <c r="I51" s="109">
        <f t="shared" si="3"/>
        <v>192</v>
      </c>
      <c r="J51" s="110">
        <v>0</v>
      </c>
      <c r="K51" s="111">
        <f t="shared" si="1"/>
        <v>192</v>
      </c>
      <c r="L51" s="112">
        <f t="shared" si="2"/>
        <v>144</v>
      </c>
      <c r="M51" s="113"/>
    </row>
    <row r="52" spans="1:13" s="114" customFormat="1" ht="14.25" customHeight="1" x14ac:dyDescent="0.2">
      <c r="A52" s="106">
        <v>46132</v>
      </c>
      <c r="B52" s="105" t="s">
        <v>1625</v>
      </c>
      <c r="C52" s="105" t="s">
        <v>1636</v>
      </c>
      <c r="D52" s="107" t="s">
        <v>1328</v>
      </c>
      <c r="E52" s="105">
        <v>60</v>
      </c>
      <c r="F52" s="108">
        <v>1.54</v>
      </c>
      <c r="G52" s="108">
        <v>5</v>
      </c>
      <c r="H52" s="109"/>
      <c r="I52" s="109">
        <f t="shared" si="3"/>
        <v>300</v>
      </c>
      <c r="J52" s="110">
        <v>0</v>
      </c>
      <c r="K52" s="111">
        <f t="shared" si="1"/>
        <v>300</v>
      </c>
      <c r="L52" s="112">
        <f t="shared" si="2"/>
        <v>92.4</v>
      </c>
      <c r="M52" s="113"/>
    </row>
    <row r="53" spans="1:13" s="114" customFormat="1" ht="14.25" customHeight="1" x14ac:dyDescent="0.2">
      <c r="A53" s="106">
        <v>46132</v>
      </c>
      <c r="B53" s="105" t="s">
        <v>1626</v>
      </c>
      <c r="C53" s="105" t="s">
        <v>1636</v>
      </c>
      <c r="D53" s="107" t="s">
        <v>1632</v>
      </c>
      <c r="E53" s="105">
        <v>200</v>
      </c>
      <c r="F53" s="108">
        <v>2</v>
      </c>
      <c r="G53" s="108">
        <v>3</v>
      </c>
      <c r="H53" s="109"/>
      <c r="I53" s="109">
        <f t="shared" si="3"/>
        <v>600</v>
      </c>
      <c r="J53" s="110">
        <v>0</v>
      </c>
      <c r="K53" s="111">
        <f t="shared" si="1"/>
        <v>600</v>
      </c>
      <c r="L53" s="112">
        <f t="shared" si="2"/>
        <v>400</v>
      </c>
      <c r="M53" s="113"/>
    </row>
    <row r="54" spans="1:13" s="114" customFormat="1" ht="14.25" customHeight="1" x14ac:dyDescent="0.2">
      <c r="A54" s="106">
        <v>46132</v>
      </c>
      <c r="B54" s="105" t="s">
        <v>1460</v>
      </c>
      <c r="C54" s="105" t="s">
        <v>1637</v>
      </c>
      <c r="D54" s="107" t="s">
        <v>24</v>
      </c>
      <c r="E54" s="105">
        <v>10</v>
      </c>
      <c r="F54" s="108">
        <v>2.7</v>
      </c>
      <c r="G54" s="108">
        <v>8</v>
      </c>
      <c r="H54" s="109"/>
      <c r="I54" s="109">
        <f t="shared" si="3"/>
        <v>80</v>
      </c>
      <c r="J54" s="110">
        <v>0</v>
      </c>
      <c r="K54" s="111">
        <f t="shared" si="1"/>
        <v>80</v>
      </c>
      <c r="L54" s="112">
        <f t="shared" si="2"/>
        <v>27</v>
      </c>
      <c r="M54" s="113"/>
    </row>
    <row r="55" spans="1:13" s="114" customFormat="1" ht="14.25" customHeight="1" x14ac:dyDescent="0.2">
      <c r="A55" s="106">
        <v>46132</v>
      </c>
      <c r="B55" s="105" t="s">
        <v>1606</v>
      </c>
      <c r="C55" s="105" t="s">
        <v>1637</v>
      </c>
      <c r="D55" s="107" t="s">
        <v>1353</v>
      </c>
      <c r="E55" s="105">
        <v>1</v>
      </c>
      <c r="F55" s="108">
        <v>17</v>
      </c>
      <c r="G55" s="108">
        <v>31</v>
      </c>
      <c r="H55" s="109"/>
      <c r="I55" s="109">
        <f t="shared" si="3"/>
        <v>31</v>
      </c>
      <c r="J55" s="110">
        <v>0</v>
      </c>
      <c r="K55" s="111">
        <f t="shared" si="1"/>
        <v>31</v>
      </c>
      <c r="L55" s="112">
        <f t="shared" si="2"/>
        <v>17</v>
      </c>
      <c r="M55" s="113"/>
    </row>
    <row r="56" spans="1:13" s="114" customFormat="1" ht="14.25" customHeight="1" x14ac:dyDescent="0.2">
      <c r="A56" s="106">
        <v>46132</v>
      </c>
      <c r="B56" s="105" t="s">
        <v>1475</v>
      </c>
      <c r="C56" s="105" t="s">
        <v>1637</v>
      </c>
      <c r="D56" s="107" t="s">
        <v>20</v>
      </c>
      <c r="E56" s="105">
        <v>5</v>
      </c>
      <c r="F56" s="108">
        <v>84</v>
      </c>
      <c r="G56" s="108">
        <v>157</v>
      </c>
      <c r="H56" s="109"/>
      <c r="I56" s="109">
        <f t="shared" si="3"/>
        <v>785</v>
      </c>
      <c r="J56" s="110">
        <v>0</v>
      </c>
      <c r="K56" s="111">
        <f t="shared" si="1"/>
        <v>785</v>
      </c>
      <c r="L56" s="112">
        <f t="shared" si="2"/>
        <v>420</v>
      </c>
      <c r="M56" s="113"/>
    </row>
    <row r="57" spans="1:13" s="114" customFormat="1" ht="14.25" customHeight="1" x14ac:dyDescent="0.2">
      <c r="A57" s="106">
        <v>46132</v>
      </c>
      <c r="B57" s="105" t="s">
        <v>1456</v>
      </c>
      <c r="C57" s="105" t="s">
        <v>1643</v>
      </c>
      <c r="D57" s="107" t="s">
        <v>21</v>
      </c>
      <c r="E57" s="105">
        <v>10</v>
      </c>
      <c r="F57" s="108">
        <v>148.9</v>
      </c>
      <c r="G57" s="108">
        <v>237</v>
      </c>
      <c r="H57" s="109"/>
      <c r="I57" s="109">
        <f t="shared" si="3"/>
        <v>2370</v>
      </c>
      <c r="J57" s="110">
        <v>0</v>
      </c>
      <c r="K57" s="111">
        <f t="shared" si="1"/>
        <v>2370</v>
      </c>
      <c r="L57" s="112">
        <f t="shared" si="2"/>
        <v>1489</v>
      </c>
      <c r="M57" s="113"/>
    </row>
    <row r="58" spans="1:13" s="114" customFormat="1" ht="14.25" customHeight="1" x14ac:dyDescent="0.2">
      <c r="A58" s="106">
        <v>46132</v>
      </c>
      <c r="B58" s="105" t="s">
        <v>1458</v>
      </c>
      <c r="C58" s="105" t="s">
        <v>1643</v>
      </c>
      <c r="D58" s="107" t="s">
        <v>22</v>
      </c>
      <c r="E58" s="105">
        <v>10</v>
      </c>
      <c r="F58" s="108">
        <v>126</v>
      </c>
      <c r="G58" s="108">
        <v>201</v>
      </c>
      <c r="H58" s="109"/>
      <c r="I58" s="109">
        <f t="shared" si="3"/>
        <v>2010</v>
      </c>
      <c r="J58" s="110">
        <v>0</v>
      </c>
      <c r="K58" s="111">
        <f t="shared" si="1"/>
        <v>2010</v>
      </c>
      <c r="L58" s="112">
        <f t="shared" si="2"/>
        <v>1260</v>
      </c>
      <c r="M58" s="113"/>
    </row>
    <row r="59" spans="1:13" s="114" customFormat="1" ht="14.25" customHeight="1" x14ac:dyDescent="0.2">
      <c r="A59" s="106">
        <v>46132</v>
      </c>
      <c r="B59" s="105" t="s">
        <v>1518</v>
      </c>
      <c r="C59" s="105" t="s">
        <v>1643</v>
      </c>
      <c r="D59" s="107" t="s">
        <v>1262</v>
      </c>
      <c r="E59" s="105">
        <v>5</v>
      </c>
      <c r="F59" s="108">
        <v>12</v>
      </c>
      <c r="G59" s="108">
        <v>15.75</v>
      </c>
      <c r="H59" s="109"/>
      <c r="I59" s="109">
        <f t="shared" si="3"/>
        <v>78.75</v>
      </c>
      <c r="J59" s="110">
        <v>0</v>
      </c>
      <c r="K59" s="111">
        <f t="shared" si="1"/>
        <v>78.75</v>
      </c>
      <c r="L59" s="112">
        <f t="shared" si="2"/>
        <v>60</v>
      </c>
      <c r="M59" s="113"/>
    </row>
    <row r="60" spans="1:13" s="114" customFormat="1" ht="14.25" customHeight="1" x14ac:dyDescent="0.2">
      <c r="A60" s="106">
        <v>46132</v>
      </c>
      <c r="B60" s="105" t="s">
        <v>1621</v>
      </c>
      <c r="C60" s="105" t="s">
        <v>1643</v>
      </c>
      <c r="D60" s="107" t="s">
        <v>1628</v>
      </c>
      <c r="E60" s="105">
        <v>100</v>
      </c>
      <c r="F60" s="108">
        <v>12.5</v>
      </c>
      <c r="G60" s="108">
        <v>16.25</v>
      </c>
      <c r="H60" s="109"/>
      <c r="I60" s="109">
        <f t="shared" si="3"/>
        <v>1625</v>
      </c>
      <c r="J60" s="110">
        <v>0</v>
      </c>
      <c r="K60" s="111">
        <f t="shared" si="1"/>
        <v>1625</v>
      </c>
      <c r="L60" s="112">
        <f t="shared" si="2"/>
        <v>1250</v>
      </c>
      <c r="M60" s="113"/>
    </row>
    <row r="61" spans="1:13" s="114" customFormat="1" ht="14.25" customHeight="1" x14ac:dyDescent="0.2">
      <c r="A61" s="106">
        <v>46132</v>
      </c>
      <c r="B61" s="105" t="s">
        <v>1461</v>
      </c>
      <c r="C61" s="105" t="s">
        <v>1643</v>
      </c>
      <c r="D61" s="107" t="s">
        <v>1399</v>
      </c>
      <c r="E61" s="105">
        <v>100</v>
      </c>
      <c r="F61" s="108">
        <v>3.1</v>
      </c>
      <c r="G61" s="108">
        <v>5</v>
      </c>
      <c r="H61" s="109"/>
      <c r="I61" s="109">
        <f t="shared" si="3"/>
        <v>500</v>
      </c>
      <c r="J61" s="110">
        <v>0</v>
      </c>
      <c r="K61" s="111">
        <f t="shared" si="1"/>
        <v>500</v>
      </c>
      <c r="L61" s="112">
        <f t="shared" si="2"/>
        <v>310</v>
      </c>
      <c r="M61" s="113"/>
    </row>
    <row r="62" spans="1:13" s="114" customFormat="1" ht="14.25" customHeight="1" x14ac:dyDescent="0.2">
      <c r="A62" s="106">
        <v>46132</v>
      </c>
      <c r="B62" s="105" t="s">
        <v>1460</v>
      </c>
      <c r="C62" s="105" t="s">
        <v>1643</v>
      </c>
      <c r="D62" s="107" t="s">
        <v>24</v>
      </c>
      <c r="E62" s="105">
        <v>100</v>
      </c>
      <c r="F62" s="108">
        <v>2.7</v>
      </c>
      <c r="G62" s="108">
        <v>8</v>
      </c>
      <c r="H62" s="109"/>
      <c r="I62" s="109">
        <f t="shared" si="3"/>
        <v>800</v>
      </c>
      <c r="J62" s="110">
        <v>0</v>
      </c>
      <c r="K62" s="111">
        <f t="shared" si="1"/>
        <v>800</v>
      </c>
      <c r="L62" s="112">
        <f t="shared" si="2"/>
        <v>270</v>
      </c>
      <c r="M62" s="113"/>
    </row>
    <row r="63" spans="1:13" s="114" customFormat="1" ht="14.25" customHeight="1" x14ac:dyDescent="0.2">
      <c r="A63" s="106">
        <v>46132</v>
      </c>
      <c r="B63" s="105" t="s">
        <v>1560</v>
      </c>
      <c r="C63" s="105" t="s">
        <v>1643</v>
      </c>
      <c r="D63" s="107" t="s">
        <v>1264</v>
      </c>
      <c r="E63" s="105">
        <v>15</v>
      </c>
      <c r="F63" s="108">
        <v>16</v>
      </c>
      <c r="G63" s="108">
        <v>21</v>
      </c>
      <c r="H63" s="109"/>
      <c r="I63" s="109">
        <f t="shared" si="3"/>
        <v>315</v>
      </c>
      <c r="J63" s="110">
        <v>0</v>
      </c>
      <c r="K63" s="111">
        <f t="shared" si="1"/>
        <v>315</v>
      </c>
      <c r="L63" s="112">
        <f t="shared" si="2"/>
        <v>240</v>
      </c>
      <c r="M63" s="113"/>
    </row>
    <row r="64" spans="1:13" s="114" customFormat="1" ht="14.25" customHeight="1" x14ac:dyDescent="0.2">
      <c r="A64" s="106">
        <v>46132</v>
      </c>
      <c r="B64" s="105" t="s">
        <v>1607</v>
      </c>
      <c r="C64" s="105" t="s">
        <v>1644</v>
      </c>
      <c r="D64" s="107" t="s">
        <v>1611</v>
      </c>
      <c r="E64" s="105">
        <v>2</v>
      </c>
      <c r="F64" s="108">
        <v>876</v>
      </c>
      <c r="G64" s="108">
        <v>1442</v>
      </c>
      <c r="H64" s="109"/>
      <c r="I64" s="109">
        <f t="shared" si="3"/>
        <v>2884</v>
      </c>
      <c r="J64" s="110">
        <v>0</v>
      </c>
      <c r="K64" s="111">
        <f t="shared" si="1"/>
        <v>2884</v>
      </c>
      <c r="L64" s="112">
        <f t="shared" si="2"/>
        <v>1752</v>
      </c>
      <c r="M64" s="113"/>
    </row>
    <row r="65" spans="1:13" s="114" customFormat="1" ht="14.25" customHeight="1" x14ac:dyDescent="0.2">
      <c r="A65" s="106">
        <v>46132</v>
      </c>
      <c r="B65" s="105" t="s">
        <v>1459</v>
      </c>
      <c r="C65" s="105" t="s">
        <v>1644</v>
      </c>
      <c r="D65" s="107" t="s">
        <v>1259</v>
      </c>
      <c r="E65" s="105">
        <v>5</v>
      </c>
      <c r="F65" s="108">
        <v>40</v>
      </c>
      <c r="G65" s="108">
        <v>52</v>
      </c>
      <c r="H65" s="109"/>
      <c r="I65" s="109">
        <f t="shared" si="3"/>
        <v>260</v>
      </c>
      <c r="J65" s="110">
        <v>0</v>
      </c>
      <c r="K65" s="111">
        <f t="shared" si="1"/>
        <v>260</v>
      </c>
      <c r="L65" s="112">
        <f t="shared" si="2"/>
        <v>200</v>
      </c>
      <c r="M65" s="113"/>
    </row>
    <row r="66" spans="1:13" s="114" customFormat="1" ht="14.25" customHeight="1" x14ac:dyDescent="0.2">
      <c r="A66" s="106">
        <v>46132</v>
      </c>
      <c r="B66" s="105" t="s">
        <v>1462</v>
      </c>
      <c r="C66" s="105" t="s">
        <v>1644</v>
      </c>
      <c r="D66" s="107" t="s">
        <v>27</v>
      </c>
      <c r="E66" s="105">
        <v>100</v>
      </c>
      <c r="F66" s="108">
        <v>8</v>
      </c>
      <c r="G66" s="108">
        <v>10</v>
      </c>
      <c r="H66" s="109"/>
      <c r="I66" s="109">
        <f t="shared" si="3"/>
        <v>1000</v>
      </c>
      <c r="J66" s="110">
        <v>0</v>
      </c>
      <c r="K66" s="111">
        <f t="shared" si="1"/>
        <v>1000</v>
      </c>
      <c r="L66" s="112">
        <f t="shared" si="2"/>
        <v>800</v>
      </c>
      <c r="M66" s="113"/>
    </row>
    <row r="67" spans="1:13" s="114" customFormat="1" x14ac:dyDescent="0.2">
      <c r="A67" s="106">
        <v>46132</v>
      </c>
      <c r="B67" s="105" t="s">
        <v>1518</v>
      </c>
      <c r="C67" s="105" t="s">
        <v>1644</v>
      </c>
      <c r="D67" s="107" t="s">
        <v>1262</v>
      </c>
      <c r="E67" s="105">
        <v>5</v>
      </c>
      <c r="F67" s="108">
        <v>12</v>
      </c>
      <c r="G67" s="108">
        <v>15.75</v>
      </c>
      <c r="H67" s="109"/>
      <c r="I67" s="109">
        <f t="shared" si="3"/>
        <v>78.75</v>
      </c>
      <c r="J67" s="110">
        <v>0</v>
      </c>
      <c r="K67" s="111">
        <f t="shared" si="1"/>
        <v>78.75</v>
      </c>
      <c r="L67" s="112">
        <f t="shared" si="2"/>
        <v>60</v>
      </c>
      <c r="M67" s="113"/>
    </row>
    <row r="68" spans="1:13" s="114" customFormat="1" x14ac:dyDescent="0.2">
      <c r="A68" s="106">
        <v>46132</v>
      </c>
      <c r="B68" s="105" t="s">
        <v>1458</v>
      </c>
      <c r="C68" s="105" t="s">
        <v>1644</v>
      </c>
      <c r="D68" s="107" t="s">
        <v>22</v>
      </c>
      <c r="E68" s="105">
        <v>5</v>
      </c>
      <c r="F68" s="108">
        <v>126</v>
      </c>
      <c r="G68" s="108">
        <v>201</v>
      </c>
      <c r="H68" s="109"/>
      <c r="I68" s="109">
        <f t="shared" si="3"/>
        <v>1005</v>
      </c>
      <c r="J68" s="110">
        <v>0</v>
      </c>
      <c r="K68" s="111">
        <f t="shared" si="1"/>
        <v>1005</v>
      </c>
      <c r="L68" s="112">
        <f t="shared" si="2"/>
        <v>630</v>
      </c>
      <c r="M68" s="113"/>
    </row>
    <row r="69" spans="1:13" s="114" customFormat="1" x14ac:dyDescent="0.2">
      <c r="A69" s="106">
        <v>46132</v>
      </c>
      <c r="B69" s="105" t="s">
        <v>1456</v>
      </c>
      <c r="C69" s="105" t="s">
        <v>1644</v>
      </c>
      <c r="D69" s="107" t="s">
        <v>21</v>
      </c>
      <c r="E69" s="105">
        <v>5</v>
      </c>
      <c r="F69" s="108">
        <v>148.9</v>
      </c>
      <c r="G69" s="108">
        <v>237</v>
      </c>
      <c r="H69" s="109"/>
      <c r="I69" s="109">
        <f t="shared" si="3"/>
        <v>1185</v>
      </c>
      <c r="J69" s="110">
        <v>0</v>
      </c>
      <c r="K69" s="111">
        <f t="shared" si="1"/>
        <v>1185</v>
      </c>
      <c r="L69" s="112">
        <f>E69*F69</f>
        <v>744.5</v>
      </c>
      <c r="M69" s="113"/>
    </row>
    <row r="70" spans="1:13" s="114" customFormat="1" x14ac:dyDescent="0.2">
      <c r="A70" s="106">
        <v>46132</v>
      </c>
      <c r="B70" s="105" t="s">
        <v>1638</v>
      </c>
      <c r="C70" s="105" t="s">
        <v>1644</v>
      </c>
      <c r="D70" s="107" t="s">
        <v>1640</v>
      </c>
      <c r="E70" s="105">
        <v>3</v>
      </c>
      <c r="F70" s="108">
        <v>52</v>
      </c>
      <c r="G70" s="108">
        <v>68</v>
      </c>
      <c r="H70" s="109"/>
      <c r="I70" s="109">
        <f t="shared" si="3"/>
        <v>204</v>
      </c>
      <c r="J70" s="110">
        <v>0</v>
      </c>
      <c r="K70" s="111">
        <f t="shared" si="1"/>
        <v>204</v>
      </c>
      <c r="L70" s="112">
        <f t="shared" si="2"/>
        <v>156</v>
      </c>
      <c r="M70" s="113"/>
    </row>
    <row r="71" spans="1:13" s="114" customFormat="1" x14ac:dyDescent="0.2">
      <c r="A71" s="106">
        <v>46132</v>
      </c>
      <c r="B71" s="105" t="s">
        <v>1506</v>
      </c>
      <c r="C71" s="105" t="s">
        <v>1644</v>
      </c>
      <c r="D71" s="107" t="s">
        <v>1261</v>
      </c>
      <c r="E71" s="105">
        <v>1</v>
      </c>
      <c r="F71" s="108">
        <v>115</v>
      </c>
      <c r="G71" s="108">
        <v>149.5</v>
      </c>
      <c r="H71" s="109"/>
      <c r="I71" s="109">
        <f t="shared" si="3"/>
        <v>149.5</v>
      </c>
      <c r="J71" s="110">
        <v>0</v>
      </c>
      <c r="K71" s="111">
        <f t="shared" ref="K71:K84" si="4">H71+I71-J71</f>
        <v>149.5</v>
      </c>
      <c r="L71" s="112">
        <f t="shared" si="2"/>
        <v>115</v>
      </c>
      <c r="M71" s="113"/>
    </row>
    <row r="72" spans="1:13" s="114" customFormat="1" x14ac:dyDescent="0.2">
      <c r="A72" s="106">
        <v>46132</v>
      </c>
      <c r="B72" s="105" t="s">
        <v>1639</v>
      </c>
      <c r="C72" s="105" t="s">
        <v>1642</v>
      </c>
      <c r="D72" s="107" t="s">
        <v>1641</v>
      </c>
      <c r="E72" s="105">
        <v>100</v>
      </c>
      <c r="F72" s="108">
        <v>3.5</v>
      </c>
      <c r="G72" s="108">
        <v>5</v>
      </c>
      <c r="H72" s="109"/>
      <c r="I72" s="109">
        <f t="shared" si="3"/>
        <v>500</v>
      </c>
      <c r="J72" s="110">
        <v>0</v>
      </c>
      <c r="K72" s="111">
        <f t="shared" si="4"/>
        <v>500</v>
      </c>
      <c r="L72" s="112">
        <f t="shared" si="2"/>
        <v>350</v>
      </c>
      <c r="M72" s="113"/>
    </row>
    <row r="73" spans="1:13" s="114" customFormat="1" x14ac:dyDescent="0.2">
      <c r="A73" s="106">
        <v>46132</v>
      </c>
      <c r="B73" s="105" t="s">
        <v>1495</v>
      </c>
      <c r="C73" s="105" t="s">
        <v>1642</v>
      </c>
      <c r="D73" s="107" t="s">
        <v>1248</v>
      </c>
      <c r="E73" s="105">
        <v>50</v>
      </c>
      <c r="F73" s="108">
        <v>2</v>
      </c>
      <c r="G73" s="108">
        <v>6</v>
      </c>
      <c r="H73" s="109"/>
      <c r="I73" s="109">
        <f t="shared" si="3"/>
        <v>300</v>
      </c>
      <c r="J73" s="110">
        <v>0</v>
      </c>
      <c r="K73" s="111">
        <f t="shared" si="4"/>
        <v>300</v>
      </c>
      <c r="L73" s="112">
        <f t="shared" si="2"/>
        <v>100</v>
      </c>
      <c r="M73" s="113"/>
    </row>
    <row r="74" spans="1:13" s="114" customFormat="1" x14ac:dyDescent="0.2">
      <c r="A74" s="106" t="s">
        <v>1645</v>
      </c>
      <c r="B74" s="105" t="s">
        <v>1503</v>
      </c>
      <c r="C74" s="105" t="s">
        <v>1648</v>
      </c>
      <c r="D74" s="107" t="s">
        <v>1344</v>
      </c>
      <c r="E74" s="105">
        <v>5</v>
      </c>
      <c r="F74" s="108">
        <v>167.8</v>
      </c>
      <c r="G74" s="108">
        <v>460</v>
      </c>
      <c r="H74" s="109"/>
      <c r="I74" s="109">
        <f t="shared" si="3"/>
        <v>2300</v>
      </c>
      <c r="J74" s="110">
        <v>0</v>
      </c>
      <c r="K74" s="111">
        <f t="shared" si="4"/>
        <v>2300</v>
      </c>
      <c r="L74" s="112">
        <f t="shared" ref="L74:L84" si="5">E74*F74</f>
        <v>839</v>
      </c>
      <c r="M74" s="113"/>
    </row>
    <row r="75" spans="1:13" s="114" customFormat="1" x14ac:dyDescent="0.2">
      <c r="A75" s="106" t="s">
        <v>1645</v>
      </c>
      <c r="B75" s="105" t="s">
        <v>1453</v>
      </c>
      <c r="C75" s="105" t="s">
        <v>1648</v>
      </c>
      <c r="D75" s="107" t="s">
        <v>26</v>
      </c>
      <c r="E75" s="105">
        <v>5</v>
      </c>
      <c r="F75" s="108">
        <v>167.8</v>
      </c>
      <c r="G75" s="108">
        <v>360</v>
      </c>
      <c r="H75" s="109"/>
      <c r="I75" s="109">
        <f t="shared" si="3"/>
        <v>1800</v>
      </c>
      <c r="J75" s="110">
        <v>0</v>
      </c>
      <c r="K75" s="111">
        <f t="shared" si="4"/>
        <v>1800</v>
      </c>
      <c r="L75" s="112">
        <f t="shared" si="5"/>
        <v>839</v>
      </c>
      <c r="M75" s="113"/>
    </row>
    <row r="76" spans="1:13" s="114" customFormat="1" x14ac:dyDescent="0.2">
      <c r="A76" s="106" t="s">
        <v>1645</v>
      </c>
      <c r="B76" s="105" t="s">
        <v>1455</v>
      </c>
      <c r="C76" s="105" t="s">
        <v>1648</v>
      </c>
      <c r="D76" s="107" t="s">
        <v>25</v>
      </c>
      <c r="E76" s="105">
        <v>5</v>
      </c>
      <c r="F76" s="108">
        <v>115.85</v>
      </c>
      <c r="G76" s="108">
        <v>280</v>
      </c>
      <c r="H76" s="109"/>
      <c r="I76" s="109">
        <f t="shared" si="3"/>
        <v>1400</v>
      </c>
      <c r="J76" s="110">
        <v>0</v>
      </c>
      <c r="K76" s="111">
        <f t="shared" si="4"/>
        <v>1400</v>
      </c>
      <c r="L76" s="112">
        <f t="shared" si="5"/>
        <v>579.25</v>
      </c>
      <c r="M76" s="113"/>
    </row>
    <row r="77" spans="1:13" s="114" customFormat="1" x14ac:dyDescent="0.2">
      <c r="A77" s="106" t="s">
        <v>1645</v>
      </c>
      <c r="B77" s="105" t="s">
        <v>1458</v>
      </c>
      <c r="C77" s="105" t="s">
        <v>1649</v>
      </c>
      <c r="D77" s="107" t="s">
        <v>22</v>
      </c>
      <c r="E77" s="105">
        <v>10</v>
      </c>
      <c r="F77" s="108">
        <v>126</v>
      </c>
      <c r="G77" s="108">
        <v>201</v>
      </c>
      <c r="H77" s="109"/>
      <c r="I77" s="109">
        <f t="shared" ref="I77:I137" si="6">E77*G77</f>
        <v>2010</v>
      </c>
      <c r="J77" s="110">
        <v>0</v>
      </c>
      <c r="K77" s="111">
        <f t="shared" si="4"/>
        <v>2010</v>
      </c>
      <c r="L77" s="112">
        <f>E77*F77</f>
        <v>1260</v>
      </c>
      <c r="M77" s="113"/>
    </row>
    <row r="78" spans="1:13" s="114" customFormat="1" x14ac:dyDescent="0.2">
      <c r="A78" s="106" t="s">
        <v>1645</v>
      </c>
      <c r="B78" s="105" t="s">
        <v>1456</v>
      </c>
      <c r="C78" s="105" t="s">
        <v>1649</v>
      </c>
      <c r="D78" s="107" t="s">
        <v>21</v>
      </c>
      <c r="E78" s="105">
        <v>10</v>
      </c>
      <c r="F78" s="108">
        <v>148.9</v>
      </c>
      <c r="G78" s="108">
        <v>237</v>
      </c>
      <c r="H78" s="109"/>
      <c r="I78" s="109">
        <f t="shared" si="6"/>
        <v>2370</v>
      </c>
      <c r="J78" s="110">
        <v>0</v>
      </c>
      <c r="K78" s="111">
        <f t="shared" si="4"/>
        <v>2370</v>
      </c>
      <c r="L78" s="112">
        <f t="shared" si="5"/>
        <v>1489</v>
      </c>
      <c r="M78" s="113"/>
    </row>
    <row r="79" spans="1:13" s="114" customFormat="1" x14ac:dyDescent="0.2">
      <c r="A79" s="106" t="s">
        <v>1645</v>
      </c>
      <c r="B79" s="105" t="s">
        <v>1621</v>
      </c>
      <c r="C79" s="105" t="s">
        <v>1649</v>
      </c>
      <c r="D79" s="107" t="s">
        <v>1628</v>
      </c>
      <c r="E79" s="105">
        <v>180</v>
      </c>
      <c r="F79" s="108">
        <v>12.5</v>
      </c>
      <c r="G79" s="108">
        <v>16.25</v>
      </c>
      <c r="H79" s="109"/>
      <c r="I79" s="109">
        <f t="shared" si="6"/>
        <v>2925</v>
      </c>
      <c r="J79" s="110">
        <v>0</v>
      </c>
      <c r="K79" s="111">
        <f t="shared" si="4"/>
        <v>2925</v>
      </c>
      <c r="L79" s="112">
        <f t="shared" si="5"/>
        <v>2250</v>
      </c>
      <c r="M79" s="113"/>
    </row>
    <row r="80" spans="1:13" s="114" customFormat="1" x14ac:dyDescent="0.2">
      <c r="A80" s="106" t="s">
        <v>1645</v>
      </c>
      <c r="B80" s="105" t="s">
        <v>1608</v>
      </c>
      <c r="C80" s="105" t="s">
        <v>1649</v>
      </c>
      <c r="D80" s="107" t="s">
        <v>1613</v>
      </c>
      <c r="E80" s="105">
        <v>90</v>
      </c>
      <c r="F80" s="108">
        <v>12.5</v>
      </c>
      <c r="G80" s="108">
        <v>16.25</v>
      </c>
      <c r="H80" s="109"/>
      <c r="I80" s="115">
        <f t="shared" si="6"/>
        <v>1462.5</v>
      </c>
      <c r="J80" s="110">
        <v>0</v>
      </c>
      <c r="K80" s="111">
        <f t="shared" si="4"/>
        <v>1462.5</v>
      </c>
      <c r="L80" s="112">
        <f t="shared" si="5"/>
        <v>1125</v>
      </c>
      <c r="M80" s="113"/>
    </row>
    <row r="81" spans="1:13" s="114" customFormat="1" x14ac:dyDescent="0.2">
      <c r="A81" s="106" t="s">
        <v>1645</v>
      </c>
      <c r="B81" s="105" t="s">
        <v>1646</v>
      </c>
      <c r="C81" s="105" t="s">
        <v>1649</v>
      </c>
      <c r="D81" s="107" t="s">
        <v>1647</v>
      </c>
      <c r="E81" s="105">
        <v>10</v>
      </c>
      <c r="F81" s="108">
        <v>12</v>
      </c>
      <c r="G81" s="108">
        <v>16.25</v>
      </c>
      <c r="H81" s="109"/>
      <c r="I81" s="115">
        <f t="shared" si="6"/>
        <v>162.5</v>
      </c>
      <c r="J81" s="110">
        <v>0</v>
      </c>
      <c r="K81" s="111">
        <f t="shared" si="4"/>
        <v>162.5</v>
      </c>
      <c r="L81" s="112">
        <f t="shared" si="5"/>
        <v>120</v>
      </c>
      <c r="M81" s="113"/>
    </row>
    <row r="82" spans="1:13" s="114" customFormat="1" x14ac:dyDescent="0.2">
      <c r="A82" s="106" t="s">
        <v>1645</v>
      </c>
      <c r="B82" s="105" t="s">
        <v>1461</v>
      </c>
      <c r="C82" s="105" t="s">
        <v>1649</v>
      </c>
      <c r="D82" s="107" t="s">
        <v>1399</v>
      </c>
      <c r="E82" s="105">
        <v>100</v>
      </c>
      <c r="F82" s="108">
        <v>3.1</v>
      </c>
      <c r="G82" s="108">
        <v>5</v>
      </c>
      <c r="H82" s="109"/>
      <c r="I82" s="109">
        <f t="shared" si="6"/>
        <v>500</v>
      </c>
      <c r="J82" s="110">
        <v>0</v>
      </c>
      <c r="K82" s="111">
        <f t="shared" si="4"/>
        <v>500</v>
      </c>
      <c r="L82" s="112">
        <f t="shared" si="5"/>
        <v>310</v>
      </c>
      <c r="M82" s="113"/>
    </row>
    <row r="83" spans="1:13" s="114" customFormat="1" x14ac:dyDescent="0.2">
      <c r="A83" s="106" t="s">
        <v>1645</v>
      </c>
      <c r="B83" s="105" t="s">
        <v>1560</v>
      </c>
      <c r="C83" s="105" t="s">
        <v>1649</v>
      </c>
      <c r="D83" s="107" t="s">
        <v>1264</v>
      </c>
      <c r="E83" s="105">
        <v>20</v>
      </c>
      <c r="F83" s="108">
        <v>16</v>
      </c>
      <c r="G83" s="108">
        <v>21</v>
      </c>
      <c r="H83" s="109"/>
      <c r="I83" s="109">
        <f t="shared" si="6"/>
        <v>420</v>
      </c>
      <c r="J83" s="110">
        <v>0</v>
      </c>
      <c r="K83" s="111">
        <f t="shared" si="4"/>
        <v>420</v>
      </c>
      <c r="L83" s="112">
        <f t="shared" si="5"/>
        <v>320</v>
      </c>
      <c r="M83" s="113"/>
    </row>
    <row r="84" spans="1:13" s="114" customFormat="1" x14ac:dyDescent="0.2">
      <c r="A84" s="106" t="s">
        <v>1645</v>
      </c>
      <c r="B84" s="105">
        <v>70112</v>
      </c>
      <c r="C84" s="105" t="s">
        <v>1649</v>
      </c>
      <c r="D84" s="107" t="s">
        <v>29</v>
      </c>
      <c r="E84" s="105">
        <v>24</v>
      </c>
      <c r="F84" s="108">
        <v>21.5</v>
      </c>
      <c r="G84" s="108">
        <v>28</v>
      </c>
      <c r="H84" s="109"/>
      <c r="I84" s="109">
        <f t="shared" si="6"/>
        <v>672</v>
      </c>
      <c r="J84" s="110">
        <v>0</v>
      </c>
      <c r="K84" s="111">
        <f t="shared" si="4"/>
        <v>672</v>
      </c>
      <c r="L84" s="112">
        <f t="shared" si="5"/>
        <v>516</v>
      </c>
      <c r="M84" s="113"/>
    </row>
    <row r="85" spans="1:13" s="114" customFormat="1" x14ac:dyDescent="0.2">
      <c r="A85" s="106" t="s">
        <v>1645</v>
      </c>
      <c r="B85" s="105" t="s">
        <v>1453</v>
      </c>
      <c r="C85" s="105" t="s">
        <v>1650</v>
      </c>
      <c r="D85" s="107" t="s">
        <v>26</v>
      </c>
      <c r="E85" s="105">
        <v>2</v>
      </c>
      <c r="F85" s="108">
        <v>167.8</v>
      </c>
      <c r="G85" s="108">
        <v>360</v>
      </c>
      <c r="H85" s="109"/>
      <c r="I85" s="109">
        <f t="shared" si="6"/>
        <v>720</v>
      </c>
      <c r="J85" s="110">
        <v>0</v>
      </c>
      <c r="K85" s="111">
        <f t="shared" ref="K85:K139" si="7">H85+I85-J85</f>
        <v>720</v>
      </c>
      <c r="L85" s="112">
        <f t="shared" ref="L85:L139" si="8">E85*F85</f>
        <v>335.6</v>
      </c>
      <c r="M85" s="113"/>
    </row>
    <row r="86" spans="1:13" s="114" customFormat="1" x14ac:dyDescent="0.2">
      <c r="A86" s="106" t="s">
        <v>1645</v>
      </c>
      <c r="B86" s="105" t="s">
        <v>1503</v>
      </c>
      <c r="C86" s="105" t="s">
        <v>1650</v>
      </c>
      <c r="D86" s="107" t="s">
        <v>1344</v>
      </c>
      <c r="E86" s="105">
        <v>2</v>
      </c>
      <c r="F86" s="108">
        <v>167.8</v>
      </c>
      <c r="G86" s="108">
        <v>460</v>
      </c>
      <c r="H86" s="109"/>
      <c r="I86" s="109">
        <f t="shared" si="6"/>
        <v>920</v>
      </c>
      <c r="J86" s="110">
        <v>0</v>
      </c>
      <c r="K86" s="111">
        <f t="shared" si="7"/>
        <v>920</v>
      </c>
      <c r="L86" s="112">
        <f t="shared" si="8"/>
        <v>335.6</v>
      </c>
      <c r="M86" s="113"/>
    </row>
    <row r="87" spans="1:13" s="114" customFormat="1" x14ac:dyDescent="0.2">
      <c r="A87" s="106" t="s">
        <v>1645</v>
      </c>
      <c r="B87" s="105">
        <v>70124</v>
      </c>
      <c r="C87" s="105" t="s">
        <v>1651</v>
      </c>
      <c r="D87" s="107" t="s">
        <v>22</v>
      </c>
      <c r="E87" s="105">
        <v>5</v>
      </c>
      <c r="F87" s="108">
        <v>126</v>
      </c>
      <c r="G87" s="108">
        <v>201</v>
      </c>
      <c r="H87" s="109">
        <v>1005</v>
      </c>
      <c r="I87" s="109"/>
      <c r="J87" s="110">
        <v>50.25</v>
      </c>
      <c r="K87" s="111">
        <f>H87+I87-J87</f>
        <v>954.75</v>
      </c>
      <c r="L87" s="112">
        <f>E87*F87</f>
        <v>630</v>
      </c>
      <c r="M87" s="113"/>
    </row>
    <row r="88" spans="1:13" s="114" customFormat="1" x14ac:dyDescent="0.2">
      <c r="A88" s="106">
        <v>46134</v>
      </c>
      <c r="B88" s="105">
        <v>70283</v>
      </c>
      <c r="C88" s="105" t="s">
        <v>1652</v>
      </c>
      <c r="D88" s="107" t="s">
        <v>27</v>
      </c>
      <c r="E88" s="105">
        <v>4</v>
      </c>
      <c r="F88" s="108">
        <v>8</v>
      </c>
      <c r="G88" s="108">
        <v>10</v>
      </c>
      <c r="H88" s="109">
        <v>40</v>
      </c>
      <c r="I88" s="109"/>
      <c r="J88" s="110">
        <v>0</v>
      </c>
      <c r="K88" s="111">
        <f t="shared" si="7"/>
        <v>40</v>
      </c>
      <c r="L88" s="112">
        <f t="shared" si="8"/>
        <v>32</v>
      </c>
      <c r="M88" s="113"/>
    </row>
    <row r="89" spans="1:13" s="114" customFormat="1" x14ac:dyDescent="0.2">
      <c r="A89" s="106">
        <v>46135</v>
      </c>
      <c r="B89" s="105" t="s">
        <v>1653</v>
      </c>
      <c r="C89" s="105" t="s">
        <v>1657</v>
      </c>
      <c r="D89" s="107" t="s">
        <v>1437</v>
      </c>
      <c r="E89" s="105">
        <v>50</v>
      </c>
      <c r="F89" s="108">
        <v>8</v>
      </c>
      <c r="G89" s="108">
        <v>12</v>
      </c>
      <c r="H89" s="109"/>
      <c r="I89" s="109">
        <f t="shared" si="6"/>
        <v>600</v>
      </c>
      <c r="J89" s="110">
        <v>0</v>
      </c>
      <c r="K89" s="111">
        <f t="shared" si="7"/>
        <v>600</v>
      </c>
      <c r="L89" s="112">
        <f t="shared" si="8"/>
        <v>400</v>
      </c>
      <c r="M89" s="113"/>
    </row>
    <row r="90" spans="1:13" s="114" customFormat="1" x14ac:dyDescent="0.2">
      <c r="A90" s="106">
        <v>46135</v>
      </c>
      <c r="B90" s="105" t="s">
        <v>1654</v>
      </c>
      <c r="C90" s="105" t="s">
        <v>1657</v>
      </c>
      <c r="D90" s="107" t="s">
        <v>1661</v>
      </c>
      <c r="E90" s="105">
        <v>50</v>
      </c>
      <c r="F90" s="108">
        <v>7</v>
      </c>
      <c r="G90" s="108">
        <v>12</v>
      </c>
      <c r="H90" s="109"/>
      <c r="I90" s="109">
        <f t="shared" si="6"/>
        <v>600</v>
      </c>
      <c r="J90" s="110">
        <v>0</v>
      </c>
      <c r="K90" s="111">
        <f t="shared" si="7"/>
        <v>600</v>
      </c>
      <c r="L90" s="112">
        <f t="shared" si="8"/>
        <v>350</v>
      </c>
      <c r="M90" s="113"/>
    </row>
    <row r="91" spans="1:13" s="114" customFormat="1" x14ac:dyDescent="0.2">
      <c r="A91" s="106">
        <v>46135</v>
      </c>
      <c r="B91" s="105" t="s">
        <v>1584</v>
      </c>
      <c r="C91" s="105" t="s">
        <v>1657</v>
      </c>
      <c r="D91" s="107" t="s">
        <v>1436</v>
      </c>
      <c r="E91" s="105">
        <v>50</v>
      </c>
      <c r="F91" s="108">
        <v>8</v>
      </c>
      <c r="G91" s="108">
        <v>12</v>
      </c>
      <c r="H91" s="109"/>
      <c r="I91" s="109">
        <f t="shared" si="6"/>
        <v>600</v>
      </c>
      <c r="J91" s="110">
        <v>0</v>
      </c>
      <c r="K91" s="111">
        <f t="shared" si="7"/>
        <v>600</v>
      </c>
      <c r="L91" s="112">
        <f t="shared" si="8"/>
        <v>400</v>
      </c>
      <c r="M91" s="113"/>
    </row>
    <row r="92" spans="1:13" s="114" customFormat="1" x14ac:dyDescent="0.2">
      <c r="A92" s="106">
        <v>46135</v>
      </c>
      <c r="B92" s="105" t="s">
        <v>1655</v>
      </c>
      <c r="C92" s="105" t="s">
        <v>1657</v>
      </c>
      <c r="D92" s="107" t="s">
        <v>1438</v>
      </c>
      <c r="E92" s="105">
        <v>50</v>
      </c>
      <c r="F92" s="108">
        <v>8</v>
      </c>
      <c r="G92" s="108">
        <v>12</v>
      </c>
      <c r="H92" s="109"/>
      <c r="I92" s="109">
        <f t="shared" si="6"/>
        <v>600</v>
      </c>
      <c r="J92" s="110">
        <v>0</v>
      </c>
      <c r="K92" s="111">
        <f t="shared" si="7"/>
        <v>600</v>
      </c>
      <c r="L92" s="112">
        <f t="shared" si="8"/>
        <v>400</v>
      </c>
      <c r="M92" s="113"/>
    </row>
    <row r="93" spans="1:13" s="114" customFormat="1" x14ac:dyDescent="0.2">
      <c r="A93" s="106">
        <v>46135</v>
      </c>
      <c r="B93" s="105" t="s">
        <v>1456</v>
      </c>
      <c r="C93" s="105" t="s">
        <v>1657</v>
      </c>
      <c r="D93" s="107" t="s">
        <v>21</v>
      </c>
      <c r="E93" s="105">
        <v>5</v>
      </c>
      <c r="F93" s="108">
        <v>148.9</v>
      </c>
      <c r="G93" s="108">
        <v>237</v>
      </c>
      <c r="H93" s="109"/>
      <c r="I93" s="109">
        <f t="shared" si="6"/>
        <v>1185</v>
      </c>
      <c r="J93" s="110">
        <v>0</v>
      </c>
      <c r="K93" s="111">
        <f t="shared" si="7"/>
        <v>1185</v>
      </c>
      <c r="L93" s="112">
        <f t="shared" si="8"/>
        <v>744.5</v>
      </c>
      <c r="M93" s="113"/>
    </row>
    <row r="94" spans="1:13" s="114" customFormat="1" x14ac:dyDescent="0.2">
      <c r="A94" s="106">
        <v>46135</v>
      </c>
      <c r="B94" s="105" t="s">
        <v>1456</v>
      </c>
      <c r="C94" s="105" t="s">
        <v>1658</v>
      </c>
      <c r="D94" s="107" t="s">
        <v>21</v>
      </c>
      <c r="E94" s="105">
        <v>5</v>
      </c>
      <c r="F94" s="108">
        <v>148.9</v>
      </c>
      <c r="G94" s="108">
        <v>237</v>
      </c>
      <c r="H94" s="109"/>
      <c r="I94" s="109">
        <f t="shared" si="6"/>
        <v>1185</v>
      </c>
      <c r="J94" s="110">
        <v>0</v>
      </c>
      <c r="K94" s="111">
        <f t="shared" si="7"/>
        <v>1185</v>
      </c>
      <c r="L94" s="112">
        <f t="shared" si="8"/>
        <v>744.5</v>
      </c>
      <c r="M94" s="113"/>
    </row>
    <row r="95" spans="1:13" s="114" customFormat="1" x14ac:dyDescent="0.2">
      <c r="A95" s="106">
        <v>46135</v>
      </c>
      <c r="B95" s="105" t="s">
        <v>1458</v>
      </c>
      <c r="C95" s="105" t="s">
        <v>1658</v>
      </c>
      <c r="D95" s="107" t="s">
        <v>22</v>
      </c>
      <c r="E95" s="105">
        <v>5</v>
      </c>
      <c r="F95" s="108">
        <v>126</v>
      </c>
      <c r="G95" s="108">
        <v>201</v>
      </c>
      <c r="H95" s="109"/>
      <c r="I95" s="109">
        <f t="shared" si="6"/>
        <v>1005</v>
      </c>
      <c r="J95" s="110">
        <v>0</v>
      </c>
      <c r="K95" s="111">
        <f t="shared" si="7"/>
        <v>1005</v>
      </c>
      <c r="L95" s="112">
        <f t="shared" si="8"/>
        <v>630</v>
      </c>
      <c r="M95" s="113"/>
    </row>
    <row r="96" spans="1:13" s="114" customFormat="1" x14ac:dyDescent="0.2">
      <c r="A96" s="106">
        <v>46135</v>
      </c>
      <c r="B96" s="105" t="s">
        <v>1590</v>
      </c>
      <c r="C96" s="105" t="s">
        <v>1658</v>
      </c>
      <c r="D96" s="107" t="s">
        <v>1362</v>
      </c>
      <c r="E96" s="105">
        <v>2</v>
      </c>
      <c r="F96" s="108">
        <v>20</v>
      </c>
      <c r="G96" s="108">
        <v>23</v>
      </c>
      <c r="H96" s="109"/>
      <c r="I96" s="109">
        <f t="shared" si="6"/>
        <v>46</v>
      </c>
      <c r="J96" s="110">
        <v>0</v>
      </c>
      <c r="K96" s="111">
        <f t="shared" si="7"/>
        <v>46</v>
      </c>
      <c r="L96" s="112">
        <f t="shared" si="8"/>
        <v>40</v>
      </c>
      <c r="M96" s="113"/>
    </row>
    <row r="97" spans="1:13" s="114" customFormat="1" x14ac:dyDescent="0.2">
      <c r="A97" s="106">
        <v>46135</v>
      </c>
      <c r="B97" s="105" t="s">
        <v>1459</v>
      </c>
      <c r="C97" s="105" t="s">
        <v>1658</v>
      </c>
      <c r="D97" s="107" t="s">
        <v>1259</v>
      </c>
      <c r="E97" s="105">
        <v>2</v>
      </c>
      <c r="F97" s="108">
        <v>40</v>
      </c>
      <c r="G97" s="108">
        <v>52</v>
      </c>
      <c r="H97" s="109"/>
      <c r="I97" s="109">
        <f t="shared" si="6"/>
        <v>104</v>
      </c>
      <c r="J97" s="110">
        <v>0</v>
      </c>
      <c r="K97" s="111">
        <f t="shared" si="7"/>
        <v>104</v>
      </c>
      <c r="L97" s="112">
        <f t="shared" si="8"/>
        <v>80</v>
      </c>
      <c r="M97" s="113"/>
    </row>
    <row r="98" spans="1:13" s="114" customFormat="1" x14ac:dyDescent="0.2">
      <c r="A98" s="106">
        <v>46135</v>
      </c>
      <c r="B98" s="105" t="s">
        <v>1460</v>
      </c>
      <c r="C98" s="105" t="s">
        <v>1658</v>
      </c>
      <c r="D98" s="107" t="s">
        <v>24</v>
      </c>
      <c r="E98" s="105">
        <v>20</v>
      </c>
      <c r="F98" s="108">
        <v>2.7</v>
      </c>
      <c r="G98" s="108">
        <v>8</v>
      </c>
      <c r="H98" s="109"/>
      <c r="I98" s="109">
        <f t="shared" si="6"/>
        <v>160</v>
      </c>
      <c r="J98" s="110">
        <v>0</v>
      </c>
      <c r="K98" s="111">
        <f t="shared" si="7"/>
        <v>160</v>
      </c>
      <c r="L98" s="112">
        <f t="shared" si="8"/>
        <v>54</v>
      </c>
      <c r="M98" s="113"/>
    </row>
    <row r="99" spans="1:13" s="114" customFormat="1" x14ac:dyDescent="0.2">
      <c r="A99" s="106">
        <v>46135</v>
      </c>
      <c r="B99" s="105" t="s">
        <v>1656</v>
      </c>
      <c r="C99" s="105" t="s">
        <v>1659</v>
      </c>
      <c r="D99" s="107" t="s">
        <v>1662</v>
      </c>
      <c r="E99" s="105">
        <v>2</v>
      </c>
      <c r="F99" s="108">
        <v>36</v>
      </c>
      <c r="G99" s="108">
        <v>60</v>
      </c>
      <c r="H99" s="109"/>
      <c r="I99" s="109">
        <f t="shared" si="6"/>
        <v>120</v>
      </c>
      <c r="J99" s="110">
        <v>0</v>
      </c>
      <c r="K99" s="111">
        <f t="shared" si="7"/>
        <v>120</v>
      </c>
      <c r="L99" s="112">
        <f t="shared" si="8"/>
        <v>72</v>
      </c>
      <c r="M99" s="113"/>
    </row>
    <row r="100" spans="1:13" s="114" customFormat="1" x14ac:dyDescent="0.2">
      <c r="A100" s="106">
        <v>46135</v>
      </c>
      <c r="B100" s="105" t="s">
        <v>1656</v>
      </c>
      <c r="C100" s="105" t="s">
        <v>1660</v>
      </c>
      <c r="D100" s="107" t="s">
        <v>1662</v>
      </c>
      <c r="E100" s="105">
        <v>2</v>
      </c>
      <c r="F100" s="108">
        <v>36</v>
      </c>
      <c r="G100" s="108">
        <v>60</v>
      </c>
      <c r="H100" s="109"/>
      <c r="I100" s="109">
        <f t="shared" si="6"/>
        <v>120</v>
      </c>
      <c r="J100" s="110">
        <v>0</v>
      </c>
      <c r="K100" s="111">
        <f t="shared" si="7"/>
        <v>120</v>
      </c>
      <c r="L100" s="112">
        <f t="shared" si="8"/>
        <v>72</v>
      </c>
      <c r="M100" s="113"/>
    </row>
    <row r="101" spans="1:13" s="114" customFormat="1" x14ac:dyDescent="0.2">
      <c r="A101" s="106">
        <v>46136</v>
      </c>
      <c r="B101" s="105" t="s">
        <v>1663</v>
      </c>
      <c r="C101" s="105" t="s">
        <v>1664</v>
      </c>
      <c r="D101" s="107" t="s">
        <v>1666</v>
      </c>
      <c r="E101" s="105">
        <v>1</v>
      </c>
      <c r="F101" s="108">
        <v>12.5</v>
      </c>
      <c r="G101" s="108">
        <v>16.25</v>
      </c>
      <c r="H101" s="109">
        <v>16.25</v>
      </c>
      <c r="I101" s="109"/>
      <c r="J101" s="110">
        <v>0</v>
      </c>
      <c r="K101" s="111">
        <f t="shared" si="7"/>
        <v>16.25</v>
      </c>
      <c r="L101" s="112">
        <f t="shared" si="8"/>
        <v>12.5</v>
      </c>
      <c r="M101" s="113"/>
    </row>
    <row r="102" spans="1:13" s="114" customFormat="1" x14ac:dyDescent="0.2">
      <c r="A102" s="106">
        <v>46136</v>
      </c>
      <c r="B102" s="105" t="s">
        <v>1460</v>
      </c>
      <c r="C102" s="105" t="s">
        <v>1665</v>
      </c>
      <c r="D102" s="107" t="s">
        <v>24</v>
      </c>
      <c r="E102" s="105">
        <v>10</v>
      </c>
      <c r="F102" s="108">
        <v>2.7</v>
      </c>
      <c r="G102" s="108">
        <v>8</v>
      </c>
      <c r="H102" s="109">
        <v>80</v>
      </c>
      <c r="I102" s="109"/>
      <c r="J102" s="110">
        <v>0</v>
      </c>
      <c r="K102" s="111">
        <f t="shared" si="7"/>
        <v>80</v>
      </c>
      <c r="L102" s="112">
        <f t="shared" si="8"/>
        <v>27</v>
      </c>
      <c r="M102" s="113"/>
    </row>
    <row r="103" spans="1:13" s="114" customFormat="1" x14ac:dyDescent="0.2">
      <c r="A103" s="106">
        <v>46136</v>
      </c>
      <c r="B103" s="105" t="s">
        <v>1667</v>
      </c>
      <c r="C103" s="105" t="s">
        <v>1668</v>
      </c>
      <c r="D103" s="107" t="s">
        <v>1669</v>
      </c>
      <c r="E103" s="105">
        <v>2</v>
      </c>
      <c r="F103" s="108">
        <v>9</v>
      </c>
      <c r="G103" s="108">
        <v>16</v>
      </c>
      <c r="H103" s="109">
        <v>32</v>
      </c>
      <c r="I103" s="109"/>
      <c r="J103" s="110">
        <v>0</v>
      </c>
      <c r="K103" s="111">
        <f t="shared" si="7"/>
        <v>32</v>
      </c>
      <c r="L103" s="112">
        <f t="shared" si="8"/>
        <v>18</v>
      </c>
      <c r="M103" s="113"/>
    </row>
    <row r="104" spans="1:13" s="114" customFormat="1" x14ac:dyDescent="0.2">
      <c r="A104" s="106">
        <v>46139</v>
      </c>
      <c r="B104" s="105" t="s">
        <v>1458</v>
      </c>
      <c r="C104" s="105" t="s">
        <v>1671</v>
      </c>
      <c r="D104" s="107" t="s">
        <v>22</v>
      </c>
      <c r="E104" s="105">
        <v>10</v>
      </c>
      <c r="F104" s="108">
        <v>126</v>
      </c>
      <c r="G104" s="108">
        <v>201</v>
      </c>
      <c r="H104" s="109"/>
      <c r="I104" s="109">
        <f t="shared" si="6"/>
        <v>2010</v>
      </c>
      <c r="J104" s="110">
        <v>0</v>
      </c>
      <c r="K104" s="111">
        <f t="shared" si="7"/>
        <v>2010</v>
      </c>
      <c r="L104" s="112">
        <f t="shared" si="8"/>
        <v>1260</v>
      </c>
      <c r="M104" s="113"/>
    </row>
    <row r="105" spans="1:13" s="114" customFormat="1" x14ac:dyDescent="0.2">
      <c r="A105" s="106">
        <v>46139</v>
      </c>
      <c r="B105" s="105" t="s">
        <v>1475</v>
      </c>
      <c r="C105" s="105" t="s">
        <v>1671</v>
      </c>
      <c r="D105" s="107" t="s">
        <v>20</v>
      </c>
      <c r="E105" s="105">
        <v>10</v>
      </c>
      <c r="F105" s="108">
        <v>84</v>
      </c>
      <c r="G105" s="108">
        <v>157</v>
      </c>
      <c r="H105" s="109"/>
      <c r="I105" s="109">
        <f t="shared" si="6"/>
        <v>1570</v>
      </c>
      <c r="J105" s="110">
        <v>0</v>
      </c>
      <c r="K105" s="111">
        <f t="shared" si="7"/>
        <v>1570</v>
      </c>
      <c r="L105" s="112">
        <f t="shared" si="8"/>
        <v>840</v>
      </c>
      <c r="M105" s="113"/>
    </row>
    <row r="106" spans="1:13" s="114" customFormat="1" x14ac:dyDescent="0.2">
      <c r="A106" s="106">
        <v>46139</v>
      </c>
      <c r="B106" s="105" t="s">
        <v>1475</v>
      </c>
      <c r="C106" s="105" t="s">
        <v>1672</v>
      </c>
      <c r="D106" s="107" t="s">
        <v>20</v>
      </c>
      <c r="E106" s="105">
        <v>2</v>
      </c>
      <c r="F106" s="108">
        <v>84</v>
      </c>
      <c r="G106" s="108">
        <v>157</v>
      </c>
      <c r="H106" s="109">
        <v>314</v>
      </c>
      <c r="I106" s="109"/>
      <c r="J106" s="110">
        <v>0</v>
      </c>
      <c r="K106" s="111">
        <f t="shared" si="7"/>
        <v>314</v>
      </c>
      <c r="L106" s="112">
        <f t="shared" si="8"/>
        <v>168</v>
      </c>
      <c r="M106" s="113"/>
    </row>
    <row r="107" spans="1:13" s="114" customFormat="1" x14ac:dyDescent="0.2">
      <c r="A107" s="106">
        <v>46139</v>
      </c>
      <c r="B107" s="105" t="s">
        <v>1475</v>
      </c>
      <c r="C107" s="105" t="s">
        <v>1673</v>
      </c>
      <c r="D107" s="107" t="s">
        <v>20</v>
      </c>
      <c r="E107" s="105">
        <v>1</v>
      </c>
      <c r="F107" s="108">
        <v>84</v>
      </c>
      <c r="G107" s="108">
        <v>157</v>
      </c>
      <c r="H107" s="109"/>
      <c r="I107" s="109">
        <f t="shared" si="6"/>
        <v>157</v>
      </c>
      <c r="J107" s="110">
        <v>0</v>
      </c>
      <c r="K107" s="111">
        <f t="shared" si="7"/>
        <v>157</v>
      </c>
      <c r="L107" s="112">
        <f t="shared" si="8"/>
        <v>84</v>
      </c>
      <c r="M107" s="113"/>
    </row>
    <row r="108" spans="1:13" s="114" customFormat="1" x14ac:dyDescent="0.2">
      <c r="A108" s="106">
        <v>46139</v>
      </c>
      <c r="B108" s="105" t="s">
        <v>1605</v>
      </c>
      <c r="C108" s="105" t="s">
        <v>1673</v>
      </c>
      <c r="D108" s="107" t="s">
        <v>1320</v>
      </c>
      <c r="E108" s="105">
        <v>1</v>
      </c>
      <c r="F108" s="108">
        <v>20</v>
      </c>
      <c r="G108" s="108">
        <v>30</v>
      </c>
      <c r="H108" s="109"/>
      <c r="I108" s="109">
        <f t="shared" si="6"/>
        <v>30</v>
      </c>
      <c r="J108" s="110">
        <v>0</v>
      </c>
      <c r="K108" s="111">
        <f t="shared" si="7"/>
        <v>30</v>
      </c>
      <c r="L108" s="112">
        <f t="shared" si="8"/>
        <v>20</v>
      </c>
      <c r="M108" s="113"/>
    </row>
    <row r="109" spans="1:13" s="114" customFormat="1" x14ac:dyDescent="0.2">
      <c r="A109" s="106">
        <v>46139</v>
      </c>
      <c r="B109" s="105" t="s">
        <v>1670</v>
      </c>
      <c r="C109" s="105" t="s">
        <v>1674</v>
      </c>
      <c r="D109" s="107" t="s">
        <v>1253</v>
      </c>
      <c r="E109" s="105">
        <v>10</v>
      </c>
      <c r="F109" s="108">
        <v>15</v>
      </c>
      <c r="G109" s="108">
        <v>20</v>
      </c>
      <c r="H109" s="109"/>
      <c r="I109" s="109">
        <f t="shared" si="6"/>
        <v>200</v>
      </c>
      <c r="J109" s="110">
        <v>0</v>
      </c>
      <c r="K109" s="111">
        <f t="shared" si="7"/>
        <v>200</v>
      </c>
      <c r="L109" s="112">
        <f t="shared" si="8"/>
        <v>150</v>
      </c>
      <c r="M109" s="113"/>
    </row>
    <row r="110" spans="1:13" s="114" customFormat="1" x14ac:dyDescent="0.2">
      <c r="A110" s="106">
        <v>46139</v>
      </c>
      <c r="B110" s="105" t="s">
        <v>1459</v>
      </c>
      <c r="C110" s="105" t="s">
        <v>1674</v>
      </c>
      <c r="D110" s="107" t="s">
        <v>1259</v>
      </c>
      <c r="E110" s="105">
        <v>2</v>
      </c>
      <c r="F110" s="108">
        <v>40</v>
      </c>
      <c r="G110" s="108">
        <v>52</v>
      </c>
      <c r="H110" s="109"/>
      <c r="I110" s="109">
        <f t="shared" si="6"/>
        <v>104</v>
      </c>
      <c r="J110" s="110">
        <v>0</v>
      </c>
      <c r="K110" s="111">
        <f t="shared" si="7"/>
        <v>104</v>
      </c>
      <c r="L110" s="112">
        <f t="shared" si="8"/>
        <v>80</v>
      </c>
      <c r="M110" s="113"/>
    </row>
    <row r="111" spans="1:13" s="114" customFormat="1" x14ac:dyDescent="0.2">
      <c r="A111" s="106">
        <v>46139</v>
      </c>
      <c r="B111" s="105" t="s">
        <v>1518</v>
      </c>
      <c r="C111" s="105" t="s">
        <v>1675</v>
      </c>
      <c r="D111" s="107" t="s">
        <v>1262</v>
      </c>
      <c r="E111" s="105">
        <v>10</v>
      </c>
      <c r="F111" s="108">
        <v>12</v>
      </c>
      <c r="G111" s="108">
        <v>15.75</v>
      </c>
      <c r="H111" s="109"/>
      <c r="I111" s="109">
        <f t="shared" si="6"/>
        <v>157.5</v>
      </c>
      <c r="J111" s="110">
        <v>0</v>
      </c>
      <c r="K111" s="111">
        <f t="shared" si="7"/>
        <v>157.5</v>
      </c>
      <c r="L111" s="112">
        <f t="shared" si="8"/>
        <v>120</v>
      </c>
      <c r="M111" s="113"/>
    </row>
    <row r="112" spans="1:13" s="114" customFormat="1" x14ac:dyDescent="0.2">
      <c r="A112" s="106">
        <v>46139</v>
      </c>
      <c r="B112" s="105" t="s">
        <v>1607</v>
      </c>
      <c r="C112" s="105" t="s">
        <v>1676</v>
      </c>
      <c r="D112" s="107" t="s">
        <v>1611</v>
      </c>
      <c r="E112" s="105">
        <v>1</v>
      </c>
      <c r="F112" s="108">
        <v>876</v>
      </c>
      <c r="G112" s="108">
        <v>1442</v>
      </c>
      <c r="H112" s="109"/>
      <c r="I112" s="109">
        <f t="shared" si="6"/>
        <v>1442</v>
      </c>
      <c r="J112" s="110">
        <v>0</v>
      </c>
      <c r="K112" s="111">
        <f t="shared" si="7"/>
        <v>1442</v>
      </c>
      <c r="L112" s="112">
        <f t="shared" si="8"/>
        <v>876</v>
      </c>
      <c r="M112" s="113"/>
    </row>
    <row r="113" spans="1:13" s="114" customFormat="1" x14ac:dyDescent="0.2">
      <c r="A113" s="106">
        <v>46139</v>
      </c>
      <c r="B113" s="105" t="s">
        <v>1590</v>
      </c>
      <c r="C113" s="105" t="s">
        <v>1677</v>
      </c>
      <c r="D113" s="107" t="s">
        <v>1362</v>
      </c>
      <c r="E113" s="105">
        <v>3</v>
      </c>
      <c r="F113" s="108">
        <v>20</v>
      </c>
      <c r="G113" s="108">
        <v>23</v>
      </c>
      <c r="H113" s="109"/>
      <c r="I113" s="109">
        <f t="shared" si="6"/>
        <v>69</v>
      </c>
      <c r="J113" s="110">
        <v>0</v>
      </c>
      <c r="K113" s="111">
        <f t="shared" si="7"/>
        <v>69</v>
      </c>
      <c r="L113" s="112">
        <f t="shared" si="8"/>
        <v>60</v>
      </c>
      <c r="M113" s="113"/>
    </row>
    <row r="114" spans="1:13" s="114" customFormat="1" x14ac:dyDescent="0.2">
      <c r="A114" s="106">
        <v>46139</v>
      </c>
      <c r="B114" s="105" t="s">
        <v>1458</v>
      </c>
      <c r="C114" s="105" t="s">
        <v>1677</v>
      </c>
      <c r="D114" s="107" t="s">
        <v>22</v>
      </c>
      <c r="E114" s="105">
        <v>10</v>
      </c>
      <c r="F114" s="108">
        <v>126</v>
      </c>
      <c r="G114" s="108">
        <v>201</v>
      </c>
      <c r="H114" s="109"/>
      <c r="I114" s="109">
        <f t="shared" si="6"/>
        <v>2010</v>
      </c>
      <c r="J114" s="110">
        <v>0</v>
      </c>
      <c r="K114" s="111">
        <f t="shared" si="7"/>
        <v>2010</v>
      </c>
      <c r="L114" s="112">
        <f t="shared" si="8"/>
        <v>1260</v>
      </c>
      <c r="M114" s="113"/>
    </row>
    <row r="115" spans="1:13" s="114" customFormat="1" x14ac:dyDescent="0.2">
      <c r="A115" s="106">
        <v>46139</v>
      </c>
      <c r="B115" s="105" t="s">
        <v>1518</v>
      </c>
      <c r="C115" s="105" t="s">
        <v>1677</v>
      </c>
      <c r="D115" s="107" t="s">
        <v>1262</v>
      </c>
      <c r="E115" s="105">
        <v>3</v>
      </c>
      <c r="F115" s="108">
        <v>12</v>
      </c>
      <c r="G115" s="108">
        <v>15.75</v>
      </c>
      <c r="H115" s="109"/>
      <c r="I115" s="109">
        <f t="shared" si="6"/>
        <v>47.25</v>
      </c>
      <c r="J115" s="110">
        <v>0</v>
      </c>
      <c r="K115" s="111">
        <f t="shared" si="7"/>
        <v>47.25</v>
      </c>
      <c r="L115" s="112">
        <f t="shared" si="8"/>
        <v>36</v>
      </c>
      <c r="M115" s="113"/>
    </row>
    <row r="116" spans="1:13" s="114" customFormat="1" x14ac:dyDescent="0.2">
      <c r="A116" s="106">
        <v>46139</v>
      </c>
      <c r="B116" s="105" t="s">
        <v>1453</v>
      </c>
      <c r="C116" s="105" t="s">
        <v>1678</v>
      </c>
      <c r="D116" s="107" t="s">
        <v>26</v>
      </c>
      <c r="E116" s="105">
        <v>10</v>
      </c>
      <c r="F116" s="108">
        <v>167.8</v>
      </c>
      <c r="G116" s="108">
        <v>360</v>
      </c>
      <c r="H116" s="109"/>
      <c r="I116" s="109">
        <f t="shared" si="6"/>
        <v>3600</v>
      </c>
      <c r="J116" s="110">
        <v>0</v>
      </c>
      <c r="K116" s="111">
        <f t="shared" si="7"/>
        <v>3600</v>
      </c>
      <c r="L116" s="112">
        <f t="shared" si="8"/>
        <v>1678</v>
      </c>
      <c r="M116" s="113"/>
    </row>
    <row r="117" spans="1:13" s="114" customFormat="1" x14ac:dyDescent="0.2">
      <c r="A117" s="106">
        <v>46140</v>
      </c>
      <c r="B117" s="105" t="s">
        <v>1455</v>
      </c>
      <c r="C117" s="105" t="s">
        <v>1684</v>
      </c>
      <c r="D117" s="107" t="s">
        <v>25</v>
      </c>
      <c r="E117" s="105">
        <v>2</v>
      </c>
      <c r="F117" s="108">
        <v>115.85</v>
      </c>
      <c r="G117" s="108">
        <v>280</v>
      </c>
      <c r="H117" s="109">
        <v>560</v>
      </c>
      <c r="I117" s="109"/>
      <c r="J117" s="110">
        <v>0</v>
      </c>
      <c r="K117" s="111">
        <f t="shared" si="7"/>
        <v>560</v>
      </c>
      <c r="L117" s="112">
        <f t="shared" si="8"/>
        <v>231.7</v>
      </c>
      <c r="M117" s="113"/>
    </row>
    <row r="118" spans="1:13" s="114" customFormat="1" x14ac:dyDescent="0.2">
      <c r="A118" s="106">
        <v>46140</v>
      </c>
      <c r="B118" s="105" t="s">
        <v>1679</v>
      </c>
      <c r="C118" s="105" t="s">
        <v>1682</v>
      </c>
      <c r="D118" s="107" t="s">
        <v>1685</v>
      </c>
      <c r="E118" s="105">
        <v>2</v>
      </c>
      <c r="F118" s="108">
        <v>36</v>
      </c>
      <c r="G118" s="108">
        <v>60</v>
      </c>
      <c r="H118" s="109"/>
      <c r="I118" s="109">
        <f t="shared" si="6"/>
        <v>120</v>
      </c>
      <c r="J118" s="110">
        <v>0</v>
      </c>
      <c r="K118" s="111">
        <f t="shared" si="7"/>
        <v>120</v>
      </c>
      <c r="L118" s="112">
        <f t="shared" si="8"/>
        <v>72</v>
      </c>
      <c r="M118" s="113"/>
    </row>
    <row r="119" spans="1:13" s="114" customFormat="1" x14ac:dyDescent="0.2">
      <c r="A119" s="106">
        <v>46140</v>
      </c>
      <c r="B119" s="105" t="s">
        <v>1680</v>
      </c>
      <c r="C119" s="105" t="s">
        <v>1682</v>
      </c>
      <c r="D119" s="107" t="s">
        <v>1686</v>
      </c>
      <c r="E119" s="105">
        <v>1</v>
      </c>
      <c r="F119" s="108">
        <v>0</v>
      </c>
      <c r="G119" s="108">
        <v>100</v>
      </c>
      <c r="H119" s="109"/>
      <c r="I119" s="109">
        <f t="shared" si="6"/>
        <v>100</v>
      </c>
      <c r="J119" s="110">
        <v>0</v>
      </c>
      <c r="K119" s="111">
        <f t="shared" si="7"/>
        <v>100</v>
      </c>
      <c r="L119" s="112">
        <f t="shared" si="8"/>
        <v>0</v>
      </c>
      <c r="M119" s="113"/>
    </row>
    <row r="120" spans="1:13" s="114" customFormat="1" x14ac:dyDescent="0.2">
      <c r="A120" s="106">
        <v>46140</v>
      </c>
      <c r="B120" s="105" t="s">
        <v>1475</v>
      </c>
      <c r="C120" s="105" t="s">
        <v>1683</v>
      </c>
      <c r="D120" s="107" t="s">
        <v>20</v>
      </c>
      <c r="E120" s="105">
        <v>5</v>
      </c>
      <c r="F120" s="108">
        <v>84</v>
      </c>
      <c r="G120" s="108">
        <v>157</v>
      </c>
      <c r="H120" s="109">
        <v>785</v>
      </c>
      <c r="I120" s="109"/>
      <c r="J120" s="110">
        <v>0</v>
      </c>
      <c r="K120" s="111">
        <f t="shared" si="7"/>
        <v>785</v>
      </c>
      <c r="L120" s="112">
        <f t="shared" si="8"/>
        <v>420</v>
      </c>
      <c r="M120" s="113"/>
    </row>
    <row r="121" spans="1:13" s="114" customFormat="1" x14ac:dyDescent="0.2">
      <c r="A121" s="106">
        <v>46140</v>
      </c>
      <c r="B121" s="105" t="s">
        <v>1474</v>
      </c>
      <c r="C121" s="105" t="s">
        <v>1683</v>
      </c>
      <c r="D121" s="107" t="s">
        <v>23</v>
      </c>
      <c r="E121" s="105">
        <v>5</v>
      </c>
      <c r="F121" s="108">
        <v>99.3</v>
      </c>
      <c r="G121" s="108">
        <v>175</v>
      </c>
      <c r="H121" s="109">
        <v>875</v>
      </c>
      <c r="I121" s="109"/>
      <c r="J121" s="110">
        <v>0</v>
      </c>
      <c r="K121" s="111">
        <f t="shared" si="7"/>
        <v>875</v>
      </c>
      <c r="L121" s="112">
        <f t="shared" si="8"/>
        <v>496.5</v>
      </c>
      <c r="M121" s="113"/>
    </row>
    <row r="122" spans="1:13" s="114" customFormat="1" x14ac:dyDescent="0.2">
      <c r="A122" s="106">
        <v>46140</v>
      </c>
      <c r="B122" s="105" t="s">
        <v>1681</v>
      </c>
      <c r="C122" s="105" t="s">
        <v>1683</v>
      </c>
      <c r="D122" s="107" t="s">
        <v>1361</v>
      </c>
      <c r="E122" s="105">
        <v>1</v>
      </c>
      <c r="F122" s="108">
        <v>95</v>
      </c>
      <c r="G122" s="108">
        <v>124</v>
      </c>
      <c r="H122" s="109">
        <v>124</v>
      </c>
      <c r="I122" s="109"/>
      <c r="J122" s="110">
        <v>0</v>
      </c>
      <c r="K122" s="111">
        <f t="shared" si="7"/>
        <v>124</v>
      </c>
      <c r="L122" s="112">
        <f t="shared" si="8"/>
        <v>95</v>
      </c>
      <c r="M122" s="113"/>
    </row>
    <row r="123" spans="1:13" s="114" customFormat="1" x14ac:dyDescent="0.2">
      <c r="A123" s="106">
        <v>46140</v>
      </c>
      <c r="B123" s="105" t="s">
        <v>1530</v>
      </c>
      <c r="C123" s="105" t="s">
        <v>1683</v>
      </c>
      <c r="D123" s="107" t="s">
        <v>1332</v>
      </c>
      <c r="E123" s="105">
        <v>1</v>
      </c>
      <c r="F123" s="108">
        <v>14.5</v>
      </c>
      <c r="G123" s="108">
        <v>20</v>
      </c>
      <c r="H123" s="109">
        <v>20</v>
      </c>
      <c r="I123" s="109"/>
      <c r="J123" s="110">
        <v>0</v>
      </c>
      <c r="K123" s="111">
        <f t="shared" si="7"/>
        <v>20</v>
      </c>
      <c r="L123" s="112">
        <f t="shared" si="8"/>
        <v>14.5</v>
      </c>
      <c r="M123" s="113"/>
    </row>
    <row r="124" spans="1:13" s="114" customFormat="1" x14ac:dyDescent="0.2">
      <c r="A124" s="106">
        <v>46141</v>
      </c>
      <c r="B124" s="105" t="s">
        <v>1456</v>
      </c>
      <c r="C124" s="105" t="s">
        <v>1687</v>
      </c>
      <c r="D124" s="107" t="s">
        <v>21</v>
      </c>
      <c r="E124" s="105">
        <v>1</v>
      </c>
      <c r="F124" s="108">
        <v>148.9</v>
      </c>
      <c r="G124" s="108">
        <v>237</v>
      </c>
      <c r="H124" s="109">
        <v>237</v>
      </c>
      <c r="I124" s="109"/>
      <c r="J124" s="110">
        <v>0</v>
      </c>
      <c r="K124" s="111">
        <f t="shared" si="7"/>
        <v>237</v>
      </c>
      <c r="L124" s="112">
        <f t="shared" si="8"/>
        <v>148.9</v>
      </c>
      <c r="M124" s="113"/>
    </row>
    <row r="125" spans="1:13" s="114" customFormat="1" x14ac:dyDescent="0.2">
      <c r="A125" s="106">
        <v>46141</v>
      </c>
      <c r="B125" s="105" t="s">
        <v>1474</v>
      </c>
      <c r="C125" s="105" t="s">
        <v>1687</v>
      </c>
      <c r="D125" s="107" t="s">
        <v>23</v>
      </c>
      <c r="E125" s="105">
        <v>1</v>
      </c>
      <c r="F125" s="108">
        <v>99.3</v>
      </c>
      <c r="G125" s="108">
        <v>175</v>
      </c>
      <c r="H125" s="109">
        <v>175</v>
      </c>
      <c r="I125" s="109"/>
      <c r="J125" s="110">
        <v>0</v>
      </c>
      <c r="K125" s="111">
        <f t="shared" si="7"/>
        <v>175</v>
      </c>
      <c r="L125" s="112">
        <f t="shared" si="8"/>
        <v>99.3</v>
      </c>
      <c r="M125" s="113"/>
    </row>
    <row r="126" spans="1:13" s="114" customFormat="1" x14ac:dyDescent="0.2">
      <c r="A126" s="106">
        <v>46141</v>
      </c>
      <c r="B126" s="105" t="s">
        <v>1453</v>
      </c>
      <c r="C126" s="105" t="s">
        <v>1688</v>
      </c>
      <c r="D126" s="107" t="s">
        <v>26</v>
      </c>
      <c r="E126" s="105">
        <v>6</v>
      </c>
      <c r="F126" s="108">
        <v>167.8</v>
      </c>
      <c r="G126" s="108">
        <v>360</v>
      </c>
      <c r="H126" s="109">
        <v>2160</v>
      </c>
      <c r="I126" s="109"/>
      <c r="J126" s="110">
        <v>0</v>
      </c>
      <c r="K126" s="111">
        <f t="shared" si="7"/>
        <v>2160</v>
      </c>
      <c r="L126" s="112">
        <f t="shared" si="8"/>
        <v>1006.8000000000001</v>
      </c>
      <c r="M126" s="113"/>
    </row>
    <row r="127" spans="1:13" s="114" customFormat="1" x14ac:dyDescent="0.2">
      <c r="A127" s="106">
        <v>46142</v>
      </c>
      <c r="B127" s="105" t="s">
        <v>1538</v>
      </c>
      <c r="C127" s="105" t="s">
        <v>1690</v>
      </c>
      <c r="D127" s="107" t="s">
        <v>1255</v>
      </c>
      <c r="E127" s="105">
        <v>2</v>
      </c>
      <c r="F127" s="108">
        <v>15</v>
      </c>
      <c r="G127" s="108">
        <v>200</v>
      </c>
      <c r="H127" s="109"/>
      <c r="I127" s="109">
        <f t="shared" si="6"/>
        <v>400</v>
      </c>
      <c r="J127" s="110">
        <v>0</v>
      </c>
      <c r="K127" s="111">
        <f t="shared" si="7"/>
        <v>400</v>
      </c>
      <c r="L127" s="112">
        <f t="shared" si="8"/>
        <v>30</v>
      </c>
      <c r="M127" s="113"/>
    </row>
    <row r="128" spans="1:13" s="114" customFormat="1" x14ac:dyDescent="0.2">
      <c r="A128" s="106">
        <v>46142</v>
      </c>
      <c r="B128" s="105" t="s">
        <v>1538</v>
      </c>
      <c r="C128" s="105" t="s">
        <v>1691</v>
      </c>
      <c r="D128" s="107" t="s">
        <v>1255</v>
      </c>
      <c r="E128" s="105">
        <v>3</v>
      </c>
      <c r="F128" s="108">
        <v>15</v>
      </c>
      <c r="G128" s="108">
        <v>200</v>
      </c>
      <c r="H128" s="109"/>
      <c r="I128" s="109">
        <f t="shared" si="6"/>
        <v>600</v>
      </c>
      <c r="J128" s="110">
        <v>0</v>
      </c>
      <c r="K128" s="111">
        <f t="shared" si="7"/>
        <v>600</v>
      </c>
      <c r="L128" s="112">
        <f t="shared" si="8"/>
        <v>45</v>
      </c>
      <c r="M128" s="113"/>
    </row>
    <row r="129" spans="1:13" s="114" customFormat="1" x14ac:dyDescent="0.2">
      <c r="A129" s="106">
        <v>46142</v>
      </c>
      <c r="B129" s="105" t="s">
        <v>1538</v>
      </c>
      <c r="C129" s="105" t="s">
        <v>1692</v>
      </c>
      <c r="D129" s="107" t="s">
        <v>1255</v>
      </c>
      <c r="E129" s="105">
        <v>2</v>
      </c>
      <c r="F129" s="108">
        <v>15</v>
      </c>
      <c r="G129" s="108">
        <v>200</v>
      </c>
      <c r="H129" s="109"/>
      <c r="I129" s="109">
        <f t="shared" si="6"/>
        <v>400</v>
      </c>
      <c r="J129" s="110">
        <v>0</v>
      </c>
      <c r="K129" s="111">
        <f t="shared" si="7"/>
        <v>400</v>
      </c>
      <c r="L129" s="112">
        <f t="shared" si="8"/>
        <v>30</v>
      </c>
      <c r="M129" s="113"/>
    </row>
    <row r="130" spans="1:13" s="114" customFormat="1" x14ac:dyDescent="0.2">
      <c r="A130" s="106">
        <v>46142</v>
      </c>
      <c r="B130" s="105" t="s">
        <v>1538</v>
      </c>
      <c r="C130" s="105" t="s">
        <v>1693</v>
      </c>
      <c r="D130" s="107" t="s">
        <v>1255</v>
      </c>
      <c r="E130" s="105">
        <v>5</v>
      </c>
      <c r="F130" s="108">
        <v>15</v>
      </c>
      <c r="G130" s="108">
        <v>200</v>
      </c>
      <c r="H130" s="109"/>
      <c r="I130" s="109">
        <f t="shared" si="6"/>
        <v>1000</v>
      </c>
      <c r="J130" s="110">
        <v>0</v>
      </c>
      <c r="K130" s="111">
        <f t="shared" si="7"/>
        <v>1000</v>
      </c>
      <c r="L130" s="112">
        <f t="shared" si="8"/>
        <v>75</v>
      </c>
      <c r="M130" s="113"/>
    </row>
    <row r="131" spans="1:13" s="114" customFormat="1" x14ac:dyDescent="0.2">
      <c r="A131" s="106">
        <v>46142</v>
      </c>
      <c r="B131" s="105" t="s">
        <v>1538</v>
      </c>
      <c r="C131" s="105" t="s">
        <v>1694</v>
      </c>
      <c r="D131" s="107" t="s">
        <v>1255</v>
      </c>
      <c r="E131" s="105">
        <v>3</v>
      </c>
      <c r="F131" s="108">
        <v>15</v>
      </c>
      <c r="G131" s="108">
        <v>200</v>
      </c>
      <c r="H131" s="109"/>
      <c r="I131" s="109">
        <f t="shared" si="6"/>
        <v>600</v>
      </c>
      <c r="J131" s="110">
        <v>0</v>
      </c>
      <c r="K131" s="111">
        <f t="shared" si="7"/>
        <v>600</v>
      </c>
      <c r="L131" s="112">
        <f t="shared" si="8"/>
        <v>45</v>
      </c>
      <c r="M131" s="113"/>
    </row>
    <row r="132" spans="1:13" s="114" customFormat="1" x14ac:dyDescent="0.2">
      <c r="A132" s="106">
        <v>46142</v>
      </c>
      <c r="B132" s="105" t="s">
        <v>1538</v>
      </c>
      <c r="C132" s="105" t="s">
        <v>1695</v>
      </c>
      <c r="D132" s="107" t="s">
        <v>1255</v>
      </c>
      <c r="E132" s="105">
        <v>9</v>
      </c>
      <c r="F132" s="108">
        <v>15</v>
      </c>
      <c r="G132" s="108">
        <v>200</v>
      </c>
      <c r="H132" s="109"/>
      <c r="I132" s="109">
        <f t="shared" si="6"/>
        <v>1800</v>
      </c>
      <c r="J132" s="110">
        <v>0</v>
      </c>
      <c r="K132" s="111">
        <f t="shared" si="7"/>
        <v>1800</v>
      </c>
      <c r="L132" s="112">
        <f t="shared" si="8"/>
        <v>135</v>
      </c>
      <c r="M132" s="113"/>
    </row>
    <row r="133" spans="1:13" s="114" customFormat="1" x14ac:dyDescent="0.2">
      <c r="A133" s="106">
        <v>46142</v>
      </c>
      <c r="B133" s="105" t="s">
        <v>1538</v>
      </c>
      <c r="C133" s="105" t="s">
        <v>1696</v>
      </c>
      <c r="D133" s="107" t="s">
        <v>1255</v>
      </c>
      <c r="E133" s="105">
        <v>4</v>
      </c>
      <c r="F133" s="108">
        <v>15</v>
      </c>
      <c r="G133" s="108">
        <v>200</v>
      </c>
      <c r="H133" s="109"/>
      <c r="I133" s="109">
        <f t="shared" si="6"/>
        <v>800</v>
      </c>
      <c r="J133" s="110">
        <v>0</v>
      </c>
      <c r="K133" s="111">
        <f t="shared" si="7"/>
        <v>800</v>
      </c>
      <c r="L133" s="112">
        <f t="shared" si="8"/>
        <v>60</v>
      </c>
      <c r="M133" s="113"/>
    </row>
    <row r="134" spans="1:13" s="114" customFormat="1" x14ac:dyDescent="0.2">
      <c r="A134" s="106">
        <v>46142</v>
      </c>
      <c r="B134" s="105" t="s">
        <v>1538</v>
      </c>
      <c r="C134" s="105" t="s">
        <v>1697</v>
      </c>
      <c r="D134" s="107" t="s">
        <v>1255</v>
      </c>
      <c r="E134" s="105">
        <v>2</v>
      </c>
      <c r="F134" s="108">
        <v>15</v>
      </c>
      <c r="G134" s="108">
        <v>200</v>
      </c>
      <c r="H134" s="109"/>
      <c r="I134" s="109">
        <f t="shared" si="6"/>
        <v>400</v>
      </c>
      <c r="J134" s="110">
        <v>0</v>
      </c>
      <c r="K134" s="111">
        <f t="shared" si="7"/>
        <v>400</v>
      </c>
      <c r="L134" s="112">
        <f t="shared" si="8"/>
        <v>30</v>
      </c>
      <c r="M134" s="113"/>
    </row>
    <row r="135" spans="1:13" s="114" customFormat="1" x14ac:dyDescent="0.2">
      <c r="A135" s="106">
        <v>46142</v>
      </c>
      <c r="B135" s="105" t="s">
        <v>1538</v>
      </c>
      <c r="C135" s="105" t="s">
        <v>1698</v>
      </c>
      <c r="D135" s="107" t="s">
        <v>1255</v>
      </c>
      <c r="E135" s="105">
        <v>5</v>
      </c>
      <c r="F135" s="108">
        <v>15</v>
      </c>
      <c r="G135" s="108">
        <v>200</v>
      </c>
      <c r="H135" s="109"/>
      <c r="I135" s="109">
        <f t="shared" si="6"/>
        <v>1000</v>
      </c>
      <c r="J135" s="110">
        <v>0</v>
      </c>
      <c r="K135" s="111">
        <f t="shared" si="7"/>
        <v>1000</v>
      </c>
      <c r="L135" s="112">
        <f t="shared" si="8"/>
        <v>75</v>
      </c>
      <c r="M135" s="113"/>
    </row>
    <row r="136" spans="1:13" s="114" customFormat="1" x14ac:dyDescent="0.2">
      <c r="A136" s="106">
        <v>46142</v>
      </c>
      <c r="B136" s="105" t="s">
        <v>1538</v>
      </c>
      <c r="C136" s="105" t="s">
        <v>1699</v>
      </c>
      <c r="D136" s="107" t="s">
        <v>1255</v>
      </c>
      <c r="E136" s="105">
        <v>4</v>
      </c>
      <c r="F136" s="108">
        <v>15</v>
      </c>
      <c r="G136" s="108">
        <v>200</v>
      </c>
      <c r="H136" s="109"/>
      <c r="I136" s="109">
        <f t="shared" si="6"/>
        <v>800</v>
      </c>
      <c r="J136" s="110">
        <v>0</v>
      </c>
      <c r="K136" s="111">
        <f t="shared" si="7"/>
        <v>800</v>
      </c>
      <c r="L136" s="112">
        <f t="shared" si="8"/>
        <v>60</v>
      </c>
      <c r="M136" s="113"/>
    </row>
    <row r="137" spans="1:13" s="114" customFormat="1" x14ac:dyDescent="0.2">
      <c r="A137" s="106">
        <v>46142</v>
      </c>
      <c r="B137" s="105" t="s">
        <v>1689</v>
      </c>
      <c r="C137" s="105" t="s">
        <v>1699</v>
      </c>
      <c r="D137" s="107" t="s">
        <v>1702</v>
      </c>
      <c r="E137" s="105">
        <v>1</v>
      </c>
      <c r="F137" s="108">
        <v>10</v>
      </c>
      <c r="G137" s="108">
        <v>200</v>
      </c>
      <c r="H137" s="109"/>
      <c r="I137" s="109">
        <f t="shared" si="6"/>
        <v>200</v>
      </c>
      <c r="J137" s="110">
        <v>0</v>
      </c>
      <c r="K137" s="111">
        <f t="shared" si="7"/>
        <v>200</v>
      </c>
      <c r="L137" s="112">
        <f t="shared" si="8"/>
        <v>10</v>
      </c>
      <c r="M137" s="113"/>
    </row>
    <row r="138" spans="1:13" s="114" customFormat="1" x14ac:dyDescent="0.2">
      <c r="A138" s="106">
        <v>46142</v>
      </c>
      <c r="B138" s="105" t="s">
        <v>1553</v>
      </c>
      <c r="C138" s="105" t="s">
        <v>1700</v>
      </c>
      <c r="D138" s="107" t="s">
        <v>1263</v>
      </c>
      <c r="E138" s="105">
        <v>1</v>
      </c>
      <c r="F138" s="108">
        <v>24</v>
      </c>
      <c r="G138" s="108">
        <v>31.25</v>
      </c>
      <c r="H138" s="109">
        <v>31.25</v>
      </c>
      <c r="I138" s="109"/>
      <c r="J138" s="110">
        <v>0</v>
      </c>
      <c r="K138" s="111">
        <f t="shared" si="7"/>
        <v>31.25</v>
      </c>
      <c r="L138" s="112">
        <f t="shared" si="8"/>
        <v>24</v>
      </c>
      <c r="M138" s="113"/>
    </row>
    <row r="139" spans="1:13" s="114" customFormat="1" x14ac:dyDescent="0.2">
      <c r="A139" s="122">
        <v>46142</v>
      </c>
      <c r="B139" s="123" t="s">
        <v>1472</v>
      </c>
      <c r="C139" s="123" t="s">
        <v>1701</v>
      </c>
      <c r="D139" s="124" t="s">
        <v>1398</v>
      </c>
      <c r="E139" s="123">
        <v>1</v>
      </c>
      <c r="F139" s="125">
        <v>147.69999999999999</v>
      </c>
      <c r="G139" s="125">
        <v>207</v>
      </c>
      <c r="H139" s="126"/>
      <c r="I139" s="126">
        <v>207</v>
      </c>
      <c r="J139" s="127">
        <v>0</v>
      </c>
      <c r="K139" s="128">
        <f t="shared" si="7"/>
        <v>207</v>
      </c>
      <c r="L139" s="129">
        <f t="shared" si="8"/>
        <v>147.69999999999999</v>
      </c>
      <c r="M139" s="130" t="s">
        <v>1706</v>
      </c>
    </row>
    <row r="140" spans="1:13" s="75" customFormat="1" ht="13.5" thickBot="1" x14ac:dyDescent="0.25">
      <c r="A140" s="260" t="s">
        <v>0</v>
      </c>
      <c r="B140" s="261"/>
      <c r="C140" s="261"/>
      <c r="D140" s="262"/>
      <c r="E140" s="74">
        <f t="shared" ref="E140:L140" si="9">SUM(E6:E139)</f>
        <v>2714</v>
      </c>
      <c r="F140" s="74">
        <f t="shared" si="9"/>
        <v>12564.709999999997</v>
      </c>
      <c r="G140" s="74">
        <f t="shared" si="9"/>
        <v>23054.75</v>
      </c>
      <c r="H140" s="74">
        <f>SUM(H6:H139)</f>
        <v>8539</v>
      </c>
      <c r="I140" s="74">
        <f t="shared" si="9"/>
        <v>161980</v>
      </c>
      <c r="J140" s="74">
        <f t="shared" si="9"/>
        <v>50.25</v>
      </c>
      <c r="K140" s="74">
        <f>SUM(K6:K139)</f>
        <v>170468.75</v>
      </c>
      <c r="L140" s="74">
        <f t="shared" si="9"/>
        <v>111260.3</v>
      </c>
      <c r="M140" s="61"/>
    </row>
    <row r="141" spans="1:13" x14ac:dyDescent="0.2">
      <c r="G141" s="79"/>
      <c r="H141" s="79"/>
      <c r="I141" s="79"/>
      <c r="J141" s="79" t="s">
        <v>1703</v>
      </c>
      <c r="K141" s="79"/>
      <c r="L141" s="61"/>
      <c r="M141" s="61"/>
    </row>
    <row r="142" spans="1:13" x14ac:dyDescent="0.2">
      <c r="D142" s="102"/>
      <c r="E142" s="80"/>
      <c r="F142" s="103"/>
      <c r="G142" s="79"/>
      <c r="H142" s="83"/>
      <c r="I142" s="83"/>
      <c r="J142" s="79" t="s">
        <v>16</v>
      </c>
      <c r="K142" s="79">
        <v>8488.75</v>
      </c>
      <c r="L142" s="72" t="s">
        <v>1705</v>
      </c>
    </row>
    <row r="143" spans="1:13" x14ac:dyDescent="0.2">
      <c r="D143" s="102"/>
      <c r="E143" s="80"/>
      <c r="F143" s="81"/>
      <c r="G143" s="79"/>
      <c r="H143" s="83"/>
      <c r="I143" s="79"/>
      <c r="J143" s="79" t="s">
        <v>1704</v>
      </c>
      <c r="K143" s="79">
        <v>161573</v>
      </c>
    </row>
    <row r="144" spans="1:13" x14ac:dyDescent="0.2">
      <c r="D144" s="102"/>
      <c r="E144" s="80"/>
      <c r="F144" s="81"/>
      <c r="G144" s="79"/>
      <c r="H144" s="83"/>
      <c r="I144" s="79"/>
      <c r="J144" s="79"/>
      <c r="K144" s="131">
        <v>207</v>
      </c>
      <c r="L144" s="121" t="s">
        <v>1706</v>
      </c>
    </row>
    <row r="145" spans="1:13" x14ac:dyDescent="0.2">
      <c r="D145" s="102"/>
      <c r="E145" s="80"/>
      <c r="F145" s="81"/>
      <c r="G145" s="79"/>
      <c r="H145" s="83"/>
      <c r="I145" s="79"/>
      <c r="J145" s="79"/>
      <c r="K145" s="131">
        <v>200</v>
      </c>
      <c r="L145" s="121" t="s">
        <v>1707</v>
      </c>
    </row>
    <row r="146" spans="1:13" x14ac:dyDescent="0.2">
      <c r="A146" s="84"/>
      <c r="C146" s="85"/>
      <c r="D146" s="86"/>
      <c r="E146" s="85"/>
      <c r="F146" s="85"/>
      <c r="G146" s="79"/>
      <c r="H146" s="79"/>
      <c r="I146" s="85"/>
      <c r="J146" s="85" t="s">
        <v>0</v>
      </c>
      <c r="K146" s="85">
        <f>SUM(K141:K145)</f>
        <v>170468.75</v>
      </c>
      <c r="L146" s="61"/>
      <c r="M146" s="75"/>
    </row>
    <row r="147" spans="1:13" x14ac:dyDescent="0.2">
      <c r="D147" s="102"/>
      <c r="E147" s="80"/>
      <c r="F147" s="103"/>
      <c r="G147" s="82"/>
      <c r="H147" s="83"/>
      <c r="I147" s="79"/>
      <c r="J147" s="79"/>
      <c r="K147" s="79">
        <f>K140-K146</f>
        <v>0</v>
      </c>
      <c r="L147" s="61"/>
    </row>
    <row r="148" spans="1:13" x14ac:dyDescent="0.2">
      <c r="D148" s="102"/>
      <c r="E148" s="80"/>
      <c r="F148" s="81"/>
      <c r="G148" s="81"/>
      <c r="H148" s="83"/>
      <c r="I148" s="79"/>
      <c r="J148" s="79"/>
      <c r="K148" s="79"/>
    </row>
    <row r="149" spans="1:13" x14ac:dyDescent="0.2">
      <c r="D149" s="102"/>
      <c r="E149" s="80"/>
      <c r="F149" s="103"/>
      <c r="G149" s="81"/>
      <c r="H149" s="83"/>
      <c r="I149" s="79"/>
      <c r="J149" s="79"/>
      <c r="K149" s="79"/>
    </row>
    <row r="150" spans="1:13" x14ac:dyDescent="0.2">
      <c r="D150" s="132"/>
      <c r="E150" s="80"/>
      <c r="F150" s="103"/>
      <c r="G150" s="82"/>
      <c r="H150" s="83"/>
      <c r="I150" s="79"/>
      <c r="J150" s="79"/>
      <c r="K150" s="79"/>
    </row>
    <row r="151" spans="1:13" x14ac:dyDescent="0.2">
      <c r="D151" s="102"/>
      <c r="E151" s="80"/>
      <c r="F151" s="103"/>
      <c r="G151" s="82"/>
      <c r="H151" s="83"/>
      <c r="I151" s="79"/>
      <c r="J151" s="79"/>
      <c r="K151" s="79"/>
    </row>
    <row r="152" spans="1:13" x14ac:dyDescent="0.2">
      <c r="D152" s="102"/>
      <c r="E152" s="80"/>
      <c r="F152" s="103"/>
      <c r="G152" s="82"/>
      <c r="H152" s="83"/>
      <c r="I152" s="79"/>
      <c r="J152" s="79"/>
      <c r="K152" s="79"/>
    </row>
    <row r="153" spans="1:13" x14ac:dyDescent="0.2">
      <c r="D153" s="102"/>
      <c r="E153" s="80"/>
      <c r="F153" s="81"/>
      <c r="G153" s="81"/>
      <c r="H153" s="83"/>
      <c r="I153" s="79"/>
      <c r="J153" s="79"/>
      <c r="K153" s="79"/>
    </row>
    <row r="154" spans="1:13" x14ac:dyDescent="0.2">
      <c r="D154" s="102"/>
      <c r="E154" s="80"/>
      <c r="F154" s="81"/>
      <c r="G154" s="81"/>
      <c r="H154" s="83"/>
      <c r="I154" s="79"/>
      <c r="J154" s="79"/>
      <c r="K154" s="79"/>
    </row>
    <row r="155" spans="1:13" x14ac:dyDescent="0.2">
      <c r="D155" s="102"/>
      <c r="E155" s="80"/>
      <c r="F155" s="103"/>
      <c r="G155" s="82"/>
      <c r="H155" s="83"/>
      <c r="I155" s="79"/>
      <c r="J155" s="79"/>
      <c r="K155" s="79"/>
    </row>
    <row r="156" spans="1:13" x14ac:dyDescent="0.2">
      <c r="D156" s="102"/>
      <c r="E156" s="80"/>
      <c r="F156" s="103"/>
      <c r="G156" s="82"/>
      <c r="H156" s="83"/>
      <c r="I156" s="79"/>
      <c r="J156" s="79"/>
      <c r="K156" s="79"/>
    </row>
  </sheetData>
  <autoFilter ref="A5:M156" xr:uid="{00000000-0009-0000-0000-000002000000}">
    <sortState xmlns:xlrd2="http://schemas.microsoft.com/office/spreadsheetml/2017/richdata2" ref="A6:M139">
      <sortCondition ref="A5:A225"/>
    </sortState>
  </autoFilter>
  <mergeCells count="1">
    <mergeCell ref="A140:D140"/>
  </mergeCells>
  <phoneticPr fontId="23" type="noConversion"/>
  <pageMargins left="0.25" right="0.25" top="0.75" bottom="0.75" header="0.3" footer="0.3"/>
  <pageSetup scale="5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AE89-63A8-441C-96D7-6DAE0F022A38}">
  <sheetPr>
    <tabColor rgb="FFFFFFCC"/>
  </sheetPr>
  <dimension ref="A1:M153"/>
  <sheetViews>
    <sheetView showGridLines="0" topLeftCell="C1" zoomScaleNormal="100" workbookViewId="0">
      <pane ySplit="5" topLeftCell="A119" activePane="bottomLeft" state="frozen"/>
      <selection activeCell="B10" sqref="B10"/>
      <selection pane="bottomLeft" activeCell="G124" sqref="G124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1764</v>
      </c>
      <c r="E3" s="58">
        <f>+E139</f>
        <v>5227</v>
      </c>
      <c r="H3" s="59">
        <f>H139</f>
        <v>871</v>
      </c>
      <c r="I3" s="59">
        <f>I139</f>
        <v>355627.5</v>
      </c>
      <c r="J3" s="59">
        <f>J139</f>
        <v>100.5</v>
      </c>
      <c r="K3" s="60">
        <f>K139</f>
        <v>356398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>
        <v>46150</v>
      </c>
      <c r="B6" s="117">
        <v>70088</v>
      </c>
      <c r="C6" s="117" t="s">
        <v>1708</v>
      </c>
      <c r="D6" s="118" t="s">
        <v>1399</v>
      </c>
      <c r="E6" s="117">
        <v>3</v>
      </c>
      <c r="F6" s="133">
        <v>3.1</v>
      </c>
      <c r="G6" s="133">
        <v>5</v>
      </c>
      <c r="H6" s="109">
        <f t="shared" ref="H6:H7" si="0">E6*G6</f>
        <v>15</v>
      </c>
      <c r="I6" s="109"/>
      <c r="J6" s="110"/>
      <c r="K6" s="110">
        <f>H6+I6-J6</f>
        <v>15</v>
      </c>
      <c r="L6" s="120">
        <f>E6*F6</f>
        <v>9.3000000000000007</v>
      </c>
      <c r="M6" s="113"/>
    </row>
    <row r="7" spans="1:13" s="114" customFormat="1" ht="14.25" customHeight="1" x14ac:dyDescent="0.2">
      <c r="A7" s="106">
        <v>46150</v>
      </c>
      <c r="B7" s="105">
        <v>70083</v>
      </c>
      <c r="C7" s="105" t="s">
        <v>1708</v>
      </c>
      <c r="D7" s="107" t="s">
        <v>1437</v>
      </c>
      <c r="E7" s="105">
        <v>2</v>
      </c>
      <c r="F7" s="134">
        <v>8</v>
      </c>
      <c r="G7" s="134">
        <v>12</v>
      </c>
      <c r="H7" s="109">
        <f t="shared" si="0"/>
        <v>24</v>
      </c>
      <c r="I7" s="109"/>
      <c r="J7" s="110"/>
      <c r="K7" s="110">
        <f t="shared" ref="K7:K70" si="1">H7+I7-J7</f>
        <v>24</v>
      </c>
      <c r="L7" s="120">
        <f>E7*F7</f>
        <v>16</v>
      </c>
      <c r="M7" s="113"/>
    </row>
    <row r="8" spans="1:13" s="114" customFormat="1" ht="14.25" customHeight="1" x14ac:dyDescent="0.2">
      <c r="A8" s="106">
        <v>46153</v>
      </c>
      <c r="B8" s="105">
        <v>70305</v>
      </c>
      <c r="C8" s="105" t="s">
        <v>1709</v>
      </c>
      <c r="D8" s="107" t="s">
        <v>1262</v>
      </c>
      <c r="E8" s="105">
        <v>2</v>
      </c>
      <c r="F8" s="108">
        <v>12</v>
      </c>
      <c r="G8" s="108">
        <v>15.75</v>
      </c>
      <c r="H8" s="109">
        <f t="shared" ref="H8:H45" si="2">E8*G8</f>
        <v>31.5</v>
      </c>
      <c r="I8" s="109"/>
      <c r="J8" s="110"/>
      <c r="K8" s="110">
        <f t="shared" si="1"/>
        <v>31.5</v>
      </c>
      <c r="L8" s="120">
        <f t="shared" ref="L8:L70" si="3">E8*F8</f>
        <v>24</v>
      </c>
      <c r="M8" s="113"/>
    </row>
    <row r="9" spans="1:13" s="114" customFormat="1" ht="14.25" customHeight="1" x14ac:dyDescent="0.2">
      <c r="A9" s="106">
        <v>46155</v>
      </c>
      <c r="B9" s="105">
        <v>70305</v>
      </c>
      <c r="C9" s="105" t="s">
        <v>1710</v>
      </c>
      <c r="D9" s="107" t="s">
        <v>1262</v>
      </c>
      <c r="E9" s="105">
        <v>2</v>
      </c>
      <c r="F9" s="134">
        <v>12</v>
      </c>
      <c r="G9" s="134">
        <v>15.75</v>
      </c>
      <c r="H9" s="109">
        <f t="shared" si="2"/>
        <v>31.5</v>
      </c>
      <c r="I9" s="109"/>
      <c r="J9" s="110"/>
      <c r="K9" s="110">
        <f t="shared" si="1"/>
        <v>31.5</v>
      </c>
      <c r="L9" s="120">
        <f t="shared" si="3"/>
        <v>24</v>
      </c>
      <c r="M9" s="113"/>
    </row>
    <row r="10" spans="1:13" s="114" customFormat="1" ht="14.25" customHeight="1" x14ac:dyDescent="0.2">
      <c r="A10" s="106">
        <v>46155</v>
      </c>
      <c r="B10" s="105">
        <v>70075</v>
      </c>
      <c r="C10" s="105" t="s">
        <v>1710</v>
      </c>
      <c r="D10" s="107" t="s">
        <v>1259</v>
      </c>
      <c r="E10" s="105">
        <v>1</v>
      </c>
      <c r="F10" s="134">
        <v>40</v>
      </c>
      <c r="G10" s="134">
        <v>52</v>
      </c>
      <c r="H10" s="109">
        <f t="shared" si="2"/>
        <v>52</v>
      </c>
      <c r="I10" s="109"/>
      <c r="J10" s="110"/>
      <c r="K10" s="110">
        <f t="shared" si="1"/>
        <v>52</v>
      </c>
      <c r="L10" s="120">
        <f t="shared" si="3"/>
        <v>40</v>
      </c>
      <c r="M10" s="113"/>
    </row>
    <row r="11" spans="1:13" s="114" customFormat="1" ht="14.25" customHeight="1" x14ac:dyDescent="0.2">
      <c r="A11" s="106">
        <v>46155</v>
      </c>
      <c r="B11" s="105">
        <v>70171</v>
      </c>
      <c r="C11" s="105" t="s">
        <v>1711</v>
      </c>
      <c r="D11" s="107" t="s">
        <v>1702</v>
      </c>
      <c r="E11" s="105">
        <v>1</v>
      </c>
      <c r="F11" s="134">
        <v>10</v>
      </c>
      <c r="G11" s="134">
        <v>200</v>
      </c>
      <c r="H11" s="109"/>
      <c r="I11" s="109">
        <f t="shared" ref="I11:I42" si="4">E11*G11</f>
        <v>200</v>
      </c>
      <c r="J11" s="110"/>
      <c r="K11" s="110">
        <f t="shared" si="1"/>
        <v>200</v>
      </c>
      <c r="L11" s="120">
        <f t="shared" si="3"/>
        <v>10</v>
      </c>
      <c r="M11" s="113"/>
    </row>
    <row r="12" spans="1:13" s="114" customFormat="1" ht="14.25" customHeight="1" x14ac:dyDescent="0.2">
      <c r="A12" s="106">
        <v>46155</v>
      </c>
      <c r="B12" s="105">
        <v>70171</v>
      </c>
      <c r="C12" s="105" t="s">
        <v>1712</v>
      </c>
      <c r="D12" s="107" t="s">
        <v>1702</v>
      </c>
      <c r="E12" s="105">
        <v>1</v>
      </c>
      <c r="F12" s="134">
        <v>10</v>
      </c>
      <c r="G12" s="134">
        <v>200</v>
      </c>
      <c r="H12" s="109"/>
      <c r="I12" s="109">
        <f t="shared" si="4"/>
        <v>200</v>
      </c>
      <c r="J12" s="110"/>
      <c r="K12" s="110">
        <f t="shared" si="1"/>
        <v>200</v>
      </c>
      <c r="L12" s="120">
        <f t="shared" si="3"/>
        <v>10</v>
      </c>
      <c r="M12" s="113"/>
    </row>
    <row r="13" spans="1:13" s="114" customFormat="1" ht="14.25" customHeight="1" x14ac:dyDescent="0.2">
      <c r="A13" s="106">
        <v>46155</v>
      </c>
      <c r="B13" s="105">
        <v>70171</v>
      </c>
      <c r="C13" s="105" t="s">
        <v>1713</v>
      </c>
      <c r="D13" s="107" t="s">
        <v>1702</v>
      </c>
      <c r="E13" s="105">
        <v>1</v>
      </c>
      <c r="F13" s="134">
        <v>10</v>
      </c>
      <c r="G13" s="134">
        <v>200</v>
      </c>
      <c r="H13" s="109"/>
      <c r="I13" s="109">
        <f t="shared" si="4"/>
        <v>200</v>
      </c>
      <c r="J13" s="110"/>
      <c r="K13" s="110">
        <f t="shared" si="1"/>
        <v>200</v>
      </c>
      <c r="L13" s="120">
        <f t="shared" si="3"/>
        <v>10</v>
      </c>
      <c r="M13" s="113"/>
    </row>
    <row r="14" spans="1:13" s="114" customFormat="1" ht="14.25" customHeight="1" x14ac:dyDescent="0.2">
      <c r="A14" s="106">
        <v>46155</v>
      </c>
      <c r="B14" s="105">
        <v>70171</v>
      </c>
      <c r="C14" s="105" t="s">
        <v>1714</v>
      </c>
      <c r="D14" s="107" t="s">
        <v>1702</v>
      </c>
      <c r="E14" s="105">
        <v>1</v>
      </c>
      <c r="F14" s="134">
        <v>10</v>
      </c>
      <c r="G14" s="134">
        <v>200</v>
      </c>
      <c r="H14" s="109"/>
      <c r="I14" s="109">
        <f t="shared" si="4"/>
        <v>200</v>
      </c>
      <c r="J14" s="110"/>
      <c r="K14" s="110">
        <f t="shared" si="1"/>
        <v>200</v>
      </c>
      <c r="L14" s="120">
        <f t="shared" si="3"/>
        <v>10</v>
      </c>
      <c r="M14" s="113"/>
    </row>
    <row r="15" spans="1:13" s="114" customFormat="1" ht="14.25" customHeight="1" x14ac:dyDescent="0.2">
      <c r="A15" s="106">
        <v>46155</v>
      </c>
      <c r="B15" s="105">
        <v>70171</v>
      </c>
      <c r="C15" s="105" t="s">
        <v>1715</v>
      </c>
      <c r="D15" s="107" t="s">
        <v>1702</v>
      </c>
      <c r="E15" s="105">
        <v>1</v>
      </c>
      <c r="F15" s="134">
        <v>10</v>
      </c>
      <c r="G15" s="134">
        <v>200</v>
      </c>
      <c r="H15" s="109"/>
      <c r="I15" s="109">
        <f t="shared" si="4"/>
        <v>200</v>
      </c>
      <c r="J15" s="110"/>
      <c r="K15" s="110">
        <f t="shared" si="1"/>
        <v>200</v>
      </c>
      <c r="L15" s="120">
        <f t="shared" si="3"/>
        <v>10</v>
      </c>
      <c r="M15" s="113"/>
    </row>
    <row r="16" spans="1:13" s="114" customFormat="1" ht="14.25" customHeight="1" x14ac:dyDescent="0.2">
      <c r="A16" s="106">
        <v>46155</v>
      </c>
      <c r="B16" s="105">
        <v>70171</v>
      </c>
      <c r="C16" s="105" t="s">
        <v>1716</v>
      </c>
      <c r="D16" s="107" t="s">
        <v>1702</v>
      </c>
      <c r="E16" s="105">
        <v>1</v>
      </c>
      <c r="F16" s="134">
        <v>10</v>
      </c>
      <c r="G16" s="134">
        <v>200</v>
      </c>
      <c r="H16" s="109"/>
      <c r="I16" s="109">
        <f t="shared" si="4"/>
        <v>200</v>
      </c>
      <c r="J16" s="110"/>
      <c r="K16" s="110">
        <f t="shared" si="1"/>
        <v>200</v>
      </c>
      <c r="L16" s="120">
        <f t="shared" si="3"/>
        <v>10</v>
      </c>
      <c r="M16" s="113"/>
    </row>
    <row r="17" spans="1:13" s="114" customFormat="1" ht="14.25" customHeight="1" x14ac:dyDescent="0.2">
      <c r="A17" s="106">
        <v>46157</v>
      </c>
      <c r="B17" s="105">
        <v>70171</v>
      </c>
      <c r="C17" s="105" t="s">
        <v>1717</v>
      </c>
      <c r="D17" s="107" t="s">
        <v>1702</v>
      </c>
      <c r="E17" s="105">
        <v>10</v>
      </c>
      <c r="F17" s="135">
        <v>10</v>
      </c>
      <c r="G17" s="135">
        <v>200</v>
      </c>
      <c r="H17" s="109"/>
      <c r="I17" s="109">
        <f t="shared" si="4"/>
        <v>2000</v>
      </c>
      <c r="J17" s="110"/>
      <c r="K17" s="110">
        <f t="shared" si="1"/>
        <v>2000</v>
      </c>
      <c r="L17" s="120">
        <f t="shared" si="3"/>
        <v>100</v>
      </c>
      <c r="M17" s="113"/>
    </row>
    <row r="18" spans="1:13" s="114" customFormat="1" ht="14.25" customHeight="1" x14ac:dyDescent="0.2">
      <c r="A18" s="106">
        <v>46157</v>
      </c>
      <c r="B18" s="105">
        <v>70317</v>
      </c>
      <c r="C18" s="105" t="s">
        <v>1718</v>
      </c>
      <c r="D18" s="107" t="s">
        <v>1723</v>
      </c>
      <c r="E18" s="105">
        <v>510</v>
      </c>
      <c r="F18" s="135">
        <v>220</v>
      </c>
      <c r="G18" s="135">
        <v>250</v>
      </c>
      <c r="H18" s="109"/>
      <c r="I18" s="109">
        <f t="shared" si="4"/>
        <v>127500</v>
      </c>
      <c r="J18" s="110"/>
      <c r="K18" s="110">
        <f t="shared" si="1"/>
        <v>127500</v>
      </c>
      <c r="L18" s="120">
        <f t="shared" si="3"/>
        <v>112200</v>
      </c>
      <c r="M18" s="113"/>
    </row>
    <row r="19" spans="1:13" s="114" customFormat="1" ht="14.25" customHeight="1" x14ac:dyDescent="0.2">
      <c r="A19" s="106">
        <v>46157</v>
      </c>
      <c r="B19" s="105">
        <v>70240</v>
      </c>
      <c r="C19" s="105" t="s">
        <v>1718</v>
      </c>
      <c r="D19" s="107" t="s">
        <v>1724</v>
      </c>
      <c r="E19" s="105">
        <v>40</v>
      </c>
      <c r="F19" s="135">
        <v>220</v>
      </c>
      <c r="G19" s="135">
        <v>270</v>
      </c>
      <c r="H19" s="109"/>
      <c r="I19" s="109">
        <f t="shared" si="4"/>
        <v>10800</v>
      </c>
      <c r="J19" s="110"/>
      <c r="K19" s="110">
        <f t="shared" si="1"/>
        <v>10800</v>
      </c>
      <c r="L19" s="120">
        <f t="shared" si="3"/>
        <v>8800</v>
      </c>
      <c r="M19" s="113"/>
    </row>
    <row r="20" spans="1:13" s="114" customFormat="1" ht="14.25" customHeight="1" x14ac:dyDescent="0.2">
      <c r="A20" s="106">
        <v>46157</v>
      </c>
      <c r="B20" s="105">
        <v>70173</v>
      </c>
      <c r="C20" s="105" t="s">
        <v>1719</v>
      </c>
      <c r="D20" s="107" t="s">
        <v>25</v>
      </c>
      <c r="E20" s="105">
        <v>2</v>
      </c>
      <c r="F20" s="135">
        <v>115.85</v>
      </c>
      <c r="G20" s="135">
        <v>280</v>
      </c>
      <c r="H20" s="109"/>
      <c r="I20" s="109">
        <f t="shared" si="4"/>
        <v>560</v>
      </c>
      <c r="J20" s="110"/>
      <c r="K20" s="110">
        <f t="shared" si="1"/>
        <v>560</v>
      </c>
      <c r="L20" s="120">
        <f t="shared" si="3"/>
        <v>231.7</v>
      </c>
      <c r="M20" s="113"/>
    </row>
    <row r="21" spans="1:13" s="114" customFormat="1" ht="14.25" customHeight="1" x14ac:dyDescent="0.2">
      <c r="A21" s="106">
        <v>46157</v>
      </c>
      <c r="B21" s="105">
        <v>70123</v>
      </c>
      <c r="C21" s="105" t="s">
        <v>1720</v>
      </c>
      <c r="D21" s="107" t="s">
        <v>21</v>
      </c>
      <c r="E21" s="105">
        <v>3</v>
      </c>
      <c r="F21" s="135">
        <v>148.9</v>
      </c>
      <c r="G21" s="135">
        <v>237</v>
      </c>
      <c r="H21" s="109"/>
      <c r="I21" s="109">
        <f t="shared" si="4"/>
        <v>711</v>
      </c>
      <c r="J21" s="110"/>
      <c r="K21" s="110">
        <f t="shared" si="1"/>
        <v>711</v>
      </c>
      <c r="L21" s="120">
        <f t="shared" si="3"/>
        <v>446.70000000000005</v>
      </c>
      <c r="M21" s="113"/>
    </row>
    <row r="22" spans="1:13" s="114" customFormat="1" ht="14.25" customHeight="1" x14ac:dyDescent="0.2">
      <c r="A22" s="106">
        <v>46157</v>
      </c>
      <c r="B22" s="105">
        <v>70124</v>
      </c>
      <c r="C22" s="105" t="s">
        <v>1720</v>
      </c>
      <c r="D22" s="107" t="s">
        <v>22</v>
      </c>
      <c r="E22" s="105">
        <v>3</v>
      </c>
      <c r="F22" s="135">
        <v>126</v>
      </c>
      <c r="G22" s="135">
        <v>201</v>
      </c>
      <c r="H22" s="109"/>
      <c r="I22" s="109">
        <f t="shared" si="4"/>
        <v>603</v>
      </c>
      <c r="J22" s="110"/>
      <c r="K22" s="110">
        <f t="shared" si="1"/>
        <v>603</v>
      </c>
      <c r="L22" s="120">
        <f t="shared" si="3"/>
        <v>378</v>
      </c>
      <c r="M22" s="113"/>
    </row>
    <row r="23" spans="1:13" s="114" customFormat="1" ht="14.25" customHeight="1" x14ac:dyDescent="0.2">
      <c r="A23" s="106">
        <v>46157</v>
      </c>
      <c r="B23" s="105">
        <v>70175</v>
      </c>
      <c r="C23" s="105" t="s">
        <v>1721</v>
      </c>
      <c r="D23" s="107" t="s">
        <v>1344</v>
      </c>
      <c r="E23" s="105">
        <v>3</v>
      </c>
      <c r="F23" s="135">
        <v>167.8</v>
      </c>
      <c r="G23" s="135">
        <v>460</v>
      </c>
      <c r="H23" s="109"/>
      <c r="I23" s="109">
        <f t="shared" si="4"/>
        <v>1380</v>
      </c>
      <c r="J23" s="110"/>
      <c r="K23" s="110">
        <f t="shared" si="1"/>
        <v>1380</v>
      </c>
      <c r="L23" s="120">
        <f t="shared" si="3"/>
        <v>503.40000000000003</v>
      </c>
      <c r="M23" s="113"/>
    </row>
    <row r="24" spans="1:13" s="114" customFormat="1" ht="14.25" customHeight="1" x14ac:dyDescent="0.2">
      <c r="A24" s="106">
        <v>46157</v>
      </c>
      <c r="B24" s="105">
        <v>70173</v>
      </c>
      <c r="C24" s="105" t="s">
        <v>1721</v>
      </c>
      <c r="D24" s="107" t="s">
        <v>25</v>
      </c>
      <c r="E24" s="105">
        <v>19</v>
      </c>
      <c r="F24" s="135">
        <v>115.85</v>
      </c>
      <c r="G24" s="135">
        <v>280</v>
      </c>
      <c r="H24" s="109"/>
      <c r="I24" s="109">
        <f t="shared" si="4"/>
        <v>5320</v>
      </c>
      <c r="J24" s="110"/>
      <c r="K24" s="110">
        <f t="shared" si="1"/>
        <v>5320</v>
      </c>
      <c r="L24" s="120">
        <f t="shared" si="3"/>
        <v>2201.15</v>
      </c>
      <c r="M24" s="113"/>
    </row>
    <row r="25" spans="1:13" s="114" customFormat="1" ht="14.25" customHeight="1" x14ac:dyDescent="0.2">
      <c r="A25" s="106">
        <v>46157</v>
      </c>
      <c r="B25" s="105">
        <v>70176</v>
      </c>
      <c r="C25" s="105" t="s">
        <v>1721</v>
      </c>
      <c r="D25" s="107" t="s">
        <v>26</v>
      </c>
      <c r="E25" s="105">
        <v>3</v>
      </c>
      <c r="F25" s="135">
        <v>167.8</v>
      </c>
      <c r="G25" s="135">
        <v>360</v>
      </c>
      <c r="H25" s="109"/>
      <c r="I25" s="109">
        <f t="shared" si="4"/>
        <v>1080</v>
      </c>
      <c r="J25" s="110"/>
      <c r="K25" s="110">
        <f t="shared" si="1"/>
        <v>1080</v>
      </c>
      <c r="L25" s="120">
        <f t="shared" si="3"/>
        <v>503.40000000000003</v>
      </c>
      <c r="M25" s="113"/>
    </row>
    <row r="26" spans="1:13" s="114" customFormat="1" ht="14.25" customHeight="1" x14ac:dyDescent="0.2">
      <c r="A26" s="106">
        <v>46157</v>
      </c>
      <c r="B26" s="105">
        <v>70173</v>
      </c>
      <c r="C26" s="105" t="s">
        <v>1722</v>
      </c>
      <c r="D26" s="107" t="s">
        <v>25</v>
      </c>
      <c r="E26" s="105">
        <v>6</v>
      </c>
      <c r="F26" s="135">
        <v>115.85</v>
      </c>
      <c r="G26" s="135">
        <v>280</v>
      </c>
      <c r="H26" s="109"/>
      <c r="I26" s="109">
        <f t="shared" si="4"/>
        <v>1680</v>
      </c>
      <c r="J26" s="110"/>
      <c r="K26" s="110">
        <f t="shared" si="1"/>
        <v>1680</v>
      </c>
      <c r="L26" s="120">
        <f t="shared" si="3"/>
        <v>695.09999999999991</v>
      </c>
      <c r="M26" s="113"/>
    </row>
    <row r="27" spans="1:13" s="114" customFormat="1" ht="14.25" customHeight="1" x14ac:dyDescent="0.2">
      <c r="A27" s="106">
        <v>46157</v>
      </c>
      <c r="B27" s="105">
        <v>70174</v>
      </c>
      <c r="C27" s="105" t="s">
        <v>1722</v>
      </c>
      <c r="D27" s="107" t="s">
        <v>1343</v>
      </c>
      <c r="E27" s="105">
        <v>2</v>
      </c>
      <c r="F27" s="135">
        <v>88</v>
      </c>
      <c r="G27" s="135">
        <v>280</v>
      </c>
      <c r="H27" s="109"/>
      <c r="I27" s="109">
        <f t="shared" si="4"/>
        <v>560</v>
      </c>
      <c r="J27" s="110"/>
      <c r="K27" s="110">
        <f t="shared" si="1"/>
        <v>560</v>
      </c>
      <c r="L27" s="120">
        <f t="shared" si="3"/>
        <v>176</v>
      </c>
      <c r="M27" s="113"/>
    </row>
    <row r="28" spans="1:13" s="114" customFormat="1" ht="14.25" customHeight="1" x14ac:dyDescent="0.2">
      <c r="A28" s="106">
        <v>46157</v>
      </c>
      <c r="B28" s="105">
        <v>70176</v>
      </c>
      <c r="C28" s="105" t="s">
        <v>1722</v>
      </c>
      <c r="D28" s="107" t="s">
        <v>26</v>
      </c>
      <c r="E28" s="105">
        <v>5</v>
      </c>
      <c r="F28" s="135">
        <v>167.8</v>
      </c>
      <c r="G28" s="135">
        <v>360</v>
      </c>
      <c r="H28" s="109"/>
      <c r="I28" s="109">
        <f t="shared" si="4"/>
        <v>1800</v>
      </c>
      <c r="J28" s="110"/>
      <c r="K28" s="110">
        <f t="shared" si="1"/>
        <v>1800</v>
      </c>
      <c r="L28" s="120">
        <f t="shared" si="3"/>
        <v>839</v>
      </c>
      <c r="M28" s="113"/>
    </row>
    <row r="29" spans="1:13" s="114" customFormat="1" ht="14.25" customHeight="1" x14ac:dyDescent="0.2">
      <c r="A29" s="106" t="s">
        <v>1725</v>
      </c>
      <c r="B29" s="105">
        <v>70295</v>
      </c>
      <c r="C29" s="105" t="s">
        <v>1726</v>
      </c>
      <c r="D29" s="107" t="s">
        <v>1254</v>
      </c>
      <c r="E29" s="105">
        <v>3</v>
      </c>
      <c r="F29" s="135">
        <v>75</v>
      </c>
      <c r="G29" s="135">
        <v>97.5</v>
      </c>
      <c r="H29" s="109"/>
      <c r="I29" s="109">
        <f t="shared" si="4"/>
        <v>292.5</v>
      </c>
      <c r="J29" s="110"/>
      <c r="K29" s="110">
        <f t="shared" si="1"/>
        <v>292.5</v>
      </c>
      <c r="L29" s="120">
        <f t="shared" si="3"/>
        <v>225</v>
      </c>
      <c r="M29" s="113"/>
    </row>
    <row r="30" spans="1:13" s="114" customFormat="1" ht="14.25" customHeight="1" x14ac:dyDescent="0.2">
      <c r="A30" s="106" t="s">
        <v>1725</v>
      </c>
      <c r="B30" s="105">
        <v>70314</v>
      </c>
      <c r="C30" s="105" t="s">
        <v>1726</v>
      </c>
      <c r="D30" s="107" t="s">
        <v>1511</v>
      </c>
      <c r="E30" s="105">
        <v>5</v>
      </c>
      <c r="F30" s="135">
        <v>6</v>
      </c>
      <c r="G30" s="135">
        <v>8</v>
      </c>
      <c r="H30" s="109"/>
      <c r="I30" s="109">
        <f t="shared" si="4"/>
        <v>40</v>
      </c>
      <c r="J30" s="110"/>
      <c r="K30" s="110">
        <f t="shared" si="1"/>
        <v>40</v>
      </c>
      <c r="L30" s="120">
        <f t="shared" si="3"/>
        <v>30</v>
      </c>
      <c r="M30" s="113"/>
    </row>
    <row r="31" spans="1:13" s="114" customFormat="1" ht="14.25" customHeight="1" x14ac:dyDescent="0.2">
      <c r="A31" s="106" t="s">
        <v>1725</v>
      </c>
      <c r="B31" s="105">
        <v>70124</v>
      </c>
      <c r="C31" s="105" t="s">
        <v>1727</v>
      </c>
      <c r="D31" s="107" t="s">
        <v>22</v>
      </c>
      <c r="E31" s="105">
        <v>15</v>
      </c>
      <c r="F31" s="135">
        <v>126</v>
      </c>
      <c r="G31" s="135">
        <v>201</v>
      </c>
      <c r="H31" s="109"/>
      <c r="I31" s="109">
        <f t="shared" si="4"/>
        <v>3015</v>
      </c>
      <c r="J31" s="110"/>
      <c r="K31" s="110">
        <f t="shared" si="1"/>
        <v>3015</v>
      </c>
      <c r="L31" s="120">
        <f t="shared" si="3"/>
        <v>1890</v>
      </c>
      <c r="M31" s="113"/>
    </row>
    <row r="32" spans="1:13" s="114" customFormat="1" ht="14.25" customHeight="1" x14ac:dyDescent="0.2">
      <c r="A32" s="106" t="s">
        <v>1725</v>
      </c>
      <c r="B32" s="105">
        <v>70123</v>
      </c>
      <c r="C32" s="105" t="s">
        <v>1727</v>
      </c>
      <c r="D32" s="107" t="s">
        <v>21</v>
      </c>
      <c r="E32" s="105">
        <v>10</v>
      </c>
      <c r="F32" s="135">
        <v>148.9</v>
      </c>
      <c r="G32" s="135">
        <v>237</v>
      </c>
      <c r="H32" s="109"/>
      <c r="I32" s="109">
        <f t="shared" si="4"/>
        <v>2370</v>
      </c>
      <c r="J32" s="110"/>
      <c r="K32" s="110">
        <f t="shared" si="1"/>
        <v>2370</v>
      </c>
      <c r="L32" s="120">
        <f t="shared" si="3"/>
        <v>1489</v>
      </c>
      <c r="M32" s="113"/>
    </row>
    <row r="33" spans="1:13" s="114" customFormat="1" ht="14.25" customHeight="1" x14ac:dyDescent="0.2">
      <c r="A33" s="106" t="s">
        <v>1728</v>
      </c>
      <c r="B33" s="105">
        <v>70173</v>
      </c>
      <c r="C33" s="105" t="s">
        <v>1729</v>
      </c>
      <c r="D33" s="107" t="s">
        <v>25</v>
      </c>
      <c r="E33" s="105">
        <v>5</v>
      </c>
      <c r="F33" s="135">
        <v>115.85</v>
      </c>
      <c r="G33" s="135">
        <v>280</v>
      </c>
      <c r="H33" s="109"/>
      <c r="I33" s="109">
        <f t="shared" si="4"/>
        <v>1400</v>
      </c>
      <c r="J33" s="110"/>
      <c r="K33" s="110">
        <f t="shared" si="1"/>
        <v>1400</v>
      </c>
      <c r="L33" s="120">
        <f t="shared" si="3"/>
        <v>579.25</v>
      </c>
      <c r="M33" s="113"/>
    </row>
    <row r="34" spans="1:13" s="114" customFormat="1" ht="14.25" customHeight="1" x14ac:dyDescent="0.2">
      <c r="A34" s="106" t="s">
        <v>1728</v>
      </c>
      <c r="B34" s="105">
        <v>70176</v>
      </c>
      <c r="C34" s="105" t="s">
        <v>1730</v>
      </c>
      <c r="D34" s="107" t="s">
        <v>26</v>
      </c>
      <c r="E34" s="105">
        <v>3</v>
      </c>
      <c r="F34" s="135">
        <v>167.8</v>
      </c>
      <c r="G34" s="135">
        <v>360</v>
      </c>
      <c r="H34" s="109"/>
      <c r="I34" s="109">
        <f t="shared" si="4"/>
        <v>1080</v>
      </c>
      <c r="J34" s="110"/>
      <c r="K34" s="110">
        <f t="shared" si="1"/>
        <v>1080</v>
      </c>
      <c r="L34" s="120">
        <f t="shared" si="3"/>
        <v>503.40000000000003</v>
      </c>
      <c r="M34" s="113"/>
    </row>
    <row r="35" spans="1:13" s="114" customFormat="1" ht="14.25" customHeight="1" x14ac:dyDescent="0.2">
      <c r="A35" s="106" t="s">
        <v>1728</v>
      </c>
      <c r="B35" s="105">
        <v>70173</v>
      </c>
      <c r="C35" s="105" t="s">
        <v>1730</v>
      </c>
      <c r="D35" s="107" t="s">
        <v>25</v>
      </c>
      <c r="E35" s="105">
        <v>3</v>
      </c>
      <c r="F35" s="135">
        <v>115.85</v>
      </c>
      <c r="G35" s="135">
        <v>280</v>
      </c>
      <c r="H35" s="109"/>
      <c r="I35" s="109">
        <f t="shared" si="4"/>
        <v>840</v>
      </c>
      <c r="J35" s="110"/>
      <c r="K35" s="110">
        <f t="shared" si="1"/>
        <v>840</v>
      </c>
      <c r="L35" s="120">
        <f t="shared" si="3"/>
        <v>347.54999999999995</v>
      </c>
      <c r="M35" s="113"/>
    </row>
    <row r="36" spans="1:13" s="114" customFormat="1" ht="14.25" customHeight="1" x14ac:dyDescent="0.2">
      <c r="A36" s="106" t="s">
        <v>1728</v>
      </c>
      <c r="B36" s="105">
        <v>70174</v>
      </c>
      <c r="C36" s="105" t="s">
        <v>1730</v>
      </c>
      <c r="D36" s="107" t="s">
        <v>1343</v>
      </c>
      <c r="E36" s="105">
        <v>3</v>
      </c>
      <c r="F36" s="135">
        <v>88</v>
      </c>
      <c r="G36" s="135">
        <v>280</v>
      </c>
      <c r="H36" s="109"/>
      <c r="I36" s="109">
        <f t="shared" si="4"/>
        <v>840</v>
      </c>
      <c r="J36" s="110"/>
      <c r="K36" s="110">
        <f t="shared" si="1"/>
        <v>840</v>
      </c>
      <c r="L36" s="120">
        <f t="shared" si="3"/>
        <v>264</v>
      </c>
      <c r="M36" s="113"/>
    </row>
    <row r="37" spans="1:13" s="114" customFormat="1" ht="14.25" customHeight="1" x14ac:dyDescent="0.2">
      <c r="A37" s="106" t="s">
        <v>1728</v>
      </c>
      <c r="B37" s="105">
        <v>70274</v>
      </c>
      <c r="C37" s="105" t="s">
        <v>1731</v>
      </c>
      <c r="D37" s="107" t="s">
        <v>1733</v>
      </c>
      <c r="E37" s="105">
        <v>1</v>
      </c>
      <c r="F37" s="135">
        <v>50</v>
      </c>
      <c r="G37" s="135">
        <v>65</v>
      </c>
      <c r="H37" s="109">
        <f t="shared" si="2"/>
        <v>65</v>
      </c>
      <c r="I37" s="109"/>
      <c r="J37" s="110"/>
      <c r="K37" s="110">
        <f t="shared" si="1"/>
        <v>65</v>
      </c>
      <c r="L37" s="120">
        <f t="shared" si="3"/>
        <v>50</v>
      </c>
      <c r="M37" s="113"/>
    </row>
    <row r="38" spans="1:13" s="114" customFormat="1" ht="14.25" customHeight="1" x14ac:dyDescent="0.2">
      <c r="A38" s="106" t="s">
        <v>1728</v>
      </c>
      <c r="B38" s="105">
        <v>70305</v>
      </c>
      <c r="C38" s="105" t="s">
        <v>1732</v>
      </c>
      <c r="D38" s="107" t="s">
        <v>1262</v>
      </c>
      <c r="E38" s="105">
        <v>2</v>
      </c>
      <c r="F38" s="135">
        <v>12</v>
      </c>
      <c r="G38" s="135">
        <v>15.75</v>
      </c>
      <c r="H38" s="109">
        <f t="shared" si="2"/>
        <v>31.5</v>
      </c>
      <c r="I38" s="109"/>
      <c r="J38" s="110"/>
      <c r="K38" s="110">
        <f t="shared" si="1"/>
        <v>31.5</v>
      </c>
      <c r="L38" s="120">
        <f t="shared" si="3"/>
        <v>24</v>
      </c>
      <c r="M38" s="113"/>
    </row>
    <row r="39" spans="1:13" s="114" customFormat="1" ht="14.25" customHeight="1" x14ac:dyDescent="0.2">
      <c r="A39" s="106">
        <v>46162</v>
      </c>
      <c r="B39" s="105">
        <v>70136</v>
      </c>
      <c r="C39" s="105" t="s">
        <v>1734</v>
      </c>
      <c r="D39" s="107" t="s">
        <v>1736</v>
      </c>
      <c r="E39" s="105">
        <v>5</v>
      </c>
      <c r="F39" s="136">
        <v>8.75</v>
      </c>
      <c r="G39" s="136">
        <v>16</v>
      </c>
      <c r="H39" s="109">
        <f t="shared" si="2"/>
        <v>80</v>
      </c>
      <c r="I39" s="109"/>
      <c r="J39" s="110"/>
      <c r="K39" s="110">
        <f t="shared" si="1"/>
        <v>80</v>
      </c>
      <c r="L39" s="120">
        <f t="shared" si="3"/>
        <v>43.75</v>
      </c>
      <c r="M39" s="113"/>
    </row>
    <row r="40" spans="1:13" s="114" customFormat="1" ht="14.25" customHeight="1" x14ac:dyDescent="0.2">
      <c r="A40" s="106">
        <v>46162</v>
      </c>
      <c r="B40" s="105">
        <v>70075</v>
      </c>
      <c r="C40" s="105" t="s">
        <v>1734</v>
      </c>
      <c r="D40" s="107" t="s">
        <v>1259</v>
      </c>
      <c r="E40" s="105">
        <v>1</v>
      </c>
      <c r="F40" s="136">
        <v>40</v>
      </c>
      <c r="G40" s="136">
        <v>52</v>
      </c>
      <c r="H40" s="109">
        <f t="shared" si="2"/>
        <v>52</v>
      </c>
      <c r="I40" s="109"/>
      <c r="J40" s="110"/>
      <c r="K40" s="110">
        <f t="shared" si="1"/>
        <v>52</v>
      </c>
      <c r="L40" s="120">
        <f t="shared" si="3"/>
        <v>40</v>
      </c>
      <c r="M40" s="113"/>
    </row>
    <row r="41" spans="1:13" s="114" customFormat="1" ht="14.25" customHeight="1" x14ac:dyDescent="0.2">
      <c r="A41" s="106">
        <v>46162</v>
      </c>
      <c r="B41" s="105">
        <v>70206</v>
      </c>
      <c r="C41" s="105" t="s">
        <v>1735</v>
      </c>
      <c r="D41" s="107" t="s">
        <v>1577</v>
      </c>
      <c r="E41" s="105">
        <v>1</v>
      </c>
      <c r="F41" s="136">
        <v>120</v>
      </c>
      <c r="G41" s="136">
        <v>170</v>
      </c>
      <c r="H41" s="109">
        <v>170</v>
      </c>
      <c r="I41" s="109"/>
      <c r="J41" s="110"/>
      <c r="K41" s="110">
        <f t="shared" si="1"/>
        <v>170</v>
      </c>
      <c r="L41" s="120">
        <f t="shared" si="3"/>
        <v>120</v>
      </c>
      <c r="M41" s="113"/>
    </row>
    <row r="42" spans="1:13" s="114" customFormat="1" ht="14.25" customHeight="1" x14ac:dyDescent="0.2">
      <c r="A42" s="106">
        <v>46163</v>
      </c>
      <c r="B42" s="105">
        <v>70224</v>
      </c>
      <c r="C42" s="105" t="s">
        <v>1737</v>
      </c>
      <c r="D42" s="107" t="s">
        <v>1738</v>
      </c>
      <c r="E42" s="105">
        <v>13</v>
      </c>
      <c r="F42" s="108">
        <v>60</v>
      </c>
      <c r="G42" s="108">
        <v>100</v>
      </c>
      <c r="H42" s="109"/>
      <c r="I42" s="109">
        <f t="shared" si="4"/>
        <v>1300</v>
      </c>
      <c r="J42" s="110"/>
      <c r="K42" s="110">
        <f t="shared" si="1"/>
        <v>1300</v>
      </c>
      <c r="L42" s="120">
        <f t="shared" si="3"/>
        <v>780</v>
      </c>
      <c r="M42" s="113"/>
    </row>
    <row r="43" spans="1:13" s="114" customFormat="1" ht="14.25" customHeight="1" x14ac:dyDescent="0.2">
      <c r="A43" s="106">
        <v>46164</v>
      </c>
      <c r="B43" s="105">
        <v>70151</v>
      </c>
      <c r="C43" s="105" t="s">
        <v>1739</v>
      </c>
      <c r="D43" s="107" t="s">
        <v>1320</v>
      </c>
      <c r="E43" s="105">
        <v>1</v>
      </c>
      <c r="F43" s="108">
        <v>20</v>
      </c>
      <c r="G43" s="108">
        <v>30</v>
      </c>
      <c r="H43" s="109">
        <f t="shared" si="2"/>
        <v>30</v>
      </c>
      <c r="I43" s="109"/>
      <c r="J43" s="110"/>
      <c r="K43" s="110">
        <f t="shared" si="1"/>
        <v>30</v>
      </c>
      <c r="L43" s="120">
        <f t="shared" si="3"/>
        <v>20</v>
      </c>
      <c r="M43" s="113"/>
    </row>
    <row r="44" spans="1:13" s="114" customFormat="1" ht="14.25" customHeight="1" x14ac:dyDescent="0.2">
      <c r="A44" s="106">
        <v>46164</v>
      </c>
      <c r="B44" s="105">
        <v>70316</v>
      </c>
      <c r="C44" s="105" t="s">
        <v>1739</v>
      </c>
      <c r="D44" s="107" t="s">
        <v>1630</v>
      </c>
      <c r="E44" s="105">
        <v>1</v>
      </c>
      <c r="F44" s="108">
        <v>10</v>
      </c>
      <c r="G44" s="108">
        <v>13</v>
      </c>
      <c r="H44" s="109">
        <f t="shared" si="2"/>
        <v>13</v>
      </c>
      <c r="I44" s="109"/>
      <c r="J44" s="110"/>
      <c r="K44" s="110">
        <f t="shared" si="1"/>
        <v>13</v>
      </c>
      <c r="L44" s="120">
        <f t="shared" si="3"/>
        <v>10</v>
      </c>
      <c r="M44" s="113"/>
    </row>
    <row r="45" spans="1:13" s="114" customFormat="1" ht="14.25" customHeight="1" x14ac:dyDescent="0.2">
      <c r="A45" s="106">
        <v>46164</v>
      </c>
      <c r="B45" s="105">
        <v>70295</v>
      </c>
      <c r="C45" s="105" t="s">
        <v>1739</v>
      </c>
      <c r="D45" s="107" t="s">
        <v>1254</v>
      </c>
      <c r="E45" s="105">
        <v>1</v>
      </c>
      <c r="F45" s="108">
        <v>75</v>
      </c>
      <c r="G45" s="108">
        <v>97.5</v>
      </c>
      <c r="H45" s="109">
        <f t="shared" si="2"/>
        <v>97.5</v>
      </c>
      <c r="I45" s="109"/>
      <c r="J45" s="110"/>
      <c r="K45" s="110">
        <f t="shared" si="1"/>
        <v>97.5</v>
      </c>
      <c r="L45" s="120">
        <f t="shared" si="3"/>
        <v>75</v>
      </c>
      <c r="M45" s="113"/>
    </row>
    <row r="46" spans="1:13" s="114" customFormat="1" ht="14.25" customHeight="1" x14ac:dyDescent="0.2">
      <c r="A46" s="106" t="s">
        <v>1740</v>
      </c>
      <c r="B46" s="105" t="s">
        <v>1460</v>
      </c>
      <c r="C46" s="105" t="s">
        <v>1744</v>
      </c>
      <c r="D46" s="107" t="s">
        <v>24</v>
      </c>
      <c r="E46" s="105">
        <v>100</v>
      </c>
      <c r="F46" s="134">
        <v>2.7</v>
      </c>
      <c r="G46" s="134">
        <v>8</v>
      </c>
      <c r="H46" s="109"/>
      <c r="I46" s="109">
        <f t="shared" ref="I46:I109" si="5">E46*G46</f>
        <v>800</v>
      </c>
      <c r="J46" s="110"/>
      <c r="K46" s="110">
        <f t="shared" si="1"/>
        <v>800</v>
      </c>
      <c r="L46" s="120">
        <f t="shared" si="3"/>
        <v>270</v>
      </c>
      <c r="M46" s="113"/>
    </row>
    <row r="47" spans="1:13" s="114" customFormat="1" ht="14.25" customHeight="1" x14ac:dyDescent="0.2">
      <c r="A47" s="106" t="s">
        <v>1740</v>
      </c>
      <c r="B47" s="105" t="s">
        <v>1461</v>
      </c>
      <c r="C47" s="105" t="s">
        <v>1744</v>
      </c>
      <c r="D47" s="107" t="s">
        <v>1399</v>
      </c>
      <c r="E47" s="105">
        <v>100</v>
      </c>
      <c r="F47" s="134">
        <v>3.1</v>
      </c>
      <c r="G47" s="134">
        <v>5</v>
      </c>
      <c r="H47" s="109"/>
      <c r="I47" s="109">
        <f t="shared" si="5"/>
        <v>500</v>
      </c>
      <c r="J47" s="110"/>
      <c r="K47" s="110">
        <f t="shared" si="1"/>
        <v>500</v>
      </c>
      <c r="L47" s="120">
        <f t="shared" si="3"/>
        <v>310</v>
      </c>
      <c r="M47" s="113"/>
    </row>
    <row r="48" spans="1:13" s="114" customFormat="1" ht="14.25" customHeight="1" x14ac:dyDescent="0.2">
      <c r="A48" s="106" t="s">
        <v>1740</v>
      </c>
      <c r="B48" s="105" t="s">
        <v>1587</v>
      </c>
      <c r="C48" s="105" t="s">
        <v>1744</v>
      </c>
      <c r="D48" s="107" t="s">
        <v>1384</v>
      </c>
      <c r="E48" s="105">
        <v>100</v>
      </c>
      <c r="F48" s="134">
        <v>8</v>
      </c>
      <c r="G48" s="134">
        <v>12</v>
      </c>
      <c r="H48" s="109"/>
      <c r="I48" s="109">
        <f t="shared" si="5"/>
        <v>1200</v>
      </c>
      <c r="J48" s="110"/>
      <c r="K48" s="110">
        <f t="shared" si="1"/>
        <v>1200</v>
      </c>
      <c r="L48" s="120">
        <f t="shared" si="3"/>
        <v>800</v>
      </c>
      <c r="M48" s="113"/>
    </row>
    <row r="49" spans="1:13" s="114" customFormat="1" ht="14.25" customHeight="1" x14ac:dyDescent="0.2">
      <c r="A49" s="106" t="s">
        <v>1740</v>
      </c>
      <c r="B49" s="105" t="s">
        <v>1495</v>
      </c>
      <c r="C49" s="105" t="s">
        <v>1744</v>
      </c>
      <c r="D49" s="107" t="s">
        <v>1248</v>
      </c>
      <c r="E49" s="105">
        <v>500</v>
      </c>
      <c r="F49" s="134">
        <v>2</v>
      </c>
      <c r="G49" s="134">
        <v>5.25</v>
      </c>
      <c r="H49" s="109"/>
      <c r="I49" s="109">
        <f t="shared" si="5"/>
        <v>2625</v>
      </c>
      <c r="J49" s="110"/>
      <c r="K49" s="110">
        <f t="shared" si="1"/>
        <v>2625</v>
      </c>
      <c r="L49" s="120">
        <f t="shared" si="3"/>
        <v>1000</v>
      </c>
      <c r="M49" s="113"/>
    </row>
    <row r="50" spans="1:13" s="114" customFormat="1" ht="14.25" customHeight="1" x14ac:dyDescent="0.2">
      <c r="A50" s="106" t="s">
        <v>1740</v>
      </c>
      <c r="B50" s="105" t="s">
        <v>1458</v>
      </c>
      <c r="C50" s="105" t="s">
        <v>1744</v>
      </c>
      <c r="D50" s="107" t="s">
        <v>22</v>
      </c>
      <c r="E50" s="105">
        <v>10</v>
      </c>
      <c r="F50" s="134">
        <v>126</v>
      </c>
      <c r="G50" s="134">
        <v>201</v>
      </c>
      <c r="H50" s="109"/>
      <c r="I50" s="109">
        <f t="shared" si="5"/>
        <v>2010</v>
      </c>
      <c r="J50" s="110"/>
      <c r="K50" s="110">
        <f t="shared" si="1"/>
        <v>2010</v>
      </c>
      <c r="L50" s="120">
        <f t="shared" si="3"/>
        <v>1260</v>
      </c>
      <c r="M50" s="113"/>
    </row>
    <row r="51" spans="1:13" s="114" customFormat="1" ht="14.25" customHeight="1" x14ac:dyDescent="0.2">
      <c r="A51" s="106" t="s">
        <v>1740</v>
      </c>
      <c r="B51" s="105" t="s">
        <v>1456</v>
      </c>
      <c r="C51" s="105" t="s">
        <v>1744</v>
      </c>
      <c r="D51" s="107" t="s">
        <v>21</v>
      </c>
      <c r="E51" s="105">
        <v>10</v>
      </c>
      <c r="F51" s="134">
        <v>148.9</v>
      </c>
      <c r="G51" s="134">
        <v>237</v>
      </c>
      <c r="H51" s="109"/>
      <c r="I51" s="109">
        <f t="shared" si="5"/>
        <v>2370</v>
      </c>
      <c r="J51" s="110"/>
      <c r="K51" s="110">
        <f t="shared" si="1"/>
        <v>2370</v>
      </c>
      <c r="L51" s="120">
        <f t="shared" si="3"/>
        <v>1489</v>
      </c>
      <c r="M51" s="113"/>
    </row>
    <row r="52" spans="1:13" s="114" customFormat="1" ht="14.25" customHeight="1" x14ac:dyDescent="0.2">
      <c r="A52" s="106" t="s">
        <v>1740</v>
      </c>
      <c r="B52" s="105" t="s">
        <v>1459</v>
      </c>
      <c r="C52" s="105" t="s">
        <v>1744</v>
      </c>
      <c r="D52" s="107" t="s">
        <v>1259</v>
      </c>
      <c r="E52" s="105">
        <v>5</v>
      </c>
      <c r="F52" s="134">
        <v>40</v>
      </c>
      <c r="G52" s="134">
        <v>52</v>
      </c>
      <c r="H52" s="109"/>
      <c r="I52" s="109">
        <f t="shared" si="5"/>
        <v>260</v>
      </c>
      <c r="J52" s="110"/>
      <c r="K52" s="110">
        <f t="shared" si="1"/>
        <v>260</v>
      </c>
      <c r="L52" s="120">
        <f t="shared" si="3"/>
        <v>200</v>
      </c>
      <c r="M52" s="113"/>
    </row>
    <row r="53" spans="1:13" s="114" customFormat="1" ht="14.25" customHeight="1" x14ac:dyDescent="0.2">
      <c r="A53" s="106" t="s">
        <v>1740</v>
      </c>
      <c r="B53" s="105" t="s">
        <v>1495</v>
      </c>
      <c r="C53" s="105" t="s">
        <v>1745</v>
      </c>
      <c r="D53" s="107" t="s">
        <v>1248</v>
      </c>
      <c r="E53" s="105">
        <v>25</v>
      </c>
      <c r="F53" s="134">
        <v>2</v>
      </c>
      <c r="G53" s="134">
        <v>5.25</v>
      </c>
      <c r="H53" s="109"/>
      <c r="I53" s="109">
        <f t="shared" si="5"/>
        <v>131.25</v>
      </c>
      <c r="J53" s="110"/>
      <c r="K53" s="110">
        <f t="shared" si="1"/>
        <v>131.25</v>
      </c>
      <c r="L53" s="120">
        <f t="shared" si="3"/>
        <v>50</v>
      </c>
      <c r="M53" s="113"/>
    </row>
    <row r="54" spans="1:13" s="114" customFormat="1" ht="14.25" customHeight="1" x14ac:dyDescent="0.2">
      <c r="A54" s="106" t="s">
        <v>1740</v>
      </c>
      <c r="B54" s="105" t="s">
        <v>1639</v>
      </c>
      <c r="C54" s="105" t="s">
        <v>1745</v>
      </c>
      <c r="D54" s="107" t="s">
        <v>1641</v>
      </c>
      <c r="E54" s="105">
        <v>25</v>
      </c>
      <c r="F54" s="134">
        <v>3.5</v>
      </c>
      <c r="G54" s="134">
        <v>5</v>
      </c>
      <c r="H54" s="109"/>
      <c r="I54" s="109">
        <f t="shared" si="5"/>
        <v>125</v>
      </c>
      <c r="J54" s="110"/>
      <c r="K54" s="110">
        <f t="shared" si="1"/>
        <v>125</v>
      </c>
      <c r="L54" s="120">
        <f t="shared" si="3"/>
        <v>87.5</v>
      </c>
      <c r="M54" s="113"/>
    </row>
    <row r="55" spans="1:13" s="114" customFormat="1" ht="14.25" customHeight="1" x14ac:dyDescent="0.2">
      <c r="A55" s="106" t="s">
        <v>1740</v>
      </c>
      <c r="B55" s="105" t="s">
        <v>1456</v>
      </c>
      <c r="C55" s="105" t="s">
        <v>1745</v>
      </c>
      <c r="D55" s="107" t="s">
        <v>21</v>
      </c>
      <c r="E55" s="105">
        <v>10</v>
      </c>
      <c r="F55" s="134">
        <v>148.9</v>
      </c>
      <c r="G55" s="134">
        <v>237</v>
      </c>
      <c r="H55" s="109"/>
      <c r="I55" s="109">
        <f t="shared" si="5"/>
        <v>2370</v>
      </c>
      <c r="J55" s="110"/>
      <c r="K55" s="110">
        <f t="shared" si="1"/>
        <v>2370</v>
      </c>
      <c r="L55" s="120">
        <f t="shared" si="3"/>
        <v>1489</v>
      </c>
      <c r="M55" s="113"/>
    </row>
    <row r="56" spans="1:13" s="114" customFormat="1" ht="14.25" customHeight="1" x14ac:dyDescent="0.2">
      <c r="A56" s="106" t="s">
        <v>1740</v>
      </c>
      <c r="B56" s="105" t="s">
        <v>1458</v>
      </c>
      <c r="C56" s="105" t="s">
        <v>1745</v>
      </c>
      <c r="D56" s="107" t="s">
        <v>22</v>
      </c>
      <c r="E56" s="105">
        <v>10</v>
      </c>
      <c r="F56" s="134">
        <v>126</v>
      </c>
      <c r="G56" s="134">
        <v>201</v>
      </c>
      <c r="H56" s="109"/>
      <c r="I56" s="109">
        <f t="shared" si="5"/>
        <v>2010</v>
      </c>
      <c r="J56" s="110"/>
      <c r="K56" s="110">
        <f t="shared" si="1"/>
        <v>2010</v>
      </c>
      <c r="L56" s="120">
        <f t="shared" si="3"/>
        <v>1260</v>
      </c>
      <c r="M56" s="113"/>
    </row>
    <row r="57" spans="1:13" s="114" customFormat="1" ht="14.25" customHeight="1" x14ac:dyDescent="0.2">
      <c r="A57" s="106" t="s">
        <v>1740</v>
      </c>
      <c r="B57" s="105" t="s">
        <v>1534</v>
      </c>
      <c r="C57" s="105" t="s">
        <v>1745</v>
      </c>
      <c r="D57" s="107" t="s">
        <v>1250</v>
      </c>
      <c r="E57" s="105">
        <v>2</v>
      </c>
      <c r="F57" s="134">
        <v>55</v>
      </c>
      <c r="G57" s="134">
        <v>71.5</v>
      </c>
      <c r="H57" s="109"/>
      <c r="I57" s="109">
        <f t="shared" si="5"/>
        <v>143</v>
      </c>
      <c r="J57" s="110"/>
      <c r="K57" s="110">
        <f t="shared" si="1"/>
        <v>143</v>
      </c>
      <c r="L57" s="120">
        <f t="shared" si="3"/>
        <v>110</v>
      </c>
      <c r="M57" s="113"/>
    </row>
    <row r="58" spans="1:13" s="114" customFormat="1" ht="14.25" customHeight="1" x14ac:dyDescent="0.2">
      <c r="A58" s="106" t="s">
        <v>1740</v>
      </c>
      <c r="B58" s="105" t="s">
        <v>1551</v>
      </c>
      <c r="C58" s="105" t="s">
        <v>1745</v>
      </c>
      <c r="D58" s="107" t="s">
        <v>1552</v>
      </c>
      <c r="E58" s="105">
        <v>1</v>
      </c>
      <c r="F58" s="134">
        <v>100</v>
      </c>
      <c r="G58" s="134">
        <v>130</v>
      </c>
      <c r="H58" s="109"/>
      <c r="I58" s="109">
        <f t="shared" si="5"/>
        <v>130</v>
      </c>
      <c r="J58" s="110"/>
      <c r="K58" s="110">
        <f t="shared" si="1"/>
        <v>130</v>
      </c>
      <c r="L58" s="120">
        <f t="shared" si="3"/>
        <v>100</v>
      </c>
      <c r="M58" s="113"/>
    </row>
    <row r="59" spans="1:13" s="114" customFormat="1" ht="14.25" customHeight="1" x14ac:dyDescent="0.2">
      <c r="A59" s="106" t="s">
        <v>1740</v>
      </c>
      <c r="B59" s="105" t="s">
        <v>1506</v>
      </c>
      <c r="C59" s="105" t="s">
        <v>1745</v>
      </c>
      <c r="D59" s="107" t="s">
        <v>1261</v>
      </c>
      <c r="E59" s="105">
        <v>2</v>
      </c>
      <c r="F59" s="134">
        <v>115</v>
      </c>
      <c r="G59" s="134">
        <v>149.5</v>
      </c>
      <c r="H59" s="109"/>
      <c r="I59" s="109">
        <f t="shared" si="5"/>
        <v>299</v>
      </c>
      <c r="J59" s="110"/>
      <c r="K59" s="110">
        <f t="shared" si="1"/>
        <v>299</v>
      </c>
      <c r="L59" s="120">
        <f t="shared" si="3"/>
        <v>230</v>
      </c>
      <c r="M59" s="113"/>
    </row>
    <row r="60" spans="1:13" s="114" customFormat="1" ht="14.25" customHeight="1" x14ac:dyDescent="0.2">
      <c r="A60" s="106" t="s">
        <v>1740</v>
      </c>
      <c r="B60" s="105" t="s">
        <v>1741</v>
      </c>
      <c r="C60" s="105" t="s">
        <v>1745</v>
      </c>
      <c r="D60" s="107" t="s">
        <v>1385</v>
      </c>
      <c r="E60" s="105">
        <v>2</v>
      </c>
      <c r="F60" s="134">
        <v>55.5</v>
      </c>
      <c r="G60" s="134">
        <v>72</v>
      </c>
      <c r="H60" s="109"/>
      <c r="I60" s="109">
        <f t="shared" si="5"/>
        <v>144</v>
      </c>
      <c r="J60" s="110"/>
      <c r="K60" s="110">
        <f t="shared" si="1"/>
        <v>144</v>
      </c>
      <c r="L60" s="120">
        <f t="shared" si="3"/>
        <v>111</v>
      </c>
      <c r="M60" s="113"/>
    </row>
    <row r="61" spans="1:13" s="114" customFormat="1" ht="14.25" customHeight="1" x14ac:dyDescent="0.2">
      <c r="A61" s="106" t="s">
        <v>1740</v>
      </c>
      <c r="B61" s="105" t="s">
        <v>1553</v>
      </c>
      <c r="C61" s="105" t="s">
        <v>1745</v>
      </c>
      <c r="D61" s="107" t="s">
        <v>1263</v>
      </c>
      <c r="E61" s="105">
        <v>5</v>
      </c>
      <c r="F61" s="134">
        <v>24</v>
      </c>
      <c r="G61" s="134">
        <v>31.25</v>
      </c>
      <c r="H61" s="109"/>
      <c r="I61" s="109">
        <f t="shared" si="5"/>
        <v>156.25</v>
      </c>
      <c r="J61" s="110"/>
      <c r="K61" s="110">
        <f t="shared" si="1"/>
        <v>156.25</v>
      </c>
      <c r="L61" s="120">
        <f t="shared" si="3"/>
        <v>120</v>
      </c>
      <c r="M61" s="113"/>
    </row>
    <row r="62" spans="1:13" s="114" customFormat="1" ht="14.25" customHeight="1" x14ac:dyDescent="0.2">
      <c r="A62" s="106" t="s">
        <v>1740</v>
      </c>
      <c r="B62" s="105" t="s">
        <v>1460</v>
      </c>
      <c r="C62" s="105" t="s">
        <v>1745</v>
      </c>
      <c r="D62" s="107" t="s">
        <v>24</v>
      </c>
      <c r="E62" s="105">
        <v>100</v>
      </c>
      <c r="F62" s="134">
        <v>2.7</v>
      </c>
      <c r="G62" s="134">
        <v>8</v>
      </c>
      <c r="H62" s="109"/>
      <c r="I62" s="109">
        <f t="shared" si="5"/>
        <v>800</v>
      </c>
      <c r="J62" s="110"/>
      <c r="K62" s="110">
        <f t="shared" si="1"/>
        <v>800</v>
      </c>
      <c r="L62" s="120">
        <f t="shared" si="3"/>
        <v>270</v>
      </c>
      <c r="M62" s="113"/>
    </row>
    <row r="63" spans="1:13" s="114" customFormat="1" ht="14.25" customHeight="1" x14ac:dyDescent="0.2">
      <c r="A63" s="106" t="s">
        <v>1740</v>
      </c>
      <c r="B63" s="105" t="s">
        <v>1459</v>
      </c>
      <c r="C63" s="105" t="s">
        <v>1745</v>
      </c>
      <c r="D63" s="107" t="s">
        <v>1259</v>
      </c>
      <c r="E63" s="105">
        <v>10</v>
      </c>
      <c r="F63" s="134">
        <v>40</v>
      </c>
      <c r="G63" s="134">
        <v>52</v>
      </c>
      <c r="H63" s="109"/>
      <c r="I63" s="109">
        <f t="shared" si="5"/>
        <v>520</v>
      </c>
      <c r="J63" s="110"/>
      <c r="K63" s="110">
        <f t="shared" si="1"/>
        <v>520</v>
      </c>
      <c r="L63" s="120">
        <f t="shared" si="3"/>
        <v>400</v>
      </c>
      <c r="M63" s="113"/>
    </row>
    <row r="64" spans="1:13" s="114" customFormat="1" ht="14.25" customHeight="1" x14ac:dyDescent="0.2">
      <c r="A64" s="106" t="s">
        <v>1740</v>
      </c>
      <c r="B64" s="105" t="s">
        <v>1458</v>
      </c>
      <c r="C64" s="105" t="s">
        <v>1746</v>
      </c>
      <c r="D64" s="107" t="s">
        <v>22</v>
      </c>
      <c r="E64" s="105">
        <v>10</v>
      </c>
      <c r="F64" s="134">
        <v>126</v>
      </c>
      <c r="G64" s="134">
        <v>201</v>
      </c>
      <c r="H64" s="109"/>
      <c r="I64" s="109">
        <f t="shared" si="5"/>
        <v>2010</v>
      </c>
      <c r="J64" s="110"/>
      <c r="K64" s="110">
        <f t="shared" si="1"/>
        <v>2010</v>
      </c>
      <c r="L64" s="120">
        <f t="shared" si="3"/>
        <v>1260</v>
      </c>
      <c r="M64" s="113"/>
    </row>
    <row r="65" spans="1:13" s="114" customFormat="1" ht="14.25" customHeight="1" x14ac:dyDescent="0.2">
      <c r="A65" s="106" t="s">
        <v>1740</v>
      </c>
      <c r="B65" s="105" t="s">
        <v>1456</v>
      </c>
      <c r="C65" s="105" t="s">
        <v>1746</v>
      </c>
      <c r="D65" s="107" t="s">
        <v>21</v>
      </c>
      <c r="E65" s="105">
        <v>5</v>
      </c>
      <c r="F65" s="134">
        <v>148.9</v>
      </c>
      <c r="G65" s="134">
        <v>237</v>
      </c>
      <c r="H65" s="109"/>
      <c r="I65" s="109">
        <f t="shared" si="5"/>
        <v>1185</v>
      </c>
      <c r="J65" s="110"/>
      <c r="K65" s="110">
        <f t="shared" si="1"/>
        <v>1185</v>
      </c>
      <c r="L65" s="120">
        <f t="shared" si="3"/>
        <v>744.5</v>
      </c>
      <c r="M65" s="113"/>
    </row>
    <row r="66" spans="1:13" s="114" customFormat="1" ht="14.25" customHeight="1" x14ac:dyDescent="0.2">
      <c r="A66" s="106" t="s">
        <v>1740</v>
      </c>
      <c r="B66" s="105" t="s">
        <v>1489</v>
      </c>
      <c r="C66" s="105" t="s">
        <v>1746</v>
      </c>
      <c r="D66" s="107" t="s">
        <v>29</v>
      </c>
      <c r="E66" s="105">
        <v>24</v>
      </c>
      <c r="F66" s="134">
        <v>21.5</v>
      </c>
      <c r="G66" s="134">
        <v>28</v>
      </c>
      <c r="H66" s="109"/>
      <c r="I66" s="109">
        <f t="shared" si="5"/>
        <v>672</v>
      </c>
      <c r="J66" s="110"/>
      <c r="K66" s="110">
        <f t="shared" si="1"/>
        <v>672</v>
      </c>
      <c r="L66" s="120">
        <f t="shared" si="3"/>
        <v>516</v>
      </c>
      <c r="M66" s="113"/>
    </row>
    <row r="67" spans="1:13" s="114" customFormat="1" x14ac:dyDescent="0.2">
      <c r="A67" s="106" t="s">
        <v>1740</v>
      </c>
      <c r="B67" s="105" t="s">
        <v>1585</v>
      </c>
      <c r="C67" s="105" t="s">
        <v>1746</v>
      </c>
      <c r="D67" s="107" t="s">
        <v>1254</v>
      </c>
      <c r="E67" s="105">
        <v>10</v>
      </c>
      <c r="F67" s="134">
        <v>75</v>
      </c>
      <c r="G67" s="134">
        <v>97.5</v>
      </c>
      <c r="H67" s="109"/>
      <c r="I67" s="109">
        <f t="shared" si="5"/>
        <v>975</v>
      </c>
      <c r="J67" s="110"/>
      <c r="K67" s="110">
        <f t="shared" si="1"/>
        <v>975</v>
      </c>
      <c r="L67" s="120">
        <f t="shared" si="3"/>
        <v>750</v>
      </c>
      <c r="M67" s="113"/>
    </row>
    <row r="68" spans="1:13" s="114" customFormat="1" x14ac:dyDescent="0.2">
      <c r="A68" s="106" t="s">
        <v>1740</v>
      </c>
      <c r="B68" s="105" t="s">
        <v>1460</v>
      </c>
      <c r="C68" s="105" t="s">
        <v>1746</v>
      </c>
      <c r="D68" s="107" t="s">
        <v>24</v>
      </c>
      <c r="E68" s="105">
        <v>100</v>
      </c>
      <c r="F68" s="134">
        <v>2.7</v>
      </c>
      <c r="G68" s="134">
        <v>8</v>
      </c>
      <c r="H68" s="109"/>
      <c r="I68" s="109">
        <f t="shared" si="5"/>
        <v>800</v>
      </c>
      <c r="J68" s="110"/>
      <c r="K68" s="110">
        <f t="shared" si="1"/>
        <v>800</v>
      </c>
      <c r="L68" s="120">
        <f t="shared" si="3"/>
        <v>270</v>
      </c>
      <c r="M68" s="113"/>
    </row>
    <row r="69" spans="1:13" s="114" customFormat="1" x14ac:dyDescent="0.2">
      <c r="A69" s="106" t="s">
        <v>1740</v>
      </c>
      <c r="B69" s="105" t="s">
        <v>1518</v>
      </c>
      <c r="C69" s="105" t="s">
        <v>1746</v>
      </c>
      <c r="D69" s="107" t="s">
        <v>1262</v>
      </c>
      <c r="E69" s="105">
        <v>10</v>
      </c>
      <c r="F69" s="134">
        <v>12</v>
      </c>
      <c r="G69" s="134">
        <v>15.75</v>
      </c>
      <c r="H69" s="109"/>
      <c r="I69" s="109">
        <f t="shared" si="5"/>
        <v>157.5</v>
      </c>
      <c r="J69" s="110"/>
      <c r="K69" s="110">
        <f t="shared" si="1"/>
        <v>157.5</v>
      </c>
      <c r="L69" s="120">
        <f t="shared" si="3"/>
        <v>120</v>
      </c>
      <c r="M69" s="113"/>
    </row>
    <row r="70" spans="1:13" s="114" customFormat="1" x14ac:dyDescent="0.2">
      <c r="A70" s="106" t="s">
        <v>1740</v>
      </c>
      <c r="B70" s="105" t="s">
        <v>1459</v>
      </c>
      <c r="C70" s="105" t="s">
        <v>1746</v>
      </c>
      <c r="D70" s="107" t="s">
        <v>1259</v>
      </c>
      <c r="E70" s="105">
        <v>10</v>
      </c>
      <c r="F70" s="134">
        <v>40</v>
      </c>
      <c r="G70" s="134">
        <v>52</v>
      </c>
      <c r="H70" s="109"/>
      <c r="I70" s="109">
        <f t="shared" si="5"/>
        <v>520</v>
      </c>
      <c r="J70" s="110"/>
      <c r="K70" s="110">
        <f t="shared" si="1"/>
        <v>520</v>
      </c>
      <c r="L70" s="120">
        <f t="shared" si="3"/>
        <v>400</v>
      </c>
      <c r="M70" s="113"/>
    </row>
    <row r="71" spans="1:13" s="114" customFormat="1" x14ac:dyDescent="0.2">
      <c r="A71" s="106" t="s">
        <v>1740</v>
      </c>
      <c r="B71" s="105" t="s">
        <v>1584</v>
      </c>
      <c r="C71" s="105" t="s">
        <v>1746</v>
      </c>
      <c r="D71" s="107" t="s">
        <v>1436</v>
      </c>
      <c r="E71" s="105">
        <v>50</v>
      </c>
      <c r="F71" s="134">
        <v>8</v>
      </c>
      <c r="G71" s="134">
        <v>12</v>
      </c>
      <c r="H71" s="109"/>
      <c r="I71" s="109">
        <f t="shared" si="5"/>
        <v>600</v>
      </c>
      <c r="J71" s="110"/>
      <c r="K71" s="110">
        <f t="shared" ref="K71:K134" si="6">H71+I71-J71</f>
        <v>600</v>
      </c>
      <c r="L71" s="120">
        <f t="shared" ref="L71:L134" si="7">E71*F71</f>
        <v>400</v>
      </c>
      <c r="M71" s="113"/>
    </row>
    <row r="72" spans="1:13" s="114" customFormat="1" x14ac:dyDescent="0.2">
      <c r="A72" s="106" t="s">
        <v>1740</v>
      </c>
      <c r="B72" s="105" t="s">
        <v>1553</v>
      </c>
      <c r="C72" s="105" t="s">
        <v>1746</v>
      </c>
      <c r="D72" s="107" t="s">
        <v>1263</v>
      </c>
      <c r="E72" s="105">
        <v>10</v>
      </c>
      <c r="F72" s="134">
        <v>24</v>
      </c>
      <c r="G72" s="134">
        <v>31.25</v>
      </c>
      <c r="H72" s="109"/>
      <c r="I72" s="109">
        <f t="shared" si="5"/>
        <v>312.5</v>
      </c>
      <c r="J72" s="110"/>
      <c r="K72" s="110">
        <f t="shared" si="6"/>
        <v>312.5</v>
      </c>
      <c r="L72" s="120">
        <f t="shared" si="7"/>
        <v>240</v>
      </c>
      <c r="M72" s="113"/>
    </row>
    <row r="73" spans="1:13" s="114" customFormat="1" x14ac:dyDescent="0.2">
      <c r="A73" s="106" t="s">
        <v>1740</v>
      </c>
      <c r="B73" s="105" t="s">
        <v>1458</v>
      </c>
      <c r="C73" s="105" t="s">
        <v>1747</v>
      </c>
      <c r="D73" s="107" t="s">
        <v>22</v>
      </c>
      <c r="E73" s="105">
        <v>15</v>
      </c>
      <c r="F73" s="134">
        <v>126</v>
      </c>
      <c r="G73" s="134">
        <v>201</v>
      </c>
      <c r="H73" s="109"/>
      <c r="I73" s="109">
        <f t="shared" si="5"/>
        <v>3015</v>
      </c>
      <c r="J73" s="110"/>
      <c r="K73" s="110">
        <f t="shared" si="6"/>
        <v>3015</v>
      </c>
      <c r="L73" s="120">
        <f t="shared" si="7"/>
        <v>1890</v>
      </c>
      <c r="M73" s="113"/>
    </row>
    <row r="74" spans="1:13" s="114" customFormat="1" x14ac:dyDescent="0.2">
      <c r="A74" s="106" t="s">
        <v>1740</v>
      </c>
      <c r="B74" s="105" t="s">
        <v>1456</v>
      </c>
      <c r="C74" s="105" t="s">
        <v>1747</v>
      </c>
      <c r="D74" s="107" t="s">
        <v>21</v>
      </c>
      <c r="E74" s="105">
        <v>10</v>
      </c>
      <c r="F74" s="134">
        <v>148.9</v>
      </c>
      <c r="G74" s="134">
        <v>237</v>
      </c>
      <c r="H74" s="109"/>
      <c r="I74" s="109">
        <f t="shared" si="5"/>
        <v>2370</v>
      </c>
      <c r="J74" s="110"/>
      <c r="K74" s="110">
        <f t="shared" si="6"/>
        <v>2370</v>
      </c>
      <c r="L74" s="120">
        <f t="shared" si="7"/>
        <v>1489</v>
      </c>
      <c r="M74" s="113"/>
    </row>
    <row r="75" spans="1:13" s="114" customFormat="1" x14ac:dyDescent="0.2">
      <c r="A75" s="106" t="s">
        <v>1740</v>
      </c>
      <c r="B75" s="105" t="s">
        <v>1460</v>
      </c>
      <c r="C75" s="105" t="s">
        <v>1747</v>
      </c>
      <c r="D75" s="107" t="s">
        <v>24</v>
      </c>
      <c r="E75" s="105">
        <v>100</v>
      </c>
      <c r="F75" s="134">
        <v>2.7</v>
      </c>
      <c r="G75" s="134">
        <v>8</v>
      </c>
      <c r="H75" s="109"/>
      <c r="I75" s="109">
        <f t="shared" si="5"/>
        <v>800</v>
      </c>
      <c r="J75" s="110"/>
      <c r="K75" s="110">
        <f t="shared" si="6"/>
        <v>800</v>
      </c>
      <c r="L75" s="120">
        <f t="shared" si="7"/>
        <v>270</v>
      </c>
      <c r="M75" s="113"/>
    </row>
    <row r="76" spans="1:13" s="114" customFormat="1" x14ac:dyDescent="0.2">
      <c r="A76" s="106" t="s">
        <v>1740</v>
      </c>
      <c r="B76" s="105" t="s">
        <v>1495</v>
      </c>
      <c r="C76" s="105" t="s">
        <v>1747</v>
      </c>
      <c r="D76" s="107" t="s">
        <v>1248</v>
      </c>
      <c r="E76" s="105">
        <v>30</v>
      </c>
      <c r="F76" s="134">
        <v>2</v>
      </c>
      <c r="G76" s="134">
        <v>5.25</v>
      </c>
      <c r="H76" s="109"/>
      <c r="I76" s="109">
        <f t="shared" si="5"/>
        <v>157.5</v>
      </c>
      <c r="J76" s="110"/>
      <c r="K76" s="110">
        <f t="shared" si="6"/>
        <v>157.5</v>
      </c>
      <c r="L76" s="120">
        <f t="shared" si="7"/>
        <v>60</v>
      </c>
      <c r="M76" s="113"/>
    </row>
    <row r="77" spans="1:13" s="114" customFormat="1" x14ac:dyDescent="0.2">
      <c r="A77" s="106" t="s">
        <v>1740</v>
      </c>
      <c r="B77" s="105" t="s">
        <v>1639</v>
      </c>
      <c r="C77" s="105" t="s">
        <v>1747</v>
      </c>
      <c r="D77" s="107" t="s">
        <v>1641</v>
      </c>
      <c r="E77" s="105">
        <v>30</v>
      </c>
      <c r="F77" s="134">
        <v>3.5</v>
      </c>
      <c r="G77" s="134">
        <v>5</v>
      </c>
      <c r="H77" s="109"/>
      <c r="I77" s="109">
        <f t="shared" si="5"/>
        <v>150</v>
      </c>
      <c r="J77" s="110"/>
      <c r="K77" s="110">
        <f t="shared" si="6"/>
        <v>150</v>
      </c>
      <c r="L77" s="120">
        <f t="shared" si="7"/>
        <v>105</v>
      </c>
      <c r="M77" s="113"/>
    </row>
    <row r="78" spans="1:13" s="114" customFormat="1" x14ac:dyDescent="0.2">
      <c r="A78" s="106" t="s">
        <v>1740</v>
      </c>
      <c r="B78" s="105" t="s">
        <v>1551</v>
      </c>
      <c r="C78" s="105" t="s">
        <v>1747</v>
      </c>
      <c r="D78" s="107" t="s">
        <v>1552</v>
      </c>
      <c r="E78" s="105">
        <v>1</v>
      </c>
      <c r="F78" s="134">
        <v>100</v>
      </c>
      <c r="G78" s="134">
        <v>130</v>
      </c>
      <c r="H78" s="109"/>
      <c r="I78" s="109">
        <f t="shared" si="5"/>
        <v>130</v>
      </c>
      <c r="J78" s="110"/>
      <c r="K78" s="110">
        <f t="shared" si="6"/>
        <v>130</v>
      </c>
      <c r="L78" s="120">
        <f t="shared" si="7"/>
        <v>100</v>
      </c>
      <c r="M78" s="113"/>
    </row>
    <row r="79" spans="1:13" s="114" customFormat="1" x14ac:dyDescent="0.2">
      <c r="A79" s="106" t="s">
        <v>1740</v>
      </c>
      <c r="B79" s="105" t="s">
        <v>1742</v>
      </c>
      <c r="C79" s="105" t="s">
        <v>1747</v>
      </c>
      <c r="D79" s="107" t="s">
        <v>1761</v>
      </c>
      <c r="E79" s="105">
        <v>1</v>
      </c>
      <c r="F79" s="134">
        <v>275</v>
      </c>
      <c r="G79" s="134">
        <v>357.5</v>
      </c>
      <c r="H79" s="109"/>
      <c r="I79" s="109">
        <f t="shared" si="5"/>
        <v>357.5</v>
      </c>
      <c r="J79" s="110"/>
      <c r="K79" s="110">
        <f t="shared" si="6"/>
        <v>357.5</v>
      </c>
      <c r="L79" s="120">
        <f t="shared" si="7"/>
        <v>275</v>
      </c>
      <c r="M79" s="113"/>
    </row>
    <row r="80" spans="1:13" s="114" customFormat="1" x14ac:dyDescent="0.2">
      <c r="A80" s="106" t="s">
        <v>1740</v>
      </c>
      <c r="B80" s="105" t="s">
        <v>1489</v>
      </c>
      <c r="C80" s="105" t="s">
        <v>1747</v>
      </c>
      <c r="D80" s="107" t="s">
        <v>29</v>
      </c>
      <c r="E80" s="105">
        <v>24</v>
      </c>
      <c r="F80" s="134">
        <v>21.5</v>
      </c>
      <c r="G80" s="134">
        <v>28</v>
      </c>
      <c r="H80" s="109"/>
      <c r="I80" s="109">
        <f t="shared" si="5"/>
        <v>672</v>
      </c>
      <c r="J80" s="110"/>
      <c r="K80" s="110">
        <f t="shared" si="6"/>
        <v>672</v>
      </c>
      <c r="L80" s="120">
        <f t="shared" si="7"/>
        <v>516</v>
      </c>
      <c r="M80" s="113"/>
    </row>
    <row r="81" spans="1:13" s="114" customFormat="1" x14ac:dyDescent="0.2">
      <c r="A81" s="106" t="s">
        <v>1740</v>
      </c>
      <c r="B81" s="105" t="s">
        <v>1615</v>
      </c>
      <c r="C81" s="105" t="s">
        <v>1747</v>
      </c>
      <c r="D81" s="107" t="s">
        <v>1618</v>
      </c>
      <c r="E81" s="105">
        <v>36</v>
      </c>
      <c r="F81" s="134">
        <v>21.5</v>
      </c>
      <c r="G81" s="134">
        <v>26</v>
      </c>
      <c r="H81" s="109"/>
      <c r="I81" s="109">
        <f t="shared" si="5"/>
        <v>936</v>
      </c>
      <c r="J81" s="110"/>
      <c r="K81" s="110">
        <f t="shared" si="6"/>
        <v>936</v>
      </c>
      <c r="L81" s="120">
        <f t="shared" si="7"/>
        <v>774</v>
      </c>
      <c r="M81" s="113"/>
    </row>
    <row r="82" spans="1:13" s="114" customFormat="1" x14ac:dyDescent="0.2">
      <c r="A82" s="106" t="s">
        <v>1740</v>
      </c>
      <c r="B82" s="105" t="s">
        <v>1553</v>
      </c>
      <c r="C82" s="105" t="s">
        <v>1747</v>
      </c>
      <c r="D82" s="107" t="s">
        <v>1263</v>
      </c>
      <c r="E82" s="105">
        <v>10</v>
      </c>
      <c r="F82" s="134">
        <v>24</v>
      </c>
      <c r="G82" s="134">
        <v>31.25</v>
      </c>
      <c r="H82" s="109"/>
      <c r="I82" s="109">
        <f t="shared" si="5"/>
        <v>312.5</v>
      </c>
      <c r="J82" s="110"/>
      <c r="K82" s="110">
        <f t="shared" si="6"/>
        <v>312.5</v>
      </c>
      <c r="L82" s="120">
        <f t="shared" si="7"/>
        <v>240</v>
      </c>
      <c r="M82" s="113"/>
    </row>
    <row r="83" spans="1:13" s="114" customFormat="1" x14ac:dyDescent="0.2">
      <c r="A83" s="106" t="s">
        <v>1740</v>
      </c>
      <c r="B83" s="105" t="s">
        <v>1459</v>
      </c>
      <c r="C83" s="105" t="s">
        <v>1747</v>
      </c>
      <c r="D83" s="107" t="s">
        <v>1259</v>
      </c>
      <c r="E83" s="105">
        <v>5</v>
      </c>
      <c r="F83" s="134">
        <v>40</v>
      </c>
      <c r="G83" s="134">
        <v>52</v>
      </c>
      <c r="H83" s="109"/>
      <c r="I83" s="109">
        <f t="shared" si="5"/>
        <v>260</v>
      </c>
      <c r="J83" s="110"/>
      <c r="K83" s="110">
        <f t="shared" si="6"/>
        <v>260</v>
      </c>
      <c r="L83" s="120">
        <f t="shared" si="7"/>
        <v>200</v>
      </c>
      <c r="M83" s="113"/>
    </row>
    <row r="84" spans="1:13" s="114" customFormat="1" x14ac:dyDescent="0.2">
      <c r="A84" s="106" t="s">
        <v>1740</v>
      </c>
      <c r="B84" s="105" t="s">
        <v>1518</v>
      </c>
      <c r="C84" s="105" t="s">
        <v>1747</v>
      </c>
      <c r="D84" s="107" t="s">
        <v>1262</v>
      </c>
      <c r="E84" s="105">
        <v>10</v>
      </c>
      <c r="F84" s="134">
        <v>12</v>
      </c>
      <c r="G84" s="134">
        <v>15.75</v>
      </c>
      <c r="H84" s="109"/>
      <c r="I84" s="109">
        <f t="shared" si="5"/>
        <v>157.5</v>
      </c>
      <c r="J84" s="110"/>
      <c r="K84" s="110">
        <f t="shared" si="6"/>
        <v>157.5</v>
      </c>
      <c r="L84" s="120">
        <f t="shared" si="7"/>
        <v>120</v>
      </c>
      <c r="M84" s="113"/>
    </row>
    <row r="85" spans="1:13" s="114" customFormat="1" x14ac:dyDescent="0.2">
      <c r="A85" s="106" t="s">
        <v>1740</v>
      </c>
      <c r="B85" s="105" t="s">
        <v>1453</v>
      </c>
      <c r="C85" s="105" t="s">
        <v>1748</v>
      </c>
      <c r="D85" s="107" t="s">
        <v>26</v>
      </c>
      <c r="E85" s="105">
        <v>4</v>
      </c>
      <c r="F85" s="134">
        <v>167.8</v>
      </c>
      <c r="G85" s="134">
        <v>360</v>
      </c>
      <c r="H85" s="109"/>
      <c r="I85" s="109">
        <f t="shared" si="5"/>
        <v>1440</v>
      </c>
      <c r="J85" s="110"/>
      <c r="K85" s="110">
        <f t="shared" si="6"/>
        <v>1440</v>
      </c>
      <c r="L85" s="120">
        <f t="shared" si="7"/>
        <v>671.2</v>
      </c>
      <c r="M85" s="113"/>
    </row>
    <row r="86" spans="1:13" s="114" customFormat="1" x14ac:dyDescent="0.2">
      <c r="A86" s="106" t="s">
        <v>1740</v>
      </c>
      <c r="B86" s="105" t="s">
        <v>1503</v>
      </c>
      <c r="C86" s="105" t="s">
        <v>1749</v>
      </c>
      <c r="D86" s="107" t="s">
        <v>1344</v>
      </c>
      <c r="E86" s="105">
        <v>3</v>
      </c>
      <c r="F86" s="134">
        <v>167.8</v>
      </c>
      <c r="G86" s="134">
        <v>460</v>
      </c>
      <c r="H86" s="109"/>
      <c r="I86" s="109">
        <f t="shared" si="5"/>
        <v>1380</v>
      </c>
      <c r="J86" s="110"/>
      <c r="K86" s="110">
        <f t="shared" si="6"/>
        <v>1380</v>
      </c>
      <c r="L86" s="120">
        <f t="shared" si="7"/>
        <v>503.40000000000003</v>
      </c>
      <c r="M86" s="113"/>
    </row>
    <row r="87" spans="1:13" s="114" customFormat="1" x14ac:dyDescent="0.2">
      <c r="A87" s="106" t="s">
        <v>1740</v>
      </c>
      <c r="B87" s="105" t="s">
        <v>1456</v>
      </c>
      <c r="C87" s="105" t="s">
        <v>1750</v>
      </c>
      <c r="D87" s="107" t="s">
        <v>21</v>
      </c>
      <c r="E87" s="105">
        <v>10</v>
      </c>
      <c r="F87" s="134">
        <v>148.9</v>
      </c>
      <c r="G87" s="134">
        <v>237</v>
      </c>
      <c r="H87" s="109"/>
      <c r="I87" s="109">
        <f t="shared" si="5"/>
        <v>2370</v>
      </c>
      <c r="J87" s="110"/>
      <c r="K87" s="110">
        <f t="shared" si="6"/>
        <v>2370</v>
      </c>
      <c r="L87" s="120">
        <f t="shared" si="7"/>
        <v>1489</v>
      </c>
      <c r="M87" s="113"/>
    </row>
    <row r="88" spans="1:13" s="114" customFormat="1" x14ac:dyDescent="0.2">
      <c r="A88" s="106" t="s">
        <v>1740</v>
      </c>
      <c r="B88" s="105" t="s">
        <v>1458</v>
      </c>
      <c r="C88" s="105" t="s">
        <v>1750</v>
      </c>
      <c r="D88" s="107" t="s">
        <v>22</v>
      </c>
      <c r="E88" s="105">
        <v>10</v>
      </c>
      <c r="F88" s="134">
        <v>126</v>
      </c>
      <c r="G88" s="134">
        <v>201</v>
      </c>
      <c r="H88" s="109"/>
      <c r="I88" s="109">
        <f t="shared" si="5"/>
        <v>2010</v>
      </c>
      <c r="J88" s="110"/>
      <c r="K88" s="110">
        <f t="shared" si="6"/>
        <v>2010</v>
      </c>
      <c r="L88" s="120">
        <f t="shared" si="7"/>
        <v>1260</v>
      </c>
      <c r="M88" s="113"/>
    </row>
    <row r="89" spans="1:13" s="114" customFormat="1" x14ac:dyDescent="0.2">
      <c r="A89" s="106" t="s">
        <v>1740</v>
      </c>
      <c r="B89" s="105" t="s">
        <v>1453</v>
      </c>
      <c r="C89" s="105" t="s">
        <v>1751</v>
      </c>
      <c r="D89" s="107" t="s">
        <v>26</v>
      </c>
      <c r="E89" s="105">
        <v>3</v>
      </c>
      <c r="F89" s="134">
        <v>167.8</v>
      </c>
      <c r="G89" s="134">
        <v>360</v>
      </c>
      <c r="H89" s="109"/>
      <c r="I89" s="109">
        <f t="shared" si="5"/>
        <v>1080</v>
      </c>
      <c r="J89" s="110"/>
      <c r="K89" s="110">
        <f t="shared" si="6"/>
        <v>1080</v>
      </c>
      <c r="L89" s="120">
        <f t="shared" si="7"/>
        <v>503.40000000000003</v>
      </c>
      <c r="M89" s="113"/>
    </row>
    <row r="90" spans="1:13" s="114" customFormat="1" x14ac:dyDescent="0.2">
      <c r="A90" s="106" t="s">
        <v>1740</v>
      </c>
      <c r="B90" s="105" t="s">
        <v>1453</v>
      </c>
      <c r="C90" s="105" t="s">
        <v>1752</v>
      </c>
      <c r="D90" s="107" t="s">
        <v>26</v>
      </c>
      <c r="E90" s="105">
        <v>2</v>
      </c>
      <c r="F90" s="134">
        <v>167.8</v>
      </c>
      <c r="G90" s="134">
        <v>360</v>
      </c>
      <c r="H90" s="109"/>
      <c r="I90" s="109">
        <f t="shared" si="5"/>
        <v>720</v>
      </c>
      <c r="J90" s="110"/>
      <c r="K90" s="110">
        <f t="shared" si="6"/>
        <v>720</v>
      </c>
      <c r="L90" s="120">
        <f t="shared" si="7"/>
        <v>335.6</v>
      </c>
      <c r="M90" s="113"/>
    </row>
    <row r="91" spans="1:13" s="114" customFormat="1" x14ac:dyDescent="0.2">
      <c r="A91" s="106" t="s">
        <v>1740</v>
      </c>
      <c r="B91" s="105" t="s">
        <v>1503</v>
      </c>
      <c r="C91" s="105" t="s">
        <v>1752</v>
      </c>
      <c r="D91" s="107" t="s">
        <v>1344</v>
      </c>
      <c r="E91" s="105">
        <v>1</v>
      </c>
      <c r="F91" s="134">
        <v>167.8</v>
      </c>
      <c r="G91" s="134">
        <v>460</v>
      </c>
      <c r="H91" s="109"/>
      <c r="I91" s="109">
        <f t="shared" si="5"/>
        <v>460</v>
      </c>
      <c r="J91" s="110"/>
      <c r="K91" s="110">
        <f t="shared" si="6"/>
        <v>460</v>
      </c>
      <c r="L91" s="120">
        <f t="shared" si="7"/>
        <v>167.8</v>
      </c>
      <c r="M91" s="113"/>
    </row>
    <row r="92" spans="1:13" s="114" customFormat="1" x14ac:dyDescent="0.2">
      <c r="A92" s="106" t="s">
        <v>1740</v>
      </c>
      <c r="B92" s="105" t="s">
        <v>1458</v>
      </c>
      <c r="C92" s="105" t="s">
        <v>1753</v>
      </c>
      <c r="D92" s="107" t="s">
        <v>22</v>
      </c>
      <c r="E92" s="105">
        <v>10</v>
      </c>
      <c r="F92" s="134">
        <v>126</v>
      </c>
      <c r="G92" s="134">
        <v>201</v>
      </c>
      <c r="H92" s="109"/>
      <c r="I92" s="109">
        <f t="shared" si="5"/>
        <v>2010</v>
      </c>
      <c r="J92" s="110"/>
      <c r="K92" s="110">
        <f t="shared" si="6"/>
        <v>2010</v>
      </c>
      <c r="L92" s="120">
        <f t="shared" si="7"/>
        <v>1260</v>
      </c>
      <c r="M92" s="113"/>
    </row>
    <row r="93" spans="1:13" s="114" customFormat="1" x14ac:dyDescent="0.2">
      <c r="A93" s="106" t="s">
        <v>1740</v>
      </c>
      <c r="B93" s="105" t="s">
        <v>1456</v>
      </c>
      <c r="C93" s="105" t="s">
        <v>1753</v>
      </c>
      <c r="D93" s="107" t="s">
        <v>21</v>
      </c>
      <c r="E93" s="105">
        <v>10</v>
      </c>
      <c r="F93" s="134">
        <v>148.9</v>
      </c>
      <c r="G93" s="134">
        <v>237</v>
      </c>
      <c r="H93" s="109"/>
      <c r="I93" s="109">
        <f t="shared" si="5"/>
        <v>2370</v>
      </c>
      <c r="J93" s="110"/>
      <c r="K93" s="110">
        <f t="shared" si="6"/>
        <v>2370</v>
      </c>
      <c r="L93" s="120">
        <f t="shared" si="7"/>
        <v>1489</v>
      </c>
      <c r="M93" s="113"/>
    </row>
    <row r="94" spans="1:13" s="114" customFormat="1" x14ac:dyDescent="0.2">
      <c r="A94" s="106" t="s">
        <v>1740</v>
      </c>
      <c r="B94" s="105" t="s">
        <v>1460</v>
      </c>
      <c r="C94" s="105" t="s">
        <v>1753</v>
      </c>
      <c r="D94" s="107" t="s">
        <v>24</v>
      </c>
      <c r="E94" s="105">
        <v>100</v>
      </c>
      <c r="F94" s="134">
        <v>2.7</v>
      </c>
      <c r="G94" s="134">
        <v>8</v>
      </c>
      <c r="H94" s="109"/>
      <c r="I94" s="109">
        <f t="shared" si="5"/>
        <v>800</v>
      </c>
      <c r="J94" s="110"/>
      <c r="K94" s="110">
        <f t="shared" si="6"/>
        <v>800</v>
      </c>
      <c r="L94" s="120">
        <f t="shared" si="7"/>
        <v>270</v>
      </c>
      <c r="M94" s="113"/>
    </row>
    <row r="95" spans="1:13" s="114" customFormat="1" x14ac:dyDescent="0.2">
      <c r="A95" s="106" t="s">
        <v>1740</v>
      </c>
      <c r="B95" s="105" t="s">
        <v>1462</v>
      </c>
      <c r="C95" s="105" t="s">
        <v>1753</v>
      </c>
      <c r="D95" s="107" t="s">
        <v>27</v>
      </c>
      <c r="E95" s="105">
        <v>50</v>
      </c>
      <c r="F95" s="134">
        <v>8</v>
      </c>
      <c r="G95" s="134">
        <v>10</v>
      </c>
      <c r="H95" s="109"/>
      <c r="I95" s="109">
        <f t="shared" si="5"/>
        <v>500</v>
      </c>
      <c r="J95" s="110"/>
      <c r="K95" s="110">
        <f t="shared" si="6"/>
        <v>500</v>
      </c>
      <c r="L95" s="120">
        <f t="shared" si="7"/>
        <v>400</v>
      </c>
      <c r="M95" s="113"/>
    </row>
    <row r="96" spans="1:13" s="114" customFormat="1" x14ac:dyDescent="0.2">
      <c r="A96" s="106" t="s">
        <v>1740</v>
      </c>
      <c r="B96" s="105" t="s">
        <v>1453</v>
      </c>
      <c r="C96" s="105" t="s">
        <v>1754</v>
      </c>
      <c r="D96" s="107" t="s">
        <v>26</v>
      </c>
      <c r="E96" s="105">
        <v>5</v>
      </c>
      <c r="F96" s="134">
        <v>167.8</v>
      </c>
      <c r="G96" s="134">
        <v>360</v>
      </c>
      <c r="H96" s="109"/>
      <c r="I96" s="109">
        <f t="shared" si="5"/>
        <v>1800</v>
      </c>
      <c r="J96" s="110"/>
      <c r="K96" s="110">
        <f t="shared" si="6"/>
        <v>1800</v>
      </c>
      <c r="L96" s="120">
        <f t="shared" si="7"/>
        <v>839</v>
      </c>
      <c r="M96" s="113"/>
    </row>
    <row r="97" spans="1:13" s="114" customFormat="1" x14ac:dyDescent="0.2">
      <c r="A97" s="106" t="s">
        <v>1740</v>
      </c>
      <c r="B97" s="105" t="s">
        <v>1458</v>
      </c>
      <c r="C97" s="105" t="s">
        <v>1755</v>
      </c>
      <c r="D97" s="107" t="s">
        <v>22</v>
      </c>
      <c r="E97" s="105">
        <v>10</v>
      </c>
      <c r="F97" s="134">
        <v>126</v>
      </c>
      <c r="G97" s="134">
        <v>201</v>
      </c>
      <c r="H97" s="109"/>
      <c r="I97" s="109">
        <f t="shared" si="5"/>
        <v>2010</v>
      </c>
      <c r="J97" s="110"/>
      <c r="K97" s="110">
        <f t="shared" si="6"/>
        <v>2010</v>
      </c>
      <c r="L97" s="120">
        <f t="shared" si="7"/>
        <v>1260</v>
      </c>
      <c r="M97" s="113"/>
    </row>
    <row r="98" spans="1:13" s="114" customFormat="1" x14ac:dyDescent="0.2">
      <c r="A98" s="106" t="s">
        <v>1740</v>
      </c>
      <c r="B98" s="105" t="s">
        <v>1456</v>
      </c>
      <c r="C98" s="105" t="s">
        <v>1755</v>
      </c>
      <c r="D98" s="107" t="s">
        <v>21</v>
      </c>
      <c r="E98" s="105">
        <v>5</v>
      </c>
      <c r="F98" s="134">
        <v>148.9</v>
      </c>
      <c r="G98" s="134">
        <v>237</v>
      </c>
      <c r="H98" s="109"/>
      <c r="I98" s="109">
        <f t="shared" si="5"/>
        <v>1185</v>
      </c>
      <c r="J98" s="110"/>
      <c r="K98" s="110">
        <f t="shared" si="6"/>
        <v>1185</v>
      </c>
      <c r="L98" s="120">
        <f t="shared" si="7"/>
        <v>744.5</v>
      </c>
      <c r="M98" s="113"/>
    </row>
    <row r="99" spans="1:13" s="114" customFormat="1" x14ac:dyDescent="0.2">
      <c r="A99" s="106" t="s">
        <v>1740</v>
      </c>
      <c r="B99" s="105" t="s">
        <v>1615</v>
      </c>
      <c r="C99" s="105" t="s">
        <v>1755</v>
      </c>
      <c r="D99" s="107" t="s">
        <v>1618</v>
      </c>
      <c r="E99" s="105">
        <v>24</v>
      </c>
      <c r="F99" s="134">
        <v>21.5</v>
      </c>
      <c r="G99" s="134">
        <v>26</v>
      </c>
      <c r="H99" s="109"/>
      <c r="I99" s="109">
        <f t="shared" si="5"/>
        <v>624</v>
      </c>
      <c r="J99" s="110"/>
      <c r="K99" s="110">
        <f t="shared" si="6"/>
        <v>624</v>
      </c>
      <c r="L99" s="120">
        <f t="shared" si="7"/>
        <v>516</v>
      </c>
      <c r="M99" s="113"/>
    </row>
    <row r="100" spans="1:13" s="114" customFormat="1" x14ac:dyDescent="0.2">
      <c r="A100" s="106" t="s">
        <v>1740</v>
      </c>
      <c r="B100" s="105" t="s">
        <v>1585</v>
      </c>
      <c r="C100" s="105" t="s">
        <v>1755</v>
      </c>
      <c r="D100" s="107" t="s">
        <v>1254</v>
      </c>
      <c r="E100" s="105">
        <v>10</v>
      </c>
      <c r="F100" s="134">
        <v>75</v>
      </c>
      <c r="G100" s="134">
        <v>97.5</v>
      </c>
      <c r="H100" s="109"/>
      <c r="I100" s="109">
        <f t="shared" si="5"/>
        <v>975</v>
      </c>
      <c r="J100" s="110"/>
      <c r="K100" s="110">
        <f t="shared" si="6"/>
        <v>975</v>
      </c>
      <c r="L100" s="120">
        <f t="shared" si="7"/>
        <v>750</v>
      </c>
      <c r="M100" s="113"/>
    </row>
    <row r="101" spans="1:13" s="114" customFormat="1" x14ac:dyDescent="0.2">
      <c r="A101" s="106" t="s">
        <v>1740</v>
      </c>
      <c r="B101" s="105" t="s">
        <v>1460</v>
      </c>
      <c r="C101" s="105" t="s">
        <v>1755</v>
      </c>
      <c r="D101" s="107" t="s">
        <v>24</v>
      </c>
      <c r="E101" s="105">
        <v>100</v>
      </c>
      <c r="F101" s="134">
        <v>2.7</v>
      </c>
      <c r="G101" s="134">
        <v>8</v>
      </c>
      <c r="H101" s="109"/>
      <c r="I101" s="109">
        <f t="shared" si="5"/>
        <v>800</v>
      </c>
      <c r="J101" s="110"/>
      <c r="K101" s="110">
        <f t="shared" si="6"/>
        <v>800</v>
      </c>
      <c r="L101" s="120">
        <f t="shared" si="7"/>
        <v>270</v>
      </c>
      <c r="M101" s="113"/>
    </row>
    <row r="102" spans="1:13" s="114" customFormat="1" x14ac:dyDescent="0.2">
      <c r="A102" s="106" t="s">
        <v>1740</v>
      </c>
      <c r="B102" s="105" t="s">
        <v>1518</v>
      </c>
      <c r="C102" s="105" t="s">
        <v>1755</v>
      </c>
      <c r="D102" s="107" t="s">
        <v>1262</v>
      </c>
      <c r="E102" s="105">
        <v>10</v>
      </c>
      <c r="F102" s="134">
        <v>12</v>
      </c>
      <c r="G102" s="134">
        <v>15.75</v>
      </c>
      <c r="H102" s="109"/>
      <c r="I102" s="109">
        <f t="shared" si="5"/>
        <v>157.5</v>
      </c>
      <c r="J102" s="110"/>
      <c r="K102" s="110">
        <f t="shared" si="6"/>
        <v>157.5</v>
      </c>
      <c r="L102" s="120">
        <f t="shared" si="7"/>
        <v>120</v>
      </c>
      <c r="M102" s="113"/>
    </row>
    <row r="103" spans="1:13" s="114" customFormat="1" x14ac:dyDescent="0.2">
      <c r="A103" s="106" t="s">
        <v>1740</v>
      </c>
      <c r="B103" s="105" t="s">
        <v>1459</v>
      </c>
      <c r="C103" s="105" t="s">
        <v>1755</v>
      </c>
      <c r="D103" s="107" t="s">
        <v>1259</v>
      </c>
      <c r="E103" s="105">
        <v>10</v>
      </c>
      <c r="F103" s="134">
        <v>40</v>
      </c>
      <c r="G103" s="134">
        <v>52</v>
      </c>
      <c r="H103" s="109"/>
      <c r="I103" s="109">
        <f t="shared" si="5"/>
        <v>520</v>
      </c>
      <c r="J103" s="110"/>
      <c r="K103" s="110">
        <f t="shared" si="6"/>
        <v>520</v>
      </c>
      <c r="L103" s="120">
        <f t="shared" si="7"/>
        <v>400</v>
      </c>
      <c r="M103" s="113"/>
    </row>
    <row r="104" spans="1:13" s="114" customFormat="1" x14ac:dyDescent="0.2">
      <c r="A104" s="106" t="s">
        <v>1740</v>
      </c>
      <c r="B104" s="105" t="s">
        <v>1584</v>
      </c>
      <c r="C104" s="105" t="s">
        <v>1755</v>
      </c>
      <c r="D104" s="107" t="s">
        <v>1436</v>
      </c>
      <c r="E104" s="105">
        <v>50</v>
      </c>
      <c r="F104" s="134">
        <v>8</v>
      </c>
      <c r="G104" s="134">
        <v>12</v>
      </c>
      <c r="H104" s="109"/>
      <c r="I104" s="109">
        <f t="shared" si="5"/>
        <v>600</v>
      </c>
      <c r="J104" s="110"/>
      <c r="K104" s="110">
        <f t="shared" si="6"/>
        <v>600</v>
      </c>
      <c r="L104" s="120">
        <f t="shared" si="7"/>
        <v>400</v>
      </c>
      <c r="M104" s="113"/>
    </row>
    <row r="105" spans="1:13" s="114" customFormat="1" x14ac:dyDescent="0.2">
      <c r="A105" s="106" t="s">
        <v>1740</v>
      </c>
      <c r="B105" s="105" t="s">
        <v>1623</v>
      </c>
      <c r="C105" s="105" t="s">
        <v>1755</v>
      </c>
      <c r="D105" s="107" t="s">
        <v>1387</v>
      </c>
      <c r="E105" s="105">
        <v>5</v>
      </c>
      <c r="F105" s="134">
        <v>30</v>
      </c>
      <c r="G105" s="134">
        <v>39</v>
      </c>
      <c r="H105" s="109"/>
      <c r="I105" s="109">
        <f t="shared" si="5"/>
        <v>195</v>
      </c>
      <c r="J105" s="110"/>
      <c r="K105" s="110">
        <f t="shared" si="6"/>
        <v>195</v>
      </c>
      <c r="L105" s="120">
        <f t="shared" si="7"/>
        <v>150</v>
      </c>
      <c r="M105" s="113"/>
    </row>
    <row r="106" spans="1:13" s="114" customFormat="1" x14ac:dyDescent="0.2">
      <c r="A106" s="106" t="s">
        <v>1740</v>
      </c>
      <c r="B106" s="105" t="s">
        <v>1622</v>
      </c>
      <c r="C106" s="105" t="s">
        <v>1755</v>
      </c>
      <c r="D106" s="107" t="s">
        <v>1630</v>
      </c>
      <c r="E106" s="105">
        <v>5</v>
      </c>
      <c r="F106" s="134">
        <v>10</v>
      </c>
      <c r="G106" s="134">
        <v>13</v>
      </c>
      <c r="H106" s="109"/>
      <c r="I106" s="109">
        <f t="shared" si="5"/>
        <v>65</v>
      </c>
      <c r="J106" s="110"/>
      <c r="K106" s="110">
        <f t="shared" si="6"/>
        <v>65</v>
      </c>
      <c r="L106" s="120">
        <f t="shared" si="7"/>
        <v>50</v>
      </c>
      <c r="M106" s="113"/>
    </row>
    <row r="107" spans="1:13" s="114" customFormat="1" x14ac:dyDescent="0.2">
      <c r="A107" s="106" t="s">
        <v>1740</v>
      </c>
      <c r="B107" s="105" t="s">
        <v>1449</v>
      </c>
      <c r="C107" s="105" t="s">
        <v>1756</v>
      </c>
      <c r="D107" s="107" t="s">
        <v>1451</v>
      </c>
      <c r="E107" s="105">
        <v>2500</v>
      </c>
      <c r="F107" s="134">
        <v>22</v>
      </c>
      <c r="G107" s="134">
        <v>50</v>
      </c>
      <c r="H107" s="109"/>
      <c r="I107" s="109">
        <f t="shared" si="5"/>
        <v>125000</v>
      </c>
      <c r="J107" s="110"/>
      <c r="K107" s="110">
        <f t="shared" si="6"/>
        <v>125000</v>
      </c>
      <c r="L107" s="120">
        <f t="shared" si="7"/>
        <v>55000</v>
      </c>
      <c r="M107" s="113"/>
    </row>
    <row r="108" spans="1:13" s="114" customFormat="1" x14ac:dyDescent="0.2">
      <c r="A108" s="106" t="s">
        <v>1740</v>
      </c>
      <c r="B108" s="105" t="s">
        <v>1689</v>
      </c>
      <c r="C108" s="105" t="s">
        <v>1757</v>
      </c>
      <c r="D108" s="107" t="s">
        <v>1702</v>
      </c>
      <c r="E108" s="105">
        <v>1</v>
      </c>
      <c r="F108" s="134">
        <v>10</v>
      </c>
      <c r="G108" s="134">
        <v>200</v>
      </c>
      <c r="H108" s="109"/>
      <c r="I108" s="109">
        <f t="shared" si="5"/>
        <v>200</v>
      </c>
      <c r="J108" s="110"/>
      <c r="K108" s="110">
        <f t="shared" si="6"/>
        <v>200</v>
      </c>
      <c r="L108" s="120">
        <f t="shared" si="7"/>
        <v>10</v>
      </c>
      <c r="M108" s="113"/>
    </row>
    <row r="109" spans="1:13" s="114" customFormat="1" x14ac:dyDescent="0.2">
      <c r="A109" s="106" t="s">
        <v>1740</v>
      </c>
      <c r="B109" s="105" t="s">
        <v>1458</v>
      </c>
      <c r="C109" s="105" t="s">
        <v>1758</v>
      </c>
      <c r="D109" s="107" t="s">
        <v>22</v>
      </c>
      <c r="E109" s="105">
        <v>2</v>
      </c>
      <c r="F109" s="134">
        <v>126</v>
      </c>
      <c r="G109" s="134">
        <v>201</v>
      </c>
      <c r="H109" s="109"/>
      <c r="I109" s="109">
        <f t="shared" si="5"/>
        <v>402</v>
      </c>
      <c r="J109" s="110"/>
      <c r="K109" s="110">
        <f t="shared" si="6"/>
        <v>402</v>
      </c>
      <c r="L109" s="120">
        <f t="shared" si="7"/>
        <v>252</v>
      </c>
      <c r="M109" s="113"/>
    </row>
    <row r="110" spans="1:13" s="114" customFormat="1" x14ac:dyDescent="0.2">
      <c r="A110" s="106" t="s">
        <v>1740</v>
      </c>
      <c r="B110" s="105" t="s">
        <v>1743</v>
      </c>
      <c r="C110" s="105" t="s">
        <v>1758</v>
      </c>
      <c r="D110" s="107" t="s">
        <v>1348</v>
      </c>
      <c r="E110" s="105">
        <v>1</v>
      </c>
      <c r="F110" s="134">
        <v>32</v>
      </c>
      <c r="G110" s="134">
        <v>45</v>
      </c>
      <c r="H110" s="109"/>
      <c r="I110" s="109">
        <f t="shared" ref="I110:I115" si="8">E110*G110</f>
        <v>45</v>
      </c>
      <c r="J110" s="110"/>
      <c r="K110" s="110">
        <f t="shared" si="6"/>
        <v>45</v>
      </c>
      <c r="L110" s="120">
        <f t="shared" si="7"/>
        <v>32</v>
      </c>
      <c r="M110" s="113"/>
    </row>
    <row r="111" spans="1:13" s="114" customFormat="1" x14ac:dyDescent="0.2">
      <c r="A111" s="106" t="s">
        <v>1740</v>
      </c>
      <c r="B111" s="105" t="s">
        <v>1453</v>
      </c>
      <c r="C111" s="105" t="s">
        <v>1759</v>
      </c>
      <c r="D111" s="107" t="s">
        <v>26</v>
      </c>
      <c r="E111" s="105">
        <v>1</v>
      </c>
      <c r="F111" s="134">
        <v>167.8</v>
      </c>
      <c r="G111" s="134">
        <v>360</v>
      </c>
      <c r="H111" s="109"/>
      <c r="I111" s="109">
        <f t="shared" si="8"/>
        <v>360</v>
      </c>
      <c r="J111" s="110"/>
      <c r="K111" s="110">
        <f t="shared" si="6"/>
        <v>360</v>
      </c>
      <c r="L111" s="120">
        <f t="shared" si="7"/>
        <v>167.8</v>
      </c>
      <c r="M111" s="113"/>
    </row>
    <row r="112" spans="1:13" s="114" customFormat="1" x14ac:dyDescent="0.2">
      <c r="A112" s="106" t="s">
        <v>1740</v>
      </c>
      <c r="B112" s="105" t="s">
        <v>1514</v>
      </c>
      <c r="C112" s="105" t="s">
        <v>1759</v>
      </c>
      <c r="D112" s="107" t="s">
        <v>1343</v>
      </c>
      <c r="E112" s="105">
        <v>1</v>
      </c>
      <c r="F112" s="134">
        <v>88</v>
      </c>
      <c r="G112" s="134">
        <v>280</v>
      </c>
      <c r="H112" s="109"/>
      <c r="I112" s="109">
        <f t="shared" si="8"/>
        <v>280</v>
      </c>
      <c r="J112" s="110"/>
      <c r="K112" s="110">
        <f t="shared" si="6"/>
        <v>280</v>
      </c>
      <c r="L112" s="120">
        <f t="shared" si="7"/>
        <v>88</v>
      </c>
      <c r="M112" s="113"/>
    </row>
    <row r="113" spans="1:13" s="114" customFormat="1" x14ac:dyDescent="0.2">
      <c r="A113" s="106" t="s">
        <v>1740</v>
      </c>
      <c r="B113" s="105" t="s">
        <v>1455</v>
      </c>
      <c r="C113" s="105" t="s">
        <v>1759</v>
      </c>
      <c r="D113" s="107" t="s">
        <v>25</v>
      </c>
      <c r="E113" s="105">
        <v>1</v>
      </c>
      <c r="F113" s="134">
        <v>115.85</v>
      </c>
      <c r="G113" s="134">
        <v>280</v>
      </c>
      <c r="H113" s="109"/>
      <c r="I113" s="109">
        <f t="shared" si="8"/>
        <v>280</v>
      </c>
      <c r="J113" s="110"/>
      <c r="K113" s="110">
        <f t="shared" si="6"/>
        <v>280</v>
      </c>
      <c r="L113" s="120">
        <f t="shared" si="7"/>
        <v>115.85</v>
      </c>
      <c r="M113" s="113"/>
    </row>
    <row r="114" spans="1:13" s="114" customFormat="1" x14ac:dyDescent="0.2">
      <c r="A114" s="106" t="s">
        <v>1740</v>
      </c>
      <c r="B114" s="105" t="s">
        <v>1656</v>
      </c>
      <c r="C114" s="105" t="s">
        <v>1759</v>
      </c>
      <c r="D114" s="107" t="s">
        <v>1662</v>
      </c>
      <c r="E114" s="105">
        <v>2</v>
      </c>
      <c r="F114" s="134">
        <v>36</v>
      </c>
      <c r="G114" s="134">
        <v>60</v>
      </c>
      <c r="H114" s="109"/>
      <c r="I114" s="109">
        <f t="shared" si="8"/>
        <v>120</v>
      </c>
      <c r="J114" s="110"/>
      <c r="K114" s="110">
        <f t="shared" si="6"/>
        <v>120</v>
      </c>
      <c r="L114" s="120">
        <f t="shared" si="7"/>
        <v>72</v>
      </c>
      <c r="M114" s="113"/>
    </row>
    <row r="115" spans="1:13" s="114" customFormat="1" x14ac:dyDescent="0.2">
      <c r="A115" s="106" t="s">
        <v>1740</v>
      </c>
      <c r="B115" s="105" t="s">
        <v>1458</v>
      </c>
      <c r="C115" s="105" t="s">
        <v>1760</v>
      </c>
      <c r="D115" s="107" t="s">
        <v>22</v>
      </c>
      <c r="E115" s="105">
        <v>10</v>
      </c>
      <c r="F115" s="134">
        <v>126</v>
      </c>
      <c r="G115" s="134">
        <v>201</v>
      </c>
      <c r="H115" s="109"/>
      <c r="I115" s="109">
        <f t="shared" si="8"/>
        <v>2010</v>
      </c>
      <c r="J115" s="110">
        <v>100.5</v>
      </c>
      <c r="K115" s="110">
        <f t="shared" si="6"/>
        <v>1909.5</v>
      </c>
      <c r="L115" s="120">
        <f t="shared" si="7"/>
        <v>1260</v>
      </c>
      <c r="M115" s="113"/>
    </row>
    <row r="116" spans="1:13" s="114" customFormat="1" x14ac:dyDescent="0.2">
      <c r="A116" s="106">
        <v>46169</v>
      </c>
      <c r="B116" s="105" t="s">
        <v>1460</v>
      </c>
      <c r="C116" s="105" t="s">
        <v>1762</v>
      </c>
      <c r="D116" s="107" t="s">
        <v>24</v>
      </c>
      <c r="E116" s="105">
        <v>20</v>
      </c>
      <c r="F116" s="134">
        <v>2.7</v>
      </c>
      <c r="G116" s="134">
        <v>8</v>
      </c>
      <c r="H116" s="109"/>
      <c r="I116" s="109">
        <f t="shared" ref="I116:I134" si="9">E116*G116</f>
        <v>160</v>
      </c>
      <c r="J116" s="110"/>
      <c r="K116" s="110">
        <f t="shared" si="6"/>
        <v>160</v>
      </c>
      <c r="L116" s="120">
        <f t="shared" si="7"/>
        <v>54</v>
      </c>
      <c r="M116" s="113"/>
    </row>
    <row r="117" spans="1:13" s="114" customFormat="1" x14ac:dyDescent="0.2">
      <c r="A117" s="106">
        <v>46169</v>
      </c>
      <c r="B117" s="105" t="s">
        <v>1622</v>
      </c>
      <c r="C117" s="105" t="s">
        <v>1762</v>
      </c>
      <c r="D117" s="107" t="s">
        <v>1630</v>
      </c>
      <c r="E117" s="105">
        <v>2</v>
      </c>
      <c r="F117" s="134">
        <v>10</v>
      </c>
      <c r="G117" s="134">
        <v>13</v>
      </c>
      <c r="H117" s="109"/>
      <c r="I117" s="109">
        <f t="shared" si="9"/>
        <v>26</v>
      </c>
      <c r="J117" s="110"/>
      <c r="K117" s="110">
        <f t="shared" si="6"/>
        <v>26</v>
      </c>
      <c r="L117" s="120">
        <f t="shared" si="7"/>
        <v>20</v>
      </c>
      <c r="M117" s="113"/>
    </row>
    <row r="118" spans="1:13" s="114" customFormat="1" x14ac:dyDescent="0.2">
      <c r="A118" s="106">
        <v>46169</v>
      </c>
      <c r="B118" s="105" t="s">
        <v>1458</v>
      </c>
      <c r="C118" s="105" t="s">
        <v>1762</v>
      </c>
      <c r="D118" s="107" t="s">
        <v>22</v>
      </c>
      <c r="E118" s="105">
        <v>1</v>
      </c>
      <c r="F118" s="134">
        <v>126</v>
      </c>
      <c r="G118" s="134">
        <v>201</v>
      </c>
      <c r="H118" s="109"/>
      <c r="I118" s="109">
        <f t="shared" si="9"/>
        <v>201</v>
      </c>
      <c r="J118" s="110"/>
      <c r="K118" s="110">
        <f t="shared" si="6"/>
        <v>201</v>
      </c>
      <c r="L118" s="120">
        <f t="shared" si="7"/>
        <v>126</v>
      </c>
      <c r="M118" s="113"/>
    </row>
    <row r="119" spans="1:13" s="114" customFormat="1" x14ac:dyDescent="0.2">
      <c r="A119" s="106">
        <v>46169</v>
      </c>
      <c r="B119" s="105" t="s">
        <v>1585</v>
      </c>
      <c r="C119" s="105" t="s">
        <v>1762</v>
      </c>
      <c r="D119" s="107" t="s">
        <v>1254</v>
      </c>
      <c r="E119" s="105">
        <v>2</v>
      </c>
      <c r="F119" s="134">
        <v>75</v>
      </c>
      <c r="G119" s="134">
        <v>97.5</v>
      </c>
      <c r="H119" s="109"/>
      <c r="I119" s="109">
        <f t="shared" si="9"/>
        <v>195</v>
      </c>
      <c r="J119" s="110"/>
      <c r="K119" s="110">
        <f t="shared" si="6"/>
        <v>195</v>
      </c>
      <c r="L119" s="120">
        <f t="shared" si="7"/>
        <v>150</v>
      </c>
      <c r="M119" s="113"/>
    </row>
    <row r="120" spans="1:13" s="114" customFormat="1" x14ac:dyDescent="0.2">
      <c r="A120" s="106">
        <v>46170</v>
      </c>
      <c r="B120" s="105" t="s">
        <v>1623</v>
      </c>
      <c r="C120" s="105" t="s">
        <v>1766</v>
      </c>
      <c r="D120" s="107" t="s">
        <v>1387</v>
      </c>
      <c r="E120" s="105">
        <v>2</v>
      </c>
      <c r="F120" s="134">
        <v>30</v>
      </c>
      <c r="G120" s="134">
        <v>39</v>
      </c>
      <c r="H120" s="109">
        <f t="shared" ref="H120:H134" si="10">E120*G120</f>
        <v>78</v>
      </c>
      <c r="I120" s="109"/>
      <c r="J120" s="110"/>
      <c r="K120" s="110">
        <f t="shared" si="6"/>
        <v>78</v>
      </c>
      <c r="L120" s="120">
        <f t="shared" si="7"/>
        <v>60</v>
      </c>
      <c r="M120" s="113"/>
    </row>
    <row r="121" spans="1:13" s="114" customFormat="1" x14ac:dyDescent="0.2">
      <c r="A121" s="106">
        <v>46170</v>
      </c>
      <c r="B121" s="105" t="s">
        <v>1765</v>
      </c>
      <c r="C121" s="105" t="s">
        <v>1766</v>
      </c>
      <c r="D121" s="107" t="s">
        <v>1767</v>
      </c>
      <c r="E121" s="105">
        <v>10</v>
      </c>
      <c r="F121" s="134">
        <v>6.5</v>
      </c>
      <c r="G121" s="134">
        <v>10</v>
      </c>
      <c r="H121" s="109">
        <f t="shared" si="10"/>
        <v>100</v>
      </c>
      <c r="I121" s="109"/>
      <c r="J121" s="110"/>
      <c r="K121" s="110">
        <f t="shared" si="6"/>
        <v>100</v>
      </c>
      <c r="L121" s="120">
        <f t="shared" si="7"/>
        <v>65</v>
      </c>
      <c r="M121" s="113"/>
    </row>
    <row r="122" spans="1:13" s="114" customFormat="1" x14ac:dyDescent="0.2">
      <c r="A122" s="106" t="s">
        <v>1768</v>
      </c>
      <c r="B122" s="105" t="s">
        <v>1453</v>
      </c>
      <c r="C122" s="105" t="s">
        <v>1770</v>
      </c>
      <c r="D122" s="107" t="s">
        <v>26</v>
      </c>
      <c r="E122" s="105">
        <v>1</v>
      </c>
      <c r="F122" s="134">
        <v>167.8</v>
      </c>
      <c r="G122" s="134">
        <v>360</v>
      </c>
      <c r="H122" s="109"/>
      <c r="I122" s="109">
        <f t="shared" si="9"/>
        <v>360</v>
      </c>
      <c r="J122" s="110"/>
      <c r="K122" s="110">
        <f t="shared" si="6"/>
        <v>360</v>
      </c>
      <c r="L122" s="120">
        <f t="shared" si="7"/>
        <v>167.8</v>
      </c>
      <c r="M122" s="113"/>
    </row>
    <row r="123" spans="1:13" s="114" customFormat="1" x14ac:dyDescent="0.2">
      <c r="A123" s="106" t="s">
        <v>1768</v>
      </c>
      <c r="B123" s="105" t="s">
        <v>1453</v>
      </c>
      <c r="C123" s="105" t="s">
        <v>1771</v>
      </c>
      <c r="D123" s="107" t="s">
        <v>26</v>
      </c>
      <c r="E123" s="105">
        <v>5</v>
      </c>
      <c r="F123" s="134">
        <v>167.8</v>
      </c>
      <c r="G123" s="134">
        <v>360</v>
      </c>
      <c r="H123" s="109"/>
      <c r="I123" s="109">
        <f t="shared" si="9"/>
        <v>1800</v>
      </c>
      <c r="J123" s="110"/>
      <c r="K123" s="110">
        <f t="shared" si="6"/>
        <v>1800</v>
      </c>
      <c r="L123" s="120">
        <f t="shared" si="7"/>
        <v>839</v>
      </c>
      <c r="M123" s="113"/>
    </row>
    <row r="124" spans="1:13" s="114" customFormat="1" x14ac:dyDescent="0.2">
      <c r="A124" s="106" t="s">
        <v>1768</v>
      </c>
      <c r="B124" s="105" t="s">
        <v>1472</v>
      </c>
      <c r="C124" s="105" t="s">
        <v>1772</v>
      </c>
      <c r="D124" s="107" t="s">
        <v>1398</v>
      </c>
      <c r="E124" s="105">
        <v>1</v>
      </c>
      <c r="F124" s="134">
        <v>147.69999999999999</v>
      </c>
      <c r="G124" s="134">
        <v>207</v>
      </c>
      <c r="H124" s="109"/>
      <c r="I124" s="109">
        <f t="shared" si="9"/>
        <v>207</v>
      </c>
      <c r="J124" s="110"/>
      <c r="K124" s="110">
        <f t="shared" si="6"/>
        <v>207</v>
      </c>
      <c r="L124" s="120">
        <f t="shared" si="7"/>
        <v>147.69999999999999</v>
      </c>
      <c r="M124" s="113"/>
    </row>
    <row r="125" spans="1:13" s="114" customFormat="1" x14ac:dyDescent="0.2">
      <c r="A125" s="106" t="s">
        <v>1768</v>
      </c>
      <c r="B125" s="105" t="s">
        <v>1458</v>
      </c>
      <c r="C125" s="105" t="s">
        <v>1772</v>
      </c>
      <c r="D125" s="107" t="s">
        <v>22</v>
      </c>
      <c r="E125" s="105">
        <v>1</v>
      </c>
      <c r="F125" s="134">
        <v>126</v>
      </c>
      <c r="G125" s="134">
        <v>201</v>
      </c>
      <c r="H125" s="109"/>
      <c r="I125" s="109">
        <f t="shared" si="9"/>
        <v>201</v>
      </c>
      <c r="J125" s="110"/>
      <c r="K125" s="110">
        <f t="shared" si="6"/>
        <v>201</v>
      </c>
      <c r="L125" s="120">
        <f t="shared" si="7"/>
        <v>126</v>
      </c>
      <c r="M125" s="113"/>
    </row>
    <row r="126" spans="1:13" s="114" customFormat="1" x14ac:dyDescent="0.2">
      <c r="A126" s="106" t="s">
        <v>1768</v>
      </c>
      <c r="B126" s="105" t="s">
        <v>1769</v>
      </c>
      <c r="C126" s="105" t="s">
        <v>1772</v>
      </c>
      <c r="D126" s="107" t="s">
        <v>1773</v>
      </c>
      <c r="E126" s="105">
        <v>10</v>
      </c>
      <c r="F126" s="134">
        <v>13</v>
      </c>
      <c r="G126" s="134">
        <v>17</v>
      </c>
      <c r="H126" s="109"/>
      <c r="I126" s="109">
        <f t="shared" si="9"/>
        <v>170</v>
      </c>
      <c r="J126" s="110"/>
      <c r="K126" s="110">
        <f t="shared" si="6"/>
        <v>170</v>
      </c>
      <c r="L126" s="120">
        <f t="shared" si="7"/>
        <v>130</v>
      </c>
      <c r="M126" s="113"/>
    </row>
    <row r="127" spans="1:13" s="114" customFormat="1" x14ac:dyDescent="0.2">
      <c r="A127" s="106" t="s">
        <v>1768</v>
      </c>
      <c r="B127" s="105" t="s">
        <v>1460</v>
      </c>
      <c r="C127" s="105" t="s">
        <v>1772</v>
      </c>
      <c r="D127" s="107" t="s">
        <v>24</v>
      </c>
      <c r="E127" s="105">
        <v>3</v>
      </c>
      <c r="F127" s="134">
        <v>2.7</v>
      </c>
      <c r="G127" s="134">
        <v>8</v>
      </c>
      <c r="H127" s="109"/>
      <c r="I127" s="109">
        <f t="shared" si="9"/>
        <v>24</v>
      </c>
      <c r="J127" s="110"/>
      <c r="K127" s="110">
        <f t="shared" si="6"/>
        <v>24</v>
      </c>
      <c r="L127" s="120">
        <f t="shared" si="7"/>
        <v>8.1000000000000014</v>
      </c>
      <c r="M127" s="113"/>
    </row>
    <row r="128" spans="1:13" s="114" customFormat="1" hidden="1" x14ac:dyDescent="0.2">
      <c r="A128" s="106"/>
      <c r="B128" s="105"/>
      <c r="C128" s="105"/>
      <c r="D128" s="107"/>
      <c r="E128" s="105"/>
      <c r="F128" s="108"/>
      <c r="G128" s="108"/>
      <c r="H128" s="109">
        <f t="shared" si="10"/>
        <v>0</v>
      </c>
      <c r="I128" s="109">
        <f t="shared" si="9"/>
        <v>0</v>
      </c>
      <c r="J128" s="110"/>
      <c r="K128" s="110">
        <f t="shared" si="6"/>
        <v>0</v>
      </c>
      <c r="L128" s="120">
        <f t="shared" si="7"/>
        <v>0</v>
      </c>
      <c r="M128" s="113"/>
    </row>
    <row r="129" spans="1:13" s="114" customFormat="1" hidden="1" x14ac:dyDescent="0.2">
      <c r="A129" s="106"/>
      <c r="B129" s="105"/>
      <c r="C129" s="105"/>
      <c r="D129" s="107"/>
      <c r="E129" s="105"/>
      <c r="F129" s="108"/>
      <c r="G129" s="108"/>
      <c r="H129" s="109">
        <f t="shared" si="10"/>
        <v>0</v>
      </c>
      <c r="I129" s="109">
        <f t="shared" si="9"/>
        <v>0</v>
      </c>
      <c r="J129" s="110"/>
      <c r="K129" s="110">
        <f t="shared" si="6"/>
        <v>0</v>
      </c>
      <c r="L129" s="120">
        <f t="shared" si="7"/>
        <v>0</v>
      </c>
      <c r="M129" s="113"/>
    </row>
    <row r="130" spans="1:13" s="114" customFormat="1" hidden="1" x14ac:dyDescent="0.2">
      <c r="A130" s="106"/>
      <c r="B130" s="105"/>
      <c r="C130" s="105"/>
      <c r="D130" s="107"/>
      <c r="E130" s="105"/>
      <c r="F130" s="108"/>
      <c r="G130" s="108"/>
      <c r="H130" s="109">
        <f t="shared" si="10"/>
        <v>0</v>
      </c>
      <c r="I130" s="109">
        <f t="shared" si="9"/>
        <v>0</v>
      </c>
      <c r="J130" s="110"/>
      <c r="K130" s="110">
        <f t="shared" si="6"/>
        <v>0</v>
      </c>
      <c r="L130" s="120">
        <f t="shared" si="7"/>
        <v>0</v>
      </c>
      <c r="M130" s="113"/>
    </row>
    <row r="131" spans="1:13" s="114" customFormat="1" hidden="1" x14ac:dyDescent="0.2">
      <c r="A131" s="106"/>
      <c r="B131" s="105"/>
      <c r="C131" s="105"/>
      <c r="D131" s="107"/>
      <c r="E131" s="105"/>
      <c r="F131" s="108"/>
      <c r="G131" s="108"/>
      <c r="H131" s="109">
        <f t="shared" si="10"/>
        <v>0</v>
      </c>
      <c r="I131" s="109">
        <f t="shared" si="9"/>
        <v>0</v>
      </c>
      <c r="J131" s="110"/>
      <c r="K131" s="110">
        <f t="shared" si="6"/>
        <v>0</v>
      </c>
      <c r="L131" s="120">
        <f t="shared" si="7"/>
        <v>0</v>
      </c>
      <c r="M131" s="113"/>
    </row>
    <row r="132" spans="1:13" s="114" customFormat="1" hidden="1" x14ac:dyDescent="0.2">
      <c r="A132" s="106"/>
      <c r="B132" s="105"/>
      <c r="C132" s="105"/>
      <c r="D132" s="107"/>
      <c r="E132" s="105"/>
      <c r="F132" s="108"/>
      <c r="G132" s="108"/>
      <c r="H132" s="109">
        <f t="shared" si="10"/>
        <v>0</v>
      </c>
      <c r="I132" s="109">
        <f t="shared" si="9"/>
        <v>0</v>
      </c>
      <c r="J132" s="110"/>
      <c r="K132" s="110">
        <f t="shared" si="6"/>
        <v>0</v>
      </c>
      <c r="L132" s="120">
        <f t="shared" si="7"/>
        <v>0</v>
      </c>
      <c r="M132" s="113"/>
    </row>
    <row r="133" spans="1:13" s="114" customFormat="1" hidden="1" x14ac:dyDescent="0.2">
      <c r="A133" s="106"/>
      <c r="B133" s="105"/>
      <c r="C133" s="105"/>
      <c r="D133" s="107"/>
      <c r="E133" s="105"/>
      <c r="F133" s="108"/>
      <c r="G133" s="108"/>
      <c r="H133" s="109">
        <f t="shared" si="10"/>
        <v>0</v>
      </c>
      <c r="I133" s="109">
        <f t="shared" si="9"/>
        <v>0</v>
      </c>
      <c r="J133" s="110"/>
      <c r="K133" s="110">
        <f t="shared" si="6"/>
        <v>0</v>
      </c>
      <c r="L133" s="120">
        <f t="shared" si="7"/>
        <v>0</v>
      </c>
      <c r="M133" s="113"/>
    </row>
    <row r="134" spans="1:13" s="114" customFormat="1" hidden="1" x14ac:dyDescent="0.2">
      <c r="A134" s="106"/>
      <c r="B134" s="105"/>
      <c r="C134" s="105"/>
      <c r="D134" s="107"/>
      <c r="E134" s="105"/>
      <c r="F134" s="108"/>
      <c r="G134" s="108"/>
      <c r="H134" s="109">
        <f t="shared" si="10"/>
        <v>0</v>
      </c>
      <c r="I134" s="109">
        <f t="shared" si="9"/>
        <v>0</v>
      </c>
      <c r="J134" s="110"/>
      <c r="K134" s="110">
        <f t="shared" si="6"/>
        <v>0</v>
      </c>
      <c r="L134" s="120">
        <f t="shared" si="7"/>
        <v>0</v>
      </c>
      <c r="M134" s="113"/>
    </row>
    <row r="135" spans="1:13" s="114" customFormat="1" hidden="1" x14ac:dyDescent="0.2">
      <c r="A135" s="106"/>
      <c r="B135" s="105"/>
      <c r="C135" s="105"/>
      <c r="D135" s="107"/>
      <c r="E135" s="105"/>
      <c r="F135" s="108"/>
      <c r="G135" s="108"/>
      <c r="H135" s="109">
        <f t="shared" ref="H135:H138" si="11">E135*G135</f>
        <v>0</v>
      </c>
      <c r="I135" s="109">
        <f t="shared" ref="I135:I138" si="12">E135*G135</f>
        <v>0</v>
      </c>
      <c r="J135" s="110"/>
      <c r="K135" s="110">
        <f t="shared" ref="K135:K138" si="13">H135+I135-J135</f>
        <v>0</v>
      </c>
      <c r="L135" s="120">
        <f t="shared" ref="L135:L138" si="14">E135*F135</f>
        <v>0</v>
      </c>
      <c r="M135" s="113"/>
    </row>
    <row r="136" spans="1:13" s="114" customFormat="1" hidden="1" x14ac:dyDescent="0.2">
      <c r="A136" s="106"/>
      <c r="B136" s="105"/>
      <c r="C136" s="105"/>
      <c r="D136" s="107"/>
      <c r="E136" s="105"/>
      <c r="F136" s="108"/>
      <c r="G136" s="108"/>
      <c r="H136" s="109">
        <f t="shared" si="11"/>
        <v>0</v>
      </c>
      <c r="I136" s="109">
        <f t="shared" si="12"/>
        <v>0</v>
      </c>
      <c r="J136" s="110"/>
      <c r="K136" s="110">
        <f t="shared" si="13"/>
        <v>0</v>
      </c>
      <c r="L136" s="120">
        <f t="shared" si="14"/>
        <v>0</v>
      </c>
      <c r="M136" s="113"/>
    </row>
    <row r="137" spans="1:13" s="114" customFormat="1" hidden="1" x14ac:dyDescent="0.2">
      <c r="A137" s="106"/>
      <c r="B137" s="105"/>
      <c r="C137" s="105"/>
      <c r="D137" s="107"/>
      <c r="E137" s="105"/>
      <c r="F137" s="108"/>
      <c r="G137" s="108"/>
      <c r="H137" s="109">
        <f t="shared" si="11"/>
        <v>0</v>
      </c>
      <c r="I137" s="109">
        <f t="shared" si="12"/>
        <v>0</v>
      </c>
      <c r="J137" s="110"/>
      <c r="K137" s="110">
        <f t="shared" si="13"/>
        <v>0</v>
      </c>
      <c r="L137" s="120">
        <f t="shared" si="14"/>
        <v>0</v>
      </c>
      <c r="M137" s="113"/>
    </row>
    <row r="138" spans="1:13" s="114" customFormat="1" hidden="1" x14ac:dyDescent="0.2">
      <c r="A138" s="106"/>
      <c r="B138" s="105"/>
      <c r="C138" s="105"/>
      <c r="D138" s="107"/>
      <c r="E138" s="105"/>
      <c r="F138" s="108"/>
      <c r="G138" s="108"/>
      <c r="H138" s="109">
        <f t="shared" si="11"/>
        <v>0</v>
      </c>
      <c r="I138" s="109">
        <f t="shared" si="12"/>
        <v>0</v>
      </c>
      <c r="J138" s="110"/>
      <c r="K138" s="110">
        <f t="shared" si="13"/>
        <v>0</v>
      </c>
      <c r="L138" s="120">
        <f t="shared" si="14"/>
        <v>0</v>
      </c>
      <c r="M138" s="113"/>
    </row>
    <row r="139" spans="1:13" s="75" customFormat="1" ht="13.5" thickBot="1" x14ac:dyDescent="0.25">
      <c r="A139" s="260" t="s">
        <v>0</v>
      </c>
      <c r="B139" s="261"/>
      <c r="C139" s="261"/>
      <c r="D139" s="262"/>
      <c r="E139" s="74">
        <f>SUM(E6:E138)</f>
        <v>5227</v>
      </c>
      <c r="F139" s="74">
        <f t="shared" ref="F139:L139" si="15">SUM(F6:F138)</f>
        <v>8916.8499999999985</v>
      </c>
      <c r="G139" s="74">
        <f t="shared" si="15"/>
        <v>17477</v>
      </c>
      <c r="H139" s="74">
        <f t="shared" si="15"/>
        <v>871</v>
      </c>
      <c r="I139" s="74">
        <f t="shared" si="15"/>
        <v>355627.5</v>
      </c>
      <c r="J139" s="74">
        <f t="shared" si="15"/>
        <v>100.5</v>
      </c>
      <c r="K139" s="74">
        <f t="shared" si="15"/>
        <v>356398</v>
      </c>
      <c r="L139" s="74">
        <f t="shared" si="15"/>
        <v>226774.84999999998</v>
      </c>
      <c r="M139" s="61"/>
    </row>
    <row r="140" spans="1:13" x14ac:dyDescent="0.2">
      <c r="G140" s="79"/>
      <c r="H140" s="79"/>
      <c r="I140" s="79"/>
      <c r="J140" s="79" t="s">
        <v>1703</v>
      </c>
      <c r="K140" s="79"/>
      <c r="L140" s="61"/>
      <c r="M140" s="61"/>
    </row>
    <row r="141" spans="1:13" x14ac:dyDescent="0.2">
      <c r="D141" s="102"/>
      <c r="E141" s="80"/>
      <c r="F141" s="103"/>
      <c r="G141" s="79"/>
      <c r="H141" s="83"/>
      <c r="I141" s="83"/>
      <c r="J141" s="79" t="s">
        <v>16</v>
      </c>
      <c r="K141" s="79">
        <v>6331.5</v>
      </c>
      <c r="L141" s="72" t="s">
        <v>1763</v>
      </c>
    </row>
    <row r="142" spans="1:13" x14ac:dyDescent="0.2">
      <c r="D142" s="102"/>
      <c r="E142" s="80"/>
      <c r="F142" s="81"/>
      <c r="G142" s="79"/>
      <c r="H142" s="83"/>
      <c r="I142" s="79"/>
      <c r="J142" s="79" t="s">
        <v>1704</v>
      </c>
      <c r="K142" s="79">
        <v>350273.5</v>
      </c>
      <c r="L142" s="137"/>
    </row>
    <row r="143" spans="1:13" x14ac:dyDescent="0.2">
      <c r="A143" s="84"/>
      <c r="C143" s="85"/>
      <c r="D143" s="86"/>
      <c r="E143" s="85"/>
      <c r="F143" s="85"/>
      <c r="G143" s="79"/>
      <c r="H143" s="79"/>
      <c r="I143" s="85"/>
      <c r="J143" s="85" t="s">
        <v>0</v>
      </c>
      <c r="K143" s="85">
        <f>SUM(K140:K142)</f>
        <v>356605</v>
      </c>
      <c r="L143" s="61"/>
      <c r="M143" s="75"/>
    </row>
    <row r="144" spans="1:13" x14ac:dyDescent="0.2">
      <c r="D144" s="102"/>
      <c r="E144" s="80"/>
      <c r="F144" s="103"/>
      <c r="G144" s="82"/>
      <c r="H144" s="83"/>
      <c r="I144" s="79"/>
      <c r="J144" s="79"/>
      <c r="K144" s="79">
        <f>K139-K143</f>
        <v>-207</v>
      </c>
      <c r="L144" s="61" t="s">
        <v>1774</v>
      </c>
    </row>
    <row r="145" spans="4:11" x14ac:dyDescent="0.2">
      <c r="D145" s="102"/>
      <c r="E145" s="80"/>
      <c r="F145" s="81"/>
      <c r="G145" s="81"/>
      <c r="H145" s="83"/>
      <c r="I145" s="79"/>
      <c r="J145" s="79"/>
      <c r="K145" s="79"/>
    </row>
    <row r="146" spans="4:11" x14ac:dyDescent="0.2">
      <c r="D146" s="102"/>
      <c r="E146" s="80"/>
      <c r="F146" s="103"/>
      <c r="G146" s="81"/>
      <c r="H146" s="83"/>
      <c r="I146" s="79"/>
      <c r="J146" s="79"/>
      <c r="K146" s="79"/>
    </row>
    <row r="147" spans="4:11" x14ac:dyDescent="0.2">
      <c r="D147" s="132"/>
      <c r="E147" s="80"/>
      <c r="F147" s="103"/>
      <c r="G147" s="82"/>
      <c r="H147" s="83"/>
      <c r="I147" s="79"/>
      <c r="J147" s="79"/>
      <c r="K147" s="79"/>
    </row>
    <row r="148" spans="4:11" x14ac:dyDescent="0.2">
      <c r="D148" s="102"/>
      <c r="E148" s="80"/>
      <c r="F148" s="103"/>
      <c r="G148" s="82"/>
      <c r="H148" s="83"/>
      <c r="I148" s="79"/>
      <c r="J148" s="79"/>
      <c r="K148" s="79"/>
    </row>
    <row r="149" spans="4:11" x14ac:dyDescent="0.2">
      <c r="D149" s="102"/>
      <c r="E149" s="80"/>
      <c r="F149" s="103"/>
      <c r="G149" s="82"/>
      <c r="H149" s="83"/>
      <c r="I149" s="79"/>
      <c r="J149" s="79"/>
      <c r="K149" s="79"/>
    </row>
    <row r="150" spans="4:11" x14ac:dyDescent="0.2">
      <c r="D150" s="102"/>
      <c r="E150" s="80"/>
      <c r="F150" s="81"/>
      <c r="G150" s="81"/>
      <c r="H150" s="83"/>
      <c r="I150" s="79"/>
      <c r="J150" s="79"/>
      <c r="K150" s="79"/>
    </row>
    <row r="151" spans="4:11" x14ac:dyDescent="0.2">
      <c r="D151" s="102"/>
      <c r="E151" s="80"/>
      <c r="F151" s="81"/>
      <c r="G151" s="81"/>
      <c r="H151" s="83"/>
      <c r="I151" s="79"/>
      <c r="J151" s="79"/>
      <c r="K151" s="79"/>
    </row>
    <row r="152" spans="4:11" x14ac:dyDescent="0.2">
      <c r="D152" s="102"/>
      <c r="E152" s="80"/>
      <c r="F152" s="103"/>
      <c r="G152" s="82"/>
      <c r="H152" s="83"/>
      <c r="I152" s="79"/>
      <c r="J152" s="79"/>
      <c r="K152" s="79"/>
    </row>
    <row r="153" spans="4:11" x14ac:dyDescent="0.2">
      <c r="D153" s="102"/>
      <c r="E153" s="80"/>
      <c r="F153" s="103"/>
      <c r="G153" s="82"/>
      <c r="H153" s="83"/>
      <c r="I153" s="79"/>
      <c r="J153" s="79"/>
      <c r="K153" s="79"/>
    </row>
  </sheetData>
  <autoFilter ref="A5:M153" xr:uid="{00000000-0009-0000-0000-000002000000}">
    <sortState xmlns:xlrd2="http://schemas.microsoft.com/office/spreadsheetml/2017/richdata2" ref="A6:M138">
      <sortCondition ref="A5:A222"/>
    </sortState>
  </autoFilter>
  <mergeCells count="1">
    <mergeCell ref="A139:D139"/>
  </mergeCells>
  <phoneticPr fontId="24" type="noConversion"/>
  <pageMargins left="0.25" right="0.25" top="0.75" bottom="0.75" header="0.3" footer="0.3"/>
  <pageSetup scale="5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9990-CE9D-47E2-A898-B4DE4B01EC03}">
  <sheetPr>
    <tabColor rgb="FF8DFB43"/>
  </sheetPr>
  <dimension ref="A1:M1412"/>
  <sheetViews>
    <sheetView topLeftCell="A1375" zoomScale="70" zoomScaleNormal="70" workbookViewId="0">
      <selection activeCell="K1386" sqref="K1386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142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6" customWidth="1"/>
    <col min="10" max="10" width="14" style="56" customWidth="1"/>
    <col min="11" max="11" width="14.140625" style="56" customWidth="1"/>
    <col min="12" max="12" width="16.28515625" style="54" customWidth="1"/>
    <col min="13" max="13" width="15.5703125" style="55" customWidth="1"/>
    <col min="14" max="14" width="10.5703125" style="55" customWidth="1"/>
    <col min="15" max="16384" width="9.140625" style="55"/>
  </cols>
  <sheetData>
    <row r="1" spans="1:13" x14ac:dyDescent="0.2">
      <c r="A1" s="98" t="s">
        <v>1</v>
      </c>
      <c r="D1" s="138"/>
      <c r="E1" s="139"/>
      <c r="F1" s="139"/>
      <c r="G1" s="140"/>
      <c r="H1" s="140"/>
      <c r="I1" s="140"/>
      <c r="J1" s="140"/>
      <c r="L1" s="141"/>
    </row>
    <row r="2" spans="1:13" ht="13.5" thickBot="1" x14ac:dyDescent="0.25">
      <c r="A2" s="98" t="s">
        <v>1775</v>
      </c>
    </row>
    <row r="3" spans="1:13" ht="13.5" thickBot="1" x14ac:dyDescent="0.25">
      <c r="A3" s="99" t="s">
        <v>1764</v>
      </c>
      <c r="E3" s="58">
        <f>+E1396</f>
        <v>3146</v>
      </c>
      <c r="H3" s="59">
        <f>H1396</f>
        <v>101597.39000000001</v>
      </c>
      <c r="I3" s="59">
        <f>I1396</f>
        <v>86448.5</v>
      </c>
      <c r="J3" s="59">
        <f>J1396</f>
        <v>89.5</v>
      </c>
      <c r="K3" s="60">
        <f>K1396</f>
        <v>187956.39</v>
      </c>
      <c r="L3" s="14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43" t="s">
        <v>1776</v>
      </c>
      <c r="B6" s="144" t="s">
        <v>1777</v>
      </c>
      <c r="C6" s="144" t="s">
        <v>1778</v>
      </c>
      <c r="D6" s="145" t="s">
        <v>1779</v>
      </c>
      <c r="E6" s="144">
        <v>1</v>
      </c>
      <c r="F6" s="146"/>
      <c r="G6" s="146" t="s">
        <v>1780</v>
      </c>
      <c r="H6" s="147">
        <f t="shared" ref="H6:H69" si="0">E6*G6</f>
        <v>58</v>
      </c>
      <c r="I6" s="147"/>
      <c r="J6" s="147">
        <v>0</v>
      </c>
      <c r="K6" s="147">
        <f t="shared" ref="K6:K69" si="1">H6+I6-J6</f>
        <v>58</v>
      </c>
      <c r="L6" s="148">
        <f t="shared" ref="L6:L69" si="2">E6*F6</f>
        <v>0</v>
      </c>
      <c r="M6" s="113"/>
    </row>
    <row r="7" spans="1:13" s="114" customFormat="1" ht="14.25" customHeight="1" x14ac:dyDescent="0.2">
      <c r="A7" s="106" t="s">
        <v>1776</v>
      </c>
      <c r="B7" s="105" t="s">
        <v>1781</v>
      </c>
      <c r="C7" s="117" t="s">
        <v>1778</v>
      </c>
      <c r="D7" s="149" t="s">
        <v>1782</v>
      </c>
      <c r="E7" s="105">
        <v>1</v>
      </c>
      <c r="F7" s="150" t="s">
        <v>1783</v>
      </c>
      <c r="G7" s="150" t="s">
        <v>1784</v>
      </c>
      <c r="H7" s="119">
        <f t="shared" si="0"/>
        <v>11</v>
      </c>
      <c r="I7" s="119"/>
      <c r="J7" s="151">
        <v>0</v>
      </c>
      <c r="K7" s="119">
        <f>H7+I7-J7</f>
        <v>11</v>
      </c>
      <c r="L7" s="152">
        <f>E7*F7</f>
        <v>9.3800000000000008</v>
      </c>
      <c r="M7" s="113"/>
    </row>
    <row r="8" spans="1:13" s="114" customFormat="1" ht="14.25" customHeight="1" x14ac:dyDescent="0.2">
      <c r="A8" s="106" t="s">
        <v>1776</v>
      </c>
      <c r="B8" s="105" t="s">
        <v>1785</v>
      </c>
      <c r="C8" s="117" t="s">
        <v>1778</v>
      </c>
      <c r="D8" s="149" t="s">
        <v>1786</v>
      </c>
      <c r="E8" s="105">
        <v>1</v>
      </c>
      <c r="F8" s="150" t="s">
        <v>1787</v>
      </c>
      <c r="G8" s="150" t="s">
        <v>1788</v>
      </c>
      <c r="H8" s="119">
        <f t="shared" si="0"/>
        <v>10</v>
      </c>
      <c r="I8" s="119"/>
      <c r="J8" s="151">
        <v>0</v>
      </c>
      <c r="K8" s="119">
        <f t="shared" si="1"/>
        <v>10</v>
      </c>
      <c r="L8" s="152">
        <f t="shared" si="2"/>
        <v>7.03</v>
      </c>
      <c r="M8" s="113"/>
    </row>
    <row r="9" spans="1:13" s="114" customFormat="1" ht="14.25" customHeight="1" x14ac:dyDescent="0.2">
      <c r="A9" s="106" t="s">
        <v>1776</v>
      </c>
      <c r="B9" s="105" t="s">
        <v>1789</v>
      </c>
      <c r="C9" s="117" t="s">
        <v>1778</v>
      </c>
      <c r="D9" s="149" t="s">
        <v>1790</v>
      </c>
      <c r="E9" s="105">
        <v>1</v>
      </c>
      <c r="F9" s="150" t="s">
        <v>1791</v>
      </c>
      <c r="G9" s="150" t="s">
        <v>1792</v>
      </c>
      <c r="H9" s="119">
        <f t="shared" si="0"/>
        <v>73</v>
      </c>
      <c r="I9" s="119"/>
      <c r="J9" s="151">
        <v>0</v>
      </c>
      <c r="K9" s="119">
        <f t="shared" si="1"/>
        <v>73</v>
      </c>
      <c r="L9" s="152">
        <f t="shared" si="2"/>
        <v>57</v>
      </c>
      <c r="M9" s="113"/>
    </row>
    <row r="10" spans="1:13" s="114" customFormat="1" ht="14.25" customHeight="1" x14ac:dyDescent="0.2">
      <c r="A10" s="106" t="s">
        <v>1776</v>
      </c>
      <c r="B10" s="105" t="s">
        <v>1793</v>
      </c>
      <c r="C10" s="105" t="s">
        <v>1794</v>
      </c>
      <c r="D10" s="149" t="s">
        <v>1795</v>
      </c>
      <c r="E10" s="105">
        <v>1</v>
      </c>
      <c r="F10" s="150" t="s">
        <v>1796</v>
      </c>
      <c r="G10" s="150" t="s">
        <v>1797</v>
      </c>
      <c r="H10" s="119">
        <f t="shared" si="0"/>
        <v>14.75</v>
      </c>
      <c r="I10" s="119"/>
      <c r="J10" s="151">
        <v>0</v>
      </c>
      <c r="K10" s="119">
        <f t="shared" si="1"/>
        <v>14.75</v>
      </c>
      <c r="L10" s="152">
        <f t="shared" si="2"/>
        <v>12.77</v>
      </c>
      <c r="M10" s="113"/>
    </row>
    <row r="11" spans="1:13" s="114" customFormat="1" ht="14.25" customHeight="1" x14ac:dyDescent="0.2">
      <c r="A11" s="106" t="s">
        <v>1776</v>
      </c>
      <c r="B11" s="105" t="s">
        <v>1798</v>
      </c>
      <c r="C11" s="105" t="s">
        <v>1794</v>
      </c>
      <c r="D11" s="149" t="s">
        <v>1799</v>
      </c>
      <c r="E11" s="105">
        <v>1</v>
      </c>
      <c r="F11" s="150" t="s">
        <v>1800</v>
      </c>
      <c r="G11" s="150" t="s">
        <v>1801</v>
      </c>
      <c r="H11" s="119">
        <f t="shared" si="0"/>
        <v>9.5</v>
      </c>
      <c r="I11" s="119"/>
      <c r="J11" s="151">
        <v>0</v>
      </c>
      <c r="K11" s="119">
        <f t="shared" si="1"/>
        <v>9.5</v>
      </c>
      <c r="L11" s="152">
        <f t="shared" si="2"/>
        <v>8.1999999999999993</v>
      </c>
      <c r="M11" s="113"/>
    </row>
    <row r="12" spans="1:13" s="114" customFormat="1" ht="14.25" customHeight="1" x14ac:dyDescent="0.2">
      <c r="A12" s="106" t="s">
        <v>1776</v>
      </c>
      <c r="B12" s="105" t="s">
        <v>1802</v>
      </c>
      <c r="C12" s="105" t="s">
        <v>1794</v>
      </c>
      <c r="D12" s="149" t="s">
        <v>1803</v>
      </c>
      <c r="E12" s="105">
        <v>2</v>
      </c>
      <c r="F12" s="150" t="s">
        <v>1804</v>
      </c>
      <c r="G12" s="150" t="s">
        <v>1805</v>
      </c>
      <c r="H12" s="119">
        <f t="shared" si="0"/>
        <v>17.5</v>
      </c>
      <c r="I12" s="119"/>
      <c r="J12" s="151">
        <v>0</v>
      </c>
      <c r="K12" s="119">
        <f t="shared" si="1"/>
        <v>17.5</v>
      </c>
      <c r="L12" s="152">
        <f t="shared" si="2"/>
        <v>15.02</v>
      </c>
      <c r="M12" s="113"/>
    </row>
    <row r="13" spans="1:13" s="114" customFormat="1" ht="14.25" customHeight="1" x14ac:dyDescent="0.2">
      <c r="A13" s="106" t="s">
        <v>1776</v>
      </c>
      <c r="B13" s="105" t="s">
        <v>1806</v>
      </c>
      <c r="C13" s="105" t="s">
        <v>1794</v>
      </c>
      <c r="D13" s="149" t="s">
        <v>1807</v>
      </c>
      <c r="E13" s="105">
        <v>2</v>
      </c>
      <c r="F13" s="150" t="s">
        <v>1808</v>
      </c>
      <c r="G13" s="150" t="s">
        <v>1809</v>
      </c>
      <c r="H13" s="119">
        <f t="shared" si="0"/>
        <v>36</v>
      </c>
      <c r="I13" s="119"/>
      <c r="J13" s="151">
        <v>0</v>
      </c>
      <c r="K13" s="119">
        <f t="shared" si="1"/>
        <v>36</v>
      </c>
      <c r="L13" s="152">
        <f t="shared" si="2"/>
        <v>31.3</v>
      </c>
      <c r="M13" s="113"/>
    </row>
    <row r="14" spans="1:13" s="114" customFormat="1" ht="14.25" customHeight="1" x14ac:dyDescent="0.2">
      <c r="A14" s="106" t="s">
        <v>1776</v>
      </c>
      <c r="B14" s="105" t="s">
        <v>1810</v>
      </c>
      <c r="C14" s="105" t="s">
        <v>1794</v>
      </c>
      <c r="D14" s="149" t="s">
        <v>1811</v>
      </c>
      <c r="E14" s="105">
        <v>1</v>
      </c>
      <c r="F14" s="150" t="s">
        <v>1812</v>
      </c>
      <c r="G14" s="150" t="s">
        <v>1813</v>
      </c>
      <c r="H14" s="119">
        <f t="shared" si="0"/>
        <v>44.25</v>
      </c>
      <c r="I14" s="119"/>
      <c r="J14" s="151">
        <v>0</v>
      </c>
      <c r="K14" s="119">
        <f t="shared" si="1"/>
        <v>44.25</v>
      </c>
      <c r="L14" s="152">
        <f t="shared" si="2"/>
        <v>38.39</v>
      </c>
      <c r="M14" s="113"/>
    </row>
    <row r="15" spans="1:13" s="114" customFormat="1" ht="14.25" customHeight="1" x14ac:dyDescent="0.2">
      <c r="A15" s="106" t="s">
        <v>1776</v>
      </c>
      <c r="B15" s="105" t="s">
        <v>1814</v>
      </c>
      <c r="C15" s="105" t="s">
        <v>1794</v>
      </c>
      <c r="D15" s="149" t="s">
        <v>1815</v>
      </c>
      <c r="E15" s="105">
        <v>1</v>
      </c>
      <c r="F15" s="150" t="s">
        <v>1816</v>
      </c>
      <c r="G15" s="150" t="s">
        <v>1817</v>
      </c>
      <c r="H15" s="119">
        <f t="shared" si="0"/>
        <v>26</v>
      </c>
      <c r="I15" s="119"/>
      <c r="J15" s="151">
        <v>0</v>
      </c>
      <c r="K15" s="119">
        <f t="shared" si="1"/>
        <v>26</v>
      </c>
      <c r="L15" s="152">
        <f t="shared" si="2"/>
        <v>22.59</v>
      </c>
      <c r="M15" s="113"/>
    </row>
    <row r="16" spans="1:13" s="114" customFormat="1" ht="14.25" customHeight="1" x14ac:dyDescent="0.2">
      <c r="A16" s="106" t="s">
        <v>1776</v>
      </c>
      <c r="B16" s="105" t="s">
        <v>1818</v>
      </c>
      <c r="C16" s="105" t="s">
        <v>1794</v>
      </c>
      <c r="D16" s="149" t="s">
        <v>1819</v>
      </c>
      <c r="E16" s="105">
        <v>1</v>
      </c>
      <c r="F16" s="150" t="s">
        <v>1820</v>
      </c>
      <c r="G16" s="150" t="s">
        <v>1791</v>
      </c>
      <c r="H16" s="119">
        <f t="shared" si="0"/>
        <v>57</v>
      </c>
      <c r="I16" s="119"/>
      <c r="J16" s="151">
        <v>0</v>
      </c>
      <c r="K16" s="119">
        <f t="shared" si="1"/>
        <v>57</v>
      </c>
      <c r="L16" s="152">
        <f t="shared" si="2"/>
        <v>46</v>
      </c>
      <c r="M16" s="113"/>
    </row>
    <row r="17" spans="1:13" s="114" customFormat="1" ht="14.25" customHeight="1" x14ac:dyDescent="0.2">
      <c r="A17" s="106" t="s">
        <v>1776</v>
      </c>
      <c r="B17" s="105" t="s">
        <v>1821</v>
      </c>
      <c r="C17" s="105" t="s">
        <v>1822</v>
      </c>
      <c r="D17" s="149" t="s">
        <v>1823</v>
      </c>
      <c r="E17" s="105">
        <v>1</v>
      </c>
      <c r="F17" s="150" t="s">
        <v>1824</v>
      </c>
      <c r="G17" s="150" t="s">
        <v>1825</v>
      </c>
      <c r="H17" s="119">
        <f t="shared" si="0"/>
        <v>67.5</v>
      </c>
      <c r="I17" s="119"/>
      <c r="J17" s="151">
        <v>0</v>
      </c>
      <c r="K17" s="119">
        <f t="shared" si="1"/>
        <v>67.5</v>
      </c>
      <c r="L17" s="152">
        <f t="shared" si="2"/>
        <v>59.58</v>
      </c>
      <c r="M17" s="113"/>
    </row>
    <row r="18" spans="1:13" s="114" customFormat="1" ht="14.25" customHeight="1" x14ac:dyDescent="0.2">
      <c r="A18" s="106" t="s">
        <v>1776</v>
      </c>
      <c r="B18" s="105" t="s">
        <v>1826</v>
      </c>
      <c r="C18" s="105" t="s">
        <v>1822</v>
      </c>
      <c r="D18" s="149" t="s">
        <v>1827</v>
      </c>
      <c r="E18" s="105">
        <v>1</v>
      </c>
      <c r="F18" s="150" t="s">
        <v>1828</v>
      </c>
      <c r="G18" s="150" t="s">
        <v>1829</v>
      </c>
      <c r="H18" s="119">
        <f t="shared" si="0"/>
        <v>120</v>
      </c>
      <c r="I18" s="119"/>
      <c r="J18" s="151">
        <v>0</v>
      </c>
      <c r="K18" s="119">
        <f t="shared" si="1"/>
        <v>120</v>
      </c>
      <c r="L18" s="152">
        <f t="shared" si="2"/>
        <v>90</v>
      </c>
      <c r="M18" s="113"/>
    </row>
    <row r="19" spans="1:13" s="114" customFormat="1" ht="14.25" customHeight="1" x14ac:dyDescent="0.2">
      <c r="A19" s="106" t="s">
        <v>1776</v>
      </c>
      <c r="B19" s="105" t="s">
        <v>1830</v>
      </c>
      <c r="C19" s="105" t="s">
        <v>1822</v>
      </c>
      <c r="D19" s="149" t="s">
        <v>1831</v>
      </c>
      <c r="E19" s="105">
        <v>1</v>
      </c>
      <c r="F19" s="150" t="s">
        <v>1832</v>
      </c>
      <c r="G19" s="150" t="s">
        <v>1833</v>
      </c>
      <c r="H19" s="119">
        <f t="shared" si="0"/>
        <v>18.5</v>
      </c>
      <c r="I19" s="119"/>
      <c r="J19" s="151">
        <v>0</v>
      </c>
      <c r="K19" s="119">
        <f t="shared" si="1"/>
        <v>18.5</v>
      </c>
      <c r="L19" s="152">
        <f t="shared" si="2"/>
        <v>16.03</v>
      </c>
      <c r="M19" s="113"/>
    </row>
    <row r="20" spans="1:13" s="114" customFormat="1" ht="14.25" customHeight="1" x14ac:dyDescent="0.2">
      <c r="A20" s="106" t="s">
        <v>1776</v>
      </c>
      <c r="B20" s="105" t="s">
        <v>1834</v>
      </c>
      <c r="C20" s="105" t="s">
        <v>1835</v>
      </c>
      <c r="D20" s="149" t="s">
        <v>1836</v>
      </c>
      <c r="E20" s="105">
        <v>12</v>
      </c>
      <c r="F20" s="150" t="s">
        <v>1837</v>
      </c>
      <c r="G20" s="150" t="s">
        <v>1838</v>
      </c>
      <c r="H20" s="119">
        <f t="shared" si="0"/>
        <v>204</v>
      </c>
      <c r="I20" s="119"/>
      <c r="J20" s="151">
        <v>0</v>
      </c>
      <c r="K20" s="119">
        <f t="shared" si="1"/>
        <v>204</v>
      </c>
      <c r="L20" s="152">
        <f t="shared" si="2"/>
        <v>173.16</v>
      </c>
      <c r="M20" s="113"/>
    </row>
    <row r="21" spans="1:13" s="114" customFormat="1" ht="14.25" customHeight="1" x14ac:dyDescent="0.2">
      <c r="A21" s="106" t="s">
        <v>1776</v>
      </c>
      <c r="B21" s="105" t="s">
        <v>1839</v>
      </c>
      <c r="C21" s="105" t="s">
        <v>1835</v>
      </c>
      <c r="D21" s="149" t="s">
        <v>1840</v>
      </c>
      <c r="E21" s="105">
        <v>2</v>
      </c>
      <c r="F21" s="150" t="s">
        <v>1841</v>
      </c>
      <c r="G21" s="150" t="s">
        <v>1842</v>
      </c>
      <c r="H21" s="119">
        <f t="shared" si="0"/>
        <v>85</v>
      </c>
      <c r="I21" s="119"/>
      <c r="J21" s="151">
        <v>0</v>
      </c>
      <c r="K21" s="119">
        <f t="shared" si="1"/>
        <v>85</v>
      </c>
      <c r="L21" s="152">
        <f t="shared" si="2"/>
        <v>73.680000000000007</v>
      </c>
      <c r="M21" s="113"/>
    </row>
    <row r="22" spans="1:13" s="114" customFormat="1" ht="14.25" customHeight="1" x14ac:dyDescent="0.2">
      <c r="A22" s="153" t="s">
        <v>1776</v>
      </c>
      <c r="B22" s="154" t="s">
        <v>1843</v>
      </c>
      <c r="C22" s="154" t="s">
        <v>1835</v>
      </c>
      <c r="D22" s="155" t="s">
        <v>1844</v>
      </c>
      <c r="E22" s="154">
        <v>1</v>
      </c>
      <c r="F22" s="146"/>
      <c r="G22" s="146" t="s">
        <v>1845</v>
      </c>
      <c r="H22" s="147">
        <f t="shared" si="0"/>
        <v>73.17</v>
      </c>
      <c r="I22" s="147"/>
      <c r="J22" s="156">
        <v>0</v>
      </c>
      <c r="K22" s="147">
        <f t="shared" si="1"/>
        <v>73.17</v>
      </c>
      <c r="L22" s="148">
        <f t="shared" si="2"/>
        <v>0</v>
      </c>
      <c r="M22" s="113"/>
    </row>
    <row r="23" spans="1:13" s="114" customFormat="1" ht="14.25" customHeight="1" x14ac:dyDescent="0.2">
      <c r="A23" s="106" t="s">
        <v>1776</v>
      </c>
      <c r="B23" s="105" t="s">
        <v>1846</v>
      </c>
      <c r="C23" s="105" t="s">
        <v>1835</v>
      </c>
      <c r="D23" s="149" t="s">
        <v>1847</v>
      </c>
      <c r="E23" s="105">
        <v>2</v>
      </c>
      <c r="F23" s="150" t="s">
        <v>1848</v>
      </c>
      <c r="G23" s="150" t="s">
        <v>1849</v>
      </c>
      <c r="H23" s="119">
        <f t="shared" si="0"/>
        <v>142.5</v>
      </c>
      <c r="I23" s="119"/>
      <c r="J23" s="151">
        <v>0</v>
      </c>
      <c r="K23" s="119">
        <f t="shared" si="1"/>
        <v>142.5</v>
      </c>
      <c r="L23" s="152">
        <f t="shared" si="2"/>
        <v>123.86</v>
      </c>
      <c r="M23" s="113"/>
    </row>
    <row r="24" spans="1:13" s="114" customFormat="1" ht="14.25" customHeight="1" x14ac:dyDescent="0.2">
      <c r="A24" s="106" t="s">
        <v>1776</v>
      </c>
      <c r="B24" s="105" t="s">
        <v>1850</v>
      </c>
      <c r="C24" s="105" t="s">
        <v>1835</v>
      </c>
      <c r="D24" s="149" t="s">
        <v>1851</v>
      </c>
      <c r="E24" s="105">
        <v>1</v>
      </c>
      <c r="F24" s="150" t="s">
        <v>1852</v>
      </c>
      <c r="G24" s="150" t="s">
        <v>1853</v>
      </c>
      <c r="H24" s="119">
        <f t="shared" si="0"/>
        <v>7.5</v>
      </c>
      <c r="I24" s="119"/>
      <c r="J24" s="151">
        <v>0</v>
      </c>
      <c r="K24" s="119">
        <f t="shared" si="1"/>
        <v>7.5</v>
      </c>
      <c r="L24" s="152">
        <f t="shared" si="2"/>
        <v>6.18</v>
      </c>
      <c r="M24" s="113"/>
    </row>
    <row r="25" spans="1:13" s="114" customFormat="1" ht="14.25" customHeight="1" x14ac:dyDescent="0.2">
      <c r="A25" s="106" t="s">
        <v>1776</v>
      </c>
      <c r="B25" s="105" t="s">
        <v>1854</v>
      </c>
      <c r="C25" s="105" t="s">
        <v>1835</v>
      </c>
      <c r="D25" s="149" t="s">
        <v>1855</v>
      </c>
      <c r="E25" s="105">
        <v>1</v>
      </c>
      <c r="F25" s="150" t="s">
        <v>1856</v>
      </c>
      <c r="G25" s="150" t="s">
        <v>1805</v>
      </c>
      <c r="H25" s="119">
        <f t="shared" si="0"/>
        <v>8.75</v>
      </c>
      <c r="I25" s="119"/>
      <c r="J25" s="151">
        <v>0</v>
      </c>
      <c r="K25" s="119">
        <f t="shared" si="1"/>
        <v>8.75</v>
      </c>
      <c r="L25" s="152">
        <f t="shared" si="2"/>
        <v>7.62</v>
      </c>
      <c r="M25" s="113"/>
    </row>
    <row r="26" spans="1:13" s="114" customFormat="1" ht="14.25" customHeight="1" x14ac:dyDescent="0.2">
      <c r="A26" s="106" t="s">
        <v>1776</v>
      </c>
      <c r="B26" s="105" t="s">
        <v>1857</v>
      </c>
      <c r="C26" s="105" t="s">
        <v>1835</v>
      </c>
      <c r="D26" s="149" t="s">
        <v>1858</v>
      </c>
      <c r="E26" s="105">
        <v>1</v>
      </c>
      <c r="F26" s="150" t="s">
        <v>1859</v>
      </c>
      <c r="G26" s="150" t="s">
        <v>1860</v>
      </c>
      <c r="H26" s="119">
        <f t="shared" si="0"/>
        <v>17.5</v>
      </c>
      <c r="I26" s="119"/>
      <c r="J26" s="151">
        <v>0</v>
      </c>
      <c r="K26" s="119">
        <f t="shared" si="1"/>
        <v>17.5</v>
      </c>
      <c r="L26" s="152">
        <f t="shared" si="2"/>
        <v>15.12</v>
      </c>
      <c r="M26" s="113"/>
    </row>
    <row r="27" spans="1:13" s="114" customFormat="1" ht="14.25" customHeight="1" x14ac:dyDescent="0.2">
      <c r="A27" s="106" t="s">
        <v>1776</v>
      </c>
      <c r="B27" s="105" t="s">
        <v>1861</v>
      </c>
      <c r="C27" s="105" t="s">
        <v>1835</v>
      </c>
      <c r="D27" s="149" t="s">
        <v>1862</v>
      </c>
      <c r="E27" s="105">
        <v>1</v>
      </c>
      <c r="F27" s="150" t="s">
        <v>1808</v>
      </c>
      <c r="G27" s="150" t="s">
        <v>1809</v>
      </c>
      <c r="H27" s="119">
        <f t="shared" si="0"/>
        <v>18</v>
      </c>
      <c r="I27" s="119"/>
      <c r="J27" s="151">
        <v>0</v>
      </c>
      <c r="K27" s="119">
        <f t="shared" si="1"/>
        <v>18</v>
      </c>
      <c r="L27" s="152">
        <f t="shared" si="2"/>
        <v>15.65</v>
      </c>
      <c r="M27" s="113"/>
    </row>
    <row r="28" spans="1:13" s="114" customFormat="1" ht="14.25" customHeight="1" x14ac:dyDescent="0.2">
      <c r="A28" s="106" t="s">
        <v>1776</v>
      </c>
      <c r="B28" s="105" t="s">
        <v>1863</v>
      </c>
      <c r="C28" s="105" t="s">
        <v>1835</v>
      </c>
      <c r="D28" s="149" t="s">
        <v>1864</v>
      </c>
      <c r="E28" s="105">
        <v>1</v>
      </c>
      <c r="F28" s="150" t="s">
        <v>1852</v>
      </c>
      <c r="G28" s="150" t="s">
        <v>1853</v>
      </c>
      <c r="H28" s="119">
        <f t="shared" si="0"/>
        <v>7.5</v>
      </c>
      <c r="I28" s="119"/>
      <c r="J28" s="151">
        <v>0</v>
      </c>
      <c r="K28" s="119">
        <f t="shared" si="1"/>
        <v>7.5</v>
      </c>
      <c r="L28" s="152">
        <f t="shared" si="2"/>
        <v>6.18</v>
      </c>
      <c r="M28" s="113"/>
    </row>
    <row r="29" spans="1:13" s="114" customFormat="1" ht="14.25" customHeight="1" x14ac:dyDescent="0.2">
      <c r="A29" s="106" t="s">
        <v>1776</v>
      </c>
      <c r="B29" s="105" t="s">
        <v>1865</v>
      </c>
      <c r="C29" s="105" t="s">
        <v>1835</v>
      </c>
      <c r="D29" s="149" t="s">
        <v>1866</v>
      </c>
      <c r="E29" s="105">
        <v>1</v>
      </c>
      <c r="F29" s="150" t="s">
        <v>1867</v>
      </c>
      <c r="G29" s="150" t="s">
        <v>1868</v>
      </c>
      <c r="H29" s="119">
        <f t="shared" si="0"/>
        <v>450</v>
      </c>
      <c r="I29" s="119"/>
      <c r="J29" s="151">
        <v>0</v>
      </c>
      <c r="K29" s="119">
        <f t="shared" si="1"/>
        <v>450</v>
      </c>
      <c r="L29" s="152">
        <f t="shared" si="2"/>
        <v>300</v>
      </c>
      <c r="M29" s="113"/>
    </row>
    <row r="30" spans="1:13" s="114" customFormat="1" ht="14.25" customHeight="1" x14ac:dyDescent="0.2">
      <c r="A30" s="106" t="s">
        <v>1776</v>
      </c>
      <c r="B30" s="105" t="s">
        <v>1802</v>
      </c>
      <c r="C30" s="105" t="s">
        <v>1835</v>
      </c>
      <c r="D30" s="149" t="s">
        <v>1803</v>
      </c>
      <c r="E30" s="105">
        <v>1</v>
      </c>
      <c r="F30" s="150" t="s">
        <v>1804</v>
      </c>
      <c r="G30" s="150" t="s">
        <v>1805</v>
      </c>
      <c r="H30" s="119">
        <f t="shared" si="0"/>
        <v>8.75</v>
      </c>
      <c r="I30" s="119"/>
      <c r="J30" s="151">
        <v>0</v>
      </c>
      <c r="K30" s="119">
        <f t="shared" si="1"/>
        <v>8.75</v>
      </c>
      <c r="L30" s="152">
        <f t="shared" si="2"/>
        <v>7.51</v>
      </c>
      <c r="M30" s="113"/>
    </row>
    <row r="31" spans="1:13" s="114" customFormat="1" ht="14.25" customHeight="1" x14ac:dyDescent="0.2">
      <c r="A31" s="106" t="s">
        <v>1776</v>
      </c>
      <c r="B31" s="105" t="s">
        <v>1869</v>
      </c>
      <c r="C31" s="105" t="s">
        <v>1870</v>
      </c>
      <c r="D31" s="149" t="s">
        <v>1871</v>
      </c>
      <c r="E31" s="105">
        <v>1</v>
      </c>
      <c r="F31" s="150" t="s">
        <v>1872</v>
      </c>
      <c r="G31" s="150" t="s">
        <v>1873</v>
      </c>
      <c r="H31" s="119">
        <f t="shared" si="0"/>
        <v>19</v>
      </c>
      <c r="I31" s="119"/>
      <c r="J31" s="151">
        <v>0</v>
      </c>
      <c r="K31" s="119">
        <f t="shared" si="1"/>
        <v>19</v>
      </c>
      <c r="L31" s="152">
        <f t="shared" si="2"/>
        <v>16.170000000000002</v>
      </c>
      <c r="M31" s="113"/>
    </row>
    <row r="32" spans="1:13" s="114" customFormat="1" ht="14.25" customHeight="1" x14ac:dyDescent="0.2">
      <c r="A32" s="106" t="s">
        <v>1776</v>
      </c>
      <c r="B32" s="105" t="s">
        <v>1821</v>
      </c>
      <c r="C32" s="105" t="s">
        <v>1870</v>
      </c>
      <c r="D32" s="149" t="s">
        <v>1823</v>
      </c>
      <c r="E32" s="105">
        <v>1</v>
      </c>
      <c r="F32" s="150" t="s">
        <v>1824</v>
      </c>
      <c r="G32" s="150" t="s">
        <v>1825</v>
      </c>
      <c r="H32" s="119">
        <f t="shared" si="0"/>
        <v>67.5</v>
      </c>
      <c r="I32" s="119"/>
      <c r="J32" s="151">
        <v>0</v>
      </c>
      <c r="K32" s="119">
        <f t="shared" si="1"/>
        <v>67.5</v>
      </c>
      <c r="L32" s="152">
        <f t="shared" si="2"/>
        <v>59.58</v>
      </c>
      <c r="M32" s="113"/>
    </row>
    <row r="33" spans="1:13" s="114" customFormat="1" ht="14.25" customHeight="1" x14ac:dyDescent="0.2">
      <c r="A33" s="106" t="s">
        <v>1776</v>
      </c>
      <c r="B33" s="105" t="s">
        <v>1874</v>
      </c>
      <c r="C33" s="105" t="s">
        <v>1870</v>
      </c>
      <c r="D33" s="149" t="s">
        <v>1875</v>
      </c>
      <c r="E33" s="105">
        <v>1</v>
      </c>
      <c r="F33" s="150" t="s">
        <v>1876</v>
      </c>
      <c r="G33" s="150" t="s">
        <v>1873</v>
      </c>
      <c r="H33" s="119">
        <f t="shared" si="0"/>
        <v>19</v>
      </c>
      <c r="I33" s="119"/>
      <c r="J33" s="151">
        <v>0</v>
      </c>
      <c r="K33" s="119">
        <f t="shared" si="1"/>
        <v>19</v>
      </c>
      <c r="L33" s="152">
        <f t="shared" si="2"/>
        <v>16.350000000000001</v>
      </c>
      <c r="M33" s="113"/>
    </row>
    <row r="34" spans="1:13" s="114" customFormat="1" ht="14.25" customHeight="1" x14ac:dyDescent="0.2">
      <c r="A34" s="106" t="s">
        <v>1776</v>
      </c>
      <c r="B34" s="105" t="s">
        <v>1877</v>
      </c>
      <c r="C34" s="105" t="s">
        <v>1870</v>
      </c>
      <c r="D34" s="149" t="s">
        <v>1878</v>
      </c>
      <c r="E34" s="105">
        <v>1</v>
      </c>
      <c r="F34" s="150" t="s">
        <v>1879</v>
      </c>
      <c r="G34" s="150" t="s">
        <v>1880</v>
      </c>
      <c r="H34" s="119">
        <f t="shared" si="0"/>
        <v>21</v>
      </c>
      <c r="I34" s="119"/>
      <c r="J34" s="151">
        <v>0</v>
      </c>
      <c r="K34" s="119">
        <f t="shared" si="1"/>
        <v>21</v>
      </c>
      <c r="L34" s="152">
        <f t="shared" si="2"/>
        <v>18.2</v>
      </c>
      <c r="M34" s="113"/>
    </row>
    <row r="35" spans="1:13" s="114" customFormat="1" ht="14.25" customHeight="1" x14ac:dyDescent="0.2">
      <c r="A35" s="106" t="s">
        <v>1776</v>
      </c>
      <c r="B35" s="105" t="s">
        <v>1881</v>
      </c>
      <c r="C35" s="105" t="s">
        <v>1870</v>
      </c>
      <c r="D35" s="149" t="s">
        <v>1882</v>
      </c>
      <c r="E35" s="105">
        <v>3</v>
      </c>
      <c r="F35" s="150" t="s">
        <v>1883</v>
      </c>
      <c r="G35" s="150" t="s">
        <v>1784</v>
      </c>
      <c r="H35" s="119">
        <f t="shared" si="0"/>
        <v>33</v>
      </c>
      <c r="I35" s="119"/>
      <c r="J35" s="151">
        <v>0</v>
      </c>
      <c r="K35" s="119">
        <f t="shared" si="1"/>
        <v>33</v>
      </c>
      <c r="L35" s="152">
        <f t="shared" si="2"/>
        <v>21.990000000000002</v>
      </c>
      <c r="M35" s="113"/>
    </row>
    <row r="36" spans="1:13" s="114" customFormat="1" ht="14.25" customHeight="1" x14ac:dyDescent="0.2">
      <c r="A36" s="106" t="s">
        <v>1776</v>
      </c>
      <c r="B36" s="105" t="s">
        <v>1884</v>
      </c>
      <c r="C36" s="105" t="s">
        <v>1870</v>
      </c>
      <c r="D36" s="149" t="s">
        <v>1885</v>
      </c>
      <c r="E36" s="105">
        <v>2</v>
      </c>
      <c r="F36" s="150" t="s">
        <v>1886</v>
      </c>
      <c r="G36" s="150" t="s">
        <v>1887</v>
      </c>
      <c r="H36" s="119">
        <f t="shared" si="0"/>
        <v>19.5</v>
      </c>
      <c r="I36" s="119"/>
      <c r="J36" s="151">
        <v>0</v>
      </c>
      <c r="K36" s="119">
        <f t="shared" si="1"/>
        <v>19.5</v>
      </c>
      <c r="L36" s="152">
        <f t="shared" si="2"/>
        <v>13.66</v>
      </c>
      <c r="M36" s="113"/>
    </row>
    <row r="37" spans="1:13" s="114" customFormat="1" ht="14.25" customHeight="1" x14ac:dyDescent="0.2">
      <c r="A37" s="106" t="s">
        <v>1776</v>
      </c>
      <c r="B37" s="105" t="s">
        <v>1888</v>
      </c>
      <c r="C37" s="105" t="s">
        <v>1889</v>
      </c>
      <c r="D37" s="149" t="s">
        <v>1890</v>
      </c>
      <c r="E37" s="105">
        <v>1</v>
      </c>
      <c r="F37" s="150" t="s">
        <v>1891</v>
      </c>
      <c r="G37" s="150" t="s">
        <v>1892</v>
      </c>
      <c r="H37" s="119">
        <f t="shared" si="0"/>
        <v>24</v>
      </c>
      <c r="I37" s="119"/>
      <c r="J37" s="151">
        <v>0</v>
      </c>
      <c r="K37" s="119">
        <f t="shared" si="1"/>
        <v>24</v>
      </c>
      <c r="L37" s="152">
        <f t="shared" si="2"/>
        <v>20.68</v>
      </c>
      <c r="M37" s="113"/>
    </row>
    <row r="38" spans="1:13" s="114" customFormat="1" ht="14.25" customHeight="1" x14ac:dyDescent="0.2">
      <c r="A38" s="106" t="s">
        <v>1776</v>
      </c>
      <c r="B38" s="105" t="s">
        <v>1881</v>
      </c>
      <c r="C38" s="105" t="s">
        <v>1889</v>
      </c>
      <c r="D38" s="149" t="s">
        <v>1882</v>
      </c>
      <c r="E38" s="105">
        <v>2</v>
      </c>
      <c r="F38" s="150" t="s">
        <v>1883</v>
      </c>
      <c r="G38" s="150" t="s">
        <v>1784</v>
      </c>
      <c r="H38" s="119">
        <f t="shared" si="0"/>
        <v>22</v>
      </c>
      <c r="I38" s="119"/>
      <c r="J38" s="151">
        <v>0</v>
      </c>
      <c r="K38" s="119">
        <f t="shared" si="1"/>
        <v>22</v>
      </c>
      <c r="L38" s="152">
        <f t="shared" si="2"/>
        <v>14.66</v>
      </c>
      <c r="M38" s="113"/>
    </row>
    <row r="39" spans="1:13" s="114" customFormat="1" ht="14.25" customHeight="1" x14ac:dyDescent="0.2">
      <c r="A39" s="106" t="s">
        <v>1776</v>
      </c>
      <c r="B39" s="105" t="s">
        <v>1893</v>
      </c>
      <c r="C39" s="105" t="s">
        <v>1889</v>
      </c>
      <c r="D39" s="149" t="s">
        <v>1894</v>
      </c>
      <c r="E39" s="105">
        <v>1</v>
      </c>
      <c r="F39" s="150" t="s">
        <v>1895</v>
      </c>
      <c r="G39" s="150" t="s">
        <v>1896</v>
      </c>
      <c r="H39" s="119">
        <f t="shared" si="0"/>
        <v>31.5</v>
      </c>
      <c r="I39" s="119"/>
      <c r="J39" s="151">
        <v>0</v>
      </c>
      <c r="K39" s="119">
        <f t="shared" si="1"/>
        <v>31.5</v>
      </c>
      <c r="L39" s="152">
        <f t="shared" si="2"/>
        <v>27.3</v>
      </c>
      <c r="M39" s="113"/>
    </row>
    <row r="40" spans="1:13" s="114" customFormat="1" ht="14.25" customHeight="1" x14ac:dyDescent="0.2">
      <c r="A40" s="106" t="s">
        <v>1776</v>
      </c>
      <c r="B40" s="105" t="s">
        <v>1897</v>
      </c>
      <c r="C40" s="105" t="s">
        <v>1889</v>
      </c>
      <c r="D40" s="149" t="s">
        <v>1898</v>
      </c>
      <c r="E40" s="105">
        <v>1</v>
      </c>
      <c r="F40" s="150" t="s">
        <v>1899</v>
      </c>
      <c r="G40" s="150" t="s">
        <v>1900</v>
      </c>
      <c r="H40" s="119">
        <f t="shared" si="0"/>
        <v>30</v>
      </c>
      <c r="I40" s="119"/>
      <c r="J40" s="151">
        <v>0</v>
      </c>
      <c r="K40" s="119">
        <f t="shared" si="1"/>
        <v>30</v>
      </c>
      <c r="L40" s="152">
        <f t="shared" si="2"/>
        <v>27.5</v>
      </c>
      <c r="M40" s="113"/>
    </row>
    <row r="41" spans="1:13" s="114" customFormat="1" ht="14.25" customHeight="1" x14ac:dyDescent="0.2">
      <c r="A41" s="106" t="s">
        <v>1776</v>
      </c>
      <c r="B41" s="105" t="s">
        <v>1869</v>
      </c>
      <c r="C41" s="105" t="s">
        <v>1901</v>
      </c>
      <c r="D41" s="149" t="s">
        <v>1871</v>
      </c>
      <c r="E41" s="105">
        <v>1</v>
      </c>
      <c r="F41" s="150" t="s">
        <v>1872</v>
      </c>
      <c r="G41" s="150" t="s">
        <v>1873</v>
      </c>
      <c r="H41" s="119">
        <f t="shared" si="0"/>
        <v>19</v>
      </c>
      <c r="I41" s="119"/>
      <c r="J41" s="151">
        <v>0</v>
      </c>
      <c r="K41" s="119">
        <f t="shared" si="1"/>
        <v>19</v>
      </c>
      <c r="L41" s="152">
        <f t="shared" si="2"/>
        <v>16.170000000000002</v>
      </c>
      <c r="M41" s="113"/>
    </row>
    <row r="42" spans="1:13" s="114" customFormat="1" ht="14.25" customHeight="1" x14ac:dyDescent="0.2">
      <c r="A42" s="106" t="s">
        <v>1776</v>
      </c>
      <c r="B42" s="105" t="s">
        <v>1888</v>
      </c>
      <c r="C42" s="105" t="s">
        <v>1901</v>
      </c>
      <c r="D42" s="149" t="s">
        <v>1890</v>
      </c>
      <c r="E42" s="105">
        <v>2</v>
      </c>
      <c r="F42" s="150" t="s">
        <v>1891</v>
      </c>
      <c r="G42" s="150" t="s">
        <v>1892</v>
      </c>
      <c r="H42" s="119">
        <f t="shared" si="0"/>
        <v>48</v>
      </c>
      <c r="I42" s="119"/>
      <c r="J42" s="151">
        <v>0</v>
      </c>
      <c r="K42" s="119">
        <f t="shared" si="1"/>
        <v>48</v>
      </c>
      <c r="L42" s="152">
        <f t="shared" si="2"/>
        <v>41.36</v>
      </c>
      <c r="M42" s="113"/>
    </row>
    <row r="43" spans="1:13" s="114" customFormat="1" ht="14.25" customHeight="1" x14ac:dyDescent="0.2">
      <c r="A43" s="153" t="s">
        <v>1776</v>
      </c>
      <c r="B43" s="154" t="s">
        <v>1902</v>
      </c>
      <c r="C43" s="154" t="s">
        <v>1901</v>
      </c>
      <c r="D43" s="155" t="s">
        <v>1903</v>
      </c>
      <c r="E43" s="154">
        <v>2</v>
      </c>
      <c r="F43" s="146"/>
      <c r="G43" s="146" t="s">
        <v>1904</v>
      </c>
      <c r="H43" s="147">
        <f t="shared" si="0"/>
        <v>38.5</v>
      </c>
      <c r="I43" s="147"/>
      <c r="J43" s="156">
        <v>0</v>
      </c>
      <c r="K43" s="147">
        <f t="shared" si="1"/>
        <v>38.5</v>
      </c>
      <c r="L43" s="148">
        <f t="shared" si="2"/>
        <v>0</v>
      </c>
      <c r="M43" s="113"/>
    </row>
    <row r="44" spans="1:13" s="114" customFormat="1" ht="14.25" customHeight="1" x14ac:dyDescent="0.2">
      <c r="A44" s="106" t="s">
        <v>1776</v>
      </c>
      <c r="B44" s="105" t="s">
        <v>1905</v>
      </c>
      <c r="C44" s="105" t="s">
        <v>1901</v>
      </c>
      <c r="D44" s="149" t="s">
        <v>1906</v>
      </c>
      <c r="E44" s="105">
        <v>1</v>
      </c>
      <c r="F44" s="150" t="s">
        <v>1859</v>
      </c>
      <c r="G44" s="150" t="s">
        <v>1860</v>
      </c>
      <c r="H44" s="119">
        <f t="shared" si="0"/>
        <v>17.5</v>
      </c>
      <c r="I44" s="119"/>
      <c r="J44" s="151">
        <v>0</v>
      </c>
      <c r="K44" s="119">
        <f t="shared" si="1"/>
        <v>17.5</v>
      </c>
      <c r="L44" s="152">
        <f t="shared" si="2"/>
        <v>15.12</v>
      </c>
      <c r="M44" s="113"/>
    </row>
    <row r="45" spans="1:13" s="114" customFormat="1" ht="14.25" customHeight="1" x14ac:dyDescent="0.2">
      <c r="A45" s="106" t="s">
        <v>1776</v>
      </c>
      <c r="B45" s="105" t="s">
        <v>1907</v>
      </c>
      <c r="C45" s="105" t="s">
        <v>1901</v>
      </c>
      <c r="D45" s="149" t="s">
        <v>1908</v>
      </c>
      <c r="E45" s="105">
        <v>1</v>
      </c>
      <c r="F45" s="150" t="s">
        <v>1909</v>
      </c>
      <c r="G45" s="150" t="s">
        <v>1910</v>
      </c>
      <c r="H45" s="119">
        <f t="shared" si="0"/>
        <v>20.75</v>
      </c>
      <c r="I45" s="119"/>
      <c r="J45" s="151">
        <v>0</v>
      </c>
      <c r="K45" s="119">
        <f t="shared" si="1"/>
        <v>20.75</v>
      </c>
      <c r="L45" s="152">
        <f t="shared" si="2"/>
        <v>18.03</v>
      </c>
      <c r="M45" s="113"/>
    </row>
    <row r="46" spans="1:13" s="114" customFormat="1" ht="14.25" customHeight="1" x14ac:dyDescent="0.2">
      <c r="A46" s="106" t="s">
        <v>1776</v>
      </c>
      <c r="B46" s="105" t="s">
        <v>1911</v>
      </c>
      <c r="C46" s="105" t="s">
        <v>1901</v>
      </c>
      <c r="D46" s="149" t="s">
        <v>1912</v>
      </c>
      <c r="E46" s="105">
        <v>1</v>
      </c>
      <c r="F46" s="150" t="s">
        <v>1913</v>
      </c>
      <c r="G46" s="150" t="s">
        <v>1914</v>
      </c>
      <c r="H46" s="119">
        <f t="shared" si="0"/>
        <v>36.5</v>
      </c>
      <c r="I46" s="119"/>
      <c r="J46" s="151">
        <v>0</v>
      </c>
      <c r="K46" s="119">
        <f t="shared" si="1"/>
        <v>36.5</v>
      </c>
      <c r="L46" s="152">
        <f t="shared" si="2"/>
        <v>31.6</v>
      </c>
      <c r="M46" s="113"/>
    </row>
    <row r="47" spans="1:13" s="114" customFormat="1" ht="14.25" customHeight="1" x14ac:dyDescent="0.2">
      <c r="A47" s="106" t="s">
        <v>1776</v>
      </c>
      <c r="B47" s="105" t="s">
        <v>1915</v>
      </c>
      <c r="C47" s="105" t="s">
        <v>1916</v>
      </c>
      <c r="D47" s="149" t="s">
        <v>1917</v>
      </c>
      <c r="E47" s="105">
        <v>1</v>
      </c>
      <c r="F47" s="150" t="s">
        <v>1918</v>
      </c>
      <c r="G47" s="150" t="s">
        <v>1919</v>
      </c>
      <c r="H47" s="119">
        <f t="shared" si="0"/>
        <v>12</v>
      </c>
      <c r="I47" s="119"/>
      <c r="J47" s="151">
        <v>0</v>
      </c>
      <c r="K47" s="119">
        <f t="shared" si="1"/>
        <v>12</v>
      </c>
      <c r="L47" s="152">
        <f t="shared" si="2"/>
        <v>7.85</v>
      </c>
      <c r="M47" s="113"/>
    </row>
    <row r="48" spans="1:13" s="114" customFormat="1" ht="14.25" customHeight="1" x14ac:dyDescent="0.2">
      <c r="A48" s="106" t="s">
        <v>1776</v>
      </c>
      <c r="B48" s="105" t="s">
        <v>1920</v>
      </c>
      <c r="C48" s="105" t="s">
        <v>1916</v>
      </c>
      <c r="D48" s="149" t="s">
        <v>1921</v>
      </c>
      <c r="E48" s="105">
        <v>1</v>
      </c>
      <c r="F48" s="150" t="s">
        <v>1922</v>
      </c>
      <c r="G48" s="150" t="s">
        <v>1923</v>
      </c>
      <c r="H48" s="119">
        <f t="shared" si="0"/>
        <v>15.5</v>
      </c>
      <c r="I48" s="119"/>
      <c r="J48" s="151">
        <v>0</v>
      </c>
      <c r="K48" s="119">
        <f t="shared" si="1"/>
        <v>15.5</v>
      </c>
      <c r="L48" s="152">
        <f t="shared" si="2"/>
        <v>13.32</v>
      </c>
      <c r="M48" s="113"/>
    </row>
    <row r="49" spans="1:13" s="114" customFormat="1" ht="14.25" customHeight="1" x14ac:dyDescent="0.2">
      <c r="A49" s="153" t="s">
        <v>1776</v>
      </c>
      <c r="B49" s="154" t="s">
        <v>1902</v>
      </c>
      <c r="C49" s="154" t="s">
        <v>1916</v>
      </c>
      <c r="D49" s="155" t="s">
        <v>1903</v>
      </c>
      <c r="E49" s="154">
        <v>2</v>
      </c>
      <c r="F49" s="146"/>
      <c r="G49" s="146" t="s">
        <v>1904</v>
      </c>
      <c r="H49" s="147">
        <f t="shared" si="0"/>
        <v>38.5</v>
      </c>
      <c r="I49" s="147"/>
      <c r="J49" s="156">
        <v>0</v>
      </c>
      <c r="K49" s="147">
        <f t="shared" si="1"/>
        <v>38.5</v>
      </c>
      <c r="L49" s="148">
        <f t="shared" si="2"/>
        <v>0</v>
      </c>
      <c r="M49" s="113"/>
    </row>
    <row r="50" spans="1:13" s="114" customFormat="1" ht="14.25" customHeight="1" x14ac:dyDescent="0.2">
      <c r="A50" s="106" t="s">
        <v>1776</v>
      </c>
      <c r="B50" s="105" t="s">
        <v>1924</v>
      </c>
      <c r="C50" s="105" t="s">
        <v>1925</v>
      </c>
      <c r="D50" s="149" t="s">
        <v>1926</v>
      </c>
      <c r="E50" s="105">
        <v>6</v>
      </c>
      <c r="F50" s="150" t="s">
        <v>1927</v>
      </c>
      <c r="G50" s="150" t="s">
        <v>1928</v>
      </c>
      <c r="H50" s="119">
        <f t="shared" si="0"/>
        <v>73.5</v>
      </c>
      <c r="I50" s="119"/>
      <c r="J50" s="151">
        <v>0</v>
      </c>
      <c r="K50" s="119">
        <f t="shared" si="1"/>
        <v>73.5</v>
      </c>
      <c r="L50" s="152">
        <f t="shared" si="2"/>
        <v>63.84</v>
      </c>
      <c r="M50" s="113"/>
    </row>
    <row r="51" spans="1:13" s="114" customFormat="1" ht="14.25" customHeight="1" x14ac:dyDescent="0.2">
      <c r="A51" s="106" t="s">
        <v>1776</v>
      </c>
      <c r="B51" s="105" t="s">
        <v>1929</v>
      </c>
      <c r="C51" s="105" t="s">
        <v>1925</v>
      </c>
      <c r="D51" s="149" t="s">
        <v>1930</v>
      </c>
      <c r="E51" s="105">
        <v>1</v>
      </c>
      <c r="F51" s="150" t="s">
        <v>1931</v>
      </c>
      <c r="G51" s="150" t="s">
        <v>1932</v>
      </c>
      <c r="H51" s="119">
        <f t="shared" si="0"/>
        <v>22</v>
      </c>
      <c r="I51" s="119"/>
      <c r="J51" s="151">
        <v>0</v>
      </c>
      <c r="K51" s="119">
        <f t="shared" si="1"/>
        <v>22</v>
      </c>
      <c r="L51" s="152">
        <f t="shared" si="2"/>
        <v>13.92</v>
      </c>
      <c r="M51" s="113"/>
    </row>
    <row r="52" spans="1:13" s="114" customFormat="1" ht="14.25" customHeight="1" x14ac:dyDescent="0.2">
      <c r="A52" s="153" t="s">
        <v>1776</v>
      </c>
      <c r="B52" s="154" t="s">
        <v>1777</v>
      </c>
      <c r="C52" s="154" t="s">
        <v>1925</v>
      </c>
      <c r="D52" s="155" t="s">
        <v>1779</v>
      </c>
      <c r="E52" s="154">
        <v>1</v>
      </c>
      <c r="F52" s="146"/>
      <c r="G52" s="146" t="s">
        <v>1780</v>
      </c>
      <c r="H52" s="147">
        <f t="shared" si="0"/>
        <v>58</v>
      </c>
      <c r="I52" s="147"/>
      <c r="J52" s="156">
        <v>0</v>
      </c>
      <c r="K52" s="147">
        <f t="shared" si="1"/>
        <v>58</v>
      </c>
      <c r="L52" s="148">
        <f t="shared" si="2"/>
        <v>0</v>
      </c>
      <c r="M52" s="113"/>
    </row>
    <row r="53" spans="1:13" s="114" customFormat="1" ht="14.25" customHeight="1" x14ac:dyDescent="0.2">
      <c r="A53" s="106" t="s">
        <v>1776</v>
      </c>
      <c r="B53" s="105" t="s">
        <v>1846</v>
      </c>
      <c r="C53" s="105" t="s">
        <v>1925</v>
      </c>
      <c r="D53" s="149" t="s">
        <v>1847</v>
      </c>
      <c r="E53" s="105">
        <v>1</v>
      </c>
      <c r="F53" s="150" t="s">
        <v>1848</v>
      </c>
      <c r="G53" s="150" t="s">
        <v>1849</v>
      </c>
      <c r="H53" s="119">
        <f t="shared" si="0"/>
        <v>71.25</v>
      </c>
      <c r="I53" s="119"/>
      <c r="J53" s="151">
        <v>0</v>
      </c>
      <c r="K53" s="119">
        <f t="shared" si="1"/>
        <v>71.25</v>
      </c>
      <c r="L53" s="152">
        <f t="shared" si="2"/>
        <v>61.93</v>
      </c>
      <c r="M53" s="113"/>
    </row>
    <row r="54" spans="1:13" s="114" customFormat="1" ht="14.25" customHeight="1" x14ac:dyDescent="0.2">
      <c r="A54" s="106" t="s">
        <v>1776</v>
      </c>
      <c r="B54" s="105" t="s">
        <v>1933</v>
      </c>
      <c r="C54" s="105" t="s">
        <v>1925</v>
      </c>
      <c r="D54" s="149" t="s">
        <v>1934</v>
      </c>
      <c r="E54" s="105">
        <v>2</v>
      </c>
      <c r="F54" s="150" t="s">
        <v>1935</v>
      </c>
      <c r="G54" s="150" t="s">
        <v>1936</v>
      </c>
      <c r="H54" s="119">
        <f t="shared" si="0"/>
        <v>8.5</v>
      </c>
      <c r="I54" s="119"/>
      <c r="J54" s="151">
        <v>0</v>
      </c>
      <c r="K54" s="119">
        <f t="shared" si="1"/>
        <v>8.5</v>
      </c>
      <c r="L54" s="152">
        <f t="shared" si="2"/>
        <v>7.2</v>
      </c>
      <c r="M54" s="113"/>
    </row>
    <row r="55" spans="1:13" s="114" customFormat="1" ht="14.25" customHeight="1" x14ac:dyDescent="0.2">
      <c r="A55" s="106" t="s">
        <v>1776</v>
      </c>
      <c r="B55" s="105" t="s">
        <v>1937</v>
      </c>
      <c r="C55" s="105" t="s">
        <v>1925</v>
      </c>
      <c r="D55" s="149" t="s">
        <v>1938</v>
      </c>
      <c r="E55" s="105">
        <v>1</v>
      </c>
      <c r="F55" s="150" t="s">
        <v>1852</v>
      </c>
      <c r="G55" s="150" t="s">
        <v>1939</v>
      </c>
      <c r="H55" s="119">
        <f t="shared" si="0"/>
        <v>7.25</v>
      </c>
      <c r="I55" s="119"/>
      <c r="J55" s="151">
        <v>0</v>
      </c>
      <c r="K55" s="119">
        <f t="shared" si="1"/>
        <v>7.25</v>
      </c>
      <c r="L55" s="152">
        <f t="shared" si="2"/>
        <v>6.18</v>
      </c>
      <c r="M55" s="113"/>
    </row>
    <row r="56" spans="1:13" s="114" customFormat="1" ht="14.25" customHeight="1" x14ac:dyDescent="0.2">
      <c r="A56" s="106" t="s">
        <v>1776</v>
      </c>
      <c r="B56" s="105" t="s">
        <v>1940</v>
      </c>
      <c r="C56" s="105" t="s">
        <v>1925</v>
      </c>
      <c r="D56" s="149" t="s">
        <v>1941</v>
      </c>
      <c r="E56" s="105">
        <v>6</v>
      </c>
      <c r="F56" s="150" t="s">
        <v>1942</v>
      </c>
      <c r="G56" s="150" t="s">
        <v>1943</v>
      </c>
      <c r="H56" s="119">
        <f t="shared" si="0"/>
        <v>42</v>
      </c>
      <c r="I56" s="119"/>
      <c r="J56" s="151">
        <v>0</v>
      </c>
      <c r="K56" s="119">
        <f t="shared" si="1"/>
        <v>42</v>
      </c>
      <c r="L56" s="152">
        <f t="shared" si="2"/>
        <v>36</v>
      </c>
      <c r="M56" s="113"/>
    </row>
    <row r="57" spans="1:13" s="114" customFormat="1" ht="14.25" customHeight="1" x14ac:dyDescent="0.2">
      <c r="A57" s="106" t="s">
        <v>1776</v>
      </c>
      <c r="B57" s="105" t="s">
        <v>1781</v>
      </c>
      <c r="C57" s="105" t="s">
        <v>1925</v>
      </c>
      <c r="D57" s="149" t="s">
        <v>1782</v>
      </c>
      <c r="E57" s="105">
        <v>1</v>
      </c>
      <c r="F57" s="150" t="s">
        <v>1783</v>
      </c>
      <c r="G57" s="150" t="s">
        <v>1784</v>
      </c>
      <c r="H57" s="119">
        <f t="shared" si="0"/>
        <v>11</v>
      </c>
      <c r="I57" s="119"/>
      <c r="J57" s="151">
        <v>0</v>
      </c>
      <c r="K57" s="119">
        <f t="shared" si="1"/>
        <v>11</v>
      </c>
      <c r="L57" s="152">
        <f t="shared" si="2"/>
        <v>9.3800000000000008</v>
      </c>
      <c r="M57" s="113"/>
    </row>
    <row r="58" spans="1:13" s="114" customFormat="1" ht="14.25" customHeight="1" x14ac:dyDescent="0.2">
      <c r="A58" s="106" t="s">
        <v>1776</v>
      </c>
      <c r="B58" s="105" t="s">
        <v>1881</v>
      </c>
      <c r="C58" s="105" t="s">
        <v>1925</v>
      </c>
      <c r="D58" s="149" t="s">
        <v>1882</v>
      </c>
      <c r="E58" s="105">
        <v>2</v>
      </c>
      <c r="F58" s="150" t="s">
        <v>1883</v>
      </c>
      <c r="G58" s="150" t="s">
        <v>1784</v>
      </c>
      <c r="H58" s="119">
        <f t="shared" si="0"/>
        <v>22</v>
      </c>
      <c r="I58" s="119"/>
      <c r="J58" s="151">
        <v>0</v>
      </c>
      <c r="K58" s="119">
        <f t="shared" si="1"/>
        <v>22</v>
      </c>
      <c r="L58" s="152">
        <f t="shared" si="2"/>
        <v>14.66</v>
      </c>
      <c r="M58" s="113"/>
    </row>
    <row r="59" spans="1:13" s="114" customFormat="1" ht="14.25" customHeight="1" x14ac:dyDescent="0.2">
      <c r="A59" s="106" t="s">
        <v>1776</v>
      </c>
      <c r="B59" s="105" t="s">
        <v>1944</v>
      </c>
      <c r="C59" s="105" t="s">
        <v>1945</v>
      </c>
      <c r="D59" s="149" t="s">
        <v>1946</v>
      </c>
      <c r="E59" s="105">
        <v>1</v>
      </c>
      <c r="F59" s="150" t="s">
        <v>1947</v>
      </c>
      <c r="G59" s="150" t="s">
        <v>1948</v>
      </c>
      <c r="H59" s="119">
        <f t="shared" si="0"/>
        <v>16.75</v>
      </c>
      <c r="I59" s="119"/>
      <c r="J59" s="151">
        <v>0</v>
      </c>
      <c r="K59" s="119">
        <f t="shared" si="1"/>
        <v>16.75</v>
      </c>
      <c r="L59" s="152">
        <f t="shared" si="2"/>
        <v>14.38</v>
      </c>
      <c r="M59" s="113"/>
    </row>
    <row r="60" spans="1:13" s="114" customFormat="1" ht="14.25" customHeight="1" x14ac:dyDescent="0.2">
      <c r="A60" s="106" t="s">
        <v>1776</v>
      </c>
      <c r="B60" s="105" t="s">
        <v>1881</v>
      </c>
      <c r="C60" s="105" t="s">
        <v>1949</v>
      </c>
      <c r="D60" s="149" t="s">
        <v>1882</v>
      </c>
      <c r="E60" s="105">
        <v>1</v>
      </c>
      <c r="F60" s="150" t="s">
        <v>1883</v>
      </c>
      <c r="G60" s="150" t="s">
        <v>1784</v>
      </c>
      <c r="H60" s="119">
        <f t="shared" si="0"/>
        <v>11</v>
      </c>
      <c r="I60" s="119"/>
      <c r="J60" s="151">
        <v>0</v>
      </c>
      <c r="K60" s="119">
        <f t="shared" si="1"/>
        <v>11</v>
      </c>
      <c r="L60" s="152">
        <f t="shared" si="2"/>
        <v>7.33</v>
      </c>
      <c r="M60" s="113"/>
    </row>
    <row r="61" spans="1:13" s="114" customFormat="1" ht="14.25" customHeight="1" x14ac:dyDescent="0.2">
      <c r="A61" s="106" t="s">
        <v>1776</v>
      </c>
      <c r="B61" s="105" t="s">
        <v>1793</v>
      </c>
      <c r="C61" s="105" t="s">
        <v>1950</v>
      </c>
      <c r="D61" s="149" t="s">
        <v>1795</v>
      </c>
      <c r="E61" s="105">
        <v>1</v>
      </c>
      <c r="F61" s="150" t="s">
        <v>1796</v>
      </c>
      <c r="G61" s="150" t="s">
        <v>1797</v>
      </c>
      <c r="H61" s="119">
        <f t="shared" si="0"/>
        <v>14.75</v>
      </c>
      <c r="I61" s="119"/>
      <c r="J61" s="151">
        <v>0</v>
      </c>
      <c r="K61" s="119">
        <f t="shared" si="1"/>
        <v>14.75</v>
      </c>
      <c r="L61" s="152">
        <f t="shared" si="2"/>
        <v>12.77</v>
      </c>
      <c r="M61" s="113"/>
    </row>
    <row r="62" spans="1:13" s="114" customFormat="1" ht="14.25" customHeight="1" x14ac:dyDescent="0.2">
      <c r="A62" s="106" t="s">
        <v>1776</v>
      </c>
      <c r="B62" s="105" t="s">
        <v>1951</v>
      </c>
      <c r="C62" s="105" t="s">
        <v>1950</v>
      </c>
      <c r="D62" s="149" t="s">
        <v>1952</v>
      </c>
      <c r="E62" s="105">
        <v>2</v>
      </c>
      <c r="F62" s="150" t="s">
        <v>1796</v>
      </c>
      <c r="G62" s="150" t="s">
        <v>1797</v>
      </c>
      <c r="H62" s="119">
        <f t="shared" si="0"/>
        <v>29.5</v>
      </c>
      <c r="I62" s="119"/>
      <c r="J62" s="151">
        <v>0</v>
      </c>
      <c r="K62" s="119">
        <f t="shared" si="1"/>
        <v>29.5</v>
      </c>
      <c r="L62" s="152">
        <f t="shared" si="2"/>
        <v>25.54</v>
      </c>
      <c r="M62" s="113"/>
    </row>
    <row r="63" spans="1:13" s="114" customFormat="1" ht="14.25" customHeight="1" x14ac:dyDescent="0.2">
      <c r="A63" s="106" t="s">
        <v>1776</v>
      </c>
      <c r="B63" s="105" t="s">
        <v>1953</v>
      </c>
      <c r="C63" s="105" t="s">
        <v>1954</v>
      </c>
      <c r="D63" s="149" t="s">
        <v>1955</v>
      </c>
      <c r="E63" s="105">
        <v>2</v>
      </c>
      <c r="F63" s="150" t="s">
        <v>1956</v>
      </c>
      <c r="G63" s="150" t="s">
        <v>1957</v>
      </c>
      <c r="H63" s="119">
        <f t="shared" si="0"/>
        <v>54</v>
      </c>
      <c r="I63" s="119"/>
      <c r="J63" s="151">
        <v>0</v>
      </c>
      <c r="K63" s="119">
        <f t="shared" si="1"/>
        <v>54</v>
      </c>
      <c r="L63" s="152">
        <f t="shared" si="2"/>
        <v>46.8</v>
      </c>
      <c r="M63" s="113"/>
    </row>
    <row r="64" spans="1:13" s="114" customFormat="1" ht="14.25" customHeight="1" x14ac:dyDescent="0.2">
      <c r="A64" s="106" t="s">
        <v>1776</v>
      </c>
      <c r="B64" s="105" t="s">
        <v>1958</v>
      </c>
      <c r="C64" s="105" t="s">
        <v>1959</v>
      </c>
      <c r="D64" s="149" t="s">
        <v>1960</v>
      </c>
      <c r="E64" s="105">
        <v>1</v>
      </c>
      <c r="F64" s="150" t="s">
        <v>1879</v>
      </c>
      <c r="G64" s="150" t="s">
        <v>1880</v>
      </c>
      <c r="H64" s="119">
        <f t="shared" si="0"/>
        <v>21</v>
      </c>
      <c r="I64" s="119"/>
      <c r="J64" s="151">
        <v>0</v>
      </c>
      <c r="K64" s="119">
        <f t="shared" si="1"/>
        <v>21</v>
      </c>
      <c r="L64" s="152">
        <f t="shared" si="2"/>
        <v>18.2</v>
      </c>
      <c r="M64" s="113"/>
    </row>
    <row r="65" spans="1:13" s="114" customFormat="1" ht="14.25" customHeight="1" x14ac:dyDescent="0.2">
      <c r="A65" s="106" t="s">
        <v>1776</v>
      </c>
      <c r="B65" s="105" t="s">
        <v>1893</v>
      </c>
      <c r="C65" s="105" t="s">
        <v>1959</v>
      </c>
      <c r="D65" s="149" t="s">
        <v>1894</v>
      </c>
      <c r="E65" s="105">
        <v>1</v>
      </c>
      <c r="F65" s="150" t="s">
        <v>1895</v>
      </c>
      <c r="G65" s="150" t="s">
        <v>1896</v>
      </c>
      <c r="H65" s="119">
        <f t="shared" si="0"/>
        <v>31.5</v>
      </c>
      <c r="I65" s="119"/>
      <c r="J65" s="151">
        <v>0</v>
      </c>
      <c r="K65" s="119">
        <f t="shared" si="1"/>
        <v>31.5</v>
      </c>
      <c r="L65" s="152">
        <f t="shared" si="2"/>
        <v>27.3</v>
      </c>
      <c r="M65" s="113"/>
    </row>
    <row r="66" spans="1:13" s="114" customFormat="1" ht="14.25" customHeight="1" x14ac:dyDescent="0.2">
      <c r="A66" s="106" t="s">
        <v>1961</v>
      </c>
      <c r="B66" s="105" t="s">
        <v>1962</v>
      </c>
      <c r="C66" s="105" t="s">
        <v>1963</v>
      </c>
      <c r="D66" s="149" t="s">
        <v>1964</v>
      </c>
      <c r="E66" s="105">
        <v>2</v>
      </c>
      <c r="F66" s="150" t="s">
        <v>1965</v>
      </c>
      <c r="G66" s="150" t="s">
        <v>1966</v>
      </c>
      <c r="H66" s="119">
        <f t="shared" si="0"/>
        <v>16.5</v>
      </c>
      <c r="I66" s="119"/>
      <c r="J66" s="151">
        <v>0</v>
      </c>
      <c r="K66" s="119">
        <f t="shared" si="1"/>
        <v>16.5</v>
      </c>
      <c r="L66" s="152">
        <f t="shared" si="2"/>
        <v>14.12</v>
      </c>
      <c r="M66" s="113"/>
    </row>
    <row r="67" spans="1:13" s="114" customFormat="1" ht="14.25" customHeight="1" x14ac:dyDescent="0.2">
      <c r="A67" s="106" t="s">
        <v>1961</v>
      </c>
      <c r="B67" s="105" t="s">
        <v>1967</v>
      </c>
      <c r="C67" s="105" t="s">
        <v>1963</v>
      </c>
      <c r="D67" s="149" t="s">
        <v>1968</v>
      </c>
      <c r="E67" s="105">
        <v>2</v>
      </c>
      <c r="F67" s="150" t="s">
        <v>1800</v>
      </c>
      <c r="G67" s="150" t="s">
        <v>1788</v>
      </c>
      <c r="H67" s="119">
        <f t="shared" si="0"/>
        <v>20</v>
      </c>
      <c r="I67" s="119"/>
      <c r="J67" s="151">
        <v>0</v>
      </c>
      <c r="K67" s="119">
        <f t="shared" si="1"/>
        <v>20</v>
      </c>
      <c r="L67" s="152">
        <f t="shared" si="2"/>
        <v>16.399999999999999</v>
      </c>
      <c r="M67" s="113"/>
    </row>
    <row r="68" spans="1:13" s="114" customFormat="1" ht="14.25" customHeight="1" x14ac:dyDescent="0.2">
      <c r="A68" s="106" t="s">
        <v>1961</v>
      </c>
      <c r="B68" s="105" t="s">
        <v>1969</v>
      </c>
      <c r="C68" s="105" t="s">
        <v>1963</v>
      </c>
      <c r="D68" s="149" t="s">
        <v>1970</v>
      </c>
      <c r="E68" s="105">
        <v>2</v>
      </c>
      <c r="F68" s="150" t="s">
        <v>1935</v>
      </c>
      <c r="G68" s="150" t="s">
        <v>1936</v>
      </c>
      <c r="H68" s="119">
        <f t="shared" si="0"/>
        <v>8.5</v>
      </c>
      <c r="I68" s="119"/>
      <c r="J68" s="151">
        <v>0</v>
      </c>
      <c r="K68" s="119">
        <f t="shared" si="1"/>
        <v>8.5</v>
      </c>
      <c r="L68" s="152">
        <f t="shared" si="2"/>
        <v>7.2</v>
      </c>
      <c r="M68" s="113"/>
    </row>
    <row r="69" spans="1:13" s="114" customFormat="1" ht="14.25" customHeight="1" x14ac:dyDescent="0.2">
      <c r="A69" s="106" t="s">
        <v>1961</v>
      </c>
      <c r="B69" s="105" t="s">
        <v>1893</v>
      </c>
      <c r="C69" s="105" t="s">
        <v>1971</v>
      </c>
      <c r="D69" s="149" t="s">
        <v>1894</v>
      </c>
      <c r="E69" s="105">
        <v>2</v>
      </c>
      <c r="F69" s="150" t="s">
        <v>1895</v>
      </c>
      <c r="G69" s="150" t="s">
        <v>1896</v>
      </c>
      <c r="H69" s="119">
        <f t="shared" si="0"/>
        <v>63</v>
      </c>
      <c r="I69" s="119"/>
      <c r="J69" s="151">
        <v>0</v>
      </c>
      <c r="K69" s="119">
        <f t="shared" si="1"/>
        <v>63</v>
      </c>
      <c r="L69" s="152">
        <f t="shared" si="2"/>
        <v>54.6</v>
      </c>
      <c r="M69" s="113"/>
    </row>
    <row r="70" spans="1:13" s="114" customFormat="1" ht="14.25" customHeight="1" x14ac:dyDescent="0.2">
      <c r="A70" s="106" t="s">
        <v>1961</v>
      </c>
      <c r="B70" s="105" t="s">
        <v>1972</v>
      </c>
      <c r="C70" s="105" t="s">
        <v>1973</v>
      </c>
      <c r="D70" s="149" t="s">
        <v>1974</v>
      </c>
      <c r="E70" s="105">
        <v>2</v>
      </c>
      <c r="F70" s="150" t="s">
        <v>1975</v>
      </c>
      <c r="G70" s="150" t="s">
        <v>1976</v>
      </c>
      <c r="H70" s="119">
        <f t="shared" ref="H70:H133" si="3">E70*G70</f>
        <v>47.5</v>
      </c>
      <c r="I70" s="119"/>
      <c r="J70" s="151">
        <v>0</v>
      </c>
      <c r="K70" s="119">
        <f t="shared" ref="K70:K133" si="4">H70+I70-J70</f>
        <v>47.5</v>
      </c>
      <c r="L70" s="152">
        <f t="shared" ref="L70:L133" si="5">E70*F70</f>
        <v>41.1</v>
      </c>
      <c r="M70" s="113"/>
    </row>
    <row r="71" spans="1:13" s="114" customFormat="1" ht="14.25" customHeight="1" x14ac:dyDescent="0.2">
      <c r="A71" s="106" t="s">
        <v>1961</v>
      </c>
      <c r="B71" s="105" t="s">
        <v>1977</v>
      </c>
      <c r="C71" s="105" t="s">
        <v>1978</v>
      </c>
      <c r="D71" s="149" t="s">
        <v>1979</v>
      </c>
      <c r="E71" s="105">
        <v>2</v>
      </c>
      <c r="F71" s="150" t="s">
        <v>1980</v>
      </c>
      <c r="G71" s="150" t="s">
        <v>1981</v>
      </c>
      <c r="H71" s="119">
        <f t="shared" si="3"/>
        <v>2</v>
      </c>
      <c r="I71" s="119"/>
      <c r="J71" s="151">
        <v>0</v>
      </c>
      <c r="K71" s="119">
        <f t="shared" si="4"/>
        <v>2</v>
      </c>
      <c r="L71" s="152">
        <f t="shared" si="5"/>
        <v>1.52</v>
      </c>
      <c r="M71" s="113"/>
    </row>
    <row r="72" spans="1:13" s="114" customFormat="1" ht="14.25" customHeight="1" x14ac:dyDescent="0.2">
      <c r="A72" s="106" t="s">
        <v>1961</v>
      </c>
      <c r="B72" s="105" t="s">
        <v>1982</v>
      </c>
      <c r="C72" s="105" t="s">
        <v>1983</v>
      </c>
      <c r="D72" s="149" t="s">
        <v>1984</v>
      </c>
      <c r="E72" s="105">
        <v>1</v>
      </c>
      <c r="F72" s="150" t="s">
        <v>1883</v>
      </c>
      <c r="G72" s="150" t="s">
        <v>1784</v>
      </c>
      <c r="H72" s="119">
        <f t="shared" si="3"/>
        <v>11</v>
      </c>
      <c r="I72" s="119"/>
      <c r="J72" s="151">
        <v>0</v>
      </c>
      <c r="K72" s="119">
        <f t="shared" si="4"/>
        <v>11</v>
      </c>
      <c r="L72" s="152">
        <f t="shared" si="5"/>
        <v>7.33</v>
      </c>
      <c r="M72" s="113"/>
    </row>
    <row r="73" spans="1:13" s="114" customFormat="1" ht="14.25" customHeight="1" x14ac:dyDescent="0.2">
      <c r="A73" s="106" t="s">
        <v>1961</v>
      </c>
      <c r="B73" s="105" t="s">
        <v>1985</v>
      </c>
      <c r="C73" s="105" t="s">
        <v>1983</v>
      </c>
      <c r="D73" s="149" t="s">
        <v>1986</v>
      </c>
      <c r="E73" s="105">
        <v>1</v>
      </c>
      <c r="F73" s="150" t="s">
        <v>1852</v>
      </c>
      <c r="G73" s="150" t="s">
        <v>1939</v>
      </c>
      <c r="H73" s="119">
        <f t="shared" si="3"/>
        <v>7.25</v>
      </c>
      <c r="I73" s="119"/>
      <c r="J73" s="151">
        <v>0</v>
      </c>
      <c r="K73" s="119">
        <f t="shared" si="4"/>
        <v>7.25</v>
      </c>
      <c r="L73" s="152">
        <f t="shared" si="5"/>
        <v>6.18</v>
      </c>
      <c r="M73" s="113"/>
    </row>
    <row r="74" spans="1:13" s="114" customFormat="1" ht="14.25" customHeight="1" x14ac:dyDescent="0.2">
      <c r="A74" s="106" t="s">
        <v>1961</v>
      </c>
      <c r="B74" s="105" t="s">
        <v>1810</v>
      </c>
      <c r="C74" s="105" t="s">
        <v>1987</v>
      </c>
      <c r="D74" s="149" t="s">
        <v>1811</v>
      </c>
      <c r="E74" s="105">
        <v>1</v>
      </c>
      <c r="F74" s="150" t="s">
        <v>1812</v>
      </c>
      <c r="G74" s="150" t="s">
        <v>1813</v>
      </c>
      <c r="H74" s="119">
        <f t="shared" si="3"/>
        <v>44.25</v>
      </c>
      <c r="I74" s="119"/>
      <c r="J74" s="151">
        <v>0</v>
      </c>
      <c r="K74" s="119">
        <f t="shared" si="4"/>
        <v>44.25</v>
      </c>
      <c r="L74" s="152">
        <f t="shared" si="5"/>
        <v>38.39</v>
      </c>
      <c r="M74" s="113"/>
    </row>
    <row r="75" spans="1:13" s="114" customFormat="1" ht="14.25" customHeight="1" x14ac:dyDescent="0.2">
      <c r="A75" s="106" t="s">
        <v>1961</v>
      </c>
      <c r="B75" s="105" t="s">
        <v>1988</v>
      </c>
      <c r="C75" s="105" t="s">
        <v>1987</v>
      </c>
      <c r="D75" s="149" t="s">
        <v>1989</v>
      </c>
      <c r="E75" s="105">
        <v>1</v>
      </c>
      <c r="F75" s="150" t="s">
        <v>1990</v>
      </c>
      <c r="G75" s="150" t="s">
        <v>1991</v>
      </c>
      <c r="H75" s="119">
        <f t="shared" si="3"/>
        <v>132</v>
      </c>
      <c r="I75" s="119"/>
      <c r="J75" s="151">
        <v>0</v>
      </c>
      <c r="K75" s="119">
        <f t="shared" si="4"/>
        <v>132</v>
      </c>
      <c r="L75" s="152">
        <f t="shared" si="5"/>
        <v>104.76</v>
      </c>
      <c r="M75" s="113"/>
    </row>
    <row r="76" spans="1:13" s="114" customFormat="1" ht="14.25" customHeight="1" x14ac:dyDescent="0.2">
      <c r="A76" s="106" t="s">
        <v>1961</v>
      </c>
      <c r="B76" s="105" t="s">
        <v>1781</v>
      </c>
      <c r="C76" s="105" t="s">
        <v>1992</v>
      </c>
      <c r="D76" s="149" t="s">
        <v>1782</v>
      </c>
      <c r="E76" s="105">
        <v>1</v>
      </c>
      <c r="F76" s="150" t="s">
        <v>1783</v>
      </c>
      <c r="G76" s="150" t="s">
        <v>1784</v>
      </c>
      <c r="H76" s="119">
        <f t="shared" si="3"/>
        <v>11</v>
      </c>
      <c r="I76" s="119"/>
      <c r="J76" s="151">
        <v>0</v>
      </c>
      <c r="K76" s="119">
        <f t="shared" si="4"/>
        <v>11</v>
      </c>
      <c r="L76" s="152">
        <f t="shared" si="5"/>
        <v>9.3800000000000008</v>
      </c>
      <c r="M76" s="113"/>
    </row>
    <row r="77" spans="1:13" s="114" customFormat="1" ht="14.25" customHeight="1" x14ac:dyDescent="0.2">
      <c r="A77" s="106" t="s">
        <v>1961</v>
      </c>
      <c r="B77" s="105" t="s">
        <v>1869</v>
      </c>
      <c r="C77" s="105" t="s">
        <v>1993</v>
      </c>
      <c r="D77" s="149" t="s">
        <v>1871</v>
      </c>
      <c r="E77" s="105">
        <v>1</v>
      </c>
      <c r="F77" s="150" t="s">
        <v>1872</v>
      </c>
      <c r="G77" s="150" t="s">
        <v>1873</v>
      </c>
      <c r="H77" s="119">
        <f t="shared" si="3"/>
        <v>19</v>
      </c>
      <c r="I77" s="119"/>
      <c r="J77" s="151">
        <v>0</v>
      </c>
      <c r="K77" s="119">
        <f t="shared" si="4"/>
        <v>19</v>
      </c>
      <c r="L77" s="152">
        <f t="shared" si="5"/>
        <v>16.170000000000002</v>
      </c>
      <c r="M77" s="113"/>
    </row>
    <row r="78" spans="1:13" s="114" customFormat="1" ht="14.25" customHeight="1" x14ac:dyDescent="0.2">
      <c r="A78" s="106" t="s">
        <v>1961</v>
      </c>
      <c r="B78" s="105" t="s">
        <v>1994</v>
      </c>
      <c r="C78" s="105" t="s">
        <v>1993</v>
      </c>
      <c r="D78" s="149" t="s">
        <v>1995</v>
      </c>
      <c r="E78" s="105">
        <v>1</v>
      </c>
      <c r="F78" s="150" t="s">
        <v>1996</v>
      </c>
      <c r="G78" s="150" t="s">
        <v>1801</v>
      </c>
      <c r="H78" s="119">
        <f t="shared" si="3"/>
        <v>9.5</v>
      </c>
      <c r="I78" s="119"/>
      <c r="J78" s="151">
        <v>0</v>
      </c>
      <c r="K78" s="119">
        <f t="shared" si="4"/>
        <v>9.5</v>
      </c>
      <c r="L78" s="152">
        <f t="shared" si="5"/>
        <v>6.67</v>
      </c>
      <c r="M78" s="113"/>
    </row>
    <row r="79" spans="1:13" s="114" customFormat="1" ht="14.25" customHeight="1" x14ac:dyDescent="0.2">
      <c r="A79" s="106" t="s">
        <v>1961</v>
      </c>
      <c r="B79" s="105" t="s">
        <v>1854</v>
      </c>
      <c r="C79" s="105" t="s">
        <v>1993</v>
      </c>
      <c r="D79" s="149" t="s">
        <v>1855</v>
      </c>
      <c r="E79" s="105">
        <v>1</v>
      </c>
      <c r="F79" s="150" t="s">
        <v>1856</v>
      </c>
      <c r="G79" s="150" t="s">
        <v>1805</v>
      </c>
      <c r="H79" s="119">
        <f t="shared" si="3"/>
        <v>8.75</v>
      </c>
      <c r="I79" s="119"/>
      <c r="J79" s="151">
        <v>0</v>
      </c>
      <c r="K79" s="119">
        <f t="shared" si="4"/>
        <v>8.75</v>
      </c>
      <c r="L79" s="152">
        <f t="shared" si="5"/>
        <v>7.62</v>
      </c>
      <c r="M79" s="113"/>
    </row>
    <row r="80" spans="1:13" s="114" customFormat="1" ht="14.25" customHeight="1" x14ac:dyDescent="0.2">
      <c r="A80" s="106" t="s">
        <v>1961</v>
      </c>
      <c r="B80" s="105" t="s">
        <v>1997</v>
      </c>
      <c r="C80" s="105" t="s">
        <v>1998</v>
      </c>
      <c r="D80" s="149" t="s">
        <v>1999</v>
      </c>
      <c r="E80" s="105">
        <v>1</v>
      </c>
      <c r="F80" s="150" t="s">
        <v>2000</v>
      </c>
      <c r="G80" s="150" t="s">
        <v>2001</v>
      </c>
      <c r="H80" s="119">
        <f t="shared" si="3"/>
        <v>5.25</v>
      </c>
      <c r="I80" s="119"/>
      <c r="J80" s="151">
        <v>0</v>
      </c>
      <c r="K80" s="119">
        <f t="shared" si="4"/>
        <v>5.25</v>
      </c>
      <c r="L80" s="152">
        <f t="shared" si="5"/>
        <v>4.4800000000000004</v>
      </c>
      <c r="M80" s="113"/>
    </row>
    <row r="81" spans="1:13" s="114" customFormat="1" ht="14.25" customHeight="1" x14ac:dyDescent="0.2">
      <c r="A81" s="106" t="s">
        <v>1961</v>
      </c>
      <c r="B81" s="105" t="s">
        <v>1924</v>
      </c>
      <c r="C81" s="105" t="s">
        <v>1998</v>
      </c>
      <c r="D81" s="149" t="s">
        <v>1926</v>
      </c>
      <c r="E81" s="105">
        <v>1</v>
      </c>
      <c r="F81" s="150" t="s">
        <v>1927</v>
      </c>
      <c r="G81" s="150" t="s">
        <v>1928</v>
      </c>
      <c r="H81" s="119">
        <f t="shared" si="3"/>
        <v>12.25</v>
      </c>
      <c r="I81" s="119"/>
      <c r="J81" s="151">
        <v>0</v>
      </c>
      <c r="K81" s="119">
        <f t="shared" si="4"/>
        <v>12.25</v>
      </c>
      <c r="L81" s="152">
        <f t="shared" si="5"/>
        <v>10.64</v>
      </c>
      <c r="M81" s="113"/>
    </row>
    <row r="82" spans="1:13" s="114" customFormat="1" ht="14.25" customHeight="1" x14ac:dyDescent="0.2">
      <c r="A82" s="106" t="s">
        <v>1961</v>
      </c>
      <c r="B82" s="105" t="s">
        <v>2002</v>
      </c>
      <c r="C82" s="105" t="s">
        <v>2003</v>
      </c>
      <c r="D82" s="149" t="s">
        <v>2004</v>
      </c>
      <c r="E82" s="105">
        <v>1</v>
      </c>
      <c r="F82" s="150" t="s">
        <v>2005</v>
      </c>
      <c r="G82" s="150" t="s">
        <v>2006</v>
      </c>
      <c r="H82" s="119">
        <f t="shared" si="3"/>
        <v>14.25</v>
      </c>
      <c r="I82" s="119"/>
      <c r="J82" s="151">
        <v>0</v>
      </c>
      <c r="K82" s="119">
        <f t="shared" si="4"/>
        <v>14.25</v>
      </c>
      <c r="L82" s="152">
        <f t="shared" si="5"/>
        <v>12.56</v>
      </c>
      <c r="M82" s="113"/>
    </row>
    <row r="83" spans="1:13" s="114" customFormat="1" ht="14.25" customHeight="1" x14ac:dyDescent="0.2">
      <c r="A83" s="106" t="s">
        <v>1961</v>
      </c>
      <c r="B83" s="105" t="s">
        <v>1793</v>
      </c>
      <c r="C83" s="105" t="s">
        <v>2007</v>
      </c>
      <c r="D83" s="149" t="s">
        <v>1795</v>
      </c>
      <c r="E83" s="105">
        <v>1</v>
      </c>
      <c r="F83" s="150" t="s">
        <v>1796</v>
      </c>
      <c r="G83" s="150" t="s">
        <v>1797</v>
      </c>
      <c r="H83" s="119">
        <f t="shared" si="3"/>
        <v>14.75</v>
      </c>
      <c r="I83" s="119"/>
      <c r="J83" s="151">
        <v>0</v>
      </c>
      <c r="K83" s="119">
        <f t="shared" si="4"/>
        <v>14.75</v>
      </c>
      <c r="L83" s="152">
        <f t="shared" si="5"/>
        <v>12.77</v>
      </c>
      <c r="M83" s="113"/>
    </row>
    <row r="84" spans="1:13" s="114" customFormat="1" ht="14.25" customHeight="1" x14ac:dyDescent="0.2">
      <c r="A84" s="106" t="s">
        <v>1961</v>
      </c>
      <c r="B84" s="105" t="s">
        <v>2008</v>
      </c>
      <c r="C84" s="105" t="s">
        <v>2009</v>
      </c>
      <c r="D84" s="149" t="s">
        <v>2010</v>
      </c>
      <c r="E84" s="105">
        <v>1</v>
      </c>
      <c r="F84" s="150" t="s">
        <v>2011</v>
      </c>
      <c r="G84" s="150" t="s">
        <v>2012</v>
      </c>
      <c r="H84" s="119">
        <f t="shared" si="3"/>
        <v>51.75</v>
      </c>
      <c r="I84" s="119"/>
      <c r="J84" s="151">
        <v>0</v>
      </c>
      <c r="K84" s="119">
        <f t="shared" si="4"/>
        <v>51.75</v>
      </c>
      <c r="L84" s="152">
        <f t="shared" si="5"/>
        <v>44.8</v>
      </c>
      <c r="M84" s="113"/>
    </row>
    <row r="85" spans="1:13" s="114" customFormat="1" ht="14.25" customHeight="1" x14ac:dyDescent="0.2">
      <c r="A85" s="106" t="s">
        <v>1961</v>
      </c>
      <c r="B85" s="105" t="s">
        <v>2013</v>
      </c>
      <c r="C85" s="105" t="s">
        <v>2014</v>
      </c>
      <c r="D85" s="149" t="s">
        <v>2015</v>
      </c>
      <c r="E85" s="105">
        <v>1</v>
      </c>
      <c r="F85" s="150" t="s">
        <v>2016</v>
      </c>
      <c r="G85" s="150" t="s">
        <v>2017</v>
      </c>
      <c r="H85" s="119">
        <f t="shared" si="3"/>
        <v>33.25</v>
      </c>
      <c r="I85" s="119"/>
      <c r="J85" s="151">
        <v>0</v>
      </c>
      <c r="K85" s="119">
        <f t="shared" si="4"/>
        <v>33.25</v>
      </c>
      <c r="L85" s="152">
        <f t="shared" si="5"/>
        <v>28.89</v>
      </c>
      <c r="M85" s="113"/>
    </row>
    <row r="86" spans="1:13" s="114" customFormat="1" ht="14.25" customHeight="1" x14ac:dyDescent="0.2">
      <c r="A86" s="106" t="s">
        <v>1961</v>
      </c>
      <c r="B86" s="105" t="s">
        <v>2018</v>
      </c>
      <c r="C86" s="105" t="s">
        <v>2014</v>
      </c>
      <c r="D86" s="149" t="s">
        <v>2019</v>
      </c>
      <c r="E86" s="105">
        <v>1</v>
      </c>
      <c r="F86" s="150" t="s">
        <v>2020</v>
      </c>
      <c r="G86" s="150" t="s">
        <v>2021</v>
      </c>
      <c r="H86" s="119">
        <f t="shared" si="3"/>
        <v>36.75</v>
      </c>
      <c r="I86" s="119"/>
      <c r="J86" s="151">
        <v>0</v>
      </c>
      <c r="K86" s="119">
        <f t="shared" si="4"/>
        <v>36.75</v>
      </c>
      <c r="L86" s="152">
        <f t="shared" si="5"/>
        <v>30.79</v>
      </c>
      <c r="M86" s="113"/>
    </row>
    <row r="87" spans="1:13" s="114" customFormat="1" ht="14.25" customHeight="1" x14ac:dyDescent="0.2">
      <c r="A87" s="106" t="s">
        <v>1961</v>
      </c>
      <c r="B87" s="105" t="s">
        <v>2022</v>
      </c>
      <c r="C87" s="105" t="s">
        <v>2023</v>
      </c>
      <c r="D87" s="149" t="s">
        <v>2024</v>
      </c>
      <c r="E87" s="105">
        <v>2</v>
      </c>
      <c r="F87" s="150" t="s">
        <v>2025</v>
      </c>
      <c r="G87" s="150" t="s">
        <v>2026</v>
      </c>
      <c r="H87" s="119">
        <f t="shared" si="3"/>
        <v>69</v>
      </c>
      <c r="I87" s="119"/>
      <c r="J87" s="151">
        <v>0</v>
      </c>
      <c r="K87" s="119">
        <f t="shared" si="4"/>
        <v>69</v>
      </c>
      <c r="L87" s="152">
        <f t="shared" si="5"/>
        <v>59.8</v>
      </c>
      <c r="M87" s="113"/>
    </row>
    <row r="88" spans="1:13" s="114" customFormat="1" ht="14.25" customHeight="1" x14ac:dyDescent="0.2">
      <c r="A88" s="106" t="s">
        <v>1961</v>
      </c>
      <c r="B88" s="105" t="s">
        <v>2027</v>
      </c>
      <c r="C88" s="105" t="s">
        <v>2028</v>
      </c>
      <c r="D88" s="149" t="s">
        <v>2029</v>
      </c>
      <c r="E88" s="105">
        <v>1</v>
      </c>
      <c r="F88" s="150" t="s">
        <v>1805</v>
      </c>
      <c r="G88" s="150" t="s">
        <v>2030</v>
      </c>
      <c r="H88" s="119">
        <f t="shared" si="3"/>
        <v>10.25</v>
      </c>
      <c r="I88" s="119"/>
      <c r="J88" s="151">
        <v>0</v>
      </c>
      <c r="K88" s="119">
        <f t="shared" si="4"/>
        <v>10.25</v>
      </c>
      <c r="L88" s="152">
        <f t="shared" si="5"/>
        <v>8.75</v>
      </c>
      <c r="M88" s="113"/>
    </row>
    <row r="89" spans="1:13" s="114" customFormat="1" ht="14.25" customHeight="1" x14ac:dyDescent="0.2">
      <c r="A89" s="106" t="s">
        <v>1961</v>
      </c>
      <c r="B89" s="105" t="s">
        <v>2031</v>
      </c>
      <c r="C89" s="105" t="s">
        <v>2032</v>
      </c>
      <c r="D89" s="149" t="s">
        <v>2033</v>
      </c>
      <c r="E89" s="105">
        <v>1</v>
      </c>
      <c r="F89" s="150" t="s">
        <v>1879</v>
      </c>
      <c r="G89" s="150" t="s">
        <v>1892</v>
      </c>
      <c r="H89" s="119">
        <f t="shared" si="3"/>
        <v>24</v>
      </c>
      <c r="I89" s="119"/>
      <c r="J89" s="151">
        <v>0</v>
      </c>
      <c r="K89" s="119">
        <f t="shared" si="4"/>
        <v>24</v>
      </c>
      <c r="L89" s="152">
        <f t="shared" si="5"/>
        <v>18.2</v>
      </c>
      <c r="M89" s="113"/>
    </row>
    <row r="90" spans="1:13" s="114" customFormat="1" ht="14.25" customHeight="1" x14ac:dyDescent="0.2">
      <c r="A90" s="106" t="s">
        <v>1961</v>
      </c>
      <c r="B90" s="105" t="s">
        <v>1821</v>
      </c>
      <c r="C90" s="105" t="s">
        <v>2034</v>
      </c>
      <c r="D90" s="149" t="s">
        <v>1823</v>
      </c>
      <c r="E90" s="105">
        <v>1</v>
      </c>
      <c r="F90" s="150" t="s">
        <v>1824</v>
      </c>
      <c r="G90" s="150" t="s">
        <v>1825</v>
      </c>
      <c r="H90" s="119">
        <f t="shared" si="3"/>
        <v>67.5</v>
      </c>
      <c r="I90" s="119"/>
      <c r="J90" s="151">
        <v>0</v>
      </c>
      <c r="K90" s="119">
        <f t="shared" si="4"/>
        <v>67.5</v>
      </c>
      <c r="L90" s="152">
        <f t="shared" si="5"/>
        <v>59.58</v>
      </c>
      <c r="M90" s="113"/>
    </row>
    <row r="91" spans="1:13" s="114" customFormat="1" ht="14.25" customHeight="1" x14ac:dyDescent="0.2">
      <c r="A91" s="106" t="s">
        <v>1961</v>
      </c>
      <c r="B91" s="105" t="s">
        <v>2035</v>
      </c>
      <c r="C91" s="105" t="s">
        <v>2034</v>
      </c>
      <c r="D91" s="149" t="s">
        <v>2036</v>
      </c>
      <c r="E91" s="105">
        <v>1</v>
      </c>
      <c r="F91" s="150" t="s">
        <v>2037</v>
      </c>
      <c r="G91" s="150" t="s">
        <v>2038</v>
      </c>
      <c r="H91" s="119">
        <f t="shared" si="3"/>
        <v>26.25</v>
      </c>
      <c r="I91" s="119"/>
      <c r="J91" s="151">
        <v>0</v>
      </c>
      <c r="K91" s="119">
        <f t="shared" si="4"/>
        <v>26.25</v>
      </c>
      <c r="L91" s="152">
        <f t="shared" si="5"/>
        <v>22.7</v>
      </c>
      <c r="M91" s="113"/>
    </row>
    <row r="92" spans="1:13" s="114" customFormat="1" ht="14.25" customHeight="1" x14ac:dyDescent="0.2">
      <c r="A92" s="106" t="s">
        <v>1961</v>
      </c>
      <c r="B92" s="105" t="s">
        <v>2039</v>
      </c>
      <c r="C92" s="105" t="s">
        <v>2040</v>
      </c>
      <c r="D92" s="149" t="s">
        <v>2041</v>
      </c>
      <c r="E92" s="105">
        <v>6</v>
      </c>
      <c r="F92" s="150" t="s">
        <v>2042</v>
      </c>
      <c r="G92" s="150" t="s">
        <v>1939</v>
      </c>
      <c r="H92" s="119">
        <f t="shared" si="3"/>
        <v>43.5</v>
      </c>
      <c r="I92" s="119"/>
      <c r="J92" s="151">
        <v>0</v>
      </c>
      <c r="K92" s="119">
        <f t="shared" si="4"/>
        <v>43.5</v>
      </c>
      <c r="L92" s="152">
        <f t="shared" si="5"/>
        <v>37.019999999999996</v>
      </c>
      <c r="M92" s="113"/>
    </row>
    <row r="93" spans="1:13" s="114" customFormat="1" ht="14.25" customHeight="1" x14ac:dyDescent="0.2">
      <c r="A93" s="106" t="s">
        <v>1961</v>
      </c>
      <c r="B93" s="105" t="s">
        <v>2043</v>
      </c>
      <c r="C93" s="105" t="s">
        <v>2040</v>
      </c>
      <c r="D93" s="149" t="s">
        <v>2044</v>
      </c>
      <c r="E93" s="105">
        <v>3</v>
      </c>
      <c r="F93" s="150" t="s">
        <v>2045</v>
      </c>
      <c r="G93" s="150" t="s">
        <v>2046</v>
      </c>
      <c r="H93" s="119">
        <f t="shared" si="3"/>
        <v>23.25</v>
      </c>
      <c r="I93" s="119"/>
      <c r="J93" s="151">
        <v>0</v>
      </c>
      <c r="K93" s="119">
        <f t="shared" si="4"/>
        <v>23.25</v>
      </c>
      <c r="L93" s="152">
        <f t="shared" si="5"/>
        <v>20.759999999999998</v>
      </c>
      <c r="M93" s="113"/>
    </row>
    <row r="94" spans="1:13" s="114" customFormat="1" ht="14.25" customHeight="1" x14ac:dyDescent="0.2">
      <c r="A94" s="106" t="s">
        <v>1961</v>
      </c>
      <c r="B94" s="105" t="s">
        <v>1821</v>
      </c>
      <c r="C94" s="105" t="s">
        <v>2047</v>
      </c>
      <c r="D94" s="149" t="s">
        <v>1823</v>
      </c>
      <c r="E94" s="105">
        <v>1</v>
      </c>
      <c r="F94" s="150" t="s">
        <v>1824</v>
      </c>
      <c r="G94" s="150" t="s">
        <v>1825</v>
      </c>
      <c r="H94" s="119">
        <f t="shared" si="3"/>
        <v>67.5</v>
      </c>
      <c r="I94" s="119"/>
      <c r="J94" s="151">
        <v>0</v>
      </c>
      <c r="K94" s="119">
        <f t="shared" si="4"/>
        <v>67.5</v>
      </c>
      <c r="L94" s="152">
        <f t="shared" si="5"/>
        <v>59.58</v>
      </c>
      <c r="M94" s="113"/>
    </row>
    <row r="95" spans="1:13" s="114" customFormat="1" ht="14.25" customHeight="1" x14ac:dyDescent="0.2">
      <c r="A95" s="106" t="s">
        <v>1961</v>
      </c>
      <c r="B95" s="105" t="s">
        <v>1781</v>
      </c>
      <c r="C95" s="105" t="s">
        <v>2048</v>
      </c>
      <c r="D95" s="149" t="s">
        <v>1782</v>
      </c>
      <c r="E95" s="105">
        <v>1</v>
      </c>
      <c r="F95" s="150" t="s">
        <v>1783</v>
      </c>
      <c r="G95" s="150" t="s">
        <v>1784</v>
      </c>
      <c r="H95" s="119">
        <f t="shared" si="3"/>
        <v>11</v>
      </c>
      <c r="I95" s="119"/>
      <c r="J95" s="151">
        <v>0</v>
      </c>
      <c r="K95" s="119">
        <f t="shared" si="4"/>
        <v>11</v>
      </c>
      <c r="L95" s="152">
        <f t="shared" si="5"/>
        <v>9.3800000000000008</v>
      </c>
      <c r="M95" s="113"/>
    </row>
    <row r="96" spans="1:13" s="114" customFormat="1" ht="14.25" customHeight="1" x14ac:dyDescent="0.2">
      <c r="A96" s="106" t="s">
        <v>1961</v>
      </c>
      <c r="B96" s="105" t="s">
        <v>1821</v>
      </c>
      <c r="C96" s="105" t="s">
        <v>2049</v>
      </c>
      <c r="D96" s="149" t="s">
        <v>1823</v>
      </c>
      <c r="E96" s="105">
        <v>6</v>
      </c>
      <c r="F96" s="150" t="s">
        <v>1824</v>
      </c>
      <c r="G96" s="150" t="s">
        <v>1825</v>
      </c>
      <c r="H96" s="119">
        <f t="shared" si="3"/>
        <v>405</v>
      </c>
      <c r="I96" s="119"/>
      <c r="J96" s="151">
        <v>0</v>
      </c>
      <c r="K96" s="119">
        <f t="shared" si="4"/>
        <v>405</v>
      </c>
      <c r="L96" s="152">
        <f t="shared" si="5"/>
        <v>357.48</v>
      </c>
      <c r="M96" s="113"/>
    </row>
    <row r="97" spans="1:13" s="114" customFormat="1" ht="14.25" customHeight="1" x14ac:dyDescent="0.2">
      <c r="A97" s="106" t="s">
        <v>1961</v>
      </c>
      <c r="B97" s="105" t="s">
        <v>2050</v>
      </c>
      <c r="C97" s="105" t="s">
        <v>2051</v>
      </c>
      <c r="D97" s="149" t="s">
        <v>2052</v>
      </c>
      <c r="E97" s="105">
        <v>1</v>
      </c>
      <c r="F97" s="150" t="s">
        <v>2053</v>
      </c>
      <c r="G97" s="150" t="s">
        <v>2054</v>
      </c>
      <c r="H97" s="119">
        <f t="shared" si="3"/>
        <v>73.75</v>
      </c>
      <c r="I97" s="119"/>
      <c r="J97" s="151">
        <v>0</v>
      </c>
      <c r="K97" s="119">
        <f t="shared" si="4"/>
        <v>73.75</v>
      </c>
      <c r="L97" s="152">
        <f t="shared" si="5"/>
        <v>64</v>
      </c>
      <c r="M97" s="113"/>
    </row>
    <row r="98" spans="1:13" s="114" customFormat="1" ht="14.25" customHeight="1" x14ac:dyDescent="0.2">
      <c r="A98" s="106" t="s">
        <v>1961</v>
      </c>
      <c r="B98" s="105" t="s">
        <v>1821</v>
      </c>
      <c r="C98" s="105" t="s">
        <v>2051</v>
      </c>
      <c r="D98" s="149" t="s">
        <v>1823</v>
      </c>
      <c r="E98" s="105">
        <v>1</v>
      </c>
      <c r="F98" s="150" t="s">
        <v>1824</v>
      </c>
      <c r="G98" s="150" t="s">
        <v>1825</v>
      </c>
      <c r="H98" s="119">
        <f t="shared" si="3"/>
        <v>67.5</v>
      </c>
      <c r="I98" s="119"/>
      <c r="J98" s="151">
        <v>0</v>
      </c>
      <c r="K98" s="119">
        <f t="shared" si="4"/>
        <v>67.5</v>
      </c>
      <c r="L98" s="152">
        <f t="shared" si="5"/>
        <v>59.58</v>
      </c>
      <c r="M98" s="113"/>
    </row>
    <row r="99" spans="1:13" s="114" customFormat="1" ht="14.25" customHeight="1" x14ac:dyDescent="0.2">
      <c r="A99" s="106" t="s">
        <v>1961</v>
      </c>
      <c r="B99" s="105" t="s">
        <v>2055</v>
      </c>
      <c r="C99" s="105" t="s">
        <v>2051</v>
      </c>
      <c r="D99" s="149" t="s">
        <v>2056</v>
      </c>
      <c r="E99" s="105">
        <v>1</v>
      </c>
      <c r="F99" s="150" t="s">
        <v>1824</v>
      </c>
      <c r="G99" s="150" t="s">
        <v>1825</v>
      </c>
      <c r="H99" s="119">
        <f t="shared" si="3"/>
        <v>67.5</v>
      </c>
      <c r="I99" s="119"/>
      <c r="J99" s="151">
        <v>0</v>
      </c>
      <c r="K99" s="119">
        <f t="shared" si="4"/>
        <v>67.5</v>
      </c>
      <c r="L99" s="152">
        <f t="shared" si="5"/>
        <v>59.58</v>
      </c>
      <c r="M99" s="113"/>
    </row>
    <row r="100" spans="1:13" s="114" customFormat="1" ht="14.25" customHeight="1" x14ac:dyDescent="0.2">
      <c r="A100" s="106" t="s">
        <v>1961</v>
      </c>
      <c r="B100" s="105" t="s">
        <v>1781</v>
      </c>
      <c r="C100" s="105" t="s">
        <v>2057</v>
      </c>
      <c r="D100" s="149" t="s">
        <v>1782</v>
      </c>
      <c r="E100" s="105">
        <v>1</v>
      </c>
      <c r="F100" s="150" t="s">
        <v>1783</v>
      </c>
      <c r="G100" s="150" t="s">
        <v>1784</v>
      </c>
      <c r="H100" s="119">
        <f t="shared" si="3"/>
        <v>11</v>
      </c>
      <c r="I100" s="119"/>
      <c r="J100" s="151">
        <v>0</v>
      </c>
      <c r="K100" s="119">
        <f t="shared" si="4"/>
        <v>11</v>
      </c>
      <c r="L100" s="152">
        <f t="shared" si="5"/>
        <v>9.3800000000000008</v>
      </c>
      <c r="M100" s="113"/>
    </row>
    <row r="101" spans="1:13" s="114" customFormat="1" ht="14.25" customHeight="1" x14ac:dyDescent="0.2">
      <c r="A101" s="106" t="s">
        <v>1961</v>
      </c>
      <c r="B101" s="105" t="s">
        <v>2013</v>
      </c>
      <c r="C101" s="105" t="s">
        <v>2058</v>
      </c>
      <c r="D101" s="149" t="s">
        <v>2015</v>
      </c>
      <c r="E101" s="105">
        <v>1</v>
      </c>
      <c r="F101" s="150" t="s">
        <v>2016</v>
      </c>
      <c r="G101" s="150" t="s">
        <v>2017</v>
      </c>
      <c r="H101" s="119">
        <f t="shared" si="3"/>
        <v>33.25</v>
      </c>
      <c r="I101" s="119"/>
      <c r="J101" s="151">
        <v>0</v>
      </c>
      <c r="K101" s="119">
        <f t="shared" si="4"/>
        <v>33.25</v>
      </c>
      <c r="L101" s="152">
        <f t="shared" si="5"/>
        <v>28.89</v>
      </c>
      <c r="M101" s="113"/>
    </row>
    <row r="102" spans="1:13" s="114" customFormat="1" ht="14.25" customHeight="1" x14ac:dyDescent="0.2">
      <c r="A102" s="106" t="s">
        <v>1961</v>
      </c>
      <c r="B102" s="105" t="s">
        <v>2059</v>
      </c>
      <c r="C102" s="105" t="s">
        <v>2060</v>
      </c>
      <c r="D102" s="149" t="s">
        <v>2061</v>
      </c>
      <c r="E102" s="105">
        <v>2</v>
      </c>
      <c r="F102" s="150" t="s">
        <v>1923</v>
      </c>
      <c r="G102" s="150" t="s">
        <v>1809</v>
      </c>
      <c r="H102" s="119">
        <f t="shared" si="3"/>
        <v>36</v>
      </c>
      <c r="I102" s="119"/>
      <c r="J102" s="151">
        <v>0</v>
      </c>
      <c r="K102" s="119">
        <f t="shared" si="4"/>
        <v>36</v>
      </c>
      <c r="L102" s="152">
        <f t="shared" si="5"/>
        <v>31</v>
      </c>
      <c r="M102" s="113"/>
    </row>
    <row r="103" spans="1:13" s="114" customFormat="1" ht="14.25" customHeight="1" x14ac:dyDescent="0.2">
      <c r="A103" s="106" t="s">
        <v>1961</v>
      </c>
      <c r="B103" s="105" t="s">
        <v>1977</v>
      </c>
      <c r="C103" s="105" t="s">
        <v>2062</v>
      </c>
      <c r="D103" s="149" t="s">
        <v>1979</v>
      </c>
      <c r="E103" s="105">
        <v>5</v>
      </c>
      <c r="F103" s="150" t="s">
        <v>1980</v>
      </c>
      <c r="G103" s="150" t="s">
        <v>1981</v>
      </c>
      <c r="H103" s="119">
        <f t="shared" si="3"/>
        <v>5</v>
      </c>
      <c r="I103" s="119"/>
      <c r="J103" s="151">
        <v>0</v>
      </c>
      <c r="K103" s="119">
        <f t="shared" si="4"/>
        <v>5</v>
      </c>
      <c r="L103" s="152">
        <f t="shared" si="5"/>
        <v>3.8</v>
      </c>
      <c r="M103" s="113"/>
    </row>
    <row r="104" spans="1:13" s="114" customFormat="1" ht="14.25" customHeight="1" x14ac:dyDescent="0.2">
      <c r="A104" s="106" t="s">
        <v>1961</v>
      </c>
      <c r="B104" s="105" t="s">
        <v>2063</v>
      </c>
      <c r="C104" s="105" t="s">
        <v>2064</v>
      </c>
      <c r="D104" s="149" t="s">
        <v>2065</v>
      </c>
      <c r="E104" s="105">
        <v>1</v>
      </c>
      <c r="F104" s="150" t="s">
        <v>2066</v>
      </c>
      <c r="G104" s="150" t="s">
        <v>2067</v>
      </c>
      <c r="H104" s="119">
        <f t="shared" si="3"/>
        <v>42.75</v>
      </c>
      <c r="I104" s="119"/>
      <c r="J104" s="151">
        <v>0</v>
      </c>
      <c r="K104" s="119">
        <f t="shared" si="4"/>
        <v>42.75</v>
      </c>
      <c r="L104" s="152">
        <f t="shared" si="5"/>
        <v>37</v>
      </c>
      <c r="M104" s="113"/>
    </row>
    <row r="105" spans="1:13" s="114" customFormat="1" ht="14.25" customHeight="1" x14ac:dyDescent="0.2">
      <c r="A105" s="106" t="s">
        <v>1961</v>
      </c>
      <c r="B105" s="105" t="s">
        <v>2068</v>
      </c>
      <c r="C105" s="105" t="s">
        <v>2064</v>
      </c>
      <c r="D105" s="149" t="s">
        <v>2069</v>
      </c>
      <c r="E105" s="105">
        <v>1</v>
      </c>
      <c r="F105" s="150" t="s">
        <v>2070</v>
      </c>
      <c r="G105" s="150" t="s">
        <v>2071</v>
      </c>
      <c r="H105" s="119">
        <f t="shared" si="3"/>
        <v>43.75</v>
      </c>
      <c r="I105" s="119"/>
      <c r="J105" s="151">
        <v>0</v>
      </c>
      <c r="K105" s="119">
        <f t="shared" si="4"/>
        <v>43.75</v>
      </c>
      <c r="L105" s="152">
        <f t="shared" si="5"/>
        <v>38</v>
      </c>
      <c r="M105" s="113"/>
    </row>
    <row r="106" spans="1:13" s="114" customFormat="1" ht="14.25" customHeight="1" x14ac:dyDescent="0.2">
      <c r="A106" s="106" t="s">
        <v>1961</v>
      </c>
      <c r="B106" s="105" t="s">
        <v>2072</v>
      </c>
      <c r="C106" s="105" t="s">
        <v>2073</v>
      </c>
      <c r="D106" s="149" t="s">
        <v>2074</v>
      </c>
      <c r="E106" s="105">
        <v>1</v>
      </c>
      <c r="F106" s="150" t="s">
        <v>2075</v>
      </c>
      <c r="G106" s="150" t="s">
        <v>2076</v>
      </c>
      <c r="H106" s="119">
        <f t="shared" si="3"/>
        <v>10.5</v>
      </c>
      <c r="I106" s="119"/>
      <c r="J106" s="151">
        <v>0</v>
      </c>
      <c r="K106" s="119">
        <f t="shared" si="4"/>
        <v>10.5</v>
      </c>
      <c r="L106" s="152">
        <f t="shared" si="5"/>
        <v>9.1</v>
      </c>
      <c r="M106" s="113"/>
    </row>
    <row r="107" spans="1:13" s="114" customFormat="1" ht="14.25" customHeight="1" x14ac:dyDescent="0.2">
      <c r="A107" s="106" t="s">
        <v>1961</v>
      </c>
      <c r="B107" s="105" t="s">
        <v>2072</v>
      </c>
      <c r="C107" s="105" t="s">
        <v>2077</v>
      </c>
      <c r="D107" s="149" t="s">
        <v>2074</v>
      </c>
      <c r="E107" s="105">
        <v>1</v>
      </c>
      <c r="F107" s="150" t="s">
        <v>2075</v>
      </c>
      <c r="G107" s="150" t="s">
        <v>2076</v>
      </c>
      <c r="H107" s="119">
        <f t="shared" si="3"/>
        <v>10.5</v>
      </c>
      <c r="I107" s="119"/>
      <c r="J107" s="151">
        <v>0</v>
      </c>
      <c r="K107" s="119">
        <f t="shared" si="4"/>
        <v>10.5</v>
      </c>
      <c r="L107" s="152">
        <f t="shared" si="5"/>
        <v>9.1</v>
      </c>
      <c r="M107" s="113"/>
    </row>
    <row r="108" spans="1:13" s="114" customFormat="1" ht="14.25" customHeight="1" x14ac:dyDescent="0.2">
      <c r="A108" s="106" t="s">
        <v>1961</v>
      </c>
      <c r="B108" s="105" t="s">
        <v>1977</v>
      </c>
      <c r="C108" s="105" t="s">
        <v>2078</v>
      </c>
      <c r="D108" s="149" t="s">
        <v>1979</v>
      </c>
      <c r="E108" s="105">
        <v>2</v>
      </c>
      <c r="F108" s="150" t="s">
        <v>1980</v>
      </c>
      <c r="G108" s="150" t="s">
        <v>1981</v>
      </c>
      <c r="H108" s="119">
        <f t="shared" si="3"/>
        <v>2</v>
      </c>
      <c r="I108" s="119"/>
      <c r="J108" s="151">
        <v>0</v>
      </c>
      <c r="K108" s="119">
        <f t="shared" si="4"/>
        <v>2</v>
      </c>
      <c r="L108" s="152">
        <f t="shared" si="5"/>
        <v>1.52</v>
      </c>
      <c r="M108" s="113"/>
    </row>
    <row r="109" spans="1:13" s="114" customFormat="1" ht="14.25" customHeight="1" x14ac:dyDescent="0.2">
      <c r="A109" s="106" t="s">
        <v>1961</v>
      </c>
      <c r="B109" s="105" t="s">
        <v>2079</v>
      </c>
      <c r="C109" s="105" t="s">
        <v>2080</v>
      </c>
      <c r="D109" s="149" t="s">
        <v>2081</v>
      </c>
      <c r="E109" s="105">
        <v>1</v>
      </c>
      <c r="F109" s="150" t="s">
        <v>1837</v>
      </c>
      <c r="G109" s="150" t="s">
        <v>1948</v>
      </c>
      <c r="H109" s="119">
        <f t="shared" si="3"/>
        <v>16.75</v>
      </c>
      <c r="I109" s="119"/>
      <c r="J109" s="151">
        <v>0</v>
      </c>
      <c r="K109" s="119">
        <f t="shared" si="4"/>
        <v>16.75</v>
      </c>
      <c r="L109" s="152">
        <f t="shared" si="5"/>
        <v>14.43</v>
      </c>
      <c r="M109" s="113"/>
    </row>
    <row r="110" spans="1:13" s="114" customFormat="1" ht="14.25" customHeight="1" x14ac:dyDescent="0.2">
      <c r="A110" s="106" t="s">
        <v>1961</v>
      </c>
      <c r="B110" s="105" t="s">
        <v>2082</v>
      </c>
      <c r="C110" s="105" t="s">
        <v>2080</v>
      </c>
      <c r="D110" s="149" t="s">
        <v>2083</v>
      </c>
      <c r="E110" s="105">
        <v>1</v>
      </c>
      <c r="F110" s="150" t="s">
        <v>2084</v>
      </c>
      <c r="G110" s="150" t="s">
        <v>1928</v>
      </c>
      <c r="H110" s="119">
        <f t="shared" si="3"/>
        <v>12.25</v>
      </c>
      <c r="I110" s="119"/>
      <c r="J110" s="151">
        <v>0</v>
      </c>
      <c r="K110" s="119">
        <f t="shared" si="4"/>
        <v>12.25</v>
      </c>
      <c r="L110" s="152">
        <f t="shared" si="5"/>
        <v>10.199999999999999</v>
      </c>
      <c r="M110" s="113"/>
    </row>
    <row r="111" spans="1:13" s="114" customFormat="1" ht="14.25" customHeight="1" x14ac:dyDescent="0.2">
      <c r="A111" s="106" t="s">
        <v>1961</v>
      </c>
      <c r="B111" s="105" t="s">
        <v>2085</v>
      </c>
      <c r="C111" s="105" t="s">
        <v>2080</v>
      </c>
      <c r="D111" s="149" t="s">
        <v>2086</v>
      </c>
      <c r="E111" s="105">
        <v>1</v>
      </c>
      <c r="F111" s="150" t="s">
        <v>2087</v>
      </c>
      <c r="G111" s="150" t="s">
        <v>2088</v>
      </c>
      <c r="H111" s="119">
        <f t="shared" si="3"/>
        <v>13</v>
      </c>
      <c r="I111" s="119"/>
      <c r="J111" s="151">
        <v>0</v>
      </c>
      <c r="K111" s="119">
        <f t="shared" si="4"/>
        <v>13</v>
      </c>
      <c r="L111" s="152">
        <f t="shared" si="5"/>
        <v>11.17</v>
      </c>
      <c r="M111" s="113"/>
    </row>
    <row r="112" spans="1:13" s="114" customFormat="1" ht="14.25" customHeight="1" x14ac:dyDescent="0.2">
      <c r="A112" s="106" t="s">
        <v>1961</v>
      </c>
      <c r="B112" s="105" t="s">
        <v>2089</v>
      </c>
      <c r="C112" s="105" t="s">
        <v>2080</v>
      </c>
      <c r="D112" s="149" t="s">
        <v>2090</v>
      </c>
      <c r="E112" s="105">
        <v>3</v>
      </c>
      <c r="F112" s="150" t="s">
        <v>1980</v>
      </c>
      <c r="G112" s="150" t="s">
        <v>1981</v>
      </c>
      <c r="H112" s="119">
        <f t="shared" si="3"/>
        <v>3</v>
      </c>
      <c r="I112" s="119"/>
      <c r="J112" s="151">
        <v>0</v>
      </c>
      <c r="K112" s="119">
        <f t="shared" si="4"/>
        <v>3</v>
      </c>
      <c r="L112" s="152">
        <f t="shared" si="5"/>
        <v>2.2800000000000002</v>
      </c>
      <c r="M112" s="113"/>
    </row>
    <row r="113" spans="1:13" s="114" customFormat="1" ht="14.25" customHeight="1" x14ac:dyDescent="0.2">
      <c r="A113" s="106" t="s">
        <v>2091</v>
      </c>
      <c r="B113" s="105" t="s">
        <v>1781</v>
      </c>
      <c r="C113" s="105" t="s">
        <v>2092</v>
      </c>
      <c r="D113" s="149" t="s">
        <v>1782</v>
      </c>
      <c r="E113" s="105">
        <v>1</v>
      </c>
      <c r="F113" s="150" t="s">
        <v>1783</v>
      </c>
      <c r="G113" s="150" t="s">
        <v>1784</v>
      </c>
      <c r="H113" s="119">
        <f t="shared" si="3"/>
        <v>11</v>
      </c>
      <c r="I113" s="119"/>
      <c r="J113" s="151">
        <v>0</v>
      </c>
      <c r="K113" s="119">
        <f t="shared" si="4"/>
        <v>11</v>
      </c>
      <c r="L113" s="152">
        <f t="shared" si="5"/>
        <v>9.3800000000000008</v>
      </c>
      <c r="M113" s="113"/>
    </row>
    <row r="114" spans="1:13" s="114" customFormat="1" ht="14.25" customHeight="1" x14ac:dyDescent="0.2">
      <c r="A114" s="106" t="s">
        <v>2091</v>
      </c>
      <c r="B114" s="105" t="s">
        <v>1793</v>
      </c>
      <c r="C114" s="105" t="s">
        <v>2093</v>
      </c>
      <c r="D114" s="149" t="s">
        <v>1795</v>
      </c>
      <c r="E114" s="105">
        <v>1</v>
      </c>
      <c r="F114" s="150" t="s">
        <v>1796</v>
      </c>
      <c r="G114" s="150" t="s">
        <v>1797</v>
      </c>
      <c r="H114" s="119">
        <f t="shared" si="3"/>
        <v>14.75</v>
      </c>
      <c r="I114" s="119"/>
      <c r="J114" s="151">
        <v>0</v>
      </c>
      <c r="K114" s="119">
        <f t="shared" si="4"/>
        <v>14.75</v>
      </c>
      <c r="L114" s="152">
        <f t="shared" si="5"/>
        <v>12.77</v>
      </c>
      <c r="M114" s="113"/>
    </row>
    <row r="115" spans="1:13" s="114" customFormat="1" ht="14.25" customHeight="1" x14ac:dyDescent="0.2">
      <c r="A115" s="106" t="s">
        <v>2091</v>
      </c>
      <c r="B115" s="105" t="s">
        <v>2094</v>
      </c>
      <c r="C115" s="105" t="s">
        <v>2095</v>
      </c>
      <c r="D115" s="149" t="s">
        <v>2096</v>
      </c>
      <c r="E115" s="105">
        <v>3</v>
      </c>
      <c r="F115" s="150" t="s">
        <v>2005</v>
      </c>
      <c r="G115" s="150" t="s">
        <v>2097</v>
      </c>
      <c r="H115" s="119">
        <f t="shared" si="3"/>
        <v>43.5</v>
      </c>
      <c r="I115" s="119"/>
      <c r="J115" s="151">
        <v>0</v>
      </c>
      <c r="K115" s="119">
        <f t="shared" si="4"/>
        <v>43.5</v>
      </c>
      <c r="L115" s="152">
        <f t="shared" si="5"/>
        <v>37.68</v>
      </c>
      <c r="M115" s="113"/>
    </row>
    <row r="116" spans="1:13" s="114" customFormat="1" ht="14.25" customHeight="1" x14ac:dyDescent="0.2">
      <c r="A116" s="106" t="s">
        <v>2091</v>
      </c>
      <c r="B116" s="105" t="s">
        <v>1982</v>
      </c>
      <c r="C116" s="105" t="s">
        <v>2098</v>
      </c>
      <c r="D116" s="149" t="s">
        <v>1984</v>
      </c>
      <c r="E116" s="105">
        <v>1</v>
      </c>
      <c r="F116" s="150" t="s">
        <v>1883</v>
      </c>
      <c r="G116" s="150" t="s">
        <v>1784</v>
      </c>
      <c r="H116" s="119">
        <f t="shared" si="3"/>
        <v>11</v>
      </c>
      <c r="I116" s="119"/>
      <c r="J116" s="151">
        <v>0</v>
      </c>
      <c r="K116" s="119">
        <f t="shared" si="4"/>
        <v>11</v>
      </c>
      <c r="L116" s="152">
        <f t="shared" si="5"/>
        <v>7.33</v>
      </c>
      <c r="M116" s="113"/>
    </row>
    <row r="117" spans="1:13" s="114" customFormat="1" ht="14.25" customHeight="1" x14ac:dyDescent="0.2">
      <c r="A117" s="106" t="s">
        <v>2091</v>
      </c>
      <c r="B117" s="105" t="s">
        <v>1781</v>
      </c>
      <c r="C117" s="105" t="s">
        <v>2099</v>
      </c>
      <c r="D117" s="149" t="s">
        <v>1782</v>
      </c>
      <c r="E117" s="105">
        <v>1</v>
      </c>
      <c r="F117" s="150" t="s">
        <v>1783</v>
      </c>
      <c r="G117" s="150" t="s">
        <v>1784</v>
      </c>
      <c r="H117" s="119">
        <f t="shared" si="3"/>
        <v>11</v>
      </c>
      <c r="I117" s="119"/>
      <c r="J117" s="151">
        <v>0</v>
      </c>
      <c r="K117" s="119">
        <f t="shared" si="4"/>
        <v>11</v>
      </c>
      <c r="L117" s="152">
        <f t="shared" si="5"/>
        <v>9.3800000000000008</v>
      </c>
      <c r="M117" s="113"/>
    </row>
    <row r="118" spans="1:13" s="114" customFormat="1" ht="14.25" customHeight="1" x14ac:dyDescent="0.2">
      <c r="A118" s="106" t="s">
        <v>2091</v>
      </c>
      <c r="B118" s="105" t="s">
        <v>2100</v>
      </c>
      <c r="C118" s="105" t="s">
        <v>2099</v>
      </c>
      <c r="D118" s="149" t="s">
        <v>2101</v>
      </c>
      <c r="E118" s="105">
        <v>1</v>
      </c>
      <c r="F118" s="150" t="s">
        <v>2102</v>
      </c>
      <c r="G118" s="150" t="s">
        <v>2046</v>
      </c>
      <c r="H118" s="119">
        <f t="shared" si="3"/>
        <v>7.75</v>
      </c>
      <c r="I118" s="119"/>
      <c r="J118" s="151">
        <v>0</v>
      </c>
      <c r="K118" s="119">
        <f t="shared" si="4"/>
        <v>7.75</v>
      </c>
      <c r="L118" s="152">
        <f t="shared" si="5"/>
        <v>6.73</v>
      </c>
      <c r="M118" s="113"/>
    </row>
    <row r="119" spans="1:13" s="114" customFormat="1" ht="14.25" customHeight="1" x14ac:dyDescent="0.2">
      <c r="A119" s="106" t="s">
        <v>2091</v>
      </c>
      <c r="B119" s="105" t="s">
        <v>2072</v>
      </c>
      <c r="C119" s="105" t="s">
        <v>2103</v>
      </c>
      <c r="D119" s="149" t="s">
        <v>2074</v>
      </c>
      <c r="E119" s="105">
        <v>1</v>
      </c>
      <c r="F119" s="150" t="s">
        <v>2075</v>
      </c>
      <c r="G119" s="150" t="s">
        <v>2076</v>
      </c>
      <c r="H119" s="119">
        <f t="shared" si="3"/>
        <v>10.5</v>
      </c>
      <c r="I119" s="119"/>
      <c r="J119" s="151">
        <v>0</v>
      </c>
      <c r="K119" s="119">
        <f t="shared" si="4"/>
        <v>10.5</v>
      </c>
      <c r="L119" s="152">
        <f t="shared" si="5"/>
        <v>9.1</v>
      </c>
      <c r="M119" s="113"/>
    </row>
    <row r="120" spans="1:13" s="114" customFormat="1" ht="14.25" customHeight="1" x14ac:dyDescent="0.2">
      <c r="A120" s="106" t="s">
        <v>2091</v>
      </c>
      <c r="B120" s="105" t="s">
        <v>2104</v>
      </c>
      <c r="C120" s="105" t="s">
        <v>2105</v>
      </c>
      <c r="D120" s="149" t="s">
        <v>2106</v>
      </c>
      <c r="E120" s="105">
        <v>3</v>
      </c>
      <c r="F120" s="150" t="s">
        <v>1852</v>
      </c>
      <c r="G120" s="150" t="s">
        <v>1853</v>
      </c>
      <c r="H120" s="119">
        <f t="shared" si="3"/>
        <v>22.5</v>
      </c>
      <c r="I120" s="119"/>
      <c r="J120" s="151">
        <v>0</v>
      </c>
      <c r="K120" s="119">
        <f t="shared" si="4"/>
        <v>22.5</v>
      </c>
      <c r="L120" s="152">
        <f t="shared" si="5"/>
        <v>18.54</v>
      </c>
      <c r="M120" s="113"/>
    </row>
    <row r="121" spans="1:13" s="114" customFormat="1" ht="14.25" customHeight="1" x14ac:dyDescent="0.2">
      <c r="A121" s="106" t="s">
        <v>2091</v>
      </c>
      <c r="B121" s="105" t="s">
        <v>2107</v>
      </c>
      <c r="C121" s="105" t="s">
        <v>2108</v>
      </c>
      <c r="D121" s="149" t="s">
        <v>2109</v>
      </c>
      <c r="E121" s="105">
        <v>1</v>
      </c>
      <c r="F121" s="150" t="s">
        <v>1980</v>
      </c>
      <c r="G121" s="150" t="s">
        <v>1981</v>
      </c>
      <c r="H121" s="119">
        <f t="shared" si="3"/>
        <v>1</v>
      </c>
      <c r="I121" s="119"/>
      <c r="J121" s="151">
        <v>0</v>
      </c>
      <c r="K121" s="119">
        <f t="shared" si="4"/>
        <v>1</v>
      </c>
      <c r="L121" s="152">
        <f t="shared" si="5"/>
        <v>0.76</v>
      </c>
      <c r="M121" s="113"/>
    </row>
    <row r="122" spans="1:13" s="114" customFormat="1" ht="14.25" customHeight="1" x14ac:dyDescent="0.2">
      <c r="A122" s="106" t="s">
        <v>2091</v>
      </c>
      <c r="B122" s="105" t="s">
        <v>2089</v>
      </c>
      <c r="C122" s="105" t="s">
        <v>2108</v>
      </c>
      <c r="D122" s="149" t="s">
        <v>2090</v>
      </c>
      <c r="E122" s="105">
        <v>1</v>
      </c>
      <c r="F122" s="150" t="s">
        <v>1980</v>
      </c>
      <c r="G122" s="150" t="s">
        <v>1981</v>
      </c>
      <c r="H122" s="119">
        <f t="shared" si="3"/>
        <v>1</v>
      </c>
      <c r="I122" s="119"/>
      <c r="J122" s="151">
        <v>0</v>
      </c>
      <c r="K122" s="119">
        <f t="shared" si="4"/>
        <v>1</v>
      </c>
      <c r="L122" s="152">
        <f t="shared" si="5"/>
        <v>0.76</v>
      </c>
      <c r="M122" s="113"/>
    </row>
    <row r="123" spans="1:13" s="114" customFormat="1" ht="14.25" customHeight="1" x14ac:dyDescent="0.2">
      <c r="A123" s="106" t="s">
        <v>2091</v>
      </c>
      <c r="B123" s="105" t="s">
        <v>1977</v>
      </c>
      <c r="C123" s="105" t="s">
        <v>2108</v>
      </c>
      <c r="D123" s="149" t="s">
        <v>1979</v>
      </c>
      <c r="E123" s="105">
        <v>1</v>
      </c>
      <c r="F123" s="150" t="s">
        <v>1980</v>
      </c>
      <c r="G123" s="150" t="s">
        <v>1981</v>
      </c>
      <c r="H123" s="119">
        <f t="shared" si="3"/>
        <v>1</v>
      </c>
      <c r="I123" s="119"/>
      <c r="J123" s="151">
        <v>0</v>
      </c>
      <c r="K123" s="119">
        <f t="shared" si="4"/>
        <v>1</v>
      </c>
      <c r="L123" s="152">
        <f t="shared" si="5"/>
        <v>0.76</v>
      </c>
      <c r="M123" s="113"/>
    </row>
    <row r="124" spans="1:13" s="114" customFormat="1" ht="14.25" customHeight="1" x14ac:dyDescent="0.2">
      <c r="A124" s="106" t="s">
        <v>2091</v>
      </c>
      <c r="B124" s="105" t="s">
        <v>2110</v>
      </c>
      <c r="C124" s="105" t="s">
        <v>2111</v>
      </c>
      <c r="D124" s="149" t="s">
        <v>2112</v>
      </c>
      <c r="E124" s="105">
        <v>1</v>
      </c>
      <c r="F124" s="150" t="s">
        <v>2113</v>
      </c>
      <c r="G124" s="150" t="s">
        <v>2114</v>
      </c>
      <c r="H124" s="119">
        <f t="shared" si="3"/>
        <v>30.25</v>
      </c>
      <c r="I124" s="119"/>
      <c r="J124" s="151">
        <v>0</v>
      </c>
      <c r="K124" s="119">
        <f t="shared" si="4"/>
        <v>30.25</v>
      </c>
      <c r="L124" s="152">
        <f t="shared" si="5"/>
        <v>23.13</v>
      </c>
      <c r="M124" s="113"/>
    </row>
    <row r="125" spans="1:13" s="114" customFormat="1" ht="14.25" customHeight="1" x14ac:dyDescent="0.2">
      <c r="A125" s="106" t="s">
        <v>2091</v>
      </c>
      <c r="B125" s="105" t="s">
        <v>2115</v>
      </c>
      <c r="C125" s="105" t="s">
        <v>2116</v>
      </c>
      <c r="D125" s="149" t="s">
        <v>2117</v>
      </c>
      <c r="E125" s="105">
        <v>1</v>
      </c>
      <c r="F125" s="150" t="s">
        <v>2118</v>
      </c>
      <c r="G125" s="150" t="s">
        <v>2119</v>
      </c>
      <c r="H125" s="119">
        <f t="shared" si="3"/>
        <v>93.25</v>
      </c>
      <c r="I125" s="119"/>
      <c r="J125" s="151">
        <v>0</v>
      </c>
      <c r="K125" s="119">
        <f t="shared" si="4"/>
        <v>93.25</v>
      </c>
      <c r="L125" s="152">
        <f t="shared" si="5"/>
        <v>84.8</v>
      </c>
      <c r="M125" s="113"/>
    </row>
    <row r="126" spans="1:13" s="114" customFormat="1" ht="14.25" customHeight="1" x14ac:dyDescent="0.2">
      <c r="A126" s="106" t="s">
        <v>2091</v>
      </c>
      <c r="B126" s="105" t="s">
        <v>2120</v>
      </c>
      <c r="C126" s="105" t="s">
        <v>2121</v>
      </c>
      <c r="D126" s="149" t="s">
        <v>2122</v>
      </c>
      <c r="E126" s="105">
        <v>1</v>
      </c>
      <c r="F126" s="150" t="s">
        <v>1828</v>
      </c>
      <c r="G126" s="150" t="s">
        <v>2123</v>
      </c>
      <c r="H126" s="119">
        <f t="shared" si="3"/>
        <v>103.75</v>
      </c>
      <c r="I126" s="119"/>
      <c r="J126" s="151">
        <v>0</v>
      </c>
      <c r="K126" s="119">
        <f t="shared" si="4"/>
        <v>103.75</v>
      </c>
      <c r="L126" s="152">
        <f t="shared" si="5"/>
        <v>90</v>
      </c>
      <c r="M126" s="113"/>
    </row>
    <row r="127" spans="1:13" s="114" customFormat="1" ht="14.25" customHeight="1" x14ac:dyDescent="0.2">
      <c r="A127" s="106" t="s">
        <v>2091</v>
      </c>
      <c r="B127" s="105" t="s">
        <v>2124</v>
      </c>
      <c r="C127" s="105" t="s">
        <v>2125</v>
      </c>
      <c r="D127" s="149" t="s">
        <v>2126</v>
      </c>
      <c r="E127" s="105">
        <v>1</v>
      </c>
      <c r="F127" s="150" t="s">
        <v>1923</v>
      </c>
      <c r="G127" s="150" t="s">
        <v>1809</v>
      </c>
      <c r="H127" s="119">
        <f t="shared" si="3"/>
        <v>18</v>
      </c>
      <c r="I127" s="119"/>
      <c r="J127" s="151">
        <v>0</v>
      </c>
      <c r="K127" s="119">
        <f t="shared" si="4"/>
        <v>18</v>
      </c>
      <c r="L127" s="152">
        <f t="shared" si="5"/>
        <v>15.5</v>
      </c>
      <c r="M127" s="113"/>
    </row>
    <row r="128" spans="1:13" s="114" customFormat="1" ht="14.25" customHeight="1" x14ac:dyDescent="0.2">
      <c r="A128" s="106" t="s">
        <v>2091</v>
      </c>
      <c r="B128" s="105" t="s">
        <v>2127</v>
      </c>
      <c r="C128" s="105" t="s">
        <v>2128</v>
      </c>
      <c r="D128" s="149" t="s">
        <v>2129</v>
      </c>
      <c r="E128" s="105">
        <v>1</v>
      </c>
      <c r="F128" s="150" t="s">
        <v>1852</v>
      </c>
      <c r="G128" s="150" t="s">
        <v>1853</v>
      </c>
      <c r="H128" s="119">
        <f t="shared" si="3"/>
        <v>7.5</v>
      </c>
      <c r="I128" s="119"/>
      <c r="J128" s="151">
        <v>0</v>
      </c>
      <c r="K128" s="119">
        <f t="shared" si="4"/>
        <v>7.5</v>
      </c>
      <c r="L128" s="152">
        <f t="shared" si="5"/>
        <v>6.18</v>
      </c>
      <c r="M128" s="113"/>
    </row>
    <row r="129" spans="1:13" s="114" customFormat="1" ht="14.25" customHeight="1" x14ac:dyDescent="0.2">
      <c r="A129" s="106" t="s">
        <v>2091</v>
      </c>
      <c r="B129" s="105" t="s">
        <v>1933</v>
      </c>
      <c r="C129" s="105" t="s">
        <v>2130</v>
      </c>
      <c r="D129" s="149" t="s">
        <v>1934</v>
      </c>
      <c r="E129" s="105">
        <v>1</v>
      </c>
      <c r="F129" s="150" t="s">
        <v>1935</v>
      </c>
      <c r="G129" s="150" t="s">
        <v>1936</v>
      </c>
      <c r="H129" s="119">
        <f t="shared" si="3"/>
        <v>4.25</v>
      </c>
      <c r="I129" s="119"/>
      <c r="J129" s="151">
        <v>0</v>
      </c>
      <c r="K129" s="119">
        <f t="shared" si="4"/>
        <v>4.25</v>
      </c>
      <c r="L129" s="152">
        <f t="shared" si="5"/>
        <v>3.6</v>
      </c>
      <c r="M129" s="113"/>
    </row>
    <row r="130" spans="1:13" s="114" customFormat="1" ht="14.25" customHeight="1" x14ac:dyDescent="0.2">
      <c r="A130" s="106" t="s">
        <v>2091</v>
      </c>
      <c r="B130" s="105" t="s">
        <v>1821</v>
      </c>
      <c r="C130" s="105" t="s">
        <v>2131</v>
      </c>
      <c r="D130" s="149" t="s">
        <v>1823</v>
      </c>
      <c r="E130" s="105">
        <v>1</v>
      </c>
      <c r="F130" s="150" t="s">
        <v>1824</v>
      </c>
      <c r="G130" s="150" t="s">
        <v>1825</v>
      </c>
      <c r="H130" s="119">
        <f t="shared" si="3"/>
        <v>67.5</v>
      </c>
      <c r="I130" s="119"/>
      <c r="J130" s="151">
        <v>0</v>
      </c>
      <c r="K130" s="119">
        <f t="shared" si="4"/>
        <v>67.5</v>
      </c>
      <c r="L130" s="152">
        <f t="shared" si="5"/>
        <v>59.58</v>
      </c>
      <c r="M130" s="113"/>
    </row>
    <row r="131" spans="1:13" s="114" customFormat="1" ht="14.25" customHeight="1" x14ac:dyDescent="0.2">
      <c r="A131" s="106" t="s">
        <v>2091</v>
      </c>
      <c r="B131" s="105" t="s">
        <v>1863</v>
      </c>
      <c r="C131" s="105" t="s">
        <v>2132</v>
      </c>
      <c r="D131" s="149" t="s">
        <v>1864</v>
      </c>
      <c r="E131" s="105">
        <v>1</v>
      </c>
      <c r="F131" s="150" t="s">
        <v>1852</v>
      </c>
      <c r="G131" s="150" t="s">
        <v>1853</v>
      </c>
      <c r="H131" s="119">
        <f t="shared" si="3"/>
        <v>7.5</v>
      </c>
      <c r="I131" s="119"/>
      <c r="J131" s="151">
        <v>0</v>
      </c>
      <c r="K131" s="119">
        <f t="shared" si="4"/>
        <v>7.5</v>
      </c>
      <c r="L131" s="152">
        <f t="shared" si="5"/>
        <v>6.18</v>
      </c>
      <c r="M131" s="113"/>
    </row>
    <row r="132" spans="1:13" s="114" customFormat="1" ht="14.25" customHeight="1" x14ac:dyDescent="0.2">
      <c r="A132" s="106" t="s">
        <v>2091</v>
      </c>
      <c r="B132" s="105" t="s">
        <v>2133</v>
      </c>
      <c r="C132" s="105" t="s">
        <v>2134</v>
      </c>
      <c r="D132" s="149" t="s">
        <v>2135</v>
      </c>
      <c r="E132" s="105">
        <v>2</v>
      </c>
      <c r="F132" s="150" t="s">
        <v>2136</v>
      </c>
      <c r="G132" s="150" t="s">
        <v>2137</v>
      </c>
      <c r="H132" s="119">
        <f t="shared" si="3"/>
        <v>156.5</v>
      </c>
      <c r="I132" s="119"/>
      <c r="J132" s="151">
        <v>0</v>
      </c>
      <c r="K132" s="119">
        <f t="shared" si="4"/>
        <v>156.5</v>
      </c>
      <c r="L132" s="152">
        <f t="shared" si="5"/>
        <v>136</v>
      </c>
      <c r="M132" s="113"/>
    </row>
    <row r="133" spans="1:13" s="114" customFormat="1" ht="14.25" customHeight="1" x14ac:dyDescent="0.2">
      <c r="A133" s="106" t="s">
        <v>2091</v>
      </c>
      <c r="B133" s="105" t="s">
        <v>1857</v>
      </c>
      <c r="C133" s="105" t="s">
        <v>2138</v>
      </c>
      <c r="D133" s="149" t="s">
        <v>1858</v>
      </c>
      <c r="E133" s="105">
        <v>1</v>
      </c>
      <c r="F133" s="150" t="s">
        <v>1859</v>
      </c>
      <c r="G133" s="150" t="s">
        <v>1860</v>
      </c>
      <c r="H133" s="119">
        <f t="shared" si="3"/>
        <v>17.5</v>
      </c>
      <c r="I133" s="119"/>
      <c r="J133" s="151">
        <v>0</v>
      </c>
      <c r="K133" s="119">
        <f t="shared" si="4"/>
        <v>17.5</v>
      </c>
      <c r="L133" s="152">
        <f t="shared" si="5"/>
        <v>15.12</v>
      </c>
      <c r="M133" s="113"/>
    </row>
    <row r="134" spans="1:13" s="114" customFormat="1" ht="14.25" customHeight="1" x14ac:dyDescent="0.2">
      <c r="A134" s="106" t="s">
        <v>2091</v>
      </c>
      <c r="B134" s="105" t="s">
        <v>2139</v>
      </c>
      <c r="C134" s="105" t="s">
        <v>2138</v>
      </c>
      <c r="D134" s="149" t="s">
        <v>2140</v>
      </c>
      <c r="E134" s="105">
        <v>1</v>
      </c>
      <c r="F134" s="150" t="s">
        <v>1832</v>
      </c>
      <c r="G134" s="150" t="s">
        <v>1833</v>
      </c>
      <c r="H134" s="119">
        <f t="shared" ref="H134:H197" si="6">E134*G134</f>
        <v>18.5</v>
      </c>
      <c r="I134" s="119"/>
      <c r="J134" s="151">
        <v>0</v>
      </c>
      <c r="K134" s="119">
        <f t="shared" ref="K134:K197" si="7">H134+I134-J134</f>
        <v>18.5</v>
      </c>
      <c r="L134" s="152">
        <f t="shared" ref="L134:L197" si="8">E134*F134</f>
        <v>16.03</v>
      </c>
      <c r="M134" s="113"/>
    </row>
    <row r="135" spans="1:13" s="114" customFormat="1" ht="14.25" customHeight="1" x14ac:dyDescent="0.2">
      <c r="A135" s="106" t="s">
        <v>2091</v>
      </c>
      <c r="B135" s="105" t="s">
        <v>1869</v>
      </c>
      <c r="C135" s="105" t="s">
        <v>2138</v>
      </c>
      <c r="D135" s="149" t="s">
        <v>1871</v>
      </c>
      <c r="E135" s="105">
        <v>2</v>
      </c>
      <c r="F135" s="150" t="s">
        <v>1872</v>
      </c>
      <c r="G135" s="150" t="s">
        <v>1873</v>
      </c>
      <c r="H135" s="119">
        <f t="shared" si="6"/>
        <v>38</v>
      </c>
      <c r="I135" s="119"/>
      <c r="J135" s="151">
        <v>0</v>
      </c>
      <c r="K135" s="119">
        <f t="shared" si="7"/>
        <v>38</v>
      </c>
      <c r="L135" s="152">
        <f t="shared" si="8"/>
        <v>32.340000000000003</v>
      </c>
      <c r="M135" s="113"/>
    </row>
    <row r="136" spans="1:13" s="114" customFormat="1" ht="14.25" customHeight="1" x14ac:dyDescent="0.2">
      <c r="A136" s="106" t="s">
        <v>2091</v>
      </c>
      <c r="B136" s="105" t="s">
        <v>2141</v>
      </c>
      <c r="C136" s="105" t="s">
        <v>2142</v>
      </c>
      <c r="D136" s="149" t="s">
        <v>2143</v>
      </c>
      <c r="E136" s="105">
        <v>1</v>
      </c>
      <c r="F136" s="150" t="s">
        <v>2144</v>
      </c>
      <c r="G136" s="150" t="s">
        <v>2145</v>
      </c>
      <c r="H136" s="119">
        <f t="shared" si="6"/>
        <v>52.5</v>
      </c>
      <c r="I136" s="119"/>
      <c r="J136" s="151">
        <v>0</v>
      </c>
      <c r="K136" s="119">
        <f t="shared" si="7"/>
        <v>52.5</v>
      </c>
      <c r="L136" s="152">
        <f t="shared" si="8"/>
        <v>45.4</v>
      </c>
      <c r="M136" s="113"/>
    </row>
    <row r="137" spans="1:13" s="114" customFormat="1" ht="14.25" customHeight="1" x14ac:dyDescent="0.2">
      <c r="A137" s="106" t="s">
        <v>2091</v>
      </c>
      <c r="B137" s="105" t="s">
        <v>2146</v>
      </c>
      <c r="C137" s="105" t="s">
        <v>2142</v>
      </c>
      <c r="D137" s="149" t="s">
        <v>2147</v>
      </c>
      <c r="E137" s="105">
        <v>26</v>
      </c>
      <c r="F137" s="150" t="s">
        <v>1928</v>
      </c>
      <c r="G137" s="150" t="s">
        <v>2097</v>
      </c>
      <c r="H137" s="119">
        <f t="shared" si="6"/>
        <v>377</v>
      </c>
      <c r="I137" s="119"/>
      <c r="J137" s="151">
        <v>0</v>
      </c>
      <c r="K137" s="119">
        <f t="shared" si="7"/>
        <v>377</v>
      </c>
      <c r="L137" s="152">
        <f t="shared" si="8"/>
        <v>318.5</v>
      </c>
      <c r="M137" s="113"/>
    </row>
    <row r="138" spans="1:13" s="114" customFormat="1" ht="14.25" customHeight="1" x14ac:dyDescent="0.2">
      <c r="A138" s="106" t="s">
        <v>2091</v>
      </c>
      <c r="B138" s="105" t="s">
        <v>1810</v>
      </c>
      <c r="C138" s="105" t="s">
        <v>2142</v>
      </c>
      <c r="D138" s="149" t="s">
        <v>1811</v>
      </c>
      <c r="E138" s="105">
        <v>1</v>
      </c>
      <c r="F138" s="150" t="s">
        <v>1812</v>
      </c>
      <c r="G138" s="150" t="s">
        <v>1813</v>
      </c>
      <c r="H138" s="119">
        <f t="shared" si="6"/>
        <v>44.25</v>
      </c>
      <c r="I138" s="119"/>
      <c r="J138" s="151">
        <v>0</v>
      </c>
      <c r="K138" s="119">
        <f t="shared" si="7"/>
        <v>44.25</v>
      </c>
      <c r="L138" s="152">
        <f t="shared" si="8"/>
        <v>38.39</v>
      </c>
      <c r="M138" s="113"/>
    </row>
    <row r="139" spans="1:13" s="114" customFormat="1" ht="14.25" customHeight="1" x14ac:dyDescent="0.2">
      <c r="A139" s="106" t="s">
        <v>2091</v>
      </c>
      <c r="B139" s="105" t="s">
        <v>2148</v>
      </c>
      <c r="C139" s="105" t="s">
        <v>2142</v>
      </c>
      <c r="D139" s="149" t="s">
        <v>2149</v>
      </c>
      <c r="E139" s="105">
        <v>1</v>
      </c>
      <c r="F139" s="150" t="s">
        <v>2150</v>
      </c>
      <c r="G139" s="150" t="s">
        <v>2151</v>
      </c>
      <c r="H139" s="119">
        <f t="shared" si="6"/>
        <v>36</v>
      </c>
      <c r="I139" s="119"/>
      <c r="J139" s="151">
        <v>0</v>
      </c>
      <c r="K139" s="119">
        <f t="shared" si="7"/>
        <v>36</v>
      </c>
      <c r="L139" s="152">
        <f t="shared" si="8"/>
        <v>31.05</v>
      </c>
      <c r="M139" s="113"/>
    </row>
    <row r="140" spans="1:13" s="114" customFormat="1" ht="14.25" customHeight="1" x14ac:dyDescent="0.2">
      <c r="A140" s="106" t="s">
        <v>2152</v>
      </c>
      <c r="B140" s="105" t="s">
        <v>2153</v>
      </c>
      <c r="C140" s="105" t="s">
        <v>2154</v>
      </c>
      <c r="D140" s="149" t="s">
        <v>2155</v>
      </c>
      <c r="E140" s="105">
        <v>2</v>
      </c>
      <c r="F140" s="150" t="s">
        <v>2156</v>
      </c>
      <c r="G140" s="150" t="s">
        <v>2038</v>
      </c>
      <c r="H140" s="119">
        <f t="shared" si="6"/>
        <v>52.5</v>
      </c>
      <c r="I140" s="119"/>
      <c r="J140" s="151">
        <v>0</v>
      </c>
      <c r="K140" s="119">
        <f t="shared" si="7"/>
        <v>52.5</v>
      </c>
      <c r="L140" s="152">
        <f t="shared" si="8"/>
        <v>45.5</v>
      </c>
      <c r="M140" s="113"/>
    </row>
    <row r="141" spans="1:13" s="114" customFormat="1" ht="14.25" customHeight="1" x14ac:dyDescent="0.2">
      <c r="A141" s="106" t="s">
        <v>2152</v>
      </c>
      <c r="B141" s="105" t="s">
        <v>1962</v>
      </c>
      <c r="C141" s="105" t="s">
        <v>2157</v>
      </c>
      <c r="D141" s="149" t="s">
        <v>1964</v>
      </c>
      <c r="E141" s="105">
        <v>1</v>
      </c>
      <c r="F141" s="150" t="s">
        <v>1965</v>
      </c>
      <c r="G141" s="150" t="s">
        <v>1966</v>
      </c>
      <c r="H141" s="119">
        <f t="shared" si="6"/>
        <v>8.25</v>
      </c>
      <c r="I141" s="119"/>
      <c r="J141" s="151">
        <v>0</v>
      </c>
      <c r="K141" s="119">
        <f t="shared" si="7"/>
        <v>8.25</v>
      </c>
      <c r="L141" s="152">
        <f t="shared" si="8"/>
        <v>7.06</v>
      </c>
      <c r="M141" s="113"/>
    </row>
    <row r="142" spans="1:13" s="114" customFormat="1" ht="14.25" customHeight="1" x14ac:dyDescent="0.2">
      <c r="A142" s="106" t="s">
        <v>2152</v>
      </c>
      <c r="B142" s="105" t="s">
        <v>1994</v>
      </c>
      <c r="C142" s="105" t="s">
        <v>2157</v>
      </c>
      <c r="D142" s="149" t="s">
        <v>1995</v>
      </c>
      <c r="E142" s="105">
        <v>1</v>
      </c>
      <c r="F142" s="150" t="s">
        <v>1996</v>
      </c>
      <c r="G142" s="150" t="s">
        <v>1801</v>
      </c>
      <c r="H142" s="119">
        <f t="shared" si="6"/>
        <v>9.5</v>
      </c>
      <c r="I142" s="119"/>
      <c r="J142" s="151">
        <v>0</v>
      </c>
      <c r="K142" s="119">
        <f t="shared" si="7"/>
        <v>9.5</v>
      </c>
      <c r="L142" s="152">
        <f t="shared" si="8"/>
        <v>6.67</v>
      </c>
      <c r="M142" s="113"/>
    </row>
    <row r="143" spans="1:13" s="114" customFormat="1" ht="14.25" customHeight="1" x14ac:dyDescent="0.2">
      <c r="A143" s="106" t="s">
        <v>2152</v>
      </c>
      <c r="B143" s="105" t="s">
        <v>2158</v>
      </c>
      <c r="C143" s="105" t="s">
        <v>2159</v>
      </c>
      <c r="D143" s="149" t="s">
        <v>2160</v>
      </c>
      <c r="E143" s="105">
        <v>4</v>
      </c>
      <c r="F143" s="150" t="s">
        <v>2161</v>
      </c>
      <c r="G143" s="150" t="s">
        <v>1825</v>
      </c>
      <c r="H143" s="119">
        <f t="shared" si="6"/>
        <v>270</v>
      </c>
      <c r="I143" s="119"/>
      <c r="J143" s="151">
        <v>0</v>
      </c>
      <c r="K143" s="119">
        <f t="shared" si="7"/>
        <v>270</v>
      </c>
      <c r="L143" s="152">
        <f t="shared" si="8"/>
        <v>234.24</v>
      </c>
      <c r="M143" s="113"/>
    </row>
    <row r="144" spans="1:13" s="114" customFormat="1" ht="14.25" customHeight="1" x14ac:dyDescent="0.2">
      <c r="A144" s="106" t="s">
        <v>2152</v>
      </c>
      <c r="B144" s="105" t="s">
        <v>2162</v>
      </c>
      <c r="C144" s="105" t="s">
        <v>2159</v>
      </c>
      <c r="D144" s="149" t="s">
        <v>2163</v>
      </c>
      <c r="E144" s="105">
        <v>2</v>
      </c>
      <c r="F144" s="150" t="s">
        <v>2164</v>
      </c>
      <c r="G144" s="150" t="s">
        <v>2165</v>
      </c>
      <c r="H144" s="119">
        <f t="shared" si="6"/>
        <v>155</v>
      </c>
      <c r="I144" s="119"/>
      <c r="J144" s="151">
        <v>0</v>
      </c>
      <c r="K144" s="119">
        <f t="shared" si="7"/>
        <v>155</v>
      </c>
      <c r="L144" s="152">
        <f t="shared" si="8"/>
        <v>134.58000000000001</v>
      </c>
      <c r="M144" s="113"/>
    </row>
    <row r="145" spans="1:13" s="114" customFormat="1" ht="14.25" customHeight="1" x14ac:dyDescent="0.2">
      <c r="A145" s="106" t="s">
        <v>2152</v>
      </c>
      <c r="B145" s="105" t="s">
        <v>2166</v>
      </c>
      <c r="C145" s="105" t="s">
        <v>2167</v>
      </c>
      <c r="D145" s="149" t="s">
        <v>2168</v>
      </c>
      <c r="E145" s="105">
        <v>5</v>
      </c>
      <c r="F145" s="150" t="s">
        <v>2169</v>
      </c>
      <c r="G145" s="150" t="s">
        <v>2030</v>
      </c>
      <c r="H145" s="119">
        <f t="shared" si="6"/>
        <v>51.25</v>
      </c>
      <c r="I145" s="119"/>
      <c r="J145" s="151">
        <v>0</v>
      </c>
      <c r="K145" s="119">
        <f t="shared" si="7"/>
        <v>51.25</v>
      </c>
      <c r="L145" s="152">
        <f t="shared" si="8"/>
        <v>44</v>
      </c>
      <c r="M145" s="113"/>
    </row>
    <row r="146" spans="1:13" s="114" customFormat="1" ht="14.25" customHeight="1" x14ac:dyDescent="0.2">
      <c r="A146" s="153" t="s">
        <v>2152</v>
      </c>
      <c r="B146" s="154" t="s">
        <v>2170</v>
      </c>
      <c r="C146" s="154" t="s">
        <v>2167</v>
      </c>
      <c r="D146" s="155" t="s">
        <v>2171</v>
      </c>
      <c r="E146" s="154">
        <v>2</v>
      </c>
      <c r="F146" s="146"/>
      <c r="G146" s="146" t="s">
        <v>2172</v>
      </c>
      <c r="H146" s="147">
        <f t="shared" si="6"/>
        <v>95</v>
      </c>
      <c r="I146" s="147"/>
      <c r="J146" s="156">
        <v>0</v>
      </c>
      <c r="K146" s="147">
        <f t="shared" si="7"/>
        <v>95</v>
      </c>
      <c r="L146" s="148">
        <f t="shared" si="8"/>
        <v>0</v>
      </c>
      <c r="M146" s="113"/>
    </row>
    <row r="147" spans="1:13" s="114" customFormat="1" ht="14.25" customHeight="1" x14ac:dyDescent="0.2">
      <c r="A147" s="106" t="s">
        <v>2152</v>
      </c>
      <c r="B147" s="105" t="s">
        <v>2173</v>
      </c>
      <c r="C147" s="105" t="s">
        <v>2174</v>
      </c>
      <c r="D147" s="149" t="s">
        <v>2175</v>
      </c>
      <c r="E147" s="105">
        <v>1</v>
      </c>
      <c r="F147" s="150" t="s">
        <v>2176</v>
      </c>
      <c r="G147" s="150" t="s">
        <v>2177</v>
      </c>
      <c r="H147" s="119">
        <f t="shared" si="6"/>
        <v>161</v>
      </c>
      <c r="I147" s="119"/>
      <c r="J147" s="151">
        <v>0</v>
      </c>
      <c r="K147" s="119">
        <f t="shared" si="7"/>
        <v>161</v>
      </c>
      <c r="L147" s="152">
        <f t="shared" si="8"/>
        <v>140</v>
      </c>
      <c r="M147" s="113"/>
    </row>
    <row r="148" spans="1:13" s="114" customFormat="1" ht="14.25" customHeight="1" x14ac:dyDescent="0.2">
      <c r="A148" s="106" t="s">
        <v>2152</v>
      </c>
      <c r="B148" s="105" t="s">
        <v>1798</v>
      </c>
      <c r="C148" s="105" t="s">
        <v>2178</v>
      </c>
      <c r="D148" s="149" t="s">
        <v>1799</v>
      </c>
      <c r="E148" s="105">
        <v>1</v>
      </c>
      <c r="F148" s="150" t="s">
        <v>1800</v>
      </c>
      <c r="G148" s="150" t="s">
        <v>1801</v>
      </c>
      <c r="H148" s="119">
        <f t="shared" si="6"/>
        <v>9.5</v>
      </c>
      <c r="I148" s="119"/>
      <c r="J148" s="151">
        <v>0</v>
      </c>
      <c r="K148" s="119">
        <f t="shared" si="7"/>
        <v>9.5</v>
      </c>
      <c r="L148" s="152">
        <f t="shared" si="8"/>
        <v>8.1999999999999993</v>
      </c>
      <c r="M148" s="113"/>
    </row>
    <row r="149" spans="1:13" s="114" customFormat="1" ht="14.25" customHeight="1" x14ac:dyDescent="0.2">
      <c r="A149" s="106" t="s">
        <v>2152</v>
      </c>
      <c r="B149" s="105" t="s">
        <v>2089</v>
      </c>
      <c r="C149" s="105" t="s">
        <v>2179</v>
      </c>
      <c r="D149" s="149" t="s">
        <v>2090</v>
      </c>
      <c r="E149" s="105">
        <v>5</v>
      </c>
      <c r="F149" s="150" t="s">
        <v>1980</v>
      </c>
      <c r="G149" s="150" t="s">
        <v>1981</v>
      </c>
      <c r="H149" s="119">
        <f t="shared" si="6"/>
        <v>5</v>
      </c>
      <c r="I149" s="119"/>
      <c r="J149" s="151">
        <v>0</v>
      </c>
      <c r="K149" s="119">
        <f t="shared" si="7"/>
        <v>5</v>
      </c>
      <c r="L149" s="152">
        <f t="shared" si="8"/>
        <v>3.8</v>
      </c>
      <c r="M149" s="113"/>
    </row>
    <row r="150" spans="1:13" s="114" customFormat="1" x14ac:dyDescent="0.2">
      <c r="A150" s="106" t="s">
        <v>2152</v>
      </c>
      <c r="B150" s="105" t="s">
        <v>2180</v>
      </c>
      <c r="C150" s="105" t="s">
        <v>2181</v>
      </c>
      <c r="D150" s="149" t="s">
        <v>2182</v>
      </c>
      <c r="E150" s="105">
        <v>1</v>
      </c>
      <c r="F150" s="150" t="s">
        <v>2183</v>
      </c>
      <c r="G150" s="150" t="s">
        <v>2184</v>
      </c>
      <c r="H150" s="119">
        <f t="shared" si="6"/>
        <v>60</v>
      </c>
      <c r="I150" s="119"/>
      <c r="J150" s="151">
        <v>0</v>
      </c>
      <c r="K150" s="119">
        <f t="shared" si="7"/>
        <v>60</v>
      </c>
      <c r="L150" s="152">
        <f t="shared" si="8"/>
        <v>51.97</v>
      </c>
      <c r="M150" s="113"/>
    </row>
    <row r="151" spans="1:13" s="114" customFormat="1" x14ac:dyDescent="0.2">
      <c r="A151" s="153" t="s">
        <v>2152</v>
      </c>
      <c r="B151" s="154" t="s">
        <v>2185</v>
      </c>
      <c r="C151" s="154" t="s">
        <v>2186</v>
      </c>
      <c r="D151" s="155" t="s">
        <v>2187</v>
      </c>
      <c r="E151" s="154">
        <v>1</v>
      </c>
      <c r="F151" s="146"/>
      <c r="G151" s="146" t="s">
        <v>2188</v>
      </c>
      <c r="H151" s="147">
        <f t="shared" si="6"/>
        <v>59.5</v>
      </c>
      <c r="I151" s="147"/>
      <c r="J151" s="156">
        <v>0</v>
      </c>
      <c r="K151" s="147">
        <f t="shared" si="7"/>
        <v>59.5</v>
      </c>
      <c r="L151" s="148">
        <f t="shared" si="8"/>
        <v>0</v>
      </c>
      <c r="M151" s="113"/>
    </row>
    <row r="152" spans="1:13" s="114" customFormat="1" x14ac:dyDescent="0.2">
      <c r="A152" s="106" t="s">
        <v>2152</v>
      </c>
      <c r="B152" s="105" t="s">
        <v>1929</v>
      </c>
      <c r="C152" s="105" t="s">
        <v>2186</v>
      </c>
      <c r="D152" s="149" t="s">
        <v>1930</v>
      </c>
      <c r="E152" s="105">
        <v>4</v>
      </c>
      <c r="F152" s="150" t="s">
        <v>1931</v>
      </c>
      <c r="G152" s="150" t="s">
        <v>1932</v>
      </c>
      <c r="H152" s="119">
        <f t="shared" si="6"/>
        <v>88</v>
      </c>
      <c r="I152" s="119"/>
      <c r="J152" s="151">
        <v>0</v>
      </c>
      <c r="K152" s="119">
        <f t="shared" si="7"/>
        <v>88</v>
      </c>
      <c r="L152" s="152">
        <f t="shared" si="8"/>
        <v>55.68</v>
      </c>
      <c r="M152" s="113"/>
    </row>
    <row r="153" spans="1:13" s="114" customFormat="1" x14ac:dyDescent="0.2">
      <c r="A153" s="153" t="s">
        <v>2152</v>
      </c>
      <c r="B153" s="154" t="s">
        <v>1777</v>
      </c>
      <c r="C153" s="154" t="s">
        <v>2186</v>
      </c>
      <c r="D153" s="155" t="s">
        <v>1779</v>
      </c>
      <c r="E153" s="154">
        <v>1</v>
      </c>
      <c r="F153" s="146"/>
      <c r="G153" s="146" t="s">
        <v>1780</v>
      </c>
      <c r="H153" s="147">
        <f t="shared" si="6"/>
        <v>58</v>
      </c>
      <c r="I153" s="147"/>
      <c r="J153" s="156">
        <v>0</v>
      </c>
      <c r="K153" s="147">
        <f t="shared" si="7"/>
        <v>58</v>
      </c>
      <c r="L153" s="148">
        <f t="shared" si="8"/>
        <v>0</v>
      </c>
      <c r="M153" s="113"/>
    </row>
    <row r="154" spans="1:13" s="114" customFormat="1" x14ac:dyDescent="0.2">
      <c r="A154" s="106" t="s">
        <v>2152</v>
      </c>
      <c r="B154" s="105" t="s">
        <v>2189</v>
      </c>
      <c r="C154" s="105" t="s">
        <v>2186</v>
      </c>
      <c r="D154" s="149" t="s">
        <v>2190</v>
      </c>
      <c r="E154" s="105">
        <v>1</v>
      </c>
      <c r="F154" s="150" t="s">
        <v>2191</v>
      </c>
      <c r="G154" s="150" t="s">
        <v>2192</v>
      </c>
      <c r="H154" s="119">
        <f t="shared" si="6"/>
        <v>71.5</v>
      </c>
      <c r="I154" s="119"/>
      <c r="J154" s="151">
        <v>0</v>
      </c>
      <c r="K154" s="119">
        <f t="shared" si="7"/>
        <v>71.5</v>
      </c>
      <c r="L154" s="152">
        <f t="shared" si="8"/>
        <v>65</v>
      </c>
      <c r="M154" s="113"/>
    </row>
    <row r="155" spans="1:13" s="114" customFormat="1" x14ac:dyDescent="0.2">
      <c r="A155" s="106" t="s">
        <v>2152</v>
      </c>
      <c r="B155" s="105" t="s">
        <v>2193</v>
      </c>
      <c r="C155" s="105" t="s">
        <v>2194</v>
      </c>
      <c r="D155" s="149" t="s">
        <v>2195</v>
      </c>
      <c r="E155" s="105">
        <v>1</v>
      </c>
      <c r="F155" s="150" t="s">
        <v>1891</v>
      </c>
      <c r="G155" s="150" t="s">
        <v>1892</v>
      </c>
      <c r="H155" s="119">
        <f t="shared" si="6"/>
        <v>24</v>
      </c>
      <c r="I155" s="119"/>
      <c r="J155" s="151">
        <v>0</v>
      </c>
      <c r="K155" s="119">
        <f t="shared" si="7"/>
        <v>24</v>
      </c>
      <c r="L155" s="152">
        <f t="shared" si="8"/>
        <v>20.68</v>
      </c>
      <c r="M155" s="113"/>
    </row>
    <row r="156" spans="1:13" s="114" customFormat="1" x14ac:dyDescent="0.2">
      <c r="A156" s="106" t="s">
        <v>2152</v>
      </c>
      <c r="B156" s="105" t="s">
        <v>1888</v>
      </c>
      <c r="C156" s="105" t="s">
        <v>2194</v>
      </c>
      <c r="D156" s="149" t="s">
        <v>1890</v>
      </c>
      <c r="E156" s="105">
        <v>1</v>
      </c>
      <c r="F156" s="150" t="s">
        <v>1891</v>
      </c>
      <c r="G156" s="150" t="s">
        <v>1892</v>
      </c>
      <c r="H156" s="119">
        <f t="shared" si="6"/>
        <v>24</v>
      </c>
      <c r="I156" s="119"/>
      <c r="J156" s="151">
        <v>0</v>
      </c>
      <c r="K156" s="119">
        <f t="shared" si="7"/>
        <v>24</v>
      </c>
      <c r="L156" s="152">
        <f t="shared" si="8"/>
        <v>20.68</v>
      </c>
      <c r="M156" s="113"/>
    </row>
    <row r="157" spans="1:13" s="114" customFormat="1" x14ac:dyDescent="0.2">
      <c r="A157" s="106" t="s">
        <v>2152</v>
      </c>
      <c r="B157" s="105" t="s">
        <v>2196</v>
      </c>
      <c r="C157" s="105" t="s">
        <v>2197</v>
      </c>
      <c r="D157" s="149" t="s">
        <v>2198</v>
      </c>
      <c r="E157" s="105">
        <v>1</v>
      </c>
      <c r="F157" s="150" t="s">
        <v>1975</v>
      </c>
      <c r="G157" s="150" t="s">
        <v>1976</v>
      </c>
      <c r="H157" s="119">
        <f t="shared" si="6"/>
        <v>23.75</v>
      </c>
      <c r="I157" s="119"/>
      <c r="J157" s="151">
        <v>0</v>
      </c>
      <c r="K157" s="119">
        <f t="shared" si="7"/>
        <v>23.75</v>
      </c>
      <c r="L157" s="152">
        <f t="shared" si="8"/>
        <v>20.55</v>
      </c>
      <c r="M157" s="113"/>
    </row>
    <row r="158" spans="1:13" s="114" customFormat="1" x14ac:dyDescent="0.2">
      <c r="A158" s="153" t="s">
        <v>2152</v>
      </c>
      <c r="B158" s="154" t="s">
        <v>1902</v>
      </c>
      <c r="C158" s="154" t="s">
        <v>2199</v>
      </c>
      <c r="D158" s="155" t="s">
        <v>1903</v>
      </c>
      <c r="E158" s="154">
        <v>1</v>
      </c>
      <c r="F158" s="146"/>
      <c r="G158" s="146" t="s">
        <v>1904</v>
      </c>
      <c r="H158" s="147">
        <f t="shared" si="6"/>
        <v>19.25</v>
      </c>
      <c r="I158" s="147"/>
      <c r="J158" s="156">
        <v>0</v>
      </c>
      <c r="K158" s="147">
        <f t="shared" si="7"/>
        <v>19.25</v>
      </c>
      <c r="L158" s="148">
        <f t="shared" si="8"/>
        <v>0</v>
      </c>
      <c r="M158" s="113"/>
    </row>
    <row r="159" spans="1:13" s="114" customFormat="1" x14ac:dyDescent="0.2">
      <c r="A159" s="106" t="s">
        <v>2152</v>
      </c>
      <c r="B159" s="105" t="s">
        <v>2059</v>
      </c>
      <c r="C159" s="105" t="s">
        <v>2200</v>
      </c>
      <c r="D159" s="149" t="s">
        <v>2061</v>
      </c>
      <c r="E159" s="105">
        <v>1</v>
      </c>
      <c r="F159" s="150" t="s">
        <v>1923</v>
      </c>
      <c r="G159" s="150" t="s">
        <v>1809</v>
      </c>
      <c r="H159" s="119">
        <f t="shared" si="6"/>
        <v>18</v>
      </c>
      <c r="I159" s="119"/>
      <c r="J159" s="151">
        <v>0</v>
      </c>
      <c r="K159" s="119">
        <f t="shared" si="7"/>
        <v>18</v>
      </c>
      <c r="L159" s="152">
        <f t="shared" si="8"/>
        <v>15.5</v>
      </c>
      <c r="M159" s="113"/>
    </row>
    <row r="160" spans="1:13" s="114" customFormat="1" x14ac:dyDescent="0.2">
      <c r="A160" s="106" t="s">
        <v>2152</v>
      </c>
      <c r="B160" s="105" t="s">
        <v>2201</v>
      </c>
      <c r="C160" s="105" t="s">
        <v>2200</v>
      </c>
      <c r="D160" s="149" t="s">
        <v>2202</v>
      </c>
      <c r="E160" s="105">
        <v>1</v>
      </c>
      <c r="F160" s="150" t="s">
        <v>2203</v>
      </c>
      <c r="G160" s="150" t="s">
        <v>2204</v>
      </c>
      <c r="H160" s="119">
        <f t="shared" si="6"/>
        <v>14</v>
      </c>
      <c r="I160" s="119"/>
      <c r="J160" s="151">
        <v>0</v>
      </c>
      <c r="K160" s="119">
        <f t="shared" si="7"/>
        <v>14</v>
      </c>
      <c r="L160" s="152">
        <f t="shared" si="8"/>
        <v>11.99</v>
      </c>
      <c r="M160" s="113"/>
    </row>
    <row r="161" spans="1:13" s="114" customFormat="1" x14ac:dyDescent="0.2">
      <c r="A161" s="106" t="s">
        <v>2152</v>
      </c>
      <c r="B161" s="105" t="s">
        <v>2205</v>
      </c>
      <c r="C161" s="105" t="s">
        <v>2206</v>
      </c>
      <c r="D161" s="149" t="s">
        <v>2207</v>
      </c>
      <c r="E161" s="105">
        <v>1</v>
      </c>
      <c r="F161" s="150" t="s">
        <v>2208</v>
      </c>
      <c r="G161" s="150" t="s">
        <v>2209</v>
      </c>
      <c r="H161" s="119">
        <f t="shared" si="6"/>
        <v>48.25</v>
      </c>
      <c r="I161" s="119"/>
      <c r="J161" s="151">
        <v>0</v>
      </c>
      <c r="K161" s="119">
        <f t="shared" si="7"/>
        <v>48.25</v>
      </c>
      <c r="L161" s="152">
        <f t="shared" si="8"/>
        <v>41.86</v>
      </c>
      <c r="M161" s="113"/>
    </row>
    <row r="162" spans="1:13" s="114" customFormat="1" x14ac:dyDescent="0.2">
      <c r="A162" s="106" t="s">
        <v>2152</v>
      </c>
      <c r="B162" s="105" t="s">
        <v>2210</v>
      </c>
      <c r="C162" s="105" t="s">
        <v>2206</v>
      </c>
      <c r="D162" s="149" t="s">
        <v>2211</v>
      </c>
      <c r="E162" s="105">
        <v>1</v>
      </c>
      <c r="F162" s="150" t="s">
        <v>2212</v>
      </c>
      <c r="G162" s="150" t="s">
        <v>2213</v>
      </c>
      <c r="H162" s="119">
        <f t="shared" si="6"/>
        <v>15.25</v>
      </c>
      <c r="I162" s="119"/>
      <c r="J162" s="151">
        <v>0</v>
      </c>
      <c r="K162" s="119">
        <f t="shared" si="7"/>
        <v>15.25</v>
      </c>
      <c r="L162" s="152">
        <f t="shared" si="8"/>
        <v>13.1</v>
      </c>
      <c r="M162" s="113"/>
    </row>
    <row r="163" spans="1:13" s="114" customFormat="1" x14ac:dyDescent="0.2">
      <c r="A163" s="106" t="s">
        <v>2152</v>
      </c>
      <c r="B163" s="105" t="s">
        <v>2214</v>
      </c>
      <c r="C163" s="105" t="s">
        <v>2215</v>
      </c>
      <c r="D163" s="149" t="s">
        <v>2216</v>
      </c>
      <c r="E163" s="105">
        <v>1</v>
      </c>
      <c r="F163" s="150" t="s">
        <v>2217</v>
      </c>
      <c r="G163" s="150" t="s">
        <v>2218</v>
      </c>
      <c r="H163" s="119">
        <f t="shared" si="6"/>
        <v>48</v>
      </c>
      <c r="I163" s="119"/>
      <c r="J163" s="151">
        <v>0</v>
      </c>
      <c r="K163" s="119">
        <f t="shared" si="7"/>
        <v>48</v>
      </c>
      <c r="L163" s="152">
        <f t="shared" si="8"/>
        <v>41.67</v>
      </c>
      <c r="M163" s="113"/>
    </row>
    <row r="164" spans="1:13" s="114" customFormat="1" x14ac:dyDescent="0.2">
      <c r="A164" s="106" t="s">
        <v>2152</v>
      </c>
      <c r="B164" s="105" t="s">
        <v>2059</v>
      </c>
      <c r="C164" s="105" t="s">
        <v>2219</v>
      </c>
      <c r="D164" s="149" t="s">
        <v>2061</v>
      </c>
      <c r="E164" s="105">
        <v>1</v>
      </c>
      <c r="F164" s="150" t="s">
        <v>1923</v>
      </c>
      <c r="G164" s="150" t="s">
        <v>1809</v>
      </c>
      <c r="H164" s="119">
        <f t="shared" si="6"/>
        <v>18</v>
      </c>
      <c r="I164" s="119"/>
      <c r="J164" s="151">
        <v>0</v>
      </c>
      <c r="K164" s="119">
        <f t="shared" si="7"/>
        <v>18</v>
      </c>
      <c r="L164" s="152">
        <f t="shared" si="8"/>
        <v>15.5</v>
      </c>
      <c r="M164" s="113"/>
    </row>
    <row r="165" spans="1:13" s="114" customFormat="1" x14ac:dyDescent="0.2">
      <c r="A165" s="106" t="s">
        <v>2152</v>
      </c>
      <c r="B165" s="105" t="s">
        <v>1781</v>
      </c>
      <c r="C165" s="105" t="s">
        <v>2219</v>
      </c>
      <c r="D165" s="149" t="s">
        <v>1782</v>
      </c>
      <c r="E165" s="105">
        <v>1</v>
      </c>
      <c r="F165" s="150" t="s">
        <v>1783</v>
      </c>
      <c r="G165" s="150" t="s">
        <v>1784</v>
      </c>
      <c r="H165" s="119">
        <f t="shared" si="6"/>
        <v>11</v>
      </c>
      <c r="I165" s="119"/>
      <c r="J165" s="151">
        <v>0</v>
      </c>
      <c r="K165" s="119">
        <f t="shared" si="7"/>
        <v>11</v>
      </c>
      <c r="L165" s="152">
        <f t="shared" si="8"/>
        <v>9.3800000000000008</v>
      </c>
      <c r="M165" s="113"/>
    </row>
    <row r="166" spans="1:13" s="114" customFormat="1" x14ac:dyDescent="0.2">
      <c r="A166" s="106" t="s">
        <v>2152</v>
      </c>
      <c r="B166" s="105" t="s">
        <v>2220</v>
      </c>
      <c r="C166" s="105" t="s">
        <v>2221</v>
      </c>
      <c r="D166" s="149" t="s">
        <v>2222</v>
      </c>
      <c r="E166" s="105">
        <v>2</v>
      </c>
      <c r="F166" s="150" t="s">
        <v>2223</v>
      </c>
      <c r="G166" s="150" t="s">
        <v>2224</v>
      </c>
      <c r="H166" s="119">
        <f t="shared" si="6"/>
        <v>82</v>
      </c>
      <c r="I166" s="119"/>
      <c r="J166" s="151">
        <v>0</v>
      </c>
      <c r="K166" s="119">
        <f t="shared" si="7"/>
        <v>82</v>
      </c>
      <c r="L166" s="152">
        <f t="shared" si="8"/>
        <v>70.3</v>
      </c>
      <c r="M166" s="113"/>
    </row>
    <row r="167" spans="1:13" s="114" customFormat="1" x14ac:dyDescent="0.2">
      <c r="A167" s="106" t="s">
        <v>2152</v>
      </c>
      <c r="B167" s="105" t="s">
        <v>2210</v>
      </c>
      <c r="C167" s="105" t="s">
        <v>2221</v>
      </c>
      <c r="D167" s="149" t="s">
        <v>2211</v>
      </c>
      <c r="E167" s="105">
        <v>1</v>
      </c>
      <c r="F167" s="150" t="s">
        <v>2212</v>
      </c>
      <c r="G167" s="150" t="s">
        <v>2213</v>
      </c>
      <c r="H167" s="119">
        <f t="shared" si="6"/>
        <v>15.25</v>
      </c>
      <c r="I167" s="119"/>
      <c r="J167" s="151">
        <v>0</v>
      </c>
      <c r="K167" s="119">
        <f t="shared" si="7"/>
        <v>15.25</v>
      </c>
      <c r="L167" s="152">
        <f t="shared" si="8"/>
        <v>13.1</v>
      </c>
      <c r="M167" s="113"/>
    </row>
    <row r="168" spans="1:13" s="114" customFormat="1" x14ac:dyDescent="0.2">
      <c r="A168" s="106" t="s">
        <v>2152</v>
      </c>
      <c r="B168" s="105" t="s">
        <v>1937</v>
      </c>
      <c r="C168" s="105" t="s">
        <v>2225</v>
      </c>
      <c r="D168" s="149" t="s">
        <v>1938</v>
      </c>
      <c r="E168" s="105">
        <v>1</v>
      </c>
      <c r="F168" s="150" t="s">
        <v>1852</v>
      </c>
      <c r="G168" s="150" t="s">
        <v>1939</v>
      </c>
      <c r="H168" s="119">
        <f t="shared" si="6"/>
        <v>7.25</v>
      </c>
      <c r="I168" s="119"/>
      <c r="J168" s="151">
        <v>0</v>
      </c>
      <c r="K168" s="119">
        <f t="shared" si="7"/>
        <v>7.25</v>
      </c>
      <c r="L168" s="152">
        <f t="shared" si="8"/>
        <v>6.18</v>
      </c>
      <c r="M168" s="113"/>
    </row>
    <row r="169" spans="1:13" s="114" customFormat="1" x14ac:dyDescent="0.2">
      <c r="A169" s="106" t="s">
        <v>2152</v>
      </c>
      <c r="B169" s="105" t="s">
        <v>2226</v>
      </c>
      <c r="C169" s="105" t="s">
        <v>2227</v>
      </c>
      <c r="D169" s="149" t="s">
        <v>2228</v>
      </c>
      <c r="E169" s="105">
        <v>1</v>
      </c>
      <c r="F169" s="150" t="s">
        <v>2229</v>
      </c>
      <c r="G169" s="150" t="s">
        <v>2230</v>
      </c>
      <c r="H169" s="119">
        <f t="shared" si="6"/>
        <v>23</v>
      </c>
      <c r="I169" s="119"/>
      <c r="J169" s="151">
        <v>0</v>
      </c>
      <c r="K169" s="119">
        <f t="shared" si="7"/>
        <v>23</v>
      </c>
      <c r="L169" s="152">
        <f t="shared" si="8"/>
        <v>19.47</v>
      </c>
      <c r="M169" s="113"/>
    </row>
    <row r="170" spans="1:13" s="114" customFormat="1" x14ac:dyDescent="0.2">
      <c r="A170" s="106" t="s">
        <v>2152</v>
      </c>
      <c r="B170" s="105" t="s">
        <v>1793</v>
      </c>
      <c r="C170" s="105" t="s">
        <v>2231</v>
      </c>
      <c r="D170" s="149" t="s">
        <v>1795</v>
      </c>
      <c r="E170" s="105">
        <v>1</v>
      </c>
      <c r="F170" s="150" t="s">
        <v>1796</v>
      </c>
      <c r="G170" s="150" t="s">
        <v>1797</v>
      </c>
      <c r="H170" s="119">
        <f t="shared" si="6"/>
        <v>14.75</v>
      </c>
      <c r="I170" s="119"/>
      <c r="J170" s="151">
        <v>0</v>
      </c>
      <c r="K170" s="119">
        <f t="shared" si="7"/>
        <v>14.75</v>
      </c>
      <c r="L170" s="152">
        <f t="shared" si="8"/>
        <v>12.77</v>
      </c>
      <c r="M170" s="113"/>
    </row>
    <row r="171" spans="1:13" s="114" customFormat="1" x14ac:dyDescent="0.2">
      <c r="A171" s="106" t="s">
        <v>2232</v>
      </c>
      <c r="B171" s="105" t="s">
        <v>2233</v>
      </c>
      <c r="C171" s="105" t="s">
        <v>2234</v>
      </c>
      <c r="D171" s="149" t="s">
        <v>2235</v>
      </c>
      <c r="E171" s="105">
        <v>1</v>
      </c>
      <c r="F171" s="150" t="s">
        <v>2087</v>
      </c>
      <c r="G171" s="150" t="s">
        <v>2088</v>
      </c>
      <c r="H171" s="119">
        <f t="shared" si="6"/>
        <v>13</v>
      </c>
      <c r="I171" s="119"/>
      <c r="J171" s="151">
        <v>0</v>
      </c>
      <c r="K171" s="119">
        <f t="shared" si="7"/>
        <v>13</v>
      </c>
      <c r="L171" s="152">
        <f t="shared" si="8"/>
        <v>11.17</v>
      </c>
      <c r="M171" s="113"/>
    </row>
    <row r="172" spans="1:13" s="114" customFormat="1" x14ac:dyDescent="0.2">
      <c r="A172" s="106" t="s">
        <v>2232</v>
      </c>
      <c r="B172" s="105" t="s">
        <v>1793</v>
      </c>
      <c r="C172" s="105" t="s">
        <v>2236</v>
      </c>
      <c r="D172" s="149" t="s">
        <v>1795</v>
      </c>
      <c r="E172" s="105">
        <v>1</v>
      </c>
      <c r="F172" s="150" t="s">
        <v>1796</v>
      </c>
      <c r="G172" s="150" t="s">
        <v>1797</v>
      </c>
      <c r="H172" s="119">
        <f t="shared" si="6"/>
        <v>14.75</v>
      </c>
      <c r="I172" s="119"/>
      <c r="J172" s="151">
        <v>0</v>
      </c>
      <c r="K172" s="119">
        <f t="shared" si="7"/>
        <v>14.75</v>
      </c>
      <c r="L172" s="152">
        <f t="shared" si="8"/>
        <v>12.77</v>
      </c>
      <c r="M172" s="113"/>
    </row>
    <row r="173" spans="1:13" s="114" customFormat="1" x14ac:dyDescent="0.2">
      <c r="A173" s="106" t="s">
        <v>2232</v>
      </c>
      <c r="B173" s="105" t="s">
        <v>2237</v>
      </c>
      <c r="C173" s="105" t="s">
        <v>2238</v>
      </c>
      <c r="D173" s="149" t="s">
        <v>2239</v>
      </c>
      <c r="E173" s="105">
        <v>1</v>
      </c>
      <c r="F173" s="150" t="s">
        <v>1922</v>
      </c>
      <c r="G173" s="150" t="s">
        <v>1923</v>
      </c>
      <c r="H173" s="119">
        <f t="shared" si="6"/>
        <v>15.5</v>
      </c>
      <c r="I173" s="119"/>
      <c r="J173" s="151">
        <v>0</v>
      </c>
      <c r="K173" s="119">
        <f t="shared" si="7"/>
        <v>15.5</v>
      </c>
      <c r="L173" s="152">
        <f t="shared" si="8"/>
        <v>13.32</v>
      </c>
      <c r="M173" s="113"/>
    </row>
    <row r="174" spans="1:13" s="114" customFormat="1" x14ac:dyDescent="0.2">
      <c r="A174" s="106" t="s">
        <v>2232</v>
      </c>
      <c r="B174" s="105" t="s">
        <v>2240</v>
      </c>
      <c r="C174" s="105" t="s">
        <v>2238</v>
      </c>
      <c r="D174" s="149" t="s">
        <v>2241</v>
      </c>
      <c r="E174" s="105">
        <v>1</v>
      </c>
      <c r="F174" s="150" t="s">
        <v>2242</v>
      </c>
      <c r="G174" s="150" t="s">
        <v>2243</v>
      </c>
      <c r="H174" s="119">
        <f t="shared" si="6"/>
        <v>20.5</v>
      </c>
      <c r="I174" s="119"/>
      <c r="J174" s="151">
        <v>0</v>
      </c>
      <c r="K174" s="119">
        <f t="shared" si="7"/>
        <v>20.5</v>
      </c>
      <c r="L174" s="152">
        <f t="shared" si="8"/>
        <v>17.649999999999999</v>
      </c>
      <c r="M174" s="113"/>
    </row>
    <row r="175" spans="1:13" s="114" customFormat="1" x14ac:dyDescent="0.2">
      <c r="A175" s="153" t="s">
        <v>2232</v>
      </c>
      <c r="B175" s="154" t="s">
        <v>1902</v>
      </c>
      <c r="C175" s="154" t="s">
        <v>2244</v>
      </c>
      <c r="D175" s="155" t="s">
        <v>1903</v>
      </c>
      <c r="E175" s="154">
        <v>2</v>
      </c>
      <c r="F175" s="146"/>
      <c r="G175" s="146" t="s">
        <v>1904</v>
      </c>
      <c r="H175" s="147">
        <f t="shared" si="6"/>
        <v>38.5</v>
      </c>
      <c r="I175" s="147"/>
      <c r="J175" s="156">
        <v>0</v>
      </c>
      <c r="K175" s="147">
        <f t="shared" si="7"/>
        <v>38.5</v>
      </c>
      <c r="L175" s="148">
        <f t="shared" si="8"/>
        <v>0</v>
      </c>
      <c r="M175" s="113"/>
    </row>
    <row r="176" spans="1:13" s="114" customFormat="1" x14ac:dyDescent="0.2">
      <c r="A176" s="106" t="s">
        <v>2232</v>
      </c>
      <c r="B176" s="105" t="s">
        <v>1929</v>
      </c>
      <c r="C176" s="105" t="s">
        <v>2244</v>
      </c>
      <c r="D176" s="149" t="s">
        <v>1930</v>
      </c>
      <c r="E176" s="105">
        <v>1</v>
      </c>
      <c r="F176" s="150" t="s">
        <v>1931</v>
      </c>
      <c r="G176" s="150" t="s">
        <v>1932</v>
      </c>
      <c r="H176" s="119">
        <f t="shared" si="6"/>
        <v>22</v>
      </c>
      <c r="I176" s="119"/>
      <c r="J176" s="151">
        <v>0</v>
      </c>
      <c r="K176" s="119">
        <f t="shared" si="7"/>
        <v>22</v>
      </c>
      <c r="L176" s="152">
        <f t="shared" si="8"/>
        <v>13.92</v>
      </c>
      <c r="M176" s="113"/>
    </row>
    <row r="177" spans="1:13" s="114" customFormat="1" x14ac:dyDescent="0.2">
      <c r="A177" s="106" t="s">
        <v>2232</v>
      </c>
      <c r="B177" s="105" t="s">
        <v>2245</v>
      </c>
      <c r="C177" s="105" t="s">
        <v>2244</v>
      </c>
      <c r="D177" s="149" t="s">
        <v>2246</v>
      </c>
      <c r="E177" s="105">
        <v>1</v>
      </c>
      <c r="F177" s="150" t="s">
        <v>2247</v>
      </c>
      <c r="G177" s="150" t="s">
        <v>2248</v>
      </c>
      <c r="H177" s="119">
        <f t="shared" si="6"/>
        <v>5.5</v>
      </c>
      <c r="I177" s="119"/>
      <c r="J177" s="151">
        <v>0</v>
      </c>
      <c r="K177" s="119">
        <f t="shared" si="7"/>
        <v>5.5</v>
      </c>
      <c r="L177" s="152">
        <f t="shared" si="8"/>
        <v>4.74</v>
      </c>
      <c r="M177" s="113"/>
    </row>
    <row r="178" spans="1:13" s="114" customFormat="1" x14ac:dyDescent="0.2">
      <c r="A178" s="106" t="s">
        <v>2232</v>
      </c>
      <c r="B178" s="105" t="s">
        <v>2249</v>
      </c>
      <c r="C178" s="105" t="s">
        <v>2244</v>
      </c>
      <c r="D178" s="149" t="s">
        <v>2250</v>
      </c>
      <c r="E178" s="105">
        <v>1</v>
      </c>
      <c r="F178" s="150" t="s">
        <v>2251</v>
      </c>
      <c r="G178" s="150" t="s">
        <v>2252</v>
      </c>
      <c r="H178" s="119">
        <f t="shared" si="6"/>
        <v>28.5</v>
      </c>
      <c r="I178" s="119"/>
      <c r="J178" s="151">
        <v>0</v>
      </c>
      <c r="K178" s="119">
        <f t="shared" si="7"/>
        <v>28.5</v>
      </c>
      <c r="L178" s="152">
        <f t="shared" si="8"/>
        <v>24.69</v>
      </c>
      <c r="M178" s="113"/>
    </row>
    <row r="179" spans="1:13" s="114" customFormat="1" x14ac:dyDescent="0.2">
      <c r="A179" s="106" t="s">
        <v>2232</v>
      </c>
      <c r="B179" s="105" t="s">
        <v>2253</v>
      </c>
      <c r="C179" s="105" t="s">
        <v>2244</v>
      </c>
      <c r="D179" s="149" t="s">
        <v>2254</v>
      </c>
      <c r="E179" s="105">
        <v>1</v>
      </c>
      <c r="F179" s="150" t="s">
        <v>2255</v>
      </c>
      <c r="G179" s="150" t="s">
        <v>2256</v>
      </c>
      <c r="H179" s="119">
        <f t="shared" si="6"/>
        <v>67.25</v>
      </c>
      <c r="I179" s="119"/>
      <c r="J179" s="151">
        <v>0</v>
      </c>
      <c r="K179" s="119">
        <f t="shared" si="7"/>
        <v>67.25</v>
      </c>
      <c r="L179" s="152">
        <f t="shared" si="8"/>
        <v>58.45</v>
      </c>
      <c r="M179" s="113"/>
    </row>
    <row r="180" spans="1:13" s="114" customFormat="1" x14ac:dyDescent="0.2">
      <c r="A180" s="106" t="s">
        <v>2232</v>
      </c>
      <c r="B180" s="105" t="s">
        <v>2257</v>
      </c>
      <c r="C180" s="105" t="s">
        <v>2244</v>
      </c>
      <c r="D180" s="149" t="s">
        <v>2258</v>
      </c>
      <c r="E180" s="105">
        <v>1</v>
      </c>
      <c r="F180" s="150" t="s">
        <v>2188</v>
      </c>
      <c r="G180" s="150" t="s">
        <v>2259</v>
      </c>
      <c r="H180" s="119">
        <f t="shared" si="6"/>
        <v>68.5</v>
      </c>
      <c r="I180" s="119"/>
      <c r="J180" s="151">
        <v>0</v>
      </c>
      <c r="K180" s="119">
        <f t="shared" si="7"/>
        <v>68.5</v>
      </c>
      <c r="L180" s="152">
        <f t="shared" si="8"/>
        <v>59.5</v>
      </c>
      <c r="M180" s="113"/>
    </row>
    <row r="181" spans="1:13" s="114" customFormat="1" x14ac:dyDescent="0.2">
      <c r="A181" s="106" t="s">
        <v>2232</v>
      </c>
      <c r="B181" s="105" t="s">
        <v>2050</v>
      </c>
      <c r="C181" s="105" t="s">
        <v>2244</v>
      </c>
      <c r="D181" s="149" t="s">
        <v>2052</v>
      </c>
      <c r="E181" s="105">
        <v>1</v>
      </c>
      <c r="F181" s="150" t="s">
        <v>2053</v>
      </c>
      <c r="G181" s="150" t="s">
        <v>2054</v>
      </c>
      <c r="H181" s="119">
        <f t="shared" si="6"/>
        <v>73.75</v>
      </c>
      <c r="I181" s="119"/>
      <c r="J181" s="151">
        <v>0</v>
      </c>
      <c r="K181" s="119">
        <f t="shared" si="7"/>
        <v>73.75</v>
      </c>
      <c r="L181" s="152">
        <f t="shared" si="8"/>
        <v>64</v>
      </c>
      <c r="M181" s="113"/>
    </row>
    <row r="182" spans="1:13" s="114" customFormat="1" x14ac:dyDescent="0.2">
      <c r="A182" s="106" t="s">
        <v>2232</v>
      </c>
      <c r="B182" s="105" t="s">
        <v>2260</v>
      </c>
      <c r="C182" s="105" t="s">
        <v>2261</v>
      </c>
      <c r="D182" s="149" t="s">
        <v>2262</v>
      </c>
      <c r="E182" s="105">
        <v>4</v>
      </c>
      <c r="F182" s="150" t="s">
        <v>2263</v>
      </c>
      <c r="G182" s="150" t="s">
        <v>2248</v>
      </c>
      <c r="H182" s="119">
        <f t="shared" si="6"/>
        <v>22</v>
      </c>
      <c r="I182" s="119"/>
      <c r="J182" s="151">
        <v>0</v>
      </c>
      <c r="K182" s="119">
        <f t="shared" si="7"/>
        <v>22</v>
      </c>
      <c r="L182" s="152">
        <f t="shared" si="8"/>
        <v>18.8</v>
      </c>
      <c r="M182" s="113"/>
    </row>
    <row r="183" spans="1:13" s="114" customFormat="1" x14ac:dyDescent="0.2">
      <c r="A183" s="106" t="s">
        <v>2232</v>
      </c>
      <c r="B183" s="105" t="s">
        <v>2264</v>
      </c>
      <c r="C183" s="105" t="s">
        <v>2261</v>
      </c>
      <c r="D183" s="149" t="s">
        <v>2265</v>
      </c>
      <c r="E183" s="105">
        <v>1</v>
      </c>
      <c r="F183" s="150" t="s">
        <v>2266</v>
      </c>
      <c r="G183" s="150" t="s">
        <v>2267</v>
      </c>
      <c r="H183" s="119">
        <f t="shared" si="6"/>
        <v>72</v>
      </c>
      <c r="I183" s="119"/>
      <c r="J183" s="151">
        <v>0</v>
      </c>
      <c r="K183" s="119">
        <f t="shared" si="7"/>
        <v>72</v>
      </c>
      <c r="L183" s="152">
        <f t="shared" si="8"/>
        <v>62.45</v>
      </c>
      <c r="M183" s="113"/>
    </row>
    <row r="184" spans="1:13" s="114" customFormat="1" x14ac:dyDescent="0.2">
      <c r="A184" s="106" t="s">
        <v>2232</v>
      </c>
      <c r="B184" s="105" t="s">
        <v>2268</v>
      </c>
      <c r="C184" s="105" t="s">
        <v>2261</v>
      </c>
      <c r="D184" s="149" t="s">
        <v>2269</v>
      </c>
      <c r="E184" s="105">
        <v>1</v>
      </c>
      <c r="F184" s="150" t="s">
        <v>2270</v>
      </c>
      <c r="G184" s="150" t="s">
        <v>1797</v>
      </c>
      <c r="H184" s="119">
        <f t="shared" si="6"/>
        <v>14.75</v>
      </c>
      <c r="I184" s="119"/>
      <c r="J184" s="151">
        <v>0</v>
      </c>
      <c r="K184" s="119">
        <f t="shared" si="7"/>
        <v>14.75</v>
      </c>
      <c r="L184" s="152">
        <f t="shared" si="8"/>
        <v>12.69</v>
      </c>
      <c r="M184" s="113"/>
    </row>
    <row r="185" spans="1:13" s="114" customFormat="1" x14ac:dyDescent="0.2">
      <c r="A185" s="106" t="s">
        <v>2232</v>
      </c>
      <c r="B185" s="105" t="s">
        <v>2271</v>
      </c>
      <c r="C185" s="105" t="s">
        <v>2272</v>
      </c>
      <c r="D185" s="149" t="s">
        <v>2273</v>
      </c>
      <c r="E185" s="105">
        <v>2</v>
      </c>
      <c r="F185" s="150" t="s">
        <v>1832</v>
      </c>
      <c r="G185" s="150" t="s">
        <v>1833</v>
      </c>
      <c r="H185" s="119">
        <f t="shared" si="6"/>
        <v>37</v>
      </c>
      <c r="I185" s="119"/>
      <c r="J185" s="151">
        <v>0</v>
      </c>
      <c r="K185" s="119">
        <f t="shared" si="7"/>
        <v>37</v>
      </c>
      <c r="L185" s="152">
        <f t="shared" si="8"/>
        <v>32.06</v>
      </c>
      <c r="M185" s="113"/>
    </row>
    <row r="186" spans="1:13" s="114" customFormat="1" x14ac:dyDescent="0.2">
      <c r="A186" s="106" t="s">
        <v>2232</v>
      </c>
      <c r="B186" s="105" t="s">
        <v>2274</v>
      </c>
      <c r="C186" s="105" t="s">
        <v>2275</v>
      </c>
      <c r="D186" s="149" t="s">
        <v>2276</v>
      </c>
      <c r="E186" s="105">
        <v>1</v>
      </c>
      <c r="F186" s="150" t="s">
        <v>2277</v>
      </c>
      <c r="G186" s="150" t="s">
        <v>2097</v>
      </c>
      <c r="H186" s="119">
        <f t="shared" si="6"/>
        <v>14.5</v>
      </c>
      <c r="I186" s="119"/>
      <c r="J186" s="151">
        <v>0</v>
      </c>
      <c r="K186" s="119">
        <f t="shared" si="7"/>
        <v>14.5</v>
      </c>
      <c r="L186" s="152">
        <f t="shared" si="8"/>
        <v>12.39</v>
      </c>
      <c r="M186" s="113"/>
    </row>
    <row r="187" spans="1:13" s="114" customFormat="1" x14ac:dyDescent="0.2">
      <c r="A187" s="106" t="s">
        <v>2232</v>
      </c>
      <c r="B187" s="105" t="s">
        <v>2278</v>
      </c>
      <c r="C187" s="105" t="s">
        <v>2279</v>
      </c>
      <c r="D187" s="149" t="s">
        <v>2280</v>
      </c>
      <c r="E187" s="105">
        <v>1</v>
      </c>
      <c r="F187" s="150" t="s">
        <v>2281</v>
      </c>
      <c r="G187" s="150" t="s">
        <v>2282</v>
      </c>
      <c r="H187" s="119">
        <f t="shared" si="6"/>
        <v>166</v>
      </c>
      <c r="I187" s="119"/>
      <c r="J187" s="151">
        <v>0</v>
      </c>
      <c r="K187" s="119">
        <f t="shared" si="7"/>
        <v>166</v>
      </c>
      <c r="L187" s="152">
        <f t="shared" si="8"/>
        <v>144.31</v>
      </c>
      <c r="M187" s="113"/>
    </row>
    <row r="188" spans="1:13" s="114" customFormat="1" x14ac:dyDescent="0.2">
      <c r="A188" s="106" t="s">
        <v>2232</v>
      </c>
      <c r="B188" s="105" t="s">
        <v>2283</v>
      </c>
      <c r="C188" s="105" t="s">
        <v>2284</v>
      </c>
      <c r="D188" s="149" t="s">
        <v>2285</v>
      </c>
      <c r="E188" s="105">
        <v>1</v>
      </c>
      <c r="F188" s="150" t="s">
        <v>2286</v>
      </c>
      <c r="G188" s="150" t="s">
        <v>2287</v>
      </c>
      <c r="H188" s="119">
        <f t="shared" si="6"/>
        <v>179</v>
      </c>
      <c r="I188" s="119"/>
      <c r="J188" s="151">
        <v>0</v>
      </c>
      <c r="K188" s="119">
        <f t="shared" si="7"/>
        <v>179</v>
      </c>
      <c r="L188" s="152">
        <f t="shared" si="8"/>
        <v>155.63999999999999</v>
      </c>
      <c r="M188" s="113"/>
    </row>
    <row r="189" spans="1:13" s="114" customFormat="1" x14ac:dyDescent="0.2">
      <c r="A189" s="106" t="s">
        <v>2232</v>
      </c>
      <c r="B189" s="105" t="s">
        <v>2288</v>
      </c>
      <c r="C189" s="105" t="s">
        <v>2289</v>
      </c>
      <c r="D189" s="149" t="s">
        <v>2290</v>
      </c>
      <c r="E189" s="105">
        <v>1</v>
      </c>
      <c r="F189" s="150" t="s">
        <v>2291</v>
      </c>
      <c r="G189" s="150" t="s">
        <v>2292</v>
      </c>
      <c r="H189" s="119">
        <f t="shared" si="6"/>
        <v>188</v>
      </c>
      <c r="I189" s="119"/>
      <c r="J189" s="151">
        <v>0</v>
      </c>
      <c r="K189" s="119">
        <f t="shared" si="7"/>
        <v>188</v>
      </c>
      <c r="L189" s="152">
        <f t="shared" si="8"/>
        <v>163.25</v>
      </c>
      <c r="M189" s="113"/>
    </row>
    <row r="190" spans="1:13" s="114" customFormat="1" x14ac:dyDescent="0.2">
      <c r="A190" s="106" t="s">
        <v>2232</v>
      </c>
      <c r="B190" s="105" t="s">
        <v>2293</v>
      </c>
      <c r="C190" s="105" t="s">
        <v>2294</v>
      </c>
      <c r="D190" s="149" t="s">
        <v>2295</v>
      </c>
      <c r="E190" s="105">
        <v>1</v>
      </c>
      <c r="F190" s="150" t="s">
        <v>2296</v>
      </c>
      <c r="G190" s="150" t="s">
        <v>2297</v>
      </c>
      <c r="H190" s="119">
        <f t="shared" si="6"/>
        <v>45</v>
      </c>
      <c r="I190" s="119"/>
      <c r="J190" s="151">
        <v>0</v>
      </c>
      <c r="K190" s="119">
        <f t="shared" si="7"/>
        <v>45</v>
      </c>
      <c r="L190" s="152">
        <f t="shared" si="8"/>
        <v>27.84</v>
      </c>
      <c r="M190" s="113"/>
    </row>
    <row r="191" spans="1:13" s="114" customFormat="1" x14ac:dyDescent="0.2">
      <c r="A191" s="106" t="s">
        <v>2232</v>
      </c>
      <c r="B191" s="105" t="s">
        <v>2298</v>
      </c>
      <c r="C191" s="105" t="s">
        <v>2294</v>
      </c>
      <c r="D191" s="149" t="s">
        <v>2299</v>
      </c>
      <c r="E191" s="105">
        <v>2</v>
      </c>
      <c r="F191" s="150" t="s">
        <v>2300</v>
      </c>
      <c r="G191" s="150" t="s">
        <v>1892</v>
      </c>
      <c r="H191" s="119">
        <f t="shared" si="6"/>
        <v>48</v>
      </c>
      <c r="I191" s="119"/>
      <c r="J191" s="151">
        <v>0</v>
      </c>
      <c r="K191" s="119">
        <f t="shared" si="7"/>
        <v>48</v>
      </c>
      <c r="L191" s="152">
        <f t="shared" si="8"/>
        <v>41.6</v>
      </c>
      <c r="M191" s="113"/>
    </row>
    <row r="192" spans="1:13" s="114" customFormat="1" x14ac:dyDescent="0.2">
      <c r="A192" s="106" t="s">
        <v>2232</v>
      </c>
      <c r="B192" s="105" t="s">
        <v>2301</v>
      </c>
      <c r="C192" s="105" t="s">
        <v>2294</v>
      </c>
      <c r="D192" s="149" t="s">
        <v>2302</v>
      </c>
      <c r="E192" s="105">
        <v>1</v>
      </c>
      <c r="F192" s="150" t="s">
        <v>2303</v>
      </c>
      <c r="G192" s="150" t="s">
        <v>2304</v>
      </c>
      <c r="H192" s="119">
        <f t="shared" si="6"/>
        <v>144.5</v>
      </c>
      <c r="I192" s="119"/>
      <c r="J192" s="151">
        <v>0</v>
      </c>
      <c r="K192" s="119">
        <f t="shared" si="7"/>
        <v>144.5</v>
      </c>
      <c r="L192" s="152">
        <f t="shared" si="8"/>
        <v>125.5</v>
      </c>
      <c r="M192" s="113"/>
    </row>
    <row r="193" spans="1:13" s="114" customFormat="1" x14ac:dyDescent="0.2">
      <c r="A193" s="106" t="s">
        <v>2232</v>
      </c>
      <c r="B193" s="105" t="s">
        <v>2089</v>
      </c>
      <c r="C193" s="105" t="s">
        <v>2305</v>
      </c>
      <c r="D193" s="149" t="s">
        <v>2090</v>
      </c>
      <c r="E193" s="105">
        <v>5</v>
      </c>
      <c r="F193" s="150" t="s">
        <v>1980</v>
      </c>
      <c r="G193" s="150" t="s">
        <v>1981</v>
      </c>
      <c r="H193" s="119">
        <f t="shared" si="6"/>
        <v>5</v>
      </c>
      <c r="I193" s="119"/>
      <c r="J193" s="151">
        <v>0</v>
      </c>
      <c r="K193" s="119">
        <f t="shared" si="7"/>
        <v>5</v>
      </c>
      <c r="L193" s="152">
        <f t="shared" si="8"/>
        <v>3.8</v>
      </c>
      <c r="M193" s="113"/>
    </row>
    <row r="194" spans="1:13" s="114" customFormat="1" x14ac:dyDescent="0.2">
      <c r="A194" s="106" t="s">
        <v>2232</v>
      </c>
      <c r="B194" s="105" t="s">
        <v>2180</v>
      </c>
      <c r="C194" s="105" t="s">
        <v>2306</v>
      </c>
      <c r="D194" s="149" t="s">
        <v>2182</v>
      </c>
      <c r="E194" s="105">
        <v>2</v>
      </c>
      <c r="F194" s="150" t="s">
        <v>2183</v>
      </c>
      <c r="G194" s="150" t="s">
        <v>2184</v>
      </c>
      <c r="H194" s="119">
        <f t="shared" si="6"/>
        <v>120</v>
      </c>
      <c r="I194" s="119"/>
      <c r="J194" s="151">
        <v>0</v>
      </c>
      <c r="K194" s="119">
        <f t="shared" si="7"/>
        <v>120</v>
      </c>
      <c r="L194" s="152">
        <f t="shared" si="8"/>
        <v>103.94</v>
      </c>
      <c r="M194" s="113"/>
    </row>
    <row r="195" spans="1:13" s="114" customFormat="1" x14ac:dyDescent="0.2">
      <c r="A195" s="106" t="s">
        <v>2232</v>
      </c>
      <c r="B195" s="105" t="s">
        <v>2307</v>
      </c>
      <c r="C195" s="105" t="s">
        <v>2308</v>
      </c>
      <c r="D195" s="149" t="s">
        <v>2309</v>
      </c>
      <c r="E195" s="105">
        <v>1</v>
      </c>
      <c r="F195" s="150" t="s">
        <v>1913</v>
      </c>
      <c r="G195" s="150" t="s">
        <v>1914</v>
      </c>
      <c r="H195" s="119">
        <f t="shared" si="6"/>
        <v>36.5</v>
      </c>
      <c r="I195" s="119"/>
      <c r="J195" s="151">
        <v>0</v>
      </c>
      <c r="K195" s="119">
        <f t="shared" si="7"/>
        <v>36.5</v>
      </c>
      <c r="L195" s="152">
        <f t="shared" si="8"/>
        <v>31.6</v>
      </c>
      <c r="M195" s="113"/>
    </row>
    <row r="196" spans="1:13" s="114" customFormat="1" x14ac:dyDescent="0.2">
      <c r="A196" s="106" t="s">
        <v>2232</v>
      </c>
      <c r="B196" s="105" t="s">
        <v>1877</v>
      </c>
      <c r="C196" s="105" t="s">
        <v>2308</v>
      </c>
      <c r="D196" s="149" t="s">
        <v>1878</v>
      </c>
      <c r="E196" s="105">
        <v>1</v>
      </c>
      <c r="F196" s="150" t="s">
        <v>1879</v>
      </c>
      <c r="G196" s="150" t="s">
        <v>1880</v>
      </c>
      <c r="H196" s="119">
        <f t="shared" si="6"/>
        <v>21</v>
      </c>
      <c r="I196" s="119"/>
      <c r="J196" s="151">
        <v>0</v>
      </c>
      <c r="K196" s="119">
        <f t="shared" si="7"/>
        <v>21</v>
      </c>
      <c r="L196" s="152">
        <f t="shared" si="8"/>
        <v>18.2</v>
      </c>
      <c r="M196" s="113"/>
    </row>
    <row r="197" spans="1:13" s="114" customFormat="1" x14ac:dyDescent="0.2">
      <c r="A197" s="106" t="s">
        <v>2232</v>
      </c>
      <c r="B197" s="105" t="s">
        <v>1781</v>
      </c>
      <c r="C197" s="105" t="s">
        <v>2310</v>
      </c>
      <c r="D197" s="149" t="s">
        <v>1782</v>
      </c>
      <c r="E197" s="105">
        <v>1</v>
      </c>
      <c r="F197" s="150" t="s">
        <v>1783</v>
      </c>
      <c r="G197" s="150" t="s">
        <v>1784</v>
      </c>
      <c r="H197" s="119">
        <f t="shared" si="6"/>
        <v>11</v>
      </c>
      <c r="I197" s="119"/>
      <c r="J197" s="151">
        <v>0</v>
      </c>
      <c r="K197" s="119">
        <f t="shared" si="7"/>
        <v>11</v>
      </c>
      <c r="L197" s="152">
        <f t="shared" si="8"/>
        <v>9.3800000000000008</v>
      </c>
      <c r="M197" s="113"/>
    </row>
    <row r="198" spans="1:13" s="114" customFormat="1" x14ac:dyDescent="0.2">
      <c r="A198" s="106" t="s">
        <v>2232</v>
      </c>
      <c r="B198" s="105" t="s">
        <v>2146</v>
      </c>
      <c r="C198" s="105" t="s">
        <v>2311</v>
      </c>
      <c r="D198" s="149" t="s">
        <v>2147</v>
      </c>
      <c r="E198" s="105">
        <v>24</v>
      </c>
      <c r="F198" s="150" t="s">
        <v>1928</v>
      </c>
      <c r="G198" s="150" t="s">
        <v>2097</v>
      </c>
      <c r="H198" s="119">
        <f t="shared" ref="H198:H261" si="9">E198*G198</f>
        <v>348</v>
      </c>
      <c r="I198" s="119"/>
      <c r="J198" s="151">
        <v>38</v>
      </c>
      <c r="K198" s="119">
        <f t="shared" ref="K198:K261" si="10">H198+I198-J198</f>
        <v>310</v>
      </c>
      <c r="L198" s="152">
        <f t="shared" ref="L198:L261" si="11">E198*F198</f>
        <v>294</v>
      </c>
      <c r="M198" s="113"/>
    </row>
    <row r="199" spans="1:13" s="114" customFormat="1" x14ac:dyDescent="0.2">
      <c r="A199" s="106" t="s">
        <v>2232</v>
      </c>
      <c r="B199" s="105" t="s">
        <v>1826</v>
      </c>
      <c r="C199" s="105" t="s">
        <v>2312</v>
      </c>
      <c r="D199" s="149" t="s">
        <v>1827</v>
      </c>
      <c r="E199" s="105">
        <v>2</v>
      </c>
      <c r="F199" s="150" t="s">
        <v>1828</v>
      </c>
      <c r="G199" s="150" t="s">
        <v>1829</v>
      </c>
      <c r="H199" s="119">
        <f t="shared" si="9"/>
        <v>240</v>
      </c>
      <c r="I199" s="119"/>
      <c r="J199" s="151">
        <v>0</v>
      </c>
      <c r="K199" s="119">
        <f t="shared" si="10"/>
        <v>240</v>
      </c>
      <c r="L199" s="152">
        <f t="shared" si="11"/>
        <v>180</v>
      </c>
      <c r="M199" s="113"/>
    </row>
    <row r="200" spans="1:13" s="114" customFormat="1" x14ac:dyDescent="0.2">
      <c r="A200" s="106" t="s">
        <v>2232</v>
      </c>
      <c r="B200" s="105" t="s">
        <v>2313</v>
      </c>
      <c r="C200" s="105" t="s">
        <v>2312</v>
      </c>
      <c r="D200" s="149" t="s">
        <v>2314</v>
      </c>
      <c r="E200" s="105">
        <v>2</v>
      </c>
      <c r="F200" s="150" t="s">
        <v>2315</v>
      </c>
      <c r="G200" s="150" t="s">
        <v>2316</v>
      </c>
      <c r="H200" s="119">
        <f t="shared" si="9"/>
        <v>79.5</v>
      </c>
      <c r="I200" s="119"/>
      <c r="J200" s="151">
        <v>0</v>
      </c>
      <c r="K200" s="119">
        <f t="shared" si="10"/>
        <v>79.5</v>
      </c>
      <c r="L200" s="152">
        <f t="shared" si="11"/>
        <v>68.760000000000005</v>
      </c>
      <c r="M200" s="113"/>
    </row>
    <row r="201" spans="1:13" s="114" customFormat="1" x14ac:dyDescent="0.2">
      <c r="A201" s="106" t="s">
        <v>2232</v>
      </c>
      <c r="B201" s="105" t="s">
        <v>2317</v>
      </c>
      <c r="C201" s="105" t="s">
        <v>2318</v>
      </c>
      <c r="D201" s="149" t="s">
        <v>2319</v>
      </c>
      <c r="E201" s="105">
        <v>1</v>
      </c>
      <c r="F201" s="150" t="s">
        <v>2172</v>
      </c>
      <c r="G201" s="150" t="s">
        <v>2320</v>
      </c>
      <c r="H201" s="119">
        <f t="shared" si="9"/>
        <v>54.75</v>
      </c>
      <c r="I201" s="119"/>
      <c r="J201" s="151">
        <v>0</v>
      </c>
      <c r="K201" s="119">
        <f t="shared" si="10"/>
        <v>54.75</v>
      </c>
      <c r="L201" s="152">
        <f t="shared" si="11"/>
        <v>47.5</v>
      </c>
      <c r="M201" s="113"/>
    </row>
    <row r="202" spans="1:13" s="114" customFormat="1" x14ac:dyDescent="0.2">
      <c r="A202" s="106" t="s">
        <v>2232</v>
      </c>
      <c r="B202" s="105" t="s">
        <v>2082</v>
      </c>
      <c r="C202" s="105" t="s">
        <v>2321</v>
      </c>
      <c r="D202" s="149" t="s">
        <v>2083</v>
      </c>
      <c r="E202" s="105">
        <v>12</v>
      </c>
      <c r="F202" s="150" t="s">
        <v>2084</v>
      </c>
      <c r="G202" s="150" t="s">
        <v>1928</v>
      </c>
      <c r="H202" s="119">
        <f t="shared" si="9"/>
        <v>147</v>
      </c>
      <c r="I202" s="119"/>
      <c r="J202" s="151">
        <v>0</v>
      </c>
      <c r="K202" s="119">
        <f t="shared" si="10"/>
        <v>147</v>
      </c>
      <c r="L202" s="152">
        <f t="shared" si="11"/>
        <v>122.39999999999999</v>
      </c>
      <c r="M202" s="113"/>
    </row>
    <row r="203" spans="1:13" s="114" customFormat="1" x14ac:dyDescent="0.2">
      <c r="A203" s="106" t="s">
        <v>2232</v>
      </c>
      <c r="B203" s="105" t="s">
        <v>1962</v>
      </c>
      <c r="C203" s="105" t="s">
        <v>2322</v>
      </c>
      <c r="D203" s="149" t="s">
        <v>1964</v>
      </c>
      <c r="E203" s="105">
        <v>1</v>
      </c>
      <c r="F203" s="150" t="s">
        <v>1965</v>
      </c>
      <c r="G203" s="150" t="s">
        <v>1966</v>
      </c>
      <c r="H203" s="119">
        <f t="shared" si="9"/>
        <v>8.25</v>
      </c>
      <c r="I203" s="119"/>
      <c r="J203" s="151">
        <v>0</v>
      </c>
      <c r="K203" s="119">
        <f t="shared" si="10"/>
        <v>8.25</v>
      </c>
      <c r="L203" s="152">
        <f t="shared" si="11"/>
        <v>7.06</v>
      </c>
      <c r="M203" s="113"/>
    </row>
    <row r="204" spans="1:13" s="114" customFormat="1" x14ac:dyDescent="0.2">
      <c r="A204" s="106" t="s">
        <v>2232</v>
      </c>
      <c r="B204" s="105" t="s">
        <v>1830</v>
      </c>
      <c r="C204" s="105" t="s">
        <v>2322</v>
      </c>
      <c r="D204" s="149" t="s">
        <v>1831</v>
      </c>
      <c r="E204" s="105">
        <v>1</v>
      </c>
      <c r="F204" s="150" t="s">
        <v>1832</v>
      </c>
      <c r="G204" s="150" t="s">
        <v>1833</v>
      </c>
      <c r="H204" s="119">
        <f t="shared" si="9"/>
        <v>18.5</v>
      </c>
      <c r="I204" s="119"/>
      <c r="J204" s="151">
        <v>0</v>
      </c>
      <c r="K204" s="119">
        <f t="shared" si="10"/>
        <v>18.5</v>
      </c>
      <c r="L204" s="152">
        <f t="shared" si="11"/>
        <v>16.03</v>
      </c>
      <c r="M204" s="113"/>
    </row>
    <row r="205" spans="1:13" s="114" customFormat="1" x14ac:dyDescent="0.2">
      <c r="A205" s="106" t="s">
        <v>2232</v>
      </c>
      <c r="B205" s="105" t="s">
        <v>2323</v>
      </c>
      <c r="C205" s="105" t="s">
        <v>2324</v>
      </c>
      <c r="D205" s="149" t="s">
        <v>2325</v>
      </c>
      <c r="E205" s="105">
        <v>1</v>
      </c>
      <c r="F205" s="150" t="s">
        <v>2326</v>
      </c>
      <c r="G205" s="150" t="s">
        <v>1932</v>
      </c>
      <c r="H205" s="119">
        <f t="shared" si="9"/>
        <v>22</v>
      </c>
      <c r="I205" s="119"/>
      <c r="J205" s="151">
        <v>0</v>
      </c>
      <c r="K205" s="119">
        <f t="shared" si="10"/>
        <v>22</v>
      </c>
      <c r="L205" s="152">
        <f t="shared" si="11"/>
        <v>19.100000000000001</v>
      </c>
      <c r="M205" s="113"/>
    </row>
    <row r="206" spans="1:13" s="114" customFormat="1" x14ac:dyDescent="0.2">
      <c r="A206" s="106" t="s">
        <v>2232</v>
      </c>
      <c r="B206" s="105" t="s">
        <v>2327</v>
      </c>
      <c r="C206" s="105" t="s">
        <v>2328</v>
      </c>
      <c r="D206" s="149" t="s">
        <v>2329</v>
      </c>
      <c r="E206" s="105">
        <v>1</v>
      </c>
      <c r="F206" s="150" t="s">
        <v>2330</v>
      </c>
      <c r="G206" s="150" t="s">
        <v>2331</v>
      </c>
      <c r="H206" s="119">
        <f t="shared" si="9"/>
        <v>26.75</v>
      </c>
      <c r="I206" s="119"/>
      <c r="J206" s="151">
        <v>0</v>
      </c>
      <c r="K206" s="119">
        <f t="shared" si="10"/>
        <v>26.75</v>
      </c>
      <c r="L206" s="152">
        <f t="shared" si="11"/>
        <v>23.07</v>
      </c>
      <c r="M206" s="113"/>
    </row>
    <row r="207" spans="1:13" s="114" customFormat="1" x14ac:dyDescent="0.2">
      <c r="A207" s="106" t="s">
        <v>2332</v>
      </c>
      <c r="B207" s="105" t="s">
        <v>2333</v>
      </c>
      <c r="C207" s="105" t="s">
        <v>2334</v>
      </c>
      <c r="D207" s="149" t="s">
        <v>2335</v>
      </c>
      <c r="E207" s="105">
        <v>1</v>
      </c>
      <c r="F207" s="150" t="s">
        <v>2336</v>
      </c>
      <c r="G207" s="150" t="s">
        <v>2337</v>
      </c>
      <c r="H207" s="119">
        <f t="shared" si="9"/>
        <v>39</v>
      </c>
      <c r="I207" s="119"/>
      <c r="J207" s="151">
        <v>0</v>
      </c>
      <c r="K207" s="119">
        <f t="shared" si="10"/>
        <v>39</v>
      </c>
      <c r="L207" s="152">
        <f t="shared" si="11"/>
        <v>33.76</v>
      </c>
      <c r="M207" s="113"/>
    </row>
    <row r="208" spans="1:13" s="114" customFormat="1" x14ac:dyDescent="0.2">
      <c r="A208" s="106" t="s">
        <v>2332</v>
      </c>
      <c r="B208" s="105" t="s">
        <v>2338</v>
      </c>
      <c r="C208" s="105" t="s">
        <v>2334</v>
      </c>
      <c r="D208" s="149" t="s">
        <v>2339</v>
      </c>
      <c r="E208" s="105">
        <v>1</v>
      </c>
      <c r="F208" s="150" t="s">
        <v>1913</v>
      </c>
      <c r="G208" s="150" t="s">
        <v>2340</v>
      </c>
      <c r="H208" s="119">
        <f t="shared" si="9"/>
        <v>36.33</v>
      </c>
      <c r="I208" s="119"/>
      <c r="J208" s="151">
        <v>0</v>
      </c>
      <c r="K208" s="119">
        <f t="shared" si="10"/>
        <v>36.33</v>
      </c>
      <c r="L208" s="152">
        <f t="shared" si="11"/>
        <v>31.6</v>
      </c>
      <c r="M208" s="113"/>
    </row>
    <row r="209" spans="1:13" s="114" customFormat="1" x14ac:dyDescent="0.2">
      <c r="A209" s="106" t="s">
        <v>2332</v>
      </c>
      <c r="B209" s="105" t="s">
        <v>2201</v>
      </c>
      <c r="C209" s="105" t="s">
        <v>2341</v>
      </c>
      <c r="D209" s="149" t="s">
        <v>2202</v>
      </c>
      <c r="E209" s="105">
        <v>1</v>
      </c>
      <c r="F209" s="150" t="s">
        <v>2203</v>
      </c>
      <c r="G209" s="150" t="s">
        <v>2204</v>
      </c>
      <c r="H209" s="119">
        <f t="shared" si="9"/>
        <v>14</v>
      </c>
      <c r="I209" s="119"/>
      <c r="J209" s="151">
        <v>0</v>
      </c>
      <c r="K209" s="119">
        <f t="shared" si="10"/>
        <v>14</v>
      </c>
      <c r="L209" s="152">
        <f t="shared" si="11"/>
        <v>11.99</v>
      </c>
      <c r="M209" s="113"/>
    </row>
    <row r="210" spans="1:13" s="114" customFormat="1" x14ac:dyDescent="0.2">
      <c r="A210" s="106" t="s">
        <v>2332</v>
      </c>
      <c r="B210" s="105" t="s">
        <v>1826</v>
      </c>
      <c r="C210" s="105" t="s">
        <v>2341</v>
      </c>
      <c r="D210" s="149" t="s">
        <v>1827</v>
      </c>
      <c r="E210" s="105">
        <v>2</v>
      </c>
      <c r="F210" s="150" t="s">
        <v>1828</v>
      </c>
      <c r="G210" s="150" t="s">
        <v>1829</v>
      </c>
      <c r="H210" s="119">
        <f t="shared" si="9"/>
        <v>240</v>
      </c>
      <c r="I210" s="119"/>
      <c r="J210" s="151">
        <v>0</v>
      </c>
      <c r="K210" s="119">
        <f t="shared" si="10"/>
        <v>240</v>
      </c>
      <c r="L210" s="152">
        <f t="shared" si="11"/>
        <v>180</v>
      </c>
      <c r="M210" s="113"/>
    </row>
    <row r="211" spans="1:13" s="114" customFormat="1" x14ac:dyDescent="0.2">
      <c r="A211" s="106" t="s">
        <v>2332</v>
      </c>
      <c r="B211" s="105" t="s">
        <v>2301</v>
      </c>
      <c r="C211" s="105" t="s">
        <v>2341</v>
      </c>
      <c r="D211" s="149" t="s">
        <v>2302</v>
      </c>
      <c r="E211" s="105">
        <v>1</v>
      </c>
      <c r="F211" s="150" t="s">
        <v>2303</v>
      </c>
      <c r="G211" s="150" t="s">
        <v>2304</v>
      </c>
      <c r="H211" s="119">
        <f t="shared" si="9"/>
        <v>144.5</v>
      </c>
      <c r="I211" s="119"/>
      <c r="J211" s="151">
        <v>0</v>
      </c>
      <c r="K211" s="119">
        <f t="shared" si="10"/>
        <v>144.5</v>
      </c>
      <c r="L211" s="152">
        <f t="shared" si="11"/>
        <v>125.5</v>
      </c>
      <c r="M211" s="113"/>
    </row>
    <row r="212" spans="1:13" s="114" customFormat="1" x14ac:dyDescent="0.2">
      <c r="A212" s="106" t="s">
        <v>2332</v>
      </c>
      <c r="B212" s="105" t="s">
        <v>1802</v>
      </c>
      <c r="C212" s="105" t="s">
        <v>2342</v>
      </c>
      <c r="D212" s="149" t="s">
        <v>1803</v>
      </c>
      <c r="E212" s="105">
        <v>1</v>
      </c>
      <c r="F212" s="150" t="s">
        <v>1804</v>
      </c>
      <c r="G212" s="150" t="s">
        <v>1805</v>
      </c>
      <c r="H212" s="119">
        <f t="shared" si="9"/>
        <v>8.75</v>
      </c>
      <c r="I212" s="119"/>
      <c r="J212" s="151">
        <v>0</v>
      </c>
      <c r="K212" s="119">
        <f t="shared" si="10"/>
        <v>8.75</v>
      </c>
      <c r="L212" s="152">
        <f t="shared" si="11"/>
        <v>7.51</v>
      </c>
      <c r="M212" s="113"/>
    </row>
    <row r="213" spans="1:13" s="114" customFormat="1" x14ac:dyDescent="0.2">
      <c r="A213" s="106" t="s">
        <v>2332</v>
      </c>
      <c r="B213" s="105" t="s">
        <v>2146</v>
      </c>
      <c r="C213" s="105" t="s">
        <v>2343</v>
      </c>
      <c r="D213" s="149" t="s">
        <v>2147</v>
      </c>
      <c r="E213" s="105">
        <v>1</v>
      </c>
      <c r="F213" s="150" t="s">
        <v>1928</v>
      </c>
      <c r="G213" s="150" t="s">
        <v>2097</v>
      </c>
      <c r="H213" s="119">
        <f t="shared" si="9"/>
        <v>14.5</v>
      </c>
      <c r="I213" s="119"/>
      <c r="J213" s="151">
        <v>0</v>
      </c>
      <c r="K213" s="119">
        <f t="shared" si="10"/>
        <v>14.5</v>
      </c>
      <c r="L213" s="152">
        <f t="shared" si="11"/>
        <v>12.25</v>
      </c>
      <c r="M213" s="113"/>
    </row>
    <row r="214" spans="1:13" s="114" customFormat="1" x14ac:dyDescent="0.2">
      <c r="A214" s="106" t="s">
        <v>2332</v>
      </c>
      <c r="B214" s="105" t="s">
        <v>2094</v>
      </c>
      <c r="C214" s="105" t="s">
        <v>2344</v>
      </c>
      <c r="D214" s="149" t="s">
        <v>2096</v>
      </c>
      <c r="E214" s="105">
        <v>7</v>
      </c>
      <c r="F214" s="150" t="s">
        <v>2005</v>
      </c>
      <c r="G214" s="150" t="s">
        <v>2097</v>
      </c>
      <c r="H214" s="119">
        <f t="shared" si="9"/>
        <v>101.5</v>
      </c>
      <c r="I214" s="119"/>
      <c r="J214" s="151">
        <v>0</v>
      </c>
      <c r="K214" s="119">
        <f t="shared" si="10"/>
        <v>101.5</v>
      </c>
      <c r="L214" s="152">
        <f t="shared" si="11"/>
        <v>87.92</v>
      </c>
      <c r="M214" s="113"/>
    </row>
    <row r="215" spans="1:13" s="114" customFormat="1" x14ac:dyDescent="0.2">
      <c r="A215" s="106" t="s">
        <v>2332</v>
      </c>
      <c r="B215" s="105" t="s">
        <v>2345</v>
      </c>
      <c r="C215" s="105" t="s">
        <v>2346</v>
      </c>
      <c r="D215" s="149" t="s">
        <v>2347</v>
      </c>
      <c r="E215" s="105">
        <v>1</v>
      </c>
      <c r="F215" s="150" t="s">
        <v>2348</v>
      </c>
      <c r="G215" s="150" t="s">
        <v>2349</v>
      </c>
      <c r="H215" s="119">
        <f t="shared" si="9"/>
        <v>127.5</v>
      </c>
      <c r="I215" s="119"/>
      <c r="J215" s="151">
        <v>0</v>
      </c>
      <c r="K215" s="119">
        <f t="shared" si="10"/>
        <v>127.5</v>
      </c>
      <c r="L215" s="152">
        <f t="shared" si="11"/>
        <v>110.66</v>
      </c>
      <c r="M215" s="113"/>
    </row>
    <row r="216" spans="1:13" s="114" customFormat="1" x14ac:dyDescent="0.2">
      <c r="A216" s="106" t="s">
        <v>2332</v>
      </c>
      <c r="B216" s="105" t="s">
        <v>2350</v>
      </c>
      <c r="C216" s="105" t="s">
        <v>2346</v>
      </c>
      <c r="D216" s="149" t="s">
        <v>2351</v>
      </c>
      <c r="E216" s="105">
        <v>1</v>
      </c>
      <c r="F216" s="150" t="s">
        <v>2352</v>
      </c>
      <c r="G216" s="150" t="s">
        <v>2353</v>
      </c>
      <c r="H216" s="119">
        <f t="shared" si="9"/>
        <v>42.25</v>
      </c>
      <c r="I216" s="119"/>
      <c r="J216" s="151">
        <v>0</v>
      </c>
      <c r="K216" s="119">
        <f t="shared" si="10"/>
        <v>42.25</v>
      </c>
      <c r="L216" s="152">
        <f t="shared" si="11"/>
        <v>36.74</v>
      </c>
      <c r="M216" s="113"/>
    </row>
    <row r="217" spans="1:13" s="114" customFormat="1" x14ac:dyDescent="0.2">
      <c r="A217" s="106" t="s">
        <v>2332</v>
      </c>
      <c r="B217" s="105" t="s">
        <v>2354</v>
      </c>
      <c r="C217" s="105" t="s">
        <v>2346</v>
      </c>
      <c r="D217" s="149" t="s">
        <v>2355</v>
      </c>
      <c r="E217" s="105">
        <v>2</v>
      </c>
      <c r="F217" s="150" t="s">
        <v>2038</v>
      </c>
      <c r="G217" s="150" t="s">
        <v>2114</v>
      </c>
      <c r="H217" s="119">
        <f t="shared" si="9"/>
        <v>60.5</v>
      </c>
      <c r="I217" s="119"/>
      <c r="J217" s="151">
        <v>0</v>
      </c>
      <c r="K217" s="119">
        <f t="shared" si="10"/>
        <v>60.5</v>
      </c>
      <c r="L217" s="152">
        <f t="shared" si="11"/>
        <v>52.5</v>
      </c>
      <c r="M217" s="113"/>
    </row>
    <row r="218" spans="1:13" s="114" customFormat="1" x14ac:dyDescent="0.2">
      <c r="A218" s="106" t="s">
        <v>2332</v>
      </c>
      <c r="B218" s="105" t="s">
        <v>1874</v>
      </c>
      <c r="C218" s="105" t="s">
        <v>2356</v>
      </c>
      <c r="D218" s="149" t="s">
        <v>1875</v>
      </c>
      <c r="E218" s="105">
        <v>4</v>
      </c>
      <c r="F218" s="150" t="s">
        <v>1876</v>
      </c>
      <c r="G218" s="150" t="s">
        <v>1873</v>
      </c>
      <c r="H218" s="119">
        <f t="shared" si="9"/>
        <v>76</v>
      </c>
      <c r="I218" s="119"/>
      <c r="J218" s="151">
        <v>0</v>
      </c>
      <c r="K218" s="119">
        <f t="shared" si="10"/>
        <v>76</v>
      </c>
      <c r="L218" s="152">
        <f t="shared" si="11"/>
        <v>65.400000000000006</v>
      </c>
      <c r="M218" s="113"/>
    </row>
    <row r="219" spans="1:13" s="114" customFormat="1" x14ac:dyDescent="0.2">
      <c r="A219" s="106" t="s">
        <v>2332</v>
      </c>
      <c r="B219" s="105" t="s">
        <v>2357</v>
      </c>
      <c r="C219" s="105" t="s">
        <v>2358</v>
      </c>
      <c r="D219" s="149" t="s">
        <v>2359</v>
      </c>
      <c r="E219" s="105">
        <v>1</v>
      </c>
      <c r="F219" s="150" t="s">
        <v>1852</v>
      </c>
      <c r="G219" s="150" t="s">
        <v>1853</v>
      </c>
      <c r="H219" s="119">
        <f t="shared" si="9"/>
        <v>7.5</v>
      </c>
      <c r="I219" s="119"/>
      <c r="J219" s="151">
        <v>0</v>
      </c>
      <c r="K219" s="119">
        <f t="shared" si="10"/>
        <v>7.5</v>
      </c>
      <c r="L219" s="152">
        <f t="shared" si="11"/>
        <v>6.18</v>
      </c>
      <c r="M219" s="113"/>
    </row>
    <row r="220" spans="1:13" s="114" customFormat="1" x14ac:dyDescent="0.2">
      <c r="A220" s="106" t="s">
        <v>2332</v>
      </c>
      <c r="B220" s="105" t="s">
        <v>2089</v>
      </c>
      <c r="C220" s="105" t="s">
        <v>2358</v>
      </c>
      <c r="D220" s="149" t="s">
        <v>2090</v>
      </c>
      <c r="E220" s="105">
        <v>1</v>
      </c>
      <c r="F220" s="150" t="s">
        <v>1980</v>
      </c>
      <c r="G220" s="150" t="s">
        <v>1981</v>
      </c>
      <c r="H220" s="119">
        <f t="shared" si="9"/>
        <v>1</v>
      </c>
      <c r="I220" s="119"/>
      <c r="J220" s="151">
        <v>0</v>
      </c>
      <c r="K220" s="119">
        <f t="shared" si="10"/>
        <v>1</v>
      </c>
      <c r="L220" s="152">
        <f t="shared" si="11"/>
        <v>0.76</v>
      </c>
      <c r="M220" s="113"/>
    </row>
    <row r="221" spans="1:13" s="114" customFormat="1" x14ac:dyDescent="0.2">
      <c r="A221" s="106" t="s">
        <v>2332</v>
      </c>
      <c r="B221" s="105" t="s">
        <v>2360</v>
      </c>
      <c r="C221" s="105" t="s">
        <v>2358</v>
      </c>
      <c r="D221" s="149" t="s">
        <v>2361</v>
      </c>
      <c r="E221" s="105">
        <v>1</v>
      </c>
      <c r="F221" s="150" t="s">
        <v>2242</v>
      </c>
      <c r="G221" s="150" t="s">
        <v>2243</v>
      </c>
      <c r="H221" s="119">
        <f t="shared" si="9"/>
        <v>20.5</v>
      </c>
      <c r="I221" s="119"/>
      <c r="J221" s="151">
        <v>0</v>
      </c>
      <c r="K221" s="119">
        <f t="shared" si="10"/>
        <v>20.5</v>
      </c>
      <c r="L221" s="152">
        <f t="shared" si="11"/>
        <v>17.649999999999999</v>
      </c>
      <c r="M221" s="113"/>
    </row>
    <row r="222" spans="1:13" s="114" customFormat="1" x14ac:dyDescent="0.2">
      <c r="A222" s="106" t="s">
        <v>2332</v>
      </c>
      <c r="B222" s="105" t="s">
        <v>1789</v>
      </c>
      <c r="C222" s="105" t="s">
        <v>2358</v>
      </c>
      <c r="D222" s="149" t="s">
        <v>1790</v>
      </c>
      <c r="E222" s="105">
        <v>2</v>
      </c>
      <c r="F222" s="150" t="s">
        <v>1791</v>
      </c>
      <c r="G222" s="150" t="s">
        <v>1792</v>
      </c>
      <c r="H222" s="119">
        <f t="shared" si="9"/>
        <v>146</v>
      </c>
      <c r="I222" s="119"/>
      <c r="J222" s="151">
        <v>0</v>
      </c>
      <c r="K222" s="119">
        <f t="shared" si="10"/>
        <v>146</v>
      </c>
      <c r="L222" s="152">
        <f t="shared" si="11"/>
        <v>114</v>
      </c>
      <c r="M222" s="113"/>
    </row>
    <row r="223" spans="1:13" s="114" customFormat="1" x14ac:dyDescent="0.2">
      <c r="A223" s="106" t="s">
        <v>2332</v>
      </c>
      <c r="B223" s="105" t="s">
        <v>1888</v>
      </c>
      <c r="C223" s="105" t="s">
        <v>2362</v>
      </c>
      <c r="D223" s="149" t="s">
        <v>1890</v>
      </c>
      <c r="E223" s="105">
        <v>1</v>
      </c>
      <c r="F223" s="150" t="s">
        <v>1891</v>
      </c>
      <c r="G223" s="150" t="s">
        <v>1892</v>
      </c>
      <c r="H223" s="119">
        <f t="shared" si="9"/>
        <v>24</v>
      </c>
      <c r="I223" s="119"/>
      <c r="J223" s="151">
        <v>0</v>
      </c>
      <c r="K223" s="119">
        <f t="shared" si="10"/>
        <v>24</v>
      </c>
      <c r="L223" s="152">
        <f t="shared" si="11"/>
        <v>20.68</v>
      </c>
      <c r="M223" s="113"/>
    </row>
    <row r="224" spans="1:13" s="114" customFormat="1" x14ac:dyDescent="0.2">
      <c r="A224" s="106" t="s">
        <v>2332</v>
      </c>
      <c r="B224" s="105" t="s">
        <v>1994</v>
      </c>
      <c r="C224" s="105" t="s">
        <v>2362</v>
      </c>
      <c r="D224" s="149" t="s">
        <v>1995</v>
      </c>
      <c r="E224" s="105">
        <v>2</v>
      </c>
      <c r="F224" s="150" t="s">
        <v>1996</v>
      </c>
      <c r="G224" s="150" t="s">
        <v>1801</v>
      </c>
      <c r="H224" s="119">
        <f t="shared" si="9"/>
        <v>19</v>
      </c>
      <c r="I224" s="119"/>
      <c r="J224" s="151">
        <v>0</v>
      </c>
      <c r="K224" s="119">
        <f t="shared" si="10"/>
        <v>19</v>
      </c>
      <c r="L224" s="152">
        <f t="shared" si="11"/>
        <v>13.34</v>
      </c>
      <c r="M224" s="113"/>
    </row>
    <row r="225" spans="1:13" s="114" customFormat="1" x14ac:dyDescent="0.2">
      <c r="A225" s="106" t="s">
        <v>2332</v>
      </c>
      <c r="B225" s="105" t="s">
        <v>2363</v>
      </c>
      <c r="C225" s="105" t="s">
        <v>2364</v>
      </c>
      <c r="D225" s="149" t="s">
        <v>2365</v>
      </c>
      <c r="E225" s="105">
        <v>1</v>
      </c>
      <c r="F225" s="150" t="s">
        <v>2366</v>
      </c>
      <c r="G225" s="150" t="s">
        <v>2006</v>
      </c>
      <c r="H225" s="119">
        <f t="shared" si="9"/>
        <v>14.25</v>
      </c>
      <c r="I225" s="119"/>
      <c r="J225" s="151">
        <v>0</v>
      </c>
      <c r="K225" s="119">
        <f t="shared" si="10"/>
        <v>14.25</v>
      </c>
      <c r="L225" s="152">
        <f t="shared" si="11"/>
        <v>12.66</v>
      </c>
      <c r="M225" s="113"/>
    </row>
    <row r="226" spans="1:13" s="114" customFormat="1" x14ac:dyDescent="0.2">
      <c r="A226" s="106" t="s">
        <v>2332</v>
      </c>
      <c r="B226" s="105" t="s">
        <v>2367</v>
      </c>
      <c r="C226" s="105" t="s">
        <v>2368</v>
      </c>
      <c r="D226" s="149" t="s">
        <v>2369</v>
      </c>
      <c r="E226" s="105">
        <v>6</v>
      </c>
      <c r="F226" s="150" t="s">
        <v>2370</v>
      </c>
      <c r="G226" s="150" t="s">
        <v>1853</v>
      </c>
      <c r="H226" s="119">
        <f t="shared" si="9"/>
        <v>45</v>
      </c>
      <c r="I226" s="119"/>
      <c r="J226" s="151">
        <v>0</v>
      </c>
      <c r="K226" s="119">
        <f t="shared" si="10"/>
        <v>45</v>
      </c>
      <c r="L226" s="152">
        <f t="shared" si="11"/>
        <v>38.28</v>
      </c>
      <c r="M226" s="113"/>
    </row>
    <row r="227" spans="1:13" s="114" customFormat="1" x14ac:dyDescent="0.2">
      <c r="A227" s="106" t="s">
        <v>2332</v>
      </c>
      <c r="B227" s="105" t="s">
        <v>2371</v>
      </c>
      <c r="C227" s="105" t="s">
        <v>2368</v>
      </c>
      <c r="D227" s="149" t="s">
        <v>2372</v>
      </c>
      <c r="E227" s="105">
        <v>1</v>
      </c>
      <c r="F227" s="150" t="s">
        <v>2373</v>
      </c>
      <c r="G227" s="150" t="s">
        <v>1820</v>
      </c>
      <c r="H227" s="119">
        <f t="shared" si="9"/>
        <v>46</v>
      </c>
      <c r="I227" s="119"/>
      <c r="J227" s="151">
        <v>0</v>
      </c>
      <c r="K227" s="119">
        <f t="shared" si="10"/>
        <v>46</v>
      </c>
      <c r="L227" s="152">
        <f t="shared" si="11"/>
        <v>39.880000000000003</v>
      </c>
      <c r="M227" s="113"/>
    </row>
    <row r="228" spans="1:13" s="114" customFormat="1" x14ac:dyDescent="0.2">
      <c r="A228" s="106" t="s">
        <v>2332</v>
      </c>
      <c r="B228" s="105" t="s">
        <v>1781</v>
      </c>
      <c r="C228" s="105" t="s">
        <v>2374</v>
      </c>
      <c r="D228" s="149" t="s">
        <v>1782</v>
      </c>
      <c r="E228" s="105">
        <v>1</v>
      </c>
      <c r="F228" s="150" t="s">
        <v>1783</v>
      </c>
      <c r="G228" s="150" t="s">
        <v>1784</v>
      </c>
      <c r="H228" s="119">
        <f t="shared" si="9"/>
        <v>11</v>
      </c>
      <c r="I228" s="119"/>
      <c r="J228" s="151">
        <v>0</v>
      </c>
      <c r="K228" s="119">
        <f t="shared" si="10"/>
        <v>11</v>
      </c>
      <c r="L228" s="152">
        <f t="shared" si="11"/>
        <v>9.3800000000000008</v>
      </c>
      <c r="M228" s="113"/>
    </row>
    <row r="229" spans="1:13" s="114" customFormat="1" x14ac:dyDescent="0.2">
      <c r="A229" s="106" t="s">
        <v>2332</v>
      </c>
      <c r="B229" s="105" t="s">
        <v>2059</v>
      </c>
      <c r="C229" s="105" t="s">
        <v>2375</v>
      </c>
      <c r="D229" s="149" t="s">
        <v>2061</v>
      </c>
      <c r="E229" s="105">
        <v>1</v>
      </c>
      <c r="F229" s="150" t="s">
        <v>1923</v>
      </c>
      <c r="G229" s="150" t="s">
        <v>1809</v>
      </c>
      <c r="H229" s="119">
        <f t="shared" si="9"/>
        <v>18</v>
      </c>
      <c r="I229" s="119"/>
      <c r="J229" s="151">
        <v>0</v>
      </c>
      <c r="K229" s="119">
        <f t="shared" si="10"/>
        <v>18</v>
      </c>
      <c r="L229" s="152">
        <f t="shared" si="11"/>
        <v>15.5</v>
      </c>
      <c r="M229" s="113"/>
    </row>
    <row r="230" spans="1:13" s="114" customFormat="1" x14ac:dyDescent="0.2">
      <c r="A230" s="106" t="s">
        <v>2332</v>
      </c>
      <c r="B230" s="105" t="s">
        <v>1951</v>
      </c>
      <c r="C230" s="105" t="s">
        <v>2376</v>
      </c>
      <c r="D230" s="149" t="s">
        <v>1952</v>
      </c>
      <c r="E230" s="105">
        <v>2</v>
      </c>
      <c r="F230" s="150" t="s">
        <v>1796</v>
      </c>
      <c r="G230" s="150" t="s">
        <v>1797</v>
      </c>
      <c r="H230" s="119">
        <f t="shared" si="9"/>
        <v>29.5</v>
      </c>
      <c r="I230" s="119"/>
      <c r="J230" s="151">
        <v>0</v>
      </c>
      <c r="K230" s="119">
        <f t="shared" si="10"/>
        <v>29.5</v>
      </c>
      <c r="L230" s="152">
        <f t="shared" si="11"/>
        <v>25.54</v>
      </c>
      <c r="M230" s="113"/>
    </row>
    <row r="231" spans="1:13" s="114" customFormat="1" x14ac:dyDescent="0.2">
      <c r="A231" s="106" t="s">
        <v>2332</v>
      </c>
      <c r="B231" s="105" t="s">
        <v>2377</v>
      </c>
      <c r="C231" s="105" t="s">
        <v>2376</v>
      </c>
      <c r="D231" s="149" t="s">
        <v>2378</v>
      </c>
      <c r="E231" s="105">
        <v>2</v>
      </c>
      <c r="F231" s="150" t="s">
        <v>1800</v>
      </c>
      <c r="G231" s="150" t="s">
        <v>1801</v>
      </c>
      <c r="H231" s="119">
        <f t="shared" si="9"/>
        <v>19</v>
      </c>
      <c r="I231" s="119"/>
      <c r="J231" s="151">
        <v>0</v>
      </c>
      <c r="K231" s="119">
        <f t="shared" si="10"/>
        <v>19</v>
      </c>
      <c r="L231" s="152">
        <f t="shared" si="11"/>
        <v>16.399999999999999</v>
      </c>
      <c r="M231" s="113"/>
    </row>
    <row r="232" spans="1:13" s="114" customFormat="1" x14ac:dyDescent="0.2">
      <c r="A232" s="106" t="s">
        <v>2332</v>
      </c>
      <c r="B232" s="105" t="s">
        <v>1924</v>
      </c>
      <c r="C232" s="105" t="s">
        <v>2376</v>
      </c>
      <c r="D232" s="149" t="s">
        <v>1926</v>
      </c>
      <c r="E232" s="105">
        <v>1</v>
      </c>
      <c r="F232" s="150" t="s">
        <v>1927</v>
      </c>
      <c r="G232" s="150" t="s">
        <v>1928</v>
      </c>
      <c r="H232" s="119">
        <f t="shared" si="9"/>
        <v>12.25</v>
      </c>
      <c r="I232" s="119"/>
      <c r="J232" s="151">
        <v>0</v>
      </c>
      <c r="K232" s="119">
        <f t="shared" si="10"/>
        <v>12.25</v>
      </c>
      <c r="L232" s="152">
        <f t="shared" si="11"/>
        <v>10.64</v>
      </c>
      <c r="M232" s="113"/>
    </row>
    <row r="233" spans="1:13" s="114" customFormat="1" x14ac:dyDescent="0.2">
      <c r="A233" s="153" t="s">
        <v>2332</v>
      </c>
      <c r="B233" s="154" t="s">
        <v>1902</v>
      </c>
      <c r="C233" s="154" t="s">
        <v>2376</v>
      </c>
      <c r="D233" s="155" t="s">
        <v>1903</v>
      </c>
      <c r="E233" s="154">
        <v>1</v>
      </c>
      <c r="F233" s="146"/>
      <c r="G233" s="146" t="s">
        <v>1904</v>
      </c>
      <c r="H233" s="147">
        <f t="shared" si="9"/>
        <v>19.25</v>
      </c>
      <c r="I233" s="147"/>
      <c r="J233" s="156">
        <v>0</v>
      </c>
      <c r="K233" s="147">
        <f t="shared" si="10"/>
        <v>19.25</v>
      </c>
      <c r="L233" s="148">
        <f t="shared" si="11"/>
        <v>0</v>
      </c>
      <c r="M233" s="113"/>
    </row>
    <row r="234" spans="1:13" s="114" customFormat="1" x14ac:dyDescent="0.2">
      <c r="A234" s="106" t="s">
        <v>2332</v>
      </c>
      <c r="B234" s="105" t="s">
        <v>2363</v>
      </c>
      <c r="C234" s="105" t="s">
        <v>2376</v>
      </c>
      <c r="D234" s="149" t="s">
        <v>2365</v>
      </c>
      <c r="E234" s="105">
        <v>1</v>
      </c>
      <c r="F234" s="150" t="s">
        <v>2366</v>
      </c>
      <c r="G234" s="150" t="s">
        <v>2006</v>
      </c>
      <c r="H234" s="119">
        <f t="shared" si="9"/>
        <v>14.25</v>
      </c>
      <c r="I234" s="119"/>
      <c r="J234" s="151">
        <v>0</v>
      </c>
      <c r="K234" s="119">
        <f t="shared" si="10"/>
        <v>14.25</v>
      </c>
      <c r="L234" s="152">
        <f t="shared" si="11"/>
        <v>12.66</v>
      </c>
      <c r="M234" s="113"/>
    </row>
    <row r="235" spans="1:13" s="114" customFormat="1" x14ac:dyDescent="0.2">
      <c r="A235" s="106" t="s">
        <v>2332</v>
      </c>
      <c r="B235" s="105" t="s">
        <v>2110</v>
      </c>
      <c r="C235" s="105" t="s">
        <v>2379</v>
      </c>
      <c r="D235" s="149" t="s">
        <v>2112</v>
      </c>
      <c r="E235" s="105">
        <v>1</v>
      </c>
      <c r="F235" s="150" t="s">
        <v>2113</v>
      </c>
      <c r="G235" s="150" t="s">
        <v>2114</v>
      </c>
      <c r="H235" s="119">
        <f t="shared" si="9"/>
        <v>30.25</v>
      </c>
      <c r="I235" s="119"/>
      <c r="J235" s="151">
        <v>0</v>
      </c>
      <c r="K235" s="119">
        <f t="shared" si="10"/>
        <v>30.25</v>
      </c>
      <c r="L235" s="152">
        <f t="shared" si="11"/>
        <v>23.13</v>
      </c>
      <c r="M235" s="113"/>
    </row>
    <row r="236" spans="1:13" s="114" customFormat="1" x14ac:dyDescent="0.2">
      <c r="A236" s="106" t="s">
        <v>2332</v>
      </c>
      <c r="B236" s="105" t="s">
        <v>2380</v>
      </c>
      <c r="C236" s="105" t="s">
        <v>2379</v>
      </c>
      <c r="D236" s="149" t="s">
        <v>2381</v>
      </c>
      <c r="E236" s="105">
        <v>1</v>
      </c>
      <c r="F236" s="150" t="s">
        <v>2382</v>
      </c>
      <c r="G236" s="150" t="s">
        <v>2038</v>
      </c>
      <c r="H236" s="119">
        <f t="shared" si="9"/>
        <v>26.25</v>
      </c>
      <c r="I236" s="119"/>
      <c r="J236" s="151">
        <v>0</v>
      </c>
      <c r="K236" s="119">
        <f t="shared" si="10"/>
        <v>26.25</v>
      </c>
      <c r="L236" s="152">
        <f t="shared" si="11"/>
        <v>22.73</v>
      </c>
      <c r="M236" s="113"/>
    </row>
    <row r="237" spans="1:13" s="114" customFormat="1" x14ac:dyDescent="0.2">
      <c r="A237" s="106" t="s">
        <v>2332</v>
      </c>
      <c r="B237" s="105" t="s">
        <v>2115</v>
      </c>
      <c r="C237" s="105" t="s">
        <v>2383</v>
      </c>
      <c r="D237" s="149" t="s">
        <v>2117</v>
      </c>
      <c r="E237" s="105">
        <v>1</v>
      </c>
      <c r="F237" s="150" t="s">
        <v>2118</v>
      </c>
      <c r="G237" s="150" t="s">
        <v>2119</v>
      </c>
      <c r="H237" s="119">
        <f t="shared" si="9"/>
        <v>93.25</v>
      </c>
      <c r="I237" s="119"/>
      <c r="J237" s="151">
        <v>0</v>
      </c>
      <c r="K237" s="119">
        <f t="shared" si="10"/>
        <v>93.25</v>
      </c>
      <c r="L237" s="152">
        <f t="shared" si="11"/>
        <v>84.8</v>
      </c>
      <c r="M237" s="113"/>
    </row>
    <row r="238" spans="1:13" s="114" customFormat="1" x14ac:dyDescent="0.2">
      <c r="A238" s="106" t="s">
        <v>2332</v>
      </c>
      <c r="B238" s="105" t="s">
        <v>2384</v>
      </c>
      <c r="C238" s="105" t="s">
        <v>2385</v>
      </c>
      <c r="D238" s="149" t="s">
        <v>2386</v>
      </c>
      <c r="E238" s="105">
        <v>1</v>
      </c>
      <c r="F238" s="150" t="s">
        <v>1876</v>
      </c>
      <c r="G238" s="150" t="s">
        <v>1873</v>
      </c>
      <c r="H238" s="119">
        <f t="shared" si="9"/>
        <v>19</v>
      </c>
      <c r="I238" s="119"/>
      <c r="J238" s="151">
        <v>0</v>
      </c>
      <c r="K238" s="119">
        <f t="shared" si="10"/>
        <v>19</v>
      </c>
      <c r="L238" s="152">
        <f t="shared" si="11"/>
        <v>16.350000000000001</v>
      </c>
      <c r="M238" s="113"/>
    </row>
    <row r="239" spans="1:13" s="114" customFormat="1" x14ac:dyDescent="0.2">
      <c r="A239" s="106" t="s">
        <v>2332</v>
      </c>
      <c r="B239" s="105" t="s">
        <v>2387</v>
      </c>
      <c r="C239" s="105" t="s">
        <v>2388</v>
      </c>
      <c r="D239" s="149" t="s">
        <v>2389</v>
      </c>
      <c r="E239" s="105">
        <v>1</v>
      </c>
      <c r="F239" s="150" t="s">
        <v>2390</v>
      </c>
      <c r="G239" s="150" t="s">
        <v>2391</v>
      </c>
      <c r="H239" s="119">
        <f t="shared" si="9"/>
        <v>63.75</v>
      </c>
      <c r="I239" s="119"/>
      <c r="J239" s="151">
        <v>0</v>
      </c>
      <c r="K239" s="119">
        <f t="shared" si="10"/>
        <v>63.75</v>
      </c>
      <c r="L239" s="152">
        <f t="shared" si="11"/>
        <v>55.37</v>
      </c>
      <c r="M239" s="113"/>
    </row>
    <row r="240" spans="1:13" s="114" customFormat="1" x14ac:dyDescent="0.2">
      <c r="A240" s="106" t="s">
        <v>2332</v>
      </c>
      <c r="B240" s="105" t="s">
        <v>2072</v>
      </c>
      <c r="C240" s="105" t="s">
        <v>2392</v>
      </c>
      <c r="D240" s="149" t="s">
        <v>2074</v>
      </c>
      <c r="E240" s="105">
        <v>1</v>
      </c>
      <c r="F240" s="150" t="s">
        <v>2075</v>
      </c>
      <c r="G240" s="150" t="s">
        <v>2076</v>
      </c>
      <c r="H240" s="119">
        <f t="shared" si="9"/>
        <v>10.5</v>
      </c>
      <c r="I240" s="119"/>
      <c r="J240" s="151">
        <v>0</v>
      </c>
      <c r="K240" s="119">
        <f t="shared" si="10"/>
        <v>10.5</v>
      </c>
      <c r="L240" s="152">
        <f t="shared" si="11"/>
        <v>9.1</v>
      </c>
      <c r="M240" s="113"/>
    </row>
    <row r="241" spans="1:13" s="114" customFormat="1" x14ac:dyDescent="0.2">
      <c r="A241" s="106" t="s">
        <v>2332</v>
      </c>
      <c r="B241" s="105" t="s">
        <v>2323</v>
      </c>
      <c r="C241" s="105" t="s">
        <v>2393</v>
      </c>
      <c r="D241" s="149" t="s">
        <v>2325</v>
      </c>
      <c r="E241" s="105">
        <v>4</v>
      </c>
      <c r="F241" s="150" t="s">
        <v>2326</v>
      </c>
      <c r="G241" s="150" t="s">
        <v>1932</v>
      </c>
      <c r="H241" s="119">
        <f t="shared" si="9"/>
        <v>88</v>
      </c>
      <c r="I241" s="119"/>
      <c r="J241" s="151">
        <v>0</v>
      </c>
      <c r="K241" s="119">
        <f t="shared" si="10"/>
        <v>88</v>
      </c>
      <c r="L241" s="152">
        <f t="shared" si="11"/>
        <v>76.400000000000006</v>
      </c>
      <c r="M241" s="113"/>
    </row>
    <row r="242" spans="1:13" s="114" customFormat="1" x14ac:dyDescent="0.2">
      <c r="A242" s="106" t="s">
        <v>2332</v>
      </c>
      <c r="B242" s="105" t="s">
        <v>2139</v>
      </c>
      <c r="C242" s="105" t="s">
        <v>2393</v>
      </c>
      <c r="D242" s="149" t="s">
        <v>2140</v>
      </c>
      <c r="E242" s="105">
        <v>1</v>
      </c>
      <c r="F242" s="150" t="s">
        <v>1832</v>
      </c>
      <c r="G242" s="150" t="s">
        <v>1833</v>
      </c>
      <c r="H242" s="119">
        <f t="shared" si="9"/>
        <v>18.5</v>
      </c>
      <c r="I242" s="119"/>
      <c r="J242" s="151">
        <v>0</v>
      </c>
      <c r="K242" s="119">
        <f t="shared" si="10"/>
        <v>18.5</v>
      </c>
      <c r="L242" s="152">
        <f t="shared" si="11"/>
        <v>16.03</v>
      </c>
      <c r="M242" s="113"/>
    </row>
    <row r="243" spans="1:13" s="114" customFormat="1" x14ac:dyDescent="0.2">
      <c r="A243" s="106" t="s">
        <v>2332</v>
      </c>
      <c r="B243" s="105" t="s">
        <v>2237</v>
      </c>
      <c r="C243" s="105" t="s">
        <v>2393</v>
      </c>
      <c r="D243" s="149" t="s">
        <v>2239</v>
      </c>
      <c r="E243" s="105">
        <v>10</v>
      </c>
      <c r="F243" s="150" t="s">
        <v>1922</v>
      </c>
      <c r="G243" s="150" t="s">
        <v>1923</v>
      </c>
      <c r="H243" s="119">
        <f t="shared" si="9"/>
        <v>155</v>
      </c>
      <c r="I243" s="119"/>
      <c r="J243" s="151">
        <v>0</v>
      </c>
      <c r="K243" s="119">
        <f t="shared" si="10"/>
        <v>155</v>
      </c>
      <c r="L243" s="152">
        <f t="shared" si="11"/>
        <v>133.19999999999999</v>
      </c>
      <c r="M243" s="113"/>
    </row>
    <row r="244" spans="1:13" s="114" customFormat="1" x14ac:dyDescent="0.2">
      <c r="A244" s="106" t="s">
        <v>2332</v>
      </c>
      <c r="B244" s="105" t="s">
        <v>2394</v>
      </c>
      <c r="C244" s="105" t="s">
        <v>2393</v>
      </c>
      <c r="D244" s="149" t="s">
        <v>2395</v>
      </c>
      <c r="E244" s="105">
        <v>1</v>
      </c>
      <c r="F244" s="150" t="s">
        <v>2255</v>
      </c>
      <c r="G244" s="150" t="s">
        <v>2396</v>
      </c>
      <c r="H244" s="119">
        <f t="shared" si="9"/>
        <v>64.5</v>
      </c>
      <c r="I244" s="119"/>
      <c r="J244" s="151">
        <v>0</v>
      </c>
      <c r="K244" s="119">
        <f t="shared" si="10"/>
        <v>64.5</v>
      </c>
      <c r="L244" s="152">
        <f t="shared" si="11"/>
        <v>58.45</v>
      </c>
      <c r="M244" s="113"/>
    </row>
    <row r="245" spans="1:13" s="114" customFormat="1" x14ac:dyDescent="0.2">
      <c r="A245" s="106" t="s">
        <v>2332</v>
      </c>
      <c r="B245" s="105" t="s">
        <v>2397</v>
      </c>
      <c r="C245" s="105" t="s">
        <v>2393</v>
      </c>
      <c r="D245" s="149" t="s">
        <v>2398</v>
      </c>
      <c r="E245" s="105">
        <v>3</v>
      </c>
      <c r="F245" s="150" t="s">
        <v>2399</v>
      </c>
      <c r="G245" s="150" t="s">
        <v>1892</v>
      </c>
      <c r="H245" s="119">
        <f t="shared" si="9"/>
        <v>72</v>
      </c>
      <c r="I245" s="119"/>
      <c r="J245" s="151">
        <v>0</v>
      </c>
      <c r="K245" s="119">
        <f t="shared" si="10"/>
        <v>72</v>
      </c>
      <c r="L245" s="152">
        <f t="shared" si="11"/>
        <v>62.489999999999995</v>
      </c>
      <c r="M245" s="113"/>
    </row>
    <row r="246" spans="1:13" s="114" customFormat="1" x14ac:dyDescent="0.2">
      <c r="A246" s="106" t="s">
        <v>2332</v>
      </c>
      <c r="B246" s="105" t="s">
        <v>2400</v>
      </c>
      <c r="C246" s="105" t="s">
        <v>2393</v>
      </c>
      <c r="D246" s="149" t="s">
        <v>2401</v>
      </c>
      <c r="E246" s="105">
        <v>3</v>
      </c>
      <c r="F246" s="150" t="s">
        <v>2402</v>
      </c>
      <c r="G246" s="150" t="s">
        <v>1932</v>
      </c>
      <c r="H246" s="119">
        <f t="shared" si="9"/>
        <v>66</v>
      </c>
      <c r="I246" s="119"/>
      <c r="J246" s="151">
        <v>0</v>
      </c>
      <c r="K246" s="119">
        <f t="shared" si="10"/>
        <v>66</v>
      </c>
      <c r="L246" s="152">
        <f t="shared" si="11"/>
        <v>57.179999999999993</v>
      </c>
      <c r="M246" s="113"/>
    </row>
    <row r="247" spans="1:13" s="114" customFormat="1" x14ac:dyDescent="0.2">
      <c r="A247" s="106" t="s">
        <v>2332</v>
      </c>
      <c r="B247" s="105" t="s">
        <v>1810</v>
      </c>
      <c r="C247" s="105" t="s">
        <v>2393</v>
      </c>
      <c r="D247" s="149" t="s">
        <v>1811</v>
      </c>
      <c r="E247" s="105">
        <v>2</v>
      </c>
      <c r="F247" s="150" t="s">
        <v>1812</v>
      </c>
      <c r="G247" s="150" t="s">
        <v>1813</v>
      </c>
      <c r="H247" s="119">
        <f t="shared" si="9"/>
        <v>88.5</v>
      </c>
      <c r="I247" s="119"/>
      <c r="J247" s="151">
        <v>0</v>
      </c>
      <c r="K247" s="119">
        <f t="shared" si="10"/>
        <v>88.5</v>
      </c>
      <c r="L247" s="152">
        <f t="shared" si="11"/>
        <v>76.78</v>
      </c>
      <c r="M247" s="113"/>
    </row>
    <row r="248" spans="1:13" s="114" customFormat="1" x14ac:dyDescent="0.2">
      <c r="A248" s="106" t="s">
        <v>2332</v>
      </c>
      <c r="B248" s="105" t="s">
        <v>2293</v>
      </c>
      <c r="C248" s="105" t="s">
        <v>2393</v>
      </c>
      <c r="D248" s="149" t="s">
        <v>2295</v>
      </c>
      <c r="E248" s="105">
        <v>1</v>
      </c>
      <c r="F248" s="150" t="s">
        <v>2296</v>
      </c>
      <c r="G248" s="150" t="s">
        <v>2297</v>
      </c>
      <c r="H248" s="119">
        <f t="shared" si="9"/>
        <v>45</v>
      </c>
      <c r="I248" s="119"/>
      <c r="J248" s="151">
        <v>0</v>
      </c>
      <c r="K248" s="119">
        <f t="shared" si="10"/>
        <v>45</v>
      </c>
      <c r="L248" s="152">
        <f t="shared" si="11"/>
        <v>27.84</v>
      </c>
      <c r="M248" s="113"/>
    </row>
    <row r="249" spans="1:13" s="114" customFormat="1" x14ac:dyDescent="0.2">
      <c r="A249" s="106" t="s">
        <v>2332</v>
      </c>
      <c r="B249" s="105" t="s">
        <v>2403</v>
      </c>
      <c r="C249" s="105" t="s">
        <v>2393</v>
      </c>
      <c r="D249" s="149" t="s">
        <v>2404</v>
      </c>
      <c r="E249" s="105">
        <v>1</v>
      </c>
      <c r="F249" s="150" t="s">
        <v>2405</v>
      </c>
      <c r="G249" s="150" t="s">
        <v>2406</v>
      </c>
      <c r="H249" s="119">
        <f t="shared" si="9"/>
        <v>114</v>
      </c>
      <c r="I249" s="119"/>
      <c r="J249" s="151">
        <v>0</v>
      </c>
      <c r="K249" s="119">
        <f t="shared" si="10"/>
        <v>114</v>
      </c>
      <c r="L249" s="152">
        <f t="shared" si="11"/>
        <v>99.04</v>
      </c>
      <c r="M249" s="113"/>
    </row>
    <row r="250" spans="1:13" s="114" customFormat="1" x14ac:dyDescent="0.2">
      <c r="A250" s="106" t="s">
        <v>2332</v>
      </c>
      <c r="B250" s="105" t="s">
        <v>2407</v>
      </c>
      <c r="C250" s="105" t="s">
        <v>2408</v>
      </c>
      <c r="D250" s="149" t="s">
        <v>2409</v>
      </c>
      <c r="E250" s="105">
        <v>1</v>
      </c>
      <c r="F250" s="150" t="s">
        <v>2410</v>
      </c>
      <c r="G250" s="150" t="s">
        <v>2411</v>
      </c>
      <c r="H250" s="119">
        <f t="shared" si="9"/>
        <v>109</v>
      </c>
      <c r="I250" s="119"/>
      <c r="J250" s="151">
        <v>0</v>
      </c>
      <c r="K250" s="119">
        <f t="shared" si="10"/>
        <v>109</v>
      </c>
      <c r="L250" s="152">
        <f t="shared" si="11"/>
        <v>94.58</v>
      </c>
      <c r="M250" s="113"/>
    </row>
    <row r="251" spans="1:13" s="114" customFormat="1" x14ac:dyDescent="0.2">
      <c r="A251" s="106" t="s">
        <v>2332</v>
      </c>
      <c r="B251" s="105" t="s">
        <v>2394</v>
      </c>
      <c r="C251" s="105" t="s">
        <v>2408</v>
      </c>
      <c r="D251" s="149" t="s">
        <v>2395</v>
      </c>
      <c r="E251" s="105">
        <v>1</v>
      </c>
      <c r="F251" s="150" t="s">
        <v>2255</v>
      </c>
      <c r="G251" s="150" t="s">
        <v>2396</v>
      </c>
      <c r="H251" s="119">
        <f t="shared" si="9"/>
        <v>64.5</v>
      </c>
      <c r="I251" s="119"/>
      <c r="J251" s="151">
        <v>0</v>
      </c>
      <c r="K251" s="119">
        <f t="shared" si="10"/>
        <v>64.5</v>
      </c>
      <c r="L251" s="152">
        <f t="shared" si="11"/>
        <v>58.45</v>
      </c>
      <c r="M251" s="113"/>
    </row>
    <row r="252" spans="1:13" s="114" customFormat="1" x14ac:dyDescent="0.2">
      <c r="A252" s="106" t="s">
        <v>2332</v>
      </c>
      <c r="B252" s="105" t="s">
        <v>2189</v>
      </c>
      <c r="C252" s="105" t="s">
        <v>2408</v>
      </c>
      <c r="D252" s="149" t="s">
        <v>2190</v>
      </c>
      <c r="E252" s="105">
        <v>1</v>
      </c>
      <c r="F252" s="150" t="s">
        <v>2191</v>
      </c>
      <c r="G252" s="150" t="s">
        <v>2192</v>
      </c>
      <c r="H252" s="119">
        <f t="shared" si="9"/>
        <v>71.5</v>
      </c>
      <c r="I252" s="119"/>
      <c r="J252" s="151">
        <v>0</v>
      </c>
      <c r="K252" s="119">
        <f t="shared" si="10"/>
        <v>71.5</v>
      </c>
      <c r="L252" s="152">
        <f t="shared" si="11"/>
        <v>65</v>
      </c>
      <c r="M252" s="113"/>
    </row>
    <row r="253" spans="1:13" s="114" customFormat="1" x14ac:dyDescent="0.2">
      <c r="A253" s="106" t="s">
        <v>2332</v>
      </c>
      <c r="B253" s="105" t="s">
        <v>2412</v>
      </c>
      <c r="C253" s="105" t="s">
        <v>2408</v>
      </c>
      <c r="D253" s="149" t="s">
        <v>2413</v>
      </c>
      <c r="E253" s="105">
        <v>1</v>
      </c>
      <c r="F253" s="150" t="s">
        <v>2414</v>
      </c>
      <c r="G253" s="150" t="s">
        <v>2415</v>
      </c>
      <c r="H253" s="119">
        <f t="shared" si="9"/>
        <v>144</v>
      </c>
      <c r="I253" s="119"/>
      <c r="J253" s="151">
        <v>0</v>
      </c>
      <c r="K253" s="119">
        <f t="shared" si="10"/>
        <v>144</v>
      </c>
      <c r="L253" s="152">
        <f t="shared" si="11"/>
        <v>125.05</v>
      </c>
      <c r="M253" s="113"/>
    </row>
    <row r="254" spans="1:13" s="114" customFormat="1" x14ac:dyDescent="0.2">
      <c r="A254" s="106" t="s">
        <v>2332</v>
      </c>
      <c r="B254" s="105" t="s">
        <v>2416</v>
      </c>
      <c r="C254" s="105" t="s">
        <v>2408</v>
      </c>
      <c r="D254" s="149" t="s">
        <v>2417</v>
      </c>
      <c r="E254" s="105">
        <v>2</v>
      </c>
      <c r="F254" s="150" t="s">
        <v>2418</v>
      </c>
      <c r="G254" s="150" t="s">
        <v>1892</v>
      </c>
      <c r="H254" s="119">
        <f t="shared" si="9"/>
        <v>48</v>
      </c>
      <c r="I254" s="119"/>
      <c r="J254" s="151">
        <v>0</v>
      </c>
      <c r="K254" s="119">
        <f t="shared" si="10"/>
        <v>48</v>
      </c>
      <c r="L254" s="152">
        <f t="shared" si="11"/>
        <v>41.76</v>
      </c>
      <c r="M254" s="113"/>
    </row>
    <row r="255" spans="1:13" s="114" customFormat="1" x14ac:dyDescent="0.2">
      <c r="A255" s="106" t="s">
        <v>2332</v>
      </c>
      <c r="B255" s="105" t="s">
        <v>2419</v>
      </c>
      <c r="C255" s="105" t="s">
        <v>2408</v>
      </c>
      <c r="D255" s="149" t="s">
        <v>2420</v>
      </c>
      <c r="E255" s="105">
        <v>4</v>
      </c>
      <c r="F255" s="150" t="s">
        <v>2421</v>
      </c>
      <c r="G255" s="150" t="s">
        <v>2422</v>
      </c>
      <c r="H255" s="119">
        <f t="shared" si="9"/>
        <v>211</v>
      </c>
      <c r="I255" s="119"/>
      <c r="J255" s="151">
        <v>0</v>
      </c>
      <c r="K255" s="119">
        <f t="shared" si="10"/>
        <v>211</v>
      </c>
      <c r="L255" s="152">
        <f t="shared" si="11"/>
        <v>183.52</v>
      </c>
      <c r="M255" s="113"/>
    </row>
    <row r="256" spans="1:13" s="114" customFormat="1" x14ac:dyDescent="0.2">
      <c r="A256" s="106" t="s">
        <v>2332</v>
      </c>
      <c r="B256" s="105" t="s">
        <v>2423</v>
      </c>
      <c r="C256" s="105" t="s">
        <v>2424</v>
      </c>
      <c r="D256" s="149" t="s">
        <v>2425</v>
      </c>
      <c r="E256" s="105">
        <v>1</v>
      </c>
      <c r="F256" s="150" t="s">
        <v>2426</v>
      </c>
      <c r="G256" s="150" t="s">
        <v>2427</v>
      </c>
      <c r="H256" s="119">
        <f t="shared" si="9"/>
        <v>21.5</v>
      </c>
      <c r="I256" s="119"/>
      <c r="J256" s="151">
        <v>0</v>
      </c>
      <c r="K256" s="119">
        <f t="shared" si="10"/>
        <v>21.5</v>
      </c>
      <c r="L256" s="152">
        <f t="shared" si="11"/>
        <v>18.53</v>
      </c>
      <c r="M256" s="113"/>
    </row>
    <row r="257" spans="1:13" s="114" customFormat="1" x14ac:dyDescent="0.2">
      <c r="A257" s="106" t="s">
        <v>2332</v>
      </c>
      <c r="B257" s="105" t="s">
        <v>2055</v>
      </c>
      <c r="C257" s="105" t="s">
        <v>2428</v>
      </c>
      <c r="D257" s="149" t="s">
        <v>2056</v>
      </c>
      <c r="E257" s="105">
        <v>1</v>
      </c>
      <c r="F257" s="150" t="s">
        <v>1824</v>
      </c>
      <c r="G257" s="150" t="s">
        <v>1825</v>
      </c>
      <c r="H257" s="119">
        <f t="shared" si="9"/>
        <v>67.5</v>
      </c>
      <c r="I257" s="119"/>
      <c r="J257" s="151">
        <v>0</v>
      </c>
      <c r="K257" s="119">
        <f t="shared" si="10"/>
        <v>67.5</v>
      </c>
      <c r="L257" s="152">
        <f t="shared" si="11"/>
        <v>59.58</v>
      </c>
      <c r="M257" s="113"/>
    </row>
    <row r="258" spans="1:13" s="114" customFormat="1" x14ac:dyDescent="0.2">
      <c r="A258" s="106" t="s">
        <v>2332</v>
      </c>
      <c r="B258" s="105" t="s">
        <v>2429</v>
      </c>
      <c r="C258" s="105" t="s">
        <v>2430</v>
      </c>
      <c r="D258" s="149" t="s">
        <v>2431</v>
      </c>
      <c r="E258" s="105">
        <v>1</v>
      </c>
      <c r="F258" s="150" t="s">
        <v>2432</v>
      </c>
      <c r="G258" s="150" t="s">
        <v>2433</v>
      </c>
      <c r="H258" s="119">
        <f t="shared" si="9"/>
        <v>16</v>
      </c>
      <c r="I258" s="119"/>
      <c r="J258" s="151">
        <v>0</v>
      </c>
      <c r="K258" s="119">
        <f t="shared" si="10"/>
        <v>16</v>
      </c>
      <c r="L258" s="152">
        <f t="shared" si="11"/>
        <v>13.77</v>
      </c>
      <c r="M258" s="113"/>
    </row>
    <row r="259" spans="1:13" s="114" customFormat="1" x14ac:dyDescent="0.2">
      <c r="A259" s="106" t="s">
        <v>2332</v>
      </c>
      <c r="B259" s="105" t="s">
        <v>2107</v>
      </c>
      <c r="C259" s="105" t="s">
        <v>2434</v>
      </c>
      <c r="D259" s="149" t="s">
        <v>2109</v>
      </c>
      <c r="E259" s="105">
        <v>2</v>
      </c>
      <c r="F259" s="150" t="s">
        <v>1980</v>
      </c>
      <c r="G259" s="150" t="s">
        <v>1981</v>
      </c>
      <c r="H259" s="119">
        <f t="shared" si="9"/>
        <v>2</v>
      </c>
      <c r="I259" s="119"/>
      <c r="J259" s="151">
        <v>0</v>
      </c>
      <c r="K259" s="119">
        <f t="shared" si="10"/>
        <v>2</v>
      </c>
      <c r="L259" s="152">
        <f t="shared" si="11"/>
        <v>1.52</v>
      </c>
      <c r="M259" s="113"/>
    </row>
    <row r="260" spans="1:13" s="114" customFormat="1" x14ac:dyDescent="0.2">
      <c r="A260" s="106" t="s">
        <v>2332</v>
      </c>
      <c r="B260" s="105" t="s">
        <v>2435</v>
      </c>
      <c r="C260" s="105" t="s">
        <v>2436</v>
      </c>
      <c r="D260" s="149" t="s">
        <v>2437</v>
      </c>
      <c r="E260" s="105">
        <v>1</v>
      </c>
      <c r="F260" s="150" t="s">
        <v>1879</v>
      </c>
      <c r="G260" s="150" t="s">
        <v>1880</v>
      </c>
      <c r="H260" s="119">
        <f t="shared" si="9"/>
        <v>21</v>
      </c>
      <c r="I260" s="119"/>
      <c r="J260" s="151">
        <v>0</v>
      </c>
      <c r="K260" s="119">
        <f t="shared" si="10"/>
        <v>21</v>
      </c>
      <c r="L260" s="152">
        <f t="shared" si="11"/>
        <v>18.2</v>
      </c>
      <c r="M260" s="113"/>
    </row>
    <row r="261" spans="1:13" s="114" customFormat="1" x14ac:dyDescent="0.2">
      <c r="A261" s="106" t="s">
        <v>2332</v>
      </c>
      <c r="B261" s="105" t="s">
        <v>2438</v>
      </c>
      <c r="C261" s="105" t="s">
        <v>2439</v>
      </c>
      <c r="D261" s="149" t="s">
        <v>2440</v>
      </c>
      <c r="E261" s="105">
        <v>1</v>
      </c>
      <c r="F261" s="150" t="s">
        <v>1859</v>
      </c>
      <c r="G261" s="150" t="s">
        <v>1860</v>
      </c>
      <c r="H261" s="119">
        <f t="shared" si="9"/>
        <v>17.5</v>
      </c>
      <c r="I261" s="119"/>
      <c r="J261" s="151">
        <v>0</v>
      </c>
      <c r="K261" s="119">
        <f t="shared" si="10"/>
        <v>17.5</v>
      </c>
      <c r="L261" s="152">
        <f t="shared" si="11"/>
        <v>15.12</v>
      </c>
      <c r="M261" s="113"/>
    </row>
    <row r="262" spans="1:13" s="114" customFormat="1" x14ac:dyDescent="0.2">
      <c r="A262" s="106" t="s">
        <v>2332</v>
      </c>
      <c r="B262" s="105" t="s">
        <v>2146</v>
      </c>
      <c r="C262" s="105" t="s">
        <v>2439</v>
      </c>
      <c r="D262" s="149" t="s">
        <v>2147</v>
      </c>
      <c r="E262" s="105">
        <v>1</v>
      </c>
      <c r="F262" s="150" t="s">
        <v>1928</v>
      </c>
      <c r="G262" s="150" t="s">
        <v>2097</v>
      </c>
      <c r="H262" s="119">
        <f t="shared" ref="H262:H325" si="12">E262*G262</f>
        <v>14.5</v>
      </c>
      <c r="I262" s="119"/>
      <c r="J262" s="151">
        <v>0</v>
      </c>
      <c r="K262" s="119">
        <f t="shared" ref="K262:K325" si="13">H262+I262-J262</f>
        <v>14.5</v>
      </c>
      <c r="L262" s="152">
        <f t="shared" ref="L262:L325" si="14">E262*F262</f>
        <v>12.25</v>
      </c>
      <c r="M262" s="113"/>
    </row>
    <row r="263" spans="1:13" s="114" customFormat="1" x14ac:dyDescent="0.2">
      <c r="A263" s="106" t="s">
        <v>2332</v>
      </c>
      <c r="B263" s="105" t="s">
        <v>2441</v>
      </c>
      <c r="C263" s="105" t="s">
        <v>2442</v>
      </c>
      <c r="D263" s="149" t="s">
        <v>2443</v>
      </c>
      <c r="E263" s="105">
        <v>3</v>
      </c>
      <c r="F263" s="150" t="s">
        <v>2444</v>
      </c>
      <c r="G263" s="150" t="s">
        <v>1981</v>
      </c>
      <c r="H263" s="119">
        <f t="shared" si="12"/>
        <v>3</v>
      </c>
      <c r="I263" s="119"/>
      <c r="J263" s="151">
        <v>0</v>
      </c>
      <c r="K263" s="119">
        <f t="shared" si="13"/>
        <v>3</v>
      </c>
      <c r="L263" s="152">
        <f t="shared" si="14"/>
        <v>2.2199999999999998</v>
      </c>
      <c r="M263" s="113"/>
    </row>
    <row r="264" spans="1:13" s="114" customFormat="1" x14ac:dyDescent="0.2">
      <c r="A264" s="106" t="s">
        <v>2332</v>
      </c>
      <c r="B264" s="105" t="s">
        <v>2072</v>
      </c>
      <c r="C264" s="105" t="s">
        <v>2445</v>
      </c>
      <c r="D264" s="149" t="s">
        <v>2074</v>
      </c>
      <c r="E264" s="105">
        <v>1</v>
      </c>
      <c r="F264" s="150" t="s">
        <v>2075</v>
      </c>
      <c r="G264" s="150" t="s">
        <v>2076</v>
      </c>
      <c r="H264" s="119">
        <f t="shared" si="12"/>
        <v>10.5</v>
      </c>
      <c r="I264" s="119"/>
      <c r="J264" s="151">
        <v>0</v>
      </c>
      <c r="K264" s="119">
        <f t="shared" si="13"/>
        <v>10.5</v>
      </c>
      <c r="L264" s="152">
        <f t="shared" si="14"/>
        <v>9.1</v>
      </c>
      <c r="M264" s="113"/>
    </row>
    <row r="265" spans="1:13" s="114" customFormat="1" x14ac:dyDescent="0.2">
      <c r="A265" s="106" t="s">
        <v>2332</v>
      </c>
      <c r="B265" s="105" t="s">
        <v>2446</v>
      </c>
      <c r="C265" s="105" t="s">
        <v>2447</v>
      </c>
      <c r="D265" s="149" t="s">
        <v>2448</v>
      </c>
      <c r="E265" s="105">
        <v>1</v>
      </c>
      <c r="F265" s="150" t="s">
        <v>2449</v>
      </c>
      <c r="G265" s="150" t="s">
        <v>2450</v>
      </c>
      <c r="H265" s="119">
        <f t="shared" si="12"/>
        <v>63</v>
      </c>
      <c r="I265" s="119"/>
      <c r="J265" s="151">
        <v>0</v>
      </c>
      <c r="K265" s="119">
        <f t="shared" si="13"/>
        <v>63</v>
      </c>
      <c r="L265" s="152">
        <f t="shared" si="14"/>
        <v>56.5</v>
      </c>
      <c r="M265" s="113"/>
    </row>
    <row r="266" spans="1:13" s="114" customFormat="1" x14ac:dyDescent="0.2">
      <c r="A266" s="106" t="s">
        <v>2332</v>
      </c>
      <c r="B266" s="105" t="s">
        <v>1994</v>
      </c>
      <c r="C266" s="105" t="s">
        <v>2447</v>
      </c>
      <c r="D266" s="149" t="s">
        <v>1995</v>
      </c>
      <c r="E266" s="105">
        <v>3</v>
      </c>
      <c r="F266" s="150" t="s">
        <v>1996</v>
      </c>
      <c r="G266" s="150" t="s">
        <v>1801</v>
      </c>
      <c r="H266" s="119">
        <f t="shared" si="12"/>
        <v>28.5</v>
      </c>
      <c r="I266" s="119"/>
      <c r="J266" s="151">
        <v>0</v>
      </c>
      <c r="K266" s="119">
        <f t="shared" si="13"/>
        <v>28.5</v>
      </c>
      <c r="L266" s="152">
        <f t="shared" si="14"/>
        <v>20.009999999999998</v>
      </c>
      <c r="M266" s="113"/>
    </row>
    <row r="267" spans="1:13" s="114" customFormat="1" x14ac:dyDescent="0.2">
      <c r="A267" s="106" t="s">
        <v>2332</v>
      </c>
      <c r="B267" s="105" t="s">
        <v>2423</v>
      </c>
      <c r="C267" s="105" t="s">
        <v>2447</v>
      </c>
      <c r="D267" s="149" t="s">
        <v>2425</v>
      </c>
      <c r="E267" s="105">
        <v>1</v>
      </c>
      <c r="F267" s="150" t="s">
        <v>2426</v>
      </c>
      <c r="G267" s="150" t="s">
        <v>2427</v>
      </c>
      <c r="H267" s="119">
        <f t="shared" si="12"/>
        <v>21.5</v>
      </c>
      <c r="I267" s="119"/>
      <c r="J267" s="151">
        <v>0</v>
      </c>
      <c r="K267" s="119">
        <f t="shared" si="13"/>
        <v>21.5</v>
      </c>
      <c r="L267" s="152">
        <f t="shared" si="14"/>
        <v>18.53</v>
      </c>
      <c r="M267" s="113"/>
    </row>
    <row r="268" spans="1:13" s="114" customFormat="1" x14ac:dyDescent="0.2">
      <c r="A268" s="106" t="s">
        <v>2332</v>
      </c>
      <c r="B268" s="105" t="s">
        <v>2451</v>
      </c>
      <c r="C268" s="105" t="s">
        <v>2447</v>
      </c>
      <c r="D268" s="149" t="s">
        <v>2452</v>
      </c>
      <c r="E268" s="105">
        <v>1</v>
      </c>
      <c r="F268" s="150" t="s">
        <v>2070</v>
      </c>
      <c r="G268" s="150" t="s">
        <v>2071</v>
      </c>
      <c r="H268" s="119">
        <f t="shared" si="12"/>
        <v>43.75</v>
      </c>
      <c r="I268" s="119"/>
      <c r="J268" s="151">
        <v>0</v>
      </c>
      <c r="K268" s="119">
        <f t="shared" si="13"/>
        <v>43.75</v>
      </c>
      <c r="L268" s="152">
        <f t="shared" si="14"/>
        <v>38</v>
      </c>
      <c r="M268" s="113"/>
    </row>
    <row r="269" spans="1:13" s="114" customFormat="1" x14ac:dyDescent="0.2">
      <c r="A269" s="106" t="s">
        <v>2332</v>
      </c>
      <c r="B269" s="105" t="s">
        <v>2453</v>
      </c>
      <c r="C269" s="105" t="s">
        <v>2447</v>
      </c>
      <c r="D269" s="149" t="s">
        <v>2454</v>
      </c>
      <c r="E269" s="105">
        <v>1</v>
      </c>
      <c r="F269" s="150" t="s">
        <v>2455</v>
      </c>
      <c r="G269" s="150" t="s">
        <v>2456</v>
      </c>
      <c r="H269" s="119">
        <f t="shared" si="12"/>
        <v>66</v>
      </c>
      <c r="I269" s="119"/>
      <c r="J269" s="151">
        <v>0</v>
      </c>
      <c r="K269" s="119">
        <f t="shared" si="13"/>
        <v>66</v>
      </c>
      <c r="L269" s="152">
        <f t="shared" si="14"/>
        <v>57.4</v>
      </c>
      <c r="M269" s="113"/>
    </row>
    <row r="270" spans="1:13" s="114" customFormat="1" x14ac:dyDescent="0.2">
      <c r="A270" s="106" t="s">
        <v>2332</v>
      </c>
      <c r="B270" s="105" t="s">
        <v>2457</v>
      </c>
      <c r="C270" s="105" t="s">
        <v>2447</v>
      </c>
      <c r="D270" s="149" t="s">
        <v>2458</v>
      </c>
      <c r="E270" s="105">
        <v>1</v>
      </c>
      <c r="F270" s="150" t="s">
        <v>1923</v>
      </c>
      <c r="G270" s="150" t="s">
        <v>1809</v>
      </c>
      <c r="H270" s="119">
        <f t="shared" si="12"/>
        <v>18</v>
      </c>
      <c r="I270" s="119"/>
      <c r="J270" s="151">
        <v>0</v>
      </c>
      <c r="K270" s="119">
        <f t="shared" si="13"/>
        <v>18</v>
      </c>
      <c r="L270" s="152">
        <f t="shared" si="14"/>
        <v>15.5</v>
      </c>
      <c r="M270" s="113"/>
    </row>
    <row r="271" spans="1:13" s="114" customFormat="1" x14ac:dyDescent="0.2">
      <c r="A271" s="106" t="s">
        <v>2332</v>
      </c>
      <c r="B271" s="105" t="s">
        <v>2459</v>
      </c>
      <c r="C271" s="105" t="s">
        <v>2447</v>
      </c>
      <c r="D271" s="149" t="s">
        <v>2460</v>
      </c>
      <c r="E271" s="105">
        <v>1</v>
      </c>
      <c r="F271" s="150" t="s">
        <v>2461</v>
      </c>
      <c r="G271" s="150" t="s">
        <v>1910</v>
      </c>
      <c r="H271" s="119">
        <f t="shared" si="12"/>
        <v>20.75</v>
      </c>
      <c r="I271" s="119"/>
      <c r="J271" s="151">
        <v>13.5</v>
      </c>
      <c r="K271" s="119">
        <f t="shared" si="13"/>
        <v>7.25</v>
      </c>
      <c r="L271" s="152">
        <f t="shared" si="14"/>
        <v>17.95</v>
      </c>
      <c r="M271" s="113"/>
    </row>
    <row r="272" spans="1:13" s="114" customFormat="1" x14ac:dyDescent="0.2">
      <c r="A272" s="106" t="s">
        <v>2332</v>
      </c>
      <c r="B272" s="105" t="s">
        <v>2462</v>
      </c>
      <c r="C272" s="105" t="s">
        <v>2463</v>
      </c>
      <c r="D272" s="149" t="s">
        <v>2464</v>
      </c>
      <c r="E272" s="105">
        <v>1</v>
      </c>
      <c r="F272" s="150" t="s">
        <v>2465</v>
      </c>
      <c r="G272" s="150" t="s">
        <v>2466</v>
      </c>
      <c r="H272" s="119">
        <f t="shared" si="12"/>
        <v>110</v>
      </c>
      <c r="I272" s="119"/>
      <c r="J272" s="151">
        <v>0</v>
      </c>
      <c r="K272" s="119">
        <f t="shared" si="13"/>
        <v>110</v>
      </c>
      <c r="L272" s="152">
        <f t="shared" si="14"/>
        <v>95.45</v>
      </c>
      <c r="M272" s="113"/>
    </row>
    <row r="273" spans="1:13" s="114" customFormat="1" x14ac:dyDescent="0.2">
      <c r="A273" s="106" t="s">
        <v>2332</v>
      </c>
      <c r="B273" s="105" t="s">
        <v>2467</v>
      </c>
      <c r="C273" s="105" t="s">
        <v>2468</v>
      </c>
      <c r="D273" s="149" t="s">
        <v>2469</v>
      </c>
      <c r="E273" s="105">
        <v>1</v>
      </c>
      <c r="F273" s="150" t="s">
        <v>2470</v>
      </c>
      <c r="G273" s="150" t="s">
        <v>2466</v>
      </c>
      <c r="H273" s="119">
        <f t="shared" si="12"/>
        <v>110</v>
      </c>
      <c r="I273" s="119"/>
      <c r="J273" s="151">
        <v>0</v>
      </c>
      <c r="K273" s="119">
        <f t="shared" si="13"/>
        <v>110</v>
      </c>
      <c r="L273" s="152">
        <f t="shared" si="14"/>
        <v>100</v>
      </c>
      <c r="M273" s="113"/>
    </row>
    <row r="274" spans="1:13" s="114" customFormat="1" x14ac:dyDescent="0.2">
      <c r="A274" s="106" t="s">
        <v>2332</v>
      </c>
      <c r="B274" s="105" t="s">
        <v>2471</v>
      </c>
      <c r="C274" s="105" t="s">
        <v>2468</v>
      </c>
      <c r="D274" s="149" t="s">
        <v>2472</v>
      </c>
      <c r="E274" s="105">
        <v>1</v>
      </c>
      <c r="F274" s="150" t="s">
        <v>2473</v>
      </c>
      <c r="G274" s="150" t="s">
        <v>2224</v>
      </c>
      <c r="H274" s="119">
        <f t="shared" si="12"/>
        <v>41</v>
      </c>
      <c r="I274" s="119"/>
      <c r="J274" s="151">
        <v>0</v>
      </c>
      <c r="K274" s="119">
        <f t="shared" si="13"/>
        <v>41</v>
      </c>
      <c r="L274" s="152">
        <f t="shared" si="14"/>
        <v>35.549999999999997</v>
      </c>
      <c r="M274" s="113"/>
    </row>
    <row r="275" spans="1:13" s="114" customFormat="1" x14ac:dyDescent="0.2">
      <c r="A275" s="106" t="s">
        <v>2474</v>
      </c>
      <c r="B275" s="105" t="s">
        <v>1888</v>
      </c>
      <c r="C275" s="105" t="s">
        <v>2475</v>
      </c>
      <c r="D275" s="149" t="s">
        <v>1890</v>
      </c>
      <c r="E275" s="105">
        <v>1</v>
      </c>
      <c r="F275" s="150" t="s">
        <v>1891</v>
      </c>
      <c r="G275" s="150" t="s">
        <v>1892</v>
      </c>
      <c r="H275" s="119">
        <f t="shared" si="12"/>
        <v>24</v>
      </c>
      <c r="I275" s="119"/>
      <c r="J275" s="151">
        <v>0</v>
      </c>
      <c r="K275" s="119">
        <f t="shared" si="13"/>
        <v>24</v>
      </c>
      <c r="L275" s="152">
        <f t="shared" si="14"/>
        <v>20.68</v>
      </c>
      <c r="M275" s="113"/>
    </row>
    <row r="276" spans="1:13" s="114" customFormat="1" x14ac:dyDescent="0.2">
      <c r="A276" s="106" t="s">
        <v>2474</v>
      </c>
      <c r="B276" s="105" t="s">
        <v>2441</v>
      </c>
      <c r="C276" s="105" t="s">
        <v>2475</v>
      </c>
      <c r="D276" s="149" t="s">
        <v>2443</v>
      </c>
      <c r="E276" s="105">
        <v>1</v>
      </c>
      <c r="F276" s="150" t="s">
        <v>2444</v>
      </c>
      <c r="G276" s="150" t="s">
        <v>1981</v>
      </c>
      <c r="H276" s="119">
        <f t="shared" si="12"/>
        <v>1</v>
      </c>
      <c r="I276" s="119"/>
      <c r="J276" s="151">
        <v>0</v>
      </c>
      <c r="K276" s="119">
        <f t="shared" si="13"/>
        <v>1</v>
      </c>
      <c r="L276" s="152">
        <f t="shared" si="14"/>
        <v>0.74</v>
      </c>
      <c r="M276" s="113"/>
    </row>
    <row r="277" spans="1:13" s="114" customFormat="1" x14ac:dyDescent="0.2">
      <c r="A277" s="106" t="s">
        <v>2474</v>
      </c>
      <c r="B277" s="105" t="s">
        <v>2476</v>
      </c>
      <c r="C277" s="105" t="s">
        <v>2477</v>
      </c>
      <c r="D277" s="149" t="s">
        <v>2478</v>
      </c>
      <c r="E277" s="105">
        <v>2</v>
      </c>
      <c r="F277" s="150" t="s">
        <v>2479</v>
      </c>
      <c r="G277" s="150" t="s">
        <v>2480</v>
      </c>
      <c r="H277" s="119">
        <f t="shared" si="12"/>
        <v>97.5</v>
      </c>
      <c r="I277" s="119"/>
      <c r="J277" s="151">
        <v>0</v>
      </c>
      <c r="K277" s="119">
        <f t="shared" si="13"/>
        <v>97.5</v>
      </c>
      <c r="L277" s="152">
        <f t="shared" si="14"/>
        <v>82.5</v>
      </c>
      <c r="M277" s="113"/>
    </row>
    <row r="278" spans="1:13" s="114" customFormat="1" x14ac:dyDescent="0.2">
      <c r="A278" s="106" t="s">
        <v>2474</v>
      </c>
      <c r="B278" s="105" t="s">
        <v>2481</v>
      </c>
      <c r="C278" s="105" t="s">
        <v>2477</v>
      </c>
      <c r="D278" s="149" t="s">
        <v>2482</v>
      </c>
      <c r="E278" s="105">
        <v>1</v>
      </c>
      <c r="F278" s="150" t="s">
        <v>2483</v>
      </c>
      <c r="G278" s="150" t="s">
        <v>2484</v>
      </c>
      <c r="H278" s="119">
        <f t="shared" si="12"/>
        <v>832.5</v>
      </c>
      <c r="I278" s="119"/>
      <c r="J278" s="151">
        <v>0</v>
      </c>
      <c r="K278" s="119">
        <f t="shared" si="13"/>
        <v>832.5</v>
      </c>
      <c r="L278" s="152">
        <f t="shared" si="14"/>
        <v>723.8</v>
      </c>
      <c r="M278" s="113"/>
    </row>
    <row r="279" spans="1:13" s="114" customFormat="1" x14ac:dyDescent="0.2">
      <c r="A279" s="106" t="s">
        <v>2474</v>
      </c>
      <c r="B279" s="105" t="s">
        <v>2485</v>
      </c>
      <c r="C279" s="105" t="s">
        <v>2477</v>
      </c>
      <c r="D279" s="149" t="s">
        <v>2486</v>
      </c>
      <c r="E279" s="105">
        <v>2</v>
      </c>
      <c r="F279" s="150" t="s">
        <v>2487</v>
      </c>
      <c r="G279" s="150" t="s">
        <v>2114</v>
      </c>
      <c r="H279" s="119">
        <f t="shared" si="12"/>
        <v>60.5</v>
      </c>
      <c r="I279" s="119"/>
      <c r="J279" s="151">
        <v>0</v>
      </c>
      <c r="K279" s="119">
        <f t="shared" si="13"/>
        <v>60.5</v>
      </c>
      <c r="L279" s="152">
        <f t="shared" si="14"/>
        <v>52.86</v>
      </c>
      <c r="M279" s="113"/>
    </row>
    <row r="280" spans="1:13" s="114" customFormat="1" x14ac:dyDescent="0.2">
      <c r="A280" s="106" t="s">
        <v>2474</v>
      </c>
      <c r="B280" s="105" t="s">
        <v>2488</v>
      </c>
      <c r="C280" s="105" t="s">
        <v>2477</v>
      </c>
      <c r="D280" s="149" t="s">
        <v>2489</v>
      </c>
      <c r="E280" s="105">
        <v>1</v>
      </c>
      <c r="F280" s="150" t="s">
        <v>2490</v>
      </c>
      <c r="G280" s="150" t="s">
        <v>2151</v>
      </c>
      <c r="H280" s="119">
        <f t="shared" si="12"/>
        <v>36</v>
      </c>
      <c r="I280" s="119"/>
      <c r="J280" s="151">
        <v>0</v>
      </c>
      <c r="K280" s="119">
        <f t="shared" si="13"/>
        <v>36</v>
      </c>
      <c r="L280" s="152">
        <f t="shared" si="14"/>
        <v>31.19</v>
      </c>
      <c r="M280" s="113"/>
    </row>
    <row r="281" spans="1:13" s="114" customFormat="1" x14ac:dyDescent="0.2">
      <c r="A281" s="106" t="s">
        <v>2474</v>
      </c>
      <c r="B281" s="105" t="s">
        <v>2491</v>
      </c>
      <c r="C281" s="105" t="s">
        <v>2477</v>
      </c>
      <c r="D281" s="149" t="s">
        <v>2492</v>
      </c>
      <c r="E281" s="105">
        <v>1</v>
      </c>
      <c r="F281" s="150" t="s">
        <v>2493</v>
      </c>
      <c r="G281" s="150" t="s">
        <v>2494</v>
      </c>
      <c r="H281" s="119">
        <f t="shared" si="12"/>
        <v>66.5</v>
      </c>
      <c r="I281" s="119"/>
      <c r="J281" s="151">
        <v>0</v>
      </c>
      <c r="K281" s="119">
        <f t="shared" si="13"/>
        <v>66.5</v>
      </c>
      <c r="L281" s="152">
        <f t="shared" si="14"/>
        <v>61.5</v>
      </c>
      <c r="M281" s="113"/>
    </row>
    <row r="282" spans="1:13" s="114" customFormat="1" x14ac:dyDescent="0.2">
      <c r="A282" s="106" t="s">
        <v>2474</v>
      </c>
      <c r="B282" s="105" t="s">
        <v>2495</v>
      </c>
      <c r="C282" s="105" t="s">
        <v>2477</v>
      </c>
      <c r="D282" s="149" t="s">
        <v>2496</v>
      </c>
      <c r="E282" s="105">
        <v>1</v>
      </c>
      <c r="F282" s="150" t="s">
        <v>2497</v>
      </c>
      <c r="G282" s="150" t="s">
        <v>2479</v>
      </c>
      <c r="H282" s="119">
        <f t="shared" si="12"/>
        <v>41.25</v>
      </c>
      <c r="I282" s="119"/>
      <c r="J282" s="151">
        <v>0</v>
      </c>
      <c r="K282" s="119">
        <f t="shared" si="13"/>
        <v>41.25</v>
      </c>
      <c r="L282" s="152">
        <f t="shared" si="14"/>
        <v>35.75</v>
      </c>
      <c r="M282" s="113"/>
    </row>
    <row r="283" spans="1:13" s="114" customFormat="1" x14ac:dyDescent="0.2">
      <c r="A283" s="106" t="s">
        <v>2474</v>
      </c>
      <c r="B283" s="105" t="s">
        <v>2498</v>
      </c>
      <c r="C283" s="105" t="s">
        <v>2477</v>
      </c>
      <c r="D283" s="149" t="s">
        <v>2499</v>
      </c>
      <c r="E283" s="105">
        <v>1</v>
      </c>
      <c r="F283" s="150" t="s">
        <v>2500</v>
      </c>
      <c r="G283" s="150" t="s">
        <v>2501</v>
      </c>
      <c r="H283" s="119">
        <f t="shared" si="12"/>
        <v>84.5</v>
      </c>
      <c r="I283" s="119"/>
      <c r="J283" s="151">
        <v>0</v>
      </c>
      <c r="K283" s="119">
        <f t="shared" si="13"/>
        <v>84.5</v>
      </c>
      <c r="L283" s="152">
        <f t="shared" si="14"/>
        <v>71.75</v>
      </c>
      <c r="M283" s="113"/>
    </row>
    <row r="284" spans="1:13" s="114" customFormat="1" x14ac:dyDescent="0.2">
      <c r="A284" s="106" t="s">
        <v>2474</v>
      </c>
      <c r="B284" s="105" t="s">
        <v>1854</v>
      </c>
      <c r="C284" s="105" t="s">
        <v>2502</v>
      </c>
      <c r="D284" s="149" t="s">
        <v>1855</v>
      </c>
      <c r="E284" s="105">
        <v>2</v>
      </c>
      <c r="F284" s="150" t="s">
        <v>1856</v>
      </c>
      <c r="G284" s="150" t="s">
        <v>1805</v>
      </c>
      <c r="H284" s="119">
        <f t="shared" si="12"/>
        <v>17.5</v>
      </c>
      <c r="I284" s="119"/>
      <c r="J284" s="151">
        <v>0</v>
      </c>
      <c r="K284" s="119">
        <f t="shared" si="13"/>
        <v>17.5</v>
      </c>
      <c r="L284" s="152">
        <f t="shared" si="14"/>
        <v>15.24</v>
      </c>
      <c r="M284" s="113"/>
    </row>
    <row r="285" spans="1:13" s="114" customFormat="1" x14ac:dyDescent="0.2">
      <c r="A285" s="106" t="s">
        <v>2474</v>
      </c>
      <c r="B285" s="105" t="s">
        <v>1802</v>
      </c>
      <c r="C285" s="105" t="s">
        <v>2502</v>
      </c>
      <c r="D285" s="149" t="s">
        <v>1803</v>
      </c>
      <c r="E285" s="105">
        <v>1</v>
      </c>
      <c r="F285" s="150" t="s">
        <v>1804</v>
      </c>
      <c r="G285" s="150" t="s">
        <v>1805</v>
      </c>
      <c r="H285" s="119">
        <f t="shared" si="12"/>
        <v>8.75</v>
      </c>
      <c r="I285" s="119"/>
      <c r="J285" s="151">
        <v>0</v>
      </c>
      <c r="K285" s="119">
        <f t="shared" si="13"/>
        <v>8.75</v>
      </c>
      <c r="L285" s="152">
        <f t="shared" si="14"/>
        <v>7.51</v>
      </c>
      <c r="M285" s="113"/>
    </row>
    <row r="286" spans="1:13" s="114" customFormat="1" x14ac:dyDescent="0.2">
      <c r="A286" s="106" t="s">
        <v>2474</v>
      </c>
      <c r="B286" s="105" t="s">
        <v>1888</v>
      </c>
      <c r="C286" s="105" t="s">
        <v>2502</v>
      </c>
      <c r="D286" s="149" t="s">
        <v>1890</v>
      </c>
      <c r="E286" s="105">
        <v>1</v>
      </c>
      <c r="F286" s="150" t="s">
        <v>1891</v>
      </c>
      <c r="G286" s="150" t="s">
        <v>1892</v>
      </c>
      <c r="H286" s="119">
        <f t="shared" si="12"/>
        <v>24</v>
      </c>
      <c r="I286" s="119"/>
      <c r="J286" s="151">
        <v>0</v>
      </c>
      <c r="K286" s="119">
        <f t="shared" si="13"/>
        <v>24</v>
      </c>
      <c r="L286" s="152">
        <f t="shared" si="14"/>
        <v>20.68</v>
      </c>
      <c r="M286" s="113"/>
    </row>
    <row r="287" spans="1:13" s="114" customFormat="1" x14ac:dyDescent="0.2">
      <c r="A287" s="106" t="s">
        <v>2474</v>
      </c>
      <c r="B287" s="105" t="s">
        <v>2438</v>
      </c>
      <c r="C287" s="105" t="s">
        <v>2502</v>
      </c>
      <c r="D287" s="149" t="s">
        <v>2440</v>
      </c>
      <c r="E287" s="105">
        <v>2</v>
      </c>
      <c r="F287" s="150" t="s">
        <v>1859</v>
      </c>
      <c r="G287" s="150" t="s">
        <v>1860</v>
      </c>
      <c r="H287" s="119">
        <f t="shared" si="12"/>
        <v>35</v>
      </c>
      <c r="I287" s="119"/>
      <c r="J287" s="151">
        <v>0</v>
      </c>
      <c r="K287" s="119">
        <f t="shared" si="13"/>
        <v>35</v>
      </c>
      <c r="L287" s="152">
        <f t="shared" si="14"/>
        <v>30.24</v>
      </c>
      <c r="M287" s="113"/>
    </row>
    <row r="288" spans="1:13" s="114" customFormat="1" x14ac:dyDescent="0.2">
      <c r="A288" s="106" t="s">
        <v>2474</v>
      </c>
      <c r="B288" s="105" t="s">
        <v>1793</v>
      </c>
      <c r="C288" s="105" t="s">
        <v>2502</v>
      </c>
      <c r="D288" s="149" t="s">
        <v>1795</v>
      </c>
      <c r="E288" s="105">
        <v>1</v>
      </c>
      <c r="F288" s="150" t="s">
        <v>1796</v>
      </c>
      <c r="G288" s="150" t="s">
        <v>1797</v>
      </c>
      <c r="H288" s="119">
        <f t="shared" si="12"/>
        <v>14.75</v>
      </c>
      <c r="I288" s="119"/>
      <c r="J288" s="151">
        <v>0</v>
      </c>
      <c r="K288" s="119">
        <f t="shared" si="13"/>
        <v>14.75</v>
      </c>
      <c r="L288" s="152">
        <f t="shared" si="14"/>
        <v>12.77</v>
      </c>
      <c r="M288" s="113"/>
    </row>
    <row r="289" spans="1:13" s="114" customFormat="1" x14ac:dyDescent="0.2">
      <c r="A289" s="106" t="s">
        <v>2474</v>
      </c>
      <c r="B289" s="105" t="s">
        <v>2503</v>
      </c>
      <c r="C289" s="105" t="s">
        <v>2504</v>
      </c>
      <c r="D289" s="149" t="s">
        <v>2505</v>
      </c>
      <c r="E289" s="105">
        <v>5</v>
      </c>
      <c r="F289" s="150" t="s">
        <v>2067</v>
      </c>
      <c r="G289" s="150" t="s">
        <v>2506</v>
      </c>
      <c r="H289" s="119">
        <f t="shared" si="12"/>
        <v>250</v>
      </c>
      <c r="I289" s="119"/>
      <c r="J289" s="151">
        <v>0</v>
      </c>
      <c r="K289" s="119">
        <f t="shared" si="13"/>
        <v>250</v>
      </c>
      <c r="L289" s="152">
        <f t="shared" si="14"/>
        <v>213.75</v>
      </c>
      <c r="M289" s="113"/>
    </row>
    <row r="290" spans="1:13" s="114" customFormat="1" x14ac:dyDescent="0.2">
      <c r="A290" s="153" t="s">
        <v>2474</v>
      </c>
      <c r="B290" s="154" t="s">
        <v>2507</v>
      </c>
      <c r="C290" s="154" t="s">
        <v>2504</v>
      </c>
      <c r="D290" s="155" t="s">
        <v>2508</v>
      </c>
      <c r="E290" s="154">
        <v>10</v>
      </c>
      <c r="F290" s="146"/>
      <c r="G290" s="146" t="s">
        <v>2509</v>
      </c>
      <c r="H290" s="147">
        <f t="shared" si="12"/>
        <v>560</v>
      </c>
      <c r="I290" s="147"/>
      <c r="J290" s="156">
        <v>0</v>
      </c>
      <c r="K290" s="147">
        <f t="shared" si="13"/>
        <v>560</v>
      </c>
      <c r="L290" s="148">
        <f t="shared" si="14"/>
        <v>0</v>
      </c>
      <c r="M290" s="113"/>
    </row>
    <row r="291" spans="1:13" s="114" customFormat="1" x14ac:dyDescent="0.2">
      <c r="A291" s="106" t="s">
        <v>2474</v>
      </c>
      <c r="B291" s="105" t="s">
        <v>2072</v>
      </c>
      <c r="C291" s="105" t="s">
        <v>2510</v>
      </c>
      <c r="D291" s="149" t="s">
        <v>2074</v>
      </c>
      <c r="E291" s="105">
        <v>2</v>
      </c>
      <c r="F291" s="150" t="s">
        <v>2075</v>
      </c>
      <c r="G291" s="150" t="s">
        <v>2076</v>
      </c>
      <c r="H291" s="119">
        <f t="shared" si="12"/>
        <v>21</v>
      </c>
      <c r="I291" s="119"/>
      <c r="J291" s="151">
        <v>0</v>
      </c>
      <c r="K291" s="119">
        <f t="shared" si="13"/>
        <v>21</v>
      </c>
      <c r="L291" s="152">
        <f t="shared" si="14"/>
        <v>18.2</v>
      </c>
      <c r="M291" s="113"/>
    </row>
    <row r="292" spans="1:13" s="114" customFormat="1" x14ac:dyDescent="0.2">
      <c r="A292" s="106" t="s">
        <v>2474</v>
      </c>
      <c r="B292" s="105" t="s">
        <v>1854</v>
      </c>
      <c r="C292" s="105" t="s">
        <v>2511</v>
      </c>
      <c r="D292" s="149" t="s">
        <v>1855</v>
      </c>
      <c r="E292" s="105">
        <v>1</v>
      </c>
      <c r="F292" s="150" t="s">
        <v>1856</v>
      </c>
      <c r="G292" s="150" t="s">
        <v>1805</v>
      </c>
      <c r="H292" s="119">
        <f t="shared" si="12"/>
        <v>8.75</v>
      </c>
      <c r="I292" s="119"/>
      <c r="J292" s="151">
        <v>0</v>
      </c>
      <c r="K292" s="119">
        <f t="shared" si="13"/>
        <v>8.75</v>
      </c>
      <c r="L292" s="152">
        <f t="shared" si="14"/>
        <v>7.62</v>
      </c>
      <c r="M292" s="113"/>
    </row>
    <row r="293" spans="1:13" s="114" customFormat="1" x14ac:dyDescent="0.2">
      <c r="A293" s="106" t="s">
        <v>2474</v>
      </c>
      <c r="B293" s="105" t="s">
        <v>2512</v>
      </c>
      <c r="C293" s="105" t="s">
        <v>2513</v>
      </c>
      <c r="D293" s="149" t="s">
        <v>2514</v>
      </c>
      <c r="E293" s="105">
        <v>1</v>
      </c>
      <c r="F293" s="150" t="s">
        <v>1780</v>
      </c>
      <c r="G293" s="150" t="s">
        <v>2515</v>
      </c>
      <c r="H293" s="119">
        <f t="shared" si="12"/>
        <v>67</v>
      </c>
      <c r="I293" s="119"/>
      <c r="J293" s="151">
        <v>0</v>
      </c>
      <c r="K293" s="119">
        <f t="shared" si="13"/>
        <v>67</v>
      </c>
      <c r="L293" s="152">
        <f t="shared" si="14"/>
        <v>58</v>
      </c>
      <c r="M293" s="113"/>
    </row>
    <row r="294" spans="1:13" s="114" customFormat="1" x14ac:dyDescent="0.2">
      <c r="A294" s="106" t="s">
        <v>2474</v>
      </c>
      <c r="B294" s="105" t="s">
        <v>1920</v>
      </c>
      <c r="C294" s="105" t="s">
        <v>2513</v>
      </c>
      <c r="D294" s="149" t="s">
        <v>1921</v>
      </c>
      <c r="E294" s="105">
        <v>1</v>
      </c>
      <c r="F294" s="150" t="s">
        <v>1922</v>
      </c>
      <c r="G294" s="150" t="s">
        <v>1923</v>
      </c>
      <c r="H294" s="119">
        <f t="shared" si="12"/>
        <v>15.5</v>
      </c>
      <c r="I294" s="119"/>
      <c r="J294" s="151">
        <v>0</v>
      </c>
      <c r="K294" s="119">
        <f t="shared" si="13"/>
        <v>15.5</v>
      </c>
      <c r="L294" s="152">
        <f t="shared" si="14"/>
        <v>13.32</v>
      </c>
      <c r="M294" s="113"/>
    </row>
    <row r="295" spans="1:13" s="114" customFormat="1" x14ac:dyDescent="0.2">
      <c r="A295" s="106" t="s">
        <v>2474</v>
      </c>
      <c r="B295" s="105" t="s">
        <v>1793</v>
      </c>
      <c r="C295" s="105" t="s">
        <v>2513</v>
      </c>
      <c r="D295" s="149" t="s">
        <v>1795</v>
      </c>
      <c r="E295" s="105">
        <v>1</v>
      </c>
      <c r="F295" s="150" t="s">
        <v>1796</v>
      </c>
      <c r="G295" s="150" t="s">
        <v>1797</v>
      </c>
      <c r="H295" s="119">
        <f t="shared" si="12"/>
        <v>14.75</v>
      </c>
      <c r="I295" s="119"/>
      <c r="J295" s="151">
        <v>0</v>
      </c>
      <c r="K295" s="119">
        <f t="shared" si="13"/>
        <v>14.75</v>
      </c>
      <c r="L295" s="152">
        <f t="shared" si="14"/>
        <v>12.77</v>
      </c>
      <c r="M295" s="113"/>
    </row>
    <row r="296" spans="1:13" s="114" customFormat="1" x14ac:dyDescent="0.2">
      <c r="A296" s="106" t="s">
        <v>2474</v>
      </c>
      <c r="B296" s="105" t="s">
        <v>2516</v>
      </c>
      <c r="C296" s="105" t="s">
        <v>2517</v>
      </c>
      <c r="D296" s="149" t="s">
        <v>2518</v>
      </c>
      <c r="E296" s="105">
        <v>1</v>
      </c>
      <c r="F296" s="150" t="s">
        <v>2519</v>
      </c>
      <c r="G296" s="150" t="s">
        <v>2520</v>
      </c>
      <c r="H296" s="119">
        <f t="shared" si="12"/>
        <v>81.75</v>
      </c>
      <c r="I296" s="119"/>
      <c r="J296" s="151">
        <v>0</v>
      </c>
      <c r="K296" s="119">
        <f t="shared" si="13"/>
        <v>81.75</v>
      </c>
      <c r="L296" s="152">
        <f t="shared" si="14"/>
        <v>71.06</v>
      </c>
      <c r="M296" s="113"/>
    </row>
    <row r="297" spans="1:13" s="114" customFormat="1" x14ac:dyDescent="0.2">
      <c r="A297" s="106" t="s">
        <v>2474</v>
      </c>
      <c r="B297" s="105" t="s">
        <v>1944</v>
      </c>
      <c r="C297" s="105" t="s">
        <v>2517</v>
      </c>
      <c r="D297" s="149" t="s">
        <v>1946</v>
      </c>
      <c r="E297" s="105">
        <v>1</v>
      </c>
      <c r="F297" s="150" t="s">
        <v>1947</v>
      </c>
      <c r="G297" s="150" t="s">
        <v>1948</v>
      </c>
      <c r="H297" s="119">
        <f t="shared" si="12"/>
        <v>16.75</v>
      </c>
      <c r="I297" s="119"/>
      <c r="J297" s="151">
        <v>0</v>
      </c>
      <c r="K297" s="119">
        <f t="shared" si="13"/>
        <v>16.75</v>
      </c>
      <c r="L297" s="152">
        <f t="shared" si="14"/>
        <v>14.38</v>
      </c>
      <c r="M297" s="113"/>
    </row>
    <row r="298" spans="1:13" s="114" customFormat="1" x14ac:dyDescent="0.2">
      <c r="A298" s="106" t="s">
        <v>2474</v>
      </c>
      <c r="B298" s="105" t="s">
        <v>2245</v>
      </c>
      <c r="C298" s="105" t="s">
        <v>2517</v>
      </c>
      <c r="D298" s="149" t="s">
        <v>2246</v>
      </c>
      <c r="E298" s="105">
        <v>1</v>
      </c>
      <c r="F298" s="150" t="s">
        <v>2247</v>
      </c>
      <c r="G298" s="150" t="s">
        <v>2248</v>
      </c>
      <c r="H298" s="119">
        <f t="shared" si="12"/>
        <v>5.5</v>
      </c>
      <c r="I298" s="119"/>
      <c r="J298" s="151">
        <v>0</v>
      </c>
      <c r="K298" s="119">
        <f t="shared" si="13"/>
        <v>5.5</v>
      </c>
      <c r="L298" s="152">
        <f t="shared" si="14"/>
        <v>4.74</v>
      </c>
      <c r="M298" s="113"/>
    </row>
    <row r="299" spans="1:13" s="114" customFormat="1" x14ac:dyDescent="0.2">
      <c r="A299" s="106" t="s">
        <v>2474</v>
      </c>
      <c r="B299" s="105" t="s">
        <v>2521</v>
      </c>
      <c r="C299" s="105" t="s">
        <v>2517</v>
      </c>
      <c r="D299" s="149" t="s">
        <v>2522</v>
      </c>
      <c r="E299" s="105">
        <v>1</v>
      </c>
      <c r="F299" s="150" t="s">
        <v>2523</v>
      </c>
      <c r="G299" s="150" t="s">
        <v>1939</v>
      </c>
      <c r="H299" s="119">
        <f t="shared" si="12"/>
        <v>7.25</v>
      </c>
      <c r="I299" s="119"/>
      <c r="J299" s="151">
        <v>0</v>
      </c>
      <c r="K299" s="119">
        <f t="shared" si="13"/>
        <v>7.25</v>
      </c>
      <c r="L299" s="152">
        <f t="shared" si="14"/>
        <v>6.02</v>
      </c>
      <c r="M299" s="113"/>
    </row>
    <row r="300" spans="1:13" s="114" customFormat="1" x14ac:dyDescent="0.2">
      <c r="A300" s="106" t="s">
        <v>2474</v>
      </c>
      <c r="B300" s="105" t="s">
        <v>1793</v>
      </c>
      <c r="C300" s="105" t="s">
        <v>2524</v>
      </c>
      <c r="D300" s="149" t="s">
        <v>1795</v>
      </c>
      <c r="E300" s="105">
        <v>1</v>
      </c>
      <c r="F300" s="150" t="s">
        <v>1796</v>
      </c>
      <c r="G300" s="150" t="s">
        <v>1797</v>
      </c>
      <c r="H300" s="119">
        <f t="shared" si="12"/>
        <v>14.75</v>
      </c>
      <c r="I300" s="119"/>
      <c r="J300" s="151">
        <v>0</v>
      </c>
      <c r="K300" s="119">
        <f t="shared" si="13"/>
        <v>14.75</v>
      </c>
      <c r="L300" s="152">
        <f t="shared" si="14"/>
        <v>12.77</v>
      </c>
      <c r="M300" s="113"/>
    </row>
    <row r="301" spans="1:13" s="114" customFormat="1" x14ac:dyDescent="0.2">
      <c r="A301" s="106" t="s">
        <v>2474</v>
      </c>
      <c r="B301" s="105" t="s">
        <v>1924</v>
      </c>
      <c r="C301" s="105" t="s">
        <v>2525</v>
      </c>
      <c r="D301" s="149" t="s">
        <v>1926</v>
      </c>
      <c r="E301" s="105">
        <v>1</v>
      </c>
      <c r="F301" s="150" t="s">
        <v>1927</v>
      </c>
      <c r="G301" s="150" t="s">
        <v>1928</v>
      </c>
      <c r="H301" s="119">
        <f t="shared" si="12"/>
        <v>12.25</v>
      </c>
      <c r="I301" s="119"/>
      <c r="J301" s="151">
        <v>0</v>
      </c>
      <c r="K301" s="119">
        <f t="shared" si="13"/>
        <v>12.25</v>
      </c>
      <c r="L301" s="152">
        <f t="shared" si="14"/>
        <v>10.64</v>
      </c>
      <c r="M301" s="113"/>
    </row>
    <row r="302" spans="1:13" s="114" customFormat="1" x14ac:dyDescent="0.2">
      <c r="A302" s="106" t="s">
        <v>2474</v>
      </c>
      <c r="B302" s="105" t="s">
        <v>2526</v>
      </c>
      <c r="C302" s="105" t="s">
        <v>2527</v>
      </c>
      <c r="D302" s="149" t="s">
        <v>2528</v>
      </c>
      <c r="E302" s="105">
        <v>1</v>
      </c>
      <c r="F302" s="150" t="s">
        <v>1975</v>
      </c>
      <c r="G302" s="150" t="s">
        <v>1976</v>
      </c>
      <c r="H302" s="119">
        <f t="shared" si="12"/>
        <v>23.75</v>
      </c>
      <c r="I302" s="119"/>
      <c r="J302" s="151">
        <v>0</v>
      </c>
      <c r="K302" s="119">
        <f t="shared" si="13"/>
        <v>23.75</v>
      </c>
      <c r="L302" s="152">
        <f t="shared" si="14"/>
        <v>20.55</v>
      </c>
      <c r="M302" s="113"/>
    </row>
    <row r="303" spans="1:13" s="114" customFormat="1" x14ac:dyDescent="0.2">
      <c r="A303" s="106" t="s">
        <v>2474</v>
      </c>
      <c r="B303" s="105" t="s">
        <v>2059</v>
      </c>
      <c r="C303" s="105" t="s">
        <v>2529</v>
      </c>
      <c r="D303" s="149" t="s">
        <v>2061</v>
      </c>
      <c r="E303" s="105">
        <v>1</v>
      </c>
      <c r="F303" s="150" t="s">
        <v>1923</v>
      </c>
      <c r="G303" s="150" t="s">
        <v>1809</v>
      </c>
      <c r="H303" s="119">
        <f t="shared" si="12"/>
        <v>18</v>
      </c>
      <c r="I303" s="119"/>
      <c r="J303" s="151">
        <v>0</v>
      </c>
      <c r="K303" s="119">
        <f t="shared" si="13"/>
        <v>18</v>
      </c>
      <c r="L303" s="152">
        <f t="shared" si="14"/>
        <v>15.5</v>
      </c>
      <c r="M303" s="113"/>
    </row>
    <row r="304" spans="1:13" s="114" customFormat="1" x14ac:dyDescent="0.2">
      <c r="A304" s="106" t="s">
        <v>2474</v>
      </c>
      <c r="B304" s="105" t="s">
        <v>2530</v>
      </c>
      <c r="C304" s="105" t="s">
        <v>2531</v>
      </c>
      <c r="D304" s="149" t="s">
        <v>2532</v>
      </c>
      <c r="E304" s="105">
        <v>1</v>
      </c>
      <c r="F304" s="150" t="s">
        <v>1816</v>
      </c>
      <c r="G304" s="150" t="s">
        <v>1817</v>
      </c>
      <c r="H304" s="119">
        <f t="shared" si="12"/>
        <v>26</v>
      </c>
      <c r="I304" s="119"/>
      <c r="J304" s="151">
        <v>0</v>
      </c>
      <c r="K304" s="119">
        <f t="shared" si="13"/>
        <v>26</v>
      </c>
      <c r="L304" s="152">
        <f t="shared" si="14"/>
        <v>22.59</v>
      </c>
      <c r="M304" s="113"/>
    </row>
    <row r="305" spans="1:13" s="114" customFormat="1" x14ac:dyDescent="0.2">
      <c r="A305" s="106" t="s">
        <v>2474</v>
      </c>
      <c r="B305" s="105" t="s">
        <v>1814</v>
      </c>
      <c r="C305" s="105" t="s">
        <v>2531</v>
      </c>
      <c r="D305" s="149" t="s">
        <v>1815</v>
      </c>
      <c r="E305" s="105">
        <v>1</v>
      </c>
      <c r="F305" s="150" t="s">
        <v>1816</v>
      </c>
      <c r="G305" s="150" t="s">
        <v>1817</v>
      </c>
      <c r="H305" s="119">
        <f t="shared" si="12"/>
        <v>26</v>
      </c>
      <c r="I305" s="119"/>
      <c r="J305" s="151">
        <v>0</v>
      </c>
      <c r="K305" s="119">
        <f t="shared" si="13"/>
        <v>26</v>
      </c>
      <c r="L305" s="152">
        <f t="shared" si="14"/>
        <v>22.59</v>
      </c>
      <c r="M305" s="113"/>
    </row>
    <row r="306" spans="1:13" s="114" customFormat="1" x14ac:dyDescent="0.2">
      <c r="A306" s="106" t="s">
        <v>2474</v>
      </c>
      <c r="B306" s="105" t="s">
        <v>2533</v>
      </c>
      <c r="C306" s="105" t="s">
        <v>2531</v>
      </c>
      <c r="D306" s="149" t="s">
        <v>2534</v>
      </c>
      <c r="E306" s="105">
        <v>2</v>
      </c>
      <c r="F306" s="150" t="s">
        <v>2535</v>
      </c>
      <c r="G306" s="150" t="s">
        <v>1957</v>
      </c>
      <c r="H306" s="119">
        <f t="shared" si="12"/>
        <v>54</v>
      </c>
      <c r="I306" s="119"/>
      <c r="J306" s="151">
        <v>0</v>
      </c>
      <c r="K306" s="119">
        <f t="shared" si="13"/>
        <v>54</v>
      </c>
      <c r="L306" s="152">
        <f t="shared" si="14"/>
        <v>44.3</v>
      </c>
      <c r="M306" s="113"/>
    </row>
    <row r="307" spans="1:13" s="114" customFormat="1" x14ac:dyDescent="0.2">
      <c r="A307" s="106" t="s">
        <v>2474</v>
      </c>
      <c r="B307" s="105" t="s">
        <v>2082</v>
      </c>
      <c r="C307" s="105" t="s">
        <v>2531</v>
      </c>
      <c r="D307" s="149" t="s">
        <v>2083</v>
      </c>
      <c r="E307" s="105">
        <v>2</v>
      </c>
      <c r="F307" s="150" t="s">
        <v>2084</v>
      </c>
      <c r="G307" s="150" t="s">
        <v>1928</v>
      </c>
      <c r="H307" s="119">
        <f t="shared" si="12"/>
        <v>24.5</v>
      </c>
      <c r="I307" s="119"/>
      <c r="J307" s="151">
        <v>0</v>
      </c>
      <c r="K307" s="119">
        <f t="shared" si="13"/>
        <v>24.5</v>
      </c>
      <c r="L307" s="152">
        <f t="shared" si="14"/>
        <v>20.399999999999999</v>
      </c>
      <c r="M307" s="113"/>
    </row>
    <row r="308" spans="1:13" s="114" customFormat="1" x14ac:dyDescent="0.2">
      <c r="A308" s="106" t="s">
        <v>2474</v>
      </c>
      <c r="B308" s="105" t="s">
        <v>1940</v>
      </c>
      <c r="C308" s="105" t="s">
        <v>2531</v>
      </c>
      <c r="D308" s="149" t="s">
        <v>1941</v>
      </c>
      <c r="E308" s="105">
        <v>6</v>
      </c>
      <c r="F308" s="150" t="s">
        <v>1942</v>
      </c>
      <c r="G308" s="150" t="s">
        <v>1943</v>
      </c>
      <c r="H308" s="119">
        <f t="shared" si="12"/>
        <v>42</v>
      </c>
      <c r="I308" s="119"/>
      <c r="J308" s="151">
        <v>0</v>
      </c>
      <c r="K308" s="119">
        <f t="shared" si="13"/>
        <v>42</v>
      </c>
      <c r="L308" s="152">
        <f t="shared" si="14"/>
        <v>36</v>
      </c>
      <c r="M308" s="113"/>
    </row>
    <row r="309" spans="1:13" s="114" customFormat="1" x14ac:dyDescent="0.2">
      <c r="A309" s="106" t="s">
        <v>2474</v>
      </c>
      <c r="B309" s="105" t="s">
        <v>2536</v>
      </c>
      <c r="C309" s="105" t="s">
        <v>2531</v>
      </c>
      <c r="D309" s="149" t="s">
        <v>2537</v>
      </c>
      <c r="E309" s="105">
        <v>1</v>
      </c>
      <c r="F309" s="150" t="s">
        <v>2538</v>
      </c>
      <c r="G309" s="150" t="s">
        <v>2054</v>
      </c>
      <c r="H309" s="119">
        <f t="shared" si="12"/>
        <v>73.75</v>
      </c>
      <c r="I309" s="119"/>
      <c r="J309" s="151">
        <v>0</v>
      </c>
      <c r="K309" s="119">
        <f t="shared" si="13"/>
        <v>73.75</v>
      </c>
      <c r="L309" s="152">
        <f t="shared" si="14"/>
        <v>63.95</v>
      </c>
      <c r="M309" s="113"/>
    </row>
    <row r="310" spans="1:13" s="114" customFormat="1" x14ac:dyDescent="0.2">
      <c r="A310" s="106" t="s">
        <v>2474</v>
      </c>
      <c r="B310" s="105" t="s">
        <v>2539</v>
      </c>
      <c r="C310" s="105" t="s">
        <v>2531</v>
      </c>
      <c r="D310" s="149" t="s">
        <v>2540</v>
      </c>
      <c r="E310" s="105">
        <v>2</v>
      </c>
      <c r="F310" s="150" t="s">
        <v>2541</v>
      </c>
      <c r="G310" s="150" t="s">
        <v>2542</v>
      </c>
      <c r="H310" s="119">
        <f t="shared" si="12"/>
        <v>57.5</v>
      </c>
      <c r="I310" s="119"/>
      <c r="J310" s="151">
        <v>0</v>
      </c>
      <c r="K310" s="119">
        <f t="shared" si="13"/>
        <v>57.5</v>
      </c>
      <c r="L310" s="152">
        <f t="shared" si="14"/>
        <v>49.72</v>
      </c>
      <c r="M310" s="113"/>
    </row>
    <row r="311" spans="1:13" s="114" customFormat="1" x14ac:dyDescent="0.2">
      <c r="A311" s="153" t="s">
        <v>2474</v>
      </c>
      <c r="B311" s="154" t="s">
        <v>1902</v>
      </c>
      <c r="C311" s="154" t="s">
        <v>2543</v>
      </c>
      <c r="D311" s="155" t="s">
        <v>1903</v>
      </c>
      <c r="E311" s="154">
        <v>6</v>
      </c>
      <c r="F311" s="146"/>
      <c r="G311" s="146" t="s">
        <v>1904</v>
      </c>
      <c r="H311" s="147">
        <f t="shared" si="12"/>
        <v>115.5</v>
      </c>
      <c r="I311" s="147"/>
      <c r="J311" s="156">
        <v>0</v>
      </c>
      <c r="K311" s="147">
        <f t="shared" si="13"/>
        <v>115.5</v>
      </c>
      <c r="L311" s="148">
        <f t="shared" si="14"/>
        <v>0</v>
      </c>
      <c r="M311" s="113"/>
    </row>
    <row r="312" spans="1:13" s="114" customFormat="1" x14ac:dyDescent="0.2">
      <c r="A312" s="106" t="s">
        <v>2474</v>
      </c>
      <c r="B312" s="105" t="s">
        <v>2367</v>
      </c>
      <c r="C312" s="105" t="s">
        <v>2544</v>
      </c>
      <c r="D312" s="149" t="s">
        <v>2369</v>
      </c>
      <c r="E312" s="105">
        <v>5</v>
      </c>
      <c r="F312" s="150" t="s">
        <v>2370</v>
      </c>
      <c r="G312" s="150" t="s">
        <v>1853</v>
      </c>
      <c r="H312" s="119">
        <f t="shared" si="12"/>
        <v>37.5</v>
      </c>
      <c r="I312" s="119"/>
      <c r="J312" s="151">
        <v>0</v>
      </c>
      <c r="K312" s="119">
        <f t="shared" si="13"/>
        <v>37.5</v>
      </c>
      <c r="L312" s="152">
        <f t="shared" si="14"/>
        <v>31.9</v>
      </c>
      <c r="M312" s="113"/>
    </row>
    <row r="313" spans="1:13" s="114" customFormat="1" x14ac:dyDescent="0.2">
      <c r="A313" s="106" t="s">
        <v>2474</v>
      </c>
      <c r="B313" s="105" t="s">
        <v>2545</v>
      </c>
      <c r="C313" s="105" t="s">
        <v>2544</v>
      </c>
      <c r="D313" s="149" t="s">
        <v>2546</v>
      </c>
      <c r="E313" s="105">
        <v>2</v>
      </c>
      <c r="F313" s="150" t="s">
        <v>2547</v>
      </c>
      <c r="G313" s="150" t="s">
        <v>1943</v>
      </c>
      <c r="H313" s="119">
        <f t="shared" si="12"/>
        <v>14</v>
      </c>
      <c r="I313" s="119"/>
      <c r="J313" s="151">
        <v>0</v>
      </c>
      <c r="K313" s="119">
        <f t="shared" si="13"/>
        <v>14</v>
      </c>
      <c r="L313" s="152">
        <f t="shared" si="14"/>
        <v>12.24</v>
      </c>
      <c r="M313" s="113"/>
    </row>
    <row r="314" spans="1:13" s="114" customFormat="1" x14ac:dyDescent="0.2">
      <c r="A314" s="106" t="s">
        <v>2474</v>
      </c>
      <c r="B314" s="105" t="s">
        <v>2110</v>
      </c>
      <c r="C314" s="105" t="s">
        <v>2548</v>
      </c>
      <c r="D314" s="149" t="s">
        <v>2112</v>
      </c>
      <c r="E314" s="105">
        <v>1</v>
      </c>
      <c r="F314" s="150" t="s">
        <v>2113</v>
      </c>
      <c r="G314" s="150" t="s">
        <v>2114</v>
      </c>
      <c r="H314" s="119">
        <f t="shared" si="12"/>
        <v>30.25</v>
      </c>
      <c r="I314" s="119"/>
      <c r="J314" s="151">
        <v>0</v>
      </c>
      <c r="K314" s="119">
        <f t="shared" si="13"/>
        <v>30.25</v>
      </c>
      <c r="L314" s="152">
        <f t="shared" si="14"/>
        <v>23.13</v>
      </c>
      <c r="M314" s="113"/>
    </row>
    <row r="315" spans="1:13" s="114" customFormat="1" x14ac:dyDescent="0.2">
      <c r="A315" s="106" t="s">
        <v>2474</v>
      </c>
      <c r="B315" s="105" t="s">
        <v>1793</v>
      </c>
      <c r="C315" s="105" t="s">
        <v>2549</v>
      </c>
      <c r="D315" s="149" t="s">
        <v>1795</v>
      </c>
      <c r="E315" s="105">
        <v>1</v>
      </c>
      <c r="F315" s="150" t="s">
        <v>1796</v>
      </c>
      <c r="G315" s="150" t="s">
        <v>1797</v>
      </c>
      <c r="H315" s="119">
        <f t="shared" si="12"/>
        <v>14.75</v>
      </c>
      <c r="I315" s="119"/>
      <c r="J315" s="151">
        <v>0</v>
      </c>
      <c r="K315" s="119">
        <f t="shared" si="13"/>
        <v>14.75</v>
      </c>
      <c r="L315" s="152">
        <f t="shared" si="14"/>
        <v>12.77</v>
      </c>
      <c r="M315" s="113"/>
    </row>
    <row r="316" spans="1:13" s="114" customFormat="1" x14ac:dyDescent="0.2">
      <c r="A316" s="106" t="s">
        <v>2474</v>
      </c>
      <c r="B316" s="105" t="s">
        <v>2550</v>
      </c>
      <c r="C316" s="105" t="s">
        <v>2551</v>
      </c>
      <c r="D316" s="149" t="s">
        <v>2552</v>
      </c>
      <c r="E316" s="105">
        <v>6</v>
      </c>
      <c r="F316" s="150" t="s">
        <v>2370</v>
      </c>
      <c r="G316" s="150" t="s">
        <v>1853</v>
      </c>
      <c r="H316" s="119">
        <f t="shared" si="12"/>
        <v>45</v>
      </c>
      <c r="I316" s="119"/>
      <c r="J316" s="151">
        <v>0</v>
      </c>
      <c r="K316" s="119">
        <f t="shared" si="13"/>
        <v>45</v>
      </c>
      <c r="L316" s="152">
        <f t="shared" si="14"/>
        <v>38.28</v>
      </c>
      <c r="M316" s="113"/>
    </row>
    <row r="317" spans="1:13" s="114" customFormat="1" x14ac:dyDescent="0.2">
      <c r="A317" s="106" t="s">
        <v>2474</v>
      </c>
      <c r="B317" s="105" t="s">
        <v>2553</v>
      </c>
      <c r="C317" s="105" t="s">
        <v>2551</v>
      </c>
      <c r="D317" s="149" t="s">
        <v>2554</v>
      </c>
      <c r="E317" s="105">
        <v>1</v>
      </c>
      <c r="F317" s="150" t="s">
        <v>2555</v>
      </c>
      <c r="G317" s="150" t="s">
        <v>2556</v>
      </c>
      <c r="H317" s="119">
        <f t="shared" si="12"/>
        <v>62.25</v>
      </c>
      <c r="I317" s="119"/>
      <c r="J317" s="151">
        <v>0</v>
      </c>
      <c r="K317" s="119">
        <f t="shared" si="13"/>
        <v>62.25</v>
      </c>
      <c r="L317" s="152">
        <f t="shared" si="14"/>
        <v>54</v>
      </c>
      <c r="M317" s="113"/>
    </row>
    <row r="318" spans="1:13" s="114" customFormat="1" x14ac:dyDescent="0.2">
      <c r="A318" s="106" t="s">
        <v>2474</v>
      </c>
      <c r="B318" s="105" t="s">
        <v>1793</v>
      </c>
      <c r="C318" s="105" t="s">
        <v>2557</v>
      </c>
      <c r="D318" s="149" t="s">
        <v>1795</v>
      </c>
      <c r="E318" s="105">
        <v>1</v>
      </c>
      <c r="F318" s="150" t="s">
        <v>1796</v>
      </c>
      <c r="G318" s="150" t="s">
        <v>1797</v>
      </c>
      <c r="H318" s="119">
        <f t="shared" si="12"/>
        <v>14.75</v>
      </c>
      <c r="I318" s="119"/>
      <c r="J318" s="151">
        <v>0</v>
      </c>
      <c r="K318" s="119">
        <f t="shared" si="13"/>
        <v>14.75</v>
      </c>
      <c r="L318" s="152">
        <f t="shared" si="14"/>
        <v>12.77</v>
      </c>
      <c r="M318" s="113"/>
    </row>
    <row r="319" spans="1:13" s="114" customFormat="1" x14ac:dyDescent="0.2">
      <c r="A319" s="106" t="s">
        <v>2474</v>
      </c>
      <c r="B319" s="105" t="s">
        <v>1924</v>
      </c>
      <c r="C319" s="105" t="s">
        <v>2558</v>
      </c>
      <c r="D319" s="149" t="s">
        <v>1926</v>
      </c>
      <c r="E319" s="105">
        <v>4</v>
      </c>
      <c r="F319" s="150" t="s">
        <v>1927</v>
      </c>
      <c r="G319" s="150" t="s">
        <v>1928</v>
      </c>
      <c r="H319" s="119">
        <f t="shared" si="12"/>
        <v>49</v>
      </c>
      <c r="I319" s="119"/>
      <c r="J319" s="151">
        <v>0</v>
      </c>
      <c r="K319" s="119">
        <f t="shared" si="13"/>
        <v>49</v>
      </c>
      <c r="L319" s="152">
        <f t="shared" si="14"/>
        <v>42.56</v>
      </c>
      <c r="M319" s="113"/>
    </row>
    <row r="320" spans="1:13" s="114" customFormat="1" x14ac:dyDescent="0.2">
      <c r="A320" s="106" t="s">
        <v>2474</v>
      </c>
      <c r="B320" s="105" t="s">
        <v>2559</v>
      </c>
      <c r="C320" s="105" t="s">
        <v>2560</v>
      </c>
      <c r="D320" s="149" t="s">
        <v>2561</v>
      </c>
      <c r="E320" s="105">
        <v>1</v>
      </c>
      <c r="F320" s="150" t="s">
        <v>2562</v>
      </c>
      <c r="G320" s="150" t="s">
        <v>2563</v>
      </c>
      <c r="H320" s="119">
        <f t="shared" si="12"/>
        <v>46.25</v>
      </c>
      <c r="I320" s="119"/>
      <c r="J320" s="151">
        <v>0</v>
      </c>
      <c r="K320" s="119">
        <f t="shared" si="13"/>
        <v>46.25</v>
      </c>
      <c r="L320" s="152">
        <f t="shared" si="14"/>
        <v>40.06</v>
      </c>
      <c r="M320" s="113"/>
    </row>
    <row r="321" spans="1:13" s="114" customFormat="1" x14ac:dyDescent="0.2">
      <c r="A321" s="106" t="s">
        <v>2474</v>
      </c>
      <c r="B321" s="105" t="s">
        <v>2377</v>
      </c>
      <c r="C321" s="105" t="s">
        <v>2560</v>
      </c>
      <c r="D321" s="149" t="s">
        <v>2378</v>
      </c>
      <c r="E321" s="105">
        <v>1</v>
      </c>
      <c r="F321" s="150" t="s">
        <v>1800</v>
      </c>
      <c r="G321" s="150" t="s">
        <v>1801</v>
      </c>
      <c r="H321" s="119">
        <f t="shared" si="12"/>
        <v>9.5</v>
      </c>
      <c r="I321" s="119"/>
      <c r="J321" s="151">
        <v>0</v>
      </c>
      <c r="K321" s="119">
        <f t="shared" si="13"/>
        <v>9.5</v>
      </c>
      <c r="L321" s="152">
        <f t="shared" si="14"/>
        <v>8.1999999999999993</v>
      </c>
      <c r="M321" s="113"/>
    </row>
    <row r="322" spans="1:13" s="114" customFormat="1" x14ac:dyDescent="0.2">
      <c r="A322" s="106" t="s">
        <v>2474</v>
      </c>
      <c r="B322" s="105" t="s">
        <v>2059</v>
      </c>
      <c r="C322" s="105" t="s">
        <v>2564</v>
      </c>
      <c r="D322" s="149" t="s">
        <v>2061</v>
      </c>
      <c r="E322" s="105">
        <v>1</v>
      </c>
      <c r="F322" s="150" t="s">
        <v>1923</v>
      </c>
      <c r="G322" s="150" t="s">
        <v>1809</v>
      </c>
      <c r="H322" s="119">
        <f t="shared" si="12"/>
        <v>18</v>
      </c>
      <c r="I322" s="119"/>
      <c r="J322" s="151">
        <v>0</v>
      </c>
      <c r="K322" s="119">
        <f t="shared" si="13"/>
        <v>18</v>
      </c>
      <c r="L322" s="152">
        <f t="shared" si="14"/>
        <v>15.5</v>
      </c>
      <c r="M322" s="113"/>
    </row>
    <row r="323" spans="1:13" s="114" customFormat="1" x14ac:dyDescent="0.2">
      <c r="A323" s="106" t="s">
        <v>2474</v>
      </c>
      <c r="B323" s="105" t="s">
        <v>2565</v>
      </c>
      <c r="C323" s="105" t="s">
        <v>2566</v>
      </c>
      <c r="D323" s="149" t="s">
        <v>2567</v>
      </c>
      <c r="E323" s="105">
        <v>2</v>
      </c>
      <c r="F323" s="150" t="s">
        <v>2568</v>
      </c>
      <c r="G323" s="150" t="s">
        <v>1914</v>
      </c>
      <c r="H323" s="119">
        <f t="shared" si="12"/>
        <v>73</v>
      </c>
      <c r="I323" s="119"/>
      <c r="J323" s="151">
        <v>0</v>
      </c>
      <c r="K323" s="119">
        <f t="shared" si="13"/>
        <v>73</v>
      </c>
      <c r="L323" s="152">
        <f t="shared" si="14"/>
        <v>63.04</v>
      </c>
      <c r="M323" s="113"/>
    </row>
    <row r="324" spans="1:13" s="114" customFormat="1" x14ac:dyDescent="0.2">
      <c r="A324" s="106" t="s">
        <v>2474</v>
      </c>
      <c r="B324" s="105" t="s">
        <v>2569</v>
      </c>
      <c r="C324" s="105" t="s">
        <v>2566</v>
      </c>
      <c r="D324" s="149" t="s">
        <v>2570</v>
      </c>
      <c r="E324" s="105">
        <v>2</v>
      </c>
      <c r="F324" s="150" t="s">
        <v>2571</v>
      </c>
      <c r="G324" s="150" t="s">
        <v>2572</v>
      </c>
      <c r="H324" s="119">
        <f t="shared" si="12"/>
        <v>79</v>
      </c>
      <c r="I324" s="119"/>
      <c r="J324" s="151">
        <v>0</v>
      </c>
      <c r="K324" s="119">
        <f t="shared" si="13"/>
        <v>79</v>
      </c>
      <c r="L324" s="152">
        <f t="shared" si="14"/>
        <v>68.540000000000006</v>
      </c>
      <c r="M324" s="113"/>
    </row>
    <row r="325" spans="1:13" s="114" customFormat="1" x14ac:dyDescent="0.2">
      <c r="A325" s="106" t="s">
        <v>2474</v>
      </c>
      <c r="B325" s="105" t="s">
        <v>2059</v>
      </c>
      <c r="C325" s="105" t="s">
        <v>2566</v>
      </c>
      <c r="D325" s="149" t="s">
        <v>2061</v>
      </c>
      <c r="E325" s="105">
        <v>1</v>
      </c>
      <c r="F325" s="150" t="s">
        <v>1923</v>
      </c>
      <c r="G325" s="150" t="s">
        <v>1809</v>
      </c>
      <c r="H325" s="119">
        <f t="shared" si="12"/>
        <v>18</v>
      </c>
      <c r="I325" s="119"/>
      <c r="J325" s="151">
        <v>0</v>
      </c>
      <c r="K325" s="119">
        <f t="shared" si="13"/>
        <v>18</v>
      </c>
      <c r="L325" s="152">
        <f t="shared" si="14"/>
        <v>15.5</v>
      </c>
      <c r="M325" s="113"/>
    </row>
    <row r="326" spans="1:13" s="114" customFormat="1" x14ac:dyDescent="0.2">
      <c r="A326" s="106" t="s">
        <v>2474</v>
      </c>
      <c r="B326" s="105" t="s">
        <v>2380</v>
      </c>
      <c r="C326" s="105" t="s">
        <v>2573</v>
      </c>
      <c r="D326" s="149" t="s">
        <v>2381</v>
      </c>
      <c r="E326" s="105">
        <v>1</v>
      </c>
      <c r="F326" s="150" t="s">
        <v>2382</v>
      </c>
      <c r="G326" s="150" t="s">
        <v>2038</v>
      </c>
      <c r="H326" s="119">
        <f t="shared" ref="H326:H389" si="15">E326*G326</f>
        <v>26.25</v>
      </c>
      <c r="I326" s="119"/>
      <c r="J326" s="151">
        <v>0</v>
      </c>
      <c r="K326" s="119">
        <f t="shared" ref="K326:K389" si="16">H326+I326-J326</f>
        <v>26.25</v>
      </c>
      <c r="L326" s="152">
        <f t="shared" ref="L326:L389" si="17">E326*F326</f>
        <v>22.73</v>
      </c>
      <c r="M326" s="113"/>
    </row>
    <row r="327" spans="1:13" s="114" customFormat="1" x14ac:dyDescent="0.2">
      <c r="A327" s="106" t="s">
        <v>2574</v>
      </c>
      <c r="B327" s="105" t="s">
        <v>1951</v>
      </c>
      <c r="C327" s="105" t="s">
        <v>2575</v>
      </c>
      <c r="D327" s="149" t="s">
        <v>1952</v>
      </c>
      <c r="E327" s="105">
        <v>1</v>
      </c>
      <c r="F327" s="150" t="s">
        <v>1796</v>
      </c>
      <c r="G327" s="150" t="s">
        <v>1797</v>
      </c>
      <c r="H327" s="119">
        <f t="shared" si="15"/>
        <v>14.75</v>
      </c>
      <c r="I327" s="119"/>
      <c r="J327" s="151">
        <v>0</v>
      </c>
      <c r="K327" s="119">
        <f t="shared" si="16"/>
        <v>14.75</v>
      </c>
      <c r="L327" s="152">
        <f t="shared" si="17"/>
        <v>12.77</v>
      </c>
      <c r="M327" s="113"/>
    </row>
    <row r="328" spans="1:13" s="114" customFormat="1" x14ac:dyDescent="0.2">
      <c r="A328" s="106" t="s">
        <v>2574</v>
      </c>
      <c r="B328" s="105" t="s">
        <v>2094</v>
      </c>
      <c r="C328" s="105" t="s">
        <v>2575</v>
      </c>
      <c r="D328" s="149" t="s">
        <v>2096</v>
      </c>
      <c r="E328" s="105">
        <v>1</v>
      </c>
      <c r="F328" s="150" t="s">
        <v>2005</v>
      </c>
      <c r="G328" s="150" t="s">
        <v>2097</v>
      </c>
      <c r="H328" s="119">
        <f t="shared" si="15"/>
        <v>14.5</v>
      </c>
      <c r="I328" s="119"/>
      <c r="J328" s="151">
        <v>0</v>
      </c>
      <c r="K328" s="119">
        <f t="shared" si="16"/>
        <v>14.5</v>
      </c>
      <c r="L328" s="152">
        <f t="shared" si="17"/>
        <v>12.56</v>
      </c>
      <c r="M328" s="113"/>
    </row>
    <row r="329" spans="1:13" s="114" customFormat="1" x14ac:dyDescent="0.2">
      <c r="A329" s="106" t="s">
        <v>2574</v>
      </c>
      <c r="B329" s="105" t="s">
        <v>2576</v>
      </c>
      <c r="C329" s="105" t="s">
        <v>2577</v>
      </c>
      <c r="D329" s="149" t="s">
        <v>2578</v>
      </c>
      <c r="E329" s="105">
        <v>1</v>
      </c>
      <c r="F329" s="150" t="s">
        <v>2579</v>
      </c>
      <c r="G329" s="150" t="s">
        <v>2580</v>
      </c>
      <c r="H329" s="119">
        <f t="shared" si="15"/>
        <v>57.25</v>
      </c>
      <c r="I329" s="119"/>
      <c r="J329" s="151">
        <v>0</v>
      </c>
      <c r="K329" s="119">
        <f t="shared" si="16"/>
        <v>57.25</v>
      </c>
      <c r="L329" s="152">
        <f t="shared" si="17"/>
        <v>49.75</v>
      </c>
      <c r="M329" s="113"/>
    </row>
    <row r="330" spans="1:13" s="114" customFormat="1" x14ac:dyDescent="0.2">
      <c r="A330" s="153" t="s">
        <v>2574</v>
      </c>
      <c r="B330" s="154" t="s">
        <v>2581</v>
      </c>
      <c r="C330" s="154" t="s">
        <v>2582</v>
      </c>
      <c r="D330" s="155" t="s">
        <v>2583</v>
      </c>
      <c r="E330" s="154">
        <v>12</v>
      </c>
      <c r="F330" s="146"/>
      <c r="G330" s="146" t="s">
        <v>1939</v>
      </c>
      <c r="H330" s="147">
        <f t="shared" si="15"/>
        <v>87</v>
      </c>
      <c r="I330" s="147"/>
      <c r="J330" s="156">
        <v>0</v>
      </c>
      <c r="K330" s="147">
        <f t="shared" si="16"/>
        <v>87</v>
      </c>
      <c r="L330" s="148">
        <f t="shared" si="17"/>
        <v>0</v>
      </c>
      <c r="M330" s="113"/>
    </row>
    <row r="331" spans="1:13" s="114" customFormat="1" x14ac:dyDescent="0.2">
      <c r="A331" s="106" t="s">
        <v>2574</v>
      </c>
      <c r="B331" s="105" t="s">
        <v>2521</v>
      </c>
      <c r="C331" s="105" t="s">
        <v>2582</v>
      </c>
      <c r="D331" s="149" t="s">
        <v>2522</v>
      </c>
      <c r="E331" s="105">
        <v>24</v>
      </c>
      <c r="F331" s="150" t="s">
        <v>2523</v>
      </c>
      <c r="G331" s="150" t="s">
        <v>1939</v>
      </c>
      <c r="H331" s="119">
        <f t="shared" si="15"/>
        <v>174</v>
      </c>
      <c r="I331" s="119"/>
      <c r="J331" s="151">
        <v>0</v>
      </c>
      <c r="K331" s="119">
        <f t="shared" si="16"/>
        <v>174</v>
      </c>
      <c r="L331" s="152">
        <f t="shared" si="17"/>
        <v>144.47999999999999</v>
      </c>
      <c r="M331" s="113"/>
    </row>
    <row r="332" spans="1:13" s="114" customFormat="1" x14ac:dyDescent="0.2">
      <c r="A332" s="106" t="s">
        <v>2574</v>
      </c>
      <c r="B332" s="105" t="s">
        <v>2245</v>
      </c>
      <c r="C332" s="105" t="s">
        <v>2582</v>
      </c>
      <c r="D332" s="149" t="s">
        <v>2246</v>
      </c>
      <c r="E332" s="105">
        <v>16</v>
      </c>
      <c r="F332" s="150" t="s">
        <v>2247</v>
      </c>
      <c r="G332" s="150" t="s">
        <v>2248</v>
      </c>
      <c r="H332" s="119">
        <f t="shared" si="15"/>
        <v>88</v>
      </c>
      <c r="I332" s="119"/>
      <c r="J332" s="151">
        <v>0</v>
      </c>
      <c r="K332" s="119">
        <f t="shared" si="16"/>
        <v>88</v>
      </c>
      <c r="L332" s="152">
        <f t="shared" si="17"/>
        <v>75.84</v>
      </c>
      <c r="M332" s="113"/>
    </row>
    <row r="333" spans="1:13" s="114" customFormat="1" x14ac:dyDescent="0.2">
      <c r="A333" s="106" t="s">
        <v>2574</v>
      </c>
      <c r="B333" s="105" t="s">
        <v>2584</v>
      </c>
      <c r="C333" s="105" t="s">
        <v>2582</v>
      </c>
      <c r="D333" s="149" t="s">
        <v>2585</v>
      </c>
      <c r="E333" s="105">
        <v>1</v>
      </c>
      <c r="F333" s="150" t="s">
        <v>2586</v>
      </c>
      <c r="G333" s="150" t="s">
        <v>1910</v>
      </c>
      <c r="H333" s="119">
        <f t="shared" si="15"/>
        <v>20.75</v>
      </c>
      <c r="I333" s="119"/>
      <c r="J333" s="151">
        <v>0</v>
      </c>
      <c r="K333" s="119">
        <f t="shared" si="16"/>
        <v>20.75</v>
      </c>
      <c r="L333" s="152">
        <f t="shared" si="17"/>
        <v>17.899999999999999</v>
      </c>
      <c r="M333" s="113"/>
    </row>
    <row r="334" spans="1:13" s="114" customFormat="1" x14ac:dyDescent="0.2">
      <c r="A334" s="106" t="s">
        <v>2574</v>
      </c>
      <c r="B334" s="105" t="s">
        <v>2587</v>
      </c>
      <c r="C334" s="105" t="s">
        <v>2582</v>
      </c>
      <c r="D334" s="149" t="s">
        <v>2588</v>
      </c>
      <c r="E334" s="105">
        <v>5</v>
      </c>
      <c r="F334" s="150" t="s">
        <v>2589</v>
      </c>
      <c r="G334" s="150" t="s">
        <v>1809</v>
      </c>
      <c r="H334" s="119">
        <f t="shared" si="15"/>
        <v>90</v>
      </c>
      <c r="I334" s="119"/>
      <c r="J334" s="151">
        <v>0</v>
      </c>
      <c r="K334" s="119">
        <f t="shared" si="16"/>
        <v>90</v>
      </c>
      <c r="L334" s="152">
        <f t="shared" si="17"/>
        <v>75</v>
      </c>
      <c r="M334" s="113"/>
    </row>
    <row r="335" spans="1:13" s="114" customFormat="1" x14ac:dyDescent="0.2">
      <c r="A335" s="106" t="s">
        <v>2574</v>
      </c>
      <c r="B335" s="105" t="s">
        <v>2491</v>
      </c>
      <c r="C335" s="105" t="s">
        <v>2582</v>
      </c>
      <c r="D335" s="149" t="s">
        <v>2492</v>
      </c>
      <c r="E335" s="105">
        <v>3</v>
      </c>
      <c r="F335" s="150" t="s">
        <v>2493</v>
      </c>
      <c r="G335" s="150" t="s">
        <v>2494</v>
      </c>
      <c r="H335" s="119">
        <f t="shared" si="15"/>
        <v>199.5</v>
      </c>
      <c r="I335" s="119"/>
      <c r="J335" s="151">
        <v>0</v>
      </c>
      <c r="K335" s="119">
        <f t="shared" si="16"/>
        <v>199.5</v>
      </c>
      <c r="L335" s="152">
        <f t="shared" si="17"/>
        <v>184.5</v>
      </c>
      <c r="M335" s="113"/>
    </row>
    <row r="336" spans="1:13" s="114" customFormat="1" x14ac:dyDescent="0.2">
      <c r="A336" s="106" t="s">
        <v>2574</v>
      </c>
      <c r="B336" s="105" t="s">
        <v>2301</v>
      </c>
      <c r="C336" s="105" t="s">
        <v>2582</v>
      </c>
      <c r="D336" s="149" t="s">
        <v>2302</v>
      </c>
      <c r="E336" s="105">
        <v>1</v>
      </c>
      <c r="F336" s="150" t="s">
        <v>2303</v>
      </c>
      <c r="G336" s="150" t="s">
        <v>2304</v>
      </c>
      <c r="H336" s="119">
        <f t="shared" si="15"/>
        <v>144.5</v>
      </c>
      <c r="I336" s="119"/>
      <c r="J336" s="151">
        <v>0</v>
      </c>
      <c r="K336" s="119">
        <f t="shared" si="16"/>
        <v>144.5</v>
      </c>
      <c r="L336" s="152">
        <f t="shared" si="17"/>
        <v>125.5</v>
      </c>
      <c r="M336" s="113"/>
    </row>
    <row r="337" spans="1:13" s="114" customFormat="1" x14ac:dyDescent="0.2">
      <c r="A337" s="106" t="s">
        <v>2574</v>
      </c>
      <c r="B337" s="105" t="s">
        <v>2590</v>
      </c>
      <c r="C337" s="105" t="s">
        <v>2582</v>
      </c>
      <c r="D337" s="149" t="s">
        <v>2591</v>
      </c>
      <c r="E337" s="105">
        <v>1</v>
      </c>
      <c r="F337" s="150" t="s">
        <v>2592</v>
      </c>
      <c r="G337" s="150" t="s">
        <v>2123</v>
      </c>
      <c r="H337" s="119">
        <f t="shared" si="15"/>
        <v>103.75</v>
      </c>
      <c r="I337" s="119"/>
      <c r="J337" s="151">
        <v>0</v>
      </c>
      <c r="K337" s="119">
        <f t="shared" si="16"/>
        <v>103.75</v>
      </c>
      <c r="L337" s="152">
        <f t="shared" si="17"/>
        <v>90.24</v>
      </c>
      <c r="M337" s="113"/>
    </row>
    <row r="338" spans="1:13" s="114" customFormat="1" x14ac:dyDescent="0.2">
      <c r="A338" s="106" t="s">
        <v>2574</v>
      </c>
      <c r="B338" s="105" t="s">
        <v>2298</v>
      </c>
      <c r="C338" s="105" t="s">
        <v>2582</v>
      </c>
      <c r="D338" s="149" t="s">
        <v>2299</v>
      </c>
      <c r="E338" s="105">
        <v>4</v>
      </c>
      <c r="F338" s="150" t="s">
        <v>2300</v>
      </c>
      <c r="G338" s="150" t="s">
        <v>1892</v>
      </c>
      <c r="H338" s="119">
        <f t="shared" si="15"/>
        <v>96</v>
      </c>
      <c r="I338" s="119"/>
      <c r="J338" s="151">
        <v>0</v>
      </c>
      <c r="K338" s="119">
        <f t="shared" si="16"/>
        <v>96</v>
      </c>
      <c r="L338" s="152">
        <f t="shared" si="17"/>
        <v>83.2</v>
      </c>
      <c r="M338" s="113"/>
    </row>
    <row r="339" spans="1:13" s="114" customFormat="1" x14ac:dyDescent="0.2">
      <c r="A339" s="106" t="s">
        <v>2574</v>
      </c>
      <c r="B339" s="105" t="s">
        <v>2593</v>
      </c>
      <c r="C339" s="105" t="s">
        <v>2582</v>
      </c>
      <c r="D339" s="149" t="s">
        <v>2594</v>
      </c>
      <c r="E339" s="105">
        <v>2</v>
      </c>
      <c r="F339" s="150" t="s">
        <v>2595</v>
      </c>
      <c r="G339" s="150" t="s">
        <v>2596</v>
      </c>
      <c r="H339" s="119">
        <f t="shared" si="15"/>
        <v>86.5</v>
      </c>
      <c r="I339" s="119"/>
      <c r="J339" s="151">
        <v>0</v>
      </c>
      <c r="K339" s="119">
        <f t="shared" si="16"/>
        <v>86.5</v>
      </c>
      <c r="L339" s="152">
        <f t="shared" si="17"/>
        <v>74.900000000000006</v>
      </c>
      <c r="M339" s="113"/>
    </row>
    <row r="340" spans="1:13" s="114" customFormat="1" x14ac:dyDescent="0.2">
      <c r="A340" s="106" t="s">
        <v>2574</v>
      </c>
      <c r="B340" s="105" t="s">
        <v>2597</v>
      </c>
      <c r="C340" s="105" t="s">
        <v>2582</v>
      </c>
      <c r="D340" s="149" t="s">
        <v>2598</v>
      </c>
      <c r="E340" s="105">
        <v>5</v>
      </c>
      <c r="F340" s="150" t="s">
        <v>2599</v>
      </c>
      <c r="G340" s="150" t="s">
        <v>2600</v>
      </c>
      <c r="H340" s="119">
        <f t="shared" si="15"/>
        <v>168.75</v>
      </c>
      <c r="I340" s="119"/>
      <c r="J340" s="151">
        <v>0</v>
      </c>
      <c r="K340" s="119">
        <f t="shared" si="16"/>
        <v>168.75</v>
      </c>
      <c r="L340" s="152">
        <f t="shared" si="17"/>
        <v>145.85000000000002</v>
      </c>
      <c r="M340" s="113"/>
    </row>
    <row r="341" spans="1:13" s="114" customFormat="1" x14ac:dyDescent="0.2">
      <c r="A341" s="106" t="s">
        <v>2574</v>
      </c>
      <c r="B341" s="105" t="s">
        <v>2601</v>
      </c>
      <c r="C341" s="105" t="s">
        <v>2602</v>
      </c>
      <c r="D341" s="149" t="s">
        <v>2603</v>
      </c>
      <c r="E341" s="105">
        <v>1</v>
      </c>
      <c r="F341" s="150" t="s">
        <v>1942</v>
      </c>
      <c r="G341" s="150" t="s">
        <v>1788</v>
      </c>
      <c r="H341" s="119">
        <f t="shared" si="15"/>
        <v>10</v>
      </c>
      <c r="I341" s="119"/>
      <c r="J341" s="151">
        <v>0</v>
      </c>
      <c r="K341" s="119">
        <f t="shared" si="16"/>
        <v>10</v>
      </c>
      <c r="L341" s="152">
        <f t="shared" si="17"/>
        <v>6</v>
      </c>
      <c r="M341" s="113"/>
    </row>
    <row r="342" spans="1:13" s="114" customFormat="1" x14ac:dyDescent="0.2">
      <c r="A342" s="106" t="s">
        <v>2574</v>
      </c>
      <c r="B342" s="105" t="s">
        <v>2512</v>
      </c>
      <c r="C342" s="105" t="s">
        <v>2604</v>
      </c>
      <c r="D342" s="149" t="s">
        <v>2514</v>
      </c>
      <c r="E342" s="105">
        <v>1</v>
      </c>
      <c r="F342" s="150" t="s">
        <v>1780</v>
      </c>
      <c r="G342" s="150" t="s">
        <v>2515</v>
      </c>
      <c r="H342" s="119">
        <f t="shared" si="15"/>
        <v>67</v>
      </c>
      <c r="I342" s="119"/>
      <c r="J342" s="151">
        <v>0</v>
      </c>
      <c r="K342" s="119">
        <f t="shared" si="16"/>
        <v>67</v>
      </c>
      <c r="L342" s="152">
        <f t="shared" si="17"/>
        <v>58</v>
      </c>
      <c r="M342" s="113"/>
    </row>
    <row r="343" spans="1:13" s="114" customFormat="1" x14ac:dyDescent="0.2">
      <c r="A343" s="106" t="s">
        <v>2574</v>
      </c>
      <c r="B343" s="105" t="s">
        <v>2115</v>
      </c>
      <c r="C343" s="105" t="s">
        <v>2605</v>
      </c>
      <c r="D343" s="149" t="s">
        <v>2117</v>
      </c>
      <c r="E343" s="105">
        <v>1</v>
      </c>
      <c r="F343" s="150" t="s">
        <v>2118</v>
      </c>
      <c r="G343" s="150" t="s">
        <v>2119</v>
      </c>
      <c r="H343" s="119">
        <f t="shared" si="15"/>
        <v>93.25</v>
      </c>
      <c r="I343" s="119"/>
      <c r="J343" s="151">
        <v>0</v>
      </c>
      <c r="K343" s="119">
        <f t="shared" si="16"/>
        <v>93.25</v>
      </c>
      <c r="L343" s="152">
        <f t="shared" si="17"/>
        <v>84.8</v>
      </c>
      <c r="M343" s="113"/>
    </row>
    <row r="344" spans="1:13" s="114" customFormat="1" x14ac:dyDescent="0.2">
      <c r="A344" s="106" t="s">
        <v>2574</v>
      </c>
      <c r="B344" s="105" t="s">
        <v>2606</v>
      </c>
      <c r="C344" s="105" t="s">
        <v>2605</v>
      </c>
      <c r="D344" s="149" t="s">
        <v>2607</v>
      </c>
      <c r="E344" s="105">
        <v>1</v>
      </c>
      <c r="F344" s="150" t="s">
        <v>2608</v>
      </c>
      <c r="G344" s="150" t="s">
        <v>2506</v>
      </c>
      <c r="H344" s="119">
        <f t="shared" si="15"/>
        <v>50</v>
      </c>
      <c r="I344" s="119"/>
      <c r="J344" s="151">
        <v>0</v>
      </c>
      <c r="K344" s="119">
        <f t="shared" si="16"/>
        <v>50</v>
      </c>
      <c r="L344" s="152">
        <f t="shared" si="17"/>
        <v>43.34</v>
      </c>
      <c r="M344" s="113"/>
    </row>
    <row r="345" spans="1:13" s="114" customFormat="1" x14ac:dyDescent="0.2">
      <c r="A345" s="106" t="s">
        <v>2574</v>
      </c>
      <c r="B345" s="105" t="s">
        <v>2471</v>
      </c>
      <c r="C345" s="105" t="s">
        <v>2605</v>
      </c>
      <c r="D345" s="149" t="s">
        <v>2472</v>
      </c>
      <c r="E345" s="105">
        <v>1</v>
      </c>
      <c r="F345" s="150" t="s">
        <v>2473</v>
      </c>
      <c r="G345" s="150" t="s">
        <v>2224</v>
      </c>
      <c r="H345" s="119">
        <f t="shared" si="15"/>
        <v>41</v>
      </c>
      <c r="I345" s="119"/>
      <c r="J345" s="151">
        <v>0</v>
      </c>
      <c r="K345" s="119">
        <f t="shared" si="16"/>
        <v>41</v>
      </c>
      <c r="L345" s="152">
        <f t="shared" si="17"/>
        <v>35.549999999999997</v>
      </c>
      <c r="M345" s="113"/>
    </row>
    <row r="346" spans="1:13" s="114" customFormat="1" x14ac:dyDescent="0.2">
      <c r="A346" s="153" t="s">
        <v>2574</v>
      </c>
      <c r="B346" s="154" t="s">
        <v>1902</v>
      </c>
      <c r="C346" s="154" t="s">
        <v>2609</v>
      </c>
      <c r="D346" s="155" t="s">
        <v>1903</v>
      </c>
      <c r="E346" s="154">
        <v>1</v>
      </c>
      <c r="F346" s="146"/>
      <c r="G346" s="146" t="s">
        <v>1904</v>
      </c>
      <c r="H346" s="147">
        <f t="shared" si="15"/>
        <v>19.25</v>
      </c>
      <c r="I346" s="147"/>
      <c r="J346" s="156">
        <v>0</v>
      </c>
      <c r="K346" s="147">
        <f t="shared" si="16"/>
        <v>19.25</v>
      </c>
      <c r="L346" s="148">
        <f t="shared" si="17"/>
        <v>0</v>
      </c>
      <c r="M346" s="113"/>
    </row>
    <row r="347" spans="1:13" s="114" customFormat="1" x14ac:dyDescent="0.2">
      <c r="A347" s="106" t="s">
        <v>2574</v>
      </c>
      <c r="B347" s="105" t="s">
        <v>2610</v>
      </c>
      <c r="C347" s="105" t="s">
        <v>2611</v>
      </c>
      <c r="D347" s="149" t="s">
        <v>2612</v>
      </c>
      <c r="E347" s="105">
        <v>1</v>
      </c>
      <c r="F347" s="150" t="s">
        <v>2613</v>
      </c>
      <c r="G347" s="150" t="s">
        <v>2614</v>
      </c>
      <c r="H347" s="119">
        <f t="shared" si="15"/>
        <v>59.25</v>
      </c>
      <c r="I347" s="119"/>
      <c r="J347" s="151">
        <v>0</v>
      </c>
      <c r="K347" s="119">
        <f t="shared" si="16"/>
        <v>59.25</v>
      </c>
      <c r="L347" s="152">
        <f t="shared" si="17"/>
        <v>53.9</v>
      </c>
      <c r="M347" s="113"/>
    </row>
    <row r="348" spans="1:13" s="114" customFormat="1" x14ac:dyDescent="0.2">
      <c r="A348" s="106" t="s">
        <v>2574</v>
      </c>
      <c r="B348" s="105" t="s">
        <v>2615</v>
      </c>
      <c r="C348" s="105" t="s">
        <v>2616</v>
      </c>
      <c r="D348" s="149" t="s">
        <v>2617</v>
      </c>
      <c r="E348" s="105">
        <v>1</v>
      </c>
      <c r="F348" s="150" t="s">
        <v>2580</v>
      </c>
      <c r="G348" s="150" t="s">
        <v>2456</v>
      </c>
      <c r="H348" s="119">
        <f t="shared" si="15"/>
        <v>66</v>
      </c>
      <c r="I348" s="119"/>
      <c r="J348" s="151">
        <v>0</v>
      </c>
      <c r="K348" s="119">
        <f t="shared" si="16"/>
        <v>66</v>
      </c>
      <c r="L348" s="152">
        <f t="shared" si="17"/>
        <v>57.25</v>
      </c>
      <c r="M348" s="113"/>
    </row>
    <row r="349" spans="1:13" s="114" customFormat="1" x14ac:dyDescent="0.2">
      <c r="A349" s="106" t="s">
        <v>2574</v>
      </c>
      <c r="B349" s="105" t="s">
        <v>1781</v>
      </c>
      <c r="C349" s="105" t="s">
        <v>2618</v>
      </c>
      <c r="D349" s="149" t="s">
        <v>1782</v>
      </c>
      <c r="E349" s="105">
        <v>1</v>
      </c>
      <c r="F349" s="150" t="s">
        <v>1783</v>
      </c>
      <c r="G349" s="150" t="s">
        <v>1784</v>
      </c>
      <c r="H349" s="119">
        <f t="shared" si="15"/>
        <v>11</v>
      </c>
      <c r="I349" s="119"/>
      <c r="J349" s="151">
        <v>0</v>
      </c>
      <c r="K349" s="119">
        <f t="shared" si="16"/>
        <v>11</v>
      </c>
      <c r="L349" s="152">
        <f t="shared" si="17"/>
        <v>9.3800000000000008</v>
      </c>
      <c r="M349" s="113"/>
    </row>
    <row r="350" spans="1:13" s="114" customFormat="1" x14ac:dyDescent="0.2">
      <c r="A350" s="106" t="s">
        <v>2574</v>
      </c>
      <c r="B350" s="105" t="s">
        <v>2196</v>
      </c>
      <c r="C350" s="105" t="s">
        <v>2619</v>
      </c>
      <c r="D350" s="149" t="s">
        <v>2198</v>
      </c>
      <c r="E350" s="105">
        <v>1</v>
      </c>
      <c r="F350" s="150" t="s">
        <v>1975</v>
      </c>
      <c r="G350" s="150" t="s">
        <v>1976</v>
      </c>
      <c r="H350" s="119">
        <f t="shared" si="15"/>
        <v>23.75</v>
      </c>
      <c r="I350" s="119"/>
      <c r="J350" s="151">
        <v>0</v>
      </c>
      <c r="K350" s="119">
        <f t="shared" si="16"/>
        <v>23.75</v>
      </c>
      <c r="L350" s="152">
        <f t="shared" si="17"/>
        <v>20.55</v>
      </c>
      <c r="M350" s="113"/>
    </row>
    <row r="351" spans="1:13" s="114" customFormat="1" x14ac:dyDescent="0.2">
      <c r="A351" s="106" t="s">
        <v>2574</v>
      </c>
      <c r="B351" s="105" t="s">
        <v>2620</v>
      </c>
      <c r="C351" s="105" t="s">
        <v>2619</v>
      </c>
      <c r="D351" s="149" t="s">
        <v>2621</v>
      </c>
      <c r="E351" s="105">
        <v>1</v>
      </c>
      <c r="F351" s="150" t="s">
        <v>2066</v>
      </c>
      <c r="G351" s="150" t="s">
        <v>2067</v>
      </c>
      <c r="H351" s="119">
        <f t="shared" si="15"/>
        <v>42.75</v>
      </c>
      <c r="I351" s="119"/>
      <c r="J351" s="151">
        <v>0</v>
      </c>
      <c r="K351" s="119">
        <f t="shared" si="16"/>
        <v>42.75</v>
      </c>
      <c r="L351" s="152">
        <f t="shared" si="17"/>
        <v>37</v>
      </c>
      <c r="M351" s="113"/>
    </row>
    <row r="352" spans="1:13" s="114" customFormat="1" x14ac:dyDescent="0.2">
      <c r="A352" s="106" t="s">
        <v>2574</v>
      </c>
      <c r="B352" s="105" t="s">
        <v>2059</v>
      </c>
      <c r="C352" s="105" t="s">
        <v>2622</v>
      </c>
      <c r="D352" s="149" t="s">
        <v>2061</v>
      </c>
      <c r="E352" s="105">
        <v>1</v>
      </c>
      <c r="F352" s="150" t="s">
        <v>1923</v>
      </c>
      <c r="G352" s="150" t="s">
        <v>1809</v>
      </c>
      <c r="H352" s="119">
        <f t="shared" si="15"/>
        <v>18</v>
      </c>
      <c r="I352" s="119"/>
      <c r="J352" s="151">
        <v>0</v>
      </c>
      <c r="K352" s="119">
        <f t="shared" si="16"/>
        <v>18</v>
      </c>
      <c r="L352" s="152">
        <f t="shared" si="17"/>
        <v>15.5</v>
      </c>
      <c r="M352" s="113"/>
    </row>
    <row r="353" spans="1:13" s="114" customFormat="1" x14ac:dyDescent="0.2">
      <c r="A353" s="106" t="s">
        <v>2574</v>
      </c>
      <c r="B353" s="105" t="s">
        <v>2623</v>
      </c>
      <c r="C353" s="105" t="s">
        <v>2624</v>
      </c>
      <c r="D353" s="149" t="s">
        <v>2625</v>
      </c>
      <c r="E353" s="105">
        <v>1</v>
      </c>
      <c r="F353" s="150" t="s">
        <v>2626</v>
      </c>
      <c r="G353" s="150" t="s">
        <v>1942</v>
      </c>
      <c r="H353" s="119">
        <f t="shared" si="15"/>
        <v>6</v>
      </c>
      <c r="I353" s="119"/>
      <c r="J353" s="151">
        <v>0</v>
      </c>
      <c r="K353" s="119">
        <f t="shared" si="16"/>
        <v>6</v>
      </c>
      <c r="L353" s="152">
        <f t="shared" si="17"/>
        <v>5.15</v>
      </c>
      <c r="M353" s="113"/>
    </row>
    <row r="354" spans="1:13" s="114" customFormat="1" x14ac:dyDescent="0.2">
      <c r="A354" s="106" t="s">
        <v>2574</v>
      </c>
      <c r="B354" s="105" t="s">
        <v>2627</v>
      </c>
      <c r="C354" s="105" t="s">
        <v>2624</v>
      </c>
      <c r="D354" s="149" t="s">
        <v>2628</v>
      </c>
      <c r="E354" s="105">
        <v>3</v>
      </c>
      <c r="F354" s="150" t="s">
        <v>2629</v>
      </c>
      <c r="G354" s="150" t="s">
        <v>2630</v>
      </c>
      <c r="H354" s="119">
        <f t="shared" si="15"/>
        <v>24</v>
      </c>
      <c r="I354" s="119"/>
      <c r="J354" s="151">
        <v>0</v>
      </c>
      <c r="K354" s="119">
        <f t="shared" si="16"/>
        <v>24</v>
      </c>
      <c r="L354" s="152">
        <f t="shared" si="17"/>
        <v>20.46</v>
      </c>
      <c r="M354" s="113"/>
    </row>
    <row r="355" spans="1:13" s="114" customFormat="1" x14ac:dyDescent="0.2">
      <c r="A355" s="106" t="s">
        <v>2574</v>
      </c>
      <c r="B355" s="105" t="s">
        <v>1781</v>
      </c>
      <c r="C355" s="105" t="s">
        <v>2631</v>
      </c>
      <c r="D355" s="149" t="s">
        <v>1782</v>
      </c>
      <c r="E355" s="105">
        <v>1</v>
      </c>
      <c r="F355" s="150" t="s">
        <v>1783</v>
      </c>
      <c r="G355" s="150" t="s">
        <v>1784</v>
      </c>
      <c r="H355" s="119">
        <f t="shared" si="15"/>
        <v>11</v>
      </c>
      <c r="I355" s="119"/>
      <c r="J355" s="151">
        <v>0</v>
      </c>
      <c r="K355" s="119">
        <f t="shared" si="16"/>
        <v>11</v>
      </c>
      <c r="L355" s="152">
        <f t="shared" si="17"/>
        <v>9.3800000000000008</v>
      </c>
      <c r="M355" s="113"/>
    </row>
    <row r="356" spans="1:13" s="114" customFormat="1" x14ac:dyDescent="0.2">
      <c r="A356" s="106" t="s">
        <v>2574</v>
      </c>
      <c r="B356" s="105" t="s">
        <v>1924</v>
      </c>
      <c r="C356" s="105" t="s">
        <v>2632</v>
      </c>
      <c r="D356" s="149" t="s">
        <v>1926</v>
      </c>
      <c r="E356" s="105">
        <v>2</v>
      </c>
      <c r="F356" s="150" t="s">
        <v>1927</v>
      </c>
      <c r="G356" s="150" t="s">
        <v>1928</v>
      </c>
      <c r="H356" s="119">
        <f t="shared" si="15"/>
        <v>24.5</v>
      </c>
      <c r="I356" s="119"/>
      <c r="J356" s="151">
        <v>0</v>
      </c>
      <c r="K356" s="119">
        <f t="shared" si="16"/>
        <v>24.5</v>
      </c>
      <c r="L356" s="152">
        <f t="shared" si="17"/>
        <v>21.28</v>
      </c>
      <c r="M356" s="113"/>
    </row>
    <row r="357" spans="1:13" s="114" customFormat="1" x14ac:dyDescent="0.2">
      <c r="A357" s="106" t="s">
        <v>2574</v>
      </c>
      <c r="B357" s="105" t="s">
        <v>2633</v>
      </c>
      <c r="C357" s="105" t="s">
        <v>2634</v>
      </c>
      <c r="D357" s="149" t="s">
        <v>2635</v>
      </c>
      <c r="E357" s="105">
        <v>1</v>
      </c>
      <c r="F357" s="150" t="s">
        <v>2204</v>
      </c>
      <c r="G357" s="150" t="s">
        <v>2433</v>
      </c>
      <c r="H357" s="119">
        <f t="shared" si="15"/>
        <v>16</v>
      </c>
      <c r="I357" s="119"/>
      <c r="J357" s="151">
        <v>0</v>
      </c>
      <c r="K357" s="119">
        <f t="shared" si="16"/>
        <v>16</v>
      </c>
      <c r="L357" s="152">
        <f t="shared" si="17"/>
        <v>14</v>
      </c>
      <c r="M357" s="113"/>
    </row>
    <row r="358" spans="1:13" s="114" customFormat="1" x14ac:dyDescent="0.2">
      <c r="A358" s="106" t="s">
        <v>2574</v>
      </c>
      <c r="B358" s="105" t="s">
        <v>2636</v>
      </c>
      <c r="C358" s="105" t="s">
        <v>2634</v>
      </c>
      <c r="D358" s="149" t="s">
        <v>2637</v>
      </c>
      <c r="E358" s="105">
        <v>1</v>
      </c>
      <c r="F358" s="150" t="s">
        <v>2638</v>
      </c>
      <c r="G358" s="150" t="s">
        <v>1948</v>
      </c>
      <c r="H358" s="119">
        <f t="shared" si="15"/>
        <v>16.75</v>
      </c>
      <c r="I358" s="119"/>
      <c r="J358" s="151">
        <v>0</v>
      </c>
      <c r="K358" s="119">
        <f t="shared" si="16"/>
        <v>16.75</v>
      </c>
      <c r="L358" s="152">
        <f t="shared" si="17"/>
        <v>14.42</v>
      </c>
      <c r="M358" s="113"/>
    </row>
    <row r="359" spans="1:13" s="114" customFormat="1" x14ac:dyDescent="0.2">
      <c r="A359" s="106" t="s">
        <v>2574</v>
      </c>
      <c r="B359" s="105" t="s">
        <v>2639</v>
      </c>
      <c r="C359" s="105" t="s">
        <v>2634</v>
      </c>
      <c r="D359" s="149" t="s">
        <v>2640</v>
      </c>
      <c r="E359" s="105">
        <v>1</v>
      </c>
      <c r="F359" s="150" t="s">
        <v>2641</v>
      </c>
      <c r="G359" s="150" t="s">
        <v>2642</v>
      </c>
      <c r="H359" s="119">
        <f t="shared" si="15"/>
        <v>19.75</v>
      </c>
      <c r="I359" s="119"/>
      <c r="J359" s="151">
        <v>0</v>
      </c>
      <c r="K359" s="119">
        <f t="shared" si="16"/>
        <v>19.75</v>
      </c>
      <c r="L359" s="152">
        <f t="shared" si="17"/>
        <v>17.059999999999999</v>
      </c>
      <c r="M359" s="113"/>
    </row>
    <row r="360" spans="1:13" s="114" customFormat="1" x14ac:dyDescent="0.2">
      <c r="A360" s="106" t="s">
        <v>2574</v>
      </c>
      <c r="B360" s="105" t="s">
        <v>2233</v>
      </c>
      <c r="C360" s="105" t="s">
        <v>2634</v>
      </c>
      <c r="D360" s="149" t="s">
        <v>2235</v>
      </c>
      <c r="E360" s="105">
        <v>1</v>
      </c>
      <c r="F360" s="150" t="s">
        <v>2087</v>
      </c>
      <c r="G360" s="150" t="s">
        <v>2088</v>
      </c>
      <c r="H360" s="119">
        <f t="shared" si="15"/>
        <v>13</v>
      </c>
      <c r="I360" s="119"/>
      <c r="J360" s="151">
        <v>0</v>
      </c>
      <c r="K360" s="119">
        <f t="shared" si="16"/>
        <v>13</v>
      </c>
      <c r="L360" s="152">
        <f t="shared" si="17"/>
        <v>11.17</v>
      </c>
      <c r="M360" s="113"/>
    </row>
    <row r="361" spans="1:13" s="114" customFormat="1" x14ac:dyDescent="0.2">
      <c r="A361" s="106" t="s">
        <v>2574</v>
      </c>
      <c r="B361" s="105" t="s">
        <v>2643</v>
      </c>
      <c r="C361" s="105" t="s">
        <v>2644</v>
      </c>
      <c r="D361" s="149" t="s">
        <v>2645</v>
      </c>
      <c r="E361" s="105">
        <v>3</v>
      </c>
      <c r="F361" s="150" t="s">
        <v>2638</v>
      </c>
      <c r="G361" s="150" t="s">
        <v>1948</v>
      </c>
      <c r="H361" s="119">
        <f t="shared" si="15"/>
        <v>50.25</v>
      </c>
      <c r="I361" s="119"/>
      <c r="J361" s="151">
        <v>0</v>
      </c>
      <c r="K361" s="119">
        <f t="shared" si="16"/>
        <v>50.25</v>
      </c>
      <c r="L361" s="152">
        <f t="shared" si="17"/>
        <v>43.26</v>
      </c>
      <c r="M361" s="113"/>
    </row>
    <row r="362" spans="1:13" s="114" customFormat="1" x14ac:dyDescent="0.2">
      <c r="A362" s="106" t="s">
        <v>2574</v>
      </c>
      <c r="B362" s="105" t="s">
        <v>1793</v>
      </c>
      <c r="C362" s="105" t="s">
        <v>2646</v>
      </c>
      <c r="D362" s="149" t="s">
        <v>1795</v>
      </c>
      <c r="E362" s="105">
        <v>1</v>
      </c>
      <c r="F362" s="150" t="s">
        <v>1796</v>
      </c>
      <c r="G362" s="150" t="s">
        <v>1797</v>
      </c>
      <c r="H362" s="119">
        <f t="shared" si="15"/>
        <v>14.75</v>
      </c>
      <c r="I362" s="119"/>
      <c r="J362" s="151">
        <v>0</v>
      </c>
      <c r="K362" s="119">
        <f t="shared" si="16"/>
        <v>14.75</v>
      </c>
      <c r="L362" s="152">
        <f t="shared" si="17"/>
        <v>12.77</v>
      </c>
      <c r="M362" s="113"/>
    </row>
    <row r="363" spans="1:13" s="114" customFormat="1" x14ac:dyDescent="0.2">
      <c r="A363" s="106" t="s">
        <v>2647</v>
      </c>
      <c r="B363" s="105" t="s">
        <v>2193</v>
      </c>
      <c r="C363" s="105" t="s">
        <v>2648</v>
      </c>
      <c r="D363" s="149" t="s">
        <v>2195</v>
      </c>
      <c r="E363" s="105">
        <v>1</v>
      </c>
      <c r="F363" s="150" t="s">
        <v>1891</v>
      </c>
      <c r="G363" s="150" t="s">
        <v>1892</v>
      </c>
      <c r="H363" s="119">
        <f t="shared" si="15"/>
        <v>24</v>
      </c>
      <c r="I363" s="119"/>
      <c r="J363" s="151">
        <v>0</v>
      </c>
      <c r="K363" s="119">
        <f t="shared" si="16"/>
        <v>24</v>
      </c>
      <c r="L363" s="152">
        <f t="shared" si="17"/>
        <v>20.68</v>
      </c>
      <c r="M363" s="113"/>
    </row>
    <row r="364" spans="1:13" s="114" customFormat="1" x14ac:dyDescent="0.2">
      <c r="A364" s="106" t="s">
        <v>2647</v>
      </c>
      <c r="B364" s="105" t="s">
        <v>2059</v>
      </c>
      <c r="C364" s="105" t="s">
        <v>2649</v>
      </c>
      <c r="D364" s="149" t="s">
        <v>2061</v>
      </c>
      <c r="E364" s="105">
        <v>1</v>
      </c>
      <c r="F364" s="150" t="s">
        <v>1923</v>
      </c>
      <c r="G364" s="150" t="s">
        <v>1809</v>
      </c>
      <c r="H364" s="119">
        <f t="shared" si="15"/>
        <v>18</v>
      </c>
      <c r="I364" s="119"/>
      <c r="J364" s="151">
        <v>0</v>
      </c>
      <c r="K364" s="119">
        <f t="shared" si="16"/>
        <v>18</v>
      </c>
      <c r="L364" s="152">
        <f t="shared" si="17"/>
        <v>15.5</v>
      </c>
      <c r="M364" s="113"/>
    </row>
    <row r="365" spans="1:13" s="114" customFormat="1" x14ac:dyDescent="0.2">
      <c r="A365" s="106" t="s">
        <v>2647</v>
      </c>
      <c r="B365" s="105" t="s">
        <v>2650</v>
      </c>
      <c r="C365" s="105" t="s">
        <v>2651</v>
      </c>
      <c r="D365" s="149" t="s">
        <v>2652</v>
      </c>
      <c r="E365" s="105">
        <v>2</v>
      </c>
      <c r="F365" s="150" t="s">
        <v>2653</v>
      </c>
      <c r="G365" s="150" t="s">
        <v>2654</v>
      </c>
      <c r="H365" s="119">
        <f t="shared" si="15"/>
        <v>95.5</v>
      </c>
      <c r="I365" s="119"/>
      <c r="J365" s="151">
        <v>0</v>
      </c>
      <c r="K365" s="119">
        <f t="shared" si="16"/>
        <v>95.5</v>
      </c>
      <c r="L365" s="152">
        <f t="shared" si="17"/>
        <v>83</v>
      </c>
      <c r="M365" s="113"/>
    </row>
    <row r="366" spans="1:13" s="114" customFormat="1" x14ac:dyDescent="0.2">
      <c r="A366" s="106" t="s">
        <v>2647</v>
      </c>
      <c r="B366" s="105" t="s">
        <v>2655</v>
      </c>
      <c r="C366" s="105" t="s">
        <v>2651</v>
      </c>
      <c r="D366" s="149" t="s">
        <v>2656</v>
      </c>
      <c r="E366" s="105">
        <v>1</v>
      </c>
      <c r="F366" s="150" t="s">
        <v>2657</v>
      </c>
      <c r="G366" s="150" t="s">
        <v>2658</v>
      </c>
      <c r="H366" s="119">
        <f t="shared" si="15"/>
        <v>81.5</v>
      </c>
      <c r="I366" s="119"/>
      <c r="J366" s="151">
        <v>0</v>
      </c>
      <c r="K366" s="119">
        <f t="shared" si="16"/>
        <v>81.5</v>
      </c>
      <c r="L366" s="152">
        <f t="shared" si="17"/>
        <v>70.91</v>
      </c>
      <c r="M366" s="113"/>
    </row>
    <row r="367" spans="1:13" s="114" customFormat="1" x14ac:dyDescent="0.2">
      <c r="A367" s="106" t="s">
        <v>2647</v>
      </c>
      <c r="B367" s="105" t="s">
        <v>2659</v>
      </c>
      <c r="C367" s="105" t="s">
        <v>2660</v>
      </c>
      <c r="D367" s="149" t="s">
        <v>2661</v>
      </c>
      <c r="E367" s="105">
        <v>1</v>
      </c>
      <c r="F367" s="150" t="s">
        <v>2493</v>
      </c>
      <c r="G367" s="150" t="s">
        <v>2662</v>
      </c>
      <c r="H367" s="119">
        <f t="shared" si="15"/>
        <v>70.75</v>
      </c>
      <c r="I367" s="119"/>
      <c r="J367" s="151">
        <v>0</v>
      </c>
      <c r="K367" s="119">
        <f t="shared" si="16"/>
        <v>70.75</v>
      </c>
      <c r="L367" s="152">
        <f t="shared" si="17"/>
        <v>61.5</v>
      </c>
      <c r="M367" s="113"/>
    </row>
    <row r="368" spans="1:13" s="114" customFormat="1" x14ac:dyDescent="0.2">
      <c r="A368" s="106" t="s">
        <v>2647</v>
      </c>
      <c r="B368" s="105" t="s">
        <v>2357</v>
      </c>
      <c r="C368" s="105" t="s">
        <v>2663</v>
      </c>
      <c r="D368" s="149" t="s">
        <v>2359</v>
      </c>
      <c r="E368" s="105">
        <v>1</v>
      </c>
      <c r="F368" s="150" t="s">
        <v>1852</v>
      </c>
      <c r="G368" s="150" t="s">
        <v>1853</v>
      </c>
      <c r="H368" s="119">
        <f t="shared" si="15"/>
        <v>7.5</v>
      </c>
      <c r="I368" s="119"/>
      <c r="J368" s="151">
        <v>0</v>
      </c>
      <c r="K368" s="119">
        <f t="shared" si="16"/>
        <v>7.5</v>
      </c>
      <c r="L368" s="152">
        <f t="shared" si="17"/>
        <v>6.18</v>
      </c>
      <c r="M368" s="113"/>
    </row>
    <row r="369" spans="1:13" s="114" customFormat="1" x14ac:dyDescent="0.2">
      <c r="A369" s="106" t="s">
        <v>2647</v>
      </c>
      <c r="B369" s="105" t="s">
        <v>1951</v>
      </c>
      <c r="C369" s="105" t="s">
        <v>2664</v>
      </c>
      <c r="D369" s="149" t="s">
        <v>1952</v>
      </c>
      <c r="E369" s="105">
        <v>1</v>
      </c>
      <c r="F369" s="150" t="s">
        <v>1796</v>
      </c>
      <c r="G369" s="150" t="s">
        <v>1797</v>
      </c>
      <c r="H369" s="119">
        <f t="shared" si="15"/>
        <v>14.75</v>
      </c>
      <c r="I369" s="119"/>
      <c r="J369" s="151">
        <v>0</v>
      </c>
      <c r="K369" s="119">
        <f t="shared" si="16"/>
        <v>14.75</v>
      </c>
      <c r="L369" s="152">
        <f t="shared" si="17"/>
        <v>12.77</v>
      </c>
      <c r="M369" s="113"/>
    </row>
    <row r="370" spans="1:13" s="114" customFormat="1" x14ac:dyDescent="0.2">
      <c r="A370" s="106" t="s">
        <v>2647</v>
      </c>
      <c r="B370" s="105" t="s">
        <v>1793</v>
      </c>
      <c r="C370" s="105" t="s">
        <v>2664</v>
      </c>
      <c r="D370" s="149" t="s">
        <v>1795</v>
      </c>
      <c r="E370" s="105">
        <v>1</v>
      </c>
      <c r="F370" s="150" t="s">
        <v>1796</v>
      </c>
      <c r="G370" s="150" t="s">
        <v>1797</v>
      </c>
      <c r="H370" s="119">
        <f t="shared" si="15"/>
        <v>14.75</v>
      </c>
      <c r="I370" s="119"/>
      <c r="J370" s="151">
        <v>0</v>
      </c>
      <c r="K370" s="119">
        <f t="shared" si="16"/>
        <v>14.75</v>
      </c>
      <c r="L370" s="152">
        <f t="shared" si="17"/>
        <v>12.77</v>
      </c>
      <c r="M370" s="113"/>
    </row>
    <row r="371" spans="1:13" s="114" customFormat="1" x14ac:dyDescent="0.2">
      <c r="A371" s="106" t="s">
        <v>2647</v>
      </c>
      <c r="B371" s="105" t="s">
        <v>2665</v>
      </c>
      <c r="C371" s="105" t="s">
        <v>2666</v>
      </c>
      <c r="D371" s="149" t="s">
        <v>2667</v>
      </c>
      <c r="E371" s="105">
        <v>2</v>
      </c>
      <c r="F371" s="150" t="s">
        <v>2668</v>
      </c>
      <c r="G371" s="150" t="s">
        <v>2669</v>
      </c>
      <c r="H371" s="119">
        <f t="shared" si="15"/>
        <v>43.5</v>
      </c>
      <c r="I371" s="119"/>
      <c r="J371" s="151">
        <v>0</v>
      </c>
      <c r="K371" s="119">
        <f t="shared" si="16"/>
        <v>43.5</v>
      </c>
      <c r="L371" s="152">
        <f t="shared" si="17"/>
        <v>37.14</v>
      </c>
      <c r="M371" s="113"/>
    </row>
    <row r="372" spans="1:13" s="114" customFormat="1" x14ac:dyDescent="0.2">
      <c r="A372" s="106" t="s">
        <v>2647</v>
      </c>
      <c r="B372" s="105" t="s">
        <v>2055</v>
      </c>
      <c r="C372" s="105" t="s">
        <v>2670</v>
      </c>
      <c r="D372" s="149" t="s">
        <v>2056</v>
      </c>
      <c r="E372" s="105">
        <v>1</v>
      </c>
      <c r="F372" s="150" t="s">
        <v>1824</v>
      </c>
      <c r="G372" s="150" t="s">
        <v>1825</v>
      </c>
      <c r="H372" s="119">
        <f t="shared" si="15"/>
        <v>67.5</v>
      </c>
      <c r="I372" s="119"/>
      <c r="J372" s="151">
        <v>0</v>
      </c>
      <c r="K372" s="119">
        <f t="shared" si="16"/>
        <v>67.5</v>
      </c>
      <c r="L372" s="152">
        <f t="shared" si="17"/>
        <v>59.58</v>
      </c>
      <c r="M372" s="113"/>
    </row>
    <row r="373" spans="1:13" s="114" customFormat="1" x14ac:dyDescent="0.2">
      <c r="A373" s="106" t="s">
        <v>2647</v>
      </c>
      <c r="B373" s="105" t="s">
        <v>1951</v>
      </c>
      <c r="C373" s="105"/>
      <c r="D373" s="149" t="s">
        <v>1952</v>
      </c>
      <c r="E373" s="105">
        <v>1</v>
      </c>
      <c r="F373" s="150" t="s">
        <v>1796</v>
      </c>
      <c r="G373" s="150" t="s">
        <v>1797</v>
      </c>
      <c r="H373" s="119">
        <f t="shared" si="15"/>
        <v>14.75</v>
      </c>
      <c r="I373" s="119"/>
      <c r="J373" s="151">
        <v>0</v>
      </c>
      <c r="K373" s="119">
        <f t="shared" si="16"/>
        <v>14.75</v>
      </c>
      <c r="L373" s="152">
        <f t="shared" si="17"/>
        <v>12.77</v>
      </c>
      <c r="M373" s="113"/>
    </row>
    <row r="374" spans="1:13" s="114" customFormat="1" x14ac:dyDescent="0.2">
      <c r="A374" s="106" t="s">
        <v>2647</v>
      </c>
      <c r="B374" s="105" t="s">
        <v>2671</v>
      </c>
      <c r="C374" s="105" t="s">
        <v>2672</v>
      </c>
      <c r="D374" s="149" t="s">
        <v>2673</v>
      </c>
      <c r="E374" s="105">
        <v>1</v>
      </c>
      <c r="F374" s="150" t="s">
        <v>1879</v>
      </c>
      <c r="G374" s="150" t="s">
        <v>1880</v>
      </c>
      <c r="H374" s="119">
        <f t="shared" si="15"/>
        <v>21</v>
      </c>
      <c r="I374" s="119"/>
      <c r="J374" s="151">
        <v>0</v>
      </c>
      <c r="K374" s="119">
        <f t="shared" si="16"/>
        <v>21</v>
      </c>
      <c r="L374" s="152">
        <f t="shared" si="17"/>
        <v>18.2</v>
      </c>
      <c r="M374" s="113"/>
    </row>
    <row r="375" spans="1:13" s="114" customFormat="1" x14ac:dyDescent="0.2">
      <c r="A375" s="106" t="s">
        <v>2647</v>
      </c>
      <c r="B375" s="105" t="s">
        <v>1920</v>
      </c>
      <c r="C375" s="105" t="s">
        <v>2674</v>
      </c>
      <c r="D375" s="149" t="s">
        <v>1921</v>
      </c>
      <c r="E375" s="105">
        <v>1</v>
      </c>
      <c r="F375" s="150" t="s">
        <v>1922</v>
      </c>
      <c r="G375" s="150" t="s">
        <v>1923</v>
      </c>
      <c r="H375" s="119">
        <f t="shared" si="15"/>
        <v>15.5</v>
      </c>
      <c r="I375" s="119"/>
      <c r="J375" s="151">
        <v>0</v>
      </c>
      <c r="K375" s="119">
        <f t="shared" si="16"/>
        <v>15.5</v>
      </c>
      <c r="L375" s="152">
        <f t="shared" si="17"/>
        <v>13.32</v>
      </c>
      <c r="M375" s="113"/>
    </row>
    <row r="376" spans="1:13" s="114" customFormat="1" x14ac:dyDescent="0.2">
      <c r="A376" s="106" t="s">
        <v>2647</v>
      </c>
      <c r="B376" s="105" t="s">
        <v>2675</v>
      </c>
      <c r="C376" s="105" t="s">
        <v>2676</v>
      </c>
      <c r="D376" s="149" t="s">
        <v>2677</v>
      </c>
      <c r="E376" s="105">
        <v>1</v>
      </c>
      <c r="F376" s="150" t="s">
        <v>2188</v>
      </c>
      <c r="G376" s="150" t="s">
        <v>2259</v>
      </c>
      <c r="H376" s="119">
        <f t="shared" si="15"/>
        <v>68.5</v>
      </c>
      <c r="I376" s="119"/>
      <c r="J376" s="151">
        <v>0</v>
      </c>
      <c r="K376" s="119">
        <f t="shared" si="16"/>
        <v>68.5</v>
      </c>
      <c r="L376" s="152">
        <f t="shared" si="17"/>
        <v>59.5</v>
      </c>
      <c r="M376" s="113"/>
    </row>
    <row r="377" spans="1:13" s="114" customFormat="1" x14ac:dyDescent="0.2">
      <c r="A377" s="106" t="s">
        <v>2647</v>
      </c>
      <c r="B377" s="105" t="s">
        <v>2226</v>
      </c>
      <c r="C377" s="105" t="s">
        <v>2676</v>
      </c>
      <c r="D377" s="149" t="s">
        <v>2228</v>
      </c>
      <c r="E377" s="105">
        <v>1</v>
      </c>
      <c r="F377" s="150" t="s">
        <v>2229</v>
      </c>
      <c r="G377" s="150" t="s">
        <v>2230</v>
      </c>
      <c r="H377" s="119">
        <f t="shared" si="15"/>
        <v>23</v>
      </c>
      <c r="I377" s="119"/>
      <c r="J377" s="151">
        <v>0</v>
      </c>
      <c r="K377" s="119">
        <f t="shared" si="16"/>
        <v>23</v>
      </c>
      <c r="L377" s="152">
        <f t="shared" si="17"/>
        <v>19.47</v>
      </c>
      <c r="M377" s="113"/>
    </row>
    <row r="378" spans="1:13" s="114" customFormat="1" x14ac:dyDescent="0.2">
      <c r="A378" s="106" t="s">
        <v>2647</v>
      </c>
      <c r="B378" s="105" t="s">
        <v>1933</v>
      </c>
      <c r="C378" s="105" t="s">
        <v>2678</v>
      </c>
      <c r="D378" s="149" t="s">
        <v>1934</v>
      </c>
      <c r="E378" s="105">
        <v>1</v>
      </c>
      <c r="F378" s="150" t="s">
        <v>1935</v>
      </c>
      <c r="G378" s="150" t="s">
        <v>1936</v>
      </c>
      <c r="H378" s="119">
        <f t="shared" si="15"/>
        <v>4.25</v>
      </c>
      <c r="I378" s="119"/>
      <c r="J378" s="151">
        <v>0</v>
      </c>
      <c r="K378" s="119">
        <f t="shared" si="16"/>
        <v>4.25</v>
      </c>
      <c r="L378" s="152">
        <f t="shared" si="17"/>
        <v>3.6</v>
      </c>
      <c r="M378" s="113"/>
    </row>
    <row r="379" spans="1:13" s="114" customFormat="1" x14ac:dyDescent="0.2">
      <c r="A379" s="153" t="s">
        <v>2647</v>
      </c>
      <c r="B379" s="154" t="s">
        <v>2507</v>
      </c>
      <c r="C379" s="154" t="s">
        <v>2679</v>
      </c>
      <c r="D379" s="155" t="s">
        <v>2508</v>
      </c>
      <c r="E379" s="154">
        <v>5</v>
      </c>
      <c r="F379" s="146"/>
      <c r="G379" s="146" t="s">
        <v>2509</v>
      </c>
      <c r="H379" s="147">
        <f t="shared" si="15"/>
        <v>280</v>
      </c>
      <c r="I379" s="147"/>
      <c r="J379" s="156">
        <v>0</v>
      </c>
      <c r="K379" s="147">
        <f t="shared" si="16"/>
        <v>280</v>
      </c>
      <c r="L379" s="148">
        <f t="shared" si="17"/>
        <v>0</v>
      </c>
      <c r="M379" s="113"/>
    </row>
    <row r="380" spans="1:13" s="114" customFormat="1" x14ac:dyDescent="0.2">
      <c r="A380" s="106" t="s">
        <v>2647</v>
      </c>
      <c r="B380" s="105" t="s">
        <v>2680</v>
      </c>
      <c r="C380" s="105" t="s">
        <v>2679</v>
      </c>
      <c r="D380" s="149" t="s">
        <v>2681</v>
      </c>
      <c r="E380" s="105">
        <v>3</v>
      </c>
      <c r="F380" s="150" t="s">
        <v>1879</v>
      </c>
      <c r="G380" s="150" t="s">
        <v>1880</v>
      </c>
      <c r="H380" s="119">
        <f t="shared" si="15"/>
        <v>63</v>
      </c>
      <c r="I380" s="119"/>
      <c r="J380" s="151">
        <v>0</v>
      </c>
      <c r="K380" s="119">
        <f t="shared" si="16"/>
        <v>63</v>
      </c>
      <c r="L380" s="152">
        <f t="shared" si="17"/>
        <v>54.599999999999994</v>
      </c>
      <c r="M380" s="113"/>
    </row>
    <row r="381" spans="1:13" s="114" customFormat="1" x14ac:dyDescent="0.2">
      <c r="A381" s="106" t="s">
        <v>2647</v>
      </c>
      <c r="B381" s="105" t="s">
        <v>2682</v>
      </c>
      <c r="C381" s="105" t="s">
        <v>2679</v>
      </c>
      <c r="D381" s="149" t="s">
        <v>2683</v>
      </c>
      <c r="E381" s="105">
        <v>1</v>
      </c>
      <c r="F381" s="150" t="s">
        <v>2684</v>
      </c>
      <c r="G381" s="150" t="s">
        <v>2685</v>
      </c>
      <c r="H381" s="119">
        <f t="shared" si="15"/>
        <v>110.75</v>
      </c>
      <c r="I381" s="119"/>
      <c r="J381" s="151">
        <v>0</v>
      </c>
      <c r="K381" s="119">
        <f t="shared" si="16"/>
        <v>110.75</v>
      </c>
      <c r="L381" s="152">
        <f t="shared" si="17"/>
        <v>96.19</v>
      </c>
      <c r="M381" s="113"/>
    </row>
    <row r="382" spans="1:13" s="114" customFormat="1" x14ac:dyDescent="0.2">
      <c r="A382" s="106" t="s">
        <v>2647</v>
      </c>
      <c r="B382" s="105" t="s">
        <v>2686</v>
      </c>
      <c r="C382" s="105" t="s">
        <v>2679</v>
      </c>
      <c r="D382" s="149" t="s">
        <v>2687</v>
      </c>
      <c r="E382" s="105">
        <v>1</v>
      </c>
      <c r="F382" s="150" t="s">
        <v>2688</v>
      </c>
      <c r="G382" s="150" t="s">
        <v>2689</v>
      </c>
      <c r="H382" s="119">
        <f t="shared" si="15"/>
        <v>60.25</v>
      </c>
      <c r="I382" s="119"/>
      <c r="J382" s="151">
        <v>0</v>
      </c>
      <c r="K382" s="119">
        <f t="shared" si="16"/>
        <v>60.25</v>
      </c>
      <c r="L382" s="152">
        <f t="shared" si="17"/>
        <v>51</v>
      </c>
      <c r="M382" s="113"/>
    </row>
    <row r="383" spans="1:13" s="114" customFormat="1" x14ac:dyDescent="0.2">
      <c r="A383" s="106" t="s">
        <v>2647</v>
      </c>
      <c r="B383" s="105" t="s">
        <v>2476</v>
      </c>
      <c r="C383" s="105" t="s">
        <v>2679</v>
      </c>
      <c r="D383" s="149" t="s">
        <v>2478</v>
      </c>
      <c r="E383" s="105">
        <v>1</v>
      </c>
      <c r="F383" s="150" t="s">
        <v>2479</v>
      </c>
      <c r="G383" s="150" t="s">
        <v>2480</v>
      </c>
      <c r="H383" s="119">
        <f t="shared" si="15"/>
        <v>48.75</v>
      </c>
      <c r="I383" s="119"/>
      <c r="J383" s="151">
        <v>0</v>
      </c>
      <c r="K383" s="119">
        <f t="shared" si="16"/>
        <v>48.75</v>
      </c>
      <c r="L383" s="152">
        <f t="shared" si="17"/>
        <v>41.25</v>
      </c>
      <c r="M383" s="113"/>
    </row>
    <row r="384" spans="1:13" s="114" customFormat="1" x14ac:dyDescent="0.2">
      <c r="A384" s="106" t="s">
        <v>2647</v>
      </c>
      <c r="B384" s="105" t="s">
        <v>2521</v>
      </c>
      <c r="C384" s="105" t="s">
        <v>2679</v>
      </c>
      <c r="D384" s="149" t="s">
        <v>2522</v>
      </c>
      <c r="E384" s="105">
        <v>6</v>
      </c>
      <c r="F384" s="150" t="s">
        <v>2523</v>
      </c>
      <c r="G384" s="150" t="s">
        <v>1939</v>
      </c>
      <c r="H384" s="119">
        <f t="shared" si="15"/>
        <v>43.5</v>
      </c>
      <c r="I384" s="119"/>
      <c r="J384" s="151">
        <v>0</v>
      </c>
      <c r="K384" s="119">
        <f t="shared" si="16"/>
        <v>43.5</v>
      </c>
      <c r="L384" s="152">
        <f t="shared" si="17"/>
        <v>36.119999999999997</v>
      </c>
      <c r="M384" s="113"/>
    </row>
    <row r="385" spans="1:13" s="114" customFormat="1" x14ac:dyDescent="0.2">
      <c r="A385" s="106" t="s">
        <v>2647</v>
      </c>
      <c r="B385" s="105" t="s">
        <v>2690</v>
      </c>
      <c r="C385" s="105" t="s">
        <v>2691</v>
      </c>
      <c r="D385" s="149" t="s">
        <v>2692</v>
      </c>
      <c r="E385" s="105">
        <v>4</v>
      </c>
      <c r="F385" s="150" t="s">
        <v>2693</v>
      </c>
      <c r="G385" s="150" t="s">
        <v>2070</v>
      </c>
      <c r="H385" s="119">
        <f t="shared" si="15"/>
        <v>152</v>
      </c>
      <c r="I385" s="119"/>
      <c r="J385" s="151">
        <v>0</v>
      </c>
      <c r="K385" s="119">
        <f t="shared" si="16"/>
        <v>152</v>
      </c>
      <c r="L385" s="152">
        <f t="shared" si="17"/>
        <v>131.44</v>
      </c>
      <c r="M385" s="113"/>
    </row>
    <row r="386" spans="1:13" s="114" customFormat="1" x14ac:dyDescent="0.2">
      <c r="A386" s="106" t="s">
        <v>2647</v>
      </c>
      <c r="B386" s="105" t="s">
        <v>2298</v>
      </c>
      <c r="C386" s="105" t="s">
        <v>2691</v>
      </c>
      <c r="D386" s="149" t="s">
        <v>2299</v>
      </c>
      <c r="E386" s="105">
        <v>2</v>
      </c>
      <c r="F386" s="150" t="s">
        <v>2300</v>
      </c>
      <c r="G386" s="150" t="s">
        <v>1892</v>
      </c>
      <c r="H386" s="119">
        <f t="shared" si="15"/>
        <v>48</v>
      </c>
      <c r="I386" s="119"/>
      <c r="J386" s="151">
        <v>0</v>
      </c>
      <c r="K386" s="119">
        <f t="shared" si="16"/>
        <v>48</v>
      </c>
      <c r="L386" s="152">
        <f t="shared" si="17"/>
        <v>41.6</v>
      </c>
      <c r="M386" s="113"/>
    </row>
    <row r="387" spans="1:13" s="114" customFormat="1" x14ac:dyDescent="0.2">
      <c r="A387" s="106" t="s">
        <v>2647</v>
      </c>
      <c r="B387" s="105" t="s">
        <v>2694</v>
      </c>
      <c r="C387" s="105" t="s">
        <v>2691</v>
      </c>
      <c r="D387" s="149" t="s">
        <v>2695</v>
      </c>
      <c r="E387" s="105">
        <v>2</v>
      </c>
      <c r="F387" s="150" t="s">
        <v>2696</v>
      </c>
      <c r="G387" s="150" t="s">
        <v>2697</v>
      </c>
      <c r="H387" s="119">
        <f t="shared" si="15"/>
        <v>148.5</v>
      </c>
      <c r="I387" s="119"/>
      <c r="J387" s="151">
        <v>0</v>
      </c>
      <c r="K387" s="119">
        <f t="shared" si="16"/>
        <v>148.5</v>
      </c>
      <c r="L387" s="152">
        <f t="shared" si="17"/>
        <v>128.97999999999999</v>
      </c>
      <c r="M387" s="113"/>
    </row>
    <row r="388" spans="1:13" s="114" customFormat="1" x14ac:dyDescent="0.2">
      <c r="A388" s="106" t="s">
        <v>2647</v>
      </c>
      <c r="B388" s="105" t="s">
        <v>2698</v>
      </c>
      <c r="C388" s="105" t="s">
        <v>2691</v>
      </c>
      <c r="D388" s="149" t="s">
        <v>2699</v>
      </c>
      <c r="E388" s="105">
        <v>2</v>
      </c>
      <c r="F388" s="150" t="s">
        <v>2700</v>
      </c>
      <c r="G388" s="150" t="s">
        <v>2701</v>
      </c>
      <c r="H388" s="119">
        <f t="shared" si="15"/>
        <v>77.5</v>
      </c>
      <c r="I388" s="119"/>
      <c r="J388" s="151">
        <v>0</v>
      </c>
      <c r="K388" s="119">
        <f t="shared" si="16"/>
        <v>77.5</v>
      </c>
      <c r="L388" s="152">
        <f t="shared" si="17"/>
        <v>65.5</v>
      </c>
      <c r="M388" s="113"/>
    </row>
    <row r="389" spans="1:13" s="114" customFormat="1" x14ac:dyDescent="0.2">
      <c r="A389" s="106" t="s">
        <v>2647</v>
      </c>
      <c r="B389" s="105" t="s">
        <v>2162</v>
      </c>
      <c r="C389" s="105" t="s">
        <v>2691</v>
      </c>
      <c r="D389" s="149" t="s">
        <v>2163</v>
      </c>
      <c r="E389" s="105">
        <v>2</v>
      </c>
      <c r="F389" s="150" t="s">
        <v>2164</v>
      </c>
      <c r="G389" s="150" t="s">
        <v>2165</v>
      </c>
      <c r="H389" s="119">
        <f t="shared" si="15"/>
        <v>155</v>
      </c>
      <c r="I389" s="119"/>
      <c r="J389" s="151">
        <v>0</v>
      </c>
      <c r="K389" s="119">
        <f t="shared" si="16"/>
        <v>155</v>
      </c>
      <c r="L389" s="152">
        <f t="shared" si="17"/>
        <v>134.58000000000001</v>
      </c>
      <c r="M389" s="113"/>
    </row>
    <row r="390" spans="1:13" s="114" customFormat="1" x14ac:dyDescent="0.2">
      <c r="A390" s="106" t="s">
        <v>2647</v>
      </c>
      <c r="B390" s="105" t="s">
        <v>2702</v>
      </c>
      <c r="C390" s="105" t="s">
        <v>2691</v>
      </c>
      <c r="D390" s="149" t="s">
        <v>2703</v>
      </c>
      <c r="E390" s="105">
        <v>1</v>
      </c>
      <c r="F390" s="150" t="s">
        <v>2704</v>
      </c>
      <c r="G390" s="150" t="s">
        <v>2614</v>
      </c>
      <c r="H390" s="119">
        <f t="shared" ref="H390:H453" si="18">E390*G390</f>
        <v>59.25</v>
      </c>
      <c r="I390" s="119"/>
      <c r="J390" s="151">
        <v>0</v>
      </c>
      <c r="K390" s="119">
        <f t="shared" ref="K390:K453" si="19">H390+I390-J390</f>
        <v>59.25</v>
      </c>
      <c r="L390" s="152">
        <f t="shared" ref="L390:L453" si="20">E390*F390</f>
        <v>51.5</v>
      </c>
      <c r="M390" s="113"/>
    </row>
    <row r="391" spans="1:13" s="114" customFormat="1" x14ac:dyDescent="0.2">
      <c r="A391" s="153" t="s">
        <v>2647</v>
      </c>
      <c r="B391" s="154" t="s">
        <v>2581</v>
      </c>
      <c r="C391" s="154" t="s">
        <v>2691</v>
      </c>
      <c r="D391" s="155" t="s">
        <v>2583</v>
      </c>
      <c r="E391" s="154">
        <v>10</v>
      </c>
      <c r="F391" s="146"/>
      <c r="G391" s="146" t="s">
        <v>1939</v>
      </c>
      <c r="H391" s="147">
        <f t="shared" si="18"/>
        <v>72.5</v>
      </c>
      <c r="I391" s="147"/>
      <c r="J391" s="156">
        <v>0</v>
      </c>
      <c r="K391" s="147">
        <f t="shared" si="19"/>
        <v>72.5</v>
      </c>
      <c r="L391" s="148">
        <f t="shared" si="20"/>
        <v>0</v>
      </c>
      <c r="M391" s="113"/>
    </row>
    <row r="392" spans="1:13" s="114" customFormat="1" x14ac:dyDescent="0.2">
      <c r="A392" s="106" t="s">
        <v>2647</v>
      </c>
      <c r="B392" s="105" t="s">
        <v>2173</v>
      </c>
      <c r="C392" s="105" t="s">
        <v>2691</v>
      </c>
      <c r="D392" s="149" t="s">
        <v>2175</v>
      </c>
      <c r="E392" s="105">
        <v>2</v>
      </c>
      <c r="F392" s="150" t="s">
        <v>2176</v>
      </c>
      <c r="G392" s="150" t="s">
        <v>2177</v>
      </c>
      <c r="H392" s="119">
        <f t="shared" si="18"/>
        <v>322</v>
      </c>
      <c r="I392" s="119"/>
      <c r="J392" s="151">
        <v>0</v>
      </c>
      <c r="K392" s="119">
        <f t="shared" si="19"/>
        <v>322</v>
      </c>
      <c r="L392" s="152">
        <f t="shared" si="20"/>
        <v>280</v>
      </c>
      <c r="M392" s="113"/>
    </row>
    <row r="393" spans="1:13" s="114" customFormat="1" x14ac:dyDescent="0.2">
      <c r="A393" s="106" t="s">
        <v>2647</v>
      </c>
      <c r="B393" s="105" t="s">
        <v>2031</v>
      </c>
      <c r="C393" s="105" t="s">
        <v>2705</v>
      </c>
      <c r="D393" s="149" t="s">
        <v>2033</v>
      </c>
      <c r="E393" s="105">
        <v>1</v>
      </c>
      <c r="F393" s="150" t="s">
        <v>1879</v>
      </c>
      <c r="G393" s="150" t="s">
        <v>1892</v>
      </c>
      <c r="H393" s="119">
        <f t="shared" si="18"/>
        <v>24</v>
      </c>
      <c r="I393" s="119"/>
      <c r="J393" s="151">
        <v>0</v>
      </c>
      <c r="K393" s="119">
        <f t="shared" si="19"/>
        <v>24</v>
      </c>
      <c r="L393" s="152">
        <f t="shared" si="20"/>
        <v>18.2</v>
      </c>
      <c r="M393" s="113"/>
    </row>
    <row r="394" spans="1:13" s="114" customFormat="1" x14ac:dyDescent="0.2">
      <c r="A394" s="106" t="s">
        <v>2647</v>
      </c>
      <c r="B394" s="105" t="s">
        <v>1893</v>
      </c>
      <c r="C394" s="105" t="s">
        <v>2705</v>
      </c>
      <c r="D394" s="149" t="s">
        <v>1894</v>
      </c>
      <c r="E394" s="105">
        <v>1</v>
      </c>
      <c r="F394" s="150" t="s">
        <v>1895</v>
      </c>
      <c r="G394" s="150" t="s">
        <v>1896</v>
      </c>
      <c r="H394" s="119">
        <f t="shared" si="18"/>
        <v>31.5</v>
      </c>
      <c r="I394" s="119"/>
      <c r="J394" s="151">
        <v>0</v>
      </c>
      <c r="K394" s="119">
        <f t="shared" si="19"/>
        <v>31.5</v>
      </c>
      <c r="L394" s="152">
        <f t="shared" si="20"/>
        <v>27.3</v>
      </c>
      <c r="M394" s="113"/>
    </row>
    <row r="395" spans="1:13" s="114" customFormat="1" x14ac:dyDescent="0.2">
      <c r="A395" s="106" t="s">
        <v>2647</v>
      </c>
      <c r="B395" s="105" t="s">
        <v>1781</v>
      </c>
      <c r="C395" s="105" t="s">
        <v>2706</v>
      </c>
      <c r="D395" s="149" t="s">
        <v>1782</v>
      </c>
      <c r="E395" s="105">
        <v>1</v>
      </c>
      <c r="F395" s="150" t="s">
        <v>1783</v>
      </c>
      <c r="G395" s="150" t="s">
        <v>1784</v>
      </c>
      <c r="H395" s="119">
        <f t="shared" si="18"/>
        <v>11</v>
      </c>
      <c r="I395" s="119"/>
      <c r="J395" s="151">
        <v>0</v>
      </c>
      <c r="K395" s="119">
        <f t="shared" si="19"/>
        <v>11</v>
      </c>
      <c r="L395" s="152">
        <f t="shared" si="20"/>
        <v>9.3800000000000008</v>
      </c>
      <c r="M395" s="113"/>
    </row>
    <row r="396" spans="1:13" s="114" customFormat="1" x14ac:dyDescent="0.2">
      <c r="A396" s="106" t="s">
        <v>2647</v>
      </c>
      <c r="B396" s="105" t="s">
        <v>2707</v>
      </c>
      <c r="C396" s="105" t="s">
        <v>2708</v>
      </c>
      <c r="D396" s="149" t="s">
        <v>2709</v>
      </c>
      <c r="E396" s="105">
        <v>1</v>
      </c>
      <c r="F396" s="150" t="s">
        <v>2710</v>
      </c>
      <c r="G396" s="150" t="s">
        <v>2711</v>
      </c>
      <c r="H396" s="119">
        <f t="shared" si="18"/>
        <v>262.25</v>
      </c>
      <c r="I396" s="119"/>
      <c r="J396" s="151">
        <v>0</v>
      </c>
      <c r="K396" s="119">
        <f t="shared" si="19"/>
        <v>262.25</v>
      </c>
      <c r="L396" s="152">
        <f t="shared" si="20"/>
        <v>228</v>
      </c>
      <c r="M396" s="113"/>
    </row>
    <row r="397" spans="1:13" s="114" customFormat="1" x14ac:dyDescent="0.2">
      <c r="A397" s="106" t="s">
        <v>2647</v>
      </c>
      <c r="B397" s="105" t="s">
        <v>2712</v>
      </c>
      <c r="C397" s="105" t="s">
        <v>2713</v>
      </c>
      <c r="D397" s="149" t="s">
        <v>2714</v>
      </c>
      <c r="E397" s="105">
        <v>1</v>
      </c>
      <c r="F397" s="150" t="s">
        <v>2715</v>
      </c>
      <c r="G397" s="150" t="s">
        <v>2716</v>
      </c>
      <c r="H397" s="119">
        <f t="shared" si="18"/>
        <v>204.75</v>
      </c>
      <c r="I397" s="119"/>
      <c r="J397" s="151">
        <v>0</v>
      </c>
      <c r="K397" s="119">
        <f t="shared" si="19"/>
        <v>204.75</v>
      </c>
      <c r="L397" s="152">
        <f t="shared" si="20"/>
        <v>177.9</v>
      </c>
      <c r="M397" s="113"/>
    </row>
    <row r="398" spans="1:13" s="114" customFormat="1" x14ac:dyDescent="0.2">
      <c r="A398" s="106" t="s">
        <v>2647</v>
      </c>
      <c r="B398" s="105" t="s">
        <v>2717</v>
      </c>
      <c r="C398" s="105" t="s">
        <v>2713</v>
      </c>
      <c r="D398" s="149" t="s">
        <v>2718</v>
      </c>
      <c r="E398" s="105">
        <v>1</v>
      </c>
      <c r="F398" s="150" t="s">
        <v>2719</v>
      </c>
      <c r="G398" s="150" t="s">
        <v>2720</v>
      </c>
      <c r="H398" s="119">
        <f t="shared" si="18"/>
        <v>58.25</v>
      </c>
      <c r="I398" s="119"/>
      <c r="J398" s="151">
        <v>0</v>
      </c>
      <c r="K398" s="119">
        <f t="shared" si="19"/>
        <v>58.25</v>
      </c>
      <c r="L398" s="152">
        <f t="shared" si="20"/>
        <v>50.5</v>
      </c>
      <c r="M398" s="113"/>
    </row>
    <row r="399" spans="1:13" s="114" customFormat="1" x14ac:dyDescent="0.2">
      <c r="A399" s="106" t="s">
        <v>2647</v>
      </c>
      <c r="B399" s="105" t="s">
        <v>2721</v>
      </c>
      <c r="C399" s="105" t="s">
        <v>2713</v>
      </c>
      <c r="D399" s="149" t="s">
        <v>2722</v>
      </c>
      <c r="E399" s="105">
        <v>2</v>
      </c>
      <c r="F399" s="150" t="s">
        <v>2562</v>
      </c>
      <c r="G399" s="150" t="s">
        <v>2563</v>
      </c>
      <c r="H399" s="119">
        <f t="shared" si="18"/>
        <v>92.5</v>
      </c>
      <c r="I399" s="119"/>
      <c r="J399" s="151">
        <v>0</v>
      </c>
      <c r="K399" s="119">
        <f t="shared" si="19"/>
        <v>92.5</v>
      </c>
      <c r="L399" s="152">
        <f t="shared" si="20"/>
        <v>80.12</v>
      </c>
      <c r="M399" s="113"/>
    </row>
    <row r="400" spans="1:13" s="114" customFormat="1" x14ac:dyDescent="0.2">
      <c r="A400" s="106" t="s">
        <v>2647</v>
      </c>
      <c r="B400" s="105" t="s">
        <v>1810</v>
      </c>
      <c r="C400" s="105" t="s">
        <v>2723</v>
      </c>
      <c r="D400" s="149" t="s">
        <v>1811</v>
      </c>
      <c r="E400" s="105">
        <v>1</v>
      </c>
      <c r="F400" s="150" t="s">
        <v>1812</v>
      </c>
      <c r="G400" s="150" t="s">
        <v>1813</v>
      </c>
      <c r="H400" s="119">
        <f t="shared" si="18"/>
        <v>44.25</v>
      </c>
      <c r="I400" s="119"/>
      <c r="J400" s="151">
        <v>0</v>
      </c>
      <c r="K400" s="119">
        <f t="shared" si="19"/>
        <v>44.25</v>
      </c>
      <c r="L400" s="152">
        <f t="shared" si="20"/>
        <v>38.39</v>
      </c>
      <c r="M400" s="113"/>
    </row>
    <row r="401" spans="1:13" s="114" customFormat="1" x14ac:dyDescent="0.2">
      <c r="A401" s="106" t="s">
        <v>2647</v>
      </c>
      <c r="B401" s="105" t="s">
        <v>2400</v>
      </c>
      <c r="C401" s="105" t="s">
        <v>2724</v>
      </c>
      <c r="D401" s="149" t="s">
        <v>2401</v>
      </c>
      <c r="E401" s="105">
        <v>1</v>
      </c>
      <c r="F401" s="150" t="s">
        <v>2402</v>
      </c>
      <c r="G401" s="150" t="s">
        <v>1932</v>
      </c>
      <c r="H401" s="119">
        <f t="shared" si="18"/>
        <v>22</v>
      </c>
      <c r="I401" s="119"/>
      <c r="J401" s="151">
        <v>0</v>
      </c>
      <c r="K401" s="119">
        <f t="shared" si="19"/>
        <v>22</v>
      </c>
      <c r="L401" s="152">
        <f t="shared" si="20"/>
        <v>19.059999999999999</v>
      </c>
      <c r="M401" s="113"/>
    </row>
    <row r="402" spans="1:13" s="114" customFormat="1" x14ac:dyDescent="0.2">
      <c r="A402" s="106" t="s">
        <v>2647</v>
      </c>
      <c r="B402" s="105" t="s">
        <v>2698</v>
      </c>
      <c r="C402" s="105" t="s">
        <v>2724</v>
      </c>
      <c r="D402" s="149" t="s">
        <v>2699</v>
      </c>
      <c r="E402" s="105">
        <v>1</v>
      </c>
      <c r="F402" s="150" t="s">
        <v>2700</v>
      </c>
      <c r="G402" s="150" t="s">
        <v>2701</v>
      </c>
      <c r="H402" s="119">
        <f t="shared" si="18"/>
        <v>38.75</v>
      </c>
      <c r="I402" s="119"/>
      <c r="J402" s="151">
        <v>0</v>
      </c>
      <c r="K402" s="119">
        <f t="shared" si="19"/>
        <v>38.75</v>
      </c>
      <c r="L402" s="152">
        <f t="shared" si="20"/>
        <v>32.75</v>
      </c>
      <c r="M402" s="113"/>
    </row>
    <row r="403" spans="1:13" s="114" customFormat="1" x14ac:dyDescent="0.2">
      <c r="A403" s="106" t="s">
        <v>2647</v>
      </c>
      <c r="B403" s="105" t="s">
        <v>2725</v>
      </c>
      <c r="C403" s="105" t="s">
        <v>2724</v>
      </c>
      <c r="D403" s="149" t="s">
        <v>2726</v>
      </c>
      <c r="E403" s="105">
        <v>2</v>
      </c>
      <c r="F403" s="150" t="s">
        <v>1852</v>
      </c>
      <c r="G403" s="150" t="s">
        <v>1853</v>
      </c>
      <c r="H403" s="119">
        <f t="shared" si="18"/>
        <v>15</v>
      </c>
      <c r="I403" s="119"/>
      <c r="J403" s="151">
        <v>0</v>
      </c>
      <c r="K403" s="119">
        <f t="shared" si="19"/>
        <v>15</v>
      </c>
      <c r="L403" s="152">
        <f t="shared" si="20"/>
        <v>12.36</v>
      </c>
      <c r="M403" s="113"/>
    </row>
    <row r="404" spans="1:13" s="114" customFormat="1" x14ac:dyDescent="0.2">
      <c r="A404" s="106" t="s">
        <v>2647</v>
      </c>
      <c r="B404" s="105" t="s">
        <v>2727</v>
      </c>
      <c r="C404" s="105" t="s">
        <v>2728</v>
      </c>
      <c r="D404" s="149" t="s">
        <v>2729</v>
      </c>
      <c r="E404" s="105">
        <v>1</v>
      </c>
      <c r="F404" s="150" t="s">
        <v>2046</v>
      </c>
      <c r="G404" s="150" t="s">
        <v>2730</v>
      </c>
      <c r="H404" s="119">
        <f t="shared" si="18"/>
        <v>9</v>
      </c>
      <c r="I404" s="119"/>
      <c r="J404" s="151">
        <v>0</v>
      </c>
      <c r="K404" s="119">
        <f t="shared" si="19"/>
        <v>9</v>
      </c>
      <c r="L404" s="152">
        <f t="shared" si="20"/>
        <v>7.75</v>
      </c>
      <c r="M404" s="113"/>
    </row>
    <row r="405" spans="1:13" s="114" customFormat="1" x14ac:dyDescent="0.2">
      <c r="A405" s="106" t="s">
        <v>2647</v>
      </c>
      <c r="B405" s="105" t="s">
        <v>2082</v>
      </c>
      <c r="C405" s="105" t="s">
        <v>2728</v>
      </c>
      <c r="D405" s="149" t="s">
        <v>2083</v>
      </c>
      <c r="E405" s="105">
        <v>1</v>
      </c>
      <c r="F405" s="150" t="s">
        <v>2084</v>
      </c>
      <c r="G405" s="150" t="s">
        <v>1928</v>
      </c>
      <c r="H405" s="119">
        <f t="shared" si="18"/>
        <v>12.25</v>
      </c>
      <c r="I405" s="119"/>
      <c r="J405" s="151">
        <v>0</v>
      </c>
      <c r="K405" s="119">
        <f t="shared" si="19"/>
        <v>12.25</v>
      </c>
      <c r="L405" s="152">
        <f t="shared" si="20"/>
        <v>10.199999999999999</v>
      </c>
      <c r="M405" s="113"/>
    </row>
    <row r="406" spans="1:13" s="114" customFormat="1" x14ac:dyDescent="0.2">
      <c r="A406" s="106" t="s">
        <v>2647</v>
      </c>
      <c r="B406" s="105" t="s">
        <v>2731</v>
      </c>
      <c r="C406" s="105" t="s">
        <v>2728</v>
      </c>
      <c r="D406" s="149" t="s">
        <v>2732</v>
      </c>
      <c r="E406" s="105">
        <v>2</v>
      </c>
      <c r="F406" s="150" t="s">
        <v>2733</v>
      </c>
      <c r="G406" s="150" t="s">
        <v>2046</v>
      </c>
      <c r="H406" s="119">
        <f t="shared" si="18"/>
        <v>15.5</v>
      </c>
      <c r="I406" s="119"/>
      <c r="J406" s="151">
        <v>0</v>
      </c>
      <c r="K406" s="119">
        <f t="shared" si="19"/>
        <v>15.5</v>
      </c>
      <c r="L406" s="152">
        <f t="shared" si="20"/>
        <v>13.18</v>
      </c>
      <c r="M406" s="113"/>
    </row>
    <row r="407" spans="1:13" s="114" customFormat="1" x14ac:dyDescent="0.2">
      <c r="A407" s="106" t="s">
        <v>2647</v>
      </c>
      <c r="B407" s="105" t="s">
        <v>2072</v>
      </c>
      <c r="C407" s="105" t="s">
        <v>2734</v>
      </c>
      <c r="D407" s="149" t="s">
        <v>2074</v>
      </c>
      <c r="E407" s="105">
        <v>2</v>
      </c>
      <c r="F407" s="150" t="s">
        <v>2075</v>
      </c>
      <c r="G407" s="150" t="s">
        <v>2076</v>
      </c>
      <c r="H407" s="119">
        <f t="shared" si="18"/>
        <v>21</v>
      </c>
      <c r="I407" s="119"/>
      <c r="J407" s="151">
        <v>0</v>
      </c>
      <c r="K407" s="119">
        <f t="shared" si="19"/>
        <v>21</v>
      </c>
      <c r="L407" s="152">
        <f t="shared" si="20"/>
        <v>18.2</v>
      </c>
      <c r="M407" s="113"/>
    </row>
    <row r="408" spans="1:13" s="114" customFormat="1" x14ac:dyDescent="0.2">
      <c r="A408" s="106" t="s">
        <v>2647</v>
      </c>
      <c r="B408" s="105" t="s">
        <v>2735</v>
      </c>
      <c r="C408" s="105" t="s">
        <v>2736</v>
      </c>
      <c r="D408" s="149" t="s">
        <v>2737</v>
      </c>
      <c r="E408" s="105">
        <v>1</v>
      </c>
      <c r="F408" s="150" t="s">
        <v>2738</v>
      </c>
      <c r="G408" s="150" t="s">
        <v>2739</v>
      </c>
      <c r="H408" s="119">
        <f t="shared" si="18"/>
        <v>25.5</v>
      </c>
      <c r="I408" s="119"/>
      <c r="J408" s="151">
        <v>0</v>
      </c>
      <c r="K408" s="119">
        <f t="shared" si="19"/>
        <v>25.5</v>
      </c>
      <c r="L408" s="152">
        <f t="shared" si="20"/>
        <v>21.97</v>
      </c>
      <c r="M408" s="113"/>
    </row>
    <row r="409" spans="1:13" s="114" customFormat="1" x14ac:dyDescent="0.2">
      <c r="A409" s="106" t="s">
        <v>2647</v>
      </c>
      <c r="B409" s="105" t="s">
        <v>2338</v>
      </c>
      <c r="C409" s="105" t="s">
        <v>2736</v>
      </c>
      <c r="D409" s="149" t="s">
        <v>2339</v>
      </c>
      <c r="E409" s="105">
        <v>1</v>
      </c>
      <c r="F409" s="150" t="s">
        <v>1913</v>
      </c>
      <c r="G409" s="150" t="s">
        <v>2340</v>
      </c>
      <c r="H409" s="119">
        <f t="shared" si="18"/>
        <v>36.33</v>
      </c>
      <c r="I409" s="119"/>
      <c r="J409" s="151">
        <v>0</v>
      </c>
      <c r="K409" s="119">
        <f t="shared" si="19"/>
        <v>36.33</v>
      </c>
      <c r="L409" s="152">
        <f t="shared" si="20"/>
        <v>31.6</v>
      </c>
      <c r="M409" s="113"/>
    </row>
    <row r="410" spans="1:13" s="114" customFormat="1" x14ac:dyDescent="0.2">
      <c r="A410" s="106" t="s">
        <v>2647</v>
      </c>
      <c r="B410" s="105" t="s">
        <v>2327</v>
      </c>
      <c r="C410" s="105" t="s">
        <v>2736</v>
      </c>
      <c r="D410" s="149" t="s">
        <v>2329</v>
      </c>
      <c r="E410" s="105">
        <v>1</v>
      </c>
      <c r="F410" s="150" t="s">
        <v>2330</v>
      </c>
      <c r="G410" s="150" t="s">
        <v>2331</v>
      </c>
      <c r="H410" s="119">
        <f t="shared" si="18"/>
        <v>26.75</v>
      </c>
      <c r="I410" s="119"/>
      <c r="J410" s="151">
        <v>0</v>
      </c>
      <c r="K410" s="119">
        <f t="shared" si="19"/>
        <v>26.75</v>
      </c>
      <c r="L410" s="152">
        <f t="shared" si="20"/>
        <v>23.07</v>
      </c>
      <c r="M410" s="113"/>
    </row>
    <row r="411" spans="1:13" s="114" customFormat="1" x14ac:dyDescent="0.2">
      <c r="A411" s="106" t="s">
        <v>2647</v>
      </c>
      <c r="B411" s="105" t="s">
        <v>1830</v>
      </c>
      <c r="C411" s="105" t="s">
        <v>2736</v>
      </c>
      <c r="D411" s="149" t="s">
        <v>1831</v>
      </c>
      <c r="E411" s="105">
        <v>1</v>
      </c>
      <c r="F411" s="150" t="s">
        <v>2740</v>
      </c>
      <c r="G411" s="150" t="s">
        <v>2741</v>
      </c>
      <c r="H411" s="119">
        <f t="shared" si="18"/>
        <v>19.5</v>
      </c>
      <c r="I411" s="119"/>
      <c r="J411" s="151">
        <v>0</v>
      </c>
      <c r="K411" s="119">
        <f t="shared" si="19"/>
        <v>19.5</v>
      </c>
      <c r="L411" s="152">
        <f t="shared" si="20"/>
        <v>16.84</v>
      </c>
      <c r="M411" s="113"/>
    </row>
    <row r="412" spans="1:13" s="114" customFormat="1" x14ac:dyDescent="0.2">
      <c r="A412" s="106" t="s">
        <v>2647</v>
      </c>
      <c r="B412" s="105" t="s">
        <v>2742</v>
      </c>
      <c r="C412" s="105" t="s">
        <v>2736</v>
      </c>
      <c r="D412" s="149" t="s">
        <v>2743</v>
      </c>
      <c r="E412" s="105">
        <v>1</v>
      </c>
      <c r="F412" s="150" t="s">
        <v>1832</v>
      </c>
      <c r="G412" s="150" t="s">
        <v>1833</v>
      </c>
      <c r="H412" s="119">
        <f t="shared" si="18"/>
        <v>18.5</v>
      </c>
      <c r="I412" s="119"/>
      <c r="J412" s="151">
        <v>0</v>
      </c>
      <c r="K412" s="119">
        <f t="shared" si="19"/>
        <v>18.5</v>
      </c>
      <c r="L412" s="152">
        <f t="shared" si="20"/>
        <v>16.03</v>
      </c>
      <c r="M412" s="113"/>
    </row>
    <row r="413" spans="1:13" s="114" customFormat="1" x14ac:dyDescent="0.2">
      <c r="A413" s="106" t="s">
        <v>2744</v>
      </c>
      <c r="B413" s="105" t="s">
        <v>2745</v>
      </c>
      <c r="C413" s="105" t="s">
        <v>2746</v>
      </c>
      <c r="D413" s="149" t="s">
        <v>2747</v>
      </c>
      <c r="E413" s="105">
        <v>1</v>
      </c>
      <c r="F413" s="150" t="s">
        <v>2748</v>
      </c>
      <c r="G413" s="150" t="s">
        <v>2749</v>
      </c>
      <c r="H413" s="119">
        <f t="shared" si="18"/>
        <v>77.75</v>
      </c>
      <c r="I413" s="119"/>
      <c r="J413" s="151">
        <v>0</v>
      </c>
      <c r="K413" s="119">
        <f t="shared" si="19"/>
        <v>77.75</v>
      </c>
      <c r="L413" s="152">
        <f t="shared" si="20"/>
        <v>67.52</v>
      </c>
      <c r="M413" s="113"/>
    </row>
    <row r="414" spans="1:13" s="114" customFormat="1" x14ac:dyDescent="0.2">
      <c r="A414" s="106" t="s">
        <v>2744</v>
      </c>
      <c r="B414" s="105" t="s">
        <v>2750</v>
      </c>
      <c r="C414" s="105" t="s">
        <v>2746</v>
      </c>
      <c r="D414" s="149" t="s">
        <v>2751</v>
      </c>
      <c r="E414" s="105">
        <v>2</v>
      </c>
      <c r="F414" s="150" t="s">
        <v>2752</v>
      </c>
      <c r="G414" s="150" t="s">
        <v>2753</v>
      </c>
      <c r="H414" s="119">
        <f t="shared" si="18"/>
        <v>195.5</v>
      </c>
      <c r="I414" s="119"/>
      <c r="J414" s="151">
        <v>0</v>
      </c>
      <c r="K414" s="119">
        <f t="shared" si="19"/>
        <v>195.5</v>
      </c>
      <c r="L414" s="152">
        <f t="shared" si="20"/>
        <v>170</v>
      </c>
      <c r="M414" s="113"/>
    </row>
    <row r="415" spans="1:13" s="114" customFormat="1" x14ac:dyDescent="0.2">
      <c r="A415" s="106" t="s">
        <v>2744</v>
      </c>
      <c r="B415" s="105" t="s">
        <v>2323</v>
      </c>
      <c r="C415" s="105" t="s">
        <v>2754</v>
      </c>
      <c r="D415" s="149" t="s">
        <v>2325</v>
      </c>
      <c r="E415" s="105">
        <v>1</v>
      </c>
      <c r="F415" s="150" t="s">
        <v>2326</v>
      </c>
      <c r="G415" s="150" t="s">
        <v>1932</v>
      </c>
      <c r="H415" s="119">
        <f t="shared" si="18"/>
        <v>22</v>
      </c>
      <c r="I415" s="119"/>
      <c r="J415" s="151">
        <v>0</v>
      </c>
      <c r="K415" s="119">
        <f t="shared" si="19"/>
        <v>22</v>
      </c>
      <c r="L415" s="152">
        <f t="shared" si="20"/>
        <v>19.100000000000001</v>
      </c>
      <c r="M415" s="113"/>
    </row>
    <row r="416" spans="1:13" s="114" customFormat="1" x14ac:dyDescent="0.2">
      <c r="A416" s="106" t="s">
        <v>2744</v>
      </c>
      <c r="B416" s="105" t="s">
        <v>1944</v>
      </c>
      <c r="C416" s="105" t="s">
        <v>2755</v>
      </c>
      <c r="D416" s="149" t="s">
        <v>1946</v>
      </c>
      <c r="E416" s="105">
        <v>6</v>
      </c>
      <c r="F416" s="150" t="s">
        <v>1947</v>
      </c>
      <c r="G416" s="150" t="s">
        <v>1948</v>
      </c>
      <c r="H416" s="119">
        <f t="shared" si="18"/>
        <v>100.5</v>
      </c>
      <c r="I416" s="119"/>
      <c r="J416" s="151">
        <v>0</v>
      </c>
      <c r="K416" s="119">
        <f t="shared" si="19"/>
        <v>100.5</v>
      </c>
      <c r="L416" s="152">
        <f t="shared" si="20"/>
        <v>86.28</v>
      </c>
      <c r="M416" s="113"/>
    </row>
    <row r="417" spans="1:13" s="114" customFormat="1" x14ac:dyDescent="0.2">
      <c r="A417" s="106" t="s">
        <v>2744</v>
      </c>
      <c r="B417" s="105" t="s">
        <v>2597</v>
      </c>
      <c r="C417" s="105" t="s">
        <v>2755</v>
      </c>
      <c r="D417" s="149" t="s">
        <v>2598</v>
      </c>
      <c r="E417" s="105">
        <v>12</v>
      </c>
      <c r="F417" s="150" t="s">
        <v>2599</v>
      </c>
      <c r="G417" s="150" t="s">
        <v>2600</v>
      </c>
      <c r="H417" s="119">
        <f t="shared" si="18"/>
        <v>405</v>
      </c>
      <c r="I417" s="119"/>
      <c r="J417" s="151">
        <v>0</v>
      </c>
      <c r="K417" s="119">
        <f t="shared" si="19"/>
        <v>405</v>
      </c>
      <c r="L417" s="152">
        <f t="shared" si="20"/>
        <v>350.04</v>
      </c>
      <c r="M417" s="113"/>
    </row>
    <row r="418" spans="1:13" s="114" customFormat="1" x14ac:dyDescent="0.2">
      <c r="A418" s="106" t="s">
        <v>2744</v>
      </c>
      <c r="B418" s="105" t="s">
        <v>1826</v>
      </c>
      <c r="C418" s="105" t="s">
        <v>2756</v>
      </c>
      <c r="D418" s="149" t="s">
        <v>1827</v>
      </c>
      <c r="E418" s="105">
        <v>2</v>
      </c>
      <c r="F418" s="150" t="s">
        <v>1828</v>
      </c>
      <c r="G418" s="150" t="s">
        <v>1829</v>
      </c>
      <c r="H418" s="119">
        <f t="shared" si="18"/>
        <v>240</v>
      </c>
      <c r="I418" s="119"/>
      <c r="J418" s="151">
        <v>0</v>
      </c>
      <c r="K418" s="119">
        <f t="shared" si="19"/>
        <v>240</v>
      </c>
      <c r="L418" s="152">
        <f t="shared" si="20"/>
        <v>180</v>
      </c>
      <c r="M418" s="113"/>
    </row>
    <row r="419" spans="1:13" s="114" customFormat="1" x14ac:dyDescent="0.2">
      <c r="A419" s="106" t="s">
        <v>2744</v>
      </c>
      <c r="B419" s="105" t="s">
        <v>2757</v>
      </c>
      <c r="C419" s="105" t="s">
        <v>2758</v>
      </c>
      <c r="D419" s="149" t="s">
        <v>2759</v>
      </c>
      <c r="E419" s="105">
        <v>2</v>
      </c>
      <c r="F419" s="150" t="s">
        <v>1833</v>
      </c>
      <c r="G419" s="150" t="s">
        <v>2427</v>
      </c>
      <c r="H419" s="119">
        <f t="shared" si="18"/>
        <v>43</v>
      </c>
      <c r="I419" s="119"/>
      <c r="J419" s="151">
        <v>0</v>
      </c>
      <c r="K419" s="119">
        <f t="shared" si="19"/>
        <v>43</v>
      </c>
      <c r="L419" s="152">
        <f t="shared" si="20"/>
        <v>37</v>
      </c>
      <c r="M419" s="113"/>
    </row>
    <row r="420" spans="1:13" s="114" customFormat="1" x14ac:dyDescent="0.2">
      <c r="A420" s="106" t="s">
        <v>2744</v>
      </c>
      <c r="B420" s="105" t="s">
        <v>2760</v>
      </c>
      <c r="C420" s="105" t="s">
        <v>2758</v>
      </c>
      <c r="D420" s="149" t="s">
        <v>2761</v>
      </c>
      <c r="E420" s="105">
        <v>1</v>
      </c>
      <c r="F420" s="150" t="s">
        <v>1833</v>
      </c>
      <c r="G420" s="150" t="s">
        <v>2427</v>
      </c>
      <c r="H420" s="119">
        <f t="shared" si="18"/>
        <v>21.5</v>
      </c>
      <c r="I420" s="119"/>
      <c r="J420" s="151">
        <v>0</v>
      </c>
      <c r="K420" s="119">
        <f t="shared" si="19"/>
        <v>21.5</v>
      </c>
      <c r="L420" s="152">
        <f t="shared" si="20"/>
        <v>18.5</v>
      </c>
      <c r="M420" s="113"/>
    </row>
    <row r="421" spans="1:13" s="114" customFormat="1" x14ac:dyDescent="0.2">
      <c r="A421" s="106" t="s">
        <v>2744</v>
      </c>
      <c r="B421" s="105" t="s">
        <v>2671</v>
      </c>
      <c r="C421" s="105" t="s">
        <v>2758</v>
      </c>
      <c r="D421" s="149" t="s">
        <v>2673</v>
      </c>
      <c r="E421" s="105">
        <v>1</v>
      </c>
      <c r="F421" s="150" t="s">
        <v>1879</v>
      </c>
      <c r="G421" s="150" t="s">
        <v>1880</v>
      </c>
      <c r="H421" s="119">
        <f t="shared" si="18"/>
        <v>21</v>
      </c>
      <c r="I421" s="119"/>
      <c r="J421" s="151">
        <v>0</v>
      </c>
      <c r="K421" s="119">
        <f t="shared" si="19"/>
        <v>21</v>
      </c>
      <c r="L421" s="152">
        <f t="shared" si="20"/>
        <v>18.2</v>
      </c>
      <c r="M421" s="113"/>
    </row>
    <row r="422" spans="1:13" s="114" customFormat="1" x14ac:dyDescent="0.2">
      <c r="A422" s="106" t="s">
        <v>2744</v>
      </c>
      <c r="B422" s="105" t="s">
        <v>2762</v>
      </c>
      <c r="C422" s="105" t="s">
        <v>2763</v>
      </c>
      <c r="D422" s="149" t="s">
        <v>2764</v>
      </c>
      <c r="E422" s="105">
        <v>1</v>
      </c>
      <c r="F422" s="150" t="s">
        <v>2668</v>
      </c>
      <c r="G422" s="150" t="s">
        <v>2427</v>
      </c>
      <c r="H422" s="119">
        <f t="shared" si="18"/>
        <v>21.5</v>
      </c>
      <c r="I422" s="119"/>
      <c r="J422" s="151">
        <v>0</v>
      </c>
      <c r="K422" s="119">
        <f t="shared" si="19"/>
        <v>21.5</v>
      </c>
      <c r="L422" s="152">
        <f t="shared" si="20"/>
        <v>18.57</v>
      </c>
      <c r="M422" s="113"/>
    </row>
    <row r="423" spans="1:13" s="114" customFormat="1" x14ac:dyDescent="0.2">
      <c r="A423" s="106" t="s">
        <v>2744</v>
      </c>
      <c r="B423" s="105" t="s">
        <v>2690</v>
      </c>
      <c r="C423" s="105" t="s">
        <v>2765</v>
      </c>
      <c r="D423" s="149" t="s">
        <v>2692</v>
      </c>
      <c r="E423" s="105">
        <v>1</v>
      </c>
      <c r="F423" s="150" t="s">
        <v>2693</v>
      </c>
      <c r="G423" s="150" t="s">
        <v>2070</v>
      </c>
      <c r="H423" s="119">
        <f t="shared" si="18"/>
        <v>38</v>
      </c>
      <c r="I423" s="119"/>
      <c r="J423" s="151">
        <v>0</v>
      </c>
      <c r="K423" s="119">
        <f t="shared" si="19"/>
        <v>38</v>
      </c>
      <c r="L423" s="152">
        <f t="shared" si="20"/>
        <v>32.86</v>
      </c>
      <c r="M423" s="113"/>
    </row>
    <row r="424" spans="1:13" s="114" customFormat="1" x14ac:dyDescent="0.2">
      <c r="A424" s="106" t="s">
        <v>2744</v>
      </c>
      <c r="B424" s="105" t="s">
        <v>1781</v>
      </c>
      <c r="C424" s="105" t="s">
        <v>2766</v>
      </c>
      <c r="D424" s="149" t="s">
        <v>1782</v>
      </c>
      <c r="E424" s="105">
        <v>1</v>
      </c>
      <c r="F424" s="150" t="s">
        <v>1783</v>
      </c>
      <c r="G424" s="150" t="s">
        <v>1784</v>
      </c>
      <c r="H424" s="119">
        <f t="shared" si="18"/>
        <v>11</v>
      </c>
      <c r="I424" s="119"/>
      <c r="J424" s="151">
        <v>0</v>
      </c>
      <c r="K424" s="119">
        <f t="shared" si="19"/>
        <v>11</v>
      </c>
      <c r="L424" s="152">
        <f t="shared" si="20"/>
        <v>9.3800000000000008</v>
      </c>
      <c r="M424" s="113"/>
    </row>
    <row r="425" spans="1:13" s="114" customFormat="1" x14ac:dyDescent="0.2">
      <c r="A425" s="106" t="s">
        <v>2744</v>
      </c>
      <c r="B425" s="105" t="s">
        <v>2767</v>
      </c>
      <c r="C425" s="105" t="s">
        <v>2768</v>
      </c>
      <c r="D425" s="149" t="s">
        <v>2769</v>
      </c>
      <c r="E425" s="105">
        <v>1</v>
      </c>
      <c r="F425" s="150" t="s">
        <v>2770</v>
      </c>
      <c r="G425" s="150" t="s">
        <v>2771</v>
      </c>
      <c r="H425" s="119">
        <f t="shared" si="18"/>
        <v>287.75</v>
      </c>
      <c r="I425" s="119"/>
      <c r="J425" s="151">
        <v>0</v>
      </c>
      <c r="K425" s="119">
        <f t="shared" si="19"/>
        <v>287.75</v>
      </c>
      <c r="L425" s="152">
        <f t="shared" si="20"/>
        <v>250</v>
      </c>
      <c r="M425" s="113"/>
    </row>
    <row r="426" spans="1:13" s="114" customFormat="1" x14ac:dyDescent="0.2">
      <c r="A426" s="106" t="s">
        <v>2744</v>
      </c>
      <c r="B426" s="105" t="s">
        <v>2166</v>
      </c>
      <c r="C426" s="105" t="s">
        <v>2772</v>
      </c>
      <c r="D426" s="149" t="s">
        <v>2168</v>
      </c>
      <c r="E426" s="105">
        <v>1</v>
      </c>
      <c r="F426" s="150" t="s">
        <v>2169</v>
      </c>
      <c r="G426" s="150" t="s">
        <v>2030</v>
      </c>
      <c r="H426" s="119">
        <f t="shared" si="18"/>
        <v>10.25</v>
      </c>
      <c r="I426" s="119"/>
      <c r="J426" s="151">
        <v>0</v>
      </c>
      <c r="K426" s="119">
        <f t="shared" si="19"/>
        <v>10.25</v>
      </c>
      <c r="L426" s="152">
        <f t="shared" si="20"/>
        <v>8.8000000000000007</v>
      </c>
      <c r="M426" s="113"/>
    </row>
    <row r="427" spans="1:13" s="114" customFormat="1" x14ac:dyDescent="0.2">
      <c r="A427" s="106" t="s">
        <v>2744</v>
      </c>
      <c r="B427" s="105" t="s">
        <v>2773</v>
      </c>
      <c r="C427" s="105" t="s">
        <v>2772</v>
      </c>
      <c r="D427" s="149" t="s">
        <v>2774</v>
      </c>
      <c r="E427" s="105">
        <v>1</v>
      </c>
      <c r="F427" s="150" t="s">
        <v>2775</v>
      </c>
      <c r="G427" s="150" t="s">
        <v>1900</v>
      </c>
      <c r="H427" s="119">
        <f t="shared" si="18"/>
        <v>30</v>
      </c>
      <c r="I427" s="119"/>
      <c r="J427" s="151">
        <v>0</v>
      </c>
      <c r="K427" s="119">
        <f t="shared" si="19"/>
        <v>30</v>
      </c>
      <c r="L427" s="152">
        <f t="shared" si="20"/>
        <v>26.09</v>
      </c>
      <c r="M427" s="113"/>
    </row>
    <row r="428" spans="1:13" s="114" customFormat="1" x14ac:dyDescent="0.2">
      <c r="A428" s="106" t="s">
        <v>2744</v>
      </c>
      <c r="B428" s="105" t="s">
        <v>2327</v>
      </c>
      <c r="C428" s="105" t="s">
        <v>2772</v>
      </c>
      <c r="D428" s="149" t="s">
        <v>2329</v>
      </c>
      <c r="E428" s="105">
        <v>1</v>
      </c>
      <c r="F428" s="150" t="s">
        <v>2330</v>
      </c>
      <c r="G428" s="150" t="s">
        <v>2331</v>
      </c>
      <c r="H428" s="119">
        <f t="shared" si="18"/>
        <v>26.75</v>
      </c>
      <c r="I428" s="119"/>
      <c r="J428" s="151">
        <v>0</v>
      </c>
      <c r="K428" s="119">
        <f t="shared" si="19"/>
        <v>26.75</v>
      </c>
      <c r="L428" s="152">
        <f t="shared" si="20"/>
        <v>23.07</v>
      </c>
      <c r="M428" s="113"/>
    </row>
    <row r="429" spans="1:13" s="114" customFormat="1" x14ac:dyDescent="0.2">
      <c r="A429" s="106" t="s">
        <v>2744</v>
      </c>
      <c r="B429" s="105" t="s">
        <v>2226</v>
      </c>
      <c r="C429" s="105" t="s">
        <v>2776</v>
      </c>
      <c r="D429" s="149" t="s">
        <v>2228</v>
      </c>
      <c r="E429" s="105">
        <v>1</v>
      </c>
      <c r="F429" s="150" t="s">
        <v>2229</v>
      </c>
      <c r="G429" s="150" t="s">
        <v>2230</v>
      </c>
      <c r="H429" s="119">
        <f t="shared" si="18"/>
        <v>23</v>
      </c>
      <c r="I429" s="119"/>
      <c r="J429" s="151">
        <v>0</v>
      </c>
      <c r="K429" s="119">
        <f t="shared" si="19"/>
        <v>23</v>
      </c>
      <c r="L429" s="152">
        <f t="shared" si="20"/>
        <v>19.47</v>
      </c>
      <c r="M429" s="113"/>
    </row>
    <row r="430" spans="1:13" s="114" customFormat="1" x14ac:dyDescent="0.2">
      <c r="A430" s="106" t="s">
        <v>2744</v>
      </c>
      <c r="B430" s="105" t="s">
        <v>1810</v>
      </c>
      <c r="C430" s="105" t="s">
        <v>2777</v>
      </c>
      <c r="D430" s="149" t="s">
        <v>1811</v>
      </c>
      <c r="E430" s="105">
        <v>2</v>
      </c>
      <c r="F430" s="150" t="s">
        <v>1812</v>
      </c>
      <c r="G430" s="150" t="s">
        <v>1813</v>
      </c>
      <c r="H430" s="119">
        <f t="shared" si="18"/>
        <v>88.5</v>
      </c>
      <c r="I430" s="119"/>
      <c r="J430" s="151">
        <v>0</v>
      </c>
      <c r="K430" s="119">
        <f t="shared" si="19"/>
        <v>88.5</v>
      </c>
      <c r="L430" s="152">
        <f t="shared" si="20"/>
        <v>76.78</v>
      </c>
      <c r="M430" s="113"/>
    </row>
    <row r="431" spans="1:13" s="114" customFormat="1" x14ac:dyDescent="0.2">
      <c r="A431" s="106" t="s">
        <v>2744</v>
      </c>
      <c r="B431" s="105" t="s">
        <v>2690</v>
      </c>
      <c r="C431" s="105" t="s">
        <v>2777</v>
      </c>
      <c r="D431" s="149" t="s">
        <v>2692</v>
      </c>
      <c r="E431" s="105">
        <v>1</v>
      </c>
      <c r="F431" s="150" t="s">
        <v>2693</v>
      </c>
      <c r="G431" s="150" t="s">
        <v>2070</v>
      </c>
      <c r="H431" s="119">
        <f t="shared" si="18"/>
        <v>38</v>
      </c>
      <c r="I431" s="119"/>
      <c r="J431" s="151">
        <v>0</v>
      </c>
      <c r="K431" s="119">
        <f t="shared" si="19"/>
        <v>38</v>
      </c>
      <c r="L431" s="152">
        <f t="shared" si="20"/>
        <v>32.86</v>
      </c>
      <c r="M431" s="113"/>
    </row>
    <row r="432" spans="1:13" s="114" customFormat="1" x14ac:dyDescent="0.2">
      <c r="A432" s="106" t="s">
        <v>2744</v>
      </c>
      <c r="B432" s="105" t="s">
        <v>2778</v>
      </c>
      <c r="C432" s="105" t="s">
        <v>2777</v>
      </c>
      <c r="D432" s="149" t="s">
        <v>2779</v>
      </c>
      <c r="E432" s="105">
        <v>1</v>
      </c>
      <c r="F432" s="150" t="s">
        <v>2780</v>
      </c>
      <c r="G432" s="150" t="s">
        <v>2781</v>
      </c>
      <c r="H432" s="119">
        <f t="shared" si="18"/>
        <v>133.5</v>
      </c>
      <c r="I432" s="119"/>
      <c r="J432" s="151">
        <v>0</v>
      </c>
      <c r="K432" s="119">
        <f t="shared" si="19"/>
        <v>133.5</v>
      </c>
      <c r="L432" s="152">
        <f t="shared" si="20"/>
        <v>116</v>
      </c>
      <c r="M432" s="113"/>
    </row>
    <row r="433" spans="1:13" s="114" customFormat="1" x14ac:dyDescent="0.2">
      <c r="A433" s="106" t="s">
        <v>2744</v>
      </c>
      <c r="B433" s="105" t="s">
        <v>2782</v>
      </c>
      <c r="C433" s="105" t="s">
        <v>2777</v>
      </c>
      <c r="D433" s="149" t="s">
        <v>2783</v>
      </c>
      <c r="E433" s="105">
        <v>2</v>
      </c>
      <c r="F433" s="150" t="s">
        <v>2784</v>
      </c>
      <c r="G433" s="150" t="s">
        <v>2785</v>
      </c>
      <c r="H433" s="119">
        <f t="shared" si="18"/>
        <v>64.5</v>
      </c>
      <c r="I433" s="119"/>
      <c r="J433" s="151">
        <v>0</v>
      </c>
      <c r="K433" s="119">
        <f t="shared" si="19"/>
        <v>64.5</v>
      </c>
      <c r="L433" s="152">
        <f t="shared" si="20"/>
        <v>55.8</v>
      </c>
      <c r="M433" s="113"/>
    </row>
    <row r="434" spans="1:13" s="114" customFormat="1" x14ac:dyDescent="0.2">
      <c r="A434" s="106" t="s">
        <v>2744</v>
      </c>
      <c r="B434" s="105" t="s">
        <v>2786</v>
      </c>
      <c r="C434" s="105" t="s">
        <v>2777</v>
      </c>
      <c r="D434" s="149" t="s">
        <v>2787</v>
      </c>
      <c r="E434" s="105">
        <v>1</v>
      </c>
      <c r="F434" s="150" t="s">
        <v>2788</v>
      </c>
      <c r="G434" s="150" t="s">
        <v>2137</v>
      </c>
      <c r="H434" s="119">
        <f t="shared" si="18"/>
        <v>78.25</v>
      </c>
      <c r="I434" s="119"/>
      <c r="J434" s="151">
        <v>0</v>
      </c>
      <c r="K434" s="119">
        <f t="shared" si="19"/>
        <v>78.25</v>
      </c>
      <c r="L434" s="152">
        <f t="shared" si="20"/>
        <v>67.88</v>
      </c>
      <c r="M434" s="113"/>
    </row>
    <row r="435" spans="1:13" s="114" customFormat="1" x14ac:dyDescent="0.2">
      <c r="A435" s="106" t="s">
        <v>2744</v>
      </c>
      <c r="B435" s="105" t="s">
        <v>2476</v>
      </c>
      <c r="C435" s="105" t="s">
        <v>2777</v>
      </c>
      <c r="D435" s="149" t="s">
        <v>2478</v>
      </c>
      <c r="E435" s="105">
        <v>1</v>
      </c>
      <c r="F435" s="150" t="s">
        <v>2479</v>
      </c>
      <c r="G435" s="150" t="s">
        <v>2480</v>
      </c>
      <c r="H435" s="119">
        <f t="shared" si="18"/>
        <v>48.75</v>
      </c>
      <c r="I435" s="119"/>
      <c r="J435" s="151">
        <v>0</v>
      </c>
      <c r="K435" s="119">
        <f t="shared" si="19"/>
        <v>48.75</v>
      </c>
      <c r="L435" s="152">
        <f t="shared" si="20"/>
        <v>41.25</v>
      </c>
      <c r="M435" s="113"/>
    </row>
    <row r="436" spans="1:13" s="114" customFormat="1" x14ac:dyDescent="0.2">
      <c r="A436" s="106" t="s">
        <v>2744</v>
      </c>
      <c r="B436" s="105" t="s">
        <v>2789</v>
      </c>
      <c r="C436" s="105" t="s">
        <v>2777</v>
      </c>
      <c r="D436" s="149" t="s">
        <v>2790</v>
      </c>
      <c r="E436" s="105">
        <v>1</v>
      </c>
      <c r="F436" s="150" t="s">
        <v>1860</v>
      </c>
      <c r="G436" s="150" t="s">
        <v>2791</v>
      </c>
      <c r="H436" s="119">
        <f t="shared" si="18"/>
        <v>20.25</v>
      </c>
      <c r="I436" s="119"/>
      <c r="J436" s="151">
        <v>0</v>
      </c>
      <c r="K436" s="119">
        <f t="shared" si="19"/>
        <v>20.25</v>
      </c>
      <c r="L436" s="152">
        <f t="shared" si="20"/>
        <v>17.5</v>
      </c>
      <c r="M436" s="113"/>
    </row>
    <row r="437" spans="1:13" s="114" customFormat="1" x14ac:dyDescent="0.2">
      <c r="A437" s="106" t="s">
        <v>2744</v>
      </c>
      <c r="B437" s="105" t="s">
        <v>2615</v>
      </c>
      <c r="C437" s="105" t="s">
        <v>2777</v>
      </c>
      <c r="D437" s="149" t="s">
        <v>2617</v>
      </c>
      <c r="E437" s="105">
        <v>1</v>
      </c>
      <c r="F437" s="150" t="s">
        <v>2580</v>
      </c>
      <c r="G437" s="150" t="s">
        <v>2456</v>
      </c>
      <c r="H437" s="119">
        <f t="shared" si="18"/>
        <v>66</v>
      </c>
      <c r="I437" s="119"/>
      <c r="J437" s="151">
        <v>0</v>
      </c>
      <c r="K437" s="119">
        <f t="shared" si="19"/>
        <v>66</v>
      </c>
      <c r="L437" s="152">
        <f t="shared" si="20"/>
        <v>57.25</v>
      </c>
      <c r="M437" s="113"/>
    </row>
    <row r="438" spans="1:13" s="114" customFormat="1" x14ac:dyDescent="0.2">
      <c r="A438" s="106" t="s">
        <v>2744</v>
      </c>
      <c r="B438" s="105" t="s">
        <v>2031</v>
      </c>
      <c r="C438" s="105" t="s">
        <v>2777</v>
      </c>
      <c r="D438" s="149" t="s">
        <v>2033</v>
      </c>
      <c r="E438" s="105">
        <v>2</v>
      </c>
      <c r="F438" s="150" t="s">
        <v>1879</v>
      </c>
      <c r="G438" s="150" t="s">
        <v>1892</v>
      </c>
      <c r="H438" s="119">
        <f t="shared" si="18"/>
        <v>48</v>
      </c>
      <c r="I438" s="119"/>
      <c r="J438" s="151">
        <v>0</v>
      </c>
      <c r="K438" s="119">
        <f t="shared" si="19"/>
        <v>48</v>
      </c>
      <c r="L438" s="152">
        <f t="shared" si="20"/>
        <v>36.4</v>
      </c>
      <c r="M438" s="113"/>
    </row>
    <row r="439" spans="1:13" s="114" customFormat="1" x14ac:dyDescent="0.2">
      <c r="A439" s="106" t="s">
        <v>2744</v>
      </c>
      <c r="B439" s="105" t="s">
        <v>2100</v>
      </c>
      <c r="C439" s="105" t="s">
        <v>2777</v>
      </c>
      <c r="D439" s="149" t="s">
        <v>2101</v>
      </c>
      <c r="E439" s="105">
        <v>2</v>
      </c>
      <c r="F439" s="150" t="s">
        <v>2102</v>
      </c>
      <c r="G439" s="150" t="s">
        <v>2046</v>
      </c>
      <c r="H439" s="119">
        <f t="shared" si="18"/>
        <v>15.5</v>
      </c>
      <c r="I439" s="119"/>
      <c r="J439" s="151">
        <v>0</v>
      </c>
      <c r="K439" s="119">
        <f t="shared" si="19"/>
        <v>15.5</v>
      </c>
      <c r="L439" s="152">
        <f t="shared" si="20"/>
        <v>13.46</v>
      </c>
      <c r="M439" s="113"/>
    </row>
    <row r="440" spans="1:13" s="114" customFormat="1" x14ac:dyDescent="0.2">
      <c r="A440" s="106" t="s">
        <v>2744</v>
      </c>
      <c r="B440" s="105" t="s">
        <v>2435</v>
      </c>
      <c r="C440" s="105" t="s">
        <v>2777</v>
      </c>
      <c r="D440" s="149" t="s">
        <v>2437</v>
      </c>
      <c r="E440" s="105">
        <v>2</v>
      </c>
      <c r="F440" s="150" t="s">
        <v>1879</v>
      </c>
      <c r="G440" s="150" t="s">
        <v>1880</v>
      </c>
      <c r="H440" s="119">
        <f t="shared" si="18"/>
        <v>42</v>
      </c>
      <c r="I440" s="119"/>
      <c r="J440" s="151">
        <v>0</v>
      </c>
      <c r="K440" s="119">
        <f t="shared" si="19"/>
        <v>42</v>
      </c>
      <c r="L440" s="152">
        <f t="shared" si="20"/>
        <v>36.4</v>
      </c>
      <c r="M440" s="113"/>
    </row>
    <row r="441" spans="1:13" s="114" customFormat="1" x14ac:dyDescent="0.2">
      <c r="A441" s="106" t="s">
        <v>2744</v>
      </c>
      <c r="B441" s="105" t="s">
        <v>2762</v>
      </c>
      <c r="C441" s="105" t="s">
        <v>2792</v>
      </c>
      <c r="D441" s="149" t="s">
        <v>2764</v>
      </c>
      <c r="E441" s="105">
        <v>12</v>
      </c>
      <c r="F441" s="150" t="s">
        <v>2668</v>
      </c>
      <c r="G441" s="150" t="s">
        <v>2427</v>
      </c>
      <c r="H441" s="119">
        <f t="shared" si="18"/>
        <v>258</v>
      </c>
      <c r="I441" s="119"/>
      <c r="J441" s="151">
        <v>0</v>
      </c>
      <c r="K441" s="119">
        <f t="shared" si="19"/>
        <v>258</v>
      </c>
      <c r="L441" s="152">
        <f t="shared" si="20"/>
        <v>222.84</v>
      </c>
      <c r="M441" s="113"/>
    </row>
    <row r="442" spans="1:13" s="114" customFormat="1" x14ac:dyDescent="0.2">
      <c r="A442" s="106" t="s">
        <v>2744</v>
      </c>
      <c r="B442" s="105" t="s">
        <v>2643</v>
      </c>
      <c r="C442" s="105" t="s">
        <v>2793</v>
      </c>
      <c r="D442" s="149" t="s">
        <v>2645</v>
      </c>
      <c r="E442" s="105">
        <v>12</v>
      </c>
      <c r="F442" s="150" t="s">
        <v>2638</v>
      </c>
      <c r="G442" s="150" t="s">
        <v>1948</v>
      </c>
      <c r="H442" s="119">
        <f t="shared" si="18"/>
        <v>201</v>
      </c>
      <c r="I442" s="119"/>
      <c r="J442" s="151">
        <v>0</v>
      </c>
      <c r="K442" s="119">
        <f t="shared" si="19"/>
        <v>201</v>
      </c>
      <c r="L442" s="152">
        <f t="shared" si="20"/>
        <v>173.04</v>
      </c>
      <c r="M442" s="113"/>
    </row>
    <row r="443" spans="1:13" s="114" customFormat="1" x14ac:dyDescent="0.2">
      <c r="A443" s="106" t="s">
        <v>2744</v>
      </c>
      <c r="B443" s="105" t="s">
        <v>2043</v>
      </c>
      <c r="C443" s="105" t="s">
        <v>2793</v>
      </c>
      <c r="D443" s="149" t="s">
        <v>2044</v>
      </c>
      <c r="E443" s="105">
        <v>24</v>
      </c>
      <c r="F443" s="150" t="s">
        <v>2045</v>
      </c>
      <c r="G443" s="150" t="s">
        <v>2046</v>
      </c>
      <c r="H443" s="119">
        <f t="shared" si="18"/>
        <v>186</v>
      </c>
      <c r="I443" s="119"/>
      <c r="J443" s="151">
        <v>0</v>
      </c>
      <c r="K443" s="119">
        <f t="shared" si="19"/>
        <v>186</v>
      </c>
      <c r="L443" s="152">
        <f t="shared" si="20"/>
        <v>166.07999999999998</v>
      </c>
      <c r="M443" s="113"/>
    </row>
    <row r="444" spans="1:13" s="114" customFormat="1" x14ac:dyDescent="0.2">
      <c r="A444" s="106" t="s">
        <v>2744</v>
      </c>
      <c r="B444" s="105" t="s">
        <v>2794</v>
      </c>
      <c r="C444" s="105" t="s">
        <v>2793</v>
      </c>
      <c r="D444" s="149" t="s">
        <v>2795</v>
      </c>
      <c r="E444" s="105">
        <v>2</v>
      </c>
      <c r="F444" s="150" t="s">
        <v>2796</v>
      </c>
      <c r="G444" s="150" t="s">
        <v>1957</v>
      </c>
      <c r="H444" s="119">
        <f t="shared" si="18"/>
        <v>54</v>
      </c>
      <c r="I444" s="119"/>
      <c r="J444" s="151">
        <v>0</v>
      </c>
      <c r="K444" s="119">
        <f t="shared" si="19"/>
        <v>54</v>
      </c>
      <c r="L444" s="152">
        <f t="shared" si="20"/>
        <v>46.3</v>
      </c>
      <c r="M444" s="113"/>
    </row>
    <row r="445" spans="1:13" s="114" customFormat="1" x14ac:dyDescent="0.2">
      <c r="A445" s="106" t="s">
        <v>2744</v>
      </c>
      <c r="B445" s="105" t="s">
        <v>2438</v>
      </c>
      <c r="C445" s="105" t="s">
        <v>2797</v>
      </c>
      <c r="D445" s="149" t="s">
        <v>2440</v>
      </c>
      <c r="E445" s="105">
        <v>1</v>
      </c>
      <c r="F445" s="150" t="s">
        <v>1859</v>
      </c>
      <c r="G445" s="150" t="s">
        <v>1860</v>
      </c>
      <c r="H445" s="119">
        <f t="shared" si="18"/>
        <v>17.5</v>
      </c>
      <c r="I445" s="119"/>
      <c r="J445" s="151">
        <v>0</v>
      </c>
      <c r="K445" s="119">
        <f t="shared" si="19"/>
        <v>17.5</v>
      </c>
      <c r="L445" s="152">
        <f t="shared" si="20"/>
        <v>15.12</v>
      </c>
      <c r="M445" s="113"/>
    </row>
    <row r="446" spans="1:13" s="114" customFormat="1" x14ac:dyDescent="0.2">
      <c r="A446" s="106" t="s">
        <v>2744</v>
      </c>
      <c r="B446" s="105" t="s">
        <v>2798</v>
      </c>
      <c r="C446" s="105" t="s">
        <v>2799</v>
      </c>
      <c r="D446" s="149" t="s">
        <v>2800</v>
      </c>
      <c r="E446" s="105">
        <v>1</v>
      </c>
      <c r="F446" s="150" t="s">
        <v>2183</v>
      </c>
      <c r="G446" s="150" t="s">
        <v>2184</v>
      </c>
      <c r="H446" s="119">
        <f t="shared" si="18"/>
        <v>60</v>
      </c>
      <c r="I446" s="119"/>
      <c r="J446" s="151">
        <v>0</v>
      </c>
      <c r="K446" s="119">
        <f t="shared" si="19"/>
        <v>60</v>
      </c>
      <c r="L446" s="152">
        <f t="shared" si="20"/>
        <v>51.97</v>
      </c>
      <c r="M446" s="113"/>
    </row>
    <row r="447" spans="1:13" s="114" customFormat="1" x14ac:dyDescent="0.2">
      <c r="A447" s="106" t="s">
        <v>2744</v>
      </c>
      <c r="B447" s="105" t="s">
        <v>2690</v>
      </c>
      <c r="C447" s="105" t="s">
        <v>2799</v>
      </c>
      <c r="D447" s="149" t="s">
        <v>2692</v>
      </c>
      <c r="E447" s="105">
        <v>2</v>
      </c>
      <c r="F447" s="150" t="s">
        <v>2693</v>
      </c>
      <c r="G447" s="150" t="s">
        <v>2070</v>
      </c>
      <c r="H447" s="119">
        <f t="shared" si="18"/>
        <v>76</v>
      </c>
      <c r="I447" s="119"/>
      <c r="J447" s="151">
        <v>0</v>
      </c>
      <c r="K447" s="119">
        <f t="shared" si="19"/>
        <v>76</v>
      </c>
      <c r="L447" s="152">
        <f t="shared" si="20"/>
        <v>65.72</v>
      </c>
      <c r="M447" s="113"/>
    </row>
    <row r="448" spans="1:13" s="114" customFormat="1" x14ac:dyDescent="0.2">
      <c r="A448" s="106" t="s">
        <v>2744</v>
      </c>
      <c r="B448" s="105" t="s">
        <v>2298</v>
      </c>
      <c r="C448" s="105" t="s">
        <v>2799</v>
      </c>
      <c r="D448" s="149" t="s">
        <v>2299</v>
      </c>
      <c r="E448" s="105">
        <v>3</v>
      </c>
      <c r="F448" s="150" t="s">
        <v>2300</v>
      </c>
      <c r="G448" s="150" t="s">
        <v>1892</v>
      </c>
      <c r="H448" s="119">
        <f t="shared" si="18"/>
        <v>72</v>
      </c>
      <c r="I448" s="119"/>
      <c r="J448" s="151">
        <v>0</v>
      </c>
      <c r="K448" s="119">
        <f t="shared" si="19"/>
        <v>72</v>
      </c>
      <c r="L448" s="152">
        <f t="shared" si="20"/>
        <v>62.400000000000006</v>
      </c>
      <c r="M448" s="113"/>
    </row>
    <row r="449" spans="1:13" s="114" customFormat="1" x14ac:dyDescent="0.2">
      <c r="A449" s="106" t="s">
        <v>2744</v>
      </c>
      <c r="B449" s="105" t="s">
        <v>2801</v>
      </c>
      <c r="C449" s="105" t="s">
        <v>2799</v>
      </c>
      <c r="D449" s="149" t="s">
        <v>2802</v>
      </c>
      <c r="E449" s="105">
        <v>4</v>
      </c>
      <c r="F449" s="150" t="s">
        <v>2803</v>
      </c>
      <c r="G449" s="150" t="s">
        <v>2804</v>
      </c>
      <c r="H449" s="119">
        <f t="shared" si="18"/>
        <v>25</v>
      </c>
      <c r="I449" s="119"/>
      <c r="J449" s="151">
        <v>0</v>
      </c>
      <c r="K449" s="119">
        <f t="shared" si="19"/>
        <v>25</v>
      </c>
      <c r="L449" s="152">
        <f t="shared" si="20"/>
        <v>21.64</v>
      </c>
      <c r="M449" s="113"/>
    </row>
    <row r="450" spans="1:13" s="114" customFormat="1" x14ac:dyDescent="0.2">
      <c r="A450" s="106" t="s">
        <v>2744</v>
      </c>
      <c r="B450" s="105" t="s">
        <v>2805</v>
      </c>
      <c r="C450" s="105" t="s">
        <v>2799</v>
      </c>
      <c r="D450" s="149" t="s">
        <v>2806</v>
      </c>
      <c r="E450" s="105">
        <v>1</v>
      </c>
      <c r="F450" s="150" t="s">
        <v>2807</v>
      </c>
      <c r="G450" s="150" t="s">
        <v>2808</v>
      </c>
      <c r="H450" s="119">
        <f t="shared" si="18"/>
        <v>64.25</v>
      </c>
      <c r="I450" s="119"/>
      <c r="J450" s="151">
        <v>0</v>
      </c>
      <c r="K450" s="119">
        <f t="shared" si="19"/>
        <v>64.25</v>
      </c>
      <c r="L450" s="152">
        <f t="shared" si="20"/>
        <v>55.8</v>
      </c>
      <c r="M450" s="113"/>
    </row>
    <row r="451" spans="1:13" s="114" customFormat="1" x14ac:dyDescent="0.2">
      <c r="A451" s="106" t="s">
        <v>2744</v>
      </c>
      <c r="B451" s="105" t="s">
        <v>2367</v>
      </c>
      <c r="C451" s="105" t="s">
        <v>2799</v>
      </c>
      <c r="D451" s="149" t="s">
        <v>2369</v>
      </c>
      <c r="E451" s="105">
        <v>12</v>
      </c>
      <c r="F451" s="150" t="s">
        <v>2370</v>
      </c>
      <c r="G451" s="150" t="s">
        <v>1853</v>
      </c>
      <c r="H451" s="119">
        <f t="shared" si="18"/>
        <v>90</v>
      </c>
      <c r="I451" s="119"/>
      <c r="J451" s="151">
        <v>0</v>
      </c>
      <c r="K451" s="119">
        <f t="shared" si="19"/>
        <v>90</v>
      </c>
      <c r="L451" s="152">
        <f t="shared" si="20"/>
        <v>76.56</v>
      </c>
      <c r="M451" s="113"/>
    </row>
    <row r="452" spans="1:13" s="114" customFormat="1" x14ac:dyDescent="0.2">
      <c r="A452" s="106" t="s">
        <v>2744</v>
      </c>
      <c r="B452" s="105" t="s">
        <v>2245</v>
      </c>
      <c r="C452" s="105" t="s">
        <v>2799</v>
      </c>
      <c r="D452" s="149" t="s">
        <v>2246</v>
      </c>
      <c r="E452" s="105">
        <v>16</v>
      </c>
      <c r="F452" s="150" t="s">
        <v>2247</v>
      </c>
      <c r="G452" s="150" t="s">
        <v>2248</v>
      </c>
      <c r="H452" s="119">
        <f t="shared" si="18"/>
        <v>88</v>
      </c>
      <c r="I452" s="119"/>
      <c r="J452" s="151">
        <v>0</v>
      </c>
      <c r="K452" s="119">
        <f t="shared" si="19"/>
        <v>88</v>
      </c>
      <c r="L452" s="152">
        <f t="shared" si="20"/>
        <v>75.84</v>
      </c>
      <c r="M452" s="113"/>
    </row>
    <row r="453" spans="1:13" s="114" customFormat="1" x14ac:dyDescent="0.2">
      <c r="A453" s="106" t="s">
        <v>2744</v>
      </c>
      <c r="B453" s="105" t="s">
        <v>2173</v>
      </c>
      <c r="C453" s="105" t="s">
        <v>2799</v>
      </c>
      <c r="D453" s="149" t="s">
        <v>2175</v>
      </c>
      <c r="E453" s="105">
        <v>2</v>
      </c>
      <c r="F453" s="150" t="s">
        <v>2176</v>
      </c>
      <c r="G453" s="150" t="s">
        <v>2177</v>
      </c>
      <c r="H453" s="119">
        <f t="shared" si="18"/>
        <v>322</v>
      </c>
      <c r="I453" s="119"/>
      <c r="J453" s="151">
        <v>0</v>
      </c>
      <c r="K453" s="119">
        <f t="shared" si="19"/>
        <v>322</v>
      </c>
      <c r="L453" s="152">
        <f t="shared" si="20"/>
        <v>280</v>
      </c>
      <c r="M453" s="113"/>
    </row>
    <row r="454" spans="1:13" s="114" customFormat="1" x14ac:dyDescent="0.2">
      <c r="A454" s="106" t="s">
        <v>2744</v>
      </c>
      <c r="B454" s="105" t="s">
        <v>2809</v>
      </c>
      <c r="C454" s="105" t="s">
        <v>2799</v>
      </c>
      <c r="D454" s="149" t="s">
        <v>2810</v>
      </c>
      <c r="E454" s="105">
        <v>2</v>
      </c>
      <c r="F454" s="150" t="s">
        <v>2811</v>
      </c>
      <c r="G454" s="150" t="s">
        <v>2812</v>
      </c>
      <c r="H454" s="119">
        <f t="shared" ref="H454:H517" si="21">E454*G454</f>
        <v>124</v>
      </c>
      <c r="I454" s="119"/>
      <c r="J454" s="151">
        <v>0</v>
      </c>
      <c r="K454" s="119">
        <f t="shared" ref="K454:K517" si="22">H454+I454-J454</f>
        <v>124</v>
      </c>
      <c r="L454" s="152">
        <f t="shared" ref="L454:L517" si="23">E454*F454</f>
        <v>107.62</v>
      </c>
      <c r="M454" s="113"/>
    </row>
    <row r="455" spans="1:13" s="114" customFormat="1" x14ac:dyDescent="0.2">
      <c r="A455" s="153" t="s">
        <v>2744</v>
      </c>
      <c r="B455" s="154" t="s">
        <v>2170</v>
      </c>
      <c r="C455" s="154" t="s">
        <v>2799</v>
      </c>
      <c r="D455" s="155" t="s">
        <v>2171</v>
      </c>
      <c r="E455" s="154">
        <v>2</v>
      </c>
      <c r="F455" s="146"/>
      <c r="G455" s="146" t="s">
        <v>2172</v>
      </c>
      <c r="H455" s="147">
        <f t="shared" si="21"/>
        <v>95</v>
      </c>
      <c r="I455" s="147"/>
      <c r="J455" s="156">
        <v>0</v>
      </c>
      <c r="K455" s="147">
        <f t="shared" si="22"/>
        <v>95</v>
      </c>
      <c r="L455" s="148">
        <f t="shared" si="23"/>
        <v>0</v>
      </c>
      <c r="M455" s="113"/>
    </row>
    <row r="456" spans="1:13" s="114" customFormat="1" x14ac:dyDescent="0.2">
      <c r="A456" s="106" t="s">
        <v>2744</v>
      </c>
      <c r="B456" s="105" t="s">
        <v>2220</v>
      </c>
      <c r="C456" s="105" t="s">
        <v>2799</v>
      </c>
      <c r="D456" s="149" t="s">
        <v>2222</v>
      </c>
      <c r="E456" s="105">
        <v>2</v>
      </c>
      <c r="F456" s="150" t="s">
        <v>2223</v>
      </c>
      <c r="G456" s="150" t="s">
        <v>2224</v>
      </c>
      <c r="H456" s="119">
        <f t="shared" si="21"/>
        <v>82</v>
      </c>
      <c r="I456" s="119"/>
      <c r="J456" s="151">
        <v>0</v>
      </c>
      <c r="K456" s="119">
        <f t="shared" si="22"/>
        <v>82</v>
      </c>
      <c r="L456" s="152">
        <f t="shared" si="23"/>
        <v>70.3</v>
      </c>
      <c r="M456" s="113"/>
    </row>
    <row r="457" spans="1:13" s="114" customFormat="1" x14ac:dyDescent="0.2">
      <c r="A457" s="106" t="s">
        <v>2744</v>
      </c>
      <c r="B457" s="105" t="s">
        <v>2665</v>
      </c>
      <c r="C457" s="105" t="s">
        <v>2799</v>
      </c>
      <c r="D457" s="149" t="s">
        <v>2667</v>
      </c>
      <c r="E457" s="105">
        <v>1</v>
      </c>
      <c r="F457" s="150" t="s">
        <v>2668</v>
      </c>
      <c r="G457" s="150" t="s">
        <v>2669</v>
      </c>
      <c r="H457" s="119">
        <f t="shared" si="21"/>
        <v>21.75</v>
      </c>
      <c r="I457" s="119"/>
      <c r="J457" s="151">
        <v>0</v>
      </c>
      <c r="K457" s="119">
        <f t="shared" si="22"/>
        <v>21.75</v>
      </c>
      <c r="L457" s="152">
        <f t="shared" si="23"/>
        <v>18.57</v>
      </c>
      <c r="M457" s="113"/>
    </row>
    <row r="458" spans="1:13" s="114" customFormat="1" x14ac:dyDescent="0.2">
      <c r="A458" s="153" t="s">
        <v>2744</v>
      </c>
      <c r="B458" s="154" t="s">
        <v>2507</v>
      </c>
      <c r="C458" s="154" t="s">
        <v>2799</v>
      </c>
      <c r="D458" s="155" t="s">
        <v>2508</v>
      </c>
      <c r="E458" s="154">
        <v>5</v>
      </c>
      <c r="F458" s="146"/>
      <c r="G458" s="146" t="s">
        <v>2509</v>
      </c>
      <c r="H458" s="147">
        <f t="shared" si="21"/>
        <v>280</v>
      </c>
      <c r="I458" s="147"/>
      <c r="J458" s="156">
        <v>0</v>
      </c>
      <c r="K458" s="147">
        <f t="shared" si="22"/>
        <v>280</v>
      </c>
      <c r="L458" s="148">
        <f t="shared" si="23"/>
        <v>0</v>
      </c>
      <c r="M458" s="113"/>
    </row>
    <row r="459" spans="1:13" s="114" customFormat="1" x14ac:dyDescent="0.2">
      <c r="A459" s="106" t="s">
        <v>2744</v>
      </c>
      <c r="B459" s="105" t="s">
        <v>2813</v>
      </c>
      <c r="C459" s="105" t="s">
        <v>2799</v>
      </c>
      <c r="D459" s="149" t="s">
        <v>2814</v>
      </c>
      <c r="E459" s="105">
        <v>1</v>
      </c>
      <c r="F459" s="150" t="s">
        <v>2815</v>
      </c>
      <c r="G459" s="150" t="s">
        <v>2816</v>
      </c>
      <c r="H459" s="119">
        <f t="shared" si="21"/>
        <v>156</v>
      </c>
      <c r="I459" s="119"/>
      <c r="J459" s="151">
        <v>0</v>
      </c>
      <c r="K459" s="119">
        <f t="shared" si="22"/>
        <v>156</v>
      </c>
      <c r="L459" s="152">
        <f t="shared" si="23"/>
        <v>135.25</v>
      </c>
      <c r="M459" s="113"/>
    </row>
    <row r="460" spans="1:13" s="114" customFormat="1" x14ac:dyDescent="0.2">
      <c r="A460" s="106" t="s">
        <v>2817</v>
      </c>
      <c r="B460" s="105" t="s">
        <v>2072</v>
      </c>
      <c r="C460" s="105" t="s">
        <v>2818</v>
      </c>
      <c r="D460" s="149" t="s">
        <v>2074</v>
      </c>
      <c r="E460" s="105">
        <v>2</v>
      </c>
      <c r="F460" s="150" t="s">
        <v>2075</v>
      </c>
      <c r="G460" s="150" t="s">
        <v>2076</v>
      </c>
      <c r="H460" s="119">
        <f t="shared" si="21"/>
        <v>21</v>
      </c>
      <c r="I460" s="119"/>
      <c r="J460" s="151">
        <v>0</v>
      </c>
      <c r="K460" s="119">
        <f t="shared" si="22"/>
        <v>21</v>
      </c>
      <c r="L460" s="152">
        <f t="shared" si="23"/>
        <v>18.2</v>
      </c>
      <c r="M460" s="113"/>
    </row>
    <row r="461" spans="1:13" s="114" customFormat="1" x14ac:dyDescent="0.2">
      <c r="A461" s="106" t="s">
        <v>2817</v>
      </c>
      <c r="B461" s="105" t="s">
        <v>2059</v>
      </c>
      <c r="C461" s="105" t="s">
        <v>2819</v>
      </c>
      <c r="D461" s="149" t="s">
        <v>2061</v>
      </c>
      <c r="E461" s="105">
        <v>1</v>
      </c>
      <c r="F461" s="150" t="s">
        <v>1923</v>
      </c>
      <c r="G461" s="150" t="s">
        <v>1809</v>
      </c>
      <c r="H461" s="119">
        <f t="shared" si="21"/>
        <v>18</v>
      </c>
      <c r="I461" s="119"/>
      <c r="J461" s="151">
        <v>0</v>
      </c>
      <c r="K461" s="119">
        <f t="shared" si="22"/>
        <v>18</v>
      </c>
      <c r="L461" s="152">
        <f t="shared" si="23"/>
        <v>15.5</v>
      </c>
      <c r="M461" s="113"/>
    </row>
    <row r="462" spans="1:13" s="114" customFormat="1" x14ac:dyDescent="0.2">
      <c r="A462" s="106" t="s">
        <v>2817</v>
      </c>
      <c r="B462" s="105" t="s">
        <v>2727</v>
      </c>
      <c r="C462" s="105" t="s">
        <v>2820</v>
      </c>
      <c r="D462" s="149" t="s">
        <v>2729</v>
      </c>
      <c r="E462" s="105">
        <v>1</v>
      </c>
      <c r="F462" s="150" t="s">
        <v>2046</v>
      </c>
      <c r="G462" s="150" t="s">
        <v>2730</v>
      </c>
      <c r="H462" s="119">
        <f t="shared" si="21"/>
        <v>9</v>
      </c>
      <c r="I462" s="119"/>
      <c r="J462" s="151">
        <v>0</v>
      </c>
      <c r="K462" s="119">
        <f t="shared" si="22"/>
        <v>9</v>
      </c>
      <c r="L462" s="152">
        <f t="shared" si="23"/>
        <v>7.75</v>
      </c>
      <c r="M462" s="113"/>
    </row>
    <row r="463" spans="1:13" s="114" customFormat="1" x14ac:dyDescent="0.2">
      <c r="A463" s="106" t="s">
        <v>2817</v>
      </c>
      <c r="B463" s="105" t="s">
        <v>1994</v>
      </c>
      <c r="C463" s="105" t="s">
        <v>2820</v>
      </c>
      <c r="D463" s="149" t="s">
        <v>1995</v>
      </c>
      <c r="E463" s="105">
        <v>1</v>
      </c>
      <c r="F463" s="150" t="s">
        <v>1996</v>
      </c>
      <c r="G463" s="150" t="s">
        <v>1801</v>
      </c>
      <c r="H463" s="119">
        <f t="shared" si="21"/>
        <v>9.5</v>
      </c>
      <c r="I463" s="119"/>
      <c r="J463" s="151">
        <v>0</v>
      </c>
      <c r="K463" s="119">
        <f t="shared" si="22"/>
        <v>9.5</v>
      </c>
      <c r="L463" s="152">
        <f t="shared" si="23"/>
        <v>6.67</v>
      </c>
      <c r="M463" s="113"/>
    </row>
    <row r="464" spans="1:13" s="114" customFormat="1" x14ac:dyDescent="0.2">
      <c r="A464" s="106" t="s">
        <v>2817</v>
      </c>
      <c r="B464" s="105" t="s">
        <v>2821</v>
      </c>
      <c r="C464" s="105" t="s">
        <v>2822</v>
      </c>
      <c r="D464" s="149" t="s">
        <v>2823</v>
      </c>
      <c r="E464" s="105">
        <v>1</v>
      </c>
      <c r="F464" s="150" t="s">
        <v>2824</v>
      </c>
      <c r="G464" s="150" t="s">
        <v>2825</v>
      </c>
      <c r="H464" s="119">
        <f t="shared" si="21"/>
        <v>272.75</v>
      </c>
      <c r="I464" s="119"/>
      <c r="J464" s="151">
        <v>0</v>
      </c>
      <c r="K464" s="119">
        <f t="shared" si="22"/>
        <v>272.75</v>
      </c>
      <c r="L464" s="152">
        <f t="shared" si="23"/>
        <v>237.14</v>
      </c>
      <c r="M464" s="113"/>
    </row>
    <row r="465" spans="1:13" s="114" customFormat="1" x14ac:dyDescent="0.2">
      <c r="A465" s="106" t="s">
        <v>2817</v>
      </c>
      <c r="B465" s="105" t="s">
        <v>2550</v>
      </c>
      <c r="C465" s="105" t="s">
        <v>2822</v>
      </c>
      <c r="D465" s="149" t="s">
        <v>2552</v>
      </c>
      <c r="E465" s="105">
        <v>4</v>
      </c>
      <c r="F465" s="150" t="s">
        <v>2370</v>
      </c>
      <c r="G465" s="150" t="s">
        <v>1853</v>
      </c>
      <c r="H465" s="119">
        <f t="shared" si="21"/>
        <v>30</v>
      </c>
      <c r="I465" s="119"/>
      <c r="J465" s="151">
        <v>0</v>
      </c>
      <c r="K465" s="119">
        <f t="shared" si="22"/>
        <v>30</v>
      </c>
      <c r="L465" s="152">
        <f t="shared" si="23"/>
        <v>25.52</v>
      </c>
      <c r="M465" s="113"/>
    </row>
    <row r="466" spans="1:13" s="114" customFormat="1" x14ac:dyDescent="0.2">
      <c r="A466" s="106" t="s">
        <v>2817</v>
      </c>
      <c r="B466" s="105" t="s">
        <v>2826</v>
      </c>
      <c r="C466" s="105" t="s">
        <v>2822</v>
      </c>
      <c r="D466" s="149" t="s">
        <v>2827</v>
      </c>
      <c r="E466" s="105">
        <v>3</v>
      </c>
      <c r="F466" s="150" t="s">
        <v>2828</v>
      </c>
      <c r="G466" s="150" t="s">
        <v>2829</v>
      </c>
      <c r="H466" s="119">
        <f t="shared" si="21"/>
        <v>13.5</v>
      </c>
      <c r="I466" s="119"/>
      <c r="J466" s="151">
        <v>0</v>
      </c>
      <c r="K466" s="119">
        <f t="shared" si="22"/>
        <v>13.5</v>
      </c>
      <c r="L466" s="152">
        <f t="shared" si="23"/>
        <v>11.16</v>
      </c>
      <c r="M466" s="113"/>
    </row>
    <row r="467" spans="1:13" s="114" customFormat="1" x14ac:dyDescent="0.2">
      <c r="A467" s="106" t="s">
        <v>2817</v>
      </c>
      <c r="B467" s="105" t="s">
        <v>1781</v>
      </c>
      <c r="C467" s="105" t="s">
        <v>2822</v>
      </c>
      <c r="D467" s="149" t="s">
        <v>1782</v>
      </c>
      <c r="E467" s="105">
        <v>1</v>
      </c>
      <c r="F467" s="150" t="s">
        <v>1783</v>
      </c>
      <c r="G467" s="150" t="s">
        <v>1784</v>
      </c>
      <c r="H467" s="119">
        <f t="shared" si="21"/>
        <v>11</v>
      </c>
      <c r="I467" s="119"/>
      <c r="J467" s="151">
        <v>0</v>
      </c>
      <c r="K467" s="119">
        <f t="shared" si="22"/>
        <v>11</v>
      </c>
      <c r="L467" s="152">
        <f t="shared" si="23"/>
        <v>9.3800000000000008</v>
      </c>
      <c r="M467" s="113"/>
    </row>
    <row r="468" spans="1:13" s="114" customFormat="1" x14ac:dyDescent="0.2">
      <c r="A468" s="106" t="s">
        <v>2817</v>
      </c>
      <c r="B468" s="105" t="s">
        <v>1924</v>
      </c>
      <c r="C468" s="105" t="s">
        <v>2822</v>
      </c>
      <c r="D468" s="149" t="s">
        <v>1926</v>
      </c>
      <c r="E468" s="105">
        <v>1</v>
      </c>
      <c r="F468" s="150" t="s">
        <v>1927</v>
      </c>
      <c r="G468" s="150" t="s">
        <v>1928</v>
      </c>
      <c r="H468" s="119">
        <f t="shared" si="21"/>
        <v>12.25</v>
      </c>
      <c r="I468" s="119"/>
      <c r="J468" s="151">
        <v>0</v>
      </c>
      <c r="K468" s="119">
        <f t="shared" si="22"/>
        <v>12.25</v>
      </c>
      <c r="L468" s="152">
        <f t="shared" si="23"/>
        <v>10.64</v>
      </c>
      <c r="M468" s="113"/>
    </row>
    <row r="469" spans="1:13" s="114" customFormat="1" x14ac:dyDescent="0.2">
      <c r="A469" s="106" t="s">
        <v>2817</v>
      </c>
      <c r="B469" s="105" t="s">
        <v>1972</v>
      </c>
      <c r="C469" s="105" t="s">
        <v>2830</v>
      </c>
      <c r="D469" s="149" t="s">
        <v>1974</v>
      </c>
      <c r="E469" s="105">
        <v>2</v>
      </c>
      <c r="F469" s="150" t="s">
        <v>1975</v>
      </c>
      <c r="G469" s="150" t="s">
        <v>1976</v>
      </c>
      <c r="H469" s="119">
        <f t="shared" si="21"/>
        <v>47.5</v>
      </c>
      <c r="I469" s="119"/>
      <c r="J469" s="151">
        <v>0</v>
      </c>
      <c r="K469" s="119">
        <f t="shared" si="22"/>
        <v>47.5</v>
      </c>
      <c r="L469" s="152">
        <f t="shared" si="23"/>
        <v>41.1</v>
      </c>
      <c r="M469" s="113"/>
    </row>
    <row r="470" spans="1:13" s="114" customFormat="1" x14ac:dyDescent="0.2">
      <c r="A470" s="106" t="s">
        <v>2817</v>
      </c>
      <c r="B470" s="105" t="s">
        <v>2363</v>
      </c>
      <c r="C470" s="105" t="s">
        <v>2830</v>
      </c>
      <c r="D470" s="149" t="s">
        <v>2365</v>
      </c>
      <c r="E470" s="105">
        <v>2</v>
      </c>
      <c r="F470" s="150" t="s">
        <v>2366</v>
      </c>
      <c r="G470" s="150" t="s">
        <v>2006</v>
      </c>
      <c r="H470" s="119">
        <f t="shared" si="21"/>
        <v>28.5</v>
      </c>
      <c r="I470" s="119"/>
      <c r="J470" s="151">
        <v>0</v>
      </c>
      <c r="K470" s="119">
        <f t="shared" si="22"/>
        <v>28.5</v>
      </c>
      <c r="L470" s="152">
        <f t="shared" si="23"/>
        <v>25.32</v>
      </c>
      <c r="M470" s="113"/>
    </row>
    <row r="471" spans="1:13" s="114" customFormat="1" x14ac:dyDescent="0.2">
      <c r="A471" s="153" t="s">
        <v>2817</v>
      </c>
      <c r="B471" s="154" t="s">
        <v>1902</v>
      </c>
      <c r="C471" s="154" t="s">
        <v>2830</v>
      </c>
      <c r="D471" s="155" t="s">
        <v>1903</v>
      </c>
      <c r="E471" s="154">
        <v>2</v>
      </c>
      <c r="F471" s="146"/>
      <c r="G471" s="146" t="s">
        <v>1904</v>
      </c>
      <c r="H471" s="147">
        <f t="shared" si="21"/>
        <v>38.5</v>
      </c>
      <c r="I471" s="147"/>
      <c r="J471" s="156">
        <v>0</v>
      </c>
      <c r="K471" s="147">
        <f t="shared" si="22"/>
        <v>38.5</v>
      </c>
      <c r="L471" s="148">
        <f t="shared" si="23"/>
        <v>0</v>
      </c>
      <c r="M471" s="113"/>
    </row>
    <row r="472" spans="1:13" s="114" customFormat="1" x14ac:dyDescent="0.2">
      <c r="A472" s="153" t="s">
        <v>2817</v>
      </c>
      <c r="B472" s="154" t="s">
        <v>1843</v>
      </c>
      <c r="C472" s="154" t="s">
        <v>2830</v>
      </c>
      <c r="D472" s="155" t="s">
        <v>1844</v>
      </c>
      <c r="E472" s="154">
        <v>1</v>
      </c>
      <c r="F472" s="146"/>
      <c r="G472" s="146" t="s">
        <v>1845</v>
      </c>
      <c r="H472" s="147">
        <f t="shared" si="21"/>
        <v>73.17</v>
      </c>
      <c r="I472" s="147"/>
      <c r="J472" s="156">
        <v>0</v>
      </c>
      <c r="K472" s="147">
        <f t="shared" si="22"/>
        <v>73.17</v>
      </c>
      <c r="L472" s="148">
        <f t="shared" si="23"/>
        <v>0</v>
      </c>
      <c r="M472" s="113"/>
    </row>
    <row r="473" spans="1:13" s="114" customFormat="1" x14ac:dyDescent="0.2">
      <c r="A473" s="106" t="s">
        <v>2817</v>
      </c>
      <c r="B473" s="105" t="s">
        <v>2831</v>
      </c>
      <c r="C473" s="105" t="s">
        <v>2832</v>
      </c>
      <c r="D473" s="149" t="s">
        <v>2833</v>
      </c>
      <c r="E473" s="105">
        <v>1</v>
      </c>
      <c r="F473" s="150" t="s">
        <v>1886</v>
      </c>
      <c r="G473" s="150" t="s">
        <v>2046</v>
      </c>
      <c r="H473" s="119">
        <f t="shared" si="21"/>
        <v>7.75</v>
      </c>
      <c r="I473" s="119"/>
      <c r="J473" s="151">
        <v>0</v>
      </c>
      <c r="K473" s="119">
        <f t="shared" si="22"/>
        <v>7.75</v>
      </c>
      <c r="L473" s="152">
        <f t="shared" si="23"/>
        <v>6.83</v>
      </c>
      <c r="M473" s="113"/>
    </row>
    <row r="474" spans="1:13" s="114" customFormat="1" x14ac:dyDescent="0.2">
      <c r="A474" s="106" t="s">
        <v>2817</v>
      </c>
      <c r="B474" s="105" t="s">
        <v>2834</v>
      </c>
      <c r="C474" s="105" t="s">
        <v>2832</v>
      </c>
      <c r="D474" s="149" t="s">
        <v>2835</v>
      </c>
      <c r="E474" s="105">
        <v>1</v>
      </c>
      <c r="F474" s="150" t="s">
        <v>1886</v>
      </c>
      <c r="G474" s="150" t="s">
        <v>2046</v>
      </c>
      <c r="H474" s="119">
        <f t="shared" si="21"/>
        <v>7.75</v>
      </c>
      <c r="I474" s="119"/>
      <c r="J474" s="151">
        <v>0</v>
      </c>
      <c r="K474" s="119">
        <f t="shared" si="22"/>
        <v>7.75</v>
      </c>
      <c r="L474" s="152">
        <f t="shared" si="23"/>
        <v>6.83</v>
      </c>
      <c r="M474" s="113"/>
    </row>
    <row r="475" spans="1:13" s="114" customFormat="1" x14ac:dyDescent="0.2">
      <c r="A475" s="106" t="s">
        <v>2817</v>
      </c>
      <c r="B475" s="105" t="s">
        <v>2836</v>
      </c>
      <c r="C475" s="105" t="s">
        <v>2832</v>
      </c>
      <c r="D475" s="149" t="s">
        <v>2837</v>
      </c>
      <c r="E475" s="105">
        <v>1</v>
      </c>
      <c r="F475" s="150" t="s">
        <v>2838</v>
      </c>
      <c r="G475" s="150" t="s">
        <v>1838</v>
      </c>
      <c r="H475" s="119">
        <f t="shared" si="21"/>
        <v>17</v>
      </c>
      <c r="I475" s="119"/>
      <c r="J475" s="151">
        <v>0</v>
      </c>
      <c r="K475" s="119">
        <f t="shared" si="22"/>
        <v>17</v>
      </c>
      <c r="L475" s="152">
        <f t="shared" si="23"/>
        <v>14.65</v>
      </c>
      <c r="M475" s="113"/>
    </row>
    <row r="476" spans="1:13" s="114" customFormat="1" x14ac:dyDescent="0.2">
      <c r="A476" s="106" t="s">
        <v>2817</v>
      </c>
      <c r="B476" s="105" t="s">
        <v>2839</v>
      </c>
      <c r="C476" s="105" t="s">
        <v>2840</v>
      </c>
      <c r="D476" s="149" t="s">
        <v>2841</v>
      </c>
      <c r="E476" s="105">
        <v>1</v>
      </c>
      <c r="F476" s="150" t="s">
        <v>1828</v>
      </c>
      <c r="G476" s="150" t="s">
        <v>2842</v>
      </c>
      <c r="H476" s="119">
        <f t="shared" si="21"/>
        <v>103.5</v>
      </c>
      <c r="I476" s="119"/>
      <c r="J476" s="151">
        <v>0</v>
      </c>
      <c r="K476" s="119">
        <f t="shared" si="22"/>
        <v>103.5</v>
      </c>
      <c r="L476" s="152">
        <f t="shared" si="23"/>
        <v>90</v>
      </c>
      <c r="M476" s="113"/>
    </row>
    <row r="477" spans="1:13" s="114" customFormat="1" x14ac:dyDescent="0.2">
      <c r="A477" s="106" t="s">
        <v>2817</v>
      </c>
      <c r="B477" s="105" t="s">
        <v>2307</v>
      </c>
      <c r="C477" s="105" t="s">
        <v>2840</v>
      </c>
      <c r="D477" s="149" t="s">
        <v>2309</v>
      </c>
      <c r="E477" s="105">
        <v>1</v>
      </c>
      <c r="F477" s="150" t="s">
        <v>1913</v>
      </c>
      <c r="G477" s="150" t="s">
        <v>1914</v>
      </c>
      <c r="H477" s="119">
        <f t="shared" si="21"/>
        <v>36.5</v>
      </c>
      <c r="I477" s="119"/>
      <c r="J477" s="151">
        <v>0</v>
      </c>
      <c r="K477" s="119">
        <f t="shared" si="22"/>
        <v>36.5</v>
      </c>
      <c r="L477" s="152">
        <f t="shared" si="23"/>
        <v>31.6</v>
      </c>
      <c r="M477" s="113"/>
    </row>
    <row r="478" spans="1:13" s="114" customFormat="1" x14ac:dyDescent="0.2">
      <c r="A478" s="106" t="s">
        <v>2817</v>
      </c>
      <c r="B478" s="105" t="s">
        <v>2843</v>
      </c>
      <c r="C478" s="105" t="s">
        <v>2840</v>
      </c>
      <c r="D478" s="149" t="s">
        <v>2844</v>
      </c>
      <c r="E478" s="105">
        <v>1</v>
      </c>
      <c r="F478" s="150" t="s">
        <v>2845</v>
      </c>
      <c r="G478" s="150" t="s">
        <v>2812</v>
      </c>
      <c r="H478" s="119">
        <f t="shared" si="21"/>
        <v>62</v>
      </c>
      <c r="I478" s="119"/>
      <c r="J478" s="151">
        <v>0</v>
      </c>
      <c r="K478" s="119">
        <f t="shared" si="22"/>
        <v>62</v>
      </c>
      <c r="L478" s="152">
        <f t="shared" si="23"/>
        <v>53.87</v>
      </c>
      <c r="M478" s="113"/>
    </row>
    <row r="479" spans="1:13" s="114" customFormat="1" x14ac:dyDescent="0.2">
      <c r="A479" s="106" t="s">
        <v>2817</v>
      </c>
      <c r="B479" s="105" t="s">
        <v>2553</v>
      </c>
      <c r="C479" s="105" t="s">
        <v>2840</v>
      </c>
      <c r="D479" s="149" t="s">
        <v>2554</v>
      </c>
      <c r="E479" s="105">
        <v>1</v>
      </c>
      <c r="F479" s="150" t="s">
        <v>2555</v>
      </c>
      <c r="G479" s="150" t="s">
        <v>2556</v>
      </c>
      <c r="H479" s="119">
        <f t="shared" si="21"/>
        <v>62.25</v>
      </c>
      <c r="I479" s="119"/>
      <c r="J479" s="151">
        <v>0</v>
      </c>
      <c r="K479" s="119">
        <f t="shared" si="22"/>
        <v>62.25</v>
      </c>
      <c r="L479" s="152">
        <f t="shared" si="23"/>
        <v>54</v>
      </c>
      <c r="M479" s="113"/>
    </row>
    <row r="480" spans="1:13" s="114" customFormat="1" x14ac:dyDescent="0.2">
      <c r="A480" s="106" t="s">
        <v>2817</v>
      </c>
      <c r="B480" s="105" t="s">
        <v>2035</v>
      </c>
      <c r="C480" s="105" t="s">
        <v>2846</v>
      </c>
      <c r="D480" s="149" t="s">
        <v>2036</v>
      </c>
      <c r="E480" s="105">
        <v>1</v>
      </c>
      <c r="F480" s="150" t="s">
        <v>2037</v>
      </c>
      <c r="G480" s="150" t="s">
        <v>2038</v>
      </c>
      <c r="H480" s="119">
        <f t="shared" si="21"/>
        <v>26.25</v>
      </c>
      <c r="I480" s="119"/>
      <c r="J480" s="151">
        <v>0</v>
      </c>
      <c r="K480" s="119">
        <f t="shared" si="22"/>
        <v>26.25</v>
      </c>
      <c r="L480" s="152">
        <f t="shared" si="23"/>
        <v>22.7</v>
      </c>
      <c r="M480" s="113"/>
    </row>
    <row r="481" spans="1:13" s="114" customFormat="1" x14ac:dyDescent="0.2">
      <c r="A481" s="106" t="s">
        <v>2847</v>
      </c>
      <c r="B481" s="105" t="s">
        <v>2848</v>
      </c>
      <c r="C481" s="105" t="s">
        <v>2849</v>
      </c>
      <c r="D481" s="149" t="s">
        <v>2850</v>
      </c>
      <c r="E481" s="105">
        <v>1</v>
      </c>
      <c r="F481" s="150" t="s">
        <v>2851</v>
      </c>
      <c r="G481" s="150" t="s">
        <v>1904</v>
      </c>
      <c r="H481" s="119">
        <f t="shared" si="21"/>
        <v>19.25</v>
      </c>
      <c r="I481" s="119"/>
      <c r="J481" s="151">
        <v>0</v>
      </c>
      <c r="K481" s="119">
        <f t="shared" si="22"/>
        <v>19.25</v>
      </c>
      <c r="L481" s="152">
        <f t="shared" si="23"/>
        <v>16.55</v>
      </c>
      <c r="M481" s="113"/>
    </row>
    <row r="482" spans="1:13" s="114" customFormat="1" x14ac:dyDescent="0.2">
      <c r="A482" s="106" t="s">
        <v>2847</v>
      </c>
      <c r="B482" s="105" t="s">
        <v>2665</v>
      </c>
      <c r="C482" s="105" t="s">
        <v>2849</v>
      </c>
      <c r="D482" s="149" t="s">
        <v>2667</v>
      </c>
      <c r="E482" s="105">
        <v>2</v>
      </c>
      <c r="F482" s="150" t="s">
        <v>2668</v>
      </c>
      <c r="G482" s="150" t="s">
        <v>2669</v>
      </c>
      <c r="H482" s="119">
        <f t="shared" si="21"/>
        <v>43.5</v>
      </c>
      <c r="I482" s="119"/>
      <c r="J482" s="151">
        <v>0</v>
      </c>
      <c r="K482" s="119">
        <f t="shared" si="22"/>
        <v>43.5</v>
      </c>
      <c r="L482" s="152">
        <f t="shared" si="23"/>
        <v>37.14</v>
      </c>
      <c r="M482" s="113"/>
    </row>
    <row r="483" spans="1:13" s="114" customFormat="1" x14ac:dyDescent="0.2">
      <c r="A483" s="106" t="s">
        <v>2847</v>
      </c>
      <c r="B483" s="105" t="s">
        <v>2394</v>
      </c>
      <c r="C483" s="105" t="s">
        <v>2852</v>
      </c>
      <c r="D483" s="149" t="s">
        <v>2395</v>
      </c>
      <c r="E483" s="105">
        <v>1</v>
      </c>
      <c r="F483" s="150" t="s">
        <v>2853</v>
      </c>
      <c r="G483" s="150" t="s">
        <v>2396</v>
      </c>
      <c r="H483" s="119">
        <f t="shared" si="21"/>
        <v>64.5</v>
      </c>
      <c r="I483" s="119"/>
      <c r="J483" s="151">
        <v>0</v>
      </c>
      <c r="K483" s="119">
        <f t="shared" si="22"/>
        <v>64.5</v>
      </c>
      <c r="L483" s="152">
        <f t="shared" si="23"/>
        <v>58.65</v>
      </c>
      <c r="M483" s="113"/>
    </row>
    <row r="484" spans="1:13" s="114" customFormat="1" x14ac:dyDescent="0.2">
      <c r="A484" s="106" t="s">
        <v>2847</v>
      </c>
      <c r="B484" s="105" t="s">
        <v>1806</v>
      </c>
      <c r="C484" s="105" t="s">
        <v>2854</v>
      </c>
      <c r="D484" s="149" t="s">
        <v>1807</v>
      </c>
      <c r="E484" s="105">
        <v>2</v>
      </c>
      <c r="F484" s="150" t="s">
        <v>1808</v>
      </c>
      <c r="G484" s="150" t="s">
        <v>1809</v>
      </c>
      <c r="H484" s="119">
        <f t="shared" si="21"/>
        <v>36</v>
      </c>
      <c r="I484" s="119"/>
      <c r="J484" s="151">
        <v>0</v>
      </c>
      <c r="K484" s="119">
        <f t="shared" si="22"/>
        <v>36</v>
      </c>
      <c r="L484" s="152">
        <f t="shared" si="23"/>
        <v>31.3</v>
      </c>
      <c r="M484" s="113"/>
    </row>
    <row r="485" spans="1:13" s="114" customFormat="1" x14ac:dyDescent="0.2">
      <c r="A485" s="106" t="s">
        <v>2847</v>
      </c>
      <c r="B485" s="105" t="s">
        <v>2731</v>
      </c>
      <c r="C485" s="105" t="s">
        <v>2854</v>
      </c>
      <c r="D485" s="149" t="s">
        <v>2732</v>
      </c>
      <c r="E485" s="105">
        <v>2</v>
      </c>
      <c r="F485" s="150" t="s">
        <v>2733</v>
      </c>
      <c r="G485" s="150" t="s">
        <v>2046</v>
      </c>
      <c r="H485" s="119">
        <f t="shared" si="21"/>
        <v>15.5</v>
      </c>
      <c r="I485" s="119"/>
      <c r="J485" s="151">
        <v>0</v>
      </c>
      <c r="K485" s="119">
        <f t="shared" si="22"/>
        <v>15.5</v>
      </c>
      <c r="L485" s="152">
        <f t="shared" si="23"/>
        <v>13.18</v>
      </c>
      <c r="M485" s="113"/>
    </row>
    <row r="486" spans="1:13" s="114" customFormat="1" x14ac:dyDescent="0.2">
      <c r="A486" s="106" t="s">
        <v>2847</v>
      </c>
      <c r="B486" s="105" t="s">
        <v>2855</v>
      </c>
      <c r="C486" s="105" t="s">
        <v>2854</v>
      </c>
      <c r="D486" s="149" t="s">
        <v>2856</v>
      </c>
      <c r="E486" s="105">
        <v>2</v>
      </c>
      <c r="F486" s="150" t="s">
        <v>2102</v>
      </c>
      <c r="G486" s="150" t="s">
        <v>2046</v>
      </c>
      <c r="H486" s="119">
        <f t="shared" si="21"/>
        <v>15.5</v>
      </c>
      <c r="I486" s="119"/>
      <c r="J486" s="151">
        <v>0</v>
      </c>
      <c r="K486" s="119">
        <f t="shared" si="22"/>
        <v>15.5</v>
      </c>
      <c r="L486" s="152">
        <f t="shared" si="23"/>
        <v>13.46</v>
      </c>
      <c r="M486" s="113"/>
    </row>
    <row r="487" spans="1:13" s="114" customFormat="1" x14ac:dyDescent="0.2">
      <c r="A487" s="106" t="s">
        <v>2847</v>
      </c>
      <c r="B487" s="105" t="s">
        <v>2857</v>
      </c>
      <c r="C487" s="105" t="s">
        <v>2858</v>
      </c>
      <c r="D487" s="149" t="s">
        <v>2859</v>
      </c>
      <c r="E487" s="105">
        <v>12</v>
      </c>
      <c r="F487" s="150" t="s">
        <v>2860</v>
      </c>
      <c r="G487" s="150" t="s">
        <v>2630</v>
      </c>
      <c r="H487" s="119">
        <f t="shared" si="21"/>
        <v>96</v>
      </c>
      <c r="I487" s="119"/>
      <c r="J487" s="151">
        <v>0</v>
      </c>
      <c r="K487" s="119">
        <f t="shared" si="22"/>
        <v>96</v>
      </c>
      <c r="L487" s="152">
        <f t="shared" si="23"/>
        <v>83.64</v>
      </c>
      <c r="M487" s="113"/>
    </row>
    <row r="488" spans="1:13" s="114" customFormat="1" x14ac:dyDescent="0.2">
      <c r="A488" s="106" t="s">
        <v>2847</v>
      </c>
      <c r="B488" s="105" t="s">
        <v>1781</v>
      </c>
      <c r="C488" s="105" t="s">
        <v>2861</v>
      </c>
      <c r="D488" s="149" t="s">
        <v>1782</v>
      </c>
      <c r="E488" s="105">
        <v>1</v>
      </c>
      <c r="F488" s="150" t="s">
        <v>1783</v>
      </c>
      <c r="G488" s="150" t="s">
        <v>1784</v>
      </c>
      <c r="H488" s="119">
        <f t="shared" si="21"/>
        <v>11</v>
      </c>
      <c r="I488" s="119"/>
      <c r="J488" s="151">
        <v>0</v>
      </c>
      <c r="K488" s="119">
        <f t="shared" si="22"/>
        <v>11</v>
      </c>
      <c r="L488" s="152">
        <f t="shared" si="23"/>
        <v>9.3800000000000008</v>
      </c>
      <c r="M488" s="113"/>
    </row>
    <row r="489" spans="1:13" s="114" customFormat="1" x14ac:dyDescent="0.2">
      <c r="A489" s="106" t="s">
        <v>2847</v>
      </c>
      <c r="B489" s="105" t="s">
        <v>2245</v>
      </c>
      <c r="C489" s="105" t="s">
        <v>2862</v>
      </c>
      <c r="D489" s="149" t="s">
        <v>2246</v>
      </c>
      <c r="E489" s="105">
        <v>16</v>
      </c>
      <c r="F489" s="150" t="s">
        <v>2247</v>
      </c>
      <c r="G489" s="150" t="s">
        <v>2248</v>
      </c>
      <c r="H489" s="119">
        <f t="shared" si="21"/>
        <v>88</v>
      </c>
      <c r="I489" s="119"/>
      <c r="J489" s="151">
        <v>0</v>
      </c>
      <c r="K489" s="119">
        <f t="shared" si="22"/>
        <v>88</v>
      </c>
      <c r="L489" s="152">
        <f t="shared" si="23"/>
        <v>75.84</v>
      </c>
      <c r="M489" s="113"/>
    </row>
    <row r="490" spans="1:13" s="114" customFormat="1" x14ac:dyDescent="0.2">
      <c r="A490" s="106" t="s">
        <v>2847</v>
      </c>
      <c r="B490" s="105" t="s">
        <v>2298</v>
      </c>
      <c r="C490" s="105" t="s">
        <v>2863</v>
      </c>
      <c r="D490" s="149" t="s">
        <v>2299</v>
      </c>
      <c r="E490" s="105">
        <v>2</v>
      </c>
      <c r="F490" s="150" t="s">
        <v>2300</v>
      </c>
      <c r="G490" s="150" t="s">
        <v>1892</v>
      </c>
      <c r="H490" s="119">
        <f t="shared" si="21"/>
        <v>48</v>
      </c>
      <c r="I490" s="119"/>
      <c r="J490" s="151">
        <v>0</v>
      </c>
      <c r="K490" s="119">
        <f t="shared" si="22"/>
        <v>48</v>
      </c>
      <c r="L490" s="152">
        <f t="shared" si="23"/>
        <v>41.6</v>
      </c>
      <c r="M490" s="113"/>
    </row>
    <row r="491" spans="1:13" s="114" customFormat="1" x14ac:dyDescent="0.2">
      <c r="A491" s="106" t="s">
        <v>2847</v>
      </c>
      <c r="B491" s="105" t="s">
        <v>1793</v>
      </c>
      <c r="C491" s="105" t="s">
        <v>2864</v>
      </c>
      <c r="D491" s="149" t="s">
        <v>1795</v>
      </c>
      <c r="E491" s="105">
        <v>1</v>
      </c>
      <c r="F491" s="150" t="s">
        <v>1796</v>
      </c>
      <c r="G491" s="150" t="s">
        <v>1797</v>
      </c>
      <c r="H491" s="119">
        <f t="shared" si="21"/>
        <v>14.75</v>
      </c>
      <c r="I491" s="119"/>
      <c r="J491" s="151">
        <v>0</v>
      </c>
      <c r="K491" s="119">
        <f t="shared" si="22"/>
        <v>14.75</v>
      </c>
      <c r="L491" s="152">
        <f t="shared" si="23"/>
        <v>12.77</v>
      </c>
      <c r="M491" s="113"/>
    </row>
    <row r="492" spans="1:13" s="114" customFormat="1" x14ac:dyDescent="0.2">
      <c r="A492" s="106" t="s">
        <v>2847</v>
      </c>
      <c r="B492" s="105" t="s">
        <v>1994</v>
      </c>
      <c r="C492" s="105" t="s">
        <v>2864</v>
      </c>
      <c r="D492" s="149" t="s">
        <v>1995</v>
      </c>
      <c r="E492" s="105">
        <v>2</v>
      </c>
      <c r="F492" s="150" t="s">
        <v>1996</v>
      </c>
      <c r="G492" s="150" t="s">
        <v>1801</v>
      </c>
      <c r="H492" s="119">
        <f t="shared" si="21"/>
        <v>19</v>
      </c>
      <c r="I492" s="119"/>
      <c r="J492" s="151">
        <v>0</v>
      </c>
      <c r="K492" s="119">
        <f t="shared" si="22"/>
        <v>19</v>
      </c>
      <c r="L492" s="152">
        <f t="shared" si="23"/>
        <v>13.34</v>
      </c>
      <c r="M492" s="113"/>
    </row>
    <row r="493" spans="1:13" s="114" customFormat="1" x14ac:dyDescent="0.2">
      <c r="A493" s="106" t="s">
        <v>2847</v>
      </c>
      <c r="B493" s="105" t="s">
        <v>2205</v>
      </c>
      <c r="C493" s="105" t="s">
        <v>2865</v>
      </c>
      <c r="D493" s="149" t="s">
        <v>2207</v>
      </c>
      <c r="E493" s="105">
        <v>1</v>
      </c>
      <c r="F493" s="150" t="s">
        <v>2208</v>
      </c>
      <c r="G493" s="150" t="s">
        <v>2209</v>
      </c>
      <c r="H493" s="119">
        <f t="shared" si="21"/>
        <v>48.25</v>
      </c>
      <c r="I493" s="119"/>
      <c r="J493" s="151">
        <v>0</v>
      </c>
      <c r="K493" s="119">
        <f t="shared" si="22"/>
        <v>48.25</v>
      </c>
      <c r="L493" s="152">
        <f t="shared" si="23"/>
        <v>41.86</v>
      </c>
      <c r="M493" s="113"/>
    </row>
    <row r="494" spans="1:13" s="114" customFormat="1" x14ac:dyDescent="0.2">
      <c r="A494" s="106" t="s">
        <v>2847</v>
      </c>
      <c r="B494" s="105" t="s">
        <v>2610</v>
      </c>
      <c r="C494" s="105" t="s">
        <v>2865</v>
      </c>
      <c r="D494" s="149" t="s">
        <v>2612</v>
      </c>
      <c r="E494" s="105">
        <v>1</v>
      </c>
      <c r="F494" s="150" t="s">
        <v>2613</v>
      </c>
      <c r="G494" s="150" t="s">
        <v>2614</v>
      </c>
      <c r="H494" s="119">
        <f t="shared" si="21"/>
        <v>59.25</v>
      </c>
      <c r="I494" s="119"/>
      <c r="J494" s="151">
        <v>0</v>
      </c>
      <c r="K494" s="119">
        <f t="shared" si="22"/>
        <v>59.25</v>
      </c>
      <c r="L494" s="152">
        <f t="shared" si="23"/>
        <v>53.9</v>
      </c>
      <c r="M494" s="113"/>
    </row>
    <row r="495" spans="1:13" s="114" customFormat="1" x14ac:dyDescent="0.2">
      <c r="A495" s="106" t="s">
        <v>2847</v>
      </c>
      <c r="B495" s="105" t="s">
        <v>1826</v>
      </c>
      <c r="C495" s="105" t="s">
        <v>2866</v>
      </c>
      <c r="D495" s="149" t="s">
        <v>1827</v>
      </c>
      <c r="E495" s="105">
        <v>2</v>
      </c>
      <c r="F495" s="150" t="s">
        <v>1828</v>
      </c>
      <c r="G495" s="150" t="s">
        <v>1829</v>
      </c>
      <c r="H495" s="119">
        <f t="shared" si="21"/>
        <v>240</v>
      </c>
      <c r="I495" s="119"/>
      <c r="J495" s="151">
        <v>0</v>
      </c>
      <c r="K495" s="119">
        <f t="shared" si="22"/>
        <v>240</v>
      </c>
      <c r="L495" s="152">
        <f t="shared" si="23"/>
        <v>180</v>
      </c>
      <c r="M495" s="113"/>
    </row>
    <row r="496" spans="1:13" s="114" customFormat="1" x14ac:dyDescent="0.2">
      <c r="A496" s="106" t="s">
        <v>2847</v>
      </c>
      <c r="B496" s="105" t="s">
        <v>2867</v>
      </c>
      <c r="C496" s="105" t="s">
        <v>2868</v>
      </c>
      <c r="D496" s="149" t="s">
        <v>2869</v>
      </c>
      <c r="E496" s="105">
        <v>1</v>
      </c>
      <c r="F496" s="150" t="s">
        <v>2870</v>
      </c>
      <c r="G496" s="150" t="s">
        <v>2871</v>
      </c>
      <c r="H496" s="119">
        <f t="shared" si="21"/>
        <v>6.75</v>
      </c>
      <c r="I496" s="119"/>
      <c r="J496" s="151">
        <v>0</v>
      </c>
      <c r="K496" s="119">
        <f t="shared" si="22"/>
        <v>6.75</v>
      </c>
      <c r="L496" s="152">
        <f t="shared" si="23"/>
        <v>5.85</v>
      </c>
      <c r="M496" s="113"/>
    </row>
    <row r="497" spans="1:13" s="114" customFormat="1" x14ac:dyDescent="0.2">
      <c r="A497" s="106" t="s">
        <v>2847</v>
      </c>
      <c r="B497" s="105" t="s">
        <v>2872</v>
      </c>
      <c r="C497" s="105" t="s">
        <v>2868</v>
      </c>
      <c r="D497" s="149" t="s">
        <v>2873</v>
      </c>
      <c r="E497" s="105">
        <v>2</v>
      </c>
      <c r="F497" s="150" t="s">
        <v>2874</v>
      </c>
      <c r="G497" s="150" t="s">
        <v>2001</v>
      </c>
      <c r="H497" s="119">
        <f t="shared" si="21"/>
        <v>10.5</v>
      </c>
      <c r="I497" s="119"/>
      <c r="J497" s="151">
        <v>0</v>
      </c>
      <c r="K497" s="119">
        <f t="shared" si="22"/>
        <v>10.5</v>
      </c>
      <c r="L497" s="152">
        <f t="shared" si="23"/>
        <v>8.24</v>
      </c>
      <c r="M497" s="113"/>
    </row>
    <row r="498" spans="1:13" s="114" customFormat="1" x14ac:dyDescent="0.2">
      <c r="A498" s="153" t="s">
        <v>2847</v>
      </c>
      <c r="B498" s="154" t="s">
        <v>1902</v>
      </c>
      <c r="C498" s="154" t="s">
        <v>2875</v>
      </c>
      <c r="D498" s="155" t="s">
        <v>1903</v>
      </c>
      <c r="E498" s="154">
        <v>2</v>
      </c>
      <c r="F498" s="146"/>
      <c r="G498" s="146" t="s">
        <v>1904</v>
      </c>
      <c r="H498" s="147">
        <f t="shared" si="21"/>
        <v>38.5</v>
      </c>
      <c r="I498" s="147"/>
      <c r="J498" s="156">
        <v>0</v>
      </c>
      <c r="K498" s="147">
        <f t="shared" si="22"/>
        <v>38.5</v>
      </c>
      <c r="L498" s="148">
        <f t="shared" si="23"/>
        <v>0</v>
      </c>
      <c r="M498" s="113"/>
    </row>
    <row r="499" spans="1:13" s="114" customFormat="1" x14ac:dyDescent="0.2">
      <c r="A499" s="106" t="s">
        <v>2847</v>
      </c>
      <c r="B499" s="105" t="s">
        <v>1897</v>
      </c>
      <c r="C499" s="105" t="s">
        <v>2875</v>
      </c>
      <c r="D499" s="149" t="s">
        <v>1898</v>
      </c>
      <c r="E499" s="105">
        <v>1</v>
      </c>
      <c r="F499" s="150" t="s">
        <v>1899</v>
      </c>
      <c r="G499" s="150" t="s">
        <v>1900</v>
      </c>
      <c r="H499" s="119">
        <f t="shared" si="21"/>
        <v>30</v>
      </c>
      <c r="I499" s="119"/>
      <c r="J499" s="151">
        <v>0</v>
      </c>
      <c r="K499" s="119">
        <f t="shared" si="22"/>
        <v>30</v>
      </c>
      <c r="L499" s="152">
        <f t="shared" si="23"/>
        <v>27.5</v>
      </c>
      <c r="M499" s="113"/>
    </row>
    <row r="500" spans="1:13" s="114" customFormat="1" x14ac:dyDescent="0.2">
      <c r="A500" s="106" t="s">
        <v>2847</v>
      </c>
      <c r="B500" s="105" t="s">
        <v>2526</v>
      </c>
      <c r="C500" s="105" t="s">
        <v>2875</v>
      </c>
      <c r="D500" s="149" t="s">
        <v>2528</v>
      </c>
      <c r="E500" s="105">
        <v>1</v>
      </c>
      <c r="F500" s="150" t="s">
        <v>1975</v>
      </c>
      <c r="G500" s="150" t="s">
        <v>1976</v>
      </c>
      <c r="H500" s="119">
        <f t="shared" si="21"/>
        <v>23.75</v>
      </c>
      <c r="I500" s="119"/>
      <c r="J500" s="151">
        <v>0</v>
      </c>
      <c r="K500" s="119">
        <f t="shared" si="22"/>
        <v>23.75</v>
      </c>
      <c r="L500" s="152">
        <f t="shared" si="23"/>
        <v>20.55</v>
      </c>
      <c r="M500" s="113"/>
    </row>
    <row r="501" spans="1:13" s="114" customFormat="1" x14ac:dyDescent="0.2">
      <c r="A501" s="106" t="s">
        <v>2847</v>
      </c>
      <c r="B501" s="105" t="s">
        <v>2307</v>
      </c>
      <c r="C501" s="105" t="s">
        <v>2875</v>
      </c>
      <c r="D501" s="149" t="s">
        <v>2309</v>
      </c>
      <c r="E501" s="105">
        <v>1</v>
      </c>
      <c r="F501" s="150" t="s">
        <v>1913</v>
      </c>
      <c r="G501" s="150" t="s">
        <v>1914</v>
      </c>
      <c r="H501" s="119">
        <f t="shared" si="21"/>
        <v>36.5</v>
      </c>
      <c r="I501" s="119"/>
      <c r="J501" s="151">
        <v>0</v>
      </c>
      <c r="K501" s="119">
        <f t="shared" si="22"/>
        <v>36.5</v>
      </c>
      <c r="L501" s="152">
        <f t="shared" si="23"/>
        <v>31.6</v>
      </c>
      <c r="M501" s="113"/>
    </row>
    <row r="502" spans="1:13" s="114" customFormat="1" x14ac:dyDescent="0.2">
      <c r="A502" s="106" t="s">
        <v>2847</v>
      </c>
      <c r="B502" s="105" t="s">
        <v>2876</v>
      </c>
      <c r="C502" s="105" t="s">
        <v>2875</v>
      </c>
      <c r="D502" s="149" t="s">
        <v>2877</v>
      </c>
      <c r="E502" s="105">
        <v>1</v>
      </c>
      <c r="F502" s="150" t="s">
        <v>2188</v>
      </c>
      <c r="G502" s="150" t="s">
        <v>2259</v>
      </c>
      <c r="H502" s="119">
        <f t="shared" si="21"/>
        <v>68.5</v>
      </c>
      <c r="I502" s="119"/>
      <c r="J502" s="151">
        <v>0</v>
      </c>
      <c r="K502" s="119">
        <f t="shared" si="22"/>
        <v>68.5</v>
      </c>
      <c r="L502" s="152">
        <f t="shared" si="23"/>
        <v>59.5</v>
      </c>
      <c r="M502" s="113"/>
    </row>
    <row r="503" spans="1:13" s="114" customFormat="1" x14ac:dyDescent="0.2">
      <c r="A503" s="106" t="s">
        <v>2847</v>
      </c>
      <c r="B503" s="105" t="s">
        <v>2878</v>
      </c>
      <c r="C503" s="105" t="s">
        <v>2879</v>
      </c>
      <c r="D503" s="149" t="s">
        <v>2880</v>
      </c>
      <c r="E503" s="105">
        <v>1</v>
      </c>
      <c r="F503" s="150" t="s">
        <v>2881</v>
      </c>
      <c r="G503" s="150" t="s">
        <v>2882</v>
      </c>
      <c r="H503" s="119">
        <f t="shared" si="21"/>
        <v>70</v>
      </c>
      <c r="I503" s="119"/>
      <c r="J503" s="151">
        <v>0</v>
      </c>
      <c r="K503" s="119">
        <f t="shared" si="22"/>
        <v>70</v>
      </c>
      <c r="L503" s="152">
        <f t="shared" si="23"/>
        <v>60.4</v>
      </c>
      <c r="M503" s="113"/>
    </row>
    <row r="504" spans="1:13" s="114" customFormat="1" x14ac:dyDescent="0.2">
      <c r="A504" s="106" t="s">
        <v>2847</v>
      </c>
      <c r="B504" s="105" t="s">
        <v>1944</v>
      </c>
      <c r="C504" s="105" t="s">
        <v>2879</v>
      </c>
      <c r="D504" s="149" t="s">
        <v>1946</v>
      </c>
      <c r="E504" s="105">
        <v>2</v>
      </c>
      <c r="F504" s="150" t="s">
        <v>1947</v>
      </c>
      <c r="G504" s="150" t="s">
        <v>1948</v>
      </c>
      <c r="H504" s="119">
        <f t="shared" si="21"/>
        <v>33.5</v>
      </c>
      <c r="I504" s="119"/>
      <c r="J504" s="151">
        <v>0</v>
      </c>
      <c r="K504" s="119">
        <f t="shared" si="22"/>
        <v>33.5</v>
      </c>
      <c r="L504" s="152">
        <f t="shared" si="23"/>
        <v>28.76</v>
      </c>
      <c r="M504" s="113"/>
    </row>
    <row r="505" spans="1:13" s="114" customFormat="1" x14ac:dyDescent="0.2">
      <c r="A505" s="153" t="s">
        <v>2847</v>
      </c>
      <c r="B505" s="154" t="s">
        <v>1902</v>
      </c>
      <c r="C505" s="154" t="s">
        <v>2883</v>
      </c>
      <c r="D505" s="155" t="s">
        <v>1903</v>
      </c>
      <c r="E505" s="154">
        <v>1</v>
      </c>
      <c r="F505" s="146"/>
      <c r="G505" s="146" t="s">
        <v>1904</v>
      </c>
      <c r="H505" s="147">
        <f t="shared" si="21"/>
        <v>19.25</v>
      </c>
      <c r="I505" s="147"/>
      <c r="J505" s="156">
        <v>0</v>
      </c>
      <c r="K505" s="147">
        <f t="shared" si="22"/>
        <v>19.25</v>
      </c>
      <c r="L505" s="148">
        <f t="shared" si="23"/>
        <v>0</v>
      </c>
      <c r="M505" s="113"/>
    </row>
    <row r="506" spans="1:13" s="114" customFormat="1" x14ac:dyDescent="0.2">
      <c r="A506" s="106" t="s">
        <v>2847</v>
      </c>
      <c r="B506" s="105" t="s">
        <v>2884</v>
      </c>
      <c r="C506" s="105" t="s">
        <v>2885</v>
      </c>
      <c r="D506" s="149" t="s">
        <v>2886</v>
      </c>
      <c r="E506" s="105">
        <v>1</v>
      </c>
      <c r="F506" s="150" t="s">
        <v>2887</v>
      </c>
      <c r="G506" s="150" t="s">
        <v>2888</v>
      </c>
      <c r="H506" s="119">
        <f t="shared" si="21"/>
        <v>335.75</v>
      </c>
      <c r="I506" s="119"/>
      <c r="J506" s="151">
        <v>0</v>
      </c>
      <c r="K506" s="119">
        <f t="shared" si="22"/>
        <v>335.75</v>
      </c>
      <c r="L506" s="152">
        <f t="shared" si="23"/>
        <v>279.75</v>
      </c>
      <c r="M506" s="113"/>
    </row>
    <row r="507" spans="1:13" s="114" customFormat="1" x14ac:dyDescent="0.2">
      <c r="A507" s="106" t="s">
        <v>2847</v>
      </c>
      <c r="B507" s="105" t="s">
        <v>2503</v>
      </c>
      <c r="C507" s="105" t="s">
        <v>2889</v>
      </c>
      <c r="D507" s="149" t="s">
        <v>2505</v>
      </c>
      <c r="E507" s="105">
        <v>1</v>
      </c>
      <c r="F507" s="150" t="s">
        <v>2067</v>
      </c>
      <c r="G507" s="150" t="s">
        <v>2506</v>
      </c>
      <c r="H507" s="119">
        <f t="shared" si="21"/>
        <v>50</v>
      </c>
      <c r="I507" s="119"/>
      <c r="J507" s="151">
        <v>0</v>
      </c>
      <c r="K507" s="119">
        <f t="shared" si="22"/>
        <v>50</v>
      </c>
      <c r="L507" s="152">
        <f t="shared" si="23"/>
        <v>42.75</v>
      </c>
      <c r="M507" s="113"/>
    </row>
    <row r="508" spans="1:13" s="114" customFormat="1" x14ac:dyDescent="0.2">
      <c r="A508" s="106" t="s">
        <v>2847</v>
      </c>
      <c r="B508" s="105" t="s">
        <v>2890</v>
      </c>
      <c r="C508" s="105" t="s">
        <v>2891</v>
      </c>
      <c r="D508" s="149" t="s">
        <v>2892</v>
      </c>
      <c r="E508" s="105">
        <v>1</v>
      </c>
      <c r="F508" s="150" t="s">
        <v>2893</v>
      </c>
      <c r="G508" s="150" t="s">
        <v>2894</v>
      </c>
      <c r="H508" s="119">
        <f t="shared" si="21"/>
        <v>62.75</v>
      </c>
      <c r="I508" s="119"/>
      <c r="J508" s="151">
        <v>0</v>
      </c>
      <c r="K508" s="119">
        <f t="shared" si="22"/>
        <v>62.75</v>
      </c>
      <c r="L508" s="152">
        <f t="shared" si="23"/>
        <v>54.38</v>
      </c>
      <c r="M508" s="113"/>
    </row>
    <row r="509" spans="1:13" s="114" customFormat="1" x14ac:dyDescent="0.2">
      <c r="A509" s="106" t="s">
        <v>2847</v>
      </c>
      <c r="B509" s="105" t="s">
        <v>2895</v>
      </c>
      <c r="C509" s="105" t="s">
        <v>2896</v>
      </c>
      <c r="D509" s="149" t="s">
        <v>2897</v>
      </c>
      <c r="E509" s="105">
        <v>1</v>
      </c>
      <c r="F509" s="150" t="s">
        <v>2898</v>
      </c>
      <c r="G509" s="150" t="s">
        <v>2899</v>
      </c>
      <c r="H509" s="119">
        <f t="shared" si="21"/>
        <v>10.75</v>
      </c>
      <c r="I509" s="119"/>
      <c r="J509" s="151">
        <v>0</v>
      </c>
      <c r="K509" s="119">
        <f t="shared" si="22"/>
        <v>10.75</v>
      </c>
      <c r="L509" s="152">
        <f t="shared" si="23"/>
        <v>9.17</v>
      </c>
      <c r="M509" s="113"/>
    </row>
    <row r="510" spans="1:13" s="114" customFormat="1" x14ac:dyDescent="0.2">
      <c r="A510" s="106" t="s">
        <v>2847</v>
      </c>
      <c r="B510" s="105" t="s">
        <v>2059</v>
      </c>
      <c r="C510" s="105" t="s">
        <v>2896</v>
      </c>
      <c r="D510" s="149" t="s">
        <v>2061</v>
      </c>
      <c r="E510" s="105">
        <v>1</v>
      </c>
      <c r="F510" s="150" t="s">
        <v>1923</v>
      </c>
      <c r="G510" s="150" t="s">
        <v>1809</v>
      </c>
      <c r="H510" s="119">
        <f t="shared" si="21"/>
        <v>18</v>
      </c>
      <c r="I510" s="119"/>
      <c r="J510" s="151">
        <v>0</v>
      </c>
      <c r="K510" s="119">
        <f t="shared" si="22"/>
        <v>18</v>
      </c>
      <c r="L510" s="152">
        <f t="shared" si="23"/>
        <v>15.5</v>
      </c>
      <c r="M510" s="113"/>
    </row>
    <row r="511" spans="1:13" s="114" customFormat="1" x14ac:dyDescent="0.2">
      <c r="A511" s="106" t="s">
        <v>2847</v>
      </c>
      <c r="B511" s="105" t="s">
        <v>2189</v>
      </c>
      <c r="C511" s="105" t="s">
        <v>2900</v>
      </c>
      <c r="D511" s="149" t="s">
        <v>2190</v>
      </c>
      <c r="E511" s="105">
        <v>1</v>
      </c>
      <c r="F511" s="150" t="s">
        <v>2191</v>
      </c>
      <c r="G511" s="150" t="s">
        <v>2192</v>
      </c>
      <c r="H511" s="119">
        <f t="shared" si="21"/>
        <v>71.5</v>
      </c>
      <c r="I511" s="119"/>
      <c r="J511" s="151">
        <v>0</v>
      </c>
      <c r="K511" s="119">
        <f t="shared" si="22"/>
        <v>71.5</v>
      </c>
      <c r="L511" s="152">
        <f t="shared" si="23"/>
        <v>65</v>
      </c>
      <c r="M511" s="113"/>
    </row>
    <row r="512" spans="1:13" s="114" customFormat="1" x14ac:dyDescent="0.2">
      <c r="A512" s="106" t="s">
        <v>2847</v>
      </c>
      <c r="B512" s="105" t="s">
        <v>2018</v>
      </c>
      <c r="C512" s="105" t="s">
        <v>2900</v>
      </c>
      <c r="D512" s="149" t="s">
        <v>2019</v>
      </c>
      <c r="E512" s="105">
        <v>1</v>
      </c>
      <c r="F512" s="150" t="s">
        <v>2020</v>
      </c>
      <c r="G512" s="150" t="s">
        <v>2021</v>
      </c>
      <c r="H512" s="119">
        <f t="shared" si="21"/>
        <v>36.75</v>
      </c>
      <c r="I512" s="119"/>
      <c r="J512" s="151">
        <v>0</v>
      </c>
      <c r="K512" s="119">
        <f t="shared" si="22"/>
        <v>36.75</v>
      </c>
      <c r="L512" s="152">
        <f t="shared" si="23"/>
        <v>30.79</v>
      </c>
      <c r="M512" s="113"/>
    </row>
    <row r="513" spans="1:13" s="114" customFormat="1" x14ac:dyDescent="0.2">
      <c r="A513" s="106" t="s">
        <v>2847</v>
      </c>
      <c r="B513" s="105" t="s">
        <v>2146</v>
      </c>
      <c r="C513" s="105" t="s">
        <v>2901</v>
      </c>
      <c r="D513" s="149" t="s">
        <v>2147</v>
      </c>
      <c r="E513" s="105">
        <v>1</v>
      </c>
      <c r="F513" s="150" t="s">
        <v>1928</v>
      </c>
      <c r="G513" s="150" t="s">
        <v>2097</v>
      </c>
      <c r="H513" s="119">
        <f t="shared" si="21"/>
        <v>14.5</v>
      </c>
      <c r="I513" s="119"/>
      <c r="J513" s="151">
        <v>0</v>
      </c>
      <c r="K513" s="119">
        <f t="shared" si="22"/>
        <v>14.5</v>
      </c>
      <c r="L513" s="152">
        <f t="shared" si="23"/>
        <v>12.25</v>
      </c>
      <c r="M513" s="113"/>
    </row>
    <row r="514" spans="1:13" s="114" customFormat="1" x14ac:dyDescent="0.2">
      <c r="A514" s="106" t="s">
        <v>2847</v>
      </c>
      <c r="B514" s="105" t="s">
        <v>2022</v>
      </c>
      <c r="C514" s="105" t="s">
        <v>2901</v>
      </c>
      <c r="D514" s="149" t="s">
        <v>2024</v>
      </c>
      <c r="E514" s="105">
        <v>1</v>
      </c>
      <c r="F514" s="150" t="s">
        <v>2025</v>
      </c>
      <c r="G514" s="150" t="s">
        <v>2026</v>
      </c>
      <c r="H514" s="119">
        <f t="shared" si="21"/>
        <v>34.5</v>
      </c>
      <c r="I514" s="119"/>
      <c r="J514" s="151">
        <v>0</v>
      </c>
      <c r="K514" s="119">
        <f t="shared" si="22"/>
        <v>34.5</v>
      </c>
      <c r="L514" s="152">
        <f t="shared" si="23"/>
        <v>29.9</v>
      </c>
      <c r="M514" s="113"/>
    </row>
    <row r="515" spans="1:13" s="114" customFormat="1" x14ac:dyDescent="0.2">
      <c r="A515" s="106" t="s">
        <v>2847</v>
      </c>
      <c r="B515" s="105" t="s">
        <v>2902</v>
      </c>
      <c r="C515" s="105" t="s">
        <v>2903</v>
      </c>
      <c r="D515" s="149" t="s">
        <v>2904</v>
      </c>
      <c r="E515" s="105">
        <v>1</v>
      </c>
      <c r="F515" s="150" t="s">
        <v>2905</v>
      </c>
      <c r="G515" s="150" t="s">
        <v>2894</v>
      </c>
      <c r="H515" s="119">
        <f t="shared" si="21"/>
        <v>62.75</v>
      </c>
      <c r="I515" s="119"/>
      <c r="J515" s="151">
        <v>0</v>
      </c>
      <c r="K515" s="119">
        <f t="shared" si="22"/>
        <v>62.75</v>
      </c>
      <c r="L515" s="152">
        <f t="shared" si="23"/>
        <v>54.56</v>
      </c>
      <c r="M515" s="113"/>
    </row>
    <row r="516" spans="1:13" s="114" customFormat="1" x14ac:dyDescent="0.2">
      <c r="A516" s="106" t="s">
        <v>2847</v>
      </c>
      <c r="B516" s="105" t="s">
        <v>2906</v>
      </c>
      <c r="C516" s="105" t="s">
        <v>2903</v>
      </c>
      <c r="D516" s="149" t="s">
        <v>2907</v>
      </c>
      <c r="E516" s="105">
        <v>1</v>
      </c>
      <c r="F516" s="150" t="s">
        <v>2905</v>
      </c>
      <c r="G516" s="150" t="s">
        <v>2894</v>
      </c>
      <c r="H516" s="119">
        <f t="shared" si="21"/>
        <v>62.75</v>
      </c>
      <c r="I516" s="119"/>
      <c r="J516" s="151">
        <v>0</v>
      </c>
      <c r="K516" s="119">
        <f t="shared" si="22"/>
        <v>62.75</v>
      </c>
      <c r="L516" s="152">
        <f t="shared" si="23"/>
        <v>54.56</v>
      </c>
      <c r="M516" s="113"/>
    </row>
    <row r="517" spans="1:13" s="114" customFormat="1" x14ac:dyDescent="0.2">
      <c r="A517" s="106" t="s">
        <v>2847</v>
      </c>
      <c r="B517" s="105" t="s">
        <v>2908</v>
      </c>
      <c r="C517" s="105" t="s">
        <v>2909</v>
      </c>
      <c r="D517" s="149" t="s">
        <v>2910</v>
      </c>
      <c r="E517" s="105">
        <v>1</v>
      </c>
      <c r="F517" s="150" t="s">
        <v>1980</v>
      </c>
      <c r="G517" s="150" t="s">
        <v>1981</v>
      </c>
      <c r="H517" s="119">
        <f t="shared" si="21"/>
        <v>1</v>
      </c>
      <c r="I517" s="119"/>
      <c r="J517" s="151">
        <v>0</v>
      </c>
      <c r="K517" s="119">
        <f t="shared" si="22"/>
        <v>1</v>
      </c>
      <c r="L517" s="152">
        <f t="shared" si="23"/>
        <v>0.76</v>
      </c>
      <c r="M517" s="113"/>
    </row>
    <row r="518" spans="1:13" s="114" customFormat="1" x14ac:dyDescent="0.2">
      <c r="A518" s="106" t="s">
        <v>2847</v>
      </c>
      <c r="B518" s="105" t="s">
        <v>2072</v>
      </c>
      <c r="C518" s="105" t="s">
        <v>2911</v>
      </c>
      <c r="D518" s="149" t="s">
        <v>2074</v>
      </c>
      <c r="E518" s="105">
        <v>2</v>
      </c>
      <c r="F518" s="150" t="s">
        <v>2075</v>
      </c>
      <c r="G518" s="150" t="s">
        <v>2076</v>
      </c>
      <c r="H518" s="119">
        <f t="shared" ref="H518:H581" si="24">E518*G518</f>
        <v>21</v>
      </c>
      <c r="I518" s="119"/>
      <c r="J518" s="151">
        <v>0</v>
      </c>
      <c r="K518" s="119">
        <f t="shared" ref="K518:K581" si="25">H518+I518-J518</f>
        <v>21</v>
      </c>
      <c r="L518" s="152">
        <f t="shared" ref="L518:L581" si="26">E518*F518</f>
        <v>18.2</v>
      </c>
      <c r="M518" s="113"/>
    </row>
    <row r="519" spans="1:13" s="114" customFormat="1" x14ac:dyDescent="0.2">
      <c r="A519" s="106" t="s">
        <v>2847</v>
      </c>
      <c r="B519" s="105" t="s">
        <v>2912</v>
      </c>
      <c r="C519" s="105" t="s">
        <v>2913</v>
      </c>
      <c r="D519" s="149" t="s">
        <v>2914</v>
      </c>
      <c r="E519" s="105">
        <v>1</v>
      </c>
      <c r="F519" s="150" t="s">
        <v>1895</v>
      </c>
      <c r="G519" s="150" t="s">
        <v>1896</v>
      </c>
      <c r="H519" s="119">
        <f t="shared" si="24"/>
        <v>31.5</v>
      </c>
      <c r="I519" s="119"/>
      <c r="J519" s="151">
        <v>0</v>
      </c>
      <c r="K519" s="119">
        <f t="shared" si="25"/>
        <v>31.5</v>
      </c>
      <c r="L519" s="152">
        <f t="shared" si="26"/>
        <v>27.3</v>
      </c>
      <c r="M519" s="113"/>
    </row>
    <row r="520" spans="1:13" s="114" customFormat="1" x14ac:dyDescent="0.2">
      <c r="A520" s="106" t="s">
        <v>2847</v>
      </c>
      <c r="B520" s="105" t="s">
        <v>2872</v>
      </c>
      <c r="C520" s="105" t="s">
        <v>2915</v>
      </c>
      <c r="D520" s="149" t="s">
        <v>2873</v>
      </c>
      <c r="E520" s="105">
        <v>2</v>
      </c>
      <c r="F520" s="150" t="s">
        <v>2874</v>
      </c>
      <c r="G520" s="150" t="s">
        <v>2001</v>
      </c>
      <c r="H520" s="119">
        <f t="shared" si="24"/>
        <v>10.5</v>
      </c>
      <c r="I520" s="119"/>
      <c r="J520" s="151">
        <v>0</v>
      </c>
      <c r="K520" s="119">
        <f t="shared" si="25"/>
        <v>10.5</v>
      </c>
      <c r="L520" s="152">
        <f t="shared" si="26"/>
        <v>8.24</v>
      </c>
      <c r="M520" s="113"/>
    </row>
    <row r="521" spans="1:13" s="114" customFormat="1" x14ac:dyDescent="0.2">
      <c r="A521" s="106" t="s">
        <v>2847</v>
      </c>
      <c r="B521" s="105" t="s">
        <v>1937</v>
      </c>
      <c r="C521" s="105" t="s">
        <v>2916</v>
      </c>
      <c r="D521" s="149" t="s">
        <v>1938</v>
      </c>
      <c r="E521" s="105">
        <v>1</v>
      </c>
      <c r="F521" s="150" t="s">
        <v>1852</v>
      </c>
      <c r="G521" s="150" t="s">
        <v>1939</v>
      </c>
      <c r="H521" s="119">
        <f t="shared" si="24"/>
        <v>7.25</v>
      </c>
      <c r="I521" s="119"/>
      <c r="J521" s="151">
        <v>0</v>
      </c>
      <c r="K521" s="119">
        <f t="shared" si="25"/>
        <v>7.25</v>
      </c>
      <c r="L521" s="152">
        <f t="shared" si="26"/>
        <v>6.18</v>
      </c>
      <c r="M521" s="113"/>
    </row>
    <row r="522" spans="1:13" s="114" customFormat="1" x14ac:dyDescent="0.2">
      <c r="A522" s="106" t="s">
        <v>2847</v>
      </c>
      <c r="B522" s="105" t="s">
        <v>2908</v>
      </c>
      <c r="C522" s="105" t="s">
        <v>2916</v>
      </c>
      <c r="D522" s="149" t="s">
        <v>2910</v>
      </c>
      <c r="E522" s="105">
        <v>4</v>
      </c>
      <c r="F522" s="150" t="s">
        <v>1980</v>
      </c>
      <c r="G522" s="150" t="s">
        <v>1981</v>
      </c>
      <c r="H522" s="119">
        <f t="shared" si="24"/>
        <v>4</v>
      </c>
      <c r="I522" s="119"/>
      <c r="J522" s="151">
        <v>0</v>
      </c>
      <c r="K522" s="119">
        <f t="shared" si="25"/>
        <v>4</v>
      </c>
      <c r="L522" s="152">
        <f t="shared" si="26"/>
        <v>3.04</v>
      </c>
      <c r="M522" s="113"/>
    </row>
    <row r="523" spans="1:13" s="114" customFormat="1" x14ac:dyDescent="0.2">
      <c r="A523" s="106" t="s">
        <v>2847</v>
      </c>
      <c r="B523" s="105" t="s">
        <v>2059</v>
      </c>
      <c r="C523" s="105" t="s">
        <v>2917</v>
      </c>
      <c r="D523" s="149" t="s">
        <v>2061</v>
      </c>
      <c r="E523" s="105">
        <v>1</v>
      </c>
      <c r="F523" s="150" t="s">
        <v>1923</v>
      </c>
      <c r="G523" s="150" t="s">
        <v>1809</v>
      </c>
      <c r="H523" s="119">
        <f t="shared" si="24"/>
        <v>18</v>
      </c>
      <c r="I523" s="119"/>
      <c r="J523" s="151">
        <v>0</v>
      </c>
      <c r="K523" s="119">
        <f t="shared" si="25"/>
        <v>18</v>
      </c>
      <c r="L523" s="152">
        <f t="shared" si="26"/>
        <v>15.5</v>
      </c>
      <c r="M523" s="113"/>
    </row>
    <row r="524" spans="1:13" s="114" customFormat="1" x14ac:dyDescent="0.2">
      <c r="A524" s="106" t="s">
        <v>2847</v>
      </c>
      <c r="B524" s="105" t="s">
        <v>1802</v>
      </c>
      <c r="C524" s="105" t="s">
        <v>2918</v>
      </c>
      <c r="D524" s="149" t="s">
        <v>1803</v>
      </c>
      <c r="E524" s="105">
        <v>1</v>
      </c>
      <c r="F524" s="150" t="s">
        <v>1804</v>
      </c>
      <c r="G524" s="150" t="s">
        <v>1805</v>
      </c>
      <c r="H524" s="119">
        <f t="shared" si="24"/>
        <v>8.75</v>
      </c>
      <c r="I524" s="119"/>
      <c r="J524" s="151">
        <v>0</v>
      </c>
      <c r="K524" s="119">
        <f t="shared" si="25"/>
        <v>8.75</v>
      </c>
      <c r="L524" s="152">
        <f t="shared" si="26"/>
        <v>7.51</v>
      </c>
      <c r="M524" s="113"/>
    </row>
    <row r="525" spans="1:13" s="114" customFormat="1" x14ac:dyDescent="0.2">
      <c r="A525" s="106" t="s">
        <v>2847</v>
      </c>
      <c r="B525" s="105" t="s">
        <v>2919</v>
      </c>
      <c r="C525" s="105" t="s">
        <v>2920</v>
      </c>
      <c r="D525" s="149" t="s">
        <v>2921</v>
      </c>
      <c r="E525" s="105">
        <v>1</v>
      </c>
      <c r="F525" s="150" t="s">
        <v>2922</v>
      </c>
      <c r="G525" s="150" t="s">
        <v>2923</v>
      </c>
      <c r="H525" s="119">
        <f t="shared" si="24"/>
        <v>106.75</v>
      </c>
      <c r="I525" s="119"/>
      <c r="J525" s="151">
        <v>0</v>
      </c>
      <c r="K525" s="119">
        <f t="shared" si="25"/>
        <v>106.75</v>
      </c>
      <c r="L525" s="152">
        <f t="shared" si="26"/>
        <v>92.8</v>
      </c>
      <c r="M525" s="113"/>
    </row>
    <row r="526" spans="1:13" s="114" customFormat="1" x14ac:dyDescent="0.2">
      <c r="A526" s="106" t="s">
        <v>2924</v>
      </c>
      <c r="B526" s="105" t="s">
        <v>2313</v>
      </c>
      <c r="C526" s="105" t="s">
        <v>2925</v>
      </c>
      <c r="D526" s="149" t="s">
        <v>2314</v>
      </c>
      <c r="E526" s="105">
        <v>2</v>
      </c>
      <c r="F526" s="150" t="s">
        <v>2315</v>
      </c>
      <c r="G526" s="150" t="s">
        <v>2316</v>
      </c>
      <c r="H526" s="119">
        <f t="shared" si="24"/>
        <v>79.5</v>
      </c>
      <c r="I526" s="119"/>
      <c r="J526" s="151">
        <v>0</v>
      </c>
      <c r="K526" s="119">
        <f t="shared" si="25"/>
        <v>79.5</v>
      </c>
      <c r="L526" s="152">
        <f t="shared" si="26"/>
        <v>68.760000000000005</v>
      </c>
      <c r="M526" s="113"/>
    </row>
    <row r="527" spans="1:13" s="114" customFormat="1" x14ac:dyDescent="0.2">
      <c r="A527" s="106" t="s">
        <v>2924</v>
      </c>
      <c r="B527" s="105" t="s">
        <v>2018</v>
      </c>
      <c r="C527" s="105" t="s">
        <v>2926</v>
      </c>
      <c r="D527" s="149" t="s">
        <v>2019</v>
      </c>
      <c r="E527" s="105">
        <v>1</v>
      </c>
      <c r="F527" s="150" t="s">
        <v>2020</v>
      </c>
      <c r="G527" s="150" t="s">
        <v>2021</v>
      </c>
      <c r="H527" s="119">
        <f t="shared" si="24"/>
        <v>36.75</v>
      </c>
      <c r="I527" s="119"/>
      <c r="J527" s="151">
        <v>0</v>
      </c>
      <c r="K527" s="119">
        <f t="shared" si="25"/>
        <v>36.75</v>
      </c>
      <c r="L527" s="152">
        <f t="shared" si="26"/>
        <v>30.79</v>
      </c>
      <c r="M527" s="113"/>
    </row>
    <row r="528" spans="1:13" s="114" customFormat="1" x14ac:dyDescent="0.2">
      <c r="A528" s="106" t="s">
        <v>2924</v>
      </c>
      <c r="B528" s="105" t="s">
        <v>2327</v>
      </c>
      <c r="C528" s="105" t="s">
        <v>2926</v>
      </c>
      <c r="D528" s="149" t="s">
        <v>2329</v>
      </c>
      <c r="E528" s="105">
        <v>1</v>
      </c>
      <c r="F528" s="150" t="s">
        <v>2330</v>
      </c>
      <c r="G528" s="150" t="s">
        <v>2331</v>
      </c>
      <c r="H528" s="119">
        <f t="shared" si="24"/>
        <v>26.75</v>
      </c>
      <c r="I528" s="119"/>
      <c r="J528" s="151">
        <v>0</v>
      </c>
      <c r="K528" s="119">
        <f t="shared" si="25"/>
        <v>26.75</v>
      </c>
      <c r="L528" s="152">
        <f t="shared" si="26"/>
        <v>23.07</v>
      </c>
      <c r="M528" s="113"/>
    </row>
    <row r="529" spans="1:13" s="114" customFormat="1" x14ac:dyDescent="0.2">
      <c r="A529" s="106" t="s">
        <v>2924</v>
      </c>
      <c r="B529" s="105" t="s">
        <v>2233</v>
      </c>
      <c r="C529" s="105" t="s">
        <v>2927</v>
      </c>
      <c r="D529" s="149" t="s">
        <v>2235</v>
      </c>
      <c r="E529" s="105">
        <v>2</v>
      </c>
      <c r="F529" s="150" t="s">
        <v>2087</v>
      </c>
      <c r="G529" s="150" t="s">
        <v>2088</v>
      </c>
      <c r="H529" s="119">
        <f t="shared" si="24"/>
        <v>26</v>
      </c>
      <c r="I529" s="119"/>
      <c r="J529" s="151">
        <v>0</v>
      </c>
      <c r="K529" s="119">
        <f t="shared" si="25"/>
        <v>26</v>
      </c>
      <c r="L529" s="152">
        <f t="shared" si="26"/>
        <v>22.34</v>
      </c>
      <c r="M529" s="113"/>
    </row>
    <row r="530" spans="1:13" s="114" customFormat="1" x14ac:dyDescent="0.2">
      <c r="A530" s="106" t="s">
        <v>2924</v>
      </c>
      <c r="B530" s="105" t="s">
        <v>1781</v>
      </c>
      <c r="C530" s="105" t="s">
        <v>2928</v>
      </c>
      <c r="D530" s="149" t="s">
        <v>1782</v>
      </c>
      <c r="E530" s="105">
        <v>1</v>
      </c>
      <c r="F530" s="150" t="s">
        <v>1783</v>
      </c>
      <c r="G530" s="150" t="s">
        <v>1784</v>
      </c>
      <c r="H530" s="119">
        <f t="shared" si="24"/>
        <v>11</v>
      </c>
      <c r="I530" s="119"/>
      <c r="J530" s="151">
        <v>0</v>
      </c>
      <c r="K530" s="119">
        <f t="shared" si="25"/>
        <v>11</v>
      </c>
      <c r="L530" s="152">
        <f t="shared" si="26"/>
        <v>9.3800000000000008</v>
      </c>
      <c r="M530" s="113"/>
    </row>
    <row r="531" spans="1:13" s="114" customFormat="1" x14ac:dyDescent="0.2">
      <c r="A531" s="106" t="s">
        <v>2924</v>
      </c>
      <c r="B531" s="105" t="s">
        <v>1793</v>
      </c>
      <c r="C531" s="105" t="s">
        <v>2929</v>
      </c>
      <c r="D531" s="149" t="s">
        <v>1795</v>
      </c>
      <c r="E531" s="105">
        <v>1</v>
      </c>
      <c r="F531" s="150" t="s">
        <v>1796</v>
      </c>
      <c r="G531" s="150" t="s">
        <v>1797</v>
      </c>
      <c r="H531" s="119">
        <f t="shared" si="24"/>
        <v>14.75</v>
      </c>
      <c r="I531" s="119"/>
      <c r="J531" s="151">
        <v>0</v>
      </c>
      <c r="K531" s="119">
        <f t="shared" si="25"/>
        <v>14.75</v>
      </c>
      <c r="L531" s="152">
        <f t="shared" si="26"/>
        <v>12.77</v>
      </c>
      <c r="M531" s="113"/>
    </row>
    <row r="532" spans="1:13" s="114" customFormat="1" x14ac:dyDescent="0.2">
      <c r="A532" s="106" t="s">
        <v>2924</v>
      </c>
      <c r="B532" s="105" t="s">
        <v>2380</v>
      </c>
      <c r="C532" s="105" t="s">
        <v>2930</v>
      </c>
      <c r="D532" s="149" t="s">
        <v>2381</v>
      </c>
      <c r="E532" s="105">
        <v>1</v>
      </c>
      <c r="F532" s="150" t="s">
        <v>2382</v>
      </c>
      <c r="G532" s="150" t="s">
        <v>2038</v>
      </c>
      <c r="H532" s="119">
        <f t="shared" si="24"/>
        <v>26.25</v>
      </c>
      <c r="I532" s="119"/>
      <c r="J532" s="151">
        <v>0</v>
      </c>
      <c r="K532" s="119">
        <f t="shared" si="25"/>
        <v>26.25</v>
      </c>
      <c r="L532" s="152">
        <f t="shared" si="26"/>
        <v>22.73</v>
      </c>
      <c r="M532" s="113"/>
    </row>
    <row r="533" spans="1:13" s="114" customFormat="1" x14ac:dyDescent="0.2">
      <c r="A533" s="106" t="s">
        <v>2924</v>
      </c>
      <c r="B533" s="105" t="s">
        <v>1924</v>
      </c>
      <c r="C533" s="105" t="s">
        <v>2931</v>
      </c>
      <c r="D533" s="149" t="s">
        <v>1926</v>
      </c>
      <c r="E533" s="105">
        <v>1</v>
      </c>
      <c r="F533" s="150" t="s">
        <v>1927</v>
      </c>
      <c r="G533" s="150" t="s">
        <v>1928</v>
      </c>
      <c r="H533" s="119">
        <f t="shared" si="24"/>
        <v>12.25</v>
      </c>
      <c r="I533" s="119"/>
      <c r="J533" s="151">
        <v>0</v>
      </c>
      <c r="K533" s="119">
        <f t="shared" si="25"/>
        <v>12.25</v>
      </c>
      <c r="L533" s="152">
        <f t="shared" si="26"/>
        <v>10.64</v>
      </c>
      <c r="M533" s="113"/>
    </row>
    <row r="534" spans="1:13" s="114" customFormat="1" x14ac:dyDescent="0.2">
      <c r="A534" s="106" t="s">
        <v>2924</v>
      </c>
      <c r="B534" s="105" t="s">
        <v>2416</v>
      </c>
      <c r="C534" s="105" t="s">
        <v>2931</v>
      </c>
      <c r="D534" s="149" t="s">
        <v>2417</v>
      </c>
      <c r="E534" s="105">
        <v>1</v>
      </c>
      <c r="F534" s="150" t="s">
        <v>2418</v>
      </c>
      <c r="G534" s="150" t="s">
        <v>1892</v>
      </c>
      <c r="H534" s="119">
        <f t="shared" si="24"/>
        <v>24</v>
      </c>
      <c r="I534" s="119"/>
      <c r="J534" s="151">
        <v>0</v>
      </c>
      <c r="K534" s="119">
        <f t="shared" si="25"/>
        <v>24</v>
      </c>
      <c r="L534" s="152">
        <f t="shared" si="26"/>
        <v>20.88</v>
      </c>
      <c r="M534" s="113"/>
    </row>
    <row r="535" spans="1:13" s="114" customFormat="1" x14ac:dyDescent="0.2">
      <c r="A535" s="106" t="s">
        <v>2924</v>
      </c>
      <c r="B535" s="105" t="s">
        <v>2932</v>
      </c>
      <c r="C535" s="105" t="s">
        <v>2931</v>
      </c>
      <c r="D535" s="149" t="s">
        <v>2933</v>
      </c>
      <c r="E535" s="105">
        <v>1</v>
      </c>
      <c r="F535" s="150" t="s">
        <v>2934</v>
      </c>
      <c r="G535" s="150" t="s">
        <v>2935</v>
      </c>
      <c r="H535" s="119">
        <f t="shared" si="24"/>
        <v>55</v>
      </c>
      <c r="I535" s="119"/>
      <c r="J535" s="151">
        <v>0</v>
      </c>
      <c r="K535" s="119">
        <f t="shared" si="25"/>
        <v>55</v>
      </c>
      <c r="L535" s="152">
        <f t="shared" si="26"/>
        <v>47.73</v>
      </c>
      <c r="M535" s="113"/>
    </row>
    <row r="536" spans="1:13" s="114" customFormat="1" x14ac:dyDescent="0.2">
      <c r="A536" s="106" t="s">
        <v>2924</v>
      </c>
      <c r="B536" s="105" t="s">
        <v>2872</v>
      </c>
      <c r="C536" s="105" t="s">
        <v>2931</v>
      </c>
      <c r="D536" s="149" t="s">
        <v>2873</v>
      </c>
      <c r="E536" s="105">
        <v>1</v>
      </c>
      <c r="F536" s="150" t="s">
        <v>2874</v>
      </c>
      <c r="G536" s="150" t="s">
        <v>2001</v>
      </c>
      <c r="H536" s="119">
        <f t="shared" si="24"/>
        <v>5.25</v>
      </c>
      <c r="I536" s="119"/>
      <c r="J536" s="151">
        <v>0</v>
      </c>
      <c r="K536" s="119">
        <f t="shared" si="25"/>
        <v>5.25</v>
      </c>
      <c r="L536" s="152">
        <f t="shared" si="26"/>
        <v>4.12</v>
      </c>
      <c r="M536" s="113"/>
    </row>
    <row r="537" spans="1:13" s="114" customFormat="1" x14ac:dyDescent="0.2">
      <c r="A537" s="106" t="s">
        <v>2924</v>
      </c>
      <c r="B537" s="105" t="s">
        <v>2936</v>
      </c>
      <c r="C537" s="105" t="s">
        <v>2937</v>
      </c>
      <c r="D537" s="149" t="s">
        <v>2938</v>
      </c>
      <c r="E537" s="105">
        <v>1</v>
      </c>
      <c r="F537" s="150" t="s">
        <v>2939</v>
      </c>
      <c r="G537" s="150" t="s">
        <v>1825</v>
      </c>
      <c r="H537" s="119">
        <f t="shared" si="24"/>
        <v>67.5</v>
      </c>
      <c r="I537" s="119"/>
      <c r="J537" s="151">
        <v>0</v>
      </c>
      <c r="K537" s="119">
        <f t="shared" si="25"/>
        <v>67.5</v>
      </c>
      <c r="L537" s="152">
        <f t="shared" si="26"/>
        <v>58.5</v>
      </c>
      <c r="M537" s="113"/>
    </row>
    <row r="538" spans="1:13" s="114" customFormat="1" x14ac:dyDescent="0.2">
      <c r="A538" s="106" t="s">
        <v>2924</v>
      </c>
      <c r="B538" s="105" t="s">
        <v>2757</v>
      </c>
      <c r="C538" s="105" t="s">
        <v>2940</v>
      </c>
      <c r="D538" s="149" t="s">
        <v>2759</v>
      </c>
      <c r="E538" s="105">
        <v>1</v>
      </c>
      <c r="F538" s="150" t="s">
        <v>1833</v>
      </c>
      <c r="G538" s="150" t="s">
        <v>2427</v>
      </c>
      <c r="H538" s="119">
        <f t="shared" si="24"/>
        <v>21.5</v>
      </c>
      <c r="I538" s="119"/>
      <c r="J538" s="151">
        <v>0</v>
      </c>
      <c r="K538" s="119">
        <f t="shared" si="25"/>
        <v>21.5</v>
      </c>
      <c r="L538" s="152">
        <f t="shared" si="26"/>
        <v>18.5</v>
      </c>
      <c r="M538" s="113"/>
    </row>
    <row r="539" spans="1:13" s="114" customFormat="1" x14ac:dyDescent="0.2">
      <c r="A539" s="106" t="s">
        <v>2924</v>
      </c>
      <c r="B539" s="105" t="s">
        <v>2941</v>
      </c>
      <c r="C539" s="105" t="s">
        <v>2942</v>
      </c>
      <c r="D539" s="149" t="s">
        <v>2943</v>
      </c>
      <c r="E539" s="105">
        <v>12</v>
      </c>
      <c r="F539" s="150" t="s">
        <v>2944</v>
      </c>
      <c r="G539" s="150" t="s">
        <v>1966</v>
      </c>
      <c r="H539" s="119">
        <f t="shared" si="24"/>
        <v>99</v>
      </c>
      <c r="I539" s="119"/>
      <c r="J539" s="151">
        <v>0</v>
      </c>
      <c r="K539" s="119">
        <f t="shared" si="25"/>
        <v>99</v>
      </c>
      <c r="L539" s="152">
        <f t="shared" si="26"/>
        <v>85.679999999999993</v>
      </c>
      <c r="M539" s="113"/>
    </row>
    <row r="540" spans="1:13" s="114" customFormat="1" x14ac:dyDescent="0.2">
      <c r="A540" s="106" t="s">
        <v>2924</v>
      </c>
      <c r="B540" s="105" t="s">
        <v>2423</v>
      </c>
      <c r="C540" s="105" t="s">
        <v>2945</v>
      </c>
      <c r="D540" s="149" t="s">
        <v>2425</v>
      </c>
      <c r="E540" s="105">
        <v>2</v>
      </c>
      <c r="F540" s="150" t="s">
        <v>2426</v>
      </c>
      <c r="G540" s="150" t="s">
        <v>2427</v>
      </c>
      <c r="H540" s="119">
        <f t="shared" si="24"/>
        <v>43</v>
      </c>
      <c r="I540" s="119"/>
      <c r="J540" s="151">
        <v>0</v>
      </c>
      <c r="K540" s="119">
        <f t="shared" si="25"/>
        <v>43</v>
      </c>
      <c r="L540" s="152">
        <f t="shared" si="26"/>
        <v>37.06</v>
      </c>
      <c r="M540" s="113"/>
    </row>
    <row r="541" spans="1:13" s="114" customFormat="1" x14ac:dyDescent="0.2">
      <c r="A541" s="106" t="s">
        <v>2924</v>
      </c>
      <c r="B541" s="105" t="s">
        <v>2278</v>
      </c>
      <c r="C541" s="105" t="s">
        <v>2946</v>
      </c>
      <c r="D541" s="149" t="s">
        <v>2280</v>
      </c>
      <c r="E541" s="105">
        <v>15</v>
      </c>
      <c r="F541" s="150" t="s">
        <v>2281</v>
      </c>
      <c r="G541" s="150" t="s">
        <v>2282</v>
      </c>
      <c r="H541" s="119"/>
      <c r="I541" s="119">
        <v>2490</v>
      </c>
      <c r="J541" s="151">
        <v>0</v>
      </c>
      <c r="K541" s="119">
        <f t="shared" si="25"/>
        <v>2490</v>
      </c>
      <c r="L541" s="152">
        <f t="shared" si="26"/>
        <v>2164.65</v>
      </c>
      <c r="M541" s="113"/>
    </row>
    <row r="542" spans="1:13" s="114" customFormat="1" x14ac:dyDescent="0.2">
      <c r="A542" s="106" t="s">
        <v>2924</v>
      </c>
      <c r="B542" s="105" t="s">
        <v>2947</v>
      </c>
      <c r="C542" s="105" t="s">
        <v>2946</v>
      </c>
      <c r="D542" s="149" t="s">
        <v>2948</v>
      </c>
      <c r="E542" s="105">
        <v>10</v>
      </c>
      <c r="F542" s="150" t="s">
        <v>2949</v>
      </c>
      <c r="G542" s="150" t="s">
        <v>2950</v>
      </c>
      <c r="H542" s="119"/>
      <c r="I542" s="119">
        <v>767.5</v>
      </c>
      <c r="J542" s="151">
        <v>0</v>
      </c>
      <c r="K542" s="119">
        <f t="shared" si="25"/>
        <v>767.5</v>
      </c>
      <c r="L542" s="152">
        <f t="shared" si="26"/>
        <v>659.9</v>
      </c>
      <c r="M542" s="113"/>
    </row>
    <row r="543" spans="1:13" s="114" customFormat="1" x14ac:dyDescent="0.2">
      <c r="A543" s="106" t="s">
        <v>2924</v>
      </c>
      <c r="B543" s="105" t="s">
        <v>2371</v>
      </c>
      <c r="C543" s="105" t="s">
        <v>2946</v>
      </c>
      <c r="D543" s="149" t="s">
        <v>2372</v>
      </c>
      <c r="E543" s="105">
        <v>10</v>
      </c>
      <c r="F543" s="150" t="s">
        <v>2373</v>
      </c>
      <c r="G543" s="150" t="s">
        <v>1820</v>
      </c>
      <c r="H543" s="119"/>
      <c r="I543" s="119">
        <v>460</v>
      </c>
      <c r="J543" s="151">
        <v>0</v>
      </c>
      <c r="K543" s="119">
        <f t="shared" si="25"/>
        <v>460</v>
      </c>
      <c r="L543" s="152">
        <f t="shared" si="26"/>
        <v>398.8</v>
      </c>
      <c r="M543" s="113"/>
    </row>
    <row r="544" spans="1:13" s="114" customFormat="1" x14ac:dyDescent="0.2">
      <c r="A544" s="106" t="s">
        <v>2924</v>
      </c>
      <c r="B544" s="105" t="s">
        <v>2884</v>
      </c>
      <c r="C544" s="105" t="s">
        <v>2946</v>
      </c>
      <c r="D544" s="149" t="s">
        <v>2886</v>
      </c>
      <c r="E544" s="105">
        <v>4</v>
      </c>
      <c r="F544" s="150" t="s">
        <v>2887</v>
      </c>
      <c r="G544" s="150" t="s">
        <v>2888</v>
      </c>
      <c r="H544" s="119"/>
      <c r="I544" s="119">
        <v>1343</v>
      </c>
      <c r="J544" s="151">
        <v>0</v>
      </c>
      <c r="K544" s="119">
        <f t="shared" si="25"/>
        <v>1343</v>
      </c>
      <c r="L544" s="152">
        <f t="shared" si="26"/>
        <v>1119</v>
      </c>
      <c r="M544" s="113"/>
    </row>
    <row r="545" spans="1:13" s="114" customFormat="1" x14ac:dyDescent="0.2">
      <c r="A545" s="106" t="s">
        <v>2924</v>
      </c>
      <c r="B545" s="105" t="s">
        <v>2951</v>
      </c>
      <c r="C545" s="105" t="s">
        <v>2946</v>
      </c>
      <c r="D545" s="149" t="s">
        <v>2952</v>
      </c>
      <c r="E545" s="105">
        <v>6</v>
      </c>
      <c r="F545" s="150" t="s">
        <v>2953</v>
      </c>
      <c r="G545" s="150" t="s">
        <v>2954</v>
      </c>
      <c r="H545" s="119"/>
      <c r="I545" s="119">
        <v>1494</v>
      </c>
      <c r="J545" s="151">
        <v>0</v>
      </c>
      <c r="K545" s="119">
        <f t="shared" si="25"/>
        <v>1494</v>
      </c>
      <c r="L545" s="152">
        <f t="shared" si="26"/>
        <v>1299.48</v>
      </c>
      <c r="M545" s="113"/>
    </row>
    <row r="546" spans="1:13" s="114" customFormat="1" x14ac:dyDescent="0.2">
      <c r="A546" s="106" t="s">
        <v>2924</v>
      </c>
      <c r="B546" s="105" t="s">
        <v>2955</v>
      </c>
      <c r="C546" s="105" t="s">
        <v>2946</v>
      </c>
      <c r="D546" s="149" t="s">
        <v>2956</v>
      </c>
      <c r="E546" s="105">
        <v>4</v>
      </c>
      <c r="F546" s="150" t="s">
        <v>2957</v>
      </c>
      <c r="G546" s="150" t="s">
        <v>2958</v>
      </c>
      <c r="H546" s="119"/>
      <c r="I546" s="119">
        <v>1659</v>
      </c>
      <c r="J546" s="151">
        <v>0</v>
      </c>
      <c r="K546" s="119">
        <f t="shared" si="25"/>
        <v>1659</v>
      </c>
      <c r="L546" s="152">
        <f t="shared" si="26"/>
        <v>1442.6</v>
      </c>
      <c r="M546" s="113"/>
    </row>
    <row r="547" spans="1:13" s="114" customFormat="1" x14ac:dyDescent="0.2">
      <c r="A547" s="106" t="s">
        <v>2924</v>
      </c>
      <c r="B547" s="105" t="s">
        <v>2959</v>
      </c>
      <c r="C547" s="105" t="s">
        <v>2946</v>
      </c>
      <c r="D547" s="149" t="s">
        <v>2960</v>
      </c>
      <c r="E547" s="105">
        <v>6</v>
      </c>
      <c r="F547" s="150" t="s">
        <v>2961</v>
      </c>
      <c r="G547" s="150" t="s">
        <v>2962</v>
      </c>
      <c r="H547" s="119"/>
      <c r="I547" s="119">
        <v>3690</v>
      </c>
      <c r="J547" s="151">
        <v>0</v>
      </c>
      <c r="K547" s="119">
        <f t="shared" si="25"/>
        <v>3690</v>
      </c>
      <c r="L547" s="152">
        <f t="shared" si="26"/>
        <v>3177.4800000000005</v>
      </c>
      <c r="M547" s="113"/>
    </row>
    <row r="548" spans="1:13" s="114" customFormat="1" x14ac:dyDescent="0.2">
      <c r="A548" s="106" t="s">
        <v>2924</v>
      </c>
      <c r="B548" s="105" t="s">
        <v>2963</v>
      </c>
      <c r="C548" s="105" t="s">
        <v>2946</v>
      </c>
      <c r="D548" s="149" t="s">
        <v>2964</v>
      </c>
      <c r="E548" s="105">
        <v>5</v>
      </c>
      <c r="F548" s="150" t="s">
        <v>2965</v>
      </c>
      <c r="G548" s="150" t="s">
        <v>2966</v>
      </c>
      <c r="H548" s="119"/>
      <c r="I548" s="119">
        <v>923.75</v>
      </c>
      <c r="J548" s="151">
        <v>0</v>
      </c>
      <c r="K548" s="119">
        <f t="shared" si="25"/>
        <v>923.75</v>
      </c>
      <c r="L548" s="152">
        <f t="shared" si="26"/>
        <v>802.55</v>
      </c>
      <c r="M548" s="113"/>
    </row>
    <row r="549" spans="1:13" s="114" customFormat="1" x14ac:dyDescent="0.2">
      <c r="A549" s="106" t="s">
        <v>2924</v>
      </c>
      <c r="B549" s="105" t="s">
        <v>2967</v>
      </c>
      <c r="C549" s="105" t="s">
        <v>2946</v>
      </c>
      <c r="D549" s="149" t="s">
        <v>2968</v>
      </c>
      <c r="E549" s="105">
        <v>5</v>
      </c>
      <c r="F549" s="150" t="s">
        <v>2969</v>
      </c>
      <c r="G549" s="150" t="s">
        <v>2970</v>
      </c>
      <c r="H549" s="119"/>
      <c r="I549" s="119">
        <v>880</v>
      </c>
      <c r="J549" s="151">
        <v>0</v>
      </c>
      <c r="K549" s="119">
        <f t="shared" si="25"/>
        <v>880</v>
      </c>
      <c r="L549" s="152">
        <f t="shared" si="26"/>
        <v>764.85</v>
      </c>
      <c r="M549" s="113"/>
    </row>
    <row r="550" spans="1:13" s="114" customFormat="1" x14ac:dyDescent="0.2">
      <c r="A550" s="106" t="s">
        <v>2924</v>
      </c>
      <c r="B550" s="105" t="s">
        <v>1834</v>
      </c>
      <c r="C550" s="105" t="s">
        <v>2946</v>
      </c>
      <c r="D550" s="149" t="s">
        <v>1836</v>
      </c>
      <c r="E550" s="105">
        <v>12</v>
      </c>
      <c r="F550" s="150" t="s">
        <v>1837</v>
      </c>
      <c r="G550" s="150" t="s">
        <v>1838</v>
      </c>
      <c r="H550" s="119"/>
      <c r="I550" s="119">
        <v>204</v>
      </c>
      <c r="J550" s="151">
        <v>0</v>
      </c>
      <c r="K550" s="119">
        <f t="shared" si="25"/>
        <v>204</v>
      </c>
      <c r="L550" s="152">
        <f t="shared" si="26"/>
        <v>173.16</v>
      </c>
      <c r="M550" s="113"/>
    </row>
    <row r="551" spans="1:13" s="114" customFormat="1" x14ac:dyDescent="0.2">
      <c r="A551" s="106" t="s">
        <v>2924</v>
      </c>
      <c r="B551" s="105" t="s">
        <v>2971</v>
      </c>
      <c r="C551" s="105" t="s">
        <v>2972</v>
      </c>
      <c r="D551" s="149" t="s">
        <v>2973</v>
      </c>
      <c r="E551" s="105">
        <v>1</v>
      </c>
      <c r="F551" s="150" t="s">
        <v>2974</v>
      </c>
      <c r="G551" s="150" t="s">
        <v>2600</v>
      </c>
      <c r="H551" s="119">
        <f t="shared" si="24"/>
        <v>33.75</v>
      </c>
      <c r="I551" s="119"/>
      <c r="J551" s="151">
        <v>0</v>
      </c>
      <c r="K551" s="119">
        <f t="shared" si="25"/>
        <v>33.75</v>
      </c>
      <c r="L551" s="152">
        <f t="shared" si="26"/>
        <v>29</v>
      </c>
      <c r="M551" s="113"/>
    </row>
    <row r="552" spans="1:13" s="114" customFormat="1" x14ac:dyDescent="0.2">
      <c r="A552" s="106" t="s">
        <v>2924</v>
      </c>
      <c r="B552" s="105" t="s">
        <v>2872</v>
      </c>
      <c r="C552" s="105" t="s">
        <v>2972</v>
      </c>
      <c r="D552" s="149" t="s">
        <v>2873</v>
      </c>
      <c r="E552" s="105">
        <v>3</v>
      </c>
      <c r="F552" s="150" t="s">
        <v>2874</v>
      </c>
      <c r="G552" s="150" t="s">
        <v>2001</v>
      </c>
      <c r="H552" s="119">
        <f t="shared" si="24"/>
        <v>15.75</v>
      </c>
      <c r="I552" s="119"/>
      <c r="J552" s="151">
        <v>0</v>
      </c>
      <c r="K552" s="119">
        <f t="shared" si="25"/>
        <v>15.75</v>
      </c>
      <c r="L552" s="152">
        <f t="shared" si="26"/>
        <v>12.36</v>
      </c>
      <c r="M552" s="113"/>
    </row>
    <row r="553" spans="1:13" s="114" customFormat="1" x14ac:dyDescent="0.2">
      <c r="A553" s="106" t="s">
        <v>2924</v>
      </c>
      <c r="B553" s="105" t="s">
        <v>2908</v>
      </c>
      <c r="C553" s="105" t="s">
        <v>2975</v>
      </c>
      <c r="D553" s="149" t="s">
        <v>2910</v>
      </c>
      <c r="E553" s="105">
        <v>5</v>
      </c>
      <c r="F553" s="150" t="s">
        <v>1980</v>
      </c>
      <c r="G553" s="150" t="s">
        <v>1981</v>
      </c>
      <c r="H553" s="119">
        <f t="shared" si="24"/>
        <v>5</v>
      </c>
      <c r="I553" s="119"/>
      <c r="J553" s="151">
        <v>0</v>
      </c>
      <c r="K553" s="119">
        <f t="shared" si="25"/>
        <v>5</v>
      </c>
      <c r="L553" s="152">
        <f t="shared" si="26"/>
        <v>3.8</v>
      </c>
      <c r="M553" s="113"/>
    </row>
    <row r="554" spans="1:13" s="114" customFormat="1" x14ac:dyDescent="0.2">
      <c r="A554" s="106" t="s">
        <v>2924</v>
      </c>
      <c r="B554" s="105" t="s">
        <v>1977</v>
      </c>
      <c r="C554" s="105" t="s">
        <v>2975</v>
      </c>
      <c r="D554" s="149" t="s">
        <v>1979</v>
      </c>
      <c r="E554" s="105">
        <v>5</v>
      </c>
      <c r="F554" s="150" t="s">
        <v>1980</v>
      </c>
      <c r="G554" s="150" t="s">
        <v>1981</v>
      </c>
      <c r="H554" s="119">
        <f t="shared" si="24"/>
        <v>5</v>
      </c>
      <c r="I554" s="119"/>
      <c r="J554" s="151">
        <v>0</v>
      </c>
      <c r="K554" s="119">
        <f t="shared" si="25"/>
        <v>5</v>
      </c>
      <c r="L554" s="152">
        <f t="shared" si="26"/>
        <v>3.8</v>
      </c>
      <c r="M554" s="113"/>
    </row>
    <row r="555" spans="1:13" s="114" customFormat="1" x14ac:dyDescent="0.2">
      <c r="A555" s="106" t="s">
        <v>2924</v>
      </c>
      <c r="B555" s="105" t="s">
        <v>2872</v>
      </c>
      <c r="C555" s="105" t="s">
        <v>2976</v>
      </c>
      <c r="D555" s="149" t="s">
        <v>2873</v>
      </c>
      <c r="E555" s="105">
        <v>2</v>
      </c>
      <c r="F555" s="150" t="s">
        <v>2874</v>
      </c>
      <c r="G555" s="150" t="s">
        <v>2001</v>
      </c>
      <c r="H555" s="119">
        <f t="shared" si="24"/>
        <v>10.5</v>
      </c>
      <c r="I555" s="119"/>
      <c r="J555" s="151">
        <v>0</v>
      </c>
      <c r="K555" s="119">
        <f t="shared" si="25"/>
        <v>10.5</v>
      </c>
      <c r="L555" s="152">
        <f t="shared" si="26"/>
        <v>8.24</v>
      </c>
      <c r="M555" s="113"/>
    </row>
    <row r="556" spans="1:13" s="114" customFormat="1" x14ac:dyDescent="0.2">
      <c r="A556" s="106" t="s">
        <v>2924</v>
      </c>
      <c r="B556" s="105" t="s">
        <v>2323</v>
      </c>
      <c r="C556" s="105" t="s">
        <v>2976</v>
      </c>
      <c r="D556" s="149" t="s">
        <v>2325</v>
      </c>
      <c r="E556" s="105">
        <v>2</v>
      </c>
      <c r="F556" s="150" t="s">
        <v>2326</v>
      </c>
      <c r="G556" s="150" t="s">
        <v>1932</v>
      </c>
      <c r="H556" s="119">
        <f t="shared" si="24"/>
        <v>44</v>
      </c>
      <c r="I556" s="119"/>
      <c r="J556" s="151">
        <v>0</v>
      </c>
      <c r="K556" s="119">
        <f t="shared" si="25"/>
        <v>44</v>
      </c>
      <c r="L556" s="152">
        <f t="shared" si="26"/>
        <v>38.200000000000003</v>
      </c>
      <c r="M556" s="113"/>
    </row>
    <row r="557" spans="1:13" s="114" customFormat="1" x14ac:dyDescent="0.2">
      <c r="A557" s="106" t="s">
        <v>2924</v>
      </c>
      <c r="B557" s="105" t="s">
        <v>2977</v>
      </c>
      <c r="C557" s="105" t="s">
        <v>2976</v>
      </c>
      <c r="D557" s="149" t="s">
        <v>2978</v>
      </c>
      <c r="E557" s="105">
        <v>2</v>
      </c>
      <c r="F557" s="150" t="s">
        <v>2979</v>
      </c>
      <c r="G557" s="150" t="s">
        <v>1957</v>
      </c>
      <c r="H557" s="119">
        <f t="shared" si="24"/>
        <v>54</v>
      </c>
      <c r="I557" s="119"/>
      <c r="J557" s="151">
        <v>0</v>
      </c>
      <c r="K557" s="119">
        <f t="shared" si="25"/>
        <v>54</v>
      </c>
      <c r="L557" s="152">
        <f t="shared" si="26"/>
        <v>46.64</v>
      </c>
      <c r="M557" s="113"/>
    </row>
    <row r="558" spans="1:13" s="114" customFormat="1" x14ac:dyDescent="0.2">
      <c r="A558" s="106" t="s">
        <v>2924</v>
      </c>
      <c r="B558" s="105" t="s">
        <v>1793</v>
      </c>
      <c r="C558" s="105" t="s">
        <v>2976</v>
      </c>
      <c r="D558" s="149" t="s">
        <v>1795</v>
      </c>
      <c r="E558" s="105">
        <v>1</v>
      </c>
      <c r="F558" s="150" t="s">
        <v>1796</v>
      </c>
      <c r="G558" s="150" t="s">
        <v>1797</v>
      </c>
      <c r="H558" s="119">
        <f t="shared" si="24"/>
        <v>14.75</v>
      </c>
      <c r="I558" s="119"/>
      <c r="J558" s="151">
        <v>0</v>
      </c>
      <c r="K558" s="119">
        <f t="shared" si="25"/>
        <v>14.75</v>
      </c>
      <c r="L558" s="152">
        <f t="shared" si="26"/>
        <v>12.77</v>
      </c>
      <c r="M558" s="113"/>
    </row>
    <row r="559" spans="1:13" s="114" customFormat="1" x14ac:dyDescent="0.2">
      <c r="A559" s="106" t="s">
        <v>2924</v>
      </c>
      <c r="B559" s="105" t="s">
        <v>1951</v>
      </c>
      <c r="C559" s="105" t="s">
        <v>2976</v>
      </c>
      <c r="D559" s="149" t="s">
        <v>1952</v>
      </c>
      <c r="E559" s="105">
        <v>1</v>
      </c>
      <c r="F559" s="150" t="s">
        <v>1796</v>
      </c>
      <c r="G559" s="150" t="s">
        <v>1797</v>
      </c>
      <c r="H559" s="119">
        <f t="shared" si="24"/>
        <v>14.75</v>
      </c>
      <c r="I559" s="119"/>
      <c r="J559" s="151">
        <v>0</v>
      </c>
      <c r="K559" s="119">
        <f t="shared" si="25"/>
        <v>14.75</v>
      </c>
      <c r="L559" s="152">
        <f t="shared" si="26"/>
        <v>12.77</v>
      </c>
      <c r="M559" s="113"/>
    </row>
    <row r="560" spans="1:13" s="114" customFormat="1" x14ac:dyDescent="0.2">
      <c r="A560" s="106" t="s">
        <v>2924</v>
      </c>
      <c r="B560" s="105" t="s">
        <v>2220</v>
      </c>
      <c r="C560" s="105" t="s">
        <v>2980</v>
      </c>
      <c r="D560" s="149" t="s">
        <v>2222</v>
      </c>
      <c r="E560" s="105">
        <v>1</v>
      </c>
      <c r="F560" s="150" t="s">
        <v>2223</v>
      </c>
      <c r="G560" s="150" t="s">
        <v>2224</v>
      </c>
      <c r="H560" s="119">
        <f t="shared" si="24"/>
        <v>41</v>
      </c>
      <c r="I560" s="119"/>
      <c r="J560" s="151">
        <v>0</v>
      </c>
      <c r="K560" s="119">
        <f t="shared" si="25"/>
        <v>41</v>
      </c>
      <c r="L560" s="152">
        <f t="shared" si="26"/>
        <v>35.15</v>
      </c>
      <c r="M560" s="113"/>
    </row>
    <row r="561" spans="1:13" s="114" customFormat="1" x14ac:dyDescent="0.2">
      <c r="A561" s="106" t="s">
        <v>2924</v>
      </c>
      <c r="B561" s="105" t="s">
        <v>2240</v>
      </c>
      <c r="C561" s="105" t="s">
        <v>2981</v>
      </c>
      <c r="D561" s="149" t="s">
        <v>2241</v>
      </c>
      <c r="E561" s="105">
        <v>1</v>
      </c>
      <c r="F561" s="150" t="s">
        <v>2982</v>
      </c>
      <c r="G561" s="150" t="s">
        <v>2427</v>
      </c>
      <c r="H561" s="119">
        <f t="shared" si="24"/>
        <v>21.5</v>
      </c>
      <c r="I561" s="119"/>
      <c r="J561" s="151">
        <v>0</v>
      </c>
      <c r="K561" s="119">
        <f t="shared" si="25"/>
        <v>21.5</v>
      </c>
      <c r="L561" s="152">
        <f t="shared" si="26"/>
        <v>18.649999999999999</v>
      </c>
      <c r="M561" s="113"/>
    </row>
    <row r="562" spans="1:13" s="114" customFormat="1" x14ac:dyDescent="0.2">
      <c r="A562" s="106" t="s">
        <v>2924</v>
      </c>
      <c r="B562" s="105" t="s">
        <v>1893</v>
      </c>
      <c r="C562" s="105" t="s">
        <v>2983</v>
      </c>
      <c r="D562" s="149" t="s">
        <v>1894</v>
      </c>
      <c r="E562" s="105">
        <v>1</v>
      </c>
      <c r="F562" s="150" t="s">
        <v>2984</v>
      </c>
      <c r="G562" s="150" t="s">
        <v>2785</v>
      </c>
      <c r="H562" s="119">
        <f t="shared" si="24"/>
        <v>32.25</v>
      </c>
      <c r="I562" s="119"/>
      <c r="J562" s="151">
        <v>0</v>
      </c>
      <c r="K562" s="119">
        <f t="shared" si="25"/>
        <v>32.25</v>
      </c>
      <c r="L562" s="152">
        <f t="shared" si="26"/>
        <v>27.85</v>
      </c>
      <c r="M562" s="113"/>
    </row>
    <row r="563" spans="1:13" s="114" customFormat="1" x14ac:dyDescent="0.2">
      <c r="A563" s="106" t="s">
        <v>2924</v>
      </c>
      <c r="B563" s="105" t="s">
        <v>2912</v>
      </c>
      <c r="C563" s="105" t="s">
        <v>2983</v>
      </c>
      <c r="D563" s="149" t="s">
        <v>2914</v>
      </c>
      <c r="E563" s="105">
        <v>1</v>
      </c>
      <c r="F563" s="150" t="s">
        <v>1895</v>
      </c>
      <c r="G563" s="150" t="s">
        <v>1896</v>
      </c>
      <c r="H563" s="119">
        <f t="shared" si="24"/>
        <v>31.5</v>
      </c>
      <c r="I563" s="119"/>
      <c r="J563" s="151">
        <v>0</v>
      </c>
      <c r="K563" s="119">
        <f t="shared" si="25"/>
        <v>31.5</v>
      </c>
      <c r="L563" s="152">
        <f t="shared" si="26"/>
        <v>27.3</v>
      </c>
      <c r="M563" s="113"/>
    </row>
    <row r="564" spans="1:13" s="114" customFormat="1" x14ac:dyDescent="0.2">
      <c r="A564" s="106" t="s">
        <v>2924</v>
      </c>
      <c r="B564" s="105" t="s">
        <v>1877</v>
      </c>
      <c r="C564" s="105" t="s">
        <v>2983</v>
      </c>
      <c r="D564" s="149" t="s">
        <v>1878</v>
      </c>
      <c r="E564" s="105">
        <v>1</v>
      </c>
      <c r="F564" s="150" t="s">
        <v>1879</v>
      </c>
      <c r="G564" s="150" t="s">
        <v>1880</v>
      </c>
      <c r="H564" s="119">
        <f t="shared" si="24"/>
        <v>21</v>
      </c>
      <c r="I564" s="119"/>
      <c r="J564" s="151">
        <v>0</v>
      </c>
      <c r="K564" s="119">
        <f t="shared" si="25"/>
        <v>21</v>
      </c>
      <c r="L564" s="152">
        <f t="shared" si="26"/>
        <v>18.2</v>
      </c>
      <c r="M564" s="113"/>
    </row>
    <row r="565" spans="1:13" s="114" customFormat="1" x14ac:dyDescent="0.2">
      <c r="A565" s="106" t="s">
        <v>2924</v>
      </c>
      <c r="B565" s="105" t="s">
        <v>2031</v>
      </c>
      <c r="C565" s="105" t="s">
        <v>2983</v>
      </c>
      <c r="D565" s="149" t="s">
        <v>2033</v>
      </c>
      <c r="E565" s="105">
        <v>1</v>
      </c>
      <c r="F565" s="150" t="s">
        <v>2985</v>
      </c>
      <c r="G565" s="150" t="s">
        <v>1892</v>
      </c>
      <c r="H565" s="119">
        <f t="shared" si="24"/>
        <v>24</v>
      </c>
      <c r="I565" s="119"/>
      <c r="J565" s="151">
        <v>0</v>
      </c>
      <c r="K565" s="119">
        <f t="shared" si="25"/>
        <v>24</v>
      </c>
      <c r="L565" s="152">
        <f t="shared" si="26"/>
        <v>20.399999999999999</v>
      </c>
      <c r="M565" s="113"/>
    </row>
    <row r="566" spans="1:13" s="114" customFormat="1" x14ac:dyDescent="0.2">
      <c r="A566" s="106" t="s">
        <v>2924</v>
      </c>
      <c r="B566" s="105" t="s">
        <v>2639</v>
      </c>
      <c r="C566" s="105" t="s">
        <v>2986</v>
      </c>
      <c r="D566" s="149" t="s">
        <v>2640</v>
      </c>
      <c r="E566" s="105">
        <v>1</v>
      </c>
      <c r="F566" s="150" t="s">
        <v>2641</v>
      </c>
      <c r="G566" s="150" t="s">
        <v>2642</v>
      </c>
      <c r="H566" s="119">
        <f t="shared" si="24"/>
        <v>19.75</v>
      </c>
      <c r="I566" s="119"/>
      <c r="J566" s="151">
        <v>0</v>
      </c>
      <c r="K566" s="119">
        <f t="shared" si="25"/>
        <v>19.75</v>
      </c>
      <c r="L566" s="152">
        <f t="shared" si="26"/>
        <v>17.059999999999999</v>
      </c>
      <c r="M566" s="113"/>
    </row>
    <row r="567" spans="1:13" s="114" customFormat="1" x14ac:dyDescent="0.2">
      <c r="A567" s="106" t="s">
        <v>2924</v>
      </c>
      <c r="B567" s="105" t="s">
        <v>1997</v>
      </c>
      <c r="C567" s="105" t="s">
        <v>2986</v>
      </c>
      <c r="D567" s="149" t="s">
        <v>1999</v>
      </c>
      <c r="E567" s="105">
        <v>2</v>
      </c>
      <c r="F567" s="150" t="s">
        <v>2874</v>
      </c>
      <c r="G567" s="150" t="s">
        <v>2001</v>
      </c>
      <c r="H567" s="119">
        <f t="shared" si="24"/>
        <v>10.5</v>
      </c>
      <c r="I567" s="119"/>
      <c r="J567" s="151">
        <v>0</v>
      </c>
      <c r="K567" s="119">
        <f t="shared" si="25"/>
        <v>10.5</v>
      </c>
      <c r="L567" s="152">
        <f t="shared" si="26"/>
        <v>8.24</v>
      </c>
      <c r="M567" s="113"/>
    </row>
    <row r="568" spans="1:13" s="114" customFormat="1" x14ac:dyDescent="0.2">
      <c r="A568" s="106" t="s">
        <v>2924</v>
      </c>
      <c r="B568" s="105" t="s">
        <v>2357</v>
      </c>
      <c r="C568" s="105" t="s">
        <v>2986</v>
      </c>
      <c r="D568" s="149" t="s">
        <v>2359</v>
      </c>
      <c r="E568" s="105">
        <v>1</v>
      </c>
      <c r="F568" s="150" t="s">
        <v>1852</v>
      </c>
      <c r="G568" s="150" t="s">
        <v>1853</v>
      </c>
      <c r="H568" s="119">
        <f t="shared" si="24"/>
        <v>7.5</v>
      </c>
      <c r="I568" s="119"/>
      <c r="J568" s="151">
        <v>0</v>
      </c>
      <c r="K568" s="119">
        <f t="shared" si="25"/>
        <v>7.5</v>
      </c>
      <c r="L568" s="152">
        <f t="shared" si="26"/>
        <v>6.18</v>
      </c>
      <c r="M568" s="113"/>
    </row>
    <row r="569" spans="1:13" s="114" customFormat="1" x14ac:dyDescent="0.2">
      <c r="A569" s="106" t="s">
        <v>2924</v>
      </c>
      <c r="B569" s="105" t="s">
        <v>2745</v>
      </c>
      <c r="C569" s="105" t="s">
        <v>2987</v>
      </c>
      <c r="D569" s="149" t="s">
        <v>2747</v>
      </c>
      <c r="E569" s="105">
        <v>1</v>
      </c>
      <c r="F569" s="150" t="s">
        <v>2748</v>
      </c>
      <c r="G569" s="150" t="s">
        <v>2749</v>
      </c>
      <c r="H569" s="119">
        <f t="shared" si="24"/>
        <v>77.75</v>
      </c>
      <c r="I569" s="119"/>
      <c r="J569" s="151">
        <v>0</v>
      </c>
      <c r="K569" s="119">
        <f t="shared" si="25"/>
        <v>77.75</v>
      </c>
      <c r="L569" s="152">
        <f t="shared" si="26"/>
        <v>67.52</v>
      </c>
      <c r="M569" s="113"/>
    </row>
    <row r="570" spans="1:13" s="114" customFormat="1" x14ac:dyDescent="0.2">
      <c r="A570" s="106" t="s">
        <v>2924</v>
      </c>
      <c r="B570" s="105" t="s">
        <v>1977</v>
      </c>
      <c r="C570" s="105" t="s">
        <v>2988</v>
      </c>
      <c r="D570" s="149" t="s">
        <v>1979</v>
      </c>
      <c r="E570" s="105">
        <v>5</v>
      </c>
      <c r="F570" s="150" t="s">
        <v>1980</v>
      </c>
      <c r="G570" s="150" t="s">
        <v>1981</v>
      </c>
      <c r="H570" s="119">
        <f t="shared" si="24"/>
        <v>5</v>
      </c>
      <c r="I570" s="119"/>
      <c r="J570" s="151">
        <v>0</v>
      </c>
      <c r="K570" s="119">
        <f t="shared" si="25"/>
        <v>5</v>
      </c>
      <c r="L570" s="152">
        <f t="shared" si="26"/>
        <v>3.8</v>
      </c>
      <c r="M570" s="113"/>
    </row>
    <row r="571" spans="1:13" s="114" customFormat="1" x14ac:dyDescent="0.2">
      <c r="A571" s="106" t="s">
        <v>2924</v>
      </c>
      <c r="B571" s="105" t="s">
        <v>2908</v>
      </c>
      <c r="C571" s="105" t="s">
        <v>2988</v>
      </c>
      <c r="D571" s="149" t="s">
        <v>2910</v>
      </c>
      <c r="E571" s="105">
        <v>5</v>
      </c>
      <c r="F571" s="150" t="s">
        <v>1980</v>
      </c>
      <c r="G571" s="150" t="s">
        <v>1981</v>
      </c>
      <c r="H571" s="119">
        <f t="shared" si="24"/>
        <v>5</v>
      </c>
      <c r="I571" s="119"/>
      <c r="J571" s="151">
        <v>0</v>
      </c>
      <c r="K571" s="119">
        <f t="shared" si="25"/>
        <v>5</v>
      </c>
      <c r="L571" s="152">
        <f t="shared" si="26"/>
        <v>3.8</v>
      </c>
      <c r="M571" s="113"/>
    </row>
    <row r="572" spans="1:13" s="114" customFormat="1" x14ac:dyDescent="0.2">
      <c r="A572" s="106" t="s">
        <v>2924</v>
      </c>
      <c r="B572" s="105" t="s">
        <v>2323</v>
      </c>
      <c r="C572" s="105" t="s">
        <v>2989</v>
      </c>
      <c r="D572" s="149" t="s">
        <v>2325</v>
      </c>
      <c r="E572" s="105">
        <v>1</v>
      </c>
      <c r="F572" s="150" t="s">
        <v>2326</v>
      </c>
      <c r="G572" s="150" t="s">
        <v>1932</v>
      </c>
      <c r="H572" s="119">
        <f t="shared" si="24"/>
        <v>22</v>
      </c>
      <c r="I572" s="119"/>
      <c r="J572" s="151">
        <v>0</v>
      </c>
      <c r="K572" s="119">
        <f t="shared" si="25"/>
        <v>22</v>
      </c>
      <c r="L572" s="152">
        <f t="shared" si="26"/>
        <v>19.100000000000001</v>
      </c>
      <c r="M572" s="113"/>
    </row>
    <row r="573" spans="1:13" s="114" customFormat="1" x14ac:dyDescent="0.2">
      <c r="A573" s="106" t="s">
        <v>2924</v>
      </c>
      <c r="B573" s="105" t="s">
        <v>1888</v>
      </c>
      <c r="C573" s="105" t="s">
        <v>2990</v>
      </c>
      <c r="D573" s="149" t="s">
        <v>1890</v>
      </c>
      <c r="E573" s="105">
        <v>1</v>
      </c>
      <c r="F573" s="150" t="s">
        <v>1891</v>
      </c>
      <c r="G573" s="150" t="s">
        <v>1892</v>
      </c>
      <c r="H573" s="119">
        <f t="shared" si="24"/>
        <v>24</v>
      </c>
      <c r="I573" s="119"/>
      <c r="J573" s="151">
        <v>0</v>
      </c>
      <c r="K573" s="119">
        <f t="shared" si="25"/>
        <v>24</v>
      </c>
      <c r="L573" s="152">
        <f t="shared" si="26"/>
        <v>20.68</v>
      </c>
      <c r="M573" s="113"/>
    </row>
    <row r="574" spans="1:13" s="114" customFormat="1" x14ac:dyDescent="0.2">
      <c r="A574" s="106" t="s">
        <v>2924</v>
      </c>
      <c r="B574" s="105" t="s">
        <v>2059</v>
      </c>
      <c r="C574" s="105" t="s">
        <v>2991</v>
      </c>
      <c r="D574" s="149" t="s">
        <v>2061</v>
      </c>
      <c r="E574" s="105">
        <v>1</v>
      </c>
      <c r="F574" s="150" t="s">
        <v>1923</v>
      </c>
      <c r="G574" s="150" t="s">
        <v>1809</v>
      </c>
      <c r="H574" s="119">
        <f t="shared" si="24"/>
        <v>18</v>
      </c>
      <c r="I574" s="119"/>
      <c r="J574" s="151">
        <v>0</v>
      </c>
      <c r="K574" s="119">
        <f t="shared" si="25"/>
        <v>18</v>
      </c>
      <c r="L574" s="152">
        <f t="shared" si="26"/>
        <v>15.5</v>
      </c>
      <c r="M574" s="113"/>
    </row>
    <row r="575" spans="1:13" s="114" customFormat="1" x14ac:dyDescent="0.2">
      <c r="A575" s="106" t="s">
        <v>2924</v>
      </c>
      <c r="B575" s="105" t="s">
        <v>1877</v>
      </c>
      <c r="C575" s="105" t="s">
        <v>2992</v>
      </c>
      <c r="D575" s="149" t="s">
        <v>1878</v>
      </c>
      <c r="E575" s="105">
        <v>1</v>
      </c>
      <c r="F575" s="150" t="s">
        <v>1879</v>
      </c>
      <c r="G575" s="150" t="s">
        <v>1880</v>
      </c>
      <c r="H575" s="119">
        <f t="shared" si="24"/>
        <v>21</v>
      </c>
      <c r="I575" s="119"/>
      <c r="J575" s="151">
        <v>0</v>
      </c>
      <c r="K575" s="119">
        <f t="shared" si="25"/>
        <v>21</v>
      </c>
      <c r="L575" s="152">
        <f t="shared" si="26"/>
        <v>18.2</v>
      </c>
      <c r="M575" s="113"/>
    </row>
    <row r="576" spans="1:13" s="114" customFormat="1" x14ac:dyDescent="0.2">
      <c r="A576" s="153" t="s">
        <v>2993</v>
      </c>
      <c r="B576" s="154" t="s">
        <v>1902</v>
      </c>
      <c r="C576" s="154" t="s">
        <v>2994</v>
      </c>
      <c r="D576" s="155" t="s">
        <v>1903</v>
      </c>
      <c r="E576" s="154">
        <v>8</v>
      </c>
      <c r="F576" s="146"/>
      <c r="G576" s="146" t="s">
        <v>1904</v>
      </c>
      <c r="H576" s="147">
        <f t="shared" si="24"/>
        <v>154</v>
      </c>
      <c r="I576" s="147"/>
      <c r="J576" s="156">
        <v>0</v>
      </c>
      <c r="K576" s="147">
        <f t="shared" si="25"/>
        <v>154</v>
      </c>
      <c r="L576" s="148">
        <f t="shared" si="26"/>
        <v>0</v>
      </c>
      <c r="M576" s="113"/>
    </row>
    <row r="577" spans="1:13" s="114" customFormat="1" x14ac:dyDescent="0.2">
      <c r="A577" s="106" t="s">
        <v>2993</v>
      </c>
      <c r="B577" s="105" t="s">
        <v>2094</v>
      </c>
      <c r="C577" s="105" t="s">
        <v>2994</v>
      </c>
      <c r="D577" s="149" t="s">
        <v>2096</v>
      </c>
      <c r="E577" s="105">
        <v>10</v>
      </c>
      <c r="F577" s="150" t="s">
        <v>2005</v>
      </c>
      <c r="G577" s="150" t="s">
        <v>2097</v>
      </c>
      <c r="H577" s="119">
        <f t="shared" si="24"/>
        <v>145</v>
      </c>
      <c r="I577" s="119"/>
      <c r="J577" s="151">
        <v>0</v>
      </c>
      <c r="K577" s="119">
        <f t="shared" si="25"/>
        <v>145</v>
      </c>
      <c r="L577" s="152">
        <f t="shared" si="26"/>
        <v>125.60000000000001</v>
      </c>
      <c r="M577" s="113"/>
    </row>
    <row r="578" spans="1:13" s="114" customFormat="1" x14ac:dyDescent="0.2">
      <c r="A578" s="153" t="s">
        <v>2993</v>
      </c>
      <c r="B578" s="154" t="s">
        <v>2170</v>
      </c>
      <c r="C578" s="154" t="s">
        <v>2995</v>
      </c>
      <c r="D578" s="155" t="s">
        <v>2171</v>
      </c>
      <c r="E578" s="154">
        <v>3</v>
      </c>
      <c r="F578" s="146"/>
      <c r="G578" s="146" t="s">
        <v>2172</v>
      </c>
      <c r="H578" s="147">
        <f t="shared" si="24"/>
        <v>142.5</v>
      </c>
      <c r="I578" s="147"/>
      <c r="J578" s="156">
        <v>0</v>
      </c>
      <c r="K578" s="147">
        <f t="shared" si="25"/>
        <v>142.5</v>
      </c>
      <c r="L578" s="148">
        <f t="shared" si="26"/>
        <v>0</v>
      </c>
      <c r="M578" s="113"/>
    </row>
    <row r="579" spans="1:13" s="114" customFormat="1" x14ac:dyDescent="0.2">
      <c r="A579" s="106" t="s">
        <v>2993</v>
      </c>
      <c r="B579" s="105" t="s">
        <v>2338</v>
      </c>
      <c r="C579" s="105" t="s">
        <v>2995</v>
      </c>
      <c r="D579" s="149" t="s">
        <v>2339</v>
      </c>
      <c r="E579" s="105">
        <v>1</v>
      </c>
      <c r="F579" s="150" t="s">
        <v>1913</v>
      </c>
      <c r="G579" s="150" t="s">
        <v>2340</v>
      </c>
      <c r="H579" s="119">
        <f t="shared" si="24"/>
        <v>36.33</v>
      </c>
      <c r="I579" s="119"/>
      <c r="J579" s="151">
        <v>0</v>
      </c>
      <c r="K579" s="119">
        <f t="shared" si="25"/>
        <v>36.33</v>
      </c>
      <c r="L579" s="152">
        <f t="shared" si="26"/>
        <v>31.6</v>
      </c>
      <c r="M579" s="113"/>
    </row>
    <row r="580" spans="1:13" s="114" customFormat="1" x14ac:dyDescent="0.2">
      <c r="A580" s="106" t="s">
        <v>2993</v>
      </c>
      <c r="B580" s="105" t="s">
        <v>2307</v>
      </c>
      <c r="C580" s="105" t="s">
        <v>2995</v>
      </c>
      <c r="D580" s="149" t="s">
        <v>2309</v>
      </c>
      <c r="E580" s="105">
        <v>1</v>
      </c>
      <c r="F580" s="150" t="s">
        <v>1913</v>
      </c>
      <c r="G580" s="150" t="s">
        <v>1914</v>
      </c>
      <c r="H580" s="119">
        <f t="shared" si="24"/>
        <v>36.5</v>
      </c>
      <c r="I580" s="119"/>
      <c r="J580" s="151">
        <v>0</v>
      </c>
      <c r="K580" s="119">
        <f t="shared" si="25"/>
        <v>36.5</v>
      </c>
      <c r="L580" s="152">
        <f t="shared" si="26"/>
        <v>31.6</v>
      </c>
      <c r="M580" s="113"/>
    </row>
    <row r="581" spans="1:13" s="114" customFormat="1" x14ac:dyDescent="0.2">
      <c r="A581" s="106" t="s">
        <v>2993</v>
      </c>
      <c r="B581" s="105" t="s">
        <v>2022</v>
      </c>
      <c r="C581" s="105" t="s">
        <v>2995</v>
      </c>
      <c r="D581" s="149" t="s">
        <v>2024</v>
      </c>
      <c r="E581" s="105">
        <v>1</v>
      </c>
      <c r="F581" s="150" t="s">
        <v>2025</v>
      </c>
      <c r="G581" s="150" t="s">
        <v>2026</v>
      </c>
      <c r="H581" s="119">
        <f t="shared" si="24"/>
        <v>34.5</v>
      </c>
      <c r="I581" s="119"/>
      <c r="J581" s="151">
        <v>0</v>
      </c>
      <c r="K581" s="119">
        <f t="shared" si="25"/>
        <v>34.5</v>
      </c>
      <c r="L581" s="152">
        <f t="shared" si="26"/>
        <v>29.9</v>
      </c>
      <c r="M581" s="113"/>
    </row>
    <row r="582" spans="1:13" s="114" customFormat="1" x14ac:dyDescent="0.2">
      <c r="A582" s="106" t="s">
        <v>2993</v>
      </c>
      <c r="B582" s="105" t="s">
        <v>2996</v>
      </c>
      <c r="C582" s="105" t="s">
        <v>2995</v>
      </c>
      <c r="D582" s="149" t="s">
        <v>2997</v>
      </c>
      <c r="E582" s="105">
        <v>1</v>
      </c>
      <c r="F582" s="150" t="s">
        <v>2998</v>
      </c>
      <c r="G582" s="150" t="s">
        <v>2999</v>
      </c>
      <c r="H582" s="119">
        <f t="shared" ref="H582:H645" si="27">E582*G582</f>
        <v>53.25</v>
      </c>
      <c r="I582" s="119"/>
      <c r="J582" s="151">
        <v>0</v>
      </c>
      <c r="K582" s="119">
        <f t="shared" ref="K582:K645" si="28">H582+I582-J582</f>
        <v>53.25</v>
      </c>
      <c r="L582" s="152">
        <f t="shared" ref="L582:L645" si="29">E582*F582</f>
        <v>46.3</v>
      </c>
      <c r="M582" s="113"/>
    </row>
    <row r="583" spans="1:13" s="114" customFormat="1" x14ac:dyDescent="0.2">
      <c r="A583" s="106" t="s">
        <v>2993</v>
      </c>
      <c r="B583" s="105" t="s">
        <v>2559</v>
      </c>
      <c r="C583" s="105" t="s">
        <v>2995</v>
      </c>
      <c r="D583" s="149" t="s">
        <v>2561</v>
      </c>
      <c r="E583" s="105">
        <v>1</v>
      </c>
      <c r="F583" s="150" t="s">
        <v>2562</v>
      </c>
      <c r="G583" s="150" t="s">
        <v>2563</v>
      </c>
      <c r="H583" s="119">
        <f t="shared" si="27"/>
        <v>46.25</v>
      </c>
      <c r="I583" s="119"/>
      <c r="J583" s="151">
        <v>0</v>
      </c>
      <c r="K583" s="119">
        <f t="shared" si="28"/>
        <v>46.25</v>
      </c>
      <c r="L583" s="152">
        <f t="shared" si="29"/>
        <v>40.06</v>
      </c>
      <c r="M583" s="113"/>
    </row>
    <row r="584" spans="1:13" s="114" customFormat="1" x14ac:dyDescent="0.2">
      <c r="A584" s="106" t="s">
        <v>2993</v>
      </c>
      <c r="B584" s="105" t="s">
        <v>2050</v>
      </c>
      <c r="C584" s="105" t="s">
        <v>2995</v>
      </c>
      <c r="D584" s="149" t="s">
        <v>2052</v>
      </c>
      <c r="E584" s="105">
        <v>1</v>
      </c>
      <c r="F584" s="150" t="s">
        <v>2053</v>
      </c>
      <c r="G584" s="150" t="s">
        <v>2054</v>
      </c>
      <c r="H584" s="119">
        <f t="shared" si="27"/>
        <v>73.75</v>
      </c>
      <c r="I584" s="119"/>
      <c r="J584" s="151">
        <v>0</v>
      </c>
      <c r="K584" s="119">
        <f t="shared" si="28"/>
        <v>73.75</v>
      </c>
      <c r="L584" s="152">
        <f t="shared" si="29"/>
        <v>64</v>
      </c>
      <c r="M584" s="113"/>
    </row>
    <row r="585" spans="1:13" s="114" customFormat="1" x14ac:dyDescent="0.2">
      <c r="A585" s="106" t="s">
        <v>2993</v>
      </c>
      <c r="B585" s="105" t="s">
        <v>2721</v>
      </c>
      <c r="C585" s="105" t="s">
        <v>2995</v>
      </c>
      <c r="D585" s="149" t="s">
        <v>2722</v>
      </c>
      <c r="E585" s="105">
        <v>1</v>
      </c>
      <c r="F585" s="150" t="s">
        <v>2562</v>
      </c>
      <c r="G585" s="150" t="s">
        <v>2563</v>
      </c>
      <c r="H585" s="119">
        <f t="shared" si="27"/>
        <v>46.25</v>
      </c>
      <c r="I585" s="119"/>
      <c r="J585" s="151">
        <v>0</v>
      </c>
      <c r="K585" s="119">
        <f t="shared" si="28"/>
        <v>46.25</v>
      </c>
      <c r="L585" s="152">
        <f t="shared" si="29"/>
        <v>40.06</v>
      </c>
      <c r="M585" s="113"/>
    </row>
    <row r="586" spans="1:13" s="114" customFormat="1" x14ac:dyDescent="0.2">
      <c r="A586" s="106" t="s">
        <v>2993</v>
      </c>
      <c r="B586" s="105" t="s">
        <v>2257</v>
      </c>
      <c r="C586" s="105" t="s">
        <v>2995</v>
      </c>
      <c r="D586" s="149" t="s">
        <v>2258</v>
      </c>
      <c r="E586" s="105">
        <v>1</v>
      </c>
      <c r="F586" s="150" t="s">
        <v>2188</v>
      </c>
      <c r="G586" s="150" t="s">
        <v>2259</v>
      </c>
      <c r="H586" s="119">
        <f t="shared" si="27"/>
        <v>68.5</v>
      </c>
      <c r="I586" s="119"/>
      <c r="J586" s="151">
        <v>0</v>
      </c>
      <c r="K586" s="119">
        <f t="shared" si="28"/>
        <v>68.5</v>
      </c>
      <c r="L586" s="152">
        <f t="shared" si="29"/>
        <v>59.5</v>
      </c>
      <c r="M586" s="113"/>
    </row>
    <row r="587" spans="1:13" s="114" customFormat="1" x14ac:dyDescent="0.2">
      <c r="A587" s="106" t="s">
        <v>2993</v>
      </c>
      <c r="B587" s="105" t="s">
        <v>2240</v>
      </c>
      <c r="C587" s="105" t="s">
        <v>2995</v>
      </c>
      <c r="D587" s="149" t="s">
        <v>2241</v>
      </c>
      <c r="E587" s="105">
        <v>1</v>
      </c>
      <c r="F587" s="150" t="s">
        <v>2982</v>
      </c>
      <c r="G587" s="150" t="s">
        <v>2427</v>
      </c>
      <c r="H587" s="119">
        <f t="shared" si="27"/>
        <v>21.5</v>
      </c>
      <c r="I587" s="119"/>
      <c r="J587" s="151">
        <v>0</v>
      </c>
      <c r="K587" s="119">
        <f t="shared" si="28"/>
        <v>21.5</v>
      </c>
      <c r="L587" s="152">
        <f t="shared" si="29"/>
        <v>18.649999999999999</v>
      </c>
      <c r="M587" s="113"/>
    </row>
    <row r="588" spans="1:13" s="114" customFormat="1" x14ac:dyDescent="0.2">
      <c r="A588" s="106" t="s">
        <v>2993</v>
      </c>
      <c r="B588" s="105" t="s">
        <v>2166</v>
      </c>
      <c r="C588" s="105" t="s">
        <v>3000</v>
      </c>
      <c r="D588" s="149" t="s">
        <v>2168</v>
      </c>
      <c r="E588" s="105">
        <v>1</v>
      </c>
      <c r="F588" s="150" t="s">
        <v>2169</v>
      </c>
      <c r="G588" s="150" t="s">
        <v>2030</v>
      </c>
      <c r="H588" s="119">
        <f t="shared" si="27"/>
        <v>10.25</v>
      </c>
      <c r="I588" s="119"/>
      <c r="J588" s="151">
        <v>0</v>
      </c>
      <c r="K588" s="119">
        <f t="shared" si="28"/>
        <v>10.25</v>
      </c>
      <c r="L588" s="152">
        <f t="shared" si="29"/>
        <v>8.8000000000000007</v>
      </c>
      <c r="M588" s="113"/>
    </row>
    <row r="589" spans="1:13" s="114" customFormat="1" x14ac:dyDescent="0.2">
      <c r="A589" s="106" t="s">
        <v>2993</v>
      </c>
      <c r="B589" s="105" t="s">
        <v>2323</v>
      </c>
      <c r="C589" s="105" t="s">
        <v>3001</v>
      </c>
      <c r="D589" s="149" t="s">
        <v>2325</v>
      </c>
      <c r="E589" s="105">
        <v>2</v>
      </c>
      <c r="F589" s="150" t="s">
        <v>2326</v>
      </c>
      <c r="G589" s="150" t="s">
        <v>1932</v>
      </c>
      <c r="H589" s="119">
        <f t="shared" si="27"/>
        <v>44</v>
      </c>
      <c r="I589" s="119"/>
      <c r="J589" s="151">
        <v>0</v>
      </c>
      <c r="K589" s="119">
        <f t="shared" si="28"/>
        <v>44</v>
      </c>
      <c r="L589" s="152">
        <f t="shared" si="29"/>
        <v>38.200000000000003</v>
      </c>
      <c r="M589" s="113"/>
    </row>
    <row r="590" spans="1:13" s="114" customFormat="1" x14ac:dyDescent="0.2">
      <c r="A590" s="106" t="s">
        <v>2993</v>
      </c>
      <c r="B590" s="105" t="s">
        <v>3002</v>
      </c>
      <c r="C590" s="105" t="s">
        <v>3003</v>
      </c>
      <c r="D590" s="149" t="s">
        <v>3004</v>
      </c>
      <c r="E590" s="105">
        <v>1</v>
      </c>
      <c r="F590" s="150" t="s">
        <v>3005</v>
      </c>
      <c r="G590" s="150" t="s">
        <v>3006</v>
      </c>
      <c r="H590" s="119">
        <f t="shared" si="27"/>
        <v>32.5</v>
      </c>
      <c r="I590" s="119"/>
      <c r="J590" s="151">
        <v>0</v>
      </c>
      <c r="K590" s="119">
        <f t="shared" si="28"/>
        <v>32.5</v>
      </c>
      <c r="L590" s="152">
        <f t="shared" si="29"/>
        <v>28.25</v>
      </c>
      <c r="M590" s="113"/>
    </row>
    <row r="591" spans="1:13" s="114" customFormat="1" x14ac:dyDescent="0.2">
      <c r="A591" s="106" t="s">
        <v>2993</v>
      </c>
      <c r="B591" s="105" t="s">
        <v>1884</v>
      </c>
      <c r="C591" s="105" t="s">
        <v>3003</v>
      </c>
      <c r="D591" s="149" t="s">
        <v>1885</v>
      </c>
      <c r="E591" s="105">
        <v>2</v>
      </c>
      <c r="F591" s="150" t="s">
        <v>1886</v>
      </c>
      <c r="G591" s="150" t="s">
        <v>1887</v>
      </c>
      <c r="H591" s="119">
        <f t="shared" si="27"/>
        <v>19.5</v>
      </c>
      <c r="I591" s="119"/>
      <c r="J591" s="151">
        <v>0</v>
      </c>
      <c r="K591" s="119">
        <f t="shared" si="28"/>
        <v>19.5</v>
      </c>
      <c r="L591" s="152">
        <f t="shared" si="29"/>
        <v>13.66</v>
      </c>
      <c r="M591" s="113"/>
    </row>
    <row r="592" spans="1:13" s="114" customFormat="1" x14ac:dyDescent="0.2">
      <c r="A592" s="106" t="s">
        <v>2993</v>
      </c>
      <c r="B592" s="105" t="s">
        <v>1781</v>
      </c>
      <c r="C592" s="105" t="s">
        <v>3003</v>
      </c>
      <c r="D592" s="149" t="s">
        <v>1782</v>
      </c>
      <c r="E592" s="105">
        <v>2</v>
      </c>
      <c r="F592" s="150" t="s">
        <v>1783</v>
      </c>
      <c r="G592" s="150" t="s">
        <v>1784</v>
      </c>
      <c r="H592" s="119">
        <f t="shared" si="27"/>
        <v>22</v>
      </c>
      <c r="I592" s="119"/>
      <c r="J592" s="151">
        <v>0</v>
      </c>
      <c r="K592" s="119">
        <f t="shared" si="28"/>
        <v>22</v>
      </c>
      <c r="L592" s="152">
        <f t="shared" si="29"/>
        <v>18.760000000000002</v>
      </c>
      <c r="M592" s="113"/>
    </row>
    <row r="593" spans="1:13" s="114" customFormat="1" x14ac:dyDescent="0.2">
      <c r="A593" s="106" t="s">
        <v>2993</v>
      </c>
      <c r="B593" s="105" t="s">
        <v>2867</v>
      </c>
      <c r="C593" s="105" t="s">
        <v>3007</v>
      </c>
      <c r="D593" s="149" t="s">
        <v>2869</v>
      </c>
      <c r="E593" s="105">
        <v>1</v>
      </c>
      <c r="F593" s="150" t="s">
        <v>2870</v>
      </c>
      <c r="G593" s="150" t="s">
        <v>2871</v>
      </c>
      <c r="H593" s="119">
        <f t="shared" si="27"/>
        <v>6.75</v>
      </c>
      <c r="I593" s="119"/>
      <c r="J593" s="151">
        <v>0</v>
      </c>
      <c r="K593" s="119">
        <f t="shared" si="28"/>
        <v>6.75</v>
      </c>
      <c r="L593" s="152">
        <f t="shared" si="29"/>
        <v>5.85</v>
      </c>
      <c r="M593" s="113"/>
    </row>
    <row r="594" spans="1:13" s="114" customFormat="1" x14ac:dyDescent="0.2">
      <c r="A594" s="106" t="s">
        <v>2993</v>
      </c>
      <c r="B594" s="105" t="s">
        <v>3008</v>
      </c>
      <c r="C594" s="105" t="s">
        <v>3009</v>
      </c>
      <c r="D594" s="149" t="s">
        <v>3010</v>
      </c>
      <c r="E594" s="105">
        <v>1</v>
      </c>
      <c r="F594" s="150" t="s">
        <v>3011</v>
      </c>
      <c r="G594" s="150" t="s">
        <v>3012</v>
      </c>
      <c r="H594" s="119">
        <f t="shared" si="27"/>
        <v>261.75</v>
      </c>
      <c r="I594" s="119"/>
      <c r="J594" s="151">
        <v>0</v>
      </c>
      <c r="K594" s="119">
        <f t="shared" si="28"/>
        <v>261.75</v>
      </c>
      <c r="L594" s="152">
        <f t="shared" si="29"/>
        <v>227.51</v>
      </c>
      <c r="M594" s="113"/>
    </row>
    <row r="595" spans="1:13" s="114" customFormat="1" x14ac:dyDescent="0.2">
      <c r="A595" s="106" t="s">
        <v>2993</v>
      </c>
      <c r="B595" s="105" t="s">
        <v>3013</v>
      </c>
      <c r="C595" s="105" t="s">
        <v>3009</v>
      </c>
      <c r="D595" s="149" t="s">
        <v>3014</v>
      </c>
      <c r="E595" s="105">
        <v>1</v>
      </c>
      <c r="F595" s="150" t="s">
        <v>3011</v>
      </c>
      <c r="G595" s="150" t="s">
        <v>3015</v>
      </c>
      <c r="H595" s="119">
        <f t="shared" si="27"/>
        <v>287.5</v>
      </c>
      <c r="I595" s="119"/>
      <c r="J595" s="151">
        <v>0</v>
      </c>
      <c r="K595" s="119">
        <f t="shared" si="28"/>
        <v>287.5</v>
      </c>
      <c r="L595" s="152">
        <f t="shared" si="29"/>
        <v>227.51</v>
      </c>
      <c r="M595" s="113"/>
    </row>
    <row r="596" spans="1:13" s="114" customFormat="1" x14ac:dyDescent="0.2">
      <c r="A596" s="106" t="s">
        <v>2993</v>
      </c>
      <c r="B596" s="105" t="s">
        <v>2394</v>
      </c>
      <c r="C596" s="105" t="s">
        <v>3016</v>
      </c>
      <c r="D596" s="149" t="s">
        <v>2395</v>
      </c>
      <c r="E596" s="105">
        <v>1</v>
      </c>
      <c r="F596" s="150" t="s">
        <v>2853</v>
      </c>
      <c r="G596" s="150" t="s">
        <v>2396</v>
      </c>
      <c r="H596" s="119">
        <f t="shared" si="27"/>
        <v>64.5</v>
      </c>
      <c r="I596" s="119"/>
      <c r="J596" s="151">
        <v>0</v>
      </c>
      <c r="K596" s="119">
        <f t="shared" si="28"/>
        <v>64.5</v>
      </c>
      <c r="L596" s="152">
        <f t="shared" si="29"/>
        <v>58.65</v>
      </c>
      <c r="M596" s="113"/>
    </row>
    <row r="597" spans="1:13" s="114" customFormat="1" x14ac:dyDescent="0.2">
      <c r="A597" s="106" t="s">
        <v>2993</v>
      </c>
      <c r="B597" s="105" t="s">
        <v>2782</v>
      </c>
      <c r="C597" s="105" t="s">
        <v>3016</v>
      </c>
      <c r="D597" s="149" t="s">
        <v>2783</v>
      </c>
      <c r="E597" s="105">
        <v>1</v>
      </c>
      <c r="F597" s="150" t="s">
        <v>2784</v>
      </c>
      <c r="G597" s="150" t="s">
        <v>2785</v>
      </c>
      <c r="H597" s="119">
        <f t="shared" si="27"/>
        <v>32.25</v>
      </c>
      <c r="I597" s="119"/>
      <c r="J597" s="151">
        <v>0</v>
      </c>
      <c r="K597" s="119">
        <f t="shared" si="28"/>
        <v>32.25</v>
      </c>
      <c r="L597" s="152">
        <f t="shared" si="29"/>
        <v>27.9</v>
      </c>
      <c r="M597" s="113"/>
    </row>
    <row r="598" spans="1:13" s="114" customFormat="1" x14ac:dyDescent="0.2">
      <c r="A598" s="106" t="s">
        <v>2993</v>
      </c>
      <c r="B598" s="105" t="s">
        <v>3017</v>
      </c>
      <c r="C598" s="105" t="s">
        <v>3018</v>
      </c>
      <c r="D598" s="149" t="s">
        <v>3019</v>
      </c>
      <c r="E598" s="105">
        <v>1</v>
      </c>
      <c r="F598" s="150" t="s">
        <v>2555</v>
      </c>
      <c r="G598" s="150" t="s">
        <v>2556</v>
      </c>
      <c r="H598" s="119">
        <f t="shared" si="27"/>
        <v>62.25</v>
      </c>
      <c r="I598" s="119"/>
      <c r="J598" s="151">
        <v>0</v>
      </c>
      <c r="K598" s="119">
        <f t="shared" si="28"/>
        <v>62.25</v>
      </c>
      <c r="L598" s="152">
        <f t="shared" si="29"/>
        <v>54</v>
      </c>
      <c r="M598" s="113"/>
    </row>
    <row r="599" spans="1:13" s="114" customFormat="1" x14ac:dyDescent="0.2">
      <c r="A599" s="106" t="s">
        <v>2993</v>
      </c>
      <c r="B599" s="105" t="s">
        <v>2908</v>
      </c>
      <c r="C599" s="105" t="s">
        <v>3020</v>
      </c>
      <c r="D599" s="149" t="s">
        <v>2910</v>
      </c>
      <c r="E599" s="105">
        <v>1</v>
      </c>
      <c r="F599" s="150" t="s">
        <v>1980</v>
      </c>
      <c r="G599" s="150" t="s">
        <v>1981</v>
      </c>
      <c r="H599" s="119">
        <f t="shared" si="27"/>
        <v>1</v>
      </c>
      <c r="I599" s="119"/>
      <c r="J599" s="151">
        <v>0</v>
      </c>
      <c r="K599" s="119">
        <f t="shared" si="28"/>
        <v>1</v>
      </c>
      <c r="L599" s="152">
        <f t="shared" si="29"/>
        <v>0.76</v>
      </c>
      <c r="M599" s="113"/>
    </row>
    <row r="600" spans="1:13" s="114" customFormat="1" x14ac:dyDescent="0.2">
      <c r="A600" s="106" t="s">
        <v>2993</v>
      </c>
      <c r="B600" s="105" t="s">
        <v>1977</v>
      </c>
      <c r="C600" s="105" t="s">
        <v>3020</v>
      </c>
      <c r="D600" s="149" t="s">
        <v>1979</v>
      </c>
      <c r="E600" s="105">
        <v>1</v>
      </c>
      <c r="F600" s="150" t="s">
        <v>1980</v>
      </c>
      <c r="G600" s="150" t="s">
        <v>1981</v>
      </c>
      <c r="H600" s="119">
        <f t="shared" si="27"/>
        <v>1</v>
      </c>
      <c r="I600" s="119"/>
      <c r="J600" s="151">
        <v>0</v>
      </c>
      <c r="K600" s="119">
        <f t="shared" si="28"/>
        <v>1</v>
      </c>
      <c r="L600" s="152">
        <f t="shared" si="29"/>
        <v>0.76</v>
      </c>
      <c r="M600" s="113"/>
    </row>
    <row r="601" spans="1:13" s="114" customFormat="1" x14ac:dyDescent="0.2">
      <c r="A601" s="153" t="s">
        <v>2993</v>
      </c>
      <c r="B601" s="154" t="s">
        <v>2185</v>
      </c>
      <c r="C601" s="154" t="s">
        <v>3021</v>
      </c>
      <c r="D601" s="155" t="s">
        <v>2187</v>
      </c>
      <c r="E601" s="154">
        <v>1</v>
      </c>
      <c r="F601" s="146"/>
      <c r="G601" s="146" t="s">
        <v>2188</v>
      </c>
      <c r="H601" s="147">
        <f t="shared" si="27"/>
        <v>59.5</v>
      </c>
      <c r="I601" s="147"/>
      <c r="J601" s="156">
        <v>0</v>
      </c>
      <c r="K601" s="147">
        <f t="shared" si="28"/>
        <v>59.5</v>
      </c>
      <c r="L601" s="148">
        <f t="shared" si="29"/>
        <v>0</v>
      </c>
      <c r="M601" s="113"/>
    </row>
    <row r="602" spans="1:13" s="114" customFormat="1" x14ac:dyDescent="0.2">
      <c r="A602" s="106" t="s">
        <v>2993</v>
      </c>
      <c r="B602" s="105" t="s">
        <v>3022</v>
      </c>
      <c r="C602" s="105" t="s">
        <v>3021</v>
      </c>
      <c r="D602" s="149" t="s">
        <v>3023</v>
      </c>
      <c r="E602" s="105">
        <v>1</v>
      </c>
      <c r="F602" s="150" t="s">
        <v>3024</v>
      </c>
      <c r="G602" s="150" t="s">
        <v>3025</v>
      </c>
      <c r="H602" s="119">
        <f t="shared" si="27"/>
        <v>139.25</v>
      </c>
      <c r="I602" s="119"/>
      <c r="J602" s="151">
        <v>0</v>
      </c>
      <c r="K602" s="119">
        <f t="shared" si="28"/>
        <v>139.25</v>
      </c>
      <c r="L602" s="152">
        <f t="shared" si="29"/>
        <v>120.95</v>
      </c>
      <c r="M602" s="113"/>
    </row>
    <row r="603" spans="1:13" s="114" customFormat="1" x14ac:dyDescent="0.2">
      <c r="A603" s="106" t="s">
        <v>2993</v>
      </c>
      <c r="B603" s="105" t="s">
        <v>1863</v>
      </c>
      <c r="C603" s="105" t="s">
        <v>3026</v>
      </c>
      <c r="D603" s="149" t="s">
        <v>1864</v>
      </c>
      <c r="E603" s="105">
        <v>3</v>
      </c>
      <c r="F603" s="150" t="s">
        <v>1852</v>
      </c>
      <c r="G603" s="150" t="s">
        <v>1853</v>
      </c>
      <c r="H603" s="119">
        <f t="shared" si="27"/>
        <v>22.5</v>
      </c>
      <c r="I603" s="119"/>
      <c r="J603" s="151">
        <v>0</v>
      </c>
      <c r="K603" s="119">
        <f t="shared" si="28"/>
        <v>22.5</v>
      </c>
      <c r="L603" s="152">
        <f t="shared" si="29"/>
        <v>18.54</v>
      </c>
      <c r="M603" s="113"/>
    </row>
    <row r="604" spans="1:13" s="114" customFormat="1" x14ac:dyDescent="0.2">
      <c r="A604" s="153" t="s">
        <v>2993</v>
      </c>
      <c r="B604" s="154" t="s">
        <v>2170</v>
      </c>
      <c r="C604" s="154" t="s">
        <v>3026</v>
      </c>
      <c r="D604" s="155" t="s">
        <v>2171</v>
      </c>
      <c r="E604" s="154">
        <v>1</v>
      </c>
      <c r="F604" s="146"/>
      <c r="G604" s="146" t="s">
        <v>2172</v>
      </c>
      <c r="H604" s="147">
        <f t="shared" si="27"/>
        <v>47.5</v>
      </c>
      <c r="I604" s="147"/>
      <c r="J604" s="156">
        <v>0</v>
      </c>
      <c r="K604" s="147">
        <f t="shared" si="28"/>
        <v>47.5</v>
      </c>
      <c r="L604" s="148">
        <f t="shared" si="29"/>
        <v>0</v>
      </c>
      <c r="M604" s="113"/>
    </row>
    <row r="605" spans="1:13" s="114" customFormat="1" x14ac:dyDescent="0.2">
      <c r="A605" s="106" t="s">
        <v>2993</v>
      </c>
      <c r="B605" s="105" t="s">
        <v>3027</v>
      </c>
      <c r="C605" s="105" t="s">
        <v>3026</v>
      </c>
      <c r="D605" s="149" t="s">
        <v>3028</v>
      </c>
      <c r="E605" s="105">
        <v>7</v>
      </c>
      <c r="F605" s="150" t="s">
        <v>3029</v>
      </c>
      <c r="G605" s="150" t="s">
        <v>1853</v>
      </c>
      <c r="H605" s="119">
        <f t="shared" si="27"/>
        <v>52.5</v>
      </c>
      <c r="I605" s="119"/>
      <c r="J605" s="151">
        <v>0</v>
      </c>
      <c r="K605" s="119">
        <f t="shared" si="28"/>
        <v>52.5</v>
      </c>
      <c r="L605" s="152">
        <f t="shared" si="29"/>
        <v>44.59</v>
      </c>
      <c r="M605" s="113"/>
    </row>
    <row r="606" spans="1:13" s="114" customFormat="1" x14ac:dyDescent="0.2">
      <c r="A606" s="106" t="s">
        <v>2993</v>
      </c>
      <c r="B606" s="105" t="s">
        <v>3030</v>
      </c>
      <c r="C606" s="105" t="s">
        <v>3031</v>
      </c>
      <c r="D606" s="149" t="s">
        <v>3032</v>
      </c>
      <c r="E606" s="105">
        <v>1</v>
      </c>
      <c r="F606" s="150" t="s">
        <v>3033</v>
      </c>
      <c r="G606" s="150" t="s">
        <v>1880</v>
      </c>
      <c r="H606" s="119">
        <f t="shared" si="27"/>
        <v>21</v>
      </c>
      <c r="I606" s="119"/>
      <c r="J606" s="151">
        <v>0</v>
      </c>
      <c r="K606" s="119">
        <f t="shared" si="28"/>
        <v>21</v>
      </c>
      <c r="L606" s="152">
        <f t="shared" si="29"/>
        <v>18.25</v>
      </c>
      <c r="M606" s="113"/>
    </row>
    <row r="607" spans="1:13" s="114" customFormat="1" x14ac:dyDescent="0.2">
      <c r="A607" s="106" t="s">
        <v>2993</v>
      </c>
      <c r="B607" s="105" t="s">
        <v>3034</v>
      </c>
      <c r="C607" s="105" t="s">
        <v>3035</v>
      </c>
      <c r="D607" s="149" t="s">
        <v>3036</v>
      </c>
      <c r="E607" s="105">
        <v>1</v>
      </c>
      <c r="F607" s="150" t="s">
        <v>2053</v>
      </c>
      <c r="G607" s="150" t="s">
        <v>2054</v>
      </c>
      <c r="H607" s="119">
        <f t="shared" si="27"/>
        <v>73.75</v>
      </c>
      <c r="I607" s="119"/>
      <c r="J607" s="151">
        <v>0</v>
      </c>
      <c r="K607" s="119">
        <f t="shared" si="28"/>
        <v>73.75</v>
      </c>
      <c r="L607" s="152">
        <f t="shared" si="29"/>
        <v>64</v>
      </c>
      <c r="M607" s="113"/>
    </row>
    <row r="608" spans="1:13" s="114" customFormat="1" x14ac:dyDescent="0.2">
      <c r="A608" s="106" t="s">
        <v>2993</v>
      </c>
      <c r="B608" s="105" t="s">
        <v>1798</v>
      </c>
      <c r="C608" s="105" t="s">
        <v>3037</v>
      </c>
      <c r="D608" s="149" t="s">
        <v>1799</v>
      </c>
      <c r="E608" s="105">
        <v>1</v>
      </c>
      <c r="F608" s="150" t="s">
        <v>1800</v>
      </c>
      <c r="G608" s="150" t="s">
        <v>1801</v>
      </c>
      <c r="H608" s="119">
        <f t="shared" si="27"/>
        <v>9.5</v>
      </c>
      <c r="I608" s="119"/>
      <c r="J608" s="151">
        <v>0</v>
      </c>
      <c r="K608" s="119">
        <f t="shared" si="28"/>
        <v>9.5</v>
      </c>
      <c r="L608" s="152">
        <f t="shared" si="29"/>
        <v>8.1999999999999993</v>
      </c>
      <c r="M608" s="113"/>
    </row>
    <row r="609" spans="1:13" s="114" customFormat="1" x14ac:dyDescent="0.2">
      <c r="A609" s="106" t="s">
        <v>2993</v>
      </c>
      <c r="B609" s="105" t="s">
        <v>2481</v>
      </c>
      <c r="C609" s="105" t="s">
        <v>3038</v>
      </c>
      <c r="D609" s="149" t="s">
        <v>2482</v>
      </c>
      <c r="E609" s="105">
        <v>1</v>
      </c>
      <c r="F609" s="150" t="s">
        <v>2483</v>
      </c>
      <c r="G609" s="150" t="s">
        <v>2484</v>
      </c>
      <c r="H609" s="119">
        <f t="shared" si="27"/>
        <v>832.5</v>
      </c>
      <c r="I609" s="119"/>
      <c r="J609" s="151">
        <v>0</v>
      </c>
      <c r="K609" s="119">
        <f t="shared" si="28"/>
        <v>832.5</v>
      </c>
      <c r="L609" s="152">
        <f t="shared" si="29"/>
        <v>723.8</v>
      </c>
      <c r="M609" s="113"/>
    </row>
    <row r="610" spans="1:13" s="114" customFormat="1" x14ac:dyDescent="0.2">
      <c r="A610" s="106" t="s">
        <v>2993</v>
      </c>
      <c r="B610" s="105" t="s">
        <v>2593</v>
      </c>
      <c r="C610" s="105" t="s">
        <v>3038</v>
      </c>
      <c r="D610" s="149" t="s">
        <v>2594</v>
      </c>
      <c r="E610" s="105">
        <v>2</v>
      </c>
      <c r="F610" s="150" t="s">
        <v>2595</v>
      </c>
      <c r="G610" s="150" t="s">
        <v>2596</v>
      </c>
      <c r="H610" s="119">
        <f t="shared" si="27"/>
        <v>86.5</v>
      </c>
      <c r="I610" s="119"/>
      <c r="J610" s="151">
        <v>0</v>
      </c>
      <c r="K610" s="119">
        <f t="shared" si="28"/>
        <v>86.5</v>
      </c>
      <c r="L610" s="152">
        <f t="shared" si="29"/>
        <v>74.900000000000006</v>
      </c>
      <c r="M610" s="113"/>
    </row>
    <row r="611" spans="1:13" s="114" customFormat="1" x14ac:dyDescent="0.2">
      <c r="A611" s="106" t="s">
        <v>2993</v>
      </c>
      <c r="B611" s="105" t="s">
        <v>3039</v>
      </c>
      <c r="C611" s="105" t="s">
        <v>3038</v>
      </c>
      <c r="D611" s="149" t="s">
        <v>3040</v>
      </c>
      <c r="E611" s="105">
        <v>1</v>
      </c>
      <c r="F611" s="150" t="s">
        <v>3041</v>
      </c>
      <c r="G611" s="150" t="s">
        <v>3042</v>
      </c>
      <c r="H611" s="119">
        <f t="shared" si="27"/>
        <v>1883.75</v>
      </c>
      <c r="I611" s="119"/>
      <c r="J611" s="151">
        <v>0</v>
      </c>
      <c r="K611" s="119">
        <f t="shared" si="28"/>
        <v>1883.75</v>
      </c>
      <c r="L611" s="152">
        <f t="shared" si="29"/>
        <v>1638</v>
      </c>
      <c r="M611" s="113"/>
    </row>
    <row r="612" spans="1:13" s="114" customFormat="1" x14ac:dyDescent="0.2">
      <c r="A612" s="106" t="s">
        <v>2993</v>
      </c>
      <c r="B612" s="105" t="s">
        <v>3043</v>
      </c>
      <c r="C612" s="105" t="s">
        <v>3038</v>
      </c>
      <c r="D612" s="149" t="s">
        <v>3044</v>
      </c>
      <c r="E612" s="105">
        <v>1</v>
      </c>
      <c r="F612" s="150" t="s">
        <v>3045</v>
      </c>
      <c r="G612" s="150" t="s">
        <v>3046</v>
      </c>
      <c r="H612" s="119">
        <f t="shared" si="27"/>
        <v>347.25</v>
      </c>
      <c r="I612" s="119"/>
      <c r="J612" s="151">
        <v>0</v>
      </c>
      <c r="K612" s="119">
        <f t="shared" si="28"/>
        <v>347.25</v>
      </c>
      <c r="L612" s="152">
        <f t="shared" si="29"/>
        <v>301.87</v>
      </c>
      <c r="M612" s="113"/>
    </row>
    <row r="613" spans="1:13" s="114" customFormat="1" x14ac:dyDescent="0.2">
      <c r="A613" s="106" t="s">
        <v>2993</v>
      </c>
      <c r="B613" s="105" t="s">
        <v>2798</v>
      </c>
      <c r="C613" s="105" t="s">
        <v>3038</v>
      </c>
      <c r="D613" s="149" t="s">
        <v>2800</v>
      </c>
      <c r="E613" s="105">
        <v>1</v>
      </c>
      <c r="F613" s="150" t="s">
        <v>2183</v>
      </c>
      <c r="G613" s="150" t="s">
        <v>2184</v>
      </c>
      <c r="H613" s="119">
        <f t="shared" si="27"/>
        <v>60</v>
      </c>
      <c r="I613" s="119"/>
      <c r="J613" s="151">
        <v>0</v>
      </c>
      <c r="K613" s="119">
        <f t="shared" si="28"/>
        <v>60</v>
      </c>
      <c r="L613" s="152">
        <f t="shared" si="29"/>
        <v>51.97</v>
      </c>
      <c r="M613" s="113"/>
    </row>
    <row r="614" spans="1:13" s="114" customFormat="1" x14ac:dyDescent="0.2">
      <c r="A614" s="106" t="s">
        <v>2993</v>
      </c>
      <c r="B614" s="105" t="s">
        <v>2367</v>
      </c>
      <c r="C614" s="105" t="s">
        <v>3038</v>
      </c>
      <c r="D614" s="149" t="s">
        <v>2369</v>
      </c>
      <c r="E614" s="105">
        <v>6</v>
      </c>
      <c r="F614" s="150" t="s">
        <v>2370</v>
      </c>
      <c r="G614" s="150" t="s">
        <v>1853</v>
      </c>
      <c r="H614" s="119">
        <f t="shared" si="27"/>
        <v>45</v>
      </c>
      <c r="I614" s="119"/>
      <c r="J614" s="151">
        <v>0</v>
      </c>
      <c r="K614" s="119">
        <f t="shared" si="28"/>
        <v>45</v>
      </c>
      <c r="L614" s="152">
        <f t="shared" si="29"/>
        <v>38.28</v>
      </c>
      <c r="M614" s="113"/>
    </row>
    <row r="615" spans="1:13" s="114" customFormat="1" x14ac:dyDescent="0.2">
      <c r="A615" s="106" t="s">
        <v>2993</v>
      </c>
      <c r="B615" s="105" t="s">
        <v>2371</v>
      </c>
      <c r="C615" s="105" t="s">
        <v>3038</v>
      </c>
      <c r="D615" s="149" t="s">
        <v>2372</v>
      </c>
      <c r="E615" s="105">
        <v>1</v>
      </c>
      <c r="F615" s="150" t="s">
        <v>2373</v>
      </c>
      <c r="G615" s="150" t="s">
        <v>1820</v>
      </c>
      <c r="H615" s="119">
        <f t="shared" si="27"/>
        <v>46</v>
      </c>
      <c r="I615" s="119"/>
      <c r="J615" s="151">
        <v>0</v>
      </c>
      <c r="K615" s="119">
        <f t="shared" si="28"/>
        <v>46</v>
      </c>
      <c r="L615" s="152">
        <f t="shared" si="29"/>
        <v>39.880000000000003</v>
      </c>
      <c r="M615" s="113"/>
    </row>
    <row r="616" spans="1:13" s="114" customFormat="1" x14ac:dyDescent="0.2">
      <c r="A616" s="106" t="s">
        <v>2993</v>
      </c>
      <c r="B616" s="105" t="s">
        <v>2115</v>
      </c>
      <c r="C616" s="105" t="s">
        <v>3038</v>
      </c>
      <c r="D616" s="149" t="s">
        <v>2117</v>
      </c>
      <c r="E616" s="105">
        <v>1</v>
      </c>
      <c r="F616" s="150" t="s">
        <v>2118</v>
      </c>
      <c r="G616" s="150" t="s">
        <v>2119</v>
      </c>
      <c r="H616" s="119">
        <f t="shared" si="27"/>
        <v>93.25</v>
      </c>
      <c r="I616" s="119"/>
      <c r="J616" s="151">
        <v>0</v>
      </c>
      <c r="K616" s="119">
        <f t="shared" si="28"/>
        <v>93.25</v>
      </c>
      <c r="L616" s="152">
        <f t="shared" si="29"/>
        <v>84.8</v>
      </c>
      <c r="M616" s="113"/>
    </row>
    <row r="617" spans="1:13" s="114" customFormat="1" x14ac:dyDescent="0.2">
      <c r="A617" s="106" t="s">
        <v>2993</v>
      </c>
      <c r="B617" s="105" t="s">
        <v>2665</v>
      </c>
      <c r="C617" s="105" t="s">
        <v>3038</v>
      </c>
      <c r="D617" s="149" t="s">
        <v>2667</v>
      </c>
      <c r="E617" s="105">
        <v>1</v>
      </c>
      <c r="F617" s="150" t="s">
        <v>2668</v>
      </c>
      <c r="G617" s="150" t="s">
        <v>2669</v>
      </c>
      <c r="H617" s="119">
        <f t="shared" si="27"/>
        <v>21.75</v>
      </c>
      <c r="I617" s="119"/>
      <c r="J617" s="151">
        <v>0</v>
      </c>
      <c r="K617" s="119">
        <f t="shared" si="28"/>
        <v>21.75</v>
      </c>
      <c r="L617" s="152">
        <f t="shared" si="29"/>
        <v>18.57</v>
      </c>
      <c r="M617" s="113"/>
    </row>
    <row r="618" spans="1:13" s="114" customFormat="1" x14ac:dyDescent="0.2">
      <c r="A618" s="106" t="s">
        <v>2993</v>
      </c>
      <c r="B618" s="105" t="s">
        <v>1944</v>
      </c>
      <c r="C618" s="105" t="s">
        <v>3038</v>
      </c>
      <c r="D618" s="149" t="s">
        <v>1946</v>
      </c>
      <c r="E618" s="105">
        <v>9</v>
      </c>
      <c r="F618" s="150" t="s">
        <v>1947</v>
      </c>
      <c r="G618" s="150" t="s">
        <v>1948</v>
      </c>
      <c r="H618" s="119">
        <f t="shared" si="27"/>
        <v>150.75</v>
      </c>
      <c r="I618" s="119"/>
      <c r="J618" s="151">
        <v>0</v>
      </c>
      <c r="K618" s="119">
        <f t="shared" si="28"/>
        <v>150.75</v>
      </c>
      <c r="L618" s="152">
        <f t="shared" si="29"/>
        <v>129.42000000000002</v>
      </c>
      <c r="M618" s="113"/>
    </row>
    <row r="619" spans="1:13" s="114" customFormat="1" x14ac:dyDescent="0.2">
      <c r="A619" s="106" t="s">
        <v>2993</v>
      </c>
      <c r="B619" s="105" t="s">
        <v>2707</v>
      </c>
      <c r="C619" s="105" t="s">
        <v>3038</v>
      </c>
      <c r="D619" s="149" t="s">
        <v>2709</v>
      </c>
      <c r="E619" s="105">
        <v>1</v>
      </c>
      <c r="F619" s="150" t="s">
        <v>2710</v>
      </c>
      <c r="G619" s="150" t="s">
        <v>2711</v>
      </c>
      <c r="H619" s="119">
        <f t="shared" si="27"/>
        <v>262.25</v>
      </c>
      <c r="I619" s="119"/>
      <c r="J619" s="151">
        <v>0</v>
      </c>
      <c r="K619" s="119">
        <f t="shared" si="28"/>
        <v>262.25</v>
      </c>
      <c r="L619" s="152">
        <f t="shared" si="29"/>
        <v>228</v>
      </c>
      <c r="M619" s="113"/>
    </row>
    <row r="620" spans="1:13" s="114" customFormat="1" x14ac:dyDescent="0.2">
      <c r="A620" s="106" t="s">
        <v>2993</v>
      </c>
      <c r="B620" s="105" t="s">
        <v>2503</v>
      </c>
      <c r="C620" s="105" t="s">
        <v>3038</v>
      </c>
      <c r="D620" s="149" t="s">
        <v>2505</v>
      </c>
      <c r="E620" s="105">
        <v>3</v>
      </c>
      <c r="F620" s="150" t="s">
        <v>2067</v>
      </c>
      <c r="G620" s="150" t="s">
        <v>2506</v>
      </c>
      <c r="H620" s="119">
        <f t="shared" si="27"/>
        <v>150</v>
      </c>
      <c r="I620" s="119"/>
      <c r="J620" s="151">
        <v>0</v>
      </c>
      <c r="K620" s="119">
        <f t="shared" si="28"/>
        <v>150</v>
      </c>
      <c r="L620" s="152">
        <f t="shared" si="29"/>
        <v>128.25</v>
      </c>
      <c r="M620" s="113"/>
    </row>
    <row r="621" spans="1:13" s="114" customFormat="1" x14ac:dyDescent="0.2">
      <c r="A621" s="106" t="s">
        <v>2993</v>
      </c>
      <c r="B621" s="105" t="s">
        <v>3047</v>
      </c>
      <c r="C621" s="105" t="s">
        <v>3038</v>
      </c>
      <c r="D621" s="149" t="s">
        <v>3048</v>
      </c>
      <c r="E621" s="105">
        <v>3</v>
      </c>
      <c r="F621" s="150" t="s">
        <v>3049</v>
      </c>
      <c r="G621" s="150" t="s">
        <v>2479</v>
      </c>
      <c r="H621" s="119">
        <f t="shared" si="27"/>
        <v>123.75</v>
      </c>
      <c r="I621" s="119"/>
      <c r="J621" s="151">
        <v>0</v>
      </c>
      <c r="K621" s="119">
        <f t="shared" si="28"/>
        <v>123.75</v>
      </c>
      <c r="L621" s="152">
        <f t="shared" si="29"/>
        <v>107.03999999999999</v>
      </c>
      <c r="M621" s="113"/>
    </row>
    <row r="622" spans="1:13" s="114" customFormat="1" x14ac:dyDescent="0.2">
      <c r="A622" s="106" t="s">
        <v>2993</v>
      </c>
      <c r="B622" s="105" t="s">
        <v>2690</v>
      </c>
      <c r="C622" s="105" t="s">
        <v>3038</v>
      </c>
      <c r="D622" s="149" t="s">
        <v>2692</v>
      </c>
      <c r="E622" s="105">
        <v>2</v>
      </c>
      <c r="F622" s="150" t="s">
        <v>2693</v>
      </c>
      <c r="G622" s="150" t="s">
        <v>2070</v>
      </c>
      <c r="H622" s="119">
        <f t="shared" si="27"/>
        <v>76</v>
      </c>
      <c r="I622" s="119"/>
      <c r="J622" s="151">
        <v>0</v>
      </c>
      <c r="K622" s="119">
        <f t="shared" si="28"/>
        <v>76</v>
      </c>
      <c r="L622" s="152">
        <f t="shared" si="29"/>
        <v>65.72</v>
      </c>
      <c r="M622" s="113"/>
    </row>
    <row r="623" spans="1:13" s="114" customFormat="1" x14ac:dyDescent="0.2">
      <c r="A623" s="106" t="s">
        <v>2993</v>
      </c>
      <c r="B623" s="105" t="s">
        <v>2298</v>
      </c>
      <c r="C623" s="105" t="s">
        <v>3038</v>
      </c>
      <c r="D623" s="149" t="s">
        <v>2299</v>
      </c>
      <c r="E623" s="105">
        <v>2</v>
      </c>
      <c r="F623" s="150" t="s">
        <v>2300</v>
      </c>
      <c r="G623" s="150" t="s">
        <v>1892</v>
      </c>
      <c r="H623" s="119">
        <f t="shared" si="27"/>
        <v>48</v>
      </c>
      <c r="I623" s="119"/>
      <c r="J623" s="151">
        <v>0</v>
      </c>
      <c r="K623" s="119">
        <f t="shared" si="28"/>
        <v>48</v>
      </c>
      <c r="L623" s="152">
        <f t="shared" si="29"/>
        <v>41.6</v>
      </c>
      <c r="M623" s="113"/>
    </row>
    <row r="624" spans="1:13" s="114" customFormat="1" x14ac:dyDescent="0.2">
      <c r="A624" s="106" t="s">
        <v>2993</v>
      </c>
      <c r="B624" s="105" t="s">
        <v>2485</v>
      </c>
      <c r="C624" s="105" t="s">
        <v>3038</v>
      </c>
      <c r="D624" s="149" t="s">
        <v>2486</v>
      </c>
      <c r="E624" s="105">
        <v>1</v>
      </c>
      <c r="F624" s="150" t="s">
        <v>2487</v>
      </c>
      <c r="G624" s="150" t="s">
        <v>2114</v>
      </c>
      <c r="H624" s="119">
        <f t="shared" si="27"/>
        <v>30.25</v>
      </c>
      <c r="I624" s="119"/>
      <c r="J624" s="151">
        <v>0</v>
      </c>
      <c r="K624" s="119">
        <f t="shared" si="28"/>
        <v>30.25</v>
      </c>
      <c r="L624" s="152">
        <f t="shared" si="29"/>
        <v>26.43</v>
      </c>
      <c r="M624" s="113"/>
    </row>
    <row r="625" spans="1:13" s="114" customFormat="1" x14ac:dyDescent="0.2">
      <c r="A625" s="153" t="s">
        <v>2993</v>
      </c>
      <c r="B625" s="154" t="s">
        <v>2581</v>
      </c>
      <c r="C625" s="154" t="s">
        <v>3038</v>
      </c>
      <c r="D625" s="155" t="s">
        <v>2583</v>
      </c>
      <c r="E625" s="154">
        <v>12</v>
      </c>
      <c r="F625" s="146"/>
      <c r="G625" s="146" t="s">
        <v>1939</v>
      </c>
      <c r="H625" s="147">
        <f t="shared" si="27"/>
        <v>87</v>
      </c>
      <c r="I625" s="147"/>
      <c r="J625" s="156">
        <v>0</v>
      </c>
      <c r="K625" s="147">
        <f t="shared" si="28"/>
        <v>87</v>
      </c>
      <c r="L625" s="148">
        <f t="shared" si="29"/>
        <v>0</v>
      </c>
      <c r="M625" s="113"/>
    </row>
    <row r="626" spans="1:13" s="114" customFormat="1" x14ac:dyDescent="0.2">
      <c r="A626" s="106" t="s">
        <v>2993</v>
      </c>
      <c r="B626" s="105" t="s">
        <v>2521</v>
      </c>
      <c r="C626" s="105" t="s">
        <v>3038</v>
      </c>
      <c r="D626" s="149" t="s">
        <v>2522</v>
      </c>
      <c r="E626" s="105">
        <v>12</v>
      </c>
      <c r="F626" s="150" t="s">
        <v>2523</v>
      </c>
      <c r="G626" s="150" t="s">
        <v>1939</v>
      </c>
      <c r="H626" s="119">
        <f t="shared" si="27"/>
        <v>87</v>
      </c>
      <c r="I626" s="119"/>
      <c r="J626" s="151">
        <v>0</v>
      </c>
      <c r="K626" s="119">
        <f t="shared" si="28"/>
        <v>87</v>
      </c>
      <c r="L626" s="152">
        <f t="shared" si="29"/>
        <v>72.239999999999995</v>
      </c>
      <c r="M626" s="113"/>
    </row>
    <row r="627" spans="1:13" s="114" customFormat="1" x14ac:dyDescent="0.2">
      <c r="A627" s="106" t="s">
        <v>2993</v>
      </c>
      <c r="B627" s="105" t="s">
        <v>3050</v>
      </c>
      <c r="C627" s="105" t="s">
        <v>3038</v>
      </c>
      <c r="D627" s="149" t="s">
        <v>3051</v>
      </c>
      <c r="E627" s="105">
        <v>12</v>
      </c>
      <c r="F627" s="150" t="s">
        <v>2523</v>
      </c>
      <c r="G627" s="150" t="s">
        <v>1939</v>
      </c>
      <c r="H627" s="119">
        <f t="shared" si="27"/>
        <v>87</v>
      </c>
      <c r="I627" s="119"/>
      <c r="J627" s="151">
        <v>0</v>
      </c>
      <c r="K627" s="119">
        <f t="shared" si="28"/>
        <v>87</v>
      </c>
      <c r="L627" s="152">
        <f t="shared" si="29"/>
        <v>72.239999999999995</v>
      </c>
      <c r="M627" s="113"/>
    </row>
    <row r="628" spans="1:13" s="114" customFormat="1" x14ac:dyDescent="0.2">
      <c r="A628" s="153" t="s">
        <v>2993</v>
      </c>
      <c r="B628" s="154" t="s">
        <v>2507</v>
      </c>
      <c r="C628" s="154" t="s">
        <v>3038</v>
      </c>
      <c r="D628" s="155" t="s">
        <v>2508</v>
      </c>
      <c r="E628" s="154">
        <v>5</v>
      </c>
      <c r="F628" s="146"/>
      <c r="G628" s="146" t="s">
        <v>2509</v>
      </c>
      <c r="H628" s="147">
        <f t="shared" si="27"/>
        <v>280</v>
      </c>
      <c r="I628" s="147"/>
      <c r="J628" s="156">
        <v>0</v>
      </c>
      <c r="K628" s="147">
        <f t="shared" si="28"/>
        <v>280</v>
      </c>
      <c r="L628" s="148">
        <f t="shared" si="29"/>
        <v>0</v>
      </c>
      <c r="M628" s="113"/>
    </row>
    <row r="629" spans="1:13" s="114" customFormat="1" x14ac:dyDescent="0.2">
      <c r="A629" s="106" t="s">
        <v>2993</v>
      </c>
      <c r="B629" s="105" t="s">
        <v>2597</v>
      </c>
      <c r="C629" s="105" t="s">
        <v>3038</v>
      </c>
      <c r="D629" s="149" t="s">
        <v>2598</v>
      </c>
      <c r="E629" s="105">
        <v>12</v>
      </c>
      <c r="F629" s="150" t="s">
        <v>2599</v>
      </c>
      <c r="G629" s="150" t="s">
        <v>2600</v>
      </c>
      <c r="H629" s="119">
        <f t="shared" si="27"/>
        <v>405</v>
      </c>
      <c r="I629" s="119"/>
      <c r="J629" s="151">
        <v>0</v>
      </c>
      <c r="K629" s="119">
        <f t="shared" si="28"/>
        <v>405</v>
      </c>
      <c r="L629" s="152">
        <f t="shared" si="29"/>
        <v>350.04</v>
      </c>
      <c r="M629" s="113"/>
    </row>
    <row r="630" spans="1:13" s="114" customFormat="1" x14ac:dyDescent="0.2">
      <c r="A630" s="153" t="s">
        <v>2993</v>
      </c>
      <c r="B630" s="154" t="s">
        <v>1902</v>
      </c>
      <c r="C630" s="154" t="s">
        <v>3038</v>
      </c>
      <c r="D630" s="155" t="s">
        <v>1903</v>
      </c>
      <c r="E630" s="154">
        <v>8</v>
      </c>
      <c r="F630" s="146"/>
      <c r="G630" s="146" t="s">
        <v>1904</v>
      </c>
      <c r="H630" s="147">
        <f t="shared" si="27"/>
        <v>154</v>
      </c>
      <c r="I630" s="147"/>
      <c r="J630" s="156">
        <v>0</v>
      </c>
      <c r="K630" s="147">
        <f t="shared" si="28"/>
        <v>154</v>
      </c>
      <c r="L630" s="148">
        <f t="shared" si="29"/>
        <v>0</v>
      </c>
      <c r="M630" s="113"/>
    </row>
    <row r="631" spans="1:13" s="114" customFormat="1" x14ac:dyDescent="0.2">
      <c r="A631" s="106" t="s">
        <v>2993</v>
      </c>
      <c r="B631" s="105" t="s">
        <v>2363</v>
      </c>
      <c r="C631" s="105" t="s">
        <v>3038</v>
      </c>
      <c r="D631" s="149" t="s">
        <v>2365</v>
      </c>
      <c r="E631" s="105">
        <v>11</v>
      </c>
      <c r="F631" s="150" t="s">
        <v>2366</v>
      </c>
      <c r="G631" s="150" t="s">
        <v>2006</v>
      </c>
      <c r="H631" s="119">
        <f t="shared" si="27"/>
        <v>156.75</v>
      </c>
      <c r="I631" s="119"/>
      <c r="J631" s="151">
        <v>0</v>
      </c>
      <c r="K631" s="119">
        <f t="shared" si="28"/>
        <v>156.75</v>
      </c>
      <c r="L631" s="152">
        <f t="shared" si="29"/>
        <v>139.26</v>
      </c>
      <c r="M631" s="113"/>
    </row>
    <row r="632" spans="1:13" s="114" customFormat="1" x14ac:dyDescent="0.2">
      <c r="A632" s="106" t="s">
        <v>2993</v>
      </c>
      <c r="B632" s="105" t="s">
        <v>2201</v>
      </c>
      <c r="C632" s="105" t="s">
        <v>3038</v>
      </c>
      <c r="D632" s="149" t="s">
        <v>2202</v>
      </c>
      <c r="E632" s="105">
        <v>10</v>
      </c>
      <c r="F632" s="150" t="s">
        <v>2203</v>
      </c>
      <c r="G632" s="150" t="s">
        <v>2204</v>
      </c>
      <c r="H632" s="119">
        <f t="shared" si="27"/>
        <v>140</v>
      </c>
      <c r="I632" s="119"/>
      <c r="J632" s="151">
        <v>0</v>
      </c>
      <c r="K632" s="119">
        <f t="shared" si="28"/>
        <v>140</v>
      </c>
      <c r="L632" s="152">
        <f t="shared" si="29"/>
        <v>119.9</v>
      </c>
      <c r="M632" s="113"/>
    </row>
    <row r="633" spans="1:13" s="114" customFormat="1" x14ac:dyDescent="0.2">
      <c r="A633" s="106" t="s">
        <v>2993</v>
      </c>
      <c r="B633" s="105" t="s">
        <v>3052</v>
      </c>
      <c r="C633" s="105" t="s">
        <v>3038</v>
      </c>
      <c r="D633" s="149" t="s">
        <v>3053</v>
      </c>
      <c r="E633" s="105">
        <v>10</v>
      </c>
      <c r="F633" s="150" t="s">
        <v>1922</v>
      </c>
      <c r="G633" s="150" t="s">
        <v>1923</v>
      </c>
      <c r="H633" s="119">
        <f t="shared" si="27"/>
        <v>155</v>
      </c>
      <c r="I633" s="119"/>
      <c r="J633" s="151">
        <v>0</v>
      </c>
      <c r="K633" s="119">
        <f t="shared" si="28"/>
        <v>155</v>
      </c>
      <c r="L633" s="152">
        <f t="shared" si="29"/>
        <v>133.19999999999999</v>
      </c>
      <c r="M633" s="113"/>
    </row>
    <row r="634" spans="1:13" s="114" customFormat="1" x14ac:dyDescent="0.2">
      <c r="A634" s="106" t="s">
        <v>2993</v>
      </c>
      <c r="B634" s="105" t="s">
        <v>3054</v>
      </c>
      <c r="C634" s="105" t="s">
        <v>3055</v>
      </c>
      <c r="D634" s="149" t="s">
        <v>3056</v>
      </c>
      <c r="E634" s="105">
        <v>1</v>
      </c>
      <c r="F634" s="150" t="s">
        <v>3057</v>
      </c>
      <c r="G634" s="150" t="s">
        <v>3058</v>
      </c>
      <c r="H634" s="119">
        <f t="shared" si="27"/>
        <v>4000</v>
      </c>
      <c r="I634" s="119"/>
      <c r="J634" s="151">
        <v>0</v>
      </c>
      <c r="K634" s="119">
        <f t="shared" si="28"/>
        <v>4000</v>
      </c>
      <c r="L634" s="152">
        <f t="shared" si="29"/>
        <v>3500</v>
      </c>
      <c r="M634" s="113"/>
    </row>
    <row r="635" spans="1:13" s="114" customFormat="1" x14ac:dyDescent="0.2">
      <c r="A635" s="106" t="s">
        <v>2993</v>
      </c>
      <c r="B635" s="105" t="s">
        <v>1874</v>
      </c>
      <c r="C635" s="105" t="s">
        <v>3059</v>
      </c>
      <c r="D635" s="149" t="s">
        <v>1875</v>
      </c>
      <c r="E635" s="105">
        <v>1</v>
      </c>
      <c r="F635" s="150" t="s">
        <v>1876</v>
      </c>
      <c r="G635" s="150" t="s">
        <v>1873</v>
      </c>
      <c r="H635" s="119">
        <f t="shared" si="27"/>
        <v>19</v>
      </c>
      <c r="I635" s="119"/>
      <c r="J635" s="151">
        <v>0</v>
      </c>
      <c r="K635" s="119">
        <f t="shared" si="28"/>
        <v>19</v>
      </c>
      <c r="L635" s="152">
        <f t="shared" si="29"/>
        <v>16.350000000000001</v>
      </c>
      <c r="M635" s="113"/>
    </row>
    <row r="636" spans="1:13" s="114" customFormat="1" x14ac:dyDescent="0.2">
      <c r="A636" s="106" t="s">
        <v>2993</v>
      </c>
      <c r="B636" s="105" t="s">
        <v>3060</v>
      </c>
      <c r="C636" s="105" t="s">
        <v>3061</v>
      </c>
      <c r="D636" s="149" t="s">
        <v>3062</v>
      </c>
      <c r="E636" s="105">
        <v>1</v>
      </c>
      <c r="F636" s="150" t="s">
        <v>2011</v>
      </c>
      <c r="G636" s="150" t="s">
        <v>2012</v>
      </c>
      <c r="H636" s="119">
        <f t="shared" si="27"/>
        <v>51.75</v>
      </c>
      <c r="I636" s="119"/>
      <c r="J636" s="151">
        <v>0</v>
      </c>
      <c r="K636" s="119">
        <f t="shared" si="28"/>
        <v>51.75</v>
      </c>
      <c r="L636" s="152">
        <f t="shared" si="29"/>
        <v>44.8</v>
      </c>
      <c r="M636" s="113"/>
    </row>
    <row r="637" spans="1:13" s="114" customFormat="1" x14ac:dyDescent="0.2">
      <c r="A637" s="106" t="s">
        <v>2993</v>
      </c>
      <c r="B637" s="105" t="s">
        <v>2908</v>
      </c>
      <c r="C637" s="105" t="s">
        <v>3063</v>
      </c>
      <c r="D637" s="149" t="s">
        <v>2910</v>
      </c>
      <c r="E637" s="105">
        <v>5</v>
      </c>
      <c r="F637" s="150" t="s">
        <v>1980</v>
      </c>
      <c r="G637" s="150" t="s">
        <v>1981</v>
      </c>
      <c r="H637" s="119">
        <f t="shared" si="27"/>
        <v>5</v>
      </c>
      <c r="I637" s="119"/>
      <c r="J637" s="151">
        <v>0</v>
      </c>
      <c r="K637" s="119">
        <f t="shared" si="28"/>
        <v>5</v>
      </c>
      <c r="L637" s="152">
        <f t="shared" si="29"/>
        <v>3.8</v>
      </c>
      <c r="M637" s="113"/>
    </row>
    <row r="638" spans="1:13" s="114" customFormat="1" x14ac:dyDescent="0.2">
      <c r="A638" s="106" t="s">
        <v>2993</v>
      </c>
      <c r="B638" s="105" t="s">
        <v>2323</v>
      </c>
      <c r="C638" s="105" t="s">
        <v>3064</v>
      </c>
      <c r="D638" s="149" t="s">
        <v>2325</v>
      </c>
      <c r="E638" s="105">
        <v>1</v>
      </c>
      <c r="F638" s="150" t="s">
        <v>2326</v>
      </c>
      <c r="G638" s="150" t="s">
        <v>1932</v>
      </c>
      <c r="H638" s="119">
        <f t="shared" si="27"/>
        <v>22</v>
      </c>
      <c r="I638" s="119"/>
      <c r="J638" s="151">
        <v>0</v>
      </c>
      <c r="K638" s="119">
        <f t="shared" si="28"/>
        <v>22</v>
      </c>
      <c r="L638" s="152">
        <f t="shared" si="29"/>
        <v>19.100000000000001</v>
      </c>
      <c r="M638" s="113"/>
    </row>
    <row r="639" spans="1:13" s="114" customFormat="1" x14ac:dyDescent="0.2">
      <c r="A639" s="106" t="s">
        <v>2993</v>
      </c>
      <c r="B639" s="105" t="s">
        <v>3065</v>
      </c>
      <c r="C639" s="105" t="s">
        <v>3066</v>
      </c>
      <c r="D639" s="149" t="s">
        <v>3067</v>
      </c>
      <c r="E639" s="105">
        <v>1</v>
      </c>
      <c r="F639" s="150" t="s">
        <v>3068</v>
      </c>
      <c r="G639" s="150" t="s">
        <v>1923</v>
      </c>
      <c r="H639" s="119">
        <f t="shared" si="27"/>
        <v>15.5</v>
      </c>
      <c r="I639" s="119"/>
      <c r="J639" s="151">
        <v>0</v>
      </c>
      <c r="K639" s="119">
        <f t="shared" si="28"/>
        <v>15.5</v>
      </c>
      <c r="L639" s="152">
        <f t="shared" si="29"/>
        <v>13.39</v>
      </c>
      <c r="M639" s="113"/>
    </row>
    <row r="640" spans="1:13" s="114" customFormat="1" x14ac:dyDescent="0.2">
      <c r="A640" s="106" t="s">
        <v>2993</v>
      </c>
      <c r="B640" s="105" t="s">
        <v>1854</v>
      </c>
      <c r="C640" s="105" t="s">
        <v>3069</v>
      </c>
      <c r="D640" s="149" t="s">
        <v>1855</v>
      </c>
      <c r="E640" s="105">
        <v>1</v>
      </c>
      <c r="F640" s="150" t="s">
        <v>1856</v>
      </c>
      <c r="G640" s="150" t="s">
        <v>1805</v>
      </c>
      <c r="H640" s="119">
        <f t="shared" si="27"/>
        <v>8.75</v>
      </c>
      <c r="I640" s="119"/>
      <c r="J640" s="151">
        <v>0</v>
      </c>
      <c r="K640" s="119">
        <f t="shared" si="28"/>
        <v>8.75</v>
      </c>
      <c r="L640" s="152">
        <f t="shared" si="29"/>
        <v>7.62</v>
      </c>
      <c r="M640" s="113"/>
    </row>
    <row r="641" spans="1:13" s="114" customFormat="1" x14ac:dyDescent="0.2">
      <c r="A641" s="106" t="s">
        <v>3070</v>
      </c>
      <c r="B641" s="105" t="s">
        <v>1877</v>
      </c>
      <c r="C641" s="105" t="s">
        <v>3071</v>
      </c>
      <c r="D641" s="149" t="s">
        <v>1878</v>
      </c>
      <c r="E641" s="105">
        <v>2</v>
      </c>
      <c r="F641" s="150" t="s">
        <v>1879</v>
      </c>
      <c r="G641" s="150" t="s">
        <v>1880</v>
      </c>
      <c r="H641" s="119">
        <f t="shared" si="27"/>
        <v>42</v>
      </c>
      <c r="I641" s="119"/>
      <c r="J641" s="151">
        <v>0</v>
      </c>
      <c r="K641" s="119">
        <f t="shared" si="28"/>
        <v>42</v>
      </c>
      <c r="L641" s="152">
        <f t="shared" si="29"/>
        <v>36.4</v>
      </c>
      <c r="M641" s="113"/>
    </row>
    <row r="642" spans="1:13" s="114" customFormat="1" x14ac:dyDescent="0.2">
      <c r="A642" s="106" t="s">
        <v>3070</v>
      </c>
      <c r="B642" s="105" t="s">
        <v>3072</v>
      </c>
      <c r="C642" s="105" t="s">
        <v>3073</v>
      </c>
      <c r="D642" s="149" t="s">
        <v>3074</v>
      </c>
      <c r="E642" s="105">
        <v>2</v>
      </c>
      <c r="F642" s="150" t="s">
        <v>3075</v>
      </c>
      <c r="G642" s="150" t="s">
        <v>3076</v>
      </c>
      <c r="H642" s="119">
        <f t="shared" si="27"/>
        <v>37.200000000000003</v>
      </c>
      <c r="I642" s="119"/>
      <c r="J642" s="151">
        <v>0</v>
      </c>
      <c r="K642" s="119">
        <f t="shared" si="28"/>
        <v>37.200000000000003</v>
      </c>
      <c r="L642" s="152">
        <f t="shared" si="29"/>
        <v>33.82</v>
      </c>
      <c r="M642" s="113"/>
    </row>
    <row r="643" spans="1:13" s="114" customFormat="1" x14ac:dyDescent="0.2">
      <c r="A643" s="106" t="s">
        <v>3070</v>
      </c>
      <c r="B643" s="105" t="s">
        <v>2226</v>
      </c>
      <c r="C643" s="105" t="s">
        <v>3077</v>
      </c>
      <c r="D643" s="149" t="s">
        <v>2228</v>
      </c>
      <c r="E643" s="105">
        <v>2</v>
      </c>
      <c r="F643" s="150" t="s">
        <v>2229</v>
      </c>
      <c r="G643" s="150" t="s">
        <v>2230</v>
      </c>
      <c r="H643" s="119">
        <f t="shared" si="27"/>
        <v>46</v>
      </c>
      <c r="I643" s="119"/>
      <c r="J643" s="151">
        <v>0</v>
      </c>
      <c r="K643" s="119">
        <f t="shared" si="28"/>
        <v>46</v>
      </c>
      <c r="L643" s="152">
        <f t="shared" si="29"/>
        <v>38.94</v>
      </c>
      <c r="M643" s="113"/>
    </row>
    <row r="644" spans="1:13" s="114" customFormat="1" x14ac:dyDescent="0.2">
      <c r="A644" s="106" t="s">
        <v>3070</v>
      </c>
      <c r="B644" s="105" t="s">
        <v>3078</v>
      </c>
      <c r="C644" s="105" t="s">
        <v>3079</v>
      </c>
      <c r="D644" s="149" t="s">
        <v>3080</v>
      </c>
      <c r="E644" s="105">
        <v>1</v>
      </c>
      <c r="F644" s="150" t="s">
        <v>3081</v>
      </c>
      <c r="G644" s="150" t="s">
        <v>3082</v>
      </c>
      <c r="H644" s="119">
        <f t="shared" si="27"/>
        <v>67.75</v>
      </c>
      <c r="I644" s="119"/>
      <c r="J644" s="151">
        <v>0</v>
      </c>
      <c r="K644" s="119">
        <f t="shared" si="28"/>
        <v>67.75</v>
      </c>
      <c r="L644" s="152">
        <f t="shared" si="29"/>
        <v>58.84</v>
      </c>
      <c r="M644" s="113"/>
    </row>
    <row r="645" spans="1:13" s="114" customFormat="1" x14ac:dyDescent="0.2">
      <c r="A645" s="106" t="s">
        <v>3070</v>
      </c>
      <c r="B645" s="105" t="s">
        <v>2022</v>
      </c>
      <c r="C645" s="105" t="s">
        <v>3079</v>
      </c>
      <c r="D645" s="149" t="s">
        <v>2024</v>
      </c>
      <c r="E645" s="105">
        <v>2</v>
      </c>
      <c r="F645" s="150" t="s">
        <v>2025</v>
      </c>
      <c r="G645" s="150" t="s">
        <v>2026</v>
      </c>
      <c r="H645" s="119">
        <f t="shared" si="27"/>
        <v>69</v>
      </c>
      <c r="I645" s="119"/>
      <c r="J645" s="151">
        <v>0</v>
      </c>
      <c r="K645" s="119">
        <f t="shared" si="28"/>
        <v>69</v>
      </c>
      <c r="L645" s="152">
        <f t="shared" si="29"/>
        <v>59.8</v>
      </c>
      <c r="M645" s="113"/>
    </row>
    <row r="646" spans="1:13" s="114" customFormat="1" x14ac:dyDescent="0.2">
      <c r="A646" s="106" t="s">
        <v>3070</v>
      </c>
      <c r="B646" s="105" t="s">
        <v>3083</v>
      </c>
      <c r="C646" s="105" t="s">
        <v>3084</v>
      </c>
      <c r="D646" s="149" t="s">
        <v>3085</v>
      </c>
      <c r="E646" s="105">
        <v>3</v>
      </c>
      <c r="F646" s="150" t="s">
        <v>3086</v>
      </c>
      <c r="G646" s="150" t="s">
        <v>2026</v>
      </c>
      <c r="H646" s="119">
        <f t="shared" ref="H646:H709" si="30">E646*G646</f>
        <v>103.5</v>
      </c>
      <c r="I646" s="119"/>
      <c r="J646" s="151">
        <v>0</v>
      </c>
      <c r="K646" s="119">
        <f t="shared" ref="K646:K709" si="31">H646+I646-J646</f>
        <v>103.5</v>
      </c>
      <c r="L646" s="152">
        <f t="shared" ref="L646:L709" si="32">E646*F646</f>
        <v>89.85</v>
      </c>
      <c r="M646" s="113"/>
    </row>
    <row r="647" spans="1:13" s="114" customFormat="1" x14ac:dyDescent="0.2">
      <c r="A647" s="106" t="s">
        <v>3070</v>
      </c>
      <c r="B647" s="105" t="s">
        <v>1789</v>
      </c>
      <c r="C647" s="105" t="s">
        <v>3087</v>
      </c>
      <c r="D647" s="149" t="s">
        <v>1790</v>
      </c>
      <c r="E647" s="105">
        <v>2</v>
      </c>
      <c r="F647" s="150" t="s">
        <v>1791</v>
      </c>
      <c r="G647" s="150" t="s">
        <v>1792</v>
      </c>
      <c r="H647" s="119">
        <f t="shared" si="30"/>
        <v>146</v>
      </c>
      <c r="I647" s="119"/>
      <c r="J647" s="151">
        <v>0</v>
      </c>
      <c r="K647" s="119">
        <f t="shared" si="31"/>
        <v>146</v>
      </c>
      <c r="L647" s="152">
        <f t="shared" si="32"/>
        <v>114</v>
      </c>
      <c r="M647" s="113"/>
    </row>
    <row r="648" spans="1:13" s="114" customFormat="1" x14ac:dyDescent="0.2">
      <c r="A648" s="106" t="s">
        <v>3070</v>
      </c>
      <c r="B648" s="105" t="s">
        <v>3088</v>
      </c>
      <c r="C648" s="105" t="s">
        <v>3089</v>
      </c>
      <c r="D648" s="149" t="s">
        <v>3090</v>
      </c>
      <c r="E648" s="105">
        <v>1</v>
      </c>
      <c r="F648" s="150" t="s">
        <v>1976</v>
      </c>
      <c r="G648" s="150" t="s">
        <v>1899</v>
      </c>
      <c r="H648" s="119">
        <f t="shared" si="30"/>
        <v>27.5</v>
      </c>
      <c r="I648" s="119"/>
      <c r="J648" s="151">
        <v>0</v>
      </c>
      <c r="K648" s="119">
        <f t="shared" si="31"/>
        <v>27.5</v>
      </c>
      <c r="L648" s="152">
        <f t="shared" si="32"/>
        <v>23.75</v>
      </c>
      <c r="M648" s="113"/>
    </row>
    <row r="649" spans="1:13" s="114" customFormat="1" x14ac:dyDescent="0.2">
      <c r="A649" s="106" t="s">
        <v>3070</v>
      </c>
      <c r="B649" s="105" t="s">
        <v>2189</v>
      </c>
      <c r="C649" s="105" t="s">
        <v>3091</v>
      </c>
      <c r="D649" s="149" t="s">
        <v>2190</v>
      </c>
      <c r="E649" s="105">
        <v>1</v>
      </c>
      <c r="F649" s="150" t="s">
        <v>2191</v>
      </c>
      <c r="G649" s="150" t="s">
        <v>2192</v>
      </c>
      <c r="H649" s="119">
        <f t="shared" si="30"/>
        <v>71.5</v>
      </c>
      <c r="I649" s="119"/>
      <c r="J649" s="151">
        <v>0</v>
      </c>
      <c r="K649" s="119">
        <f t="shared" si="31"/>
        <v>71.5</v>
      </c>
      <c r="L649" s="152">
        <f t="shared" si="32"/>
        <v>65</v>
      </c>
      <c r="M649" s="113"/>
    </row>
    <row r="650" spans="1:13" s="114" customFormat="1" x14ac:dyDescent="0.2">
      <c r="A650" s="106" t="s">
        <v>3070</v>
      </c>
      <c r="B650" s="105" t="s">
        <v>3092</v>
      </c>
      <c r="C650" s="105" t="s">
        <v>3091</v>
      </c>
      <c r="D650" s="149" t="s">
        <v>3093</v>
      </c>
      <c r="E650" s="105">
        <v>2</v>
      </c>
      <c r="F650" s="150" t="s">
        <v>1965</v>
      </c>
      <c r="G650" s="150" t="s">
        <v>1966</v>
      </c>
      <c r="H650" s="119">
        <f t="shared" si="30"/>
        <v>16.5</v>
      </c>
      <c r="I650" s="119"/>
      <c r="J650" s="151">
        <v>0</v>
      </c>
      <c r="K650" s="119">
        <f t="shared" si="31"/>
        <v>16.5</v>
      </c>
      <c r="L650" s="152">
        <f t="shared" si="32"/>
        <v>14.12</v>
      </c>
      <c r="M650" s="113"/>
    </row>
    <row r="651" spans="1:13" s="114" customFormat="1" x14ac:dyDescent="0.2">
      <c r="A651" s="106" t="s">
        <v>3070</v>
      </c>
      <c r="B651" s="105" t="s">
        <v>1962</v>
      </c>
      <c r="C651" s="105" t="s">
        <v>3091</v>
      </c>
      <c r="D651" s="149" t="s">
        <v>1964</v>
      </c>
      <c r="E651" s="105">
        <v>1</v>
      </c>
      <c r="F651" s="150" t="s">
        <v>1965</v>
      </c>
      <c r="G651" s="150" t="s">
        <v>1966</v>
      </c>
      <c r="H651" s="119">
        <f t="shared" si="30"/>
        <v>8.25</v>
      </c>
      <c r="I651" s="119"/>
      <c r="J651" s="151">
        <v>0</v>
      </c>
      <c r="K651" s="119">
        <f t="shared" si="31"/>
        <v>8.25</v>
      </c>
      <c r="L651" s="152">
        <f t="shared" si="32"/>
        <v>7.06</v>
      </c>
      <c r="M651" s="113"/>
    </row>
    <row r="652" spans="1:13" s="114" customFormat="1" x14ac:dyDescent="0.2">
      <c r="A652" s="106" t="s">
        <v>3070</v>
      </c>
      <c r="B652" s="105" t="s">
        <v>2367</v>
      </c>
      <c r="C652" s="105" t="s">
        <v>3094</v>
      </c>
      <c r="D652" s="149" t="s">
        <v>2369</v>
      </c>
      <c r="E652" s="105">
        <v>1</v>
      </c>
      <c r="F652" s="150" t="s">
        <v>2370</v>
      </c>
      <c r="G652" s="150" t="s">
        <v>1853</v>
      </c>
      <c r="H652" s="119">
        <f t="shared" si="30"/>
        <v>7.5</v>
      </c>
      <c r="I652" s="119"/>
      <c r="J652" s="151">
        <v>0</v>
      </c>
      <c r="K652" s="119">
        <f t="shared" si="31"/>
        <v>7.5</v>
      </c>
      <c r="L652" s="152">
        <f t="shared" si="32"/>
        <v>6.38</v>
      </c>
      <c r="M652" s="113"/>
    </row>
    <row r="653" spans="1:13" s="114" customFormat="1" x14ac:dyDescent="0.2">
      <c r="A653" s="106" t="s">
        <v>3070</v>
      </c>
      <c r="B653" s="105" t="s">
        <v>3095</v>
      </c>
      <c r="C653" s="105" t="s">
        <v>3096</v>
      </c>
      <c r="D653" s="149" t="s">
        <v>3097</v>
      </c>
      <c r="E653" s="105">
        <v>1</v>
      </c>
      <c r="F653" s="150" t="s">
        <v>1801</v>
      </c>
      <c r="G653" s="150" t="s">
        <v>1784</v>
      </c>
      <c r="H653" s="119">
        <f t="shared" si="30"/>
        <v>11</v>
      </c>
      <c r="I653" s="119"/>
      <c r="J653" s="151">
        <v>0</v>
      </c>
      <c r="K653" s="119">
        <f t="shared" si="31"/>
        <v>11</v>
      </c>
      <c r="L653" s="152">
        <f t="shared" si="32"/>
        <v>9.5</v>
      </c>
      <c r="M653" s="113"/>
    </row>
    <row r="654" spans="1:13" s="114" customFormat="1" x14ac:dyDescent="0.2">
      <c r="A654" s="153" t="s">
        <v>3070</v>
      </c>
      <c r="B654" s="154" t="s">
        <v>3098</v>
      </c>
      <c r="C654" s="154" t="s">
        <v>3099</v>
      </c>
      <c r="D654" s="155" t="s">
        <v>3100</v>
      </c>
      <c r="E654" s="154">
        <v>1</v>
      </c>
      <c r="F654" s="146"/>
      <c r="G654" s="146" t="s">
        <v>2066</v>
      </c>
      <c r="H654" s="147">
        <f t="shared" si="30"/>
        <v>37</v>
      </c>
      <c r="I654" s="147"/>
      <c r="J654" s="156">
        <v>0</v>
      </c>
      <c r="K654" s="147">
        <f t="shared" si="31"/>
        <v>37</v>
      </c>
      <c r="L654" s="148">
        <f t="shared" si="32"/>
        <v>0</v>
      </c>
      <c r="M654" s="113"/>
    </row>
    <row r="655" spans="1:13" s="114" customFormat="1" x14ac:dyDescent="0.2">
      <c r="A655" s="106" t="s">
        <v>3070</v>
      </c>
      <c r="B655" s="105" t="s">
        <v>1781</v>
      </c>
      <c r="C655" s="105" t="s">
        <v>3099</v>
      </c>
      <c r="D655" s="149" t="s">
        <v>1782</v>
      </c>
      <c r="E655" s="105">
        <v>2</v>
      </c>
      <c r="F655" s="150" t="s">
        <v>1783</v>
      </c>
      <c r="G655" s="150" t="s">
        <v>1784</v>
      </c>
      <c r="H655" s="119">
        <f t="shared" si="30"/>
        <v>22</v>
      </c>
      <c r="I655" s="119"/>
      <c r="J655" s="151">
        <v>0</v>
      </c>
      <c r="K655" s="119">
        <f t="shared" si="31"/>
        <v>22</v>
      </c>
      <c r="L655" s="152">
        <f t="shared" si="32"/>
        <v>18.760000000000002</v>
      </c>
      <c r="M655" s="113"/>
    </row>
    <row r="656" spans="1:13" s="114" customFormat="1" x14ac:dyDescent="0.2">
      <c r="A656" s="153" t="s">
        <v>3070</v>
      </c>
      <c r="B656" s="154" t="s">
        <v>3101</v>
      </c>
      <c r="C656" s="154" t="s">
        <v>3099</v>
      </c>
      <c r="D656" s="155" t="s">
        <v>3102</v>
      </c>
      <c r="E656" s="154">
        <v>1</v>
      </c>
      <c r="F656" s="146"/>
      <c r="G656" s="146" t="s">
        <v>3103</v>
      </c>
      <c r="H656" s="147">
        <f t="shared" si="30"/>
        <v>35.5</v>
      </c>
      <c r="I656" s="147"/>
      <c r="J656" s="156">
        <v>0</v>
      </c>
      <c r="K656" s="147">
        <f t="shared" si="31"/>
        <v>35.5</v>
      </c>
      <c r="L656" s="148">
        <f t="shared" si="32"/>
        <v>0</v>
      </c>
      <c r="M656" s="113"/>
    </row>
    <row r="657" spans="1:13" s="114" customFormat="1" x14ac:dyDescent="0.2">
      <c r="A657" s="106" t="s">
        <v>3070</v>
      </c>
      <c r="B657" s="105" t="s">
        <v>2721</v>
      </c>
      <c r="C657" s="105" t="s">
        <v>3104</v>
      </c>
      <c r="D657" s="149" t="s">
        <v>2722</v>
      </c>
      <c r="E657" s="105">
        <v>1</v>
      </c>
      <c r="F657" s="150" t="s">
        <v>2562</v>
      </c>
      <c r="G657" s="150" t="s">
        <v>2563</v>
      </c>
      <c r="H657" s="119">
        <f t="shared" si="30"/>
        <v>46.25</v>
      </c>
      <c r="I657" s="119"/>
      <c r="J657" s="151">
        <v>0</v>
      </c>
      <c r="K657" s="119">
        <f t="shared" si="31"/>
        <v>46.25</v>
      </c>
      <c r="L657" s="152">
        <f t="shared" si="32"/>
        <v>40.06</v>
      </c>
      <c r="M657" s="113"/>
    </row>
    <row r="658" spans="1:13" s="114" customFormat="1" x14ac:dyDescent="0.2">
      <c r="A658" s="106" t="s">
        <v>3070</v>
      </c>
      <c r="B658" s="105" t="s">
        <v>3105</v>
      </c>
      <c r="C658" s="105" t="s">
        <v>3104</v>
      </c>
      <c r="D658" s="149" t="s">
        <v>3106</v>
      </c>
      <c r="E658" s="105">
        <v>1</v>
      </c>
      <c r="F658" s="150" t="s">
        <v>3107</v>
      </c>
      <c r="G658" s="150" t="s">
        <v>2297</v>
      </c>
      <c r="H658" s="119">
        <f t="shared" si="30"/>
        <v>45</v>
      </c>
      <c r="I658" s="119"/>
      <c r="J658" s="151">
        <v>0</v>
      </c>
      <c r="K658" s="119">
        <f t="shared" si="31"/>
        <v>45</v>
      </c>
      <c r="L658" s="152">
        <f t="shared" si="32"/>
        <v>40.950000000000003</v>
      </c>
      <c r="M658" s="113"/>
    </row>
    <row r="659" spans="1:13" s="114" customFormat="1" x14ac:dyDescent="0.2">
      <c r="A659" s="106" t="s">
        <v>3070</v>
      </c>
      <c r="B659" s="105" t="s">
        <v>1924</v>
      </c>
      <c r="C659" s="105" t="s">
        <v>3104</v>
      </c>
      <c r="D659" s="149" t="s">
        <v>1926</v>
      </c>
      <c r="E659" s="105">
        <v>2</v>
      </c>
      <c r="F659" s="150" t="s">
        <v>1927</v>
      </c>
      <c r="G659" s="150" t="s">
        <v>1928</v>
      </c>
      <c r="H659" s="119">
        <f t="shared" si="30"/>
        <v>24.5</v>
      </c>
      <c r="I659" s="119"/>
      <c r="J659" s="151">
        <v>0</v>
      </c>
      <c r="K659" s="119">
        <f t="shared" si="31"/>
        <v>24.5</v>
      </c>
      <c r="L659" s="152">
        <f t="shared" si="32"/>
        <v>21.28</v>
      </c>
      <c r="M659" s="113"/>
    </row>
    <row r="660" spans="1:13" s="114" customFormat="1" x14ac:dyDescent="0.2">
      <c r="A660" s="106" t="s">
        <v>3070</v>
      </c>
      <c r="B660" s="105" t="s">
        <v>2298</v>
      </c>
      <c r="C660" s="105" t="s">
        <v>3108</v>
      </c>
      <c r="D660" s="149" t="s">
        <v>2299</v>
      </c>
      <c r="E660" s="105">
        <v>1</v>
      </c>
      <c r="F660" s="150" t="s">
        <v>2300</v>
      </c>
      <c r="G660" s="150" t="s">
        <v>1892</v>
      </c>
      <c r="H660" s="119">
        <f t="shared" si="30"/>
        <v>24</v>
      </c>
      <c r="I660" s="119"/>
      <c r="J660" s="151">
        <v>0</v>
      </c>
      <c r="K660" s="119">
        <f t="shared" si="31"/>
        <v>24</v>
      </c>
      <c r="L660" s="152">
        <f t="shared" si="32"/>
        <v>20.8</v>
      </c>
      <c r="M660" s="113"/>
    </row>
    <row r="661" spans="1:13" s="114" customFormat="1" x14ac:dyDescent="0.2">
      <c r="A661" s="106" t="s">
        <v>3070</v>
      </c>
      <c r="B661" s="105" t="s">
        <v>2115</v>
      </c>
      <c r="C661" s="105" t="s">
        <v>3109</v>
      </c>
      <c r="D661" s="149" t="s">
        <v>2117</v>
      </c>
      <c r="E661" s="105">
        <v>1</v>
      </c>
      <c r="F661" s="150" t="s">
        <v>2118</v>
      </c>
      <c r="G661" s="150" t="s">
        <v>2119</v>
      </c>
      <c r="H661" s="119">
        <f t="shared" si="30"/>
        <v>93.25</v>
      </c>
      <c r="I661" s="119"/>
      <c r="J661" s="151">
        <v>0</v>
      </c>
      <c r="K661" s="119">
        <f t="shared" si="31"/>
        <v>93.25</v>
      </c>
      <c r="L661" s="152">
        <f t="shared" si="32"/>
        <v>84.8</v>
      </c>
      <c r="M661" s="113"/>
    </row>
    <row r="662" spans="1:13" s="114" customFormat="1" x14ac:dyDescent="0.2">
      <c r="A662" s="106" t="s">
        <v>3070</v>
      </c>
      <c r="B662" s="105" t="s">
        <v>2895</v>
      </c>
      <c r="C662" s="105" t="s">
        <v>3110</v>
      </c>
      <c r="D662" s="149" t="s">
        <v>2897</v>
      </c>
      <c r="E662" s="105">
        <v>1</v>
      </c>
      <c r="F662" s="150" t="s">
        <v>2898</v>
      </c>
      <c r="G662" s="150" t="s">
        <v>2899</v>
      </c>
      <c r="H662" s="119">
        <f t="shared" si="30"/>
        <v>10.75</v>
      </c>
      <c r="I662" s="119"/>
      <c r="J662" s="151">
        <v>0</v>
      </c>
      <c r="K662" s="119">
        <f t="shared" si="31"/>
        <v>10.75</v>
      </c>
      <c r="L662" s="152">
        <f t="shared" si="32"/>
        <v>9.17</v>
      </c>
      <c r="M662" s="113"/>
    </row>
    <row r="663" spans="1:13" s="114" customFormat="1" x14ac:dyDescent="0.2">
      <c r="A663" s="106" t="s">
        <v>3070</v>
      </c>
      <c r="B663" s="105" t="s">
        <v>2884</v>
      </c>
      <c r="C663" s="105" t="s">
        <v>3111</v>
      </c>
      <c r="D663" s="149" t="s">
        <v>2886</v>
      </c>
      <c r="E663" s="105">
        <v>1</v>
      </c>
      <c r="F663" s="150" t="s">
        <v>2887</v>
      </c>
      <c r="G663" s="150" t="s">
        <v>2888</v>
      </c>
      <c r="H663" s="119">
        <f t="shared" si="30"/>
        <v>335.75</v>
      </c>
      <c r="I663" s="119"/>
      <c r="J663" s="151">
        <v>0</v>
      </c>
      <c r="K663" s="119">
        <f t="shared" si="31"/>
        <v>335.75</v>
      </c>
      <c r="L663" s="152">
        <f t="shared" si="32"/>
        <v>279.75</v>
      </c>
      <c r="M663" s="113"/>
    </row>
    <row r="664" spans="1:13" s="114" customFormat="1" x14ac:dyDescent="0.2">
      <c r="A664" s="106" t="s">
        <v>3070</v>
      </c>
      <c r="B664" s="105" t="s">
        <v>2606</v>
      </c>
      <c r="C664" s="105" t="s">
        <v>3111</v>
      </c>
      <c r="D664" s="149" t="s">
        <v>2607</v>
      </c>
      <c r="E664" s="105">
        <v>2</v>
      </c>
      <c r="F664" s="150" t="s">
        <v>2608</v>
      </c>
      <c r="G664" s="150" t="s">
        <v>2506</v>
      </c>
      <c r="H664" s="119">
        <f t="shared" si="30"/>
        <v>100</v>
      </c>
      <c r="I664" s="119"/>
      <c r="J664" s="151">
        <v>0</v>
      </c>
      <c r="K664" s="119">
        <f t="shared" si="31"/>
        <v>100</v>
      </c>
      <c r="L664" s="152">
        <f t="shared" si="32"/>
        <v>86.68</v>
      </c>
      <c r="M664" s="113"/>
    </row>
    <row r="665" spans="1:13" s="114" customFormat="1" x14ac:dyDescent="0.2">
      <c r="A665" s="106" t="s">
        <v>3070</v>
      </c>
      <c r="B665" s="105" t="s">
        <v>2115</v>
      </c>
      <c r="C665" s="105" t="s">
        <v>3111</v>
      </c>
      <c r="D665" s="149" t="s">
        <v>2117</v>
      </c>
      <c r="E665" s="105">
        <v>1</v>
      </c>
      <c r="F665" s="150" t="s">
        <v>2118</v>
      </c>
      <c r="G665" s="150" t="s">
        <v>2119</v>
      </c>
      <c r="H665" s="119">
        <f t="shared" si="30"/>
        <v>93.25</v>
      </c>
      <c r="I665" s="119"/>
      <c r="J665" s="151">
        <v>0</v>
      </c>
      <c r="K665" s="119">
        <f t="shared" si="31"/>
        <v>93.25</v>
      </c>
      <c r="L665" s="152">
        <f t="shared" si="32"/>
        <v>84.8</v>
      </c>
      <c r="M665" s="113"/>
    </row>
    <row r="666" spans="1:13" s="114" customFormat="1" x14ac:dyDescent="0.2">
      <c r="A666" s="106" t="s">
        <v>3070</v>
      </c>
      <c r="B666" s="105" t="s">
        <v>3112</v>
      </c>
      <c r="C666" s="105" t="s">
        <v>3111</v>
      </c>
      <c r="D666" s="149" t="s">
        <v>3113</v>
      </c>
      <c r="E666" s="105">
        <v>1</v>
      </c>
      <c r="F666" s="150" t="s">
        <v>3114</v>
      </c>
      <c r="G666" s="150" t="s">
        <v>3115</v>
      </c>
      <c r="H666" s="119">
        <f t="shared" si="30"/>
        <v>136.5</v>
      </c>
      <c r="I666" s="119"/>
      <c r="J666" s="151">
        <v>0</v>
      </c>
      <c r="K666" s="119">
        <f t="shared" si="31"/>
        <v>136.5</v>
      </c>
      <c r="L666" s="152">
        <f t="shared" si="32"/>
        <v>109.57</v>
      </c>
      <c r="M666" s="113"/>
    </row>
    <row r="667" spans="1:13" s="114" customFormat="1" x14ac:dyDescent="0.2">
      <c r="A667" s="106" t="s">
        <v>3070</v>
      </c>
      <c r="B667" s="105" t="s">
        <v>3116</v>
      </c>
      <c r="C667" s="105" t="s">
        <v>3111</v>
      </c>
      <c r="D667" s="149" t="s">
        <v>3117</v>
      </c>
      <c r="E667" s="105">
        <v>2</v>
      </c>
      <c r="F667" s="150" t="s">
        <v>3118</v>
      </c>
      <c r="G667" s="150" t="s">
        <v>2070</v>
      </c>
      <c r="H667" s="119">
        <f t="shared" si="30"/>
        <v>76</v>
      </c>
      <c r="I667" s="119"/>
      <c r="J667" s="151">
        <v>0</v>
      </c>
      <c r="K667" s="119">
        <f t="shared" si="31"/>
        <v>76</v>
      </c>
      <c r="L667" s="152">
        <f t="shared" si="32"/>
        <v>55.38</v>
      </c>
      <c r="M667" s="113"/>
    </row>
    <row r="668" spans="1:13" s="114" customFormat="1" x14ac:dyDescent="0.2">
      <c r="A668" s="106" t="s">
        <v>3070</v>
      </c>
      <c r="B668" s="105" t="s">
        <v>3119</v>
      </c>
      <c r="C668" s="105" t="s">
        <v>3111</v>
      </c>
      <c r="D668" s="149" t="s">
        <v>3120</v>
      </c>
      <c r="E668" s="105">
        <v>1</v>
      </c>
      <c r="F668" s="150" t="s">
        <v>3121</v>
      </c>
      <c r="G668" s="150" t="s">
        <v>3122</v>
      </c>
      <c r="H668" s="119">
        <f t="shared" si="30"/>
        <v>111.25</v>
      </c>
      <c r="I668" s="119"/>
      <c r="J668" s="151">
        <v>0</v>
      </c>
      <c r="K668" s="119">
        <f t="shared" si="31"/>
        <v>111.25</v>
      </c>
      <c r="L668" s="152">
        <f t="shared" si="32"/>
        <v>96.67</v>
      </c>
      <c r="M668" s="113"/>
    </row>
    <row r="669" spans="1:13" s="114" customFormat="1" x14ac:dyDescent="0.2">
      <c r="A669" s="106" t="s">
        <v>3070</v>
      </c>
      <c r="B669" s="105" t="s">
        <v>2872</v>
      </c>
      <c r="C669" s="105" t="s">
        <v>3123</v>
      </c>
      <c r="D669" s="149" t="s">
        <v>2873</v>
      </c>
      <c r="E669" s="105">
        <v>2</v>
      </c>
      <c r="F669" s="150" t="s">
        <v>2874</v>
      </c>
      <c r="G669" s="150" t="s">
        <v>2001</v>
      </c>
      <c r="H669" s="119">
        <f t="shared" si="30"/>
        <v>10.5</v>
      </c>
      <c r="I669" s="119"/>
      <c r="J669" s="151">
        <v>0</v>
      </c>
      <c r="K669" s="119">
        <f t="shared" si="31"/>
        <v>10.5</v>
      </c>
      <c r="L669" s="152">
        <f t="shared" si="32"/>
        <v>8.24</v>
      </c>
      <c r="M669" s="113"/>
    </row>
    <row r="670" spans="1:13" s="114" customFormat="1" x14ac:dyDescent="0.2">
      <c r="A670" s="106" t="s">
        <v>3070</v>
      </c>
      <c r="B670" s="105" t="s">
        <v>3124</v>
      </c>
      <c r="C670" s="105" t="s">
        <v>3125</v>
      </c>
      <c r="D670" s="149" t="s">
        <v>3126</v>
      </c>
      <c r="E670" s="105">
        <v>1</v>
      </c>
      <c r="F670" s="150" t="s">
        <v>3127</v>
      </c>
      <c r="G670" s="150" t="s">
        <v>1828</v>
      </c>
      <c r="H670" s="119">
        <f t="shared" si="30"/>
        <v>90</v>
      </c>
      <c r="I670" s="119"/>
      <c r="J670" s="151">
        <v>0</v>
      </c>
      <c r="K670" s="119">
        <f t="shared" si="31"/>
        <v>90</v>
      </c>
      <c r="L670" s="152">
        <f t="shared" si="32"/>
        <v>81.849999999999994</v>
      </c>
      <c r="M670" s="113"/>
    </row>
    <row r="671" spans="1:13" s="114" customFormat="1" x14ac:dyDescent="0.2">
      <c r="A671" s="106" t="s">
        <v>3070</v>
      </c>
      <c r="B671" s="105" t="s">
        <v>1810</v>
      </c>
      <c r="C671" s="105" t="s">
        <v>3128</v>
      </c>
      <c r="D671" s="149" t="s">
        <v>1811</v>
      </c>
      <c r="E671" s="105">
        <v>1</v>
      </c>
      <c r="F671" s="150" t="s">
        <v>1812</v>
      </c>
      <c r="G671" s="150" t="s">
        <v>1813</v>
      </c>
      <c r="H671" s="119">
        <f t="shared" si="30"/>
        <v>44.25</v>
      </c>
      <c r="I671" s="119"/>
      <c r="J671" s="151">
        <v>0</v>
      </c>
      <c r="K671" s="119">
        <f t="shared" si="31"/>
        <v>44.25</v>
      </c>
      <c r="L671" s="152">
        <f t="shared" si="32"/>
        <v>38.39</v>
      </c>
      <c r="M671" s="113"/>
    </row>
    <row r="672" spans="1:13" s="114" customFormat="1" x14ac:dyDescent="0.2">
      <c r="A672" s="106" t="s">
        <v>3070</v>
      </c>
      <c r="B672" s="105" t="s">
        <v>2798</v>
      </c>
      <c r="C672" s="105" t="s">
        <v>3129</v>
      </c>
      <c r="D672" s="149" t="s">
        <v>2800</v>
      </c>
      <c r="E672" s="105">
        <v>2</v>
      </c>
      <c r="F672" s="150" t="s">
        <v>2183</v>
      </c>
      <c r="G672" s="150" t="s">
        <v>2184</v>
      </c>
      <c r="H672" s="119">
        <f t="shared" si="30"/>
        <v>120</v>
      </c>
      <c r="I672" s="119"/>
      <c r="J672" s="151">
        <v>0</v>
      </c>
      <c r="K672" s="119">
        <f t="shared" si="31"/>
        <v>120</v>
      </c>
      <c r="L672" s="152">
        <f t="shared" si="32"/>
        <v>103.94</v>
      </c>
      <c r="M672" s="113"/>
    </row>
    <row r="673" spans="1:13" s="114" customFormat="1" x14ac:dyDescent="0.2">
      <c r="A673" s="106" t="s">
        <v>3070</v>
      </c>
      <c r="B673" s="105" t="s">
        <v>2018</v>
      </c>
      <c r="C673" s="105" t="s">
        <v>3130</v>
      </c>
      <c r="D673" s="149" t="s">
        <v>2019</v>
      </c>
      <c r="E673" s="105">
        <v>1</v>
      </c>
      <c r="F673" s="150" t="s">
        <v>2020</v>
      </c>
      <c r="G673" s="150" t="s">
        <v>2021</v>
      </c>
      <c r="H673" s="119">
        <f t="shared" si="30"/>
        <v>36.75</v>
      </c>
      <c r="I673" s="119"/>
      <c r="J673" s="151">
        <v>0</v>
      </c>
      <c r="K673" s="119">
        <f t="shared" si="31"/>
        <v>36.75</v>
      </c>
      <c r="L673" s="152">
        <f t="shared" si="32"/>
        <v>30.79</v>
      </c>
      <c r="M673" s="113"/>
    </row>
    <row r="674" spans="1:13" s="114" customFormat="1" x14ac:dyDescent="0.2">
      <c r="A674" s="106" t="s">
        <v>3070</v>
      </c>
      <c r="B674" s="105" t="s">
        <v>3072</v>
      </c>
      <c r="C674" s="105" t="s">
        <v>3130</v>
      </c>
      <c r="D674" s="149" t="s">
        <v>3074</v>
      </c>
      <c r="E674" s="105">
        <v>2</v>
      </c>
      <c r="F674" s="150" t="s">
        <v>3075</v>
      </c>
      <c r="G674" s="150" t="s">
        <v>3076</v>
      </c>
      <c r="H674" s="119">
        <f t="shared" si="30"/>
        <v>37.200000000000003</v>
      </c>
      <c r="I674" s="119"/>
      <c r="J674" s="151">
        <v>0</v>
      </c>
      <c r="K674" s="119">
        <f t="shared" si="31"/>
        <v>37.200000000000003</v>
      </c>
      <c r="L674" s="152">
        <f t="shared" si="32"/>
        <v>33.82</v>
      </c>
      <c r="M674" s="113"/>
    </row>
    <row r="675" spans="1:13" s="114" customFormat="1" x14ac:dyDescent="0.2">
      <c r="A675" s="106" t="s">
        <v>3070</v>
      </c>
      <c r="B675" s="105" t="s">
        <v>2323</v>
      </c>
      <c r="C675" s="105" t="s">
        <v>3131</v>
      </c>
      <c r="D675" s="149" t="s">
        <v>2325</v>
      </c>
      <c r="E675" s="105">
        <v>2</v>
      </c>
      <c r="F675" s="150" t="s">
        <v>2326</v>
      </c>
      <c r="G675" s="150" t="s">
        <v>1932</v>
      </c>
      <c r="H675" s="119">
        <f t="shared" si="30"/>
        <v>44</v>
      </c>
      <c r="I675" s="119"/>
      <c r="J675" s="151">
        <v>0</v>
      </c>
      <c r="K675" s="119">
        <f t="shared" si="31"/>
        <v>44</v>
      </c>
      <c r="L675" s="152">
        <f t="shared" si="32"/>
        <v>38.200000000000003</v>
      </c>
      <c r="M675" s="113"/>
    </row>
    <row r="676" spans="1:13" s="114" customFormat="1" x14ac:dyDescent="0.2">
      <c r="A676" s="106" t="s">
        <v>3070</v>
      </c>
      <c r="B676" s="105" t="s">
        <v>2872</v>
      </c>
      <c r="C676" s="105" t="s">
        <v>3131</v>
      </c>
      <c r="D676" s="149" t="s">
        <v>2873</v>
      </c>
      <c r="E676" s="105">
        <v>2</v>
      </c>
      <c r="F676" s="150" t="s">
        <v>2874</v>
      </c>
      <c r="G676" s="150" t="s">
        <v>2001</v>
      </c>
      <c r="H676" s="119">
        <f t="shared" si="30"/>
        <v>10.5</v>
      </c>
      <c r="I676" s="119"/>
      <c r="J676" s="151">
        <v>0</v>
      </c>
      <c r="K676" s="119">
        <f t="shared" si="31"/>
        <v>10.5</v>
      </c>
      <c r="L676" s="152">
        <f t="shared" si="32"/>
        <v>8.24</v>
      </c>
      <c r="M676" s="113"/>
    </row>
    <row r="677" spans="1:13" s="114" customFormat="1" x14ac:dyDescent="0.2">
      <c r="A677" s="106" t="s">
        <v>3070</v>
      </c>
      <c r="B677" s="105" t="s">
        <v>3072</v>
      </c>
      <c r="C677" s="105" t="s">
        <v>3131</v>
      </c>
      <c r="D677" s="149" t="s">
        <v>3074</v>
      </c>
      <c r="E677" s="105">
        <v>2</v>
      </c>
      <c r="F677" s="150" t="s">
        <v>3075</v>
      </c>
      <c r="G677" s="150" t="s">
        <v>3076</v>
      </c>
      <c r="H677" s="119">
        <f t="shared" si="30"/>
        <v>37.200000000000003</v>
      </c>
      <c r="I677" s="119"/>
      <c r="J677" s="151">
        <v>0</v>
      </c>
      <c r="K677" s="119">
        <f t="shared" si="31"/>
        <v>37.200000000000003</v>
      </c>
      <c r="L677" s="152">
        <f t="shared" si="32"/>
        <v>33.82</v>
      </c>
      <c r="M677" s="113"/>
    </row>
    <row r="678" spans="1:13" s="114" customFormat="1" x14ac:dyDescent="0.2">
      <c r="A678" s="106" t="s">
        <v>3070</v>
      </c>
      <c r="B678" s="105" t="s">
        <v>2380</v>
      </c>
      <c r="C678" s="105" t="s">
        <v>3132</v>
      </c>
      <c r="D678" s="149" t="s">
        <v>2381</v>
      </c>
      <c r="E678" s="105">
        <v>1</v>
      </c>
      <c r="F678" s="150" t="s">
        <v>2382</v>
      </c>
      <c r="G678" s="150" t="s">
        <v>2038</v>
      </c>
      <c r="H678" s="119">
        <f t="shared" si="30"/>
        <v>26.25</v>
      </c>
      <c r="I678" s="119"/>
      <c r="J678" s="151">
        <v>0</v>
      </c>
      <c r="K678" s="119">
        <f t="shared" si="31"/>
        <v>26.25</v>
      </c>
      <c r="L678" s="152">
        <f t="shared" si="32"/>
        <v>22.73</v>
      </c>
      <c r="M678" s="113"/>
    </row>
    <row r="679" spans="1:13" s="114" customFormat="1" x14ac:dyDescent="0.2">
      <c r="A679" s="106" t="s">
        <v>3070</v>
      </c>
      <c r="B679" s="105" t="s">
        <v>2902</v>
      </c>
      <c r="C679" s="105" t="s">
        <v>3132</v>
      </c>
      <c r="D679" s="149" t="s">
        <v>2904</v>
      </c>
      <c r="E679" s="105">
        <v>1</v>
      </c>
      <c r="F679" s="150" t="s">
        <v>3133</v>
      </c>
      <c r="G679" s="150" t="s">
        <v>2053</v>
      </c>
      <c r="H679" s="119">
        <f t="shared" si="30"/>
        <v>64</v>
      </c>
      <c r="I679" s="119"/>
      <c r="J679" s="151">
        <v>0</v>
      </c>
      <c r="K679" s="119">
        <f t="shared" si="31"/>
        <v>64</v>
      </c>
      <c r="L679" s="152">
        <f t="shared" si="32"/>
        <v>55.65</v>
      </c>
      <c r="M679" s="113"/>
    </row>
    <row r="680" spans="1:13" s="114" customFormat="1" x14ac:dyDescent="0.2">
      <c r="A680" s="106" t="s">
        <v>3070</v>
      </c>
      <c r="B680" s="105" t="s">
        <v>2338</v>
      </c>
      <c r="C680" s="105" t="s">
        <v>3134</v>
      </c>
      <c r="D680" s="149" t="s">
        <v>2339</v>
      </c>
      <c r="E680" s="105">
        <v>1</v>
      </c>
      <c r="F680" s="150" t="s">
        <v>1913</v>
      </c>
      <c r="G680" s="150" t="s">
        <v>2340</v>
      </c>
      <c r="H680" s="119">
        <f t="shared" si="30"/>
        <v>36.33</v>
      </c>
      <c r="I680" s="119"/>
      <c r="J680" s="151">
        <v>0</v>
      </c>
      <c r="K680" s="119">
        <f t="shared" si="31"/>
        <v>36.33</v>
      </c>
      <c r="L680" s="152">
        <f t="shared" si="32"/>
        <v>31.6</v>
      </c>
      <c r="M680" s="113"/>
    </row>
    <row r="681" spans="1:13" s="114" customFormat="1" x14ac:dyDescent="0.2">
      <c r="A681" s="106" t="s">
        <v>3070</v>
      </c>
      <c r="B681" s="105" t="s">
        <v>1850</v>
      </c>
      <c r="C681" s="105" t="s">
        <v>3134</v>
      </c>
      <c r="D681" s="149" t="s">
        <v>1851</v>
      </c>
      <c r="E681" s="105">
        <v>1</v>
      </c>
      <c r="F681" s="150" t="s">
        <v>1852</v>
      </c>
      <c r="G681" s="150" t="s">
        <v>1853</v>
      </c>
      <c r="H681" s="119">
        <f t="shared" si="30"/>
        <v>7.5</v>
      </c>
      <c r="I681" s="119"/>
      <c r="J681" s="151">
        <v>0</v>
      </c>
      <c r="K681" s="119">
        <f t="shared" si="31"/>
        <v>7.5</v>
      </c>
      <c r="L681" s="152">
        <f t="shared" si="32"/>
        <v>6.18</v>
      </c>
      <c r="M681" s="113"/>
    </row>
    <row r="682" spans="1:13" s="114" customFormat="1" x14ac:dyDescent="0.2">
      <c r="A682" s="106" t="s">
        <v>3135</v>
      </c>
      <c r="B682" s="105" t="s">
        <v>1985</v>
      </c>
      <c r="C682" s="105" t="s">
        <v>3136</v>
      </c>
      <c r="D682" s="149" t="s">
        <v>1986</v>
      </c>
      <c r="E682" s="105">
        <v>2</v>
      </c>
      <c r="F682" s="150" t="s">
        <v>1852</v>
      </c>
      <c r="G682" s="150" t="s">
        <v>1939</v>
      </c>
      <c r="H682" s="119">
        <f t="shared" si="30"/>
        <v>14.5</v>
      </c>
      <c r="I682" s="119"/>
      <c r="J682" s="151">
        <v>0</v>
      </c>
      <c r="K682" s="119">
        <f t="shared" si="31"/>
        <v>14.5</v>
      </c>
      <c r="L682" s="152">
        <f t="shared" si="32"/>
        <v>12.36</v>
      </c>
      <c r="M682" s="113"/>
    </row>
    <row r="683" spans="1:13" s="114" customFormat="1" x14ac:dyDescent="0.2">
      <c r="A683" s="106" t="s">
        <v>3135</v>
      </c>
      <c r="B683" s="105" t="s">
        <v>1781</v>
      </c>
      <c r="C683" s="105" t="s">
        <v>3136</v>
      </c>
      <c r="D683" s="149" t="s">
        <v>1782</v>
      </c>
      <c r="E683" s="105">
        <v>1</v>
      </c>
      <c r="F683" s="150" t="s">
        <v>1783</v>
      </c>
      <c r="G683" s="150" t="s">
        <v>1784</v>
      </c>
      <c r="H683" s="119">
        <f t="shared" si="30"/>
        <v>11</v>
      </c>
      <c r="I683" s="119"/>
      <c r="J683" s="151">
        <v>0</v>
      </c>
      <c r="K683" s="119">
        <f t="shared" si="31"/>
        <v>11</v>
      </c>
      <c r="L683" s="152">
        <f t="shared" si="32"/>
        <v>9.3800000000000008</v>
      </c>
      <c r="M683" s="113"/>
    </row>
    <row r="684" spans="1:13" s="114" customFormat="1" x14ac:dyDescent="0.2">
      <c r="A684" s="153" t="s">
        <v>3135</v>
      </c>
      <c r="B684" s="154" t="s">
        <v>3137</v>
      </c>
      <c r="C684" s="154" t="s">
        <v>3136</v>
      </c>
      <c r="D684" s="155" t="s">
        <v>3138</v>
      </c>
      <c r="E684" s="154">
        <v>1</v>
      </c>
      <c r="F684" s="146"/>
      <c r="G684" s="146" t="s">
        <v>3139</v>
      </c>
      <c r="H684" s="147">
        <f t="shared" si="30"/>
        <v>56.25</v>
      </c>
      <c r="I684" s="147"/>
      <c r="J684" s="156">
        <v>0</v>
      </c>
      <c r="K684" s="147">
        <f t="shared" si="31"/>
        <v>56.25</v>
      </c>
      <c r="L684" s="148">
        <f t="shared" si="32"/>
        <v>0</v>
      </c>
      <c r="M684" s="113"/>
    </row>
    <row r="685" spans="1:13" s="114" customFormat="1" x14ac:dyDescent="0.2">
      <c r="A685" s="106" t="s">
        <v>3135</v>
      </c>
      <c r="B685" s="105" t="s">
        <v>1789</v>
      </c>
      <c r="C685" s="105" t="s">
        <v>3140</v>
      </c>
      <c r="D685" s="149" t="s">
        <v>1790</v>
      </c>
      <c r="E685" s="105">
        <v>1</v>
      </c>
      <c r="F685" s="150" t="s">
        <v>1791</v>
      </c>
      <c r="G685" s="150" t="s">
        <v>1792</v>
      </c>
      <c r="H685" s="119">
        <f t="shared" si="30"/>
        <v>73</v>
      </c>
      <c r="I685" s="119"/>
      <c r="J685" s="151">
        <v>0</v>
      </c>
      <c r="K685" s="119">
        <f t="shared" si="31"/>
        <v>73</v>
      </c>
      <c r="L685" s="152">
        <f t="shared" si="32"/>
        <v>57</v>
      </c>
      <c r="M685" s="113"/>
    </row>
    <row r="686" spans="1:13" s="114" customFormat="1" x14ac:dyDescent="0.2">
      <c r="A686" s="106" t="s">
        <v>3135</v>
      </c>
      <c r="B686" s="105" t="s">
        <v>1977</v>
      </c>
      <c r="C686" s="105" t="s">
        <v>3140</v>
      </c>
      <c r="D686" s="149" t="s">
        <v>1979</v>
      </c>
      <c r="E686" s="105">
        <v>5</v>
      </c>
      <c r="F686" s="150" t="s">
        <v>1980</v>
      </c>
      <c r="G686" s="150" t="s">
        <v>1981</v>
      </c>
      <c r="H686" s="119">
        <f t="shared" si="30"/>
        <v>5</v>
      </c>
      <c r="I686" s="119"/>
      <c r="J686" s="151">
        <v>0</v>
      </c>
      <c r="K686" s="119">
        <f t="shared" si="31"/>
        <v>5</v>
      </c>
      <c r="L686" s="152">
        <f t="shared" si="32"/>
        <v>3.8</v>
      </c>
      <c r="M686" s="113"/>
    </row>
    <row r="687" spans="1:13" s="114" customFormat="1" x14ac:dyDescent="0.2">
      <c r="A687" s="106" t="s">
        <v>3135</v>
      </c>
      <c r="B687" s="105" t="s">
        <v>3095</v>
      </c>
      <c r="C687" s="105" t="s">
        <v>3141</v>
      </c>
      <c r="D687" s="149" t="s">
        <v>3097</v>
      </c>
      <c r="E687" s="105">
        <v>1</v>
      </c>
      <c r="F687" s="150" t="s">
        <v>1801</v>
      </c>
      <c r="G687" s="150" t="s">
        <v>1784</v>
      </c>
      <c r="H687" s="119">
        <f t="shared" si="30"/>
        <v>11</v>
      </c>
      <c r="I687" s="119"/>
      <c r="J687" s="151">
        <v>0</v>
      </c>
      <c r="K687" s="119">
        <f t="shared" si="31"/>
        <v>11</v>
      </c>
      <c r="L687" s="152">
        <f t="shared" si="32"/>
        <v>9.5</v>
      </c>
      <c r="M687" s="113"/>
    </row>
    <row r="688" spans="1:13" s="114" customFormat="1" x14ac:dyDescent="0.2">
      <c r="A688" s="106" t="s">
        <v>3135</v>
      </c>
      <c r="B688" s="105" t="s">
        <v>3072</v>
      </c>
      <c r="C688" s="105" t="s">
        <v>3142</v>
      </c>
      <c r="D688" s="149" t="s">
        <v>3074</v>
      </c>
      <c r="E688" s="105">
        <v>1</v>
      </c>
      <c r="F688" s="150" t="s">
        <v>3075</v>
      </c>
      <c r="G688" s="150" t="s">
        <v>3076</v>
      </c>
      <c r="H688" s="119">
        <f t="shared" si="30"/>
        <v>18.600000000000001</v>
      </c>
      <c r="I688" s="119"/>
      <c r="J688" s="151">
        <v>0</v>
      </c>
      <c r="K688" s="119">
        <f t="shared" si="31"/>
        <v>18.600000000000001</v>
      </c>
      <c r="L688" s="152">
        <f t="shared" si="32"/>
        <v>16.91</v>
      </c>
      <c r="M688" s="113"/>
    </row>
    <row r="689" spans="1:13" s="114" customFormat="1" x14ac:dyDescent="0.2">
      <c r="A689" s="106" t="s">
        <v>3135</v>
      </c>
      <c r="B689" s="105" t="s">
        <v>1937</v>
      </c>
      <c r="C689" s="105" t="s">
        <v>3142</v>
      </c>
      <c r="D689" s="149" t="s">
        <v>1938</v>
      </c>
      <c r="E689" s="105">
        <v>1</v>
      </c>
      <c r="F689" s="150" t="s">
        <v>1852</v>
      </c>
      <c r="G689" s="150" t="s">
        <v>1939</v>
      </c>
      <c r="H689" s="119">
        <f t="shared" si="30"/>
        <v>7.25</v>
      </c>
      <c r="I689" s="119"/>
      <c r="J689" s="151">
        <v>0</v>
      </c>
      <c r="K689" s="119">
        <f t="shared" si="31"/>
        <v>7.25</v>
      </c>
      <c r="L689" s="152">
        <f t="shared" si="32"/>
        <v>6.18</v>
      </c>
      <c r="M689" s="113"/>
    </row>
    <row r="690" spans="1:13" s="114" customFormat="1" x14ac:dyDescent="0.2">
      <c r="A690" s="106" t="s">
        <v>3135</v>
      </c>
      <c r="B690" s="105" t="s">
        <v>2971</v>
      </c>
      <c r="C690" s="105" t="s">
        <v>3142</v>
      </c>
      <c r="D690" s="149" t="s">
        <v>2973</v>
      </c>
      <c r="E690" s="105">
        <v>1</v>
      </c>
      <c r="F690" s="150" t="s">
        <v>2974</v>
      </c>
      <c r="G690" s="150" t="s">
        <v>2600</v>
      </c>
      <c r="H690" s="119">
        <f t="shared" si="30"/>
        <v>33.75</v>
      </c>
      <c r="I690" s="119"/>
      <c r="J690" s="151">
        <v>0</v>
      </c>
      <c r="K690" s="119">
        <f t="shared" si="31"/>
        <v>33.75</v>
      </c>
      <c r="L690" s="152">
        <f t="shared" si="32"/>
        <v>29</v>
      </c>
      <c r="M690" s="113"/>
    </row>
    <row r="691" spans="1:13" s="114" customFormat="1" x14ac:dyDescent="0.2">
      <c r="A691" s="106" t="s">
        <v>3135</v>
      </c>
      <c r="B691" s="105" t="s">
        <v>3143</v>
      </c>
      <c r="C691" s="105" t="s">
        <v>3144</v>
      </c>
      <c r="D691" s="149" t="s">
        <v>3145</v>
      </c>
      <c r="E691" s="105">
        <v>1</v>
      </c>
      <c r="F691" s="150" t="s">
        <v>2242</v>
      </c>
      <c r="G691" s="150" t="s">
        <v>3146</v>
      </c>
      <c r="H691" s="119">
        <f t="shared" si="30"/>
        <v>18.75</v>
      </c>
      <c r="I691" s="119"/>
      <c r="J691" s="151">
        <v>0</v>
      </c>
      <c r="K691" s="119">
        <f t="shared" si="31"/>
        <v>18.75</v>
      </c>
      <c r="L691" s="152">
        <f t="shared" si="32"/>
        <v>17.649999999999999</v>
      </c>
      <c r="M691" s="113"/>
    </row>
    <row r="692" spans="1:13" s="114" customFormat="1" x14ac:dyDescent="0.2">
      <c r="A692" s="106" t="s">
        <v>3135</v>
      </c>
      <c r="B692" s="105" t="s">
        <v>1924</v>
      </c>
      <c r="C692" s="105" t="s">
        <v>3144</v>
      </c>
      <c r="D692" s="149" t="s">
        <v>1926</v>
      </c>
      <c r="E692" s="105">
        <v>1</v>
      </c>
      <c r="F692" s="150" t="s">
        <v>1927</v>
      </c>
      <c r="G692" s="150" t="s">
        <v>1928</v>
      </c>
      <c r="H692" s="119">
        <f t="shared" si="30"/>
        <v>12.25</v>
      </c>
      <c r="I692" s="119"/>
      <c r="J692" s="151">
        <v>0</v>
      </c>
      <c r="K692" s="119">
        <f t="shared" si="31"/>
        <v>12.25</v>
      </c>
      <c r="L692" s="152">
        <f t="shared" si="32"/>
        <v>10.64</v>
      </c>
      <c r="M692" s="113"/>
    </row>
    <row r="693" spans="1:13" s="114" customFormat="1" x14ac:dyDescent="0.2">
      <c r="A693" s="106" t="s">
        <v>3135</v>
      </c>
      <c r="B693" s="105" t="s">
        <v>2429</v>
      </c>
      <c r="C693" s="105" t="s">
        <v>3147</v>
      </c>
      <c r="D693" s="149" t="s">
        <v>2431</v>
      </c>
      <c r="E693" s="105">
        <v>2</v>
      </c>
      <c r="F693" s="150" t="s">
        <v>2432</v>
      </c>
      <c r="G693" s="150" t="s">
        <v>2433</v>
      </c>
      <c r="H693" s="119">
        <f t="shared" si="30"/>
        <v>32</v>
      </c>
      <c r="I693" s="119"/>
      <c r="J693" s="151">
        <v>0</v>
      </c>
      <c r="K693" s="119">
        <f t="shared" si="31"/>
        <v>32</v>
      </c>
      <c r="L693" s="152">
        <f t="shared" si="32"/>
        <v>27.54</v>
      </c>
      <c r="M693" s="113"/>
    </row>
    <row r="694" spans="1:13" s="114" customFormat="1" x14ac:dyDescent="0.2">
      <c r="A694" s="106" t="s">
        <v>3135</v>
      </c>
      <c r="B694" s="105" t="s">
        <v>1789</v>
      </c>
      <c r="C694" s="105" t="s">
        <v>3148</v>
      </c>
      <c r="D694" s="149" t="s">
        <v>1790</v>
      </c>
      <c r="E694" s="105">
        <v>1</v>
      </c>
      <c r="F694" s="150" t="s">
        <v>1791</v>
      </c>
      <c r="G694" s="150" t="s">
        <v>1792</v>
      </c>
      <c r="H694" s="119">
        <f t="shared" si="30"/>
        <v>73</v>
      </c>
      <c r="I694" s="119"/>
      <c r="J694" s="151">
        <v>0</v>
      </c>
      <c r="K694" s="119">
        <f t="shared" si="31"/>
        <v>73</v>
      </c>
      <c r="L694" s="152">
        <f t="shared" si="32"/>
        <v>57</v>
      </c>
      <c r="M694" s="113"/>
    </row>
    <row r="695" spans="1:13" s="114" customFormat="1" x14ac:dyDescent="0.2">
      <c r="A695" s="106" t="s">
        <v>3135</v>
      </c>
      <c r="B695" s="105" t="s">
        <v>2680</v>
      </c>
      <c r="C695" s="105" t="s">
        <v>3148</v>
      </c>
      <c r="D695" s="149" t="s">
        <v>2681</v>
      </c>
      <c r="E695" s="105">
        <v>1</v>
      </c>
      <c r="F695" s="150" t="s">
        <v>1879</v>
      </c>
      <c r="G695" s="150" t="s">
        <v>1880</v>
      </c>
      <c r="H695" s="119">
        <f t="shared" si="30"/>
        <v>21</v>
      </c>
      <c r="I695" s="119"/>
      <c r="J695" s="151">
        <v>0</v>
      </c>
      <c r="K695" s="119">
        <f t="shared" si="31"/>
        <v>21</v>
      </c>
      <c r="L695" s="152">
        <f t="shared" si="32"/>
        <v>18.2</v>
      </c>
      <c r="M695" s="113"/>
    </row>
    <row r="696" spans="1:13" s="114" customFormat="1" x14ac:dyDescent="0.2">
      <c r="A696" s="106" t="s">
        <v>3135</v>
      </c>
      <c r="B696" s="105" t="s">
        <v>2153</v>
      </c>
      <c r="C696" s="105" t="s">
        <v>3148</v>
      </c>
      <c r="D696" s="149" t="s">
        <v>2155</v>
      </c>
      <c r="E696" s="105">
        <v>1</v>
      </c>
      <c r="F696" s="150" t="s">
        <v>2156</v>
      </c>
      <c r="G696" s="150" t="s">
        <v>2038</v>
      </c>
      <c r="H696" s="119">
        <f t="shared" si="30"/>
        <v>26.25</v>
      </c>
      <c r="I696" s="119"/>
      <c r="J696" s="151">
        <v>0</v>
      </c>
      <c r="K696" s="119">
        <f t="shared" si="31"/>
        <v>26.25</v>
      </c>
      <c r="L696" s="152">
        <f t="shared" si="32"/>
        <v>22.75</v>
      </c>
      <c r="M696" s="113"/>
    </row>
    <row r="697" spans="1:13" s="114" customFormat="1" x14ac:dyDescent="0.2">
      <c r="A697" s="106" t="s">
        <v>3135</v>
      </c>
      <c r="B697" s="105" t="s">
        <v>2530</v>
      </c>
      <c r="C697" s="105" t="s">
        <v>3149</v>
      </c>
      <c r="D697" s="149" t="s">
        <v>2532</v>
      </c>
      <c r="E697" s="105">
        <v>1</v>
      </c>
      <c r="F697" s="150" t="s">
        <v>1816</v>
      </c>
      <c r="G697" s="150" t="s">
        <v>1817</v>
      </c>
      <c r="H697" s="119">
        <f t="shared" si="30"/>
        <v>26</v>
      </c>
      <c r="I697" s="119"/>
      <c r="J697" s="151">
        <v>0</v>
      </c>
      <c r="K697" s="119">
        <f t="shared" si="31"/>
        <v>26</v>
      </c>
      <c r="L697" s="152">
        <f t="shared" si="32"/>
        <v>22.59</v>
      </c>
      <c r="M697" s="113"/>
    </row>
    <row r="698" spans="1:13" s="114" customFormat="1" x14ac:dyDescent="0.2">
      <c r="A698" s="106" t="s">
        <v>3135</v>
      </c>
      <c r="B698" s="105" t="s">
        <v>2908</v>
      </c>
      <c r="C698" s="105" t="s">
        <v>3149</v>
      </c>
      <c r="D698" s="149" t="s">
        <v>2910</v>
      </c>
      <c r="E698" s="105">
        <v>6</v>
      </c>
      <c r="F698" s="150" t="s">
        <v>1980</v>
      </c>
      <c r="G698" s="150" t="s">
        <v>1981</v>
      </c>
      <c r="H698" s="119">
        <f t="shared" si="30"/>
        <v>6</v>
      </c>
      <c r="I698" s="119"/>
      <c r="J698" s="151">
        <v>0</v>
      </c>
      <c r="K698" s="119">
        <f t="shared" si="31"/>
        <v>6</v>
      </c>
      <c r="L698" s="152">
        <f t="shared" si="32"/>
        <v>4.5600000000000005</v>
      </c>
      <c r="M698" s="113"/>
    </row>
    <row r="699" spans="1:13" s="114" customFormat="1" x14ac:dyDescent="0.2">
      <c r="A699" s="106" t="s">
        <v>3135</v>
      </c>
      <c r="B699" s="105" t="s">
        <v>2912</v>
      </c>
      <c r="C699" s="105" t="s">
        <v>3150</v>
      </c>
      <c r="D699" s="149" t="s">
        <v>2914</v>
      </c>
      <c r="E699" s="105">
        <v>1</v>
      </c>
      <c r="F699" s="150" t="s">
        <v>1895</v>
      </c>
      <c r="G699" s="150" t="s">
        <v>1896</v>
      </c>
      <c r="H699" s="119">
        <f t="shared" si="30"/>
        <v>31.5</v>
      </c>
      <c r="I699" s="119"/>
      <c r="J699" s="151">
        <v>0</v>
      </c>
      <c r="K699" s="119">
        <f t="shared" si="31"/>
        <v>31.5</v>
      </c>
      <c r="L699" s="152">
        <f t="shared" si="32"/>
        <v>27.3</v>
      </c>
      <c r="M699" s="113"/>
    </row>
    <row r="700" spans="1:13" s="114" customFormat="1" x14ac:dyDescent="0.2">
      <c r="A700" s="106" t="s">
        <v>3135</v>
      </c>
      <c r="B700" s="105" t="s">
        <v>3151</v>
      </c>
      <c r="C700" s="105" t="s">
        <v>3150</v>
      </c>
      <c r="D700" s="149" t="s">
        <v>3152</v>
      </c>
      <c r="E700" s="105">
        <v>1</v>
      </c>
      <c r="F700" s="150" t="s">
        <v>3153</v>
      </c>
      <c r="G700" s="150" t="s">
        <v>3154</v>
      </c>
      <c r="H700" s="119">
        <f t="shared" si="30"/>
        <v>25</v>
      </c>
      <c r="I700" s="119"/>
      <c r="J700" s="151">
        <v>0</v>
      </c>
      <c r="K700" s="119">
        <f t="shared" si="31"/>
        <v>25</v>
      </c>
      <c r="L700" s="152">
        <f t="shared" si="32"/>
        <v>21.6</v>
      </c>
      <c r="M700" s="113"/>
    </row>
    <row r="701" spans="1:13" s="114" customFormat="1" x14ac:dyDescent="0.2">
      <c r="A701" s="106" t="s">
        <v>3135</v>
      </c>
      <c r="B701" s="105" t="s">
        <v>2665</v>
      </c>
      <c r="C701" s="105" t="s">
        <v>3155</v>
      </c>
      <c r="D701" s="149" t="s">
        <v>2667</v>
      </c>
      <c r="E701" s="105">
        <v>1</v>
      </c>
      <c r="F701" s="150" t="s">
        <v>2668</v>
      </c>
      <c r="G701" s="150" t="s">
        <v>2669</v>
      </c>
      <c r="H701" s="119">
        <f t="shared" si="30"/>
        <v>21.75</v>
      </c>
      <c r="I701" s="119"/>
      <c r="J701" s="151">
        <v>0</v>
      </c>
      <c r="K701" s="119">
        <f t="shared" si="31"/>
        <v>21.75</v>
      </c>
      <c r="L701" s="152">
        <f t="shared" si="32"/>
        <v>18.57</v>
      </c>
      <c r="M701" s="113"/>
    </row>
    <row r="702" spans="1:13" s="114" customFormat="1" x14ac:dyDescent="0.2">
      <c r="A702" s="106" t="s">
        <v>3135</v>
      </c>
      <c r="B702" s="105" t="s">
        <v>2298</v>
      </c>
      <c r="C702" s="105" t="s">
        <v>3155</v>
      </c>
      <c r="D702" s="149" t="s">
        <v>2299</v>
      </c>
      <c r="E702" s="105">
        <v>3</v>
      </c>
      <c r="F702" s="150" t="s">
        <v>2300</v>
      </c>
      <c r="G702" s="150" t="s">
        <v>1892</v>
      </c>
      <c r="H702" s="119">
        <f t="shared" si="30"/>
        <v>72</v>
      </c>
      <c r="I702" s="119"/>
      <c r="J702" s="151">
        <v>0</v>
      </c>
      <c r="K702" s="119">
        <f t="shared" si="31"/>
        <v>72</v>
      </c>
      <c r="L702" s="152">
        <f t="shared" si="32"/>
        <v>62.400000000000006</v>
      </c>
      <c r="M702" s="113"/>
    </row>
    <row r="703" spans="1:13" s="114" customFormat="1" x14ac:dyDescent="0.2">
      <c r="A703" s="106" t="s">
        <v>3135</v>
      </c>
      <c r="B703" s="105" t="s">
        <v>2220</v>
      </c>
      <c r="C703" s="105" t="s">
        <v>3155</v>
      </c>
      <c r="D703" s="149" t="s">
        <v>2222</v>
      </c>
      <c r="E703" s="105">
        <v>1</v>
      </c>
      <c r="F703" s="150" t="s">
        <v>2223</v>
      </c>
      <c r="G703" s="150" t="s">
        <v>2224</v>
      </c>
      <c r="H703" s="119">
        <f t="shared" si="30"/>
        <v>41</v>
      </c>
      <c r="I703" s="119"/>
      <c r="J703" s="151">
        <v>0</v>
      </c>
      <c r="K703" s="119">
        <f t="shared" si="31"/>
        <v>41</v>
      </c>
      <c r="L703" s="152">
        <f t="shared" si="32"/>
        <v>35.15</v>
      </c>
      <c r="M703" s="113"/>
    </row>
    <row r="704" spans="1:13" s="114" customFormat="1" x14ac:dyDescent="0.2">
      <c r="A704" s="153" t="s">
        <v>3135</v>
      </c>
      <c r="B704" s="154" t="s">
        <v>2170</v>
      </c>
      <c r="C704" s="154" t="s">
        <v>3155</v>
      </c>
      <c r="D704" s="155" t="s">
        <v>2171</v>
      </c>
      <c r="E704" s="154">
        <v>2</v>
      </c>
      <c r="F704" s="146"/>
      <c r="G704" s="146" t="s">
        <v>2172</v>
      </c>
      <c r="H704" s="147">
        <f t="shared" si="30"/>
        <v>95</v>
      </c>
      <c r="I704" s="147"/>
      <c r="J704" s="156">
        <v>0</v>
      </c>
      <c r="K704" s="147">
        <f t="shared" si="31"/>
        <v>95</v>
      </c>
      <c r="L704" s="148">
        <f t="shared" si="32"/>
        <v>0</v>
      </c>
      <c r="M704" s="113"/>
    </row>
    <row r="705" spans="1:13" s="114" customFormat="1" x14ac:dyDescent="0.2">
      <c r="A705" s="106" t="s">
        <v>3135</v>
      </c>
      <c r="B705" s="105" t="s">
        <v>2694</v>
      </c>
      <c r="C705" s="105" t="s">
        <v>3155</v>
      </c>
      <c r="D705" s="149" t="s">
        <v>2695</v>
      </c>
      <c r="E705" s="105">
        <v>1</v>
      </c>
      <c r="F705" s="150" t="s">
        <v>2696</v>
      </c>
      <c r="G705" s="150" t="s">
        <v>2697</v>
      </c>
      <c r="H705" s="119">
        <f t="shared" si="30"/>
        <v>74.25</v>
      </c>
      <c r="I705" s="119"/>
      <c r="J705" s="151">
        <v>0</v>
      </c>
      <c r="K705" s="119">
        <f t="shared" si="31"/>
        <v>74.25</v>
      </c>
      <c r="L705" s="152">
        <f t="shared" si="32"/>
        <v>64.489999999999995</v>
      </c>
      <c r="M705" s="113"/>
    </row>
    <row r="706" spans="1:13" s="114" customFormat="1" x14ac:dyDescent="0.2">
      <c r="A706" s="106" t="s">
        <v>3135</v>
      </c>
      <c r="B706" s="105" t="s">
        <v>2173</v>
      </c>
      <c r="C706" s="105" t="s">
        <v>3155</v>
      </c>
      <c r="D706" s="149" t="s">
        <v>2175</v>
      </c>
      <c r="E706" s="105">
        <v>1</v>
      </c>
      <c r="F706" s="150" t="s">
        <v>2176</v>
      </c>
      <c r="G706" s="150" t="s">
        <v>2177</v>
      </c>
      <c r="H706" s="119">
        <f t="shared" si="30"/>
        <v>161</v>
      </c>
      <c r="I706" s="119"/>
      <c r="J706" s="151">
        <v>0</v>
      </c>
      <c r="K706" s="119">
        <f t="shared" si="31"/>
        <v>161</v>
      </c>
      <c r="L706" s="152">
        <f t="shared" si="32"/>
        <v>140</v>
      </c>
      <c r="M706" s="113"/>
    </row>
    <row r="707" spans="1:13" s="114" customFormat="1" x14ac:dyDescent="0.2">
      <c r="A707" s="106" t="s">
        <v>3135</v>
      </c>
      <c r="B707" s="105" t="s">
        <v>2503</v>
      </c>
      <c r="C707" s="105" t="s">
        <v>3155</v>
      </c>
      <c r="D707" s="149" t="s">
        <v>2505</v>
      </c>
      <c r="E707" s="105">
        <v>3</v>
      </c>
      <c r="F707" s="150" t="s">
        <v>2067</v>
      </c>
      <c r="G707" s="150" t="s">
        <v>2506</v>
      </c>
      <c r="H707" s="119">
        <f t="shared" si="30"/>
        <v>150</v>
      </c>
      <c r="I707" s="119"/>
      <c r="J707" s="151">
        <v>0</v>
      </c>
      <c r="K707" s="119">
        <f t="shared" si="31"/>
        <v>150</v>
      </c>
      <c r="L707" s="152">
        <f t="shared" si="32"/>
        <v>128.25</v>
      </c>
      <c r="M707" s="113"/>
    </row>
    <row r="708" spans="1:13" s="114" customFormat="1" x14ac:dyDescent="0.2">
      <c r="A708" s="106" t="s">
        <v>3135</v>
      </c>
      <c r="B708" s="105" t="s">
        <v>2593</v>
      </c>
      <c r="C708" s="105" t="s">
        <v>3155</v>
      </c>
      <c r="D708" s="149" t="s">
        <v>2594</v>
      </c>
      <c r="E708" s="105">
        <v>14</v>
      </c>
      <c r="F708" s="150" t="s">
        <v>2595</v>
      </c>
      <c r="G708" s="150" t="s">
        <v>2596</v>
      </c>
      <c r="H708" s="119">
        <f t="shared" si="30"/>
        <v>605.5</v>
      </c>
      <c r="I708" s="119"/>
      <c r="J708" s="151">
        <v>0</v>
      </c>
      <c r="K708" s="119">
        <f t="shared" si="31"/>
        <v>605.5</v>
      </c>
      <c r="L708" s="152">
        <f t="shared" si="32"/>
        <v>524.30000000000007</v>
      </c>
      <c r="M708" s="113"/>
    </row>
    <row r="709" spans="1:13" s="114" customFormat="1" x14ac:dyDescent="0.2">
      <c r="A709" s="106" t="s">
        <v>3135</v>
      </c>
      <c r="B709" s="105" t="s">
        <v>2245</v>
      </c>
      <c r="C709" s="105" t="s">
        <v>3155</v>
      </c>
      <c r="D709" s="149" t="s">
        <v>2246</v>
      </c>
      <c r="E709" s="105">
        <v>16</v>
      </c>
      <c r="F709" s="150" t="s">
        <v>2247</v>
      </c>
      <c r="G709" s="150" t="s">
        <v>2248</v>
      </c>
      <c r="H709" s="119">
        <f t="shared" si="30"/>
        <v>88</v>
      </c>
      <c r="I709" s="119"/>
      <c r="J709" s="151">
        <v>0</v>
      </c>
      <c r="K709" s="119">
        <f t="shared" si="31"/>
        <v>88</v>
      </c>
      <c r="L709" s="152">
        <f t="shared" si="32"/>
        <v>75.84</v>
      </c>
      <c r="M709" s="113"/>
    </row>
    <row r="710" spans="1:13" s="114" customFormat="1" x14ac:dyDescent="0.2">
      <c r="A710" s="106" t="s">
        <v>3135</v>
      </c>
      <c r="B710" s="105" t="s">
        <v>2878</v>
      </c>
      <c r="C710" s="105" t="s">
        <v>3155</v>
      </c>
      <c r="D710" s="149" t="s">
        <v>2880</v>
      </c>
      <c r="E710" s="105">
        <v>1</v>
      </c>
      <c r="F710" s="150" t="s">
        <v>2881</v>
      </c>
      <c r="G710" s="150" t="s">
        <v>2882</v>
      </c>
      <c r="H710" s="119">
        <f t="shared" ref="H710:H773" si="33">E710*G710</f>
        <v>70</v>
      </c>
      <c r="I710" s="119"/>
      <c r="J710" s="151">
        <v>0</v>
      </c>
      <c r="K710" s="119">
        <f t="shared" ref="K710:K773" si="34">H710+I710-J710</f>
        <v>70</v>
      </c>
      <c r="L710" s="152">
        <f t="shared" ref="L710:L773" si="35">E710*F710</f>
        <v>60.4</v>
      </c>
      <c r="M710" s="113"/>
    </row>
    <row r="711" spans="1:13" s="114" customFormat="1" x14ac:dyDescent="0.2">
      <c r="A711" s="106" t="s">
        <v>3135</v>
      </c>
      <c r="B711" s="105" t="s">
        <v>2293</v>
      </c>
      <c r="C711" s="105" t="s">
        <v>3156</v>
      </c>
      <c r="D711" s="149" t="s">
        <v>2295</v>
      </c>
      <c r="E711" s="105">
        <v>1</v>
      </c>
      <c r="F711" s="150" t="s">
        <v>2296</v>
      </c>
      <c r="G711" s="150" t="s">
        <v>2297</v>
      </c>
      <c r="H711" s="119">
        <f t="shared" si="33"/>
        <v>45</v>
      </c>
      <c r="I711" s="119"/>
      <c r="J711" s="151">
        <v>0</v>
      </c>
      <c r="K711" s="119">
        <f t="shared" si="34"/>
        <v>45</v>
      </c>
      <c r="L711" s="152">
        <f t="shared" si="35"/>
        <v>27.84</v>
      </c>
      <c r="M711" s="113"/>
    </row>
    <row r="712" spans="1:13" s="114" customFormat="1" x14ac:dyDescent="0.2">
      <c r="A712" s="106" t="s">
        <v>3135</v>
      </c>
      <c r="B712" s="105" t="s">
        <v>2210</v>
      </c>
      <c r="C712" s="105" t="s">
        <v>3156</v>
      </c>
      <c r="D712" s="149" t="s">
        <v>2211</v>
      </c>
      <c r="E712" s="105">
        <v>2</v>
      </c>
      <c r="F712" s="150" t="s">
        <v>2212</v>
      </c>
      <c r="G712" s="150" t="s">
        <v>2213</v>
      </c>
      <c r="H712" s="119">
        <f t="shared" si="33"/>
        <v>30.5</v>
      </c>
      <c r="I712" s="119"/>
      <c r="J712" s="151">
        <v>0</v>
      </c>
      <c r="K712" s="119">
        <f t="shared" si="34"/>
        <v>30.5</v>
      </c>
      <c r="L712" s="152">
        <f t="shared" si="35"/>
        <v>26.2</v>
      </c>
      <c r="M712" s="113"/>
    </row>
    <row r="713" spans="1:13" s="114" customFormat="1" x14ac:dyDescent="0.2">
      <c r="A713" s="106" t="s">
        <v>3135</v>
      </c>
      <c r="B713" s="105" t="s">
        <v>2521</v>
      </c>
      <c r="C713" s="105" t="s">
        <v>3156</v>
      </c>
      <c r="D713" s="149" t="s">
        <v>2522</v>
      </c>
      <c r="E713" s="105">
        <v>12</v>
      </c>
      <c r="F713" s="150" t="s">
        <v>2523</v>
      </c>
      <c r="G713" s="150" t="s">
        <v>1939</v>
      </c>
      <c r="H713" s="119">
        <f t="shared" si="33"/>
        <v>87</v>
      </c>
      <c r="I713" s="119"/>
      <c r="J713" s="151">
        <v>0</v>
      </c>
      <c r="K713" s="119">
        <f t="shared" si="34"/>
        <v>87</v>
      </c>
      <c r="L713" s="152">
        <f t="shared" si="35"/>
        <v>72.239999999999995</v>
      </c>
      <c r="M713" s="113"/>
    </row>
    <row r="714" spans="1:13" s="114" customFormat="1" x14ac:dyDescent="0.2">
      <c r="A714" s="106" t="s">
        <v>3135</v>
      </c>
      <c r="B714" s="105" t="s">
        <v>2686</v>
      </c>
      <c r="C714" s="105" t="s">
        <v>3156</v>
      </c>
      <c r="D714" s="149" t="s">
        <v>2687</v>
      </c>
      <c r="E714" s="105">
        <v>1</v>
      </c>
      <c r="F714" s="150" t="s">
        <v>2688</v>
      </c>
      <c r="G714" s="150" t="s">
        <v>2689</v>
      </c>
      <c r="H714" s="119">
        <f t="shared" si="33"/>
        <v>60.25</v>
      </c>
      <c r="I714" s="119"/>
      <c r="J714" s="151">
        <v>0</v>
      </c>
      <c r="K714" s="119">
        <f t="shared" si="34"/>
        <v>60.25</v>
      </c>
      <c r="L714" s="152">
        <f t="shared" si="35"/>
        <v>51</v>
      </c>
      <c r="M714" s="113"/>
    </row>
    <row r="715" spans="1:13" s="114" customFormat="1" x14ac:dyDescent="0.2">
      <c r="A715" s="106" t="s">
        <v>3135</v>
      </c>
      <c r="B715" s="105" t="s">
        <v>2220</v>
      </c>
      <c r="C715" s="105" t="s">
        <v>3156</v>
      </c>
      <c r="D715" s="149" t="s">
        <v>2222</v>
      </c>
      <c r="E715" s="105">
        <v>2</v>
      </c>
      <c r="F715" s="150" t="s">
        <v>2223</v>
      </c>
      <c r="G715" s="150" t="s">
        <v>2224</v>
      </c>
      <c r="H715" s="119">
        <f t="shared" si="33"/>
        <v>82</v>
      </c>
      <c r="I715" s="119"/>
      <c r="J715" s="151">
        <v>0</v>
      </c>
      <c r="K715" s="119">
        <f t="shared" si="34"/>
        <v>82</v>
      </c>
      <c r="L715" s="152">
        <f t="shared" si="35"/>
        <v>70.3</v>
      </c>
      <c r="M715" s="113"/>
    </row>
    <row r="716" spans="1:13" s="114" customFormat="1" x14ac:dyDescent="0.2">
      <c r="A716" s="106" t="s">
        <v>3135</v>
      </c>
      <c r="B716" s="105" t="s">
        <v>2584</v>
      </c>
      <c r="C716" s="105" t="s">
        <v>3157</v>
      </c>
      <c r="D716" s="149" t="s">
        <v>2585</v>
      </c>
      <c r="E716" s="105">
        <v>2</v>
      </c>
      <c r="F716" s="150" t="s">
        <v>2586</v>
      </c>
      <c r="G716" s="150" t="s">
        <v>1910</v>
      </c>
      <c r="H716" s="119">
        <f t="shared" si="33"/>
        <v>41.5</v>
      </c>
      <c r="I716" s="119"/>
      <c r="J716" s="151">
        <v>0</v>
      </c>
      <c r="K716" s="119">
        <f t="shared" si="34"/>
        <v>41.5</v>
      </c>
      <c r="L716" s="152">
        <f t="shared" si="35"/>
        <v>35.799999999999997</v>
      </c>
      <c r="M716" s="113"/>
    </row>
    <row r="717" spans="1:13" s="114" customFormat="1" x14ac:dyDescent="0.2">
      <c r="A717" s="106" t="s">
        <v>3135</v>
      </c>
      <c r="B717" s="105" t="s">
        <v>3158</v>
      </c>
      <c r="C717" s="105" t="s">
        <v>3157</v>
      </c>
      <c r="D717" s="149" t="s">
        <v>3159</v>
      </c>
      <c r="E717" s="105">
        <v>1</v>
      </c>
      <c r="F717" s="150" t="s">
        <v>3160</v>
      </c>
      <c r="G717" s="150" t="s">
        <v>3161</v>
      </c>
      <c r="H717" s="119">
        <f t="shared" si="33"/>
        <v>1334.5</v>
      </c>
      <c r="I717" s="119"/>
      <c r="J717" s="151">
        <v>0</v>
      </c>
      <c r="K717" s="119">
        <f t="shared" si="34"/>
        <v>1334.5</v>
      </c>
      <c r="L717" s="152">
        <f t="shared" si="35"/>
        <v>1160.3499999999999</v>
      </c>
      <c r="M717" s="113"/>
    </row>
    <row r="718" spans="1:13" s="114" customFormat="1" x14ac:dyDescent="0.2">
      <c r="A718" s="106" t="s">
        <v>3135</v>
      </c>
      <c r="B718" s="105" t="s">
        <v>3162</v>
      </c>
      <c r="C718" s="105" t="s">
        <v>3163</v>
      </c>
      <c r="D718" s="149" t="s">
        <v>3164</v>
      </c>
      <c r="E718" s="105">
        <v>1</v>
      </c>
      <c r="F718" s="150" t="s">
        <v>2229</v>
      </c>
      <c r="G718" s="150" t="s">
        <v>3165</v>
      </c>
      <c r="H718" s="119">
        <f t="shared" si="33"/>
        <v>22.5</v>
      </c>
      <c r="I718" s="119"/>
      <c r="J718" s="151">
        <v>0</v>
      </c>
      <c r="K718" s="119">
        <f t="shared" si="34"/>
        <v>22.5</v>
      </c>
      <c r="L718" s="152">
        <f t="shared" si="35"/>
        <v>19.47</v>
      </c>
      <c r="M718" s="113"/>
    </row>
    <row r="719" spans="1:13" s="114" customFormat="1" x14ac:dyDescent="0.2">
      <c r="A719" s="106" t="s">
        <v>3135</v>
      </c>
      <c r="B719" s="105" t="s">
        <v>2233</v>
      </c>
      <c r="C719" s="105" t="s">
        <v>3163</v>
      </c>
      <c r="D719" s="149" t="s">
        <v>2235</v>
      </c>
      <c r="E719" s="105">
        <v>1</v>
      </c>
      <c r="F719" s="150" t="s">
        <v>2087</v>
      </c>
      <c r="G719" s="150" t="s">
        <v>2088</v>
      </c>
      <c r="H719" s="119">
        <f t="shared" si="33"/>
        <v>13</v>
      </c>
      <c r="I719" s="119"/>
      <c r="J719" s="151">
        <v>0</v>
      </c>
      <c r="K719" s="119">
        <f t="shared" si="34"/>
        <v>13</v>
      </c>
      <c r="L719" s="152">
        <f t="shared" si="35"/>
        <v>11.17</v>
      </c>
      <c r="M719" s="113"/>
    </row>
    <row r="720" spans="1:13" s="114" customFormat="1" x14ac:dyDescent="0.2">
      <c r="A720" s="106" t="s">
        <v>3135</v>
      </c>
      <c r="B720" s="105" t="s">
        <v>2639</v>
      </c>
      <c r="C720" s="105" t="s">
        <v>3163</v>
      </c>
      <c r="D720" s="149" t="s">
        <v>2640</v>
      </c>
      <c r="E720" s="105">
        <v>1</v>
      </c>
      <c r="F720" s="150" t="s">
        <v>2641</v>
      </c>
      <c r="G720" s="150" t="s">
        <v>2642</v>
      </c>
      <c r="H720" s="119">
        <f t="shared" si="33"/>
        <v>19.75</v>
      </c>
      <c r="I720" s="119"/>
      <c r="J720" s="151">
        <v>0</v>
      </c>
      <c r="K720" s="119">
        <f t="shared" si="34"/>
        <v>19.75</v>
      </c>
      <c r="L720" s="152">
        <f t="shared" si="35"/>
        <v>17.059999999999999</v>
      </c>
      <c r="M720" s="113"/>
    </row>
    <row r="721" spans="1:13" s="114" customFormat="1" x14ac:dyDescent="0.2">
      <c r="A721" s="106" t="s">
        <v>3135</v>
      </c>
      <c r="B721" s="105" t="s">
        <v>2082</v>
      </c>
      <c r="C721" s="105" t="s">
        <v>3163</v>
      </c>
      <c r="D721" s="149" t="s">
        <v>2083</v>
      </c>
      <c r="E721" s="105">
        <v>1</v>
      </c>
      <c r="F721" s="150" t="s">
        <v>2084</v>
      </c>
      <c r="G721" s="150" t="s">
        <v>1928</v>
      </c>
      <c r="H721" s="119">
        <f t="shared" si="33"/>
        <v>12.25</v>
      </c>
      <c r="I721" s="119"/>
      <c r="J721" s="151">
        <v>0</v>
      </c>
      <c r="K721" s="119">
        <f t="shared" si="34"/>
        <v>12.25</v>
      </c>
      <c r="L721" s="152">
        <f t="shared" si="35"/>
        <v>10.199999999999999</v>
      </c>
      <c r="M721" s="113"/>
    </row>
    <row r="722" spans="1:13" s="114" customFormat="1" x14ac:dyDescent="0.2">
      <c r="A722" s="106" t="s">
        <v>3135</v>
      </c>
      <c r="B722" s="105" t="s">
        <v>2089</v>
      </c>
      <c r="C722" s="105" t="s">
        <v>3163</v>
      </c>
      <c r="D722" s="149" t="s">
        <v>2090</v>
      </c>
      <c r="E722" s="105">
        <v>2</v>
      </c>
      <c r="F722" s="150" t="s">
        <v>1980</v>
      </c>
      <c r="G722" s="150" t="s">
        <v>1981</v>
      </c>
      <c r="H722" s="119">
        <f t="shared" si="33"/>
        <v>2</v>
      </c>
      <c r="I722" s="119"/>
      <c r="J722" s="151">
        <v>0</v>
      </c>
      <c r="K722" s="119">
        <f t="shared" si="34"/>
        <v>2</v>
      </c>
      <c r="L722" s="152">
        <f t="shared" si="35"/>
        <v>1.52</v>
      </c>
      <c r="M722" s="113"/>
    </row>
    <row r="723" spans="1:13" s="114" customFormat="1" x14ac:dyDescent="0.2">
      <c r="A723" s="153" t="s">
        <v>3135</v>
      </c>
      <c r="B723" s="154" t="s">
        <v>1902</v>
      </c>
      <c r="C723" s="154" t="s">
        <v>3166</v>
      </c>
      <c r="D723" s="155" t="s">
        <v>1903</v>
      </c>
      <c r="E723" s="154">
        <v>1</v>
      </c>
      <c r="F723" s="146"/>
      <c r="G723" s="146" t="s">
        <v>1904</v>
      </c>
      <c r="H723" s="147">
        <f t="shared" si="33"/>
        <v>19.25</v>
      </c>
      <c r="I723" s="147"/>
      <c r="J723" s="156">
        <v>0</v>
      </c>
      <c r="K723" s="147">
        <f t="shared" si="34"/>
        <v>19.25</v>
      </c>
      <c r="L723" s="148">
        <f t="shared" si="35"/>
        <v>0</v>
      </c>
      <c r="M723" s="113"/>
    </row>
    <row r="724" spans="1:13" s="114" customFormat="1" x14ac:dyDescent="0.2">
      <c r="A724" s="106" t="s">
        <v>3135</v>
      </c>
      <c r="B724" s="105" t="s">
        <v>3030</v>
      </c>
      <c r="C724" s="105" t="s">
        <v>3166</v>
      </c>
      <c r="D724" s="149" t="s">
        <v>3032</v>
      </c>
      <c r="E724" s="105">
        <v>1</v>
      </c>
      <c r="F724" s="150" t="s">
        <v>3033</v>
      </c>
      <c r="G724" s="150" t="s">
        <v>1880</v>
      </c>
      <c r="H724" s="119">
        <f t="shared" si="33"/>
        <v>21</v>
      </c>
      <c r="I724" s="119"/>
      <c r="J724" s="151">
        <v>0</v>
      </c>
      <c r="K724" s="119">
        <f t="shared" si="34"/>
        <v>21</v>
      </c>
      <c r="L724" s="152">
        <f t="shared" si="35"/>
        <v>18.25</v>
      </c>
      <c r="M724" s="113"/>
    </row>
    <row r="725" spans="1:13" s="114" customFormat="1" x14ac:dyDescent="0.2">
      <c r="A725" s="106" t="s">
        <v>3135</v>
      </c>
      <c r="B725" s="105" t="s">
        <v>2908</v>
      </c>
      <c r="C725" s="105" t="s">
        <v>3167</v>
      </c>
      <c r="D725" s="149" t="s">
        <v>2910</v>
      </c>
      <c r="E725" s="105">
        <v>5</v>
      </c>
      <c r="F725" s="150" t="s">
        <v>1980</v>
      </c>
      <c r="G725" s="150" t="s">
        <v>1981</v>
      </c>
      <c r="H725" s="119">
        <f t="shared" si="33"/>
        <v>5</v>
      </c>
      <c r="I725" s="119"/>
      <c r="J725" s="151">
        <v>0</v>
      </c>
      <c r="K725" s="119">
        <f t="shared" si="34"/>
        <v>5</v>
      </c>
      <c r="L725" s="152">
        <f t="shared" si="35"/>
        <v>3.8</v>
      </c>
      <c r="M725" s="113"/>
    </row>
    <row r="726" spans="1:13" s="114" customFormat="1" x14ac:dyDescent="0.2">
      <c r="A726" s="106" t="s">
        <v>1725</v>
      </c>
      <c r="B726" s="105" t="s">
        <v>2367</v>
      </c>
      <c r="C726" s="105" t="s">
        <v>3168</v>
      </c>
      <c r="D726" s="149" t="s">
        <v>2369</v>
      </c>
      <c r="E726" s="105">
        <v>6</v>
      </c>
      <c r="F726" s="150" t="s">
        <v>2370</v>
      </c>
      <c r="G726" s="150" t="s">
        <v>1853</v>
      </c>
      <c r="H726" s="119">
        <f t="shared" si="33"/>
        <v>45</v>
      </c>
      <c r="I726" s="119"/>
      <c r="J726" s="151">
        <v>0</v>
      </c>
      <c r="K726" s="119">
        <f t="shared" si="34"/>
        <v>45</v>
      </c>
      <c r="L726" s="152">
        <f t="shared" si="35"/>
        <v>38.28</v>
      </c>
      <c r="M726" s="113"/>
    </row>
    <row r="727" spans="1:13" s="114" customFormat="1" x14ac:dyDescent="0.2">
      <c r="A727" s="106" t="s">
        <v>1725</v>
      </c>
      <c r="B727" s="105" t="s">
        <v>3169</v>
      </c>
      <c r="C727" s="105" t="s">
        <v>3168</v>
      </c>
      <c r="D727" s="149" t="s">
        <v>3170</v>
      </c>
      <c r="E727" s="105">
        <v>6</v>
      </c>
      <c r="F727" s="150" t="s">
        <v>2803</v>
      </c>
      <c r="G727" s="150" t="s">
        <v>2804</v>
      </c>
      <c r="H727" s="119">
        <f t="shared" si="33"/>
        <v>37.5</v>
      </c>
      <c r="I727" s="119"/>
      <c r="J727" s="151">
        <v>0</v>
      </c>
      <c r="K727" s="119">
        <f t="shared" si="34"/>
        <v>37.5</v>
      </c>
      <c r="L727" s="152">
        <f t="shared" si="35"/>
        <v>32.46</v>
      </c>
      <c r="M727" s="113"/>
    </row>
    <row r="728" spans="1:13" s="114" customFormat="1" x14ac:dyDescent="0.2">
      <c r="A728" s="106" t="s">
        <v>1725</v>
      </c>
      <c r="B728" s="105" t="s">
        <v>3171</v>
      </c>
      <c r="C728" s="105" t="s">
        <v>3172</v>
      </c>
      <c r="D728" s="149" t="s">
        <v>3173</v>
      </c>
      <c r="E728" s="105">
        <v>1</v>
      </c>
      <c r="F728" s="150" t="s">
        <v>2739</v>
      </c>
      <c r="G728" s="150" t="s">
        <v>3174</v>
      </c>
      <c r="H728" s="119">
        <f t="shared" si="33"/>
        <v>29.5</v>
      </c>
      <c r="I728" s="119"/>
      <c r="J728" s="151">
        <v>0</v>
      </c>
      <c r="K728" s="119">
        <f t="shared" si="34"/>
        <v>29.5</v>
      </c>
      <c r="L728" s="152">
        <f t="shared" si="35"/>
        <v>25.5</v>
      </c>
      <c r="M728" s="113"/>
    </row>
    <row r="729" spans="1:13" s="114" customFormat="1" x14ac:dyDescent="0.2">
      <c r="A729" s="106" t="s">
        <v>1725</v>
      </c>
      <c r="B729" s="105" t="s">
        <v>1977</v>
      </c>
      <c r="C729" s="105" t="s">
        <v>3175</v>
      </c>
      <c r="D729" s="149" t="s">
        <v>1979</v>
      </c>
      <c r="E729" s="105">
        <v>2</v>
      </c>
      <c r="F729" s="150" t="s">
        <v>1980</v>
      </c>
      <c r="G729" s="150" t="s">
        <v>1981</v>
      </c>
      <c r="H729" s="119">
        <f t="shared" si="33"/>
        <v>2</v>
      </c>
      <c r="I729" s="119"/>
      <c r="J729" s="151">
        <v>0</v>
      </c>
      <c r="K729" s="119">
        <f t="shared" si="34"/>
        <v>2</v>
      </c>
      <c r="L729" s="152">
        <f t="shared" si="35"/>
        <v>1.52</v>
      </c>
      <c r="M729" s="113"/>
    </row>
    <row r="730" spans="1:13" s="114" customFormat="1" x14ac:dyDescent="0.2">
      <c r="A730" s="106" t="s">
        <v>1725</v>
      </c>
      <c r="B730" s="105" t="s">
        <v>1806</v>
      </c>
      <c r="C730" s="105" t="s">
        <v>3176</v>
      </c>
      <c r="D730" s="149" t="s">
        <v>1807</v>
      </c>
      <c r="E730" s="105">
        <v>1</v>
      </c>
      <c r="F730" s="150" t="s">
        <v>1808</v>
      </c>
      <c r="G730" s="150" t="s">
        <v>1809</v>
      </c>
      <c r="H730" s="119">
        <f t="shared" si="33"/>
        <v>18</v>
      </c>
      <c r="I730" s="119"/>
      <c r="J730" s="151">
        <v>0</v>
      </c>
      <c r="K730" s="119">
        <f t="shared" si="34"/>
        <v>18</v>
      </c>
      <c r="L730" s="152">
        <f t="shared" si="35"/>
        <v>15.65</v>
      </c>
      <c r="M730" s="113"/>
    </row>
    <row r="731" spans="1:13" s="114" customFormat="1" x14ac:dyDescent="0.2">
      <c r="A731" s="106" t="s">
        <v>1725</v>
      </c>
      <c r="B731" s="105" t="s">
        <v>2380</v>
      </c>
      <c r="C731" s="105" t="s">
        <v>3177</v>
      </c>
      <c r="D731" s="149" t="s">
        <v>2381</v>
      </c>
      <c r="E731" s="105">
        <v>1</v>
      </c>
      <c r="F731" s="150" t="s">
        <v>2382</v>
      </c>
      <c r="G731" s="150" t="s">
        <v>2038</v>
      </c>
      <c r="H731" s="119">
        <f t="shared" si="33"/>
        <v>26.25</v>
      </c>
      <c r="I731" s="119"/>
      <c r="J731" s="151">
        <v>0</v>
      </c>
      <c r="K731" s="119">
        <f t="shared" si="34"/>
        <v>26.25</v>
      </c>
      <c r="L731" s="152">
        <f t="shared" si="35"/>
        <v>22.73</v>
      </c>
      <c r="M731" s="113"/>
    </row>
    <row r="732" spans="1:13" s="114" customFormat="1" x14ac:dyDescent="0.2">
      <c r="A732" s="106" t="s">
        <v>1725</v>
      </c>
      <c r="B732" s="105" t="s">
        <v>2867</v>
      </c>
      <c r="C732" s="105" t="s">
        <v>3178</v>
      </c>
      <c r="D732" s="149" t="s">
        <v>2869</v>
      </c>
      <c r="E732" s="105">
        <v>1</v>
      </c>
      <c r="F732" s="150" t="s">
        <v>2870</v>
      </c>
      <c r="G732" s="150" t="s">
        <v>2871</v>
      </c>
      <c r="H732" s="119">
        <f t="shared" si="33"/>
        <v>6.75</v>
      </c>
      <c r="I732" s="119"/>
      <c r="J732" s="151">
        <v>0</v>
      </c>
      <c r="K732" s="119">
        <f t="shared" si="34"/>
        <v>6.75</v>
      </c>
      <c r="L732" s="152">
        <f t="shared" si="35"/>
        <v>5.85</v>
      </c>
      <c r="M732" s="113"/>
    </row>
    <row r="733" spans="1:13" s="114" customFormat="1" x14ac:dyDescent="0.2">
      <c r="A733" s="106" t="s">
        <v>1725</v>
      </c>
      <c r="B733" s="105" t="s">
        <v>3027</v>
      </c>
      <c r="C733" s="105" t="s">
        <v>3179</v>
      </c>
      <c r="D733" s="149" t="s">
        <v>3028</v>
      </c>
      <c r="E733" s="105">
        <v>14</v>
      </c>
      <c r="F733" s="150" t="s">
        <v>3029</v>
      </c>
      <c r="G733" s="150" t="s">
        <v>1853</v>
      </c>
      <c r="H733" s="119">
        <f t="shared" si="33"/>
        <v>105</v>
      </c>
      <c r="I733" s="119"/>
      <c r="J733" s="151">
        <v>0</v>
      </c>
      <c r="K733" s="119">
        <f t="shared" si="34"/>
        <v>105</v>
      </c>
      <c r="L733" s="152">
        <f t="shared" si="35"/>
        <v>89.18</v>
      </c>
      <c r="M733" s="113"/>
    </row>
    <row r="734" spans="1:13" s="114" customFormat="1" x14ac:dyDescent="0.2">
      <c r="A734" s="106" t="s">
        <v>1725</v>
      </c>
      <c r="B734" s="105" t="s">
        <v>3116</v>
      </c>
      <c r="C734" s="105" t="s">
        <v>3179</v>
      </c>
      <c r="D734" s="149" t="s">
        <v>3117</v>
      </c>
      <c r="E734" s="105">
        <v>2</v>
      </c>
      <c r="F734" s="150" t="s">
        <v>3118</v>
      </c>
      <c r="G734" s="150" t="s">
        <v>2070</v>
      </c>
      <c r="H734" s="119">
        <f t="shared" si="33"/>
        <v>76</v>
      </c>
      <c r="I734" s="119"/>
      <c r="J734" s="151">
        <v>0</v>
      </c>
      <c r="K734" s="119">
        <f t="shared" si="34"/>
        <v>76</v>
      </c>
      <c r="L734" s="152">
        <f t="shared" si="35"/>
        <v>55.38</v>
      </c>
      <c r="M734" s="113"/>
    </row>
    <row r="735" spans="1:13" s="114" customFormat="1" x14ac:dyDescent="0.2">
      <c r="A735" s="106" t="s">
        <v>1725</v>
      </c>
      <c r="B735" s="105" t="s">
        <v>3180</v>
      </c>
      <c r="C735" s="105" t="s">
        <v>3179</v>
      </c>
      <c r="D735" s="149" t="s">
        <v>3181</v>
      </c>
      <c r="E735" s="105">
        <v>1</v>
      </c>
      <c r="F735" s="150" t="s">
        <v>3182</v>
      </c>
      <c r="G735" s="150" t="s">
        <v>3183</v>
      </c>
      <c r="H735" s="119">
        <f t="shared" si="33"/>
        <v>29.75</v>
      </c>
      <c r="I735" s="119"/>
      <c r="J735" s="151">
        <v>0</v>
      </c>
      <c r="K735" s="119">
        <f t="shared" si="34"/>
        <v>29.75</v>
      </c>
      <c r="L735" s="152">
        <f t="shared" si="35"/>
        <v>25.8</v>
      </c>
      <c r="M735" s="113"/>
    </row>
    <row r="736" spans="1:13" s="114" customFormat="1" x14ac:dyDescent="0.2">
      <c r="A736" s="106" t="s">
        <v>1725</v>
      </c>
      <c r="B736" s="105" t="s">
        <v>2220</v>
      </c>
      <c r="C736" s="105" t="s">
        <v>3179</v>
      </c>
      <c r="D736" s="149" t="s">
        <v>2222</v>
      </c>
      <c r="E736" s="105">
        <v>2</v>
      </c>
      <c r="F736" s="150" t="s">
        <v>2223</v>
      </c>
      <c r="G736" s="150" t="s">
        <v>2224</v>
      </c>
      <c r="H736" s="119">
        <f t="shared" si="33"/>
        <v>82</v>
      </c>
      <c r="I736" s="119"/>
      <c r="J736" s="151">
        <v>0</v>
      </c>
      <c r="K736" s="119">
        <f t="shared" si="34"/>
        <v>82</v>
      </c>
      <c r="L736" s="152">
        <f t="shared" si="35"/>
        <v>70.3</v>
      </c>
      <c r="M736" s="113"/>
    </row>
    <row r="737" spans="1:13" s="114" customFormat="1" x14ac:dyDescent="0.2">
      <c r="A737" s="106" t="s">
        <v>1725</v>
      </c>
      <c r="B737" s="105" t="s">
        <v>2189</v>
      </c>
      <c r="C737" s="105" t="s">
        <v>3179</v>
      </c>
      <c r="D737" s="149" t="s">
        <v>2190</v>
      </c>
      <c r="E737" s="105">
        <v>1</v>
      </c>
      <c r="F737" s="150" t="s">
        <v>2191</v>
      </c>
      <c r="G737" s="150" t="s">
        <v>2192</v>
      </c>
      <c r="H737" s="119">
        <f t="shared" si="33"/>
        <v>71.5</v>
      </c>
      <c r="I737" s="119"/>
      <c r="J737" s="151">
        <v>0</v>
      </c>
      <c r="K737" s="119">
        <f t="shared" si="34"/>
        <v>71.5</v>
      </c>
      <c r="L737" s="152">
        <f t="shared" si="35"/>
        <v>65</v>
      </c>
      <c r="M737" s="113"/>
    </row>
    <row r="738" spans="1:13" s="114" customFormat="1" x14ac:dyDescent="0.2">
      <c r="A738" s="106" t="s">
        <v>1725</v>
      </c>
      <c r="B738" s="105" t="s">
        <v>1924</v>
      </c>
      <c r="C738" s="105" t="s">
        <v>3184</v>
      </c>
      <c r="D738" s="149" t="s">
        <v>1926</v>
      </c>
      <c r="E738" s="105">
        <v>3</v>
      </c>
      <c r="F738" s="150" t="s">
        <v>1927</v>
      </c>
      <c r="G738" s="150" t="s">
        <v>1928</v>
      </c>
      <c r="H738" s="119">
        <f t="shared" si="33"/>
        <v>36.75</v>
      </c>
      <c r="I738" s="119"/>
      <c r="J738" s="151">
        <v>0</v>
      </c>
      <c r="K738" s="119">
        <f t="shared" si="34"/>
        <v>36.75</v>
      </c>
      <c r="L738" s="152">
        <f t="shared" si="35"/>
        <v>31.92</v>
      </c>
      <c r="M738" s="113"/>
    </row>
    <row r="739" spans="1:13" s="114" customFormat="1" x14ac:dyDescent="0.2">
      <c r="A739" s="106" t="s">
        <v>1725</v>
      </c>
      <c r="B739" s="105" t="s">
        <v>3185</v>
      </c>
      <c r="C739" s="105" t="s">
        <v>3186</v>
      </c>
      <c r="D739" s="149" t="s">
        <v>3187</v>
      </c>
      <c r="E739" s="105">
        <v>1</v>
      </c>
      <c r="F739" s="150" t="s">
        <v>3188</v>
      </c>
      <c r="G739" s="150" t="s">
        <v>3189</v>
      </c>
      <c r="H739" s="119">
        <f t="shared" si="33"/>
        <v>148.5</v>
      </c>
      <c r="I739" s="119"/>
      <c r="J739" s="151">
        <v>0</v>
      </c>
      <c r="K739" s="119">
        <f t="shared" si="34"/>
        <v>148.5</v>
      </c>
      <c r="L739" s="152">
        <f t="shared" si="35"/>
        <v>129</v>
      </c>
      <c r="M739" s="113"/>
    </row>
    <row r="740" spans="1:13" s="114" customFormat="1" x14ac:dyDescent="0.2">
      <c r="A740" s="106" t="s">
        <v>1725</v>
      </c>
      <c r="B740" s="105" t="s">
        <v>2264</v>
      </c>
      <c r="C740" s="105" t="s">
        <v>3190</v>
      </c>
      <c r="D740" s="149" t="s">
        <v>2265</v>
      </c>
      <c r="E740" s="105">
        <v>1</v>
      </c>
      <c r="F740" s="150" t="s">
        <v>2266</v>
      </c>
      <c r="G740" s="150" t="s">
        <v>2267</v>
      </c>
      <c r="H740" s="119">
        <f t="shared" si="33"/>
        <v>72</v>
      </c>
      <c r="I740" s="119"/>
      <c r="J740" s="151">
        <v>0</v>
      </c>
      <c r="K740" s="119">
        <f t="shared" si="34"/>
        <v>72</v>
      </c>
      <c r="L740" s="152">
        <f t="shared" si="35"/>
        <v>62.45</v>
      </c>
      <c r="M740" s="113"/>
    </row>
    <row r="741" spans="1:13" s="114" customFormat="1" x14ac:dyDescent="0.2">
      <c r="A741" s="106" t="s">
        <v>1725</v>
      </c>
      <c r="B741" s="105" t="s">
        <v>2694</v>
      </c>
      <c r="C741" s="105" t="s">
        <v>3191</v>
      </c>
      <c r="D741" s="149" t="s">
        <v>2695</v>
      </c>
      <c r="E741" s="105">
        <v>1</v>
      </c>
      <c r="F741" s="150" t="s">
        <v>2696</v>
      </c>
      <c r="G741" s="150" t="s">
        <v>2697</v>
      </c>
      <c r="H741" s="119">
        <f t="shared" si="33"/>
        <v>74.25</v>
      </c>
      <c r="I741" s="119"/>
      <c r="J741" s="151">
        <v>0</v>
      </c>
      <c r="K741" s="119">
        <f t="shared" si="34"/>
        <v>74.25</v>
      </c>
      <c r="L741" s="152">
        <f t="shared" si="35"/>
        <v>64.489999999999995</v>
      </c>
      <c r="M741" s="113"/>
    </row>
    <row r="742" spans="1:13" s="114" customFormat="1" x14ac:dyDescent="0.2">
      <c r="A742" s="106" t="s">
        <v>1725</v>
      </c>
      <c r="B742" s="105" t="s">
        <v>2593</v>
      </c>
      <c r="C742" s="105" t="s">
        <v>3191</v>
      </c>
      <c r="D742" s="149" t="s">
        <v>2594</v>
      </c>
      <c r="E742" s="105">
        <v>3</v>
      </c>
      <c r="F742" s="150" t="s">
        <v>2595</v>
      </c>
      <c r="G742" s="150" t="s">
        <v>2596</v>
      </c>
      <c r="H742" s="119">
        <f t="shared" si="33"/>
        <v>129.75</v>
      </c>
      <c r="I742" s="119"/>
      <c r="J742" s="151">
        <v>0</v>
      </c>
      <c r="K742" s="119">
        <f t="shared" si="34"/>
        <v>129.75</v>
      </c>
      <c r="L742" s="152">
        <f t="shared" si="35"/>
        <v>112.35000000000001</v>
      </c>
      <c r="M742" s="113"/>
    </row>
    <row r="743" spans="1:13" s="114" customFormat="1" x14ac:dyDescent="0.2">
      <c r="A743" s="106" t="s">
        <v>1725</v>
      </c>
      <c r="B743" s="105" t="s">
        <v>3043</v>
      </c>
      <c r="C743" s="105" t="s">
        <v>3191</v>
      </c>
      <c r="D743" s="149" t="s">
        <v>3044</v>
      </c>
      <c r="E743" s="105">
        <v>1</v>
      </c>
      <c r="F743" s="150" t="s">
        <v>3045</v>
      </c>
      <c r="G743" s="150" t="s">
        <v>3046</v>
      </c>
      <c r="H743" s="119">
        <f t="shared" si="33"/>
        <v>347.25</v>
      </c>
      <c r="I743" s="119"/>
      <c r="J743" s="151">
        <v>0</v>
      </c>
      <c r="K743" s="119">
        <f t="shared" si="34"/>
        <v>347.25</v>
      </c>
      <c r="L743" s="152">
        <f t="shared" si="35"/>
        <v>301.87</v>
      </c>
      <c r="M743" s="113"/>
    </row>
    <row r="744" spans="1:13" s="114" customFormat="1" x14ac:dyDescent="0.2">
      <c r="A744" s="106" t="s">
        <v>1725</v>
      </c>
      <c r="B744" s="105" t="s">
        <v>2809</v>
      </c>
      <c r="C744" s="105" t="s">
        <v>3191</v>
      </c>
      <c r="D744" s="149" t="s">
        <v>2810</v>
      </c>
      <c r="E744" s="105">
        <v>1</v>
      </c>
      <c r="F744" s="150" t="s">
        <v>2811</v>
      </c>
      <c r="G744" s="150" t="s">
        <v>2812</v>
      </c>
      <c r="H744" s="119">
        <f t="shared" si="33"/>
        <v>62</v>
      </c>
      <c r="I744" s="119"/>
      <c r="J744" s="151">
        <v>0</v>
      </c>
      <c r="K744" s="119">
        <f t="shared" si="34"/>
        <v>62</v>
      </c>
      <c r="L744" s="152">
        <f t="shared" si="35"/>
        <v>53.81</v>
      </c>
      <c r="M744" s="113"/>
    </row>
    <row r="745" spans="1:13" s="114" customFormat="1" x14ac:dyDescent="0.2">
      <c r="A745" s="106" t="s">
        <v>1725</v>
      </c>
      <c r="B745" s="105" t="s">
        <v>2298</v>
      </c>
      <c r="C745" s="105" t="s">
        <v>3191</v>
      </c>
      <c r="D745" s="149" t="s">
        <v>2299</v>
      </c>
      <c r="E745" s="105">
        <v>3</v>
      </c>
      <c r="F745" s="150" t="s">
        <v>2300</v>
      </c>
      <c r="G745" s="150" t="s">
        <v>1892</v>
      </c>
      <c r="H745" s="119">
        <f t="shared" si="33"/>
        <v>72</v>
      </c>
      <c r="I745" s="119"/>
      <c r="J745" s="151">
        <v>0</v>
      </c>
      <c r="K745" s="119">
        <f t="shared" si="34"/>
        <v>72</v>
      </c>
      <c r="L745" s="152">
        <f t="shared" si="35"/>
        <v>62.400000000000006</v>
      </c>
      <c r="M745" s="113"/>
    </row>
    <row r="746" spans="1:13" s="114" customFormat="1" x14ac:dyDescent="0.2">
      <c r="A746" s="106" t="s">
        <v>1725</v>
      </c>
      <c r="B746" s="105" t="s">
        <v>1826</v>
      </c>
      <c r="C746" s="105" t="s">
        <v>3191</v>
      </c>
      <c r="D746" s="149" t="s">
        <v>1827</v>
      </c>
      <c r="E746" s="105">
        <v>4</v>
      </c>
      <c r="F746" s="150" t="s">
        <v>1828</v>
      </c>
      <c r="G746" s="150" t="s">
        <v>1829</v>
      </c>
      <c r="H746" s="119">
        <f t="shared" si="33"/>
        <v>480</v>
      </c>
      <c r="I746" s="119"/>
      <c r="J746" s="151">
        <v>0</v>
      </c>
      <c r="K746" s="119">
        <f t="shared" si="34"/>
        <v>480</v>
      </c>
      <c r="L746" s="152">
        <f t="shared" si="35"/>
        <v>360</v>
      </c>
      <c r="M746" s="113"/>
    </row>
    <row r="747" spans="1:13" s="114" customFormat="1" x14ac:dyDescent="0.2">
      <c r="A747" s="106" t="s">
        <v>1725</v>
      </c>
      <c r="B747" s="105" t="s">
        <v>3192</v>
      </c>
      <c r="C747" s="105" t="s">
        <v>3191</v>
      </c>
      <c r="D747" s="149" t="s">
        <v>3193</v>
      </c>
      <c r="E747" s="105">
        <v>2</v>
      </c>
      <c r="F747" s="150" t="s">
        <v>2770</v>
      </c>
      <c r="G747" s="150" t="s">
        <v>3194</v>
      </c>
      <c r="H747" s="119">
        <f t="shared" si="33"/>
        <v>640</v>
      </c>
      <c r="I747" s="119"/>
      <c r="J747" s="151">
        <v>0</v>
      </c>
      <c r="K747" s="119">
        <f t="shared" si="34"/>
        <v>640</v>
      </c>
      <c r="L747" s="152">
        <f t="shared" si="35"/>
        <v>500</v>
      </c>
      <c r="M747" s="113"/>
    </row>
    <row r="748" spans="1:13" s="114" customFormat="1" x14ac:dyDescent="0.2">
      <c r="A748" s="106" t="s">
        <v>1725</v>
      </c>
      <c r="B748" s="105" t="s">
        <v>2707</v>
      </c>
      <c r="C748" s="105" t="s">
        <v>3191</v>
      </c>
      <c r="D748" s="149" t="s">
        <v>2709</v>
      </c>
      <c r="E748" s="105">
        <v>1</v>
      </c>
      <c r="F748" s="150" t="s">
        <v>2710</v>
      </c>
      <c r="G748" s="150" t="s">
        <v>2711</v>
      </c>
      <c r="H748" s="119">
        <f t="shared" si="33"/>
        <v>262.25</v>
      </c>
      <c r="I748" s="119"/>
      <c r="J748" s="151">
        <v>0</v>
      </c>
      <c r="K748" s="119">
        <f t="shared" si="34"/>
        <v>262.25</v>
      </c>
      <c r="L748" s="152">
        <f t="shared" si="35"/>
        <v>228</v>
      </c>
      <c r="M748" s="113"/>
    </row>
    <row r="749" spans="1:13" s="114" customFormat="1" x14ac:dyDescent="0.2">
      <c r="A749" s="106" t="s">
        <v>1725</v>
      </c>
      <c r="B749" s="105" t="s">
        <v>3195</v>
      </c>
      <c r="C749" s="105" t="s">
        <v>3191</v>
      </c>
      <c r="D749" s="149" t="s">
        <v>3196</v>
      </c>
      <c r="E749" s="105">
        <v>1</v>
      </c>
      <c r="F749" s="150" t="s">
        <v>3197</v>
      </c>
      <c r="G749" s="150" t="s">
        <v>3198</v>
      </c>
      <c r="H749" s="119">
        <f t="shared" si="33"/>
        <v>74.5</v>
      </c>
      <c r="I749" s="119"/>
      <c r="J749" s="151">
        <v>0</v>
      </c>
      <c r="K749" s="119">
        <f t="shared" si="34"/>
        <v>74.5</v>
      </c>
      <c r="L749" s="152">
        <f t="shared" si="35"/>
        <v>64.58</v>
      </c>
      <c r="M749" s="113"/>
    </row>
    <row r="750" spans="1:13" s="114" customFormat="1" x14ac:dyDescent="0.2">
      <c r="A750" s="106" t="s">
        <v>1725</v>
      </c>
      <c r="B750" s="105" t="s">
        <v>2671</v>
      </c>
      <c r="C750" s="105" t="s">
        <v>3199</v>
      </c>
      <c r="D750" s="149" t="s">
        <v>2673</v>
      </c>
      <c r="E750" s="105">
        <v>1</v>
      </c>
      <c r="F750" s="150" t="s">
        <v>1879</v>
      </c>
      <c r="G750" s="150" t="s">
        <v>1880</v>
      </c>
      <c r="H750" s="119">
        <f t="shared" si="33"/>
        <v>21</v>
      </c>
      <c r="I750" s="119"/>
      <c r="J750" s="151">
        <v>0</v>
      </c>
      <c r="K750" s="119">
        <f t="shared" si="34"/>
        <v>21</v>
      </c>
      <c r="L750" s="152">
        <f t="shared" si="35"/>
        <v>18.2</v>
      </c>
      <c r="M750" s="113"/>
    </row>
    <row r="751" spans="1:13" s="114" customFormat="1" x14ac:dyDescent="0.2">
      <c r="A751" s="106" t="s">
        <v>1725</v>
      </c>
      <c r="B751" s="105" t="s">
        <v>2446</v>
      </c>
      <c r="C751" s="105" t="s">
        <v>3200</v>
      </c>
      <c r="D751" s="149" t="s">
        <v>2448</v>
      </c>
      <c r="E751" s="105">
        <v>1</v>
      </c>
      <c r="F751" s="150" t="s">
        <v>2449</v>
      </c>
      <c r="G751" s="150" t="s">
        <v>2450</v>
      </c>
      <c r="H751" s="119">
        <f t="shared" si="33"/>
        <v>63</v>
      </c>
      <c r="I751" s="119"/>
      <c r="J751" s="151">
        <v>0</v>
      </c>
      <c r="K751" s="119">
        <f t="shared" si="34"/>
        <v>63</v>
      </c>
      <c r="L751" s="152">
        <f t="shared" si="35"/>
        <v>56.5</v>
      </c>
      <c r="M751" s="113"/>
    </row>
    <row r="752" spans="1:13" s="114" customFormat="1" x14ac:dyDescent="0.2">
      <c r="A752" s="106" t="s">
        <v>1725</v>
      </c>
      <c r="B752" s="105" t="s">
        <v>3201</v>
      </c>
      <c r="C752" s="105" t="s">
        <v>3200</v>
      </c>
      <c r="D752" s="149" t="s">
        <v>3202</v>
      </c>
      <c r="E752" s="105">
        <v>1</v>
      </c>
      <c r="F752" s="150" t="s">
        <v>2255</v>
      </c>
      <c r="G752" s="150" t="s">
        <v>2256</v>
      </c>
      <c r="H752" s="119">
        <f t="shared" si="33"/>
        <v>67.25</v>
      </c>
      <c r="I752" s="119"/>
      <c r="J752" s="151">
        <v>0</v>
      </c>
      <c r="K752" s="119">
        <f t="shared" si="34"/>
        <v>67.25</v>
      </c>
      <c r="L752" s="152">
        <f t="shared" si="35"/>
        <v>58.45</v>
      </c>
      <c r="M752" s="113"/>
    </row>
    <row r="753" spans="1:13" s="114" customFormat="1" x14ac:dyDescent="0.2">
      <c r="A753" s="106" t="s">
        <v>1725</v>
      </c>
      <c r="B753" s="105" t="s">
        <v>2146</v>
      </c>
      <c r="C753" s="105" t="s">
        <v>3200</v>
      </c>
      <c r="D753" s="149" t="s">
        <v>2147</v>
      </c>
      <c r="E753" s="105">
        <v>1</v>
      </c>
      <c r="F753" s="150" t="s">
        <v>1928</v>
      </c>
      <c r="G753" s="150" t="s">
        <v>2097</v>
      </c>
      <c r="H753" s="119">
        <f t="shared" si="33"/>
        <v>14.5</v>
      </c>
      <c r="I753" s="119"/>
      <c r="J753" s="151">
        <v>0</v>
      </c>
      <c r="K753" s="119">
        <f t="shared" si="34"/>
        <v>14.5</v>
      </c>
      <c r="L753" s="152">
        <f t="shared" si="35"/>
        <v>12.25</v>
      </c>
      <c r="M753" s="113"/>
    </row>
    <row r="754" spans="1:13" s="114" customFormat="1" x14ac:dyDescent="0.2">
      <c r="A754" s="106" t="s">
        <v>1725</v>
      </c>
      <c r="B754" s="105" t="s">
        <v>3203</v>
      </c>
      <c r="C754" s="105" t="s">
        <v>3200</v>
      </c>
      <c r="D754" s="149" t="s">
        <v>3204</v>
      </c>
      <c r="E754" s="105">
        <v>1</v>
      </c>
      <c r="F754" s="150" t="s">
        <v>3205</v>
      </c>
      <c r="G754" s="150" t="s">
        <v>1976</v>
      </c>
      <c r="H754" s="119">
        <f t="shared" si="33"/>
        <v>23.75</v>
      </c>
      <c r="I754" s="119"/>
      <c r="J754" s="151">
        <v>0</v>
      </c>
      <c r="K754" s="119">
        <f t="shared" si="34"/>
        <v>23.75</v>
      </c>
      <c r="L754" s="152">
        <f t="shared" si="35"/>
        <v>20.48</v>
      </c>
      <c r="M754" s="113"/>
    </row>
    <row r="755" spans="1:13" s="114" customFormat="1" x14ac:dyDescent="0.2">
      <c r="A755" s="106" t="s">
        <v>1725</v>
      </c>
      <c r="B755" s="105" t="s">
        <v>2082</v>
      </c>
      <c r="C755" s="105" t="s">
        <v>3200</v>
      </c>
      <c r="D755" s="149" t="s">
        <v>2083</v>
      </c>
      <c r="E755" s="105">
        <v>1</v>
      </c>
      <c r="F755" s="150" t="s">
        <v>2084</v>
      </c>
      <c r="G755" s="150" t="s">
        <v>1928</v>
      </c>
      <c r="H755" s="119">
        <f t="shared" si="33"/>
        <v>12.25</v>
      </c>
      <c r="I755" s="119"/>
      <c r="J755" s="151">
        <v>0</v>
      </c>
      <c r="K755" s="119">
        <f t="shared" si="34"/>
        <v>12.25</v>
      </c>
      <c r="L755" s="152">
        <f t="shared" si="35"/>
        <v>10.199999999999999</v>
      </c>
      <c r="M755" s="113"/>
    </row>
    <row r="756" spans="1:13" s="114" customFormat="1" x14ac:dyDescent="0.2">
      <c r="A756" s="106" t="s">
        <v>1725</v>
      </c>
      <c r="B756" s="105" t="s">
        <v>2022</v>
      </c>
      <c r="C756" s="105" t="s">
        <v>3206</v>
      </c>
      <c r="D756" s="149" t="s">
        <v>2024</v>
      </c>
      <c r="E756" s="105">
        <v>1</v>
      </c>
      <c r="F756" s="150" t="s">
        <v>2025</v>
      </c>
      <c r="G756" s="150" t="s">
        <v>2026</v>
      </c>
      <c r="H756" s="119">
        <f t="shared" si="33"/>
        <v>34.5</v>
      </c>
      <c r="I756" s="119"/>
      <c r="J756" s="151">
        <v>0</v>
      </c>
      <c r="K756" s="119">
        <f t="shared" si="34"/>
        <v>34.5</v>
      </c>
      <c r="L756" s="152">
        <f t="shared" si="35"/>
        <v>29.9</v>
      </c>
      <c r="M756" s="113"/>
    </row>
    <row r="757" spans="1:13" s="114" customFormat="1" x14ac:dyDescent="0.2">
      <c r="A757" s="106" t="s">
        <v>1725</v>
      </c>
      <c r="B757" s="105" t="s">
        <v>3207</v>
      </c>
      <c r="C757" s="105" t="s">
        <v>3208</v>
      </c>
      <c r="D757" s="149" t="s">
        <v>3209</v>
      </c>
      <c r="E757" s="105">
        <v>1</v>
      </c>
      <c r="F757" s="150" t="s">
        <v>1816</v>
      </c>
      <c r="G757" s="150" t="s">
        <v>1817</v>
      </c>
      <c r="H757" s="119">
        <f t="shared" si="33"/>
        <v>26</v>
      </c>
      <c r="I757" s="119"/>
      <c r="J757" s="151">
        <v>0</v>
      </c>
      <c r="K757" s="119">
        <f t="shared" si="34"/>
        <v>26</v>
      </c>
      <c r="L757" s="152">
        <f t="shared" si="35"/>
        <v>22.59</v>
      </c>
      <c r="M757" s="113"/>
    </row>
    <row r="758" spans="1:13" s="114" customFormat="1" x14ac:dyDescent="0.2">
      <c r="A758" s="106" t="s">
        <v>1725</v>
      </c>
      <c r="B758" s="105" t="s">
        <v>2193</v>
      </c>
      <c r="C758" s="105" t="s">
        <v>3210</v>
      </c>
      <c r="D758" s="149" t="s">
        <v>2195</v>
      </c>
      <c r="E758" s="105">
        <v>1</v>
      </c>
      <c r="F758" s="150" t="s">
        <v>1891</v>
      </c>
      <c r="G758" s="150" t="s">
        <v>1892</v>
      </c>
      <c r="H758" s="119">
        <f t="shared" si="33"/>
        <v>24</v>
      </c>
      <c r="I758" s="119"/>
      <c r="J758" s="151">
        <v>0</v>
      </c>
      <c r="K758" s="119">
        <f t="shared" si="34"/>
        <v>24</v>
      </c>
      <c r="L758" s="152">
        <f t="shared" si="35"/>
        <v>20.68</v>
      </c>
      <c r="M758" s="113"/>
    </row>
    <row r="759" spans="1:13" s="114" customFormat="1" x14ac:dyDescent="0.2">
      <c r="A759" s="106" t="s">
        <v>1725</v>
      </c>
      <c r="B759" s="105" t="s">
        <v>3211</v>
      </c>
      <c r="C759" s="105" t="s">
        <v>3210</v>
      </c>
      <c r="D759" s="149" t="s">
        <v>3212</v>
      </c>
      <c r="E759" s="105">
        <v>1</v>
      </c>
      <c r="F759" s="150" t="s">
        <v>2979</v>
      </c>
      <c r="G759" s="150" t="s">
        <v>1957</v>
      </c>
      <c r="H759" s="119">
        <f t="shared" si="33"/>
        <v>27</v>
      </c>
      <c r="I759" s="119"/>
      <c r="J759" s="151">
        <v>0</v>
      </c>
      <c r="K759" s="119">
        <f t="shared" si="34"/>
        <v>27</v>
      </c>
      <c r="L759" s="152">
        <f t="shared" si="35"/>
        <v>23.32</v>
      </c>
      <c r="M759" s="113"/>
    </row>
    <row r="760" spans="1:13" s="114" customFormat="1" x14ac:dyDescent="0.2">
      <c r="A760" s="106" t="s">
        <v>1725</v>
      </c>
      <c r="B760" s="105" t="s">
        <v>3143</v>
      </c>
      <c r="C760" s="105" t="s">
        <v>3213</v>
      </c>
      <c r="D760" s="149" t="s">
        <v>3145</v>
      </c>
      <c r="E760" s="105">
        <v>2</v>
      </c>
      <c r="F760" s="150" t="s">
        <v>2242</v>
      </c>
      <c r="G760" s="150" t="s">
        <v>3146</v>
      </c>
      <c r="H760" s="119">
        <f t="shared" si="33"/>
        <v>37.5</v>
      </c>
      <c r="I760" s="119"/>
      <c r="J760" s="151">
        <v>0</v>
      </c>
      <c r="K760" s="119">
        <f t="shared" si="34"/>
        <v>37.5</v>
      </c>
      <c r="L760" s="152">
        <f t="shared" si="35"/>
        <v>35.299999999999997</v>
      </c>
      <c r="M760" s="113"/>
    </row>
    <row r="761" spans="1:13" s="114" customFormat="1" x14ac:dyDescent="0.2">
      <c r="A761" s="106" t="s">
        <v>1725</v>
      </c>
      <c r="B761" s="105" t="s">
        <v>2384</v>
      </c>
      <c r="C761" s="105" t="s">
        <v>3214</v>
      </c>
      <c r="D761" s="149" t="s">
        <v>2386</v>
      </c>
      <c r="E761" s="105">
        <v>2</v>
      </c>
      <c r="F761" s="150" t="s">
        <v>1876</v>
      </c>
      <c r="G761" s="150" t="s">
        <v>1873</v>
      </c>
      <c r="H761" s="119">
        <f t="shared" si="33"/>
        <v>38</v>
      </c>
      <c r="I761" s="119"/>
      <c r="J761" s="151">
        <v>0</v>
      </c>
      <c r="K761" s="119">
        <f t="shared" si="34"/>
        <v>38</v>
      </c>
      <c r="L761" s="152">
        <f t="shared" si="35"/>
        <v>32.700000000000003</v>
      </c>
      <c r="M761" s="113"/>
    </row>
    <row r="762" spans="1:13" s="114" customFormat="1" x14ac:dyDescent="0.2">
      <c r="A762" s="106" t="s">
        <v>1725</v>
      </c>
      <c r="B762" s="105" t="s">
        <v>1933</v>
      </c>
      <c r="C762" s="105" t="s">
        <v>3215</v>
      </c>
      <c r="D762" s="149" t="s">
        <v>1934</v>
      </c>
      <c r="E762" s="105">
        <v>1</v>
      </c>
      <c r="F762" s="150" t="s">
        <v>1935</v>
      </c>
      <c r="G762" s="150" t="s">
        <v>1936</v>
      </c>
      <c r="H762" s="119">
        <f t="shared" si="33"/>
        <v>4.25</v>
      </c>
      <c r="I762" s="119"/>
      <c r="J762" s="151">
        <v>0</v>
      </c>
      <c r="K762" s="119">
        <f t="shared" si="34"/>
        <v>4.25</v>
      </c>
      <c r="L762" s="152">
        <f t="shared" si="35"/>
        <v>3.6</v>
      </c>
      <c r="M762" s="113"/>
    </row>
    <row r="763" spans="1:13" s="114" customFormat="1" x14ac:dyDescent="0.2">
      <c r="A763" s="106" t="s">
        <v>1725</v>
      </c>
      <c r="B763" s="105" t="s">
        <v>2867</v>
      </c>
      <c r="C763" s="105" t="s">
        <v>3216</v>
      </c>
      <c r="D763" s="149" t="s">
        <v>2869</v>
      </c>
      <c r="E763" s="105">
        <v>1</v>
      </c>
      <c r="F763" s="150" t="s">
        <v>2870</v>
      </c>
      <c r="G763" s="150" t="s">
        <v>2871</v>
      </c>
      <c r="H763" s="119">
        <f t="shared" si="33"/>
        <v>6.75</v>
      </c>
      <c r="I763" s="119"/>
      <c r="J763" s="151">
        <v>0</v>
      </c>
      <c r="K763" s="119">
        <f t="shared" si="34"/>
        <v>6.75</v>
      </c>
      <c r="L763" s="152">
        <f t="shared" si="35"/>
        <v>5.85</v>
      </c>
      <c r="M763" s="113"/>
    </row>
    <row r="764" spans="1:13" s="114" customFormat="1" x14ac:dyDescent="0.2">
      <c r="A764" s="106" t="s">
        <v>1728</v>
      </c>
      <c r="B764" s="105" t="s">
        <v>3217</v>
      </c>
      <c r="C764" s="105" t="s">
        <v>3218</v>
      </c>
      <c r="D764" s="149" t="s">
        <v>3219</v>
      </c>
      <c r="E764" s="105">
        <v>1</v>
      </c>
      <c r="F764" s="150" t="s">
        <v>3220</v>
      </c>
      <c r="G764" s="150" t="s">
        <v>3221</v>
      </c>
      <c r="H764" s="119">
        <f t="shared" si="33"/>
        <v>35</v>
      </c>
      <c r="I764" s="119"/>
      <c r="J764" s="151">
        <v>0</v>
      </c>
      <c r="K764" s="119">
        <f t="shared" si="34"/>
        <v>35</v>
      </c>
      <c r="L764" s="152">
        <f t="shared" si="35"/>
        <v>30.48</v>
      </c>
      <c r="M764" s="113"/>
    </row>
    <row r="765" spans="1:13" s="114" customFormat="1" x14ac:dyDescent="0.2">
      <c r="A765" s="106" t="s">
        <v>1728</v>
      </c>
      <c r="B765" s="105" t="s">
        <v>2867</v>
      </c>
      <c r="C765" s="105" t="s">
        <v>3222</v>
      </c>
      <c r="D765" s="149" t="s">
        <v>2869</v>
      </c>
      <c r="E765" s="105">
        <v>1</v>
      </c>
      <c r="F765" s="150" t="s">
        <v>2870</v>
      </c>
      <c r="G765" s="150" t="s">
        <v>2871</v>
      </c>
      <c r="H765" s="119">
        <f t="shared" si="33"/>
        <v>6.75</v>
      </c>
      <c r="I765" s="119"/>
      <c r="J765" s="151">
        <v>0</v>
      </c>
      <c r="K765" s="119">
        <f t="shared" si="34"/>
        <v>6.75</v>
      </c>
      <c r="L765" s="152">
        <f t="shared" si="35"/>
        <v>5.85</v>
      </c>
      <c r="M765" s="113"/>
    </row>
    <row r="766" spans="1:13" s="114" customFormat="1" x14ac:dyDescent="0.2">
      <c r="A766" s="106" t="s">
        <v>1728</v>
      </c>
      <c r="B766" s="105" t="s">
        <v>2323</v>
      </c>
      <c r="C766" s="105" t="s">
        <v>3222</v>
      </c>
      <c r="D766" s="149" t="s">
        <v>2325</v>
      </c>
      <c r="E766" s="105">
        <v>1</v>
      </c>
      <c r="F766" s="150" t="s">
        <v>2326</v>
      </c>
      <c r="G766" s="150" t="s">
        <v>1932</v>
      </c>
      <c r="H766" s="119">
        <f t="shared" si="33"/>
        <v>22</v>
      </c>
      <c r="I766" s="119"/>
      <c r="J766" s="151">
        <v>0</v>
      </c>
      <c r="K766" s="119">
        <f t="shared" si="34"/>
        <v>22</v>
      </c>
      <c r="L766" s="152">
        <f t="shared" si="35"/>
        <v>19.100000000000001</v>
      </c>
      <c r="M766" s="113"/>
    </row>
    <row r="767" spans="1:13" s="114" customFormat="1" x14ac:dyDescent="0.2">
      <c r="A767" s="106" t="s">
        <v>1728</v>
      </c>
      <c r="B767" s="105" t="s">
        <v>3065</v>
      </c>
      <c r="C767" s="105" t="s">
        <v>3222</v>
      </c>
      <c r="D767" s="149" t="s">
        <v>3067</v>
      </c>
      <c r="E767" s="105">
        <v>1</v>
      </c>
      <c r="F767" s="150" t="s">
        <v>3068</v>
      </c>
      <c r="G767" s="150" t="s">
        <v>1923</v>
      </c>
      <c r="H767" s="119">
        <f t="shared" si="33"/>
        <v>15.5</v>
      </c>
      <c r="I767" s="119"/>
      <c r="J767" s="151">
        <v>0</v>
      </c>
      <c r="K767" s="119">
        <f t="shared" si="34"/>
        <v>15.5</v>
      </c>
      <c r="L767" s="152">
        <f t="shared" si="35"/>
        <v>13.39</v>
      </c>
      <c r="M767" s="113"/>
    </row>
    <row r="768" spans="1:13" s="114" customFormat="1" x14ac:dyDescent="0.2">
      <c r="A768" s="106" t="s">
        <v>1728</v>
      </c>
      <c r="B768" s="105" t="s">
        <v>2400</v>
      </c>
      <c r="C768" s="105" t="s">
        <v>3222</v>
      </c>
      <c r="D768" s="149" t="s">
        <v>2401</v>
      </c>
      <c r="E768" s="105">
        <v>1</v>
      </c>
      <c r="F768" s="150" t="s">
        <v>2402</v>
      </c>
      <c r="G768" s="150" t="s">
        <v>1932</v>
      </c>
      <c r="H768" s="119">
        <f t="shared" si="33"/>
        <v>22</v>
      </c>
      <c r="I768" s="119"/>
      <c r="J768" s="151">
        <v>0</v>
      </c>
      <c r="K768" s="119">
        <f t="shared" si="34"/>
        <v>22</v>
      </c>
      <c r="L768" s="152">
        <f t="shared" si="35"/>
        <v>19.059999999999999</v>
      </c>
      <c r="M768" s="113"/>
    </row>
    <row r="769" spans="1:13" s="114" customFormat="1" x14ac:dyDescent="0.2">
      <c r="A769" s="106" t="s">
        <v>1728</v>
      </c>
      <c r="B769" s="105" t="s">
        <v>1920</v>
      </c>
      <c r="C769" s="105" t="s">
        <v>3223</v>
      </c>
      <c r="D769" s="149" t="s">
        <v>1921</v>
      </c>
      <c r="E769" s="105">
        <v>1</v>
      </c>
      <c r="F769" s="150" t="s">
        <v>1922</v>
      </c>
      <c r="G769" s="150" t="s">
        <v>1923</v>
      </c>
      <c r="H769" s="119">
        <f t="shared" si="33"/>
        <v>15.5</v>
      </c>
      <c r="I769" s="119"/>
      <c r="J769" s="151">
        <v>0</v>
      </c>
      <c r="K769" s="119">
        <f t="shared" si="34"/>
        <v>15.5</v>
      </c>
      <c r="L769" s="152">
        <f t="shared" si="35"/>
        <v>13.32</v>
      </c>
      <c r="M769" s="113"/>
    </row>
    <row r="770" spans="1:13" s="114" customFormat="1" x14ac:dyDescent="0.2">
      <c r="A770" s="106" t="s">
        <v>1728</v>
      </c>
      <c r="B770" s="105" t="s">
        <v>1781</v>
      </c>
      <c r="C770" s="105" t="s">
        <v>3224</v>
      </c>
      <c r="D770" s="149" t="s">
        <v>1782</v>
      </c>
      <c r="E770" s="105">
        <v>1</v>
      </c>
      <c r="F770" s="150" t="s">
        <v>1783</v>
      </c>
      <c r="G770" s="150" t="s">
        <v>1784</v>
      </c>
      <c r="H770" s="119">
        <f t="shared" si="33"/>
        <v>11</v>
      </c>
      <c r="I770" s="119"/>
      <c r="J770" s="151">
        <v>0</v>
      </c>
      <c r="K770" s="119">
        <f t="shared" si="34"/>
        <v>11</v>
      </c>
      <c r="L770" s="152">
        <f t="shared" si="35"/>
        <v>9.3800000000000008</v>
      </c>
      <c r="M770" s="113"/>
    </row>
    <row r="771" spans="1:13" s="114" customFormat="1" x14ac:dyDescent="0.2">
      <c r="A771" s="106" t="s">
        <v>1728</v>
      </c>
      <c r="B771" s="105" t="s">
        <v>3225</v>
      </c>
      <c r="C771" s="105" t="s">
        <v>3226</v>
      </c>
      <c r="D771" s="149" t="s">
        <v>3227</v>
      </c>
      <c r="E771" s="105">
        <v>1</v>
      </c>
      <c r="F771" s="150" t="s">
        <v>3228</v>
      </c>
      <c r="G771" s="150" t="s">
        <v>3229</v>
      </c>
      <c r="H771" s="119">
        <f t="shared" si="33"/>
        <v>24.5</v>
      </c>
      <c r="I771" s="119"/>
      <c r="J771" s="151">
        <v>0</v>
      </c>
      <c r="K771" s="119">
        <f t="shared" si="34"/>
        <v>24.5</v>
      </c>
      <c r="L771" s="152">
        <f t="shared" si="35"/>
        <v>21.17</v>
      </c>
      <c r="M771" s="113"/>
    </row>
    <row r="772" spans="1:13" s="114" customFormat="1" x14ac:dyDescent="0.2">
      <c r="A772" s="106" t="s">
        <v>1728</v>
      </c>
      <c r="B772" s="105" t="s">
        <v>2872</v>
      </c>
      <c r="C772" s="105" t="s">
        <v>3226</v>
      </c>
      <c r="D772" s="149" t="s">
        <v>2873</v>
      </c>
      <c r="E772" s="105">
        <v>1</v>
      </c>
      <c r="F772" s="150" t="s">
        <v>2874</v>
      </c>
      <c r="G772" s="150" t="s">
        <v>2001</v>
      </c>
      <c r="H772" s="119">
        <f t="shared" si="33"/>
        <v>5.25</v>
      </c>
      <c r="I772" s="119"/>
      <c r="J772" s="151">
        <v>0</v>
      </c>
      <c r="K772" s="119">
        <f t="shared" si="34"/>
        <v>5.25</v>
      </c>
      <c r="L772" s="152">
        <f t="shared" si="35"/>
        <v>4.12</v>
      </c>
      <c r="M772" s="113"/>
    </row>
    <row r="773" spans="1:13" s="114" customFormat="1" x14ac:dyDescent="0.2">
      <c r="A773" s="106" t="s">
        <v>1728</v>
      </c>
      <c r="B773" s="105" t="s">
        <v>2872</v>
      </c>
      <c r="C773" s="105" t="s">
        <v>3230</v>
      </c>
      <c r="D773" s="149" t="s">
        <v>2873</v>
      </c>
      <c r="E773" s="105">
        <v>1</v>
      </c>
      <c r="F773" s="150" t="s">
        <v>2874</v>
      </c>
      <c r="G773" s="150" t="s">
        <v>2001</v>
      </c>
      <c r="H773" s="119">
        <f t="shared" si="33"/>
        <v>5.25</v>
      </c>
      <c r="I773" s="119"/>
      <c r="J773" s="151">
        <v>0</v>
      </c>
      <c r="K773" s="119">
        <f t="shared" si="34"/>
        <v>5.25</v>
      </c>
      <c r="L773" s="152">
        <f t="shared" si="35"/>
        <v>4.12</v>
      </c>
      <c r="M773" s="113"/>
    </row>
    <row r="774" spans="1:13" s="114" customFormat="1" x14ac:dyDescent="0.2">
      <c r="A774" s="106" t="s">
        <v>1728</v>
      </c>
      <c r="B774" s="105" t="s">
        <v>1997</v>
      </c>
      <c r="C774" s="105" t="s">
        <v>3230</v>
      </c>
      <c r="D774" s="149" t="s">
        <v>1999</v>
      </c>
      <c r="E774" s="105">
        <v>1</v>
      </c>
      <c r="F774" s="150" t="s">
        <v>2874</v>
      </c>
      <c r="G774" s="150" t="s">
        <v>2001</v>
      </c>
      <c r="H774" s="119">
        <f t="shared" ref="H774:H837" si="36">E774*G774</f>
        <v>5.25</v>
      </c>
      <c r="I774" s="119"/>
      <c r="J774" s="151">
        <v>0</v>
      </c>
      <c r="K774" s="119">
        <f t="shared" ref="K774:K837" si="37">H774+I774-J774</f>
        <v>5.25</v>
      </c>
      <c r="L774" s="152">
        <f t="shared" ref="L774:L837" si="38">E774*F774</f>
        <v>4.12</v>
      </c>
      <c r="M774" s="113"/>
    </row>
    <row r="775" spans="1:13" s="114" customFormat="1" x14ac:dyDescent="0.2">
      <c r="A775" s="106" t="s">
        <v>1728</v>
      </c>
      <c r="B775" s="105" t="s">
        <v>3034</v>
      </c>
      <c r="C775" s="105" t="s">
        <v>3231</v>
      </c>
      <c r="D775" s="149" t="s">
        <v>3036</v>
      </c>
      <c r="E775" s="105">
        <v>1</v>
      </c>
      <c r="F775" s="150" t="s">
        <v>2053</v>
      </c>
      <c r="G775" s="150" t="s">
        <v>2054</v>
      </c>
      <c r="H775" s="119">
        <f t="shared" si="36"/>
        <v>73.75</v>
      </c>
      <c r="I775" s="119"/>
      <c r="J775" s="151">
        <v>0</v>
      </c>
      <c r="K775" s="119">
        <f t="shared" si="37"/>
        <v>73.75</v>
      </c>
      <c r="L775" s="152">
        <f t="shared" si="38"/>
        <v>64</v>
      </c>
      <c r="M775" s="113"/>
    </row>
    <row r="776" spans="1:13" s="114" customFormat="1" x14ac:dyDescent="0.2">
      <c r="A776" s="106" t="s">
        <v>1728</v>
      </c>
      <c r="B776" s="105" t="s">
        <v>2884</v>
      </c>
      <c r="C776" s="105" t="s">
        <v>3232</v>
      </c>
      <c r="D776" s="149" t="s">
        <v>2886</v>
      </c>
      <c r="E776" s="105">
        <v>5</v>
      </c>
      <c r="F776" s="150" t="s">
        <v>3233</v>
      </c>
      <c r="G776" s="150" t="s">
        <v>2888</v>
      </c>
      <c r="H776" s="119">
        <f t="shared" si="36"/>
        <v>1678.75</v>
      </c>
      <c r="I776" s="119"/>
      <c r="J776" s="151">
        <v>0</v>
      </c>
      <c r="K776" s="119">
        <f t="shared" si="37"/>
        <v>1678.75</v>
      </c>
      <c r="L776" s="152">
        <f t="shared" si="38"/>
        <v>1426.9499999999998</v>
      </c>
      <c r="M776" s="113"/>
    </row>
    <row r="777" spans="1:13" s="114" customFormat="1" x14ac:dyDescent="0.2">
      <c r="A777" s="106" t="s">
        <v>1728</v>
      </c>
      <c r="B777" s="105" t="s">
        <v>2884</v>
      </c>
      <c r="C777" s="105" t="s">
        <v>3234</v>
      </c>
      <c r="D777" s="149" t="s">
        <v>2886</v>
      </c>
      <c r="E777" s="105">
        <v>4</v>
      </c>
      <c r="F777" s="150" t="s">
        <v>3233</v>
      </c>
      <c r="G777" s="150" t="s">
        <v>2888</v>
      </c>
      <c r="H777" s="119">
        <f t="shared" si="36"/>
        <v>1343</v>
      </c>
      <c r="I777" s="119"/>
      <c r="J777" s="151">
        <v>0</v>
      </c>
      <c r="K777" s="119">
        <f t="shared" si="37"/>
        <v>1343</v>
      </c>
      <c r="L777" s="152">
        <f t="shared" si="38"/>
        <v>1141.56</v>
      </c>
      <c r="M777" s="113"/>
    </row>
    <row r="778" spans="1:13" s="114" customFormat="1" x14ac:dyDescent="0.2">
      <c r="A778" s="106" t="s">
        <v>1728</v>
      </c>
      <c r="B778" s="105" t="s">
        <v>2146</v>
      </c>
      <c r="C778" s="105" t="s">
        <v>3235</v>
      </c>
      <c r="D778" s="149" t="s">
        <v>2147</v>
      </c>
      <c r="E778" s="105">
        <v>24</v>
      </c>
      <c r="F778" s="150" t="s">
        <v>1928</v>
      </c>
      <c r="G778" s="150" t="s">
        <v>2097</v>
      </c>
      <c r="H778" s="119">
        <f t="shared" si="36"/>
        <v>348</v>
      </c>
      <c r="I778" s="119"/>
      <c r="J778" s="151">
        <v>38</v>
      </c>
      <c r="K778" s="119">
        <f t="shared" si="37"/>
        <v>310</v>
      </c>
      <c r="L778" s="152">
        <f t="shared" si="38"/>
        <v>294</v>
      </c>
      <c r="M778" s="113"/>
    </row>
    <row r="779" spans="1:13" s="114" customFormat="1" x14ac:dyDescent="0.2">
      <c r="A779" s="106" t="s">
        <v>1728</v>
      </c>
      <c r="B779" s="105" t="s">
        <v>3078</v>
      </c>
      <c r="C779" s="105" t="s">
        <v>3235</v>
      </c>
      <c r="D779" s="149" t="s">
        <v>3080</v>
      </c>
      <c r="E779" s="105">
        <v>1</v>
      </c>
      <c r="F779" s="150" t="s">
        <v>3081</v>
      </c>
      <c r="G779" s="150" t="s">
        <v>3082</v>
      </c>
      <c r="H779" s="119">
        <f t="shared" si="36"/>
        <v>67.75</v>
      </c>
      <c r="I779" s="119"/>
      <c r="J779" s="151">
        <v>0</v>
      </c>
      <c r="K779" s="119">
        <f t="shared" si="37"/>
        <v>67.75</v>
      </c>
      <c r="L779" s="152">
        <f t="shared" si="38"/>
        <v>58.84</v>
      </c>
      <c r="M779" s="113"/>
    </row>
    <row r="780" spans="1:13" s="114" customFormat="1" x14ac:dyDescent="0.2">
      <c r="A780" s="106" t="s">
        <v>1728</v>
      </c>
      <c r="B780" s="105" t="s">
        <v>3236</v>
      </c>
      <c r="C780" s="105" t="s">
        <v>3235</v>
      </c>
      <c r="D780" s="149" t="s">
        <v>3237</v>
      </c>
      <c r="E780" s="105">
        <v>2</v>
      </c>
      <c r="F780" s="150" t="s">
        <v>2382</v>
      </c>
      <c r="G780" s="150" t="s">
        <v>2038</v>
      </c>
      <c r="H780" s="119">
        <f t="shared" si="36"/>
        <v>52.5</v>
      </c>
      <c r="I780" s="119"/>
      <c r="J780" s="151">
        <v>0</v>
      </c>
      <c r="K780" s="119">
        <f t="shared" si="37"/>
        <v>52.5</v>
      </c>
      <c r="L780" s="152">
        <f t="shared" si="38"/>
        <v>45.46</v>
      </c>
      <c r="M780" s="113"/>
    </row>
    <row r="781" spans="1:13" s="114" customFormat="1" x14ac:dyDescent="0.2">
      <c r="A781" s="106" t="s">
        <v>1728</v>
      </c>
      <c r="B781" s="105" t="s">
        <v>2380</v>
      </c>
      <c r="C781" s="105" t="s">
        <v>3238</v>
      </c>
      <c r="D781" s="149" t="s">
        <v>2381</v>
      </c>
      <c r="E781" s="105">
        <v>2</v>
      </c>
      <c r="F781" s="150" t="s">
        <v>2382</v>
      </c>
      <c r="G781" s="150" t="s">
        <v>2038</v>
      </c>
      <c r="H781" s="119">
        <f t="shared" si="36"/>
        <v>52.5</v>
      </c>
      <c r="I781" s="119"/>
      <c r="J781" s="151">
        <v>0</v>
      </c>
      <c r="K781" s="119">
        <f t="shared" si="37"/>
        <v>52.5</v>
      </c>
      <c r="L781" s="152">
        <f t="shared" si="38"/>
        <v>45.46</v>
      </c>
      <c r="M781" s="113"/>
    </row>
    <row r="782" spans="1:13" s="114" customFormat="1" x14ac:dyDescent="0.2">
      <c r="A782" s="106" t="s">
        <v>1728</v>
      </c>
      <c r="B782" s="105" t="s">
        <v>3239</v>
      </c>
      <c r="C782" s="105" t="s">
        <v>3238</v>
      </c>
      <c r="D782" s="149" t="s">
        <v>3240</v>
      </c>
      <c r="E782" s="105">
        <v>1</v>
      </c>
      <c r="F782" s="150" t="s">
        <v>1828</v>
      </c>
      <c r="G782" s="150" t="s">
        <v>3241</v>
      </c>
      <c r="H782" s="119">
        <f t="shared" si="36"/>
        <v>99</v>
      </c>
      <c r="I782" s="119"/>
      <c r="J782" s="151">
        <v>0</v>
      </c>
      <c r="K782" s="119">
        <f t="shared" si="37"/>
        <v>99</v>
      </c>
      <c r="L782" s="152">
        <f t="shared" si="38"/>
        <v>90</v>
      </c>
      <c r="M782" s="113"/>
    </row>
    <row r="783" spans="1:13" s="114" customFormat="1" x14ac:dyDescent="0.2">
      <c r="A783" s="106" t="s">
        <v>1728</v>
      </c>
      <c r="B783" s="105" t="s">
        <v>2867</v>
      </c>
      <c r="C783" s="105" t="s">
        <v>3242</v>
      </c>
      <c r="D783" s="149" t="s">
        <v>2869</v>
      </c>
      <c r="E783" s="105">
        <v>1</v>
      </c>
      <c r="F783" s="150" t="s">
        <v>2870</v>
      </c>
      <c r="G783" s="150" t="s">
        <v>2871</v>
      </c>
      <c r="H783" s="119">
        <f t="shared" si="36"/>
        <v>6.75</v>
      </c>
      <c r="I783" s="119"/>
      <c r="J783" s="151">
        <v>0</v>
      </c>
      <c r="K783" s="119">
        <f t="shared" si="37"/>
        <v>6.75</v>
      </c>
      <c r="L783" s="152">
        <f t="shared" si="38"/>
        <v>5.85</v>
      </c>
      <c r="M783" s="113"/>
    </row>
    <row r="784" spans="1:13" s="114" customFormat="1" x14ac:dyDescent="0.2">
      <c r="A784" s="106" t="s">
        <v>1728</v>
      </c>
      <c r="B784" s="105" t="s">
        <v>2867</v>
      </c>
      <c r="C784" s="105" t="s">
        <v>3243</v>
      </c>
      <c r="D784" s="149" t="s">
        <v>2869</v>
      </c>
      <c r="E784" s="105">
        <v>1</v>
      </c>
      <c r="F784" s="150" t="s">
        <v>2870</v>
      </c>
      <c r="G784" s="150" t="s">
        <v>2871</v>
      </c>
      <c r="H784" s="119">
        <f t="shared" si="36"/>
        <v>6.75</v>
      </c>
      <c r="I784" s="119"/>
      <c r="J784" s="151">
        <v>0</v>
      </c>
      <c r="K784" s="119">
        <f t="shared" si="37"/>
        <v>6.75</v>
      </c>
      <c r="L784" s="152">
        <f t="shared" si="38"/>
        <v>5.85</v>
      </c>
      <c r="M784" s="113"/>
    </row>
    <row r="785" spans="1:13" s="114" customFormat="1" x14ac:dyDescent="0.2">
      <c r="A785" s="106" t="s">
        <v>1728</v>
      </c>
      <c r="B785" s="105" t="s">
        <v>2977</v>
      </c>
      <c r="C785" s="105" t="s">
        <v>3244</v>
      </c>
      <c r="D785" s="149" t="s">
        <v>2978</v>
      </c>
      <c r="E785" s="105">
        <v>1</v>
      </c>
      <c r="F785" s="150" t="s">
        <v>2979</v>
      </c>
      <c r="G785" s="150" t="s">
        <v>1957</v>
      </c>
      <c r="H785" s="119">
        <f t="shared" si="36"/>
        <v>27</v>
      </c>
      <c r="I785" s="119"/>
      <c r="J785" s="151">
        <v>0</v>
      </c>
      <c r="K785" s="119">
        <f t="shared" si="37"/>
        <v>27</v>
      </c>
      <c r="L785" s="152">
        <f t="shared" si="38"/>
        <v>23.32</v>
      </c>
      <c r="M785" s="113"/>
    </row>
    <row r="786" spans="1:13" s="114" customFormat="1" x14ac:dyDescent="0.2">
      <c r="A786" s="106" t="s">
        <v>1728</v>
      </c>
      <c r="B786" s="105" t="s">
        <v>1893</v>
      </c>
      <c r="C786" s="105" t="s">
        <v>3245</v>
      </c>
      <c r="D786" s="149" t="s">
        <v>1894</v>
      </c>
      <c r="E786" s="105">
        <v>1</v>
      </c>
      <c r="F786" s="150" t="s">
        <v>2984</v>
      </c>
      <c r="G786" s="150" t="s">
        <v>2785</v>
      </c>
      <c r="H786" s="119">
        <f t="shared" si="36"/>
        <v>32.25</v>
      </c>
      <c r="I786" s="119"/>
      <c r="J786" s="151">
        <v>0</v>
      </c>
      <c r="K786" s="119">
        <f t="shared" si="37"/>
        <v>32.25</v>
      </c>
      <c r="L786" s="152">
        <f t="shared" si="38"/>
        <v>27.85</v>
      </c>
      <c r="M786" s="113"/>
    </row>
    <row r="787" spans="1:13" s="114" customFormat="1" x14ac:dyDescent="0.2">
      <c r="A787" s="106" t="s">
        <v>1728</v>
      </c>
      <c r="B787" s="105" t="s">
        <v>2158</v>
      </c>
      <c r="C787" s="105" t="s">
        <v>3246</v>
      </c>
      <c r="D787" s="149" t="s">
        <v>2160</v>
      </c>
      <c r="E787" s="105">
        <v>1</v>
      </c>
      <c r="F787" s="150" t="s">
        <v>2161</v>
      </c>
      <c r="G787" s="150" t="s">
        <v>1825</v>
      </c>
      <c r="H787" s="119">
        <f t="shared" si="36"/>
        <v>67.5</v>
      </c>
      <c r="I787" s="119"/>
      <c r="J787" s="151">
        <v>0</v>
      </c>
      <c r="K787" s="119">
        <f t="shared" si="37"/>
        <v>67.5</v>
      </c>
      <c r="L787" s="152">
        <f t="shared" si="38"/>
        <v>58.56</v>
      </c>
      <c r="M787" s="113"/>
    </row>
    <row r="788" spans="1:13" s="114" customFormat="1" x14ac:dyDescent="0.2">
      <c r="A788" s="106" t="s">
        <v>1728</v>
      </c>
      <c r="B788" s="105" t="s">
        <v>1781</v>
      </c>
      <c r="C788" s="105" t="s">
        <v>3247</v>
      </c>
      <c r="D788" s="149" t="s">
        <v>1782</v>
      </c>
      <c r="E788" s="105">
        <v>1</v>
      </c>
      <c r="F788" s="150" t="s">
        <v>1783</v>
      </c>
      <c r="G788" s="150" t="s">
        <v>1784</v>
      </c>
      <c r="H788" s="119">
        <f t="shared" si="36"/>
        <v>11</v>
      </c>
      <c r="I788" s="119"/>
      <c r="J788" s="151">
        <v>0</v>
      </c>
      <c r="K788" s="119">
        <f t="shared" si="37"/>
        <v>11</v>
      </c>
      <c r="L788" s="152">
        <f t="shared" si="38"/>
        <v>9.3800000000000008</v>
      </c>
      <c r="M788" s="113"/>
    </row>
    <row r="789" spans="1:13" s="114" customFormat="1" x14ac:dyDescent="0.2">
      <c r="A789" s="106" t="s">
        <v>1728</v>
      </c>
      <c r="B789" s="105" t="s">
        <v>2139</v>
      </c>
      <c r="C789" s="105" t="s">
        <v>3248</v>
      </c>
      <c r="D789" s="149" t="s">
        <v>2140</v>
      </c>
      <c r="E789" s="105">
        <v>1</v>
      </c>
      <c r="F789" s="150" t="s">
        <v>1832</v>
      </c>
      <c r="G789" s="150" t="s">
        <v>1833</v>
      </c>
      <c r="H789" s="119">
        <f t="shared" si="36"/>
        <v>18.5</v>
      </c>
      <c r="I789" s="119"/>
      <c r="J789" s="151">
        <v>0</v>
      </c>
      <c r="K789" s="119">
        <f t="shared" si="37"/>
        <v>18.5</v>
      </c>
      <c r="L789" s="152">
        <f t="shared" si="38"/>
        <v>16.03</v>
      </c>
      <c r="M789" s="113"/>
    </row>
    <row r="790" spans="1:13" s="114" customFormat="1" x14ac:dyDescent="0.2">
      <c r="A790" s="106" t="s">
        <v>1728</v>
      </c>
      <c r="B790" s="105" t="s">
        <v>1781</v>
      </c>
      <c r="C790" s="105" t="s">
        <v>3249</v>
      </c>
      <c r="D790" s="149" t="s">
        <v>1782</v>
      </c>
      <c r="E790" s="105">
        <v>1</v>
      </c>
      <c r="F790" s="150" t="s">
        <v>1783</v>
      </c>
      <c r="G790" s="150" t="s">
        <v>1784</v>
      </c>
      <c r="H790" s="119">
        <f t="shared" si="36"/>
        <v>11</v>
      </c>
      <c r="I790" s="119"/>
      <c r="J790" s="151">
        <v>0</v>
      </c>
      <c r="K790" s="119">
        <f t="shared" si="37"/>
        <v>11</v>
      </c>
      <c r="L790" s="152">
        <f t="shared" si="38"/>
        <v>9.3800000000000008</v>
      </c>
      <c r="M790" s="113"/>
    </row>
    <row r="791" spans="1:13" s="114" customFormat="1" x14ac:dyDescent="0.2">
      <c r="A791" s="106" t="s">
        <v>1728</v>
      </c>
      <c r="B791" s="105" t="s">
        <v>2313</v>
      </c>
      <c r="C791" s="105" t="s">
        <v>3250</v>
      </c>
      <c r="D791" s="149" t="s">
        <v>2314</v>
      </c>
      <c r="E791" s="105">
        <v>1</v>
      </c>
      <c r="F791" s="150" t="s">
        <v>2315</v>
      </c>
      <c r="G791" s="150" t="s">
        <v>2316</v>
      </c>
      <c r="H791" s="119">
        <f t="shared" si="36"/>
        <v>39.75</v>
      </c>
      <c r="I791" s="119"/>
      <c r="J791" s="151">
        <v>0</v>
      </c>
      <c r="K791" s="119">
        <f t="shared" si="37"/>
        <v>39.75</v>
      </c>
      <c r="L791" s="152">
        <f t="shared" si="38"/>
        <v>34.380000000000003</v>
      </c>
      <c r="M791" s="113"/>
    </row>
    <row r="792" spans="1:13" s="114" customFormat="1" x14ac:dyDescent="0.2">
      <c r="A792" s="106" t="s">
        <v>1728</v>
      </c>
      <c r="B792" s="105" t="s">
        <v>3251</v>
      </c>
      <c r="C792" s="105" t="s">
        <v>3252</v>
      </c>
      <c r="D792" s="149" t="s">
        <v>3253</v>
      </c>
      <c r="E792" s="105">
        <v>1</v>
      </c>
      <c r="F792" s="150" t="s">
        <v>3254</v>
      </c>
      <c r="G792" s="150" t="s">
        <v>3255</v>
      </c>
      <c r="H792" s="119">
        <f t="shared" si="36"/>
        <v>182.75</v>
      </c>
      <c r="I792" s="119"/>
      <c r="J792" s="151">
        <v>0</v>
      </c>
      <c r="K792" s="119">
        <f t="shared" si="37"/>
        <v>182.75</v>
      </c>
      <c r="L792" s="152">
        <f t="shared" si="38"/>
        <v>153.5</v>
      </c>
      <c r="M792" s="113"/>
    </row>
    <row r="793" spans="1:13" s="114" customFormat="1" x14ac:dyDescent="0.2">
      <c r="A793" s="106" t="s">
        <v>1728</v>
      </c>
      <c r="B793" s="105" t="s">
        <v>2055</v>
      </c>
      <c r="C793" s="105" t="s">
        <v>3252</v>
      </c>
      <c r="D793" s="149" t="s">
        <v>2056</v>
      </c>
      <c r="E793" s="105">
        <v>1</v>
      </c>
      <c r="F793" s="150" t="s">
        <v>1824</v>
      </c>
      <c r="G793" s="150" t="s">
        <v>1825</v>
      </c>
      <c r="H793" s="119">
        <f t="shared" si="36"/>
        <v>67.5</v>
      </c>
      <c r="I793" s="119"/>
      <c r="J793" s="151">
        <v>0</v>
      </c>
      <c r="K793" s="119">
        <f t="shared" si="37"/>
        <v>67.5</v>
      </c>
      <c r="L793" s="152">
        <f t="shared" si="38"/>
        <v>59.58</v>
      </c>
      <c r="M793" s="113"/>
    </row>
    <row r="794" spans="1:13" s="114" customFormat="1" x14ac:dyDescent="0.2">
      <c r="A794" s="106" t="s">
        <v>1728</v>
      </c>
      <c r="B794" s="105" t="s">
        <v>2327</v>
      </c>
      <c r="C794" s="105" t="s">
        <v>3252</v>
      </c>
      <c r="D794" s="149" t="s">
        <v>2329</v>
      </c>
      <c r="E794" s="105">
        <v>1</v>
      </c>
      <c r="F794" s="150" t="s">
        <v>2330</v>
      </c>
      <c r="G794" s="150" t="s">
        <v>2331</v>
      </c>
      <c r="H794" s="119">
        <f t="shared" si="36"/>
        <v>26.75</v>
      </c>
      <c r="I794" s="119"/>
      <c r="J794" s="151">
        <v>0</v>
      </c>
      <c r="K794" s="119">
        <f t="shared" si="37"/>
        <v>26.75</v>
      </c>
      <c r="L794" s="152">
        <f t="shared" si="38"/>
        <v>23.07</v>
      </c>
      <c r="M794" s="113"/>
    </row>
    <row r="795" spans="1:13" s="114" customFormat="1" x14ac:dyDescent="0.2">
      <c r="A795" s="106" t="s">
        <v>1728</v>
      </c>
      <c r="B795" s="105" t="s">
        <v>3083</v>
      </c>
      <c r="C795" s="105" t="s">
        <v>3252</v>
      </c>
      <c r="D795" s="149" t="s">
        <v>3085</v>
      </c>
      <c r="E795" s="105">
        <v>1</v>
      </c>
      <c r="F795" s="150" t="s">
        <v>3086</v>
      </c>
      <c r="G795" s="150" t="s">
        <v>2026</v>
      </c>
      <c r="H795" s="119">
        <f t="shared" si="36"/>
        <v>34.5</v>
      </c>
      <c r="I795" s="119"/>
      <c r="J795" s="151">
        <v>0</v>
      </c>
      <c r="K795" s="119">
        <f t="shared" si="37"/>
        <v>34.5</v>
      </c>
      <c r="L795" s="152">
        <f t="shared" si="38"/>
        <v>29.95</v>
      </c>
      <c r="M795" s="113"/>
    </row>
    <row r="796" spans="1:13" s="114" customFormat="1" x14ac:dyDescent="0.2">
      <c r="A796" s="106" t="s">
        <v>1728</v>
      </c>
      <c r="B796" s="105" t="s">
        <v>2327</v>
      </c>
      <c r="C796" s="105" t="s">
        <v>3256</v>
      </c>
      <c r="D796" s="149" t="s">
        <v>2329</v>
      </c>
      <c r="E796" s="105">
        <v>1</v>
      </c>
      <c r="F796" s="150" t="s">
        <v>2330</v>
      </c>
      <c r="G796" s="150" t="s">
        <v>2331</v>
      </c>
      <c r="H796" s="119">
        <f t="shared" si="36"/>
        <v>26.75</v>
      </c>
      <c r="I796" s="119"/>
      <c r="J796" s="151">
        <v>0</v>
      </c>
      <c r="K796" s="119">
        <f t="shared" si="37"/>
        <v>26.75</v>
      </c>
      <c r="L796" s="152">
        <f t="shared" si="38"/>
        <v>23.07</v>
      </c>
      <c r="M796" s="113"/>
    </row>
    <row r="797" spans="1:13" s="114" customFormat="1" x14ac:dyDescent="0.2">
      <c r="A797" s="106" t="s">
        <v>3257</v>
      </c>
      <c r="B797" s="105" t="s">
        <v>2018</v>
      </c>
      <c r="C797" s="105" t="s">
        <v>3258</v>
      </c>
      <c r="D797" s="149" t="s">
        <v>2019</v>
      </c>
      <c r="E797" s="105">
        <v>1</v>
      </c>
      <c r="F797" s="150" t="s">
        <v>2020</v>
      </c>
      <c r="G797" s="150" t="s">
        <v>2021</v>
      </c>
      <c r="H797" s="119">
        <f t="shared" si="36"/>
        <v>36.75</v>
      </c>
      <c r="I797" s="119"/>
      <c r="J797" s="151">
        <v>0</v>
      </c>
      <c r="K797" s="119">
        <f t="shared" si="37"/>
        <v>36.75</v>
      </c>
      <c r="L797" s="152">
        <f t="shared" si="38"/>
        <v>30.79</v>
      </c>
      <c r="M797" s="113"/>
    </row>
    <row r="798" spans="1:13" s="114" customFormat="1" x14ac:dyDescent="0.2">
      <c r="A798" s="106" t="s">
        <v>3257</v>
      </c>
      <c r="B798" s="105" t="s">
        <v>2694</v>
      </c>
      <c r="C798" s="105" t="s">
        <v>3258</v>
      </c>
      <c r="D798" s="149" t="s">
        <v>2695</v>
      </c>
      <c r="E798" s="105">
        <v>1</v>
      </c>
      <c r="F798" s="150" t="s">
        <v>2696</v>
      </c>
      <c r="G798" s="150" t="s">
        <v>2697</v>
      </c>
      <c r="H798" s="119">
        <f t="shared" si="36"/>
        <v>74.25</v>
      </c>
      <c r="I798" s="119"/>
      <c r="J798" s="151">
        <v>0</v>
      </c>
      <c r="K798" s="119">
        <f t="shared" si="37"/>
        <v>74.25</v>
      </c>
      <c r="L798" s="152">
        <f t="shared" si="38"/>
        <v>64.489999999999995</v>
      </c>
      <c r="M798" s="113"/>
    </row>
    <row r="799" spans="1:13" s="114" customFormat="1" x14ac:dyDescent="0.2">
      <c r="A799" s="106" t="s">
        <v>3257</v>
      </c>
      <c r="B799" s="105" t="s">
        <v>2317</v>
      </c>
      <c r="C799" s="105" t="s">
        <v>3259</v>
      </c>
      <c r="D799" s="149" t="s">
        <v>2319</v>
      </c>
      <c r="E799" s="105">
        <v>1</v>
      </c>
      <c r="F799" s="150" t="s">
        <v>2172</v>
      </c>
      <c r="G799" s="150" t="s">
        <v>2320</v>
      </c>
      <c r="H799" s="119">
        <f t="shared" si="36"/>
        <v>54.75</v>
      </c>
      <c r="I799" s="119"/>
      <c r="J799" s="151">
        <v>0</v>
      </c>
      <c r="K799" s="119">
        <f t="shared" si="37"/>
        <v>54.75</v>
      </c>
      <c r="L799" s="152">
        <f t="shared" si="38"/>
        <v>47.5</v>
      </c>
      <c r="M799" s="113"/>
    </row>
    <row r="800" spans="1:13" s="114" customFormat="1" x14ac:dyDescent="0.2">
      <c r="A800" s="106" t="s">
        <v>3257</v>
      </c>
      <c r="B800" s="105" t="s">
        <v>3260</v>
      </c>
      <c r="C800" s="105" t="s">
        <v>3259</v>
      </c>
      <c r="D800" s="149" t="s">
        <v>3261</v>
      </c>
      <c r="E800" s="105">
        <v>1</v>
      </c>
      <c r="F800" s="150" t="s">
        <v>3262</v>
      </c>
      <c r="G800" s="150" t="s">
        <v>3263</v>
      </c>
      <c r="H800" s="119">
        <f t="shared" si="36"/>
        <v>175</v>
      </c>
      <c r="I800" s="119"/>
      <c r="J800" s="151">
        <v>0</v>
      </c>
      <c r="K800" s="119">
        <f t="shared" si="37"/>
        <v>175</v>
      </c>
      <c r="L800" s="152">
        <f t="shared" si="38"/>
        <v>152</v>
      </c>
      <c r="M800" s="113"/>
    </row>
    <row r="801" spans="1:13" s="114" customFormat="1" x14ac:dyDescent="0.2">
      <c r="A801" s="106" t="s">
        <v>3257</v>
      </c>
      <c r="B801" s="105" t="s">
        <v>1857</v>
      </c>
      <c r="C801" s="105" t="s">
        <v>3264</v>
      </c>
      <c r="D801" s="149" t="s">
        <v>1858</v>
      </c>
      <c r="E801" s="105">
        <v>1</v>
      </c>
      <c r="F801" s="150" t="s">
        <v>1859</v>
      </c>
      <c r="G801" s="150" t="s">
        <v>1860</v>
      </c>
      <c r="H801" s="119">
        <f t="shared" si="36"/>
        <v>17.5</v>
      </c>
      <c r="I801" s="119"/>
      <c r="J801" s="151">
        <v>0</v>
      </c>
      <c r="K801" s="119">
        <f t="shared" si="37"/>
        <v>17.5</v>
      </c>
      <c r="L801" s="152">
        <f t="shared" si="38"/>
        <v>15.12</v>
      </c>
      <c r="M801" s="113"/>
    </row>
    <row r="802" spans="1:13" s="114" customFormat="1" x14ac:dyDescent="0.2">
      <c r="A802" s="106" t="s">
        <v>3257</v>
      </c>
      <c r="B802" s="105" t="s">
        <v>2633</v>
      </c>
      <c r="C802" s="105" t="s">
        <v>3264</v>
      </c>
      <c r="D802" s="149" t="s">
        <v>2635</v>
      </c>
      <c r="E802" s="105">
        <v>2</v>
      </c>
      <c r="F802" s="150" t="s">
        <v>2204</v>
      </c>
      <c r="G802" s="150" t="s">
        <v>2433</v>
      </c>
      <c r="H802" s="119">
        <f t="shared" si="36"/>
        <v>32</v>
      </c>
      <c r="I802" s="119"/>
      <c r="J802" s="151">
        <v>0</v>
      </c>
      <c r="K802" s="119">
        <f t="shared" si="37"/>
        <v>32</v>
      </c>
      <c r="L802" s="152">
        <f t="shared" si="38"/>
        <v>28</v>
      </c>
      <c r="M802" s="113"/>
    </row>
    <row r="803" spans="1:13" s="114" customFormat="1" x14ac:dyDescent="0.2">
      <c r="A803" s="106" t="s">
        <v>3257</v>
      </c>
      <c r="B803" s="105" t="s">
        <v>2826</v>
      </c>
      <c r="C803" s="105" t="s">
        <v>3265</v>
      </c>
      <c r="D803" s="149" t="s">
        <v>2827</v>
      </c>
      <c r="E803" s="105">
        <v>2</v>
      </c>
      <c r="F803" s="150" t="s">
        <v>2828</v>
      </c>
      <c r="G803" s="150" t="s">
        <v>2829</v>
      </c>
      <c r="H803" s="119">
        <f t="shared" si="36"/>
        <v>9</v>
      </c>
      <c r="I803" s="119"/>
      <c r="J803" s="151">
        <v>0</v>
      </c>
      <c r="K803" s="119">
        <f t="shared" si="37"/>
        <v>9</v>
      </c>
      <c r="L803" s="152">
        <f t="shared" si="38"/>
        <v>7.44</v>
      </c>
      <c r="M803" s="113"/>
    </row>
    <row r="804" spans="1:13" s="114" customFormat="1" x14ac:dyDescent="0.2">
      <c r="A804" s="106" t="s">
        <v>3257</v>
      </c>
      <c r="B804" s="105" t="s">
        <v>2550</v>
      </c>
      <c r="C804" s="105" t="s">
        <v>3265</v>
      </c>
      <c r="D804" s="149" t="s">
        <v>2552</v>
      </c>
      <c r="E804" s="105">
        <v>3</v>
      </c>
      <c r="F804" s="150" t="s">
        <v>2370</v>
      </c>
      <c r="G804" s="150" t="s">
        <v>1853</v>
      </c>
      <c r="H804" s="119">
        <f t="shared" si="36"/>
        <v>22.5</v>
      </c>
      <c r="I804" s="119"/>
      <c r="J804" s="151">
        <v>0</v>
      </c>
      <c r="K804" s="119">
        <f t="shared" si="37"/>
        <v>22.5</v>
      </c>
      <c r="L804" s="152">
        <f t="shared" si="38"/>
        <v>19.14</v>
      </c>
      <c r="M804" s="113"/>
    </row>
    <row r="805" spans="1:13" s="114" customFormat="1" x14ac:dyDescent="0.2">
      <c r="A805" s="106" t="s">
        <v>3257</v>
      </c>
      <c r="B805" s="105" t="s">
        <v>3072</v>
      </c>
      <c r="C805" s="105" t="s">
        <v>3266</v>
      </c>
      <c r="D805" s="149" t="s">
        <v>3074</v>
      </c>
      <c r="E805" s="105">
        <v>1</v>
      </c>
      <c r="F805" s="150" t="s">
        <v>3075</v>
      </c>
      <c r="G805" s="150" t="s">
        <v>3076</v>
      </c>
      <c r="H805" s="119">
        <f t="shared" si="36"/>
        <v>18.600000000000001</v>
      </c>
      <c r="I805" s="119"/>
      <c r="J805" s="151">
        <v>0</v>
      </c>
      <c r="K805" s="119">
        <f t="shared" si="37"/>
        <v>18.600000000000001</v>
      </c>
      <c r="L805" s="152">
        <f t="shared" si="38"/>
        <v>16.91</v>
      </c>
      <c r="M805" s="113"/>
    </row>
    <row r="806" spans="1:13" s="114" customFormat="1" x14ac:dyDescent="0.2">
      <c r="A806" s="106" t="s">
        <v>3257</v>
      </c>
      <c r="B806" s="105" t="s">
        <v>3267</v>
      </c>
      <c r="C806" s="105" t="s">
        <v>3266</v>
      </c>
      <c r="D806" s="149" t="s">
        <v>3268</v>
      </c>
      <c r="E806" s="105">
        <v>1</v>
      </c>
      <c r="F806" s="150" t="s">
        <v>3269</v>
      </c>
      <c r="G806" s="150" t="s">
        <v>3270</v>
      </c>
      <c r="H806" s="119">
        <f t="shared" si="36"/>
        <v>13.5</v>
      </c>
      <c r="I806" s="119"/>
      <c r="J806" s="151">
        <v>0</v>
      </c>
      <c r="K806" s="119">
        <f t="shared" si="37"/>
        <v>13.5</v>
      </c>
      <c r="L806" s="152">
        <f t="shared" si="38"/>
        <v>11.5</v>
      </c>
      <c r="M806" s="113"/>
    </row>
    <row r="807" spans="1:13" s="114" customFormat="1" x14ac:dyDescent="0.2">
      <c r="A807" s="106" t="s">
        <v>3257</v>
      </c>
      <c r="B807" s="105" t="s">
        <v>2226</v>
      </c>
      <c r="C807" s="105" t="s">
        <v>3266</v>
      </c>
      <c r="D807" s="149" t="s">
        <v>2228</v>
      </c>
      <c r="E807" s="105">
        <v>6</v>
      </c>
      <c r="F807" s="150" t="s">
        <v>2229</v>
      </c>
      <c r="G807" s="150" t="s">
        <v>2230</v>
      </c>
      <c r="H807" s="119">
        <f t="shared" si="36"/>
        <v>138</v>
      </c>
      <c r="I807" s="119"/>
      <c r="J807" s="151">
        <v>0</v>
      </c>
      <c r="K807" s="119">
        <f t="shared" si="37"/>
        <v>138</v>
      </c>
      <c r="L807" s="152">
        <f t="shared" si="38"/>
        <v>116.82</v>
      </c>
      <c r="M807" s="113"/>
    </row>
    <row r="808" spans="1:13" s="114" customFormat="1" x14ac:dyDescent="0.2">
      <c r="A808" s="106" t="s">
        <v>3257</v>
      </c>
      <c r="B808" s="105" t="s">
        <v>2100</v>
      </c>
      <c r="C808" s="105" t="s">
        <v>3266</v>
      </c>
      <c r="D808" s="149" t="s">
        <v>2101</v>
      </c>
      <c r="E808" s="105">
        <v>1</v>
      </c>
      <c r="F808" s="150" t="s">
        <v>2102</v>
      </c>
      <c r="G808" s="150" t="s">
        <v>2046</v>
      </c>
      <c r="H808" s="119">
        <f t="shared" si="36"/>
        <v>7.75</v>
      </c>
      <c r="I808" s="119"/>
      <c r="J808" s="151">
        <v>0</v>
      </c>
      <c r="K808" s="119">
        <f t="shared" si="37"/>
        <v>7.75</v>
      </c>
      <c r="L808" s="152">
        <f t="shared" si="38"/>
        <v>6.73</v>
      </c>
      <c r="M808" s="113"/>
    </row>
    <row r="809" spans="1:13" s="114" customFormat="1" x14ac:dyDescent="0.2">
      <c r="A809" s="106" t="s">
        <v>3257</v>
      </c>
      <c r="B809" s="105" t="s">
        <v>1781</v>
      </c>
      <c r="C809" s="105" t="s">
        <v>3271</v>
      </c>
      <c r="D809" s="149" t="s">
        <v>1782</v>
      </c>
      <c r="E809" s="105">
        <v>1</v>
      </c>
      <c r="F809" s="150" t="s">
        <v>1783</v>
      </c>
      <c r="G809" s="150" t="s">
        <v>1784</v>
      </c>
      <c r="H809" s="119">
        <f t="shared" si="36"/>
        <v>11</v>
      </c>
      <c r="I809" s="119"/>
      <c r="J809" s="151">
        <v>0</v>
      </c>
      <c r="K809" s="119">
        <f t="shared" si="37"/>
        <v>11</v>
      </c>
      <c r="L809" s="152">
        <f t="shared" si="38"/>
        <v>9.3800000000000008</v>
      </c>
      <c r="M809" s="113"/>
    </row>
    <row r="810" spans="1:13" s="114" customFormat="1" x14ac:dyDescent="0.2">
      <c r="A810" s="106" t="s">
        <v>3257</v>
      </c>
      <c r="B810" s="105" t="s">
        <v>2908</v>
      </c>
      <c r="C810" s="105" t="s">
        <v>3271</v>
      </c>
      <c r="D810" s="149" t="s">
        <v>2910</v>
      </c>
      <c r="E810" s="105">
        <v>5</v>
      </c>
      <c r="F810" s="150" t="s">
        <v>1980</v>
      </c>
      <c r="G810" s="150" t="s">
        <v>1981</v>
      </c>
      <c r="H810" s="119">
        <f t="shared" si="36"/>
        <v>5</v>
      </c>
      <c r="I810" s="119"/>
      <c r="J810" s="151">
        <v>0</v>
      </c>
      <c r="K810" s="119">
        <f t="shared" si="37"/>
        <v>5</v>
      </c>
      <c r="L810" s="152">
        <f t="shared" si="38"/>
        <v>3.8</v>
      </c>
      <c r="M810" s="113"/>
    </row>
    <row r="811" spans="1:13" s="114" customFormat="1" x14ac:dyDescent="0.2">
      <c r="A811" s="106" t="s">
        <v>3257</v>
      </c>
      <c r="B811" s="105" t="s">
        <v>1977</v>
      </c>
      <c r="C811" s="105" t="s">
        <v>3271</v>
      </c>
      <c r="D811" s="149" t="s">
        <v>1979</v>
      </c>
      <c r="E811" s="105">
        <v>3</v>
      </c>
      <c r="F811" s="150" t="s">
        <v>1980</v>
      </c>
      <c r="G811" s="150" t="s">
        <v>1981</v>
      </c>
      <c r="H811" s="119">
        <f t="shared" si="36"/>
        <v>3</v>
      </c>
      <c r="I811" s="119"/>
      <c r="J811" s="151">
        <v>0</v>
      </c>
      <c r="K811" s="119">
        <f t="shared" si="37"/>
        <v>3</v>
      </c>
      <c r="L811" s="152">
        <f t="shared" si="38"/>
        <v>2.2800000000000002</v>
      </c>
      <c r="M811" s="113"/>
    </row>
    <row r="812" spans="1:13" s="114" customFormat="1" x14ac:dyDescent="0.2">
      <c r="A812" s="106" t="s">
        <v>3257</v>
      </c>
      <c r="B812" s="105" t="s">
        <v>3272</v>
      </c>
      <c r="C812" s="105" t="s">
        <v>3273</v>
      </c>
      <c r="D812" s="149" t="s">
        <v>3274</v>
      </c>
      <c r="E812" s="105">
        <v>3</v>
      </c>
      <c r="F812" s="150" t="s">
        <v>3275</v>
      </c>
      <c r="G812" s="150" t="s">
        <v>2871</v>
      </c>
      <c r="H812" s="119">
        <f t="shared" si="36"/>
        <v>20.25</v>
      </c>
      <c r="I812" s="119"/>
      <c r="J812" s="151">
        <v>0</v>
      </c>
      <c r="K812" s="119">
        <f t="shared" si="37"/>
        <v>20.25</v>
      </c>
      <c r="L812" s="152">
        <f t="shared" si="38"/>
        <v>17.34</v>
      </c>
      <c r="M812" s="113"/>
    </row>
    <row r="813" spans="1:13" s="114" customFormat="1" x14ac:dyDescent="0.2">
      <c r="A813" s="106" t="s">
        <v>3257</v>
      </c>
      <c r="B813" s="105" t="s">
        <v>2323</v>
      </c>
      <c r="C813" s="105" t="s">
        <v>3276</v>
      </c>
      <c r="D813" s="149" t="s">
        <v>2325</v>
      </c>
      <c r="E813" s="105">
        <v>1</v>
      </c>
      <c r="F813" s="150" t="s">
        <v>2326</v>
      </c>
      <c r="G813" s="150" t="s">
        <v>1932</v>
      </c>
      <c r="H813" s="119">
        <f t="shared" si="36"/>
        <v>22</v>
      </c>
      <c r="I813" s="119"/>
      <c r="J813" s="151">
        <v>0</v>
      </c>
      <c r="K813" s="119">
        <f t="shared" si="37"/>
        <v>22</v>
      </c>
      <c r="L813" s="152">
        <f t="shared" si="38"/>
        <v>19.100000000000001</v>
      </c>
      <c r="M813" s="113"/>
    </row>
    <row r="814" spans="1:13" s="114" customFormat="1" x14ac:dyDescent="0.2">
      <c r="A814" s="106" t="s">
        <v>3257</v>
      </c>
      <c r="B814" s="105" t="s">
        <v>2959</v>
      </c>
      <c r="C814" s="105" t="s">
        <v>3277</v>
      </c>
      <c r="D814" s="149" t="s">
        <v>2960</v>
      </c>
      <c r="E814" s="105">
        <v>1</v>
      </c>
      <c r="F814" s="150" t="s">
        <v>2961</v>
      </c>
      <c r="G814" s="150" t="s">
        <v>2962</v>
      </c>
      <c r="H814" s="119">
        <f t="shared" si="36"/>
        <v>615</v>
      </c>
      <c r="I814" s="119"/>
      <c r="J814" s="151">
        <v>0</v>
      </c>
      <c r="K814" s="119">
        <f t="shared" si="37"/>
        <v>615</v>
      </c>
      <c r="L814" s="152">
        <f t="shared" si="38"/>
        <v>529.58000000000004</v>
      </c>
      <c r="M814" s="113"/>
    </row>
    <row r="815" spans="1:13" s="114" customFormat="1" x14ac:dyDescent="0.2">
      <c r="A815" s="106" t="s">
        <v>3257</v>
      </c>
      <c r="B815" s="105" t="s">
        <v>3116</v>
      </c>
      <c r="C815" s="105" t="s">
        <v>3277</v>
      </c>
      <c r="D815" s="149" t="s">
        <v>3117</v>
      </c>
      <c r="E815" s="105">
        <v>1</v>
      </c>
      <c r="F815" s="150" t="s">
        <v>3118</v>
      </c>
      <c r="G815" s="150" t="s">
        <v>2070</v>
      </c>
      <c r="H815" s="119">
        <f t="shared" si="36"/>
        <v>38</v>
      </c>
      <c r="I815" s="119"/>
      <c r="J815" s="151">
        <v>0</v>
      </c>
      <c r="K815" s="119">
        <f t="shared" si="37"/>
        <v>38</v>
      </c>
      <c r="L815" s="152">
        <f t="shared" si="38"/>
        <v>27.69</v>
      </c>
      <c r="M815" s="113"/>
    </row>
    <row r="816" spans="1:13" s="114" customFormat="1" x14ac:dyDescent="0.2">
      <c r="A816" s="106" t="s">
        <v>3257</v>
      </c>
      <c r="B816" s="105" t="s">
        <v>1997</v>
      </c>
      <c r="C816" s="105" t="s">
        <v>3278</v>
      </c>
      <c r="D816" s="149" t="s">
        <v>1999</v>
      </c>
      <c r="E816" s="105">
        <v>2</v>
      </c>
      <c r="F816" s="150" t="s">
        <v>2874</v>
      </c>
      <c r="G816" s="150" t="s">
        <v>2001</v>
      </c>
      <c r="H816" s="119">
        <f t="shared" si="36"/>
        <v>10.5</v>
      </c>
      <c r="I816" s="119"/>
      <c r="J816" s="151">
        <v>0</v>
      </c>
      <c r="K816" s="119">
        <f t="shared" si="37"/>
        <v>10.5</v>
      </c>
      <c r="L816" s="152">
        <f t="shared" si="38"/>
        <v>8.24</v>
      </c>
      <c r="M816" s="113"/>
    </row>
    <row r="817" spans="1:13" s="114" customFormat="1" x14ac:dyDescent="0.2">
      <c r="A817" s="106" t="s">
        <v>3257</v>
      </c>
      <c r="B817" s="105" t="s">
        <v>1977</v>
      </c>
      <c r="C817" s="105" t="s">
        <v>3278</v>
      </c>
      <c r="D817" s="149" t="s">
        <v>1979</v>
      </c>
      <c r="E817" s="105">
        <v>1</v>
      </c>
      <c r="F817" s="150" t="s">
        <v>1980</v>
      </c>
      <c r="G817" s="150" t="s">
        <v>1981</v>
      </c>
      <c r="H817" s="119">
        <f t="shared" si="36"/>
        <v>1</v>
      </c>
      <c r="I817" s="119"/>
      <c r="J817" s="151">
        <v>0</v>
      </c>
      <c r="K817" s="119">
        <f t="shared" si="37"/>
        <v>1</v>
      </c>
      <c r="L817" s="152">
        <f t="shared" si="38"/>
        <v>0.76</v>
      </c>
      <c r="M817" s="113"/>
    </row>
    <row r="818" spans="1:13" s="114" customFormat="1" x14ac:dyDescent="0.2">
      <c r="A818" s="106" t="s">
        <v>3257</v>
      </c>
      <c r="B818" s="105" t="s">
        <v>1951</v>
      </c>
      <c r="C818" s="105" t="s">
        <v>3279</v>
      </c>
      <c r="D818" s="149" t="s">
        <v>1952</v>
      </c>
      <c r="E818" s="105">
        <v>1</v>
      </c>
      <c r="F818" s="150" t="s">
        <v>1796</v>
      </c>
      <c r="G818" s="150" t="s">
        <v>1797</v>
      </c>
      <c r="H818" s="119">
        <f t="shared" si="36"/>
        <v>14.75</v>
      </c>
      <c r="I818" s="119"/>
      <c r="J818" s="151">
        <v>0</v>
      </c>
      <c r="K818" s="119">
        <f t="shared" si="37"/>
        <v>14.75</v>
      </c>
      <c r="L818" s="152">
        <f t="shared" si="38"/>
        <v>12.77</v>
      </c>
      <c r="M818" s="113"/>
    </row>
    <row r="819" spans="1:13" s="114" customFormat="1" x14ac:dyDescent="0.2">
      <c r="A819" s="106" t="s">
        <v>3257</v>
      </c>
      <c r="B819" s="105" t="s">
        <v>3280</v>
      </c>
      <c r="C819" s="105" t="s">
        <v>3279</v>
      </c>
      <c r="D819" s="149" t="s">
        <v>3281</v>
      </c>
      <c r="E819" s="105">
        <v>1</v>
      </c>
      <c r="F819" s="150" t="s">
        <v>2562</v>
      </c>
      <c r="G819" s="150" t="s">
        <v>2563</v>
      </c>
      <c r="H819" s="119">
        <f t="shared" si="36"/>
        <v>46.25</v>
      </c>
      <c r="I819" s="119"/>
      <c r="J819" s="151">
        <v>0</v>
      </c>
      <c r="K819" s="119">
        <f t="shared" si="37"/>
        <v>46.25</v>
      </c>
      <c r="L819" s="152">
        <f t="shared" si="38"/>
        <v>40.06</v>
      </c>
      <c r="M819" s="113"/>
    </row>
    <row r="820" spans="1:13" s="114" customFormat="1" x14ac:dyDescent="0.2">
      <c r="A820" s="106" t="s">
        <v>3257</v>
      </c>
      <c r="B820" s="105" t="s">
        <v>2377</v>
      </c>
      <c r="C820" s="105" t="s">
        <v>3279</v>
      </c>
      <c r="D820" s="149" t="s">
        <v>2378</v>
      </c>
      <c r="E820" s="105">
        <v>2</v>
      </c>
      <c r="F820" s="150" t="s">
        <v>1800</v>
      </c>
      <c r="G820" s="150" t="s">
        <v>1801</v>
      </c>
      <c r="H820" s="119">
        <f t="shared" si="36"/>
        <v>19</v>
      </c>
      <c r="I820" s="119"/>
      <c r="J820" s="151">
        <v>0</v>
      </c>
      <c r="K820" s="119">
        <f t="shared" si="37"/>
        <v>19</v>
      </c>
      <c r="L820" s="152">
        <f t="shared" si="38"/>
        <v>16.399999999999999</v>
      </c>
      <c r="M820" s="113"/>
    </row>
    <row r="821" spans="1:13" s="114" customFormat="1" x14ac:dyDescent="0.2">
      <c r="A821" s="106" t="s">
        <v>3257</v>
      </c>
      <c r="B821" s="105" t="s">
        <v>3072</v>
      </c>
      <c r="C821" s="105" t="s">
        <v>3282</v>
      </c>
      <c r="D821" s="149" t="s">
        <v>3074</v>
      </c>
      <c r="E821" s="105">
        <v>1</v>
      </c>
      <c r="F821" s="150" t="s">
        <v>3075</v>
      </c>
      <c r="G821" s="150" t="s">
        <v>3076</v>
      </c>
      <c r="H821" s="119">
        <f t="shared" si="36"/>
        <v>18.600000000000001</v>
      </c>
      <c r="I821" s="119"/>
      <c r="J821" s="151">
        <v>0</v>
      </c>
      <c r="K821" s="119">
        <f t="shared" si="37"/>
        <v>18.600000000000001</v>
      </c>
      <c r="L821" s="152">
        <f t="shared" si="38"/>
        <v>16.91</v>
      </c>
      <c r="M821" s="113"/>
    </row>
    <row r="822" spans="1:13" s="114" customFormat="1" x14ac:dyDescent="0.2">
      <c r="A822" s="106" t="s">
        <v>3257</v>
      </c>
      <c r="B822" s="105" t="s">
        <v>2072</v>
      </c>
      <c r="C822" s="105" t="s">
        <v>3283</v>
      </c>
      <c r="D822" s="149" t="s">
        <v>2074</v>
      </c>
      <c r="E822" s="105">
        <v>1</v>
      </c>
      <c r="F822" s="150" t="s">
        <v>2075</v>
      </c>
      <c r="G822" s="150" t="s">
        <v>2076</v>
      </c>
      <c r="H822" s="119">
        <f t="shared" si="36"/>
        <v>10.5</v>
      </c>
      <c r="I822" s="119"/>
      <c r="J822" s="151">
        <v>0</v>
      </c>
      <c r="K822" s="119">
        <f t="shared" si="37"/>
        <v>10.5</v>
      </c>
      <c r="L822" s="152">
        <f t="shared" si="38"/>
        <v>9.1</v>
      </c>
      <c r="M822" s="113"/>
    </row>
    <row r="823" spans="1:13" s="114" customFormat="1" x14ac:dyDescent="0.2">
      <c r="A823" s="153" t="s">
        <v>3257</v>
      </c>
      <c r="B823" s="154" t="s">
        <v>2185</v>
      </c>
      <c r="C823" s="154" t="s">
        <v>3284</v>
      </c>
      <c r="D823" s="155" t="s">
        <v>2187</v>
      </c>
      <c r="E823" s="154">
        <v>1</v>
      </c>
      <c r="F823" s="146"/>
      <c r="G823" s="146" t="s">
        <v>2188</v>
      </c>
      <c r="H823" s="147">
        <f t="shared" si="36"/>
        <v>59.5</v>
      </c>
      <c r="I823" s="147"/>
      <c r="J823" s="156">
        <v>0</v>
      </c>
      <c r="K823" s="147">
        <f t="shared" si="37"/>
        <v>59.5</v>
      </c>
      <c r="L823" s="148">
        <f t="shared" si="38"/>
        <v>0</v>
      </c>
      <c r="M823" s="113"/>
    </row>
    <row r="824" spans="1:13" s="114" customFormat="1" x14ac:dyDescent="0.2">
      <c r="A824" s="153" t="s">
        <v>3257</v>
      </c>
      <c r="B824" s="154" t="s">
        <v>1777</v>
      </c>
      <c r="C824" s="154" t="s">
        <v>3284</v>
      </c>
      <c r="D824" s="155" t="s">
        <v>1779</v>
      </c>
      <c r="E824" s="154">
        <v>1</v>
      </c>
      <c r="F824" s="146"/>
      <c r="G824" s="146" t="s">
        <v>1780</v>
      </c>
      <c r="H824" s="147">
        <f t="shared" si="36"/>
        <v>58</v>
      </c>
      <c r="I824" s="147"/>
      <c r="J824" s="156">
        <v>0</v>
      </c>
      <c r="K824" s="147">
        <f t="shared" si="37"/>
        <v>58</v>
      </c>
      <c r="L824" s="148">
        <f t="shared" si="38"/>
        <v>0</v>
      </c>
      <c r="M824" s="113"/>
    </row>
    <row r="825" spans="1:13" s="114" customFormat="1" x14ac:dyDescent="0.2">
      <c r="A825" s="106" t="s">
        <v>3257</v>
      </c>
      <c r="B825" s="105" t="s">
        <v>3116</v>
      </c>
      <c r="C825" s="105" t="s">
        <v>3284</v>
      </c>
      <c r="D825" s="149" t="s">
        <v>3117</v>
      </c>
      <c r="E825" s="105">
        <v>1</v>
      </c>
      <c r="F825" s="150" t="s">
        <v>3118</v>
      </c>
      <c r="G825" s="150" t="s">
        <v>2070</v>
      </c>
      <c r="H825" s="119">
        <f t="shared" si="36"/>
        <v>38</v>
      </c>
      <c r="I825" s="119"/>
      <c r="J825" s="151">
        <v>0</v>
      </c>
      <c r="K825" s="119">
        <f t="shared" si="37"/>
        <v>38</v>
      </c>
      <c r="L825" s="152">
        <f t="shared" si="38"/>
        <v>27.69</v>
      </c>
      <c r="M825" s="113"/>
    </row>
    <row r="826" spans="1:13" s="114" customFormat="1" x14ac:dyDescent="0.2">
      <c r="A826" s="106" t="s">
        <v>3257</v>
      </c>
      <c r="B826" s="105" t="s">
        <v>3285</v>
      </c>
      <c r="C826" s="105" t="s">
        <v>3286</v>
      </c>
      <c r="D826" s="149" t="s">
        <v>3287</v>
      </c>
      <c r="E826" s="105">
        <v>1</v>
      </c>
      <c r="F826" s="150" t="s">
        <v>3288</v>
      </c>
      <c r="G826" s="150" t="s">
        <v>1957</v>
      </c>
      <c r="H826" s="119">
        <f t="shared" si="36"/>
        <v>27</v>
      </c>
      <c r="I826" s="119"/>
      <c r="J826" s="151">
        <v>0</v>
      </c>
      <c r="K826" s="119">
        <f t="shared" si="37"/>
        <v>27</v>
      </c>
      <c r="L826" s="152">
        <f t="shared" si="38"/>
        <v>20</v>
      </c>
      <c r="M826" s="113"/>
    </row>
    <row r="827" spans="1:13" s="114" customFormat="1" x14ac:dyDescent="0.2">
      <c r="A827" s="106" t="s">
        <v>3257</v>
      </c>
      <c r="B827" s="105" t="s">
        <v>2550</v>
      </c>
      <c r="C827" s="105" t="s">
        <v>3289</v>
      </c>
      <c r="D827" s="149" t="s">
        <v>2552</v>
      </c>
      <c r="E827" s="105">
        <v>2</v>
      </c>
      <c r="F827" s="150" t="s">
        <v>2370</v>
      </c>
      <c r="G827" s="150" t="s">
        <v>1853</v>
      </c>
      <c r="H827" s="119">
        <f t="shared" si="36"/>
        <v>15</v>
      </c>
      <c r="I827" s="119"/>
      <c r="J827" s="151">
        <v>0</v>
      </c>
      <c r="K827" s="119">
        <f t="shared" si="37"/>
        <v>15</v>
      </c>
      <c r="L827" s="152">
        <f t="shared" si="38"/>
        <v>12.76</v>
      </c>
      <c r="M827" s="113"/>
    </row>
    <row r="828" spans="1:13" s="114" customFormat="1" x14ac:dyDescent="0.2">
      <c r="A828" s="106" t="s">
        <v>3257</v>
      </c>
      <c r="B828" s="105" t="s">
        <v>3280</v>
      </c>
      <c r="C828" s="105" t="s">
        <v>3290</v>
      </c>
      <c r="D828" s="149" t="s">
        <v>3281</v>
      </c>
      <c r="E828" s="105">
        <v>1</v>
      </c>
      <c r="F828" s="150" t="s">
        <v>2562</v>
      </c>
      <c r="G828" s="150" t="s">
        <v>2563</v>
      </c>
      <c r="H828" s="119">
        <f t="shared" si="36"/>
        <v>46.25</v>
      </c>
      <c r="I828" s="119"/>
      <c r="J828" s="151">
        <v>0</v>
      </c>
      <c r="K828" s="119">
        <f t="shared" si="37"/>
        <v>46.25</v>
      </c>
      <c r="L828" s="152">
        <f t="shared" si="38"/>
        <v>40.06</v>
      </c>
      <c r="M828" s="113"/>
    </row>
    <row r="829" spans="1:13" s="114" customFormat="1" x14ac:dyDescent="0.2">
      <c r="A829" s="106" t="s">
        <v>3257</v>
      </c>
      <c r="B829" s="105" t="s">
        <v>2380</v>
      </c>
      <c r="C829" s="105" t="s">
        <v>3290</v>
      </c>
      <c r="D829" s="149" t="s">
        <v>2381</v>
      </c>
      <c r="E829" s="105">
        <v>1</v>
      </c>
      <c r="F829" s="150" t="s">
        <v>2382</v>
      </c>
      <c r="G829" s="150" t="s">
        <v>2038</v>
      </c>
      <c r="H829" s="119">
        <f t="shared" si="36"/>
        <v>26.25</v>
      </c>
      <c r="I829" s="119"/>
      <c r="J829" s="151">
        <v>0</v>
      </c>
      <c r="K829" s="119">
        <f t="shared" si="37"/>
        <v>26.25</v>
      </c>
      <c r="L829" s="152">
        <f t="shared" si="38"/>
        <v>22.73</v>
      </c>
      <c r="M829" s="113"/>
    </row>
    <row r="830" spans="1:13" s="114" customFormat="1" x14ac:dyDescent="0.2">
      <c r="A830" s="106" t="s">
        <v>3257</v>
      </c>
      <c r="B830" s="105" t="s">
        <v>2423</v>
      </c>
      <c r="C830" s="105" t="s">
        <v>3291</v>
      </c>
      <c r="D830" s="149" t="s">
        <v>2425</v>
      </c>
      <c r="E830" s="105">
        <v>1</v>
      </c>
      <c r="F830" s="150" t="s">
        <v>2426</v>
      </c>
      <c r="G830" s="150" t="s">
        <v>2427</v>
      </c>
      <c r="H830" s="119">
        <f t="shared" si="36"/>
        <v>21.5</v>
      </c>
      <c r="I830" s="119"/>
      <c r="J830" s="151">
        <v>0</v>
      </c>
      <c r="K830" s="119">
        <f t="shared" si="37"/>
        <v>21.5</v>
      </c>
      <c r="L830" s="152">
        <f t="shared" si="38"/>
        <v>18.53</v>
      </c>
      <c r="M830" s="113"/>
    </row>
    <row r="831" spans="1:13" s="114" customFormat="1" x14ac:dyDescent="0.2">
      <c r="A831" s="106" t="s">
        <v>3257</v>
      </c>
      <c r="B831" s="105" t="s">
        <v>2323</v>
      </c>
      <c r="C831" s="105" t="s">
        <v>3291</v>
      </c>
      <c r="D831" s="149" t="s">
        <v>2325</v>
      </c>
      <c r="E831" s="105">
        <v>1</v>
      </c>
      <c r="F831" s="150" t="s">
        <v>2326</v>
      </c>
      <c r="G831" s="150" t="s">
        <v>1932</v>
      </c>
      <c r="H831" s="119">
        <f t="shared" si="36"/>
        <v>22</v>
      </c>
      <c r="I831" s="119"/>
      <c r="J831" s="151">
        <v>0</v>
      </c>
      <c r="K831" s="119">
        <f t="shared" si="37"/>
        <v>22</v>
      </c>
      <c r="L831" s="152">
        <f t="shared" si="38"/>
        <v>19.100000000000001</v>
      </c>
      <c r="M831" s="113"/>
    </row>
    <row r="832" spans="1:13" s="114" customFormat="1" x14ac:dyDescent="0.2">
      <c r="A832" s="106" t="s">
        <v>3257</v>
      </c>
      <c r="B832" s="105" t="s">
        <v>2327</v>
      </c>
      <c r="C832" s="105" t="s">
        <v>3292</v>
      </c>
      <c r="D832" s="149" t="s">
        <v>2329</v>
      </c>
      <c r="E832" s="105">
        <v>1</v>
      </c>
      <c r="F832" s="150" t="s">
        <v>2330</v>
      </c>
      <c r="G832" s="150" t="s">
        <v>2331</v>
      </c>
      <c r="H832" s="119">
        <f t="shared" si="36"/>
        <v>26.75</v>
      </c>
      <c r="I832" s="119"/>
      <c r="J832" s="151">
        <v>0</v>
      </c>
      <c r="K832" s="119">
        <f t="shared" si="37"/>
        <v>26.75</v>
      </c>
      <c r="L832" s="152">
        <f t="shared" si="38"/>
        <v>23.07</v>
      </c>
      <c r="M832" s="113"/>
    </row>
    <row r="833" spans="1:13" s="114" customFormat="1" x14ac:dyDescent="0.2">
      <c r="A833" s="106" t="s">
        <v>3257</v>
      </c>
      <c r="B833" s="105" t="s">
        <v>2139</v>
      </c>
      <c r="C833" s="105" t="s">
        <v>3293</v>
      </c>
      <c r="D833" s="149" t="s">
        <v>2140</v>
      </c>
      <c r="E833" s="105">
        <v>2</v>
      </c>
      <c r="F833" s="150" t="s">
        <v>1832</v>
      </c>
      <c r="G833" s="150" t="s">
        <v>1833</v>
      </c>
      <c r="H833" s="119">
        <f t="shared" si="36"/>
        <v>37</v>
      </c>
      <c r="I833" s="119"/>
      <c r="J833" s="151">
        <v>0</v>
      </c>
      <c r="K833" s="119">
        <f t="shared" si="37"/>
        <v>37</v>
      </c>
      <c r="L833" s="152">
        <f t="shared" si="38"/>
        <v>32.06</v>
      </c>
      <c r="M833" s="113"/>
    </row>
    <row r="834" spans="1:13" s="114" customFormat="1" x14ac:dyDescent="0.2">
      <c r="A834" s="106" t="s">
        <v>3257</v>
      </c>
      <c r="B834" s="105" t="s">
        <v>3267</v>
      </c>
      <c r="C834" s="105" t="s">
        <v>3294</v>
      </c>
      <c r="D834" s="149" t="s">
        <v>3268</v>
      </c>
      <c r="E834" s="105">
        <v>10</v>
      </c>
      <c r="F834" s="150" t="s">
        <v>3269</v>
      </c>
      <c r="G834" s="150" t="s">
        <v>3270</v>
      </c>
      <c r="H834" s="119">
        <f t="shared" si="36"/>
        <v>135</v>
      </c>
      <c r="I834" s="119"/>
      <c r="J834" s="151">
        <v>0</v>
      </c>
      <c r="K834" s="119">
        <f t="shared" si="37"/>
        <v>135</v>
      </c>
      <c r="L834" s="152">
        <f t="shared" si="38"/>
        <v>115</v>
      </c>
      <c r="M834" s="113"/>
    </row>
    <row r="835" spans="1:13" s="114" customFormat="1" x14ac:dyDescent="0.2">
      <c r="A835" s="106" t="s">
        <v>3257</v>
      </c>
      <c r="B835" s="105" t="s">
        <v>2867</v>
      </c>
      <c r="C835" s="105" t="s">
        <v>3295</v>
      </c>
      <c r="D835" s="149" t="s">
        <v>2869</v>
      </c>
      <c r="E835" s="105">
        <v>1</v>
      </c>
      <c r="F835" s="150" t="s">
        <v>2870</v>
      </c>
      <c r="G835" s="150" t="s">
        <v>2871</v>
      </c>
      <c r="H835" s="119">
        <f t="shared" si="36"/>
        <v>6.75</v>
      </c>
      <c r="I835" s="119"/>
      <c r="J835" s="151">
        <v>0</v>
      </c>
      <c r="K835" s="119">
        <f t="shared" si="37"/>
        <v>6.75</v>
      </c>
      <c r="L835" s="152">
        <f t="shared" si="38"/>
        <v>5.85</v>
      </c>
      <c r="M835" s="113"/>
    </row>
    <row r="836" spans="1:13" s="114" customFormat="1" x14ac:dyDescent="0.2">
      <c r="A836" s="106" t="s">
        <v>3257</v>
      </c>
      <c r="B836" s="105" t="s">
        <v>2438</v>
      </c>
      <c r="C836" s="105" t="s">
        <v>3296</v>
      </c>
      <c r="D836" s="149" t="s">
        <v>2440</v>
      </c>
      <c r="E836" s="105">
        <v>1</v>
      </c>
      <c r="F836" s="150" t="s">
        <v>1859</v>
      </c>
      <c r="G836" s="150" t="s">
        <v>1860</v>
      </c>
      <c r="H836" s="119">
        <f t="shared" si="36"/>
        <v>17.5</v>
      </c>
      <c r="I836" s="119"/>
      <c r="J836" s="151">
        <v>0</v>
      </c>
      <c r="K836" s="119">
        <f t="shared" si="37"/>
        <v>17.5</v>
      </c>
      <c r="L836" s="152">
        <f t="shared" si="38"/>
        <v>15.12</v>
      </c>
      <c r="M836" s="113"/>
    </row>
    <row r="837" spans="1:13" s="114" customFormat="1" x14ac:dyDescent="0.2">
      <c r="A837" s="106" t="s">
        <v>3257</v>
      </c>
      <c r="B837" s="105" t="s">
        <v>3297</v>
      </c>
      <c r="C837" s="105" t="s">
        <v>3298</v>
      </c>
      <c r="D837" s="149" t="s">
        <v>3299</v>
      </c>
      <c r="E837" s="105">
        <v>1</v>
      </c>
      <c r="F837" s="150" t="s">
        <v>3300</v>
      </c>
      <c r="G837" s="150" t="s">
        <v>2156</v>
      </c>
      <c r="H837" s="119">
        <f t="shared" si="36"/>
        <v>22.75</v>
      </c>
      <c r="I837" s="119"/>
      <c r="J837" s="151">
        <v>0</v>
      </c>
      <c r="K837" s="119">
        <f t="shared" si="37"/>
        <v>22.75</v>
      </c>
      <c r="L837" s="152">
        <f t="shared" si="38"/>
        <v>19.600000000000001</v>
      </c>
      <c r="M837" s="113"/>
    </row>
    <row r="838" spans="1:13" s="114" customFormat="1" x14ac:dyDescent="0.2">
      <c r="A838" s="106" t="s">
        <v>3257</v>
      </c>
      <c r="B838" s="105" t="s">
        <v>2727</v>
      </c>
      <c r="C838" s="105" t="s">
        <v>3298</v>
      </c>
      <c r="D838" s="149" t="s">
        <v>2729</v>
      </c>
      <c r="E838" s="105">
        <v>1</v>
      </c>
      <c r="F838" s="150" t="s">
        <v>2046</v>
      </c>
      <c r="G838" s="150" t="s">
        <v>2730</v>
      </c>
      <c r="H838" s="119">
        <f t="shared" ref="H838:H901" si="39">E838*G838</f>
        <v>9</v>
      </c>
      <c r="I838" s="119"/>
      <c r="J838" s="151">
        <v>0</v>
      </c>
      <c r="K838" s="119">
        <f t="shared" ref="K838:K901" si="40">H838+I838-J838</f>
        <v>9</v>
      </c>
      <c r="L838" s="152">
        <f t="shared" ref="L838:L901" si="41">E838*F838</f>
        <v>7.75</v>
      </c>
      <c r="M838" s="113"/>
    </row>
    <row r="839" spans="1:13" s="114" customFormat="1" x14ac:dyDescent="0.2">
      <c r="A839" s="106" t="s">
        <v>3257</v>
      </c>
      <c r="B839" s="105" t="s">
        <v>2323</v>
      </c>
      <c r="C839" s="105" t="s">
        <v>3298</v>
      </c>
      <c r="D839" s="149" t="s">
        <v>2325</v>
      </c>
      <c r="E839" s="105">
        <v>1</v>
      </c>
      <c r="F839" s="150" t="s">
        <v>2326</v>
      </c>
      <c r="G839" s="150" t="s">
        <v>1932</v>
      </c>
      <c r="H839" s="119">
        <f t="shared" si="39"/>
        <v>22</v>
      </c>
      <c r="I839" s="119"/>
      <c r="J839" s="151">
        <v>0</v>
      </c>
      <c r="K839" s="119">
        <f t="shared" si="40"/>
        <v>22</v>
      </c>
      <c r="L839" s="152">
        <f t="shared" si="41"/>
        <v>19.100000000000001</v>
      </c>
      <c r="M839" s="113"/>
    </row>
    <row r="840" spans="1:13" s="114" customFormat="1" x14ac:dyDescent="0.2">
      <c r="A840" s="106" t="s">
        <v>3257</v>
      </c>
      <c r="B840" s="105" t="s">
        <v>2831</v>
      </c>
      <c r="C840" s="105" t="s">
        <v>3298</v>
      </c>
      <c r="D840" s="149" t="s">
        <v>2833</v>
      </c>
      <c r="E840" s="105">
        <v>1</v>
      </c>
      <c r="F840" s="150" t="s">
        <v>1886</v>
      </c>
      <c r="G840" s="150" t="s">
        <v>2046</v>
      </c>
      <c r="H840" s="119">
        <f t="shared" si="39"/>
        <v>7.75</v>
      </c>
      <c r="I840" s="119"/>
      <c r="J840" s="151">
        <v>0</v>
      </c>
      <c r="K840" s="119">
        <f t="shared" si="40"/>
        <v>7.75</v>
      </c>
      <c r="L840" s="152">
        <f t="shared" si="41"/>
        <v>6.83</v>
      </c>
      <c r="M840" s="113"/>
    </row>
    <row r="841" spans="1:13" s="114" customFormat="1" x14ac:dyDescent="0.2">
      <c r="A841" s="106" t="s">
        <v>3257</v>
      </c>
      <c r="B841" s="105" t="s">
        <v>3072</v>
      </c>
      <c r="C841" s="105" t="s">
        <v>3301</v>
      </c>
      <c r="D841" s="149" t="s">
        <v>3074</v>
      </c>
      <c r="E841" s="105">
        <v>1</v>
      </c>
      <c r="F841" s="150" t="s">
        <v>3075</v>
      </c>
      <c r="G841" s="150" t="s">
        <v>3076</v>
      </c>
      <c r="H841" s="119">
        <f t="shared" si="39"/>
        <v>18.600000000000001</v>
      </c>
      <c r="I841" s="119"/>
      <c r="J841" s="151">
        <v>0</v>
      </c>
      <c r="K841" s="119">
        <f t="shared" si="40"/>
        <v>18.600000000000001</v>
      </c>
      <c r="L841" s="152">
        <f t="shared" si="41"/>
        <v>16.91</v>
      </c>
      <c r="M841" s="113"/>
    </row>
    <row r="842" spans="1:13" s="114" customFormat="1" x14ac:dyDescent="0.2">
      <c r="A842" s="153" t="s">
        <v>3257</v>
      </c>
      <c r="B842" s="154" t="s">
        <v>1902</v>
      </c>
      <c r="C842" s="154" t="s">
        <v>3301</v>
      </c>
      <c r="D842" s="155" t="s">
        <v>1903</v>
      </c>
      <c r="E842" s="154">
        <v>1</v>
      </c>
      <c r="F842" s="146"/>
      <c r="G842" s="146" t="s">
        <v>1904</v>
      </c>
      <c r="H842" s="147">
        <f t="shared" si="39"/>
        <v>19.25</v>
      </c>
      <c r="I842" s="147"/>
      <c r="J842" s="156">
        <v>0</v>
      </c>
      <c r="K842" s="147">
        <f t="shared" si="40"/>
        <v>19.25</v>
      </c>
      <c r="L842" s="148">
        <f t="shared" si="41"/>
        <v>0</v>
      </c>
      <c r="M842" s="113"/>
    </row>
    <row r="843" spans="1:13" s="114" customFormat="1" x14ac:dyDescent="0.2">
      <c r="A843" s="106" t="s">
        <v>3257</v>
      </c>
      <c r="B843" s="105" t="s">
        <v>3105</v>
      </c>
      <c r="C843" s="105" t="s">
        <v>3301</v>
      </c>
      <c r="D843" s="149" t="s">
        <v>3106</v>
      </c>
      <c r="E843" s="105">
        <v>1</v>
      </c>
      <c r="F843" s="150" t="s">
        <v>3107</v>
      </c>
      <c r="G843" s="150" t="s">
        <v>2297</v>
      </c>
      <c r="H843" s="119">
        <f t="shared" si="39"/>
        <v>45</v>
      </c>
      <c r="I843" s="119"/>
      <c r="J843" s="151">
        <v>0</v>
      </c>
      <c r="K843" s="119">
        <f t="shared" si="40"/>
        <v>45</v>
      </c>
      <c r="L843" s="152">
        <f t="shared" si="41"/>
        <v>40.950000000000003</v>
      </c>
      <c r="M843" s="113"/>
    </row>
    <row r="844" spans="1:13" s="114" customFormat="1" x14ac:dyDescent="0.2">
      <c r="A844" s="106" t="s">
        <v>3257</v>
      </c>
      <c r="B844" s="105" t="s">
        <v>2323</v>
      </c>
      <c r="C844" s="105" t="s">
        <v>3302</v>
      </c>
      <c r="D844" s="149" t="s">
        <v>2325</v>
      </c>
      <c r="E844" s="105">
        <v>1</v>
      </c>
      <c r="F844" s="150" t="s">
        <v>2326</v>
      </c>
      <c r="G844" s="150" t="s">
        <v>1932</v>
      </c>
      <c r="H844" s="119">
        <f t="shared" si="39"/>
        <v>22</v>
      </c>
      <c r="I844" s="119"/>
      <c r="J844" s="151">
        <v>0</v>
      </c>
      <c r="K844" s="119">
        <f t="shared" si="40"/>
        <v>22</v>
      </c>
      <c r="L844" s="152">
        <f t="shared" si="41"/>
        <v>19.100000000000001</v>
      </c>
      <c r="M844" s="113"/>
    </row>
    <row r="845" spans="1:13" s="114" customFormat="1" x14ac:dyDescent="0.2">
      <c r="A845" s="106" t="s">
        <v>3257</v>
      </c>
      <c r="B845" s="105" t="s">
        <v>1977</v>
      </c>
      <c r="C845" s="105" t="s">
        <v>3303</v>
      </c>
      <c r="D845" s="149" t="s">
        <v>1979</v>
      </c>
      <c r="E845" s="105">
        <v>10</v>
      </c>
      <c r="F845" s="150" t="s">
        <v>1980</v>
      </c>
      <c r="G845" s="150" t="s">
        <v>1981</v>
      </c>
      <c r="H845" s="119">
        <f t="shared" si="39"/>
        <v>10</v>
      </c>
      <c r="I845" s="119"/>
      <c r="J845" s="151">
        <v>0</v>
      </c>
      <c r="K845" s="119">
        <f t="shared" si="40"/>
        <v>10</v>
      </c>
      <c r="L845" s="152">
        <f t="shared" si="41"/>
        <v>7.6</v>
      </c>
      <c r="M845" s="113"/>
    </row>
    <row r="846" spans="1:13" s="114" customFormat="1" x14ac:dyDescent="0.2">
      <c r="A846" s="106" t="s">
        <v>3257</v>
      </c>
      <c r="B846" s="105" t="s">
        <v>3304</v>
      </c>
      <c r="C846" s="105" t="s">
        <v>3305</v>
      </c>
      <c r="D846" s="149" t="s">
        <v>3306</v>
      </c>
      <c r="E846" s="105">
        <v>1</v>
      </c>
      <c r="F846" s="150" t="s">
        <v>2037</v>
      </c>
      <c r="G846" s="150" t="s">
        <v>2038</v>
      </c>
      <c r="H846" s="119">
        <f t="shared" si="39"/>
        <v>26.25</v>
      </c>
      <c r="I846" s="119"/>
      <c r="J846" s="151">
        <v>0</v>
      </c>
      <c r="K846" s="119">
        <f t="shared" si="40"/>
        <v>26.25</v>
      </c>
      <c r="L846" s="152">
        <f t="shared" si="41"/>
        <v>22.7</v>
      </c>
      <c r="M846" s="113"/>
    </row>
    <row r="847" spans="1:13" s="114" customFormat="1" x14ac:dyDescent="0.2">
      <c r="A847" s="106" t="s">
        <v>3257</v>
      </c>
      <c r="B847" s="105" t="s">
        <v>3307</v>
      </c>
      <c r="C847" s="105" t="s">
        <v>3305</v>
      </c>
      <c r="D847" s="149" t="s">
        <v>3308</v>
      </c>
      <c r="E847" s="105">
        <v>1</v>
      </c>
      <c r="F847" s="150" t="s">
        <v>2796</v>
      </c>
      <c r="G847" s="150" t="s">
        <v>2331</v>
      </c>
      <c r="H847" s="119">
        <f t="shared" si="39"/>
        <v>26.75</v>
      </c>
      <c r="I847" s="119"/>
      <c r="J847" s="151">
        <v>0</v>
      </c>
      <c r="K847" s="119">
        <f t="shared" si="40"/>
        <v>26.75</v>
      </c>
      <c r="L847" s="152">
        <f t="shared" si="41"/>
        <v>23.15</v>
      </c>
      <c r="M847" s="113"/>
    </row>
    <row r="848" spans="1:13" s="114" customFormat="1" x14ac:dyDescent="0.2">
      <c r="A848" s="106" t="s">
        <v>3257</v>
      </c>
      <c r="B848" s="105" t="s">
        <v>3309</v>
      </c>
      <c r="C848" s="105" t="s">
        <v>3305</v>
      </c>
      <c r="D848" s="149" t="s">
        <v>3310</v>
      </c>
      <c r="E848" s="105">
        <v>1</v>
      </c>
      <c r="F848" s="150" t="s">
        <v>3311</v>
      </c>
      <c r="G848" s="150" t="s">
        <v>2939</v>
      </c>
      <c r="H848" s="119">
        <f t="shared" si="39"/>
        <v>58.5</v>
      </c>
      <c r="I848" s="119"/>
      <c r="J848" s="151">
        <v>0</v>
      </c>
      <c r="K848" s="119">
        <f t="shared" si="40"/>
        <v>58.5</v>
      </c>
      <c r="L848" s="152">
        <f t="shared" si="41"/>
        <v>50.8</v>
      </c>
      <c r="M848" s="113"/>
    </row>
    <row r="849" spans="1:13" s="114" customFormat="1" x14ac:dyDescent="0.2">
      <c r="A849" s="106" t="s">
        <v>3257</v>
      </c>
      <c r="B849" s="105" t="s">
        <v>3312</v>
      </c>
      <c r="C849" s="105" t="s">
        <v>3305</v>
      </c>
      <c r="D849" s="149" t="s">
        <v>3313</v>
      </c>
      <c r="E849" s="105">
        <v>1</v>
      </c>
      <c r="F849" s="150" t="s">
        <v>2255</v>
      </c>
      <c r="G849" s="150" t="s">
        <v>2256</v>
      </c>
      <c r="H849" s="119">
        <f t="shared" si="39"/>
        <v>67.25</v>
      </c>
      <c r="I849" s="119"/>
      <c r="J849" s="151">
        <v>0</v>
      </c>
      <c r="K849" s="119">
        <f t="shared" si="40"/>
        <v>67.25</v>
      </c>
      <c r="L849" s="152">
        <f t="shared" si="41"/>
        <v>58.45</v>
      </c>
      <c r="M849" s="113"/>
    </row>
    <row r="850" spans="1:13" s="114" customFormat="1" x14ac:dyDescent="0.2">
      <c r="A850" s="106" t="s">
        <v>3257</v>
      </c>
      <c r="B850" s="105" t="s">
        <v>3314</v>
      </c>
      <c r="C850" s="105" t="s">
        <v>3315</v>
      </c>
      <c r="D850" s="149" t="s">
        <v>3316</v>
      </c>
      <c r="E850" s="105">
        <v>3</v>
      </c>
      <c r="F850" s="150" t="s">
        <v>3317</v>
      </c>
      <c r="G850" s="150" t="s">
        <v>1809</v>
      </c>
      <c r="H850" s="119">
        <f t="shared" si="39"/>
        <v>54</v>
      </c>
      <c r="I850" s="119"/>
      <c r="J850" s="151">
        <v>0</v>
      </c>
      <c r="K850" s="119">
        <f t="shared" si="40"/>
        <v>54</v>
      </c>
      <c r="L850" s="152">
        <f t="shared" si="41"/>
        <v>47.04</v>
      </c>
      <c r="M850" s="113"/>
    </row>
    <row r="851" spans="1:13" s="114" customFormat="1" x14ac:dyDescent="0.2">
      <c r="A851" s="106" t="s">
        <v>3257</v>
      </c>
      <c r="B851" s="105" t="s">
        <v>2146</v>
      </c>
      <c r="C851" s="105" t="s">
        <v>3315</v>
      </c>
      <c r="D851" s="149" t="s">
        <v>2147</v>
      </c>
      <c r="E851" s="105">
        <v>4</v>
      </c>
      <c r="F851" s="150" t="s">
        <v>1928</v>
      </c>
      <c r="G851" s="150" t="s">
        <v>2097</v>
      </c>
      <c r="H851" s="119">
        <f t="shared" si="39"/>
        <v>58</v>
      </c>
      <c r="I851" s="119"/>
      <c r="J851" s="151">
        <v>0</v>
      </c>
      <c r="K851" s="119">
        <f t="shared" si="40"/>
        <v>58</v>
      </c>
      <c r="L851" s="152">
        <f t="shared" si="41"/>
        <v>49</v>
      </c>
      <c r="M851" s="113"/>
    </row>
    <row r="852" spans="1:13" s="114" customFormat="1" x14ac:dyDescent="0.2">
      <c r="A852" s="106" t="s">
        <v>3257</v>
      </c>
      <c r="B852" s="105" t="s">
        <v>1962</v>
      </c>
      <c r="C852" s="105" t="s">
        <v>3315</v>
      </c>
      <c r="D852" s="149" t="s">
        <v>1964</v>
      </c>
      <c r="E852" s="105">
        <v>1</v>
      </c>
      <c r="F852" s="150" t="s">
        <v>1965</v>
      </c>
      <c r="G852" s="150" t="s">
        <v>1966</v>
      </c>
      <c r="H852" s="119">
        <f t="shared" si="39"/>
        <v>8.25</v>
      </c>
      <c r="I852" s="119"/>
      <c r="J852" s="151">
        <v>0</v>
      </c>
      <c r="K852" s="119">
        <f t="shared" si="40"/>
        <v>8.25</v>
      </c>
      <c r="L852" s="152">
        <f t="shared" si="41"/>
        <v>7.06</v>
      </c>
      <c r="M852" s="113"/>
    </row>
    <row r="853" spans="1:13" s="114" customFormat="1" x14ac:dyDescent="0.2">
      <c r="A853" s="106" t="s">
        <v>3257</v>
      </c>
      <c r="B853" s="105" t="s">
        <v>2639</v>
      </c>
      <c r="C853" s="105" t="s">
        <v>3318</v>
      </c>
      <c r="D853" s="149" t="s">
        <v>2640</v>
      </c>
      <c r="E853" s="105">
        <v>1</v>
      </c>
      <c r="F853" s="150" t="s">
        <v>2641</v>
      </c>
      <c r="G853" s="150" t="s">
        <v>2642</v>
      </c>
      <c r="H853" s="119">
        <f t="shared" si="39"/>
        <v>19.75</v>
      </c>
      <c r="I853" s="119"/>
      <c r="J853" s="151">
        <v>0</v>
      </c>
      <c r="K853" s="119">
        <f t="shared" si="40"/>
        <v>19.75</v>
      </c>
      <c r="L853" s="152">
        <f t="shared" si="41"/>
        <v>17.059999999999999</v>
      </c>
      <c r="M853" s="113"/>
    </row>
    <row r="854" spans="1:13" s="114" customFormat="1" x14ac:dyDescent="0.2">
      <c r="A854" s="106" t="s">
        <v>3257</v>
      </c>
      <c r="B854" s="105" t="s">
        <v>3319</v>
      </c>
      <c r="C854" s="105" t="s">
        <v>3318</v>
      </c>
      <c r="D854" s="149" t="s">
        <v>3320</v>
      </c>
      <c r="E854" s="105">
        <v>1</v>
      </c>
      <c r="F854" s="150" t="s">
        <v>3321</v>
      </c>
      <c r="G854" s="150" t="s">
        <v>2871</v>
      </c>
      <c r="H854" s="119">
        <f t="shared" si="39"/>
        <v>6.75</v>
      </c>
      <c r="I854" s="119"/>
      <c r="J854" s="151">
        <v>0</v>
      </c>
      <c r="K854" s="119">
        <f t="shared" si="40"/>
        <v>6.75</v>
      </c>
      <c r="L854" s="152">
        <f t="shared" si="41"/>
        <v>5.92</v>
      </c>
      <c r="M854" s="113"/>
    </row>
    <row r="855" spans="1:13" s="114" customFormat="1" x14ac:dyDescent="0.2">
      <c r="A855" s="153" t="s">
        <v>3257</v>
      </c>
      <c r="B855" s="154" t="s">
        <v>2581</v>
      </c>
      <c r="C855" s="154" t="s">
        <v>3322</v>
      </c>
      <c r="D855" s="155" t="s">
        <v>2583</v>
      </c>
      <c r="E855" s="154">
        <v>2</v>
      </c>
      <c r="F855" s="146"/>
      <c r="G855" s="146" t="s">
        <v>1939</v>
      </c>
      <c r="H855" s="147">
        <f t="shared" si="39"/>
        <v>14.5</v>
      </c>
      <c r="I855" s="147"/>
      <c r="J855" s="156">
        <v>0</v>
      </c>
      <c r="K855" s="147">
        <f t="shared" si="40"/>
        <v>14.5</v>
      </c>
      <c r="L855" s="148">
        <f t="shared" si="41"/>
        <v>0</v>
      </c>
      <c r="M855" s="113"/>
    </row>
    <row r="856" spans="1:13" s="114" customFormat="1" x14ac:dyDescent="0.2">
      <c r="A856" s="106" t="s">
        <v>3257</v>
      </c>
      <c r="B856" s="105" t="s">
        <v>2521</v>
      </c>
      <c r="C856" s="105" t="s">
        <v>3322</v>
      </c>
      <c r="D856" s="149" t="s">
        <v>2522</v>
      </c>
      <c r="E856" s="105">
        <v>2</v>
      </c>
      <c r="F856" s="150" t="s">
        <v>2523</v>
      </c>
      <c r="G856" s="150" t="s">
        <v>1939</v>
      </c>
      <c r="H856" s="119">
        <f t="shared" si="39"/>
        <v>14.5</v>
      </c>
      <c r="I856" s="119"/>
      <c r="J856" s="151">
        <v>0</v>
      </c>
      <c r="K856" s="119">
        <f t="shared" si="40"/>
        <v>14.5</v>
      </c>
      <c r="L856" s="152">
        <f t="shared" si="41"/>
        <v>12.04</v>
      </c>
      <c r="M856" s="113"/>
    </row>
    <row r="857" spans="1:13" s="114" customFormat="1" x14ac:dyDescent="0.2">
      <c r="A857" s="106" t="s">
        <v>3257</v>
      </c>
      <c r="B857" s="105" t="s">
        <v>3065</v>
      </c>
      <c r="C857" s="105" t="s">
        <v>3322</v>
      </c>
      <c r="D857" s="149" t="s">
        <v>3067</v>
      </c>
      <c r="E857" s="105">
        <v>1</v>
      </c>
      <c r="F857" s="150" t="s">
        <v>3068</v>
      </c>
      <c r="G857" s="150" t="s">
        <v>1923</v>
      </c>
      <c r="H857" s="119">
        <f t="shared" si="39"/>
        <v>15.5</v>
      </c>
      <c r="I857" s="119"/>
      <c r="J857" s="151">
        <v>0</v>
      </c>
      <c r="K857" s="119">
        <f t="shared" si="40"/>
        <v>15.5</v>
      </c>
      <c r="L857" s="152">
        <f t="shared" si="41"/>
        <v>13.39</v>
      </c>
      <c r="M857" s="113"/>
    </row>
    <row r="858" spans="1:13" s="114" customFormat="1" x14ac:dyDescent="0.2">
      <c r="A858" s="106" t="s">
        <v>3257</v>
      </c>
      <c r="B858" s="105" t="s">
        <v>2115</v>
      </c>
      <c r="C858" s="105" t="s">
        <v>3323</v>
      </c>
      <c r="D858" s="149" t="s">
        <v>2117</v>
      </c>
      <c r="E858" s="105">
        <v>1</v>
      </c>
      <c r="F858" s="150" t="s">
        <v>3324</v>
      </c>
      <c r="G858" s="150" t="s">
        <v>2119</v>
      </c>
      <c r="H858" s="119">
        <f t="shared" si="39"/>
        <v>93.25</v>
      </c>
      <c r="I858" s="119"/>
      <c r="J858" s="151">
        <v>0</v>
      </c>
      <c r="K858" s="119">
        <f t="shared" si="40"/>
        <v>93.25</v>
      </c>
      <c r="L858" s="152">
        <f t="shared" si="41"/>
        <v>84.55</v>
      </c>
      <c r="M858" s="113"/>
    </row>
    <row r="859" spans="1:13" s="114" customFormat="1" x14ac:dyDescent="0.2">
      <c r="A859" s="106" t="s">
        <v>3257</v>
      </c>
      <c r="B859" s="105" t="s">
        <v>2301</v>
      </c>
      <c r="C859" s="105" t="s">
        <v>3323</v>
      </c>
      <c r="D859" s="149" t="s">
        <v>2302</v>
      </c>
      <c r="E859" s="105">
        <v>1</v>
      </c>
      <c r="F859" s="150" t="s">
        <v>2303</v>
      </c>
      <c r="G859" s="150" t="s">
        <v>2304</v>
      </c>
      <c r="H859" s="119">
        <f t="shared" si="39"/>
        <v>144.5</v>
      </c>
      <c r="I859" s="119"/>
      <c r="J859" s="151">
        <v>0</v>
      </c>
      <c r="K859" s="119">
        <f t="shared" si="40"/>
        <v>144.5</v>
      </c>
      <c r="L859" s="152">
        <f t="shared" si="41"/>
        <v>125.5</v>
      </c>
      <c r="M859" s="113"/>
    </row>
    <row r="860" spans="1:13" s="114" customFormat="1" x14ac:dyDescent="0.2">
      <c r="A860" s="106" t="s">
        <v>3257</v>
      </c>
      <c r="B860" s="105" t="s">
        <v>2394</v>
      </c>
      <c r="C860" s="105" t="s">
        <v>3323</v>
      </c>
      <c r="D860" s="149" t="s">
        <v>2395</v>
      </c>
      <c r="E860" s="105">
        <v>1</v>
      </c>
      <c r="F860" s="150" t="s">
        <v>3325</v>
      </c>
      <c r="G860" s="150" t="s">
        <v>2191</v>
      </c>
      <c r="H860" s="119">
        <f t="shared" si="39"/>
        <v>65</v>
      </c>
      <c r="I860" s="119"/>
      <c r="J860" s="151">
        <v>0</v>
      </c>
      <c r="K860" s="119">
        <f t="shared" si="40"/>
        <v>65</v>
      </c>
      <c r="L860" s="152">
        <f t="shared" si="41"/>
        <v>58.85</v>
      </c>
      <c r="M860" s="113"/>
    </row>
    <row r="861" spans="1:13" s="114" customFormat="1" x14ac:dyDescent="0.2">
      <c r="A861" s="106" t="s">
        <v>3257</v>
      </c>
      <c r="B861" s="105" t="s">
        <v>2503</v>
      </c>
      <c r="C861" s="105" t="s">
        <v>3323</v>
      </c>
      <c r="D861" s="149" t="s">
        <v>2505</v>
      </c>
      <c r="E861" s="105">
        <v>2</v>
      </c>
      <c r="F861" s="150" t="s">
        <v>2067</v>
      </c>
      <c r="G861" s="150" t="s">
        <v>2506</v>
      </c>
      <c r="H861" s="119">
        <f t="shared" si="39"/>
        <v>100</v>
      </c>
      <c r="I861" s="119"/>
      <c r="J861" s="151">
        <v>0</v>
      </c>
      <c r="K861" s="119">
        <f t="shared" si="40"/>
        <v>100</v>
      </c>
      <c r="L861" s="152">
        <f t="shared" si="41"/>
        <v>85.5</v>
      </c>
      <c r="M861" s="113"/>
    </row>
    <row r="862" spans="1:13" s="114" customFormat="1" x14ac:dyDescent="0.2">
      <c r="A862" s="153" t="s">
        <v>3257</v>
      </c>
      <c r="B862" s="154" t="s">
        <v>2507</v>
      </c>
      <c r="C862" s="154" t="s">
        <v>3323</v>
      </c>
      <c r="D862" s="155" t="s">
        <v>2508</v>
      </c>
      <c r="E862" s="154">
        <v>5</v>
      </c>
      <c r="F862" s="146"/>
      <c r="G862" s="146">
        <v>56</v>
      </c>
      <c r="H862" s="147">
        <f t="shared" si="39"/>
        <v>280</v>
      </c>
      <c r="I862" s="147"/>
      <c r="J862" s="156">
        <v>0</v>
      </c>
      <c r="K862" s="147">
        <f t="shared" si="40"/>
        <v>280</v>
      </c>
      <c r="L862" s="148">
        <f t="shared" si="41"/>
        <v>0</v>
      </c>
      <c r="M862" s="113"/>
    </row>
    <row r="863" spans="1:13" s="114" customFormat="1" x14ac:dyDescent="0.2">
      <c r="A863" s="106" t="s">
        <v>3257</v>
      </c>
      <c r="B863" s="105" t="s">
        <v>2690</v>
      </c>
      <c r="C863" s="105" t="s">
        <v>3323</v>
      </c>
      <c r="D863" s="149" t="s">
        <v>2692</v>
      </c>
      <c r="E863" s="105">
        <v>5</v>
      </c>
      <c r="F863" s="150" t="s">
        <v>2693</v>
      </c>
      <c r="G863" s="150" t="s">
        <v>2070</v>
      </c>
      <c r="H863" s="119">
        <f t="shared" si="39"/>
        <v>190</v>
      </c>
      <c r="I863" s="119"/>
      <c r="J863" s="151">
        <v>0</v>
      </c>
      <c r="K863" s="119">
        <f t="shared" si="40"/>
        <v>190</v>
      </c>
      <c r="L863" s="152">
        <f t="shared" si="41"/>
        <v>164.3</v>
      </c>
      <c r="M863" s="113"/>
    </row>
    <row r="864" spans="1:13" s="114" customFormat="1" x14ac:dyDescent="0.2">
      <c r="A864" s="106" t="s">
        <v>3257</v>
      </c>
      <c r="B864" s="105" t="s">
        <v>2521</v>
      </c>
      <c r="C864" s="105" t="s">
        <v>3323</v>
      </c>
      <c r="D864" s="149" t="s">
        <v>2522</v>
      </c>
      <c r="E864" s="105">
        <v>12</v>
      </c>
      <c r="F864" s="150" t="s">
        <v>2523</v>
      </c>
      <c r="G864" s="150" t="s">
        <v>1939</v>
      </c>
      <c r="H864" s="119">
        <f t="shared" si="39"/>
        <v>87</v>
      </c>
      <c r="I864" s="119"/>
      <c r="J864" s="151">
        <v>0</v>
      </c>
      <c r="K864" s="119">
        <f t="shared" si="40"/>
        <v>87</v>
      </c>
      <c r="L864" s="152">
        <f t="shared" si="41"/>
        <v>72.239999999999995</v>
      </c>
      <c r="M864" s="113"/>
    </row>
    <row r="865" spans="1:13" s="114" customFormat="1" x14ac:dyDescent="0.2">
      <c r="A865" s="106" t="s">
        <v>3257</v>
      </c>
      <c r="B865" s="105" t="s">
        <v>3326</v>
      </c>
      <c r="C865" s="105" t="s">
        <v>3323</v>
      </c>
      <c r="D865" s="149" t="s">
        <v>3327</v>
      </c>
      <c r="E865" s="105">
        <v>4</v>
      </c>
      <c r="F865" s="150" t="s">
        <v>2523</v>
      </c>
      <c r="G865" s="150" t="s">
        <v>1939</v>
      </c>
      <c r="H865" s="119">
        <f t="shared" si="39"/>
        <v>29</v>
      </c>
      <c r="I865" s="119"/>
      <c r="J865" s="151">
        <v>0</v>
      </c>
      <c r="K865" s="119">
        <f t="shared" si="40"/>
        <v>29</v>
      </c>
      <c r="L865" s="152">
        <f t="shared" si="41"/>
        <v>24.08</v>
      </c>
      <c r="M865" s="113"/>
    </row>
    <row r="866" spans="1:13" s="114" customFormat="1" x14ac:dyDescent="0.2">
      <c r="A866" s="106" t="s">
        <v>3257</v>
      </c>
      <c r="B866" s="105" t="s">
        <v>2220</v>
      </c>
      <c r="C866" s="105" t="s">
        <v>3328</v>
      </c>
      <c r="D866" s="149" t="s">
        <v>2222</v>
      </c>
      <c r="E866" s="105">
        <v>2</v>
      </c>
      <c r="F866" s="150" t="s">
        <v>2223</v>
      </c>
      <c r="G866" s="150" t="s">
        <v>2224</v>
      </c>
      <c r="H866" s="119">
        <f t="shared" si="39"/>
        <v>82</v>
      </c>
      <c r="I866" s="119"/>
      <c r="J866" s="151">
        <v>0</v>
      </c>
      <c r="K866" s="119">
        <f t="shared" si="40"/>
        <v>82</v>
      </c>
      <c r="L866" s="152">
        <f t="shared" si="41"/>
        <v>70.3</v>
      </c>
      <c r="M866" s="113"/>
    </row>
    <row r="867" spans="1:13" s="114" customFormat="1" x14ac:dyDescent="0.2">
      <c r="A867" s="106" t="s">
        <v>3257</v>
      </c>
      <c r="B867" s="105" t="s">
        <v>2293</v>
      </c>
      <c r="C867" s="105" t="s">
        <v>3328</v>
      </c>
      <c r="D867" s="149" t="s">
        <v>2295</v>
      </c>
      <c r="E867" s="105">
        <v>2</v>
      </c>
      <c r="F867" s="150" t="s">
        <v>2296</v>
      </c>
      <c r="G867" s="150" t="s">
        <v>2297</v>
      </c>
      <c r="H867" s="119">
        <f t="shared" si="39"/>
        <v>90</v>
      </c>
      <c r="I867" s="119"/>
      <c r="J867" s="151">
        <v>0</v>
      </c>
      <c r="K867" s="119">
        <f t="shared" si="40"/>
        <v>90</v>
      </c>
      <c r="L867" s="152">
        <f t="shared" si="41"/>
        <v>55.68</v>
      </c>
      <c r="M867" s="113"/>
    </row>
    <row r="868" spans="1:13" s="114" customFormat="1" x14ac:dyDescent="0.2">
      <c r="A868" s="106" t="s">
        <v>3329</v>
      </c>
      <c r="B868" s="105" t="s">
        <v>2878</v>
      </c>
      <c r="C868" s="105" t="s">
        <v>3330</v>
      </c>
      <c r="D868" s="149" t="s">
        <v>2880</v>
      </c>
      <c r="E868" s="105">
        <v>1</v>
      </c>
      <c r="F868" s="150" t="s">
        <v>2881</v>
      </c>
      <c r="G868" s="150" t="s">
        <v>2882</v>
      </c>
      <c r="H868" s="119">
        <f t="shared" si="39"/>
        <v>70</v>
      </c>
      <c r="I868" s="119"/>
      <c r="J868" s="151">
        <v>0</v>
      </c>
      <c r="K868" s="119">
        <f t="shared" si="40"/>
        <v>70</v>
      </c>
      <c r="L868" s="152">
        <f t="shared" si="41"/>
        <v>60.4</v>
      </c>
      <c r="M868" s="113"/>
    </row>
    <row r="869" spans="1:13" s="114" customFormat="1" x14ac:dyDescent="0.2">
      <c r="A869" s="106" t="s">
        <v>3329</v>
      </c>
      <c r="B869" s="105" t="s">
        <v>2245</v>
      </c>
      <c r="C869" s="105" t="s">
        <v>3330</v>
      </c>
      <c r="D869" s="149" t="s">
        <v>2246</v>
      </c>
      <c r="E869" s="105">
        <v>16</v>
      </c>
      <c r="F869" s="150" t="s">
        <v>2247</v>
      </c>
      <c r="G869" s="150" t="s">
        <v>2248</v>
      </c>
      <c r="H869" s="119">
        <f t="shared" si="39"/>
        <v>88</v>
      </c>
      <c r="I869" s="119"/>
      <c r="J869" s="151">
        <v>0</v>
      </c>
      <c r="K869" s="119">
        <f t="shared" si="40"/>
        <v>88</v>
      </c>
      <c r="L869" s="152">
        <f t="shared" si="41"/>
        <v>75.84</v>
      </c>
      <c r="M869" s="113"/>
    </row>
    <row r="870" spans="1:13" s="114" customFormat="1" x14ac:dyDescent="0.2">
      <c r="A870" s="106" t="s">
        <v>3329</v>
      </c>
      <c r="B870" s="105" t="s">
        <v>3065</v>
      </c>
      <c r="C870" s="105" t="s">
        <v>3331</v>
      </c>
      <c r="D870" s="149" t="s">
        <v>3067</v>
      </c>
      <c r="E870" s="105">
        <v>1</v>
      </c>
      <c r="F870" s="150" t="s">
        <v>3068</v>
      </c>
      <c r="G870" s="150" t="s">
        <v>1923</v>
      </c>
      <c r="H870" s="119">
        <f t="shared" si="39"/>
        <v>15.5</v>
      </c>
      <c r="I870" s="119"/>
      <c r="J870" s="151">
        <v>0</v>
      </c>
      <c r="K870" s="119">
        <f t="shared" si="40"/>
        <v>15.5</v>
      </c>
      <c r="L870" s="152">
        <f t="shared" si="41"/>
        <v>13.39</v>
      </c>
      <c r="M870" s="113"/>
    </row>
    <row r="871" spans="1:13" s="114" customFormat="1" x14ac:dyDescent="0.2">
      <c r="A871" s="106" t="s">
        <v>3329</v>
      </c>
      <c r="B871" s="105" t="s">
        <v>3332</v>
      </c>
      <c r="C871" s="105" t="s">
        <v>3333</v>
      </c>
      <c r="D871" s="149" t="s">
        <v>3334</v>
      </c>
      <c r="E871" s="105">
        <v>1</v>
      </c>
      <c r="F871" s="150" t="s">
        <v>3335</v>
      </c>
      <c r="G871" s="150" t="s">
        <v>3336</v>
      </c>
      <c r="H871" s="119">
        <f t="shared" si="39"/>
        <v>82</v>
      </c>
      <c r="I871" s="119"/>
      <c r="J871" s="151">
        <v>0</v>
      </c>
      <c r="K871" s="119">
        <f t="shared" si="40"/>
        <v>82</v>
      </c>
      <c r="L871" s="152">
        <f t="shared" si="41"/>
        <v>71.3</v>
      </c>
      <c r="M871" s="113"/>
    </row>
    <row r="872" spans="1:13" s="114" customFormat="1" x14ac:dyDescent="0.2">
      <c r="A872" s="106" t="s">
        <v>3329</v>
      </c>
      <c r="B872" s="105" t="s">
        <v>3337</v>
      </c>
      <c r="C872" s="105" t="s">
        <v>3333</v>
      </c>
      <c r="D872" s="149" t="s">
        <v>3338</v>
      </c>
      <c r="E872" s="105">
        <v>1</v>
      </c>
      <c r="F872" s="150" t="s">
        <v>3339</v>
      </c>
      <c r="G872" s="150" t="s">
        <v>3340</v>
      </c>
      <c r="H872" s="119">
        <f t="shared" si="39"/>
        <v>86.25</v>
      </c>
      <c r="I872" s="119"/>
      <c r="J872" s="151">
        <v>0</v>
      </c>
      <c r="K872" s="119">
        <f t="shared" si="40"/>
        <v>86.25</v>
      </c>
      <c r="L872" s="152">
        <f t="shared" si="41"/>
        <v>75</v>
      </c>
      <c r="M872" s="113"/>
    </row>
    <row r="873" spans="1:13" s="114" customFormat="1" x14ac:dyDescent="0.2">
      <c r="A873" s="106" t="s">
        <v>3329</v>
      </c>
      <c r="B873" s="105" t="s">
        <v>3341</v>
      </c>
      <c r="C873" s="105" t="s">
        <v>3333</v>
      </c>
      <c r="D873" s="149" t="s">
        <v>3342</v>
      </c>
      <c r="E873" s="105">
        <v>1</v>
      </c>
      <c r="F873" s="150" t="s">
        <v>3343</v>
      </c>
      <c r="G873" s="150" t="s">
        <v>3344</v>
      </c>
      <c r="H873" s="119">
        <f t="shared" si="39"/>
        <v>101.25</v>
      </c>
      <c r="I873" s="119"/>
      <c r="J873" s="151">
        <v>0</v>
      </c>
      <c r="K873" s="119">
        <f t="shared" si="40"/>
        <v>101.25</v>
      </c>
      <c r="L873" s="152">
        <f t="shared" si="41"/>
        <v>88</v>
      </c>
      <c r="M873" s="113"/>
    </row>
    <row r="874" spans="1:13" s="114" customFormat="1" x14ac:dyDescent="0.2">
      <c r="A874" s="106" t="s">
        <v>3329</v>
      </c>
      <c r="B874" s="105" t="s">
        <v>3345</v>
      </c>
      <c r="C874" s="105" t="s">
        <v>3346</v>
      </c>
      <c r="D874" s="149" t="s">
        <v>3347</v>
      </c>
      <c r="E874" s="105">
        <v>1</v>
      </c>
      <c r="F874" s="150" t="s">
        <v>2277</v>
      </c>
      <c r="G874" s="150" t="s">
        <v>2006</v>
      </c>
      <c r="H874" s="119">
        <f t="shared" si="39"/>
        <v>14.25</v>
      </c>
      <c r="I874" s="119"/>
      <c r="J874" s="151">
        <v>0</v>
      </c>
      <c r="K874" s="119">
        <f t="shared" si="40"/>
        <v>14.25</v>
      </c>
      <c r="L874" s="152">
        <f t="shared" si="41"/>
        <v>12.39</v>
      </c>
      <c r="M874" s="113"/>
    </row>
    <row r="875" spans="1:13" s="114" customFormat="1" x14ac:dyDescent="0.2">
      <c r="A875" s="106" t="s">
        <v>3329</v>
      </c>
      <c r="B875" s="105" t="s">
        <v>3348</v>
      </c>
      <c r="C875" s="105" t="s">
        <v>3346</v>
      </c>
      <c r="D875" s="149" t="s">
        <v>3349</v>
      </c>
      <c r="E875" s="105">
        <v>3</v>
      </c>
      <c r="F875" s="150" t="s">
        <v>3350</v>
      </c>
      <c r="G875" s="150" t="s">
        <v>3351</v>
      </c>
      <c r="H875" s="119">
        <f t="shared" si="39"/>
        <v>51.75</v>
      </c>
      <c r="I875" s="119"/>
      <c r="J875" s="151">
        <v>0</v>
      </c>
      <c r="K875" s="119">
        <f t="shared" si="40"/>
        <v>51.75</v>
      </c>
      <c r="L875" s="152">
        <f t="shared" si="41"/>
        <v>44.730000000000004</v>
      </c>
      <c r="M875" s="113"/>
    </row>
    <row r="876" spans="1:13" s="114" customFormat="1" x14ac:dyDescent="0.2">
      <c r="A876" s="106" t="s">
        <v>3329</v>
      </c>
      <c r="B876" s="105" t="s">
        <v>3352</v>
      </c>
      <c r="C876" s="105" t="s">
        <v>3346</v>
      </c>
      <c r="D876" s="149" t="s">
        <v>3353</v>
      </c>
      <c r="E876" s="105">
        <v>3</v>
      </c>
      <c r="F876" s="150" t="s">
        <v>2547</v>
      </c>
      <c r="G876" s="150" t="s">
        <v>1853</v>
      </c>
      <c r="H876" s="119">
        <f t="shared" si="39"/>
        <v>22.5</v>
      </c>
      <c r="I876" s="119"/>
      <c r="J876" s="151">
        <v>0</v>
      </c>
      <c r="K876" s="119">
        <f t="shared" si="40"/>
        <v>22.5</v>
      </c>
      <c r="L876" s="152">
        <f t="shared" si="41"/>
        <v>18.36</v>
      </c>
      <c r="M876" s="113"/>
    </row>
    <row r="877" spans="1:13" s="114" customFormat="1" x14ac:dyDescent="0.2">
      <c r="A877" s="106" t="s">
        <v>3329</v>
      </c>
      <c r="B877" s="105" t="s">
        <v>2380</v>
      </c>
      <c r="C877" s="105" t="s">
        <v>3354</v>
      </c>
      <c r="D877" s="149" t="s">
        <v>2381</v>
      </c>
      <c r="E877" s="105">
        <v>1</v>
      </c>
      <c r="F877" s="150" t="s">
        <v>2382</v>
      </c>
      <c r="G877" s="150" t="s">
        <v>2038</v>
      </c>
      <c r="H877" s="119">
        <f t="shared" si="39"/>
        <v>26.25</v>
      </c>
      <c r="I877" s="119"/>
      <c r="J877" s="151">
        <v>0</v>
      </c>
      <c r="K877" s="119">
        <f t="shared" si="40"/>
        <v>26.25</v>
      </c>
      <c r="L877" s="152">
        <f t="shared" si="41"/>
        <v>22.73</v>
      </c>
      <c r="M877" s="113"/>
    </row>
    <row r="878" spans="1:13" s="114" customFormat="1" x14ac:dyDescent="0.2">
      <c r="A878" s="106" t="s">
        <v>3329</v>
      </c>
      <c r="B878" s="105" t="s">
        <v>1920</v>
      </c>
      <c r="C878" s="105" t="s">
        <v>3355</v>
      </c>
      <c r="D878" s="149" t="s">
        <v>1921</v>
      </c>
      <c r="E878" s="105">
        <v>1</v>
      </c>
      <c r="F878" s="150" t="s">
        <v>1922</v>
      </c>
      <c r="G878" s="150" t="s">
        <v>1923</v>
      </c>
      <c r="H878" s="119">
        <f t="shared" si="39"/>
        <v>15.5</v>
      </c>
      <c r="I878" s="119"/>
      <c r="J878" s="151">
        <v>0</v>
      </c>
      <c r="K878" s="119">
        <f t="shared" si="40"/>
        <v>15.5</v>
      </c>
      <c r="L878" s="152">
        <f t="shared" si="41"/>
        <v>13.32</v>
      </c>
      <c r="M878" s="113"/>
    </row>
    <row r="879" spans="1:13" s="114" customFormat="1" x14ac:dyDescent="0.2">
      <c r="A879" s="106" t="s">
        <v>3329</v>
      </c>
      <c r="B879" s="105" t="s">
        <v>3356</v>
      </c>
      <c r="C879" s="105" t="s">
        <v>3357</v>
      </c>
      <c r="D879" s="149" t="s">
        <v>3358</v>
      </c>
      <c r="E879" s="105">
        <v>1</v>
      </c>
      <c r="F879" s="150" t="s">
        <v>3359</v>
      </c>
      <c r="G879" s="150" t="s">
        <v>1943</v>
      </c>
      <c r="H879" s="119">
        <f t="shared" si="39"/>
        <v>7</v>
      </c>
      <c r="I879" s="119"/>
      <c r="J879" s="151">
        <v>0</v>
      </c>
      <c r="K879" s="119">
        <f t="shared" si="40"/>
        <v>7</v>
      </c>
      <c r="L879" s="152">
        <f t="shared" si="41"/>
        <v>6.03</v>
      </c>
      <c r="M879" s="113"/>
    </row>
    <row r="880" spans="1:13" s="114" customFormat="1" x14ac:dyDescent="0.2">
      <c r="A880" s="106" t="s">
        <v>3329</v>
      </c>
      <c r="B880" s="105" t="s">
        <v>3360</v>
      </c>
      <c r="C880" s="105" t="s">
        <v>3357</v>
      </c>
      <c r="D880" s="149" t="s">
        <v>3361</v>
      </c>
      <c r="E880" s="105">
        <v>1</v>
      </c>
      <c r="F880" s="150" t="s">
        <v>3359</v>
      </c>
      <c r="G880" s="150" t="s">
        <v>1943</v>
      </c>
      <c r="H880" s="119">
        <f t="shared" si="39"/>
        <v>7</v>
      </c>
      <c r="I880" s="119"/>
      <c r="J880" s="151">
        <v>0</v>
      </c>
      <c r="K880" s="119">
        <f t="shared" si="40"/>
        <v>7</v>
      </c>
      <c r="L880" s="152">
        <f t="shared" si="41"/>
        <v>6.03</v>
      </c>
      <c r="M880" s="113"/>
    </row>
    <row r="881" spans="1:13" s="114" customFormat="1" x14ac:dyDescent="0.2">
      <c r="A881" s="106" t="s">
        <v>3329</v>
      </c>
      <c r="B881" s="105" t="s">
        <v>1977</v>
      </c>
      <c r="C881" s="105" t="s">
        <v>3357</v>
      </c>
      <c r="D881" s="149" t="s">
        <v>1979</v>
      </c>
      <c r="E881" s="105">
        <v>6</v>
      </c>
      <c r="F881" s="150" t="s">
        <v>1980</v>
      </c>
      <c r="G881" s="150" t="s">
        <v>1981</v>
      </c>
      <c r="H881" s="119">
        <f t="shared" si="39"/>
        <v>6</v>
      </c>
      <c r="I881" s="119"/>
      <c r="J881" s="151">
        <v>0</v>
      </c>
      <c r="K881" s="119">
        <f t="shared" si="40"/>
        <v>6</v>
      </c>
      <c r="L881" s="152">
        <f t="shared" si="41"/>
        <v>4.5600000000000005</v>
      </c>
      <c r="M881" s="113"/>
    </row>
    <row r="882" spans="1:13" s="114" customFormat="1" x14ac:dyDescent="0.2">
      <c r="A882" s="106" t="s">
        <v>3329</v>
      </c>
      <c r="B882" s="105" t="s">
        <v>2590</v>
      </c>
      <c r="C882" s="105" t="s">
        <v>3362</v>
      </c>
      <c r="D882" s="149" t="s">
        <v>2591</v>
      </c>
      <c r="E882" s="105">
        <v>1</v>
      </c>
      <c r="F882" s="150" t="s">
        <v>2592</v>
      </c>
      <c r="G882" s="150" t="s">
        <v>2123</v>
      </c>
      <c r="H882" s="119">
        <f t="shared" si="39"/>
        <v>103.75</v>
      </c>
      <c r="I882" s="119"/>
      <c r="J882" s="151">
        <v>0</v>
      </c>
      <c r="K882" s="119">
        <f t="shared" si="40"/>
        <v>103.75</v>
      </c>
      <c r="L882" s="152">
        <f t="shared" si="41"/>
        <v>90.24</v>
      </c>
      <c r="M882" s="113"/>
    </row>
    <row r="883" spans="1:13" s="114" customFormat="1" x14ac:dyDescent="0.2">
      <c r="A883" s="106" t="s">
        <v>3329</v>
      </c>
      <c r="B883" s="105" t="s">
        <v>2298</v>
      </c>
      <c r="C883" s="105" t="s">
        <v>3362</v>
      </c>
      <c r="D883" s="149" t="s">
        <v>2299</v>
      </c>
      <c r="E883" s="105">
        <v>2</v>
      </c>
      <c r="F883" s="150" t="s">
        <v>2300</v>
      </c>
      <c r="G883" s="150" t="s">
        <v>1892</v>
      </c>
      <c r="H883" s="119">
        <f t="shared" si="39"/>
        <v>48</v>
      </c>
      <c r="I883" s="119"/>
      <c r="J883" s="151">
        <v>0</v>
      </c>
      <c r="K883" s="119">
        <f t="shared" si="40"/>
        <v>48</v>
      </c>
      <c r="L883" s="152">
        <f t="shared" si="41"/>
        <v>41.6</v>
      </c>
      <c r="M883" s="113"/>
    </row>
    <row r="884" spans="1:13" s="114" customFormat="1" x14ac:dyDescent="0.2">
      <c r="A884" s="106" t="s">
        <v>3329</v>
      </c>
      <c r="B884" s="105" t="s">
        <v>3363</v>
      </c>
      <c r="C884" s="105" t="s">
        <v>3364</v>
      </c>
      <c r="D884" s="149" t="s">
        <v>3365</v>
      </c>
      <c r="E884" s="105">
        <v>1</v>
      </c>
      <c r="F884" s="150" t="s">
        <v>1943</v>
      </c>
      <c r="G884" s="150" t="s">
        <v>2630</v>
      </c>
      <c r="H884" s="119">
        <f t="shared" si="39"/>
        <v>8</v>
      </c>
      <c r="I884" s="119"/>
      <c r="J884" s="151">
        <v>0</v>
      </c>
      <c r="K884" s="119">
        <f t="shared" si="40"/>
        <v>8</v>
      </c>
      <c r="L884" s="152">
        <f t="shared" si="41"/>
        <v>7</v>
      </c>
      <c r="M884" s="113"/>
    </row>
    <row r="885" spans="1:13" s="114" customFormat="1" x14ac:dyDescent="0.2">
      <c r="A885" s="106" t="s">
        <v>3329</v>
      </c>
      <c r="B885" s="105" t="s">
        <v>2072</v>
      </c>
      <c r="C885" s="105" t="s">
        <v>3366</v>
      </c>
      <c r="D885" s="149" t="s">
        <v>2074</v>
      </c>
      <c r="E885" s="105">
        <v>1</v>
      </c>
      <c r="F885" s="150" t="s">
        <v>2075</v>
      </c>
      <c r="G885" s="150" t="s">
        <v>2076</v>
      </c>
      <c r="H885" s="119">
        <f t="shared" si="39"/>
        <v>10.5</v>
      </c>
      <c r="I885" s="119"/>
      <c r="J885" s="151">
        <v>0</v>
      </c>
      <c r="K885" s="119">
        <f t="shared" si="40"/>
        <v>10.5</v>
      </c>
      <c r="L885" s="152">
        <f t="shared" si="41"/>
        <v>9.1</v>
      </c>
      <c r="M885" s="113"/>
    </row>
    <row r="886" spans="1:13" s="114" customFormat="1" x14ac:dyDescent="0.2">
      <c r="A886" s="106" t="s">
        <v>3329</v>
      </c>
      <c r="B886" s="105" t="s">
        <v>2124</v>
      </c>
      <c r="C886" s="105" t="s">
        <v>3366</v>
      </c>
      <c r="D886" s="149" t="s">
        <v>2126</v>
      </c>
      <c r="E886" s="105">
        <v>2</v>
      </c>
      <c r="F886" s="150" t="s">
        <v>1923</v>
      </c>
      <c r="G886" s="150" t="s">
        <v>1809</v>
      </c>
      <c r="H886" s="119">
        <f t="shared" si="39"/>
        <v>36</v>
      </c>
      <c r="I886" s="119"/>
      <c r="J886" s="151">
        <v>0</v>
      </c>
      <c r="K886" s="119">
        <f t="shared" si="40"/>
        <v>36</v>
      </c>
      <c r="L886" s="152">
        <f t="shared" si="41"/>
        <v>31</v>
      </c>
      <c r="M886" s="113"/>
    </row>
    <row r="887" spans="1:13" s="114" customFormat="1" x14ac:dyDescent="0.2">
      <c r="A887" s="106" t="s">
        <v>3329</v>
      </c>
      <c r="B887" s="105" t="s">
        <v>1977</v>
      </c>
      <c r="C887" s="105" t="s">
        <v>3366</v>
      </c>
      <c r="D887" s="149" t="s">
        <v>1979</v>
      </c>
      <c r="E887" s="105">
        <v>10</v>
      </c>
      <c r="F887" s="150" t="s">
        <v>1980</v>
      </c>
      <c r="G887" s="150" t="s">
        <v>1981</v>
      </c>
      <c r="H887" s="119">
        <f t="shared" si="39"/>
        <v>10</v>
      </c>
      <c r="I887" s="119"/>
      <c r="J887" s="151">
        <v>0</v>
      </c>
      <c r="K887" s="119">
        <f t="shared" si="40"/>
        <v>10</v>
      </c>
      <c r="L887" s="152">
        <f t="shared" si="41"/>
        <v>7.6</v>
      </c>
      <c r="M887" s="113"/>
    </row>
    <row r="888" spans="1:13" s="114" customFormat="1" x14ac:dyDescent="0.2">
      <c r="A888" s="106" t="s">
        <v>3329</v>
      </c>
      <c r="B888" s="105" t="s">
        <v>1789</v>
      </c>
      <c r="C888" s="105" t="s">
        <v>3367</v>
      </c>
      <c r="D888" s="149" t="s">
        <v>1790</v>
      </c>
      <c r="E888" s="105">
        <v>1</v>
      </c>
      <c r="F888" s="150" t="s">
        <v>1791</v>
      </c>
      <c r="G888" s="150" t="s">
        <v>1792</v>
      </c>
      <c r="H888" s="119">
        <f t="shared" si="39"/>
        <v>73</v>
      </c>
      <c r="I888" s="119"/>
      <c r="J888" s="151">
        <v>0</v>
      </c>
      <c r="K888" s="119">
        <f t="shared" si="40"/>
        <v>73</v>
      </c>
      <c r="L888" s="152">
        <f t="shared" si="41"/>
        <v>57</v>
      </c>
      <c r="M888" s="113"/>
    </row>
    <row r="889" spans="1:13" s="114" customFormat="1" x14ac:dyDescent="0.2">
      <c r="A889" s="106" t="s">
        <v>3329</v>
      </c>
      <c r="B889" s="105" t="s">
        <v>1915</v>
      </c>
      <c r="C889" s="105" t="s">
        <v>3368</v>
      </c>
      <c r="D889" s="149" t="s">
        <v>1917</v>
      </c>
      <c r="E889" s="105">
        <v>1</v>
      </c>
      <c r="F889" s="150" t="s">
        <v>1918</v>
      </c>
      <c r="G889" s="150" t="s">
        <v>1919</v>
      </c>
      <c r="H889" s="119">
        <f t="shared" si="39"/>
        <v>12</v>
      </c>
      <c r="I889" s="119"/>
      <c r="J889" s="151">
        <v>0</v>
      </c>
      <c r="K889" s="119">
        <f t="shared" si="40"/>
        <v>12</v>
      </c>
      <c r="L889" s="152">
        <f t="shared" si="41"/>
        <v>7.85</v>
      </c>
      <c r="M889" s="113"/>
    </row>
    <row r="890" spans="1:13" s="114" customFormat="1" x14ac:dyDescent="0.2">
      <c r="A890" s="106" t="s">
        <v>3329</v>
      </c>
      <c r="B890" s="105" t="s">
        <v>1937</v>
      </c>
      <c r="C890" s="105" t="s">
        <v>3369</v>
      </c>
      <c r="D890" s="149" t="s">
        <v>1938</v>
      </c>
      <c r="E890" s="105">
        <v>2</v>
      </c>
      <c r="F890" s="150" t="s">
        <v>1852</v>
      </c>
      <c r="G890" s="150" t="s">
        <v>1939</v>
      </c>
      <c r="H890" s="119">
        <f t="shared" si="39"/>
        <v>14.5</v>
      </c>
      <c r="I890" s="119"/>
      <c r="J890" s="151">
        <v>0</v>
      </c>
      <c r="K890" s="119">
        <f t="shared" si="40"/>
        <v>14.5</v>
      </c>
      <c r="L890" s="152">
        <f t="shared" si="41"/>
        <v>12.36</v>
      </c>
      <c r="M890" s="113"/>
    </row>
    <row r="891" spans="1:13" s="114" customFormat="1" x14ac:dyDescent="0.2">
      <c r="A891" s="106" t="s">
        <v>3329</v>
      </c>
      <c r="B891" s="105" t="s">
        <v>2110</v>
      </c>
      <c r="C891" s="105" t="s">
        <v>3369</v>
      </c>
      <c r="D891" s="149" t="s">
        <v>2112</v>
      </c>
      <c r="E891" s="105">
        <v>1</v>
      </c>
      <c r="F891" s="150" t="s">
        <v>2113</v>
      </c>
      <c r="G891" s="150" t="s">
        <v>2114</v>
      </c>
      <c r="H891" s="119">
        <f t="shared" si="39"/>
        <v>30.25</v>
      </c>
      <c r="I891" s="119"/>
      <c r="J891" s="151">
        <v>0</v>
      </c>
      <c r="K891" s="119">
        <f t="shared" si="40"/>
        <v>30.25</v>
      </c>
      <c r="L891" s="152">
        <f t="shared" si="41"/>
        <v>23.13</v>
      </c>
      <c r="M891" s="113"/>
    </row>
    <row r="892" spans="1:13" s="114" customFormat="1" x14ac:dyDescent="0.2">
      <c r="A892" s="106" t="s">
        <v>3329</v>
      </c>
      <c r="B892" s="105" t="s">
        <v>3370</v>
      </c>
      <c r="C892" s="105" t="s">
        <v>3371</v>
      </c>
      <c r="D892" s="149" t="s">
        <v>3372</v>
      </c>
      <c r="E892" s="105">
        <v>1</v>
      </c>
      <c r="F892" s="150" t="s">
        <v>2719</v>
      </c>
      <c r="G892" s="150" t="s">
        <v>2720</v>
      </c>
      <c r="H892" s="119">
        <f t="shared" si="39"/>
        <v>58.25</v>
      </c>
      <c r="I892" s="119"/>
      <c r="J892" s="151">
        <v>0</v>
      </c>
      <c r="K892" s="119">
        <f t="shared" si="40"/>
        <v>58.25</v>
      </c>
      <c r="L892" s="152">
        <f t="shared" si="41"/>
        <v>50.5</v>
      </c>
      <c r="M892" s="113"/>
    </row>
    <row r="893" spans="1:13" s="114" customFormat="1" x14ac:dyDescent="0.2">
      <c r="A893" s="106" t="s">
        <v>3329</v>
      </c>
      <c r="B893" s="105" t="s">
        <v>2559</v>
      </c>
      <c r="C893" s="105" t="s">
        <v>3371</v>
      </c>
      <c r="D893" s="149" t="s">
        <v>2561</v>
      </c>
      <c r="E893" s="105">
        <v>1</v>
      </c>
      <c r="F893" s="150" t="s">
        <v>2562</v>
      </c>
      <c r="G893" s="150" t="s">
        <v>2563</v>
      </c>
      <c r="H893" s="119">
        <f t="shared" si="39"/>
        <v>46.25</v>
      </c>
      <c r="I893" s="119"/>
      <c r="J893" s="151">
        <v>0</v>
      </c>
      <c r="K893" s="119">
        <f t="shared" si="40"/>
        <v>46.25</v>
      </c>
      <c r="L893" s="152">
        <f t="shared" si="41"/>
        <v>40.06</v>
      </c>
      <c r="M893" s="113"/>
    </row>
    <row r="894" spans="1:13" s="114" customFormat="1" x14ac:dyDescent="0.2">
      <c r="A894" s="106" t="s">
        <v>3329</v>
      </c>
      <c r="B894" s="105" t="s">
        <v>1924</v>
      </c>
      <c r="C894" s="105" t="s">
        <v>3373</v>
      </c>
      <c r="D894" s="149" t="s">
        <v>1926</v>
      </c>
      <c r="E894" s="105">
        <v>1</v>
      </c>
      <c r="F894" s="150" t="s">
        <v>1927</v>
      </c>
      <c r="G894" s="150" t="s">
        <v>1928</v>
      </c>
      <c r="H894" s="119">
        <f t="shared" si="39"/>
        <v>12.25</v>
      </c>
      <c r="I894" s="119"/>
      <c r="J894" s="151">
        <v>0</v>
      </c>
      <c r="K894" s="119">
        <f t="shared" si="40"/>
        <v>12.25</v>
      </c>
      <c r="L894" s="152">
        <f t="shared" si="41"/>
        <v>10.64</v>
      </c>
      <c r="M894" s="113"/>
    </row>
    <row r="895" spans="1:13" s="114" customFormat="1" x14ac:dyDescent="0.2">
      <c r="A895" s="106" t="s">
        <v>3329</v>
      </c>
      <c r="B895" s="105" t="s">
        <v>3356</v>
      </c>
      <c r="C895" s="105" t="s">
        <v>3373</v>
      </c>
      <c r="D895" s="149" t="s">
        <v>3358</v>
      </c>
      <c r="E895" s="105">
        <v>1</v>
      </c>
      <c r="F895" s="150" t="s">
        <v>3359</v>
      </c>
      <c r="G895" s="150" t="s">
        <v>1943</v>
      </c>
      <c r="H895" s="119">
        <f t="shared" si="39"/>
        <v>7</v>
      </c>
      <c r="I895" s="119"/>
      <c r="J895" s="151">
        <v>0</v>
      </c>
      <c r="K895" s="119">
        <f t="shared" si="40"/>
        <v>7</v>
      </c>
      <c r="L895" s="152">
        <f t="shared" si="41"/>
        <v>6.03</v>
      </c>
      <c r="M895" s="113"/>
    </row>
    <row r="896" spans="1:13" s="114" customFormat="1" x14ac:dyDescent="0.2">
      <c r="A896" s="106" t="s">
        <v>3329</v>
      </c>
      <c r="B896" s="105" t="s">
        <v>3360</v>
      </c>
      <c r="C896" s="105" t="s">
        <v>3373</v>
      </c>
      <c r="D896" s="149" t="s">
        <v>3361</v>
      </c>
      <c r="E896" s="105">
        <v>1</v>
      </c>
      <c r="F896" s="150" t="s">
        <v>3359</v>
      </c>
      <c r="G896" s="150" t="s">
        <v>1943</v>
      </c>
      <c r="H896" s="119">
        <f t="shared" si="39"/>
        <v>7</v>
      </c>
      <c r="I896" s="119"/>
      <c r="J896" s="151">
        <v>0</v>
      </c>
      <c r="K896" s="119">
        <f t="shared" si="40"/>
        <v>7</v>
      </c>
      <c r="L896" s="152">
        <f t="shared" si="41"/>
        <v>6.03</v>
      </c>
      <c r="M896" s="113"/>
    </row>
    <row r="897" spans="1:13" s="114" customFormat="1" x14ac:dyDescent="0.2">
      <c r="A897" s="106" t="s">
        <v>3329</v>
      </c>
      <c r="B897" s="105" t="s">
        <v>3374</v>
      </c>
      <c r="C897" s="105" t="s">
        <v>3375</v>
      </c>
      <c r="D897" s="149" t="s">
        <v>3376</v>
      </c>
      <c r="E897" s="105">
        <v>3</v>
      </c>
      <c r="F897" s="150" t="s">
        <v>3377</v>
      </c>
      <c r="G897" s="150" t="s">
        <v>2184</v>
      </c>
      <c r="H897" s="119">
        <f t="shared" si="39"/>
        <v>180</v>
      </c>
      <c r="I897" s="119"/>
      <c r="J897" s="151">
        <v>0</v>
      </c>
      <c r="K897" s="119">
        <f t="shared" si="40"/>
        <v>180</v>
      </c>
      <c r="L897" s="152">
        <f t="shared" si="41"/>
        <v>147.60000000000002</v>
      </c>
      <c r="M897" s="113"/>
    </row>
    <row r="898" spans="1:13" s="114" customFormat="1" x14ac:dyDescent="0.2">
      <c r="A898" s="106" t="s">
        <v>3329</v>
      </c>
      <c r="B898" s="105" t="s">
        <v>1977</v>
      </c>
      <c r="C898" s="105" t="s">
        <v>3378</v>
      </c>
      <c r="D898" s="149" t="s">
        <v>1979</v>
      </c>
      <c r="E898" s="105">
        <v>1</v>
      </c>
      <c r="F898" s="150" t="s">
        <v>1980</v>
      </c>
      <c r="G898" s="150" t="s">
        <v>1981</v>
      </c>
      <c r="H898" s="119">
        <f t="shared" si="39"/>
        <v>1</v>
      </c>
      <c r="I898" s="119"/>
      <c r="J898" s="151">
        <v>0</v>
      </c>
      <c r="K898" s="119">
        <f t="shared" si="40"/>
        <v>1</v>
      </c>
      <c r="L898" s="152">
        <f t="shared" si="41"/>
        <v>0.76</v>
      </c>
      <c r="M898" s="113"/>
    </row>
    <row r="899" spans="1:13" s="114" customFormat="1" x14ac:dyDescent="0.2">
      <c r="A899" s="106" t="s">
        <v>3329</v>
      </c>
      <c r="B899" s="105" t="s">
        <v>3379</v>
      </c>
      <c r="C899" s="105" t="s">
        <v>3380</v>
      </c>
      <c r="D899" s="149" t="s">
        <v>3381</v>
      </c>
      <c r="E899" s="105">
        <v>1</v>
      </c>
      <c r="F899" s="150" t="s">
        <v>3382</v>
      </c>
      <c r="G899" s="150" t="s">
        <v>3383</v>
      </c>
      <c r="H899" s="119">
        <f t="shared" si="39"/>
        <v>107.75</v>
      </c>
      <c r="I899" s="119"/>
      <c r="J899" s="151">
        <v>0</v>
      </c>
      <c r="K899" s="119">
        <f t="shared" si="40"/>
        <v>107.75</v>
      </c>
      <c r="L899" s="152">
        <f t="shared" si="41"/>
        <v>97.95</v>
      </c>
      <c r="M899" s="113"/>
    </row>
    <row r="900" spans="1:13" s="114" customFormat="1" x14ac:dyDescent="0.2">
      <c r="A900" s="106" t="s">
        <v>3329</v>
      </c>
      <c r="B900" s="105" t="s">
        <v>2908</v>
      </c>
      <c r="C900" s="105" t="s">
        <v>3384</v>
      </c>
      <c r="D900" s="149" t="s">
        <v>2910</v>
      </c>
      <c r="E900" s="105">
        <v>1</v>
      </c>
      <c r="F900" s="150" t="s">
        <v>1980</v>
      </c>
      <c r="G900" s="150" t="s">
        <v>1981</v>
      </c>
      <c r="H900" s="119">
        <f t="shared" si="39"/>
        <v>1</v>
      </c>
      <c r="I900" s="119"/>
      <c r="J900" s="151">
        <v>0</v>
      </c>
      <c r="K900" s="119">
        <f t="shared" si="40"/>
        <v>1</v>
      </c>
      <c r="L900" s="152">
        <f t="shared" si="41"/>
        <v>0.76</v>
      </c>
      <c r="M900" s="113"/>
    </row>
    <row r="901" spans="1:13" s="114" customFormat="1" x14ac:dyDescent="0.2">
      <c r="A901" s="106" t="s">
        <v>3329</v>
      </c>
      <c r="B901" s="105" t="s">
        <v>1977</v>
      </c>
      <c r="C901" s="105" t="s">
        <v>3384</v>
      </c>
      <c r="D901" s="149" t="s">
        <v>1979</v>
      </c>
      <c r="E901" s="105">
        <v>1</v>
      </c>
      <c r="F901" s="150" t="s">
        <v>1980</v>
      </c>
      <c r="G901" s="150" t="s">
        <v>1981</v>
      </c>
      <c r="H901" s="119">
        <f t="shared" si="39"/>
        <v>1</v>
      </c>
      <c r="I901" s="119"/>
      <c r="J901" s="151">
        <v>0</v>
      </c>
      <c r="K901" s="119">
        <f t="shared" si="40"/>
        <v>1</v>
      </c>
      <c r="L901" s="152">
        <f t="shared" si="41"/>
        <v>0.76</v>
      </c>
      <c r="M901" s="113"/>
    </row>
    <row r="902" spans="1:13" s="114" customFormat="1" x14ac:dyDescent="0.2">
      <c r="A902" s="106" t="s">
        <v>3329</v>
      </c>
      <c r="B902" s="105" t="s">
        <v>2446</v>
      </c>
      <c r="C902" s="105" t="s">
        <v>3385</v>
      </c>
      <c r="D902" s="149" t="s">
        <v>2448</v>
      </c>
      <c r="E902" s="105">
        <v>1</v>
      </c>
      <c r="F902" s="150" t="s">
        <v>2449</v>
      </c>
      <c r="G902" s="150" t="s">
        <v>2450</v>
      </c>
      <c r="H902" s="119">
        <f t="shared" ref="H902:H965" si="42">E902*G902</f>
        <v>63</v>
      </c>
      <c r="I902" s="119"/>
      <c r="J902" s="151">
        <v>0</v>
      </c>
      <c r="K902" s="119">
        <f t="shared" ref="K902:K965" si="43">H902+I902-J902</f>
        <v>63</v>
      </c>
      <c r="L902" s="152">
        <f t="shared" ref="L902:L965" si="44">E902*F902</f>
        <v>56.5</v>
      </c>
      <c r="M902" s="113"/>
    </row>
    <row r="903" spans="1:13" s="114" customFormat="1" x14ac:dyDescent="0.2">
      <c r="A903" s="106" t="s">
        <v>3329</v>
      </c>
      <c r="B903" s="105" t="s">
        <v>3360</v>
      </c>
      <c r="C903" s="105" t="s">
        <v>3386</v>
      </c>
      <c r="D903" s="149" t="s">
        <v>3361</v>
      </c>
      <c r="E903" s="105">
        <v>1</v>
      </c>
      <c r="F903" s="150" t="s">
        <v>3359</v>
      </c>
      <c r="G903" s="150" t="s">
        <v>1943</v>
      </c>
      <c r="H903" s="119">
        <f t="shared" si="42"/>
        <v>7</v>
      </c>
      <c r="I903" s="119"/>
      <c r="J903" s="151">
        <v>0</v>
      </c>
      <c r="K903" s="119">
        <f t="shared" si="43"/>
        <v>7</v>
      </c>
      <c r="L903" s="152">
        <f t="shared" si="44"/>
        <v>6.03</v>
      </c>
      <c r="M903" s="113"/>
    </row>
    <row r="904" spans="1:13" s="114" customFormat="1" x14ac:dyDescent="0.2">
      <c r="A904" s="106" t="s">
        <v>3329</v>
      </c>
      <c r="B904" s="105" t="s">
        <v>3387</v>
      </c>
      <c r="C904" s="105" t="s">
        <v>3388</v>
      </c>
      <c r="D904" s="149" t="s">
        <v>3389</v>
      </c>
      <c r="E904" s="105">
        <v>4</v>
      </c>
      <c r="F904" s="150" t="s">
        <v>3390</v>
      </c>
      <c r="G904" s="150" t="s">
        <v>3288</v>
      </c>
      <c r="H904" s="119">
        <f t="shared" si="42"/>
        <v>80</v>
      </c>
      <c r="I904" s="119"/>
      <c r="J904" s="151">
        <v>0</v>
      </c>
      <c r="K904" s="119">
        <f t="shared" si="43"/>
        <v>80</v>
      </c>
      <c r="L904" s="152">
        <f t="shared" si="44"/>
        <v>55.4</v>
      </c>
      <c r="M904" s="113"/>
    </row>
    <row r="905" spans="1:13" s="114" customFormat="1" x14ac:dyDescent="0.2">
      <c r="A905" s="106" t="s">
        <v>3329</v>
      </c>
      <c r="B905" s="105" t="s">
        <v>2293</v>
      </c>
      <c r="C905" s="105" t="s">
        <v>3391</v>
      </c>
      <c r="D905" s="149" t="s">
        <v>2295</v>
      </c>
      <c r="E905" s="105">
        <v>1</v>
      </c>
      <c r="F905" s="150" t="s">
        <v>2296</v>
      </c>
      <c r="G905" s="150" t="s">
        <v>2297</v>
      </c>
      <c r="H905" s="119">
        <f t="shared" si="42"/>
        <v>45</v>
      </c>
      <c r="I905" s="119"/>
      <c r="J905" s="151">
        <v>0</v>
      </c>
      <c r="K905" s="119">
        <f t="shared" si="43"/>
        <v>45</v>
      </c>
      <c r="L905" s="152">
        <f t="shared" si="44"/>
        <v>27.84</v>
      </c>
      <c r="M905" s="113"/>
    </row>
    <row r="906" spans="1:13" s="114" customFormat="1" x14ac:dyDescent="0.2">
      <c r="A906" s="106" t="s">
        <v>3329</v>
      </c>
      <c r="B906" s="105" t="s">
        <v>2027</v>
      </c>
      <c r="C906" s="105" t="s">
        <v>3392</v>
      </c>
      <c r="D906" s="149" t="s">
        <v>2029</v>
      </c>
      <c r="E906" s="105">
        <v>1</v>
      </c>
      <c r="F906" s="150" t="s">
        <v>1805</v>
      </c>
      <c r="G906" s="150" t="s">
        <v>2030</v>
      </c>
      <c r="H906" s="119">
        <f t="shared" si="42"/>
        <v>10.25</v>
      </c>
      <c r="I906" s="119"/>
      <c r="J906" s="151">
        <v>0</v>
      </c>
      <c r="K906" s="119">
        <f t="shared" si="43"/>
        <v>10.25</v>
      </c>
      <c r="L906" s="152">
        <f t="shared" si="44"/>
        <v>8.75</v>
      </c>
      <c r="M906" s="113"/>
    </row>
    <row r="907" spans="1:13" s="114" customFormat="1" x14ac:dyDescent="0.2">
      <c r="A907" s="106" t="s">
        <v>3329</v>
      </c>
      <c r="B907" s="105" t="s">
        <v>2153</v>
      </c>
      <c r="C907" s="105" t="s">
        <v>3393</v>
      </c>
      <c r="D907" s="149" t="s">
        <v>2155</v>
      </c>
      <c r="E907" s="105">
        <v>1</v>
      </c>
      <c r="F907" s="150" t="s">
        <v>2156</v>
      </c>
      <c r="G907" s="150" t="s">
        <v>2038</v>
      </c>
      <c r="H907" s="119">
        <f t="shared" si="42"/>
        <v>26.25</v>
      </c>
      <c r="I907" s="119"/>
      <c r="J907" s="151">
        <v>0</v>
      </c>
      <c r="K907" s="119">
        <f t="shared" si="43"/>
        <v>26.25</v>
      </c>
      <c r="L907" s="152">
        <f t="shared" si="44"/>
        <v>22.75</v>
      </c>
      <c r="M907" s="113"/>
    </row>
    <row r="908" spans="1:13" s="114" customFormat="1" x14ac:dyDescent="0.2">
      <c r="A908" s="106" t="s">
        <v>3329</v>
      </c>
      <c r="B908" s="105" t="s">
        <v>2380</v>
      </c>
      <c r="C908" s="105" t="s">
        <v>3393</v>
      </c>
      <c r="D908" s="149" t="s">
        <v>2381</v>
      </c>
      <c r="E908" s="105">
        <v>1</v>
      </c>
      <c r="F908" s="150" t="s">
        <v>2382</v>
      </c>
      <c r="G908" s="150" t="s">
        <v>2038</v>
      </c>
      <c r="H908" s="119">
        <f t="shared" si="42"/>
        <v>26.25</v>
      </c>
      <c r="I908" s="119"/>
      <c r="J908" s="151">
        <v>0</v>
      </c>
      <c r="K908" s="119">
        <f t="shared" si="43"/>
        <v>26.25</v>
      </c>
      <c r="L908" s="152">
        <f t="shared" si="44"/>
        <v>22.73</v>
      </c>
      <c r="M908" s="113"/>
    </row>
    <row r="909" spans="1:13" s="114" customFormat="1" x14ac:dyDescent="0.2">
      <c r="A909" s="106" t="s">
        <v>3329</v>
      </c>
      <c r="B909" s="105" t="s">
        <v>2089</v>
      </c>
      <c r="C909" s="105" t="s">
        <v>3394</v>
      </c>
      <c r="D909" s="149" t="s">
        <v>2090</v>
      </c>
      <c r="E909" s="105">
        <v>6</v>
      </c>
      <c r="F909" s="150" t="s">
        <v>1980</v>
      </c>
      <c r="G909" s="150" t="s">
        <v>1981</v>
      </c>
      <c r="H909" s="119">
        <f t="shared" si="42"/>
        <v>6</v>
      </c>
      <c r="I909" s="119"/>
      <c r="J909" s="151">
        <v>0</v>
      </c>
      <c r="K909" s="119">
        <f t="shared" si="43"/>
        <v>6</v>
      </c>
      <c r="L909" s="152">
        <f t="shared" si="44"/>
        <v>4.5600000000000005</v>
      </c>
      <c r="M909" s="113"/>
    </row>
    <row r="910" spans="1:13" s="114" customFormat="1" x14ac:dyDescent="0.2">
      <c r="A910" s="106" t="s">
        <v>3329</v>
      </c>
      <c r="B910" s="105" t="s">
        <v>2971</v>
      </c>
      <c r="C910" s="105" t="s">
        <v>3395</v>
      </c>
      <c r="D910" s="149" t="s">
        <v>2973</v>
      </c>
      <c r="E910" s="105">
        <v>1</v>
      </c>
      <c r="F910" s="150" t="s">
        <v>2974</v>
      </c>
      <c r="G910" s="150" t="s">
        <v>2600</v>
      </c>
      <c r="H910" s="119">
        <f t="shared" si="42"/>
        <v>33.75</v>
      </c>
      <c r="I910" s="119"/>
      <c r="J910" s="151">
        <v>0</v>
      </c>
      <c r="K910" s="119">
        <f t="shared" si="43"/>
        <v>33.75</v>
      </c>
      <c r="L910" s="152">
        <f t="shared" si="44"/>
        <v>29</v>
      </c>
      <c r="M910" s="113"/>
    </row>
    <row r="911" spans="1:13" s="114" customFormat="1" x14ac:dyDescent="0.2">
      <c r="A911" s="106" t="s">
        <v>3329</v>
      </c>
      <c r="B911" s="105" t="s">
        <v>3345</v>
      </c>
      <c r="C911" s="105" t="s">
        <v>3395</v>
      </c>
      <c r="D911" s="149" t="s">
        <v>3347</v>
      </c>
      <c r="E911" s="105">
        <v>1</v>
      </c>
      <c r="F911" s="150" t="s">
        <v>2277</v>
      </c>
      <c r="G911" s="150" t="s">
        <v>2006</v>
      </c>
      <c r="H911" s="119">
        <f t="shared" si="42"/>
        <v>14.25</v>
      </c>
      <c r="I911" s="119"/>
      <c r="J911" s="151">
        <v>0</v>
      </c>
      <c r="K911" s="119">
        <f t="shared" si="43"/>
        <v>14.25</v>
      </c>
      <c r="L911" s="152">
        <f t="shared" si="44"/>
        <v>12.39</v>
      </c>
      <c r="M911" s="113"/>
    </row>
    <row r="912" spans="1:13" s="114" customFormat="1" x14ac:dyDescent="0.2">
      <c r="A912" s="106" t="s">
        <v>3329</v>
      </c>
      <c r="B912" s="105" t="s">
        <v>2712</v>
      </c>
      <c r="C912" s="105" t="s">
        <v>3396</v>
      </c>
      <c r="D912" s="149" t="s">
        <v>2714</v>
      </c>
      <c r="E912" s="105">
        <v>2</v>
      </c>
      <c r="F912" s="150" t="s">
        <v>2715</v>
      </c>
      <c r="G912" s="150" t="s">
        <v>2716</v>
      </c>
      <c r="H912" s="119">
        <f t="shared" si="42"/>
        <v>409.5</v>
      </c>
      <c r="I912" s="119"/>
      <c r="J912" s="151">
        <v>0</v>
      </c>
      <c r="K912" s="119">
        <f t="shared" si="43"/>
        <v>409.5</v>
      </c>
      <c r="L912" s="152">
        <f t="shared" si="44"/>
        <v>355.8</v>
      </c>
      <c r="M912" s="113"/>
    </row>
    <row r="913" spans="1:13" s="114" customFormat="1" x14ac:dyDescent="0.2">
      <c r="A913" s="106" t="s">
        <v>3329</v>
      </c>
      <c r="B913" s="105" t="s">
        <v>2050</v>
      </c>
      <c r="C913" s="105" t="s">
        <v>3396</v>
      </c>
      <c r="D913" s="149" t="s">
        <v>2052</v>
      </c>
      <c r="E913" s="105">
        <v>2</v>
      </c>
      <c r="F913" s="150" t="s">
        <v>2053</v>
      </c>
      <c r="G913" s="150" t="s">
        <v>2054</v>
      </c>
      <c r="H913" s="119">
        <f t="shared" si="42"/>
        <v>147.5</v>
      </c>
      <c r="I913" s="119"/>
      <c r="J913" s="151">
        <v>0</v>
      </c>
      <c r="K913" s="119">
        <f t="shared" si="43"/>
        <v>147.5</v>
      </c>
      <c r="L913" s="152">
        <f t="shared" si="44"/>
        <v>128</v>
      </c>
      <c r="M913" s="113"/>
    </row>
    <row r="914" spans="1:13" s="114" customFormat="1" x14ac:dyDescent="0.2">
      <c r="A914" s="106" t="s">
        <v>3329</v>
      </c>
      <c r="B914" s="105" t="s">
        <v>3397</v>
      </c>
      <c r="C914" s="105" t="s">
        <v>3398</v>
      </c>
      <c r="D914" s="149" t="s">
        <v>3399</v>
      </c>
      <c r="E914" s="105">
        <v>5</v>
      </c>
      <c r="F914" s="150" t="s">
        <v>3400</v>
      </c>
      <c r="G914" s="150" t="s">
        <v>3401</v>
      </c>
      <c r="H914" s="119">
        <f t="shared" si="42"/>
        <v>78.75</v>
      </c>
      <c r="I914" s="119"/>
      <c r="J914" s="151">
        <v>0</v>
      </c>
      <c r="K914" s="119">
        <f t="shared" si="43"/>
        <v>78.75</v>
      </c>
      <c r="L914" s="152">
        <f t="shared" si="44"/>
        <v>67.8</v>
      </c>
      <c r="M914" s="113"/>
    </row>
    <row r="915" spans="1:13" s="114" customFormat="1" x14ac:dyDescent="0.2">
      <c r="A915" s="106" t="s">
        <v>3329</v>
      </c>
      <c r="B915" s="105" t="s">
        <v>2173</v>
      </c>
      <c r="C915" s="105" t="s">
        <v>3398</v>
      </c>
      <c r="D915" s="149" t="s">
        <v>2175</v>
      </c>
      <c r="E915" s="105">
        <v>2</v>
      </c>
      <c r="F915" s="150" t="s">
        <v>2176</v>
      </c>
      <c r="G915" s="150" t="s">
        <v>2177</v>
      </c>
      <c r="H915" s="119">
        <f t="shared" si="42"/>
        <v>322</v>
      </c>
      <c r="I915" s="119"/>
      <c r="J915" s="151">
        <v>0</v>
      </c>
      <c r="K915" s="119">
        <f t="shared" si="43"/>
        <v>322</v>
      </c>
      <c r="L915" s="152">
        <f t="shared" si="44"/>
        <v>280</v>
      </c>
      <c r="M915" s="113"/>
    </row>
    <row r="916" spans="1:13" s="114" customFormat="1" x14ac:dyDescent="0.2">
      <c r="A916" s="106" t="s">
        <v>3329</v>
      </c>
      <c r="B916" s="105" t="s">
        <v>2809</v>
      </c>
      <c r="C916" s="105" t="s">
        <v>3398</v>
      </c>
      <c r="D916" s="149" t="s">
        <v>2810</v>
      </c>
      <c r="E916" s="105">
        <v>1</v>
      </c>
      <c r="F916" s="150" t="s">
        <v>2811</v>
      </c>
      <c r="G916" s="150" t="s">
        <v>2812</v>
      </c>
      <c r="H916" s="119">
        <f t="shared" si="42"/>
        <v>62</v>
      </c>
      <c r="I916" s="119"/>
      <c r="J916" s="151">
        <v>0</v>
      </c>
      <c r="K916" s="119">
        <f t="shared" si="43"/>
        <v>62</v>
      </c>
      <c r="L916" s="152">
        <f t="shared" si="44"/>
        <v>53.81</v>
      </c>
      <c r="M916" s="113"/>
    </row>
    <row r="917" spans="1:13" s="114" customFormat="1" x14ac:dyDescent="0.2">
      <c r="A917" s="106" t="s">
        <v>3329</v>
      </c>
      <c r="B917" s="105" t="s">
        <v>2694</v>
      </c>
      <c r="C917" s="105" t="s">
        <v>3398</v>
      </c>
      <c r="D917" s="149" t="s">
        <v>2695</v>
      </c>
      <c r="E917" s="105">
        <v>1</v>
      </c>
      <c r="F917" s="150" t="s">
        <v>2696</v>
      </c>
      <c r="G917" s="150" t="s">
        <v>2697</v>
      </c>
      <c r="H917" s="119">
        <f t="shared" si="42"/>
        <v>74.25</v>
      </c>
      <c r="I917" s="119"/>
      <c r="J917" s="151">
        <v>0</v>
      </c>
      <c r="K917" s="119">
        <f t="shared" si="43"/>
        <v>74.25</v>
      </c>
      <c r="L917" s="152">
        <f t="shared" si="44"/>
        <v>64.489999999999995</v>
      </c>
      <c r="M917" s="113"/>
    </row>
    <row r="918" spans="1:13" s="114" customFormat="1" x14ac:dyDescent="0.2">
      <c r="A918" s="106" t="s">
        <v>3329</v>
      </c>
      <c r="B918" s="105" t="s">
        <v>2298</v>
      </c>
      <c r="C918" s="105" t="s">
        <v>3398</v>
      </c>
      <c r="D918" s="149" t="s">
        <v>2299</v>
      </c>
      <c r="E918" s="105">
        <v>3</v>
      </c>
      <c r="F918" s="150" t="s">
        <v>2300</v>
      </c>
      <c r="G918" s="150" t="s">
        <v>1892</v>
      </c>
      <c r="H918" s="119">
        <f t="shared" si="42"/>
        <v>72</v>
      </c>
      <c r="I918" s="119"/>
      <c r="J918" s="151">
        <v>0</v>
      </c>
      <c r="K918" s="119">
        <f t="shared" si="43"/>
        <v>72</v>
      </c>
      <c r="L918" s="152">
        <f t="shared" si="44"/>
        <v>62.400000000000006</v>
      </c>
      <c r="M918" s="113"/>
    </row>
    <row r="919" spans="1:13" s="114" customFormat="1" x14ac:dyDescent="0.2">
      <c r="A919" s="106" t="s">
        <v>3329</v>
      </c>
      <c r="B919" s="105" t="s">
        <v>2798</v>
      </c>
      <c r="C919" s="105" t="s">
        <v>3398</v>
      </c>
      <c r="D919" s="149" t="s">
        <v>2800</v>
      </c>
      <c r="E919" s="105">
        <v>2</v>
      </c>
      <c r="F919" s="150" t="s">
        <v>2183</v>
      </c>
      <c r="G919" s="150" t="s">
        <v>2184</v>
      </c>
      <c r="H919" s="119">
        <f t="shared" si="42"/>
        <v>120</v>
      </c>
      <c r="I919" s="119"/>
      <c r="J919" s="151">
        <v>0</v>
      </c>
      <c r="K919" s="119">
        <f t="shared" si="43"/>
        <v>120</v>
      </c>
      <c r="L919" s="152">
        <f t="shared" si="44"/>
        <v>103.94</v>
      </c>
      <c r="M919" s="113"/>
    </row>
    <row r="920" spans="1:13" s="114" customFormat="1" x14ac:dyDescent="0.2">
      <c r="A920" s="106" t="s">
        <v>3329</v>
      </c>
      <c r="B920" s="105" t="s">
        <v>2018</v>
      </c>
      <c r="C920" s="105" t="s">
        <v>3398</v>
      </c>
      <c r="D920" s="149" t="s">
        <v>2019</v>
      </c>
      <c r="E920" s="105">
        <v>1</v>
      </c>
      <c r="F920" s="150" t="s">
        <v>2020</v>
      </c>
      <c r="G920" s="150" t="s">
        <v>2021</v>
      </c>
      <c r="H920" s="119">
        <f t="shared" si="42"/>
        <v>36.75</v>
      </c>
      <c r="I920" s="119"/>
      <c r="J920" s="151">
        <v>0</v>
      </c>
      <c r="K920" s="119">
        <f t="shared" si="43"/>
        <v>36.75</v>
      </c>
      <c r="L920" s="152">
        <f t="shared" si="44"/>
        <v>30.79</v>
      </c>
      <c r="M920" s="113"/>
    </row>
    <row r="921" spans="1:13" s="114" customFormat="1" x14ac:dyDescent="0.2">
      <c r="A921" s="106" t="s">
        <v>3329</v>
      </c>
      <c r="B921" s="105" t="s">
        <v>2481</v>
      </c>
      <c r="C921" s="105" t="s">
        <v>3398</v>
      </c>
      <c r="D921" s="149" t="s">
        <v>2482</v>
      </c>
      <c r="E921" s="105">
        <v>1</v>
      </c>
      <c r="F921" s="150" t="s">
        <v>2483</v>
      </c>
      <c r="G921" s="150" t="s">
        <v>2484</v>
      </c>
      <c r="H921" s="119">
        <f t="shared" si="42"/>
        <v>832.5</v>
      </c>
      <c r="I921" s="119"/>
      <c r="J921" s="151">
        <v>0</v>
      </c>
      <c r="K921" s="119">
        <f t="shared" si="43"/>
        <v>832.5</v>
      </c>
      <c r="L921" s="152">
        <f t="shared" si="44"/>
        <v>723.8</v>
      </c>
      <c r="M921" s="113"/>
    </row>
    <row r="922" spans="1:13" s="114" customFormat="1" x14ac:dyDescent="0.2">
      <c r="A922" s="106" t="s">
        <v>3329</v>
      </c>
      <c r="B922" s="105" t="s">
        <v>3158</v>
      </c>
      <c r="C922" s="105" t="s">
        <v>3402</v>
      </c>
      <c r="D922" s="149" t="s">
        <v>3159</v>
      </c>
      <c r="E922" s="105">
        <v>1</v>
      </c>
      <c r="F922" s="150" t="s">
        <v>3160</v>
      </c>
      <c r="G922" s="150" t="s">
        <v>3161</v>
      </c>
      <c r="H922" s="119">
        <f t="shared" si="42"/>
        <v>1334.5</v>
      </c>
      <c r="I922" s="119"/>
      <c r="J922" s="151">
        <v>0</v>
      </c>
      <c r="K922" s="119">
        <f t="shared" si="43"/>
        <v>1334.5</v>
      </c>
      <c r="L922" s="152">
        <f t="shared" si="44"/>
        <v>1160.3499999999999</v>
      </c>
      <c r="M922" s="113"/>
    </row>
    <row r="923" spans="1:13" s="114" customFormat="1" x14ac:dyDescent="0.2">
      <c r="A923" s="106" t="s">
        <v>3329</v>
      </c>
      <c r="B923" s="105" t="s">
        <v>3158</v>
      </c>
      <c r="C923" s="105" t="s">
        <v>3403</v>
      </c>
      <c r="D923" s="149" t="s">
        <v>3159</v>
      </c>
      <c r="E923" s="105">
        <v>1</v>
      </c>
      <c r="F923" s="150" t="s">
        <v>3160</v>
      </c>
      <c r="G923" s="150" t="s">
        <v>3161</v>
      </c>
      <c r="H923" s="119">
        <f t="shared" si="42"/>
        <v>1334.5</v>
      </c>
      <c r="I923" s="119"/>
      <c r="J923" s="151">
        <v>0</v>
      </c>
      <c r="K923" s="119">
        <f t="shared" si="43"/>
        <v>1334.5</v>
      </c>
      <c r="L923" s="152">
        <f t="shared" si="44"/>
        <v>1160.3499999999999</v>
      </c>
      <c r="M923" s="113"/>
    </row>
    <row r="924" spans="1:13" s="114" customFormat="1" x14ac:dyDescent="0.2">
      <c r="A924" s="106" t="s">
        <v>3329</v>
      </c>
      <c r="B924" s="105" t="s">
        <v>2459</v>
      </c>
      <c r="C924" s="105" t="s">
        <v>3404</v>
      </c>
      <c r="D924" s="149" t="s">
        <v>2460</v>
      </c>
      <c r="E924" s="105">
        <v>1</v>
      </c>
      <c r="F924" s="150" t="s">
        <v>2461</v>
      </c>
      <c r="G924" s="150" t="s">
        <v>1910</v>
      </c>
      <c r="H924" s="119">
        <f t="shared" si="42"/>
        <v>20.75</v>
      </c>
      <c r="I924" s="119"/>
      <c r="J924" s="151">
        <v>0</v>
      </c>
      <c r="K924" s="119">
        <f t="shared" si="43"/>
        <v>20.75</v>
      </c>
      <c r="L924" s="152">
        <f t="shared" si="44"/>
        <v>17.95</v>
      </c>
      <c r="M924" s="113"/>
    </row>
    <row r="925" spans="1:13" s="114" customFormat="1" x14ac:dyDescent="0.2">
      <c r="A925" s="106" t="s">
        <v>3329</v>
      </c>
      <c r="B925" s="105" t="s">
        <v>2153</v>
      </c>
      <c r="C925" s="105" t="s">
        <v>3405</v>
      </c>
      <c r="D925" s="149" t="s">
        <v>2155</v>
      </c>
      <c r="E925" s="105">
        <v>10</v>
      </c>
      <c r="F925" s="150" t="s">
        <v>2156</v>
      </c>
      <c r="G925" s="150" t="s">
        <v>2038</v>
      </c>
      <c r="H925" s="119">
        <f t="shared" si="42"/>
        <v>262.5</v>
      </c>
      <c r="I925" s="119"/>
      <c r="J925" s="151">
        <v>0</v>
      </c>
      <c r="K925" s="119">
        <f t="shared" si="43"/>
        <v>262.5</v>
      </c>
      <c r="L925" s="152">
        <f t="shared" si="44"/>
        <v>227.5</v>
      </c>
      <c r="M925" s="113"/>
    </row>
    <row r="926" spans="1:13" s="114" customFormat="1" x14ac:dyDescent="0.2">
      <c r="A926" s="106" t="s">
        <v>3329</v>
      </c>
      <c r="B926" s="105" t="s">
        <v>2323</v>
      </c>
      <c r="C926" s="105" t="s">
        <v>3405</v>
      </c>
      <c r="D926" s="149" t="s">
        <v>2325</v>
      </c>
      <c r="E926" s="105">
        <v>5</v>
      </c>
      <c r="F926" s="150" t="s">
        <v>2326</v>
      </c>
      <c r="G926" s="150" t="s">
        <v>1932</v>
      </c>
      <c r="H926" s="119">
        <f t="shared" si="42"/>
        <v>110</v>
      </c>
      <c r="I926" s="119"/>
      <c r="J926" s="151">
        <v>0</v>
      </c>
      <c r="K926" s="119">
        <f t="shared" si="43"/>
        <v>110</v>
      </c>
      <c r="L926" s="152">
        <f t="shared" si="44"/>
        <v>95.5</v>
      </c>
      <c r="M926" s="113"/>
    </row>
    <row r="927" spans="1:13" s="114" customFormat="1" x14ac:dyDescent="0.2">
      <c r="A927" s="106" t="s">
        <v>3329</v>
      </c>
      <c r="B927" s="105" t="s">
        <v>2367</v>
      </c>
      <c r="C927" s="105" t="s">
        <v>3406</v>
      </c>
      <c r="D927" s="149" t="s">
        <v>2369</v>
      </c>
      <c r="E927" s="105">
        <v>6</v>
      </c>
      <c r="F927" s="150" t="s">
        <v>2370</v>
      </c>
      <c r="G927" s="150" t="s">
        <v>1853</v>
      </c>
      <c r="H927" s="119">
        <f t="shared" si="42"/>
        <v>45</v>
      </c>
      <c r="I927" s="119"/>
      <c r="J927" s="151">
        <v>0</v>
      </c>
      <c r="K927" s="119">
        <f t="shared" si="43"/>
        <v>45</v>
      </c>
      <c r="L927" s="152">
        <f t="shared" si="44"/>
        <v>38.28</v>
      </c>
      <c r="M927" s="113"/>
    </row>
    <row r="928" spans="1:13" s="114" customFormat="1" x14ac:dyDescent="0.2">
      <c r="A928" s="106" t="s">
        <v>3329</v>
      </c>
      <c r="B928" s="105" t="s">
        <v>1826</v>
      </c>
      <c r="C928" s="105" t="s">
        <v>3407</v>
      </c>
      <c r="D928" s="149" t="s">
        <v>1827</v>
      </c>
      <c r="E928" s="105">
        <v>1</v>
      </c>
      <c r="F928" s="150" t="s">
        <v>1828</v>
      </c>
      <c r="G928" s="150" t="s">
        <v>1829</v>
      </c>
      <c r="H928" s="119">
        <f t="shared" si="42"/>
        <v>120</v>
      </c>
      <c r="I928" s="119"/>
      <c r="J928" s="151">
        <v>0</v>
      </c>
      <c r="K928" s="119">
        <f t="shared" si="43"/>
        <v>120</v>
      </c>
      <c r="L928" s="152">
        <f t="shared" si="44"/>
        <v>90</v>
      </c>
      <c r="M928" s="113"/>
    </row>
    <row r="929" spans="1:13" s="114" customFormat="1" x14ac:dyDescent="0.2">
      <c r="A929" s="106" t="s">
        <v>3329</v>
      </c>
      <c r="B929" s="105" t="s">
        <v>3408</v>
      </c>
      <c r="C929" s="105" t="s">
        <v>3409</v>
      </c>
      <c r="D929" s="149" t="s">
        <v>3410</v>
      </c>
      <c r="E929" s="105">
        <v>16</v>
      </c>
      <c r="F929" s="150" t="s">
        <v>3411</v>
      </c>
      <c r="G929" s="150" t="s">
        <v>3412</v>
      </c>
      <c r="H929" s="119">
        <f t="shared" si="42"/>
        <v>104</v>
      </c>
      <c r="I929" s="119"/>
      <c r="J929" s="151">
        <v>0</v>
      </c>
      <c r="K929" s="119">
        <f t="shared" si="43"/>
        <v>104</v>
      </c>
      <c r="L929" s="152">
        <f t="shared" si="44"/>
        <v>87.52</v>
      </c>
      <c r="M929" s="113"/>
    </row>
    <row r="930" spans="1:13" s="114" customFormat="1" x14ac:dyDescent="0.2">
      <c r="A930" s="106" t="s">
        <v>3329</v>
      </c>
      <c r="B930" s="105" t="s">
        <v>2055</v>
      </c>
      <c r="C930" s="105" t="s">
        <v>3409</v>
      </c>
      <c r="D930" s="149" t="s">
        <v>2056</v>
      </c>
      <c r="E930" s="105">
        <v>5</v>
      </c>
      <c r="F930" s="150" t="s">
        <v>1824</v>
      </c>
      <c r="G930" s="150" t="s">
        <v>1825</v>
      </c>
      <c r="H930" s="119">
        <f t="shared" si="42"/>
        <v>337.5</v>
      </c>
      <c r="I930" s="119"/>
      <c r="J930" s="151">
        <v>0</v>
      </c>
      <c r="K930" s="119">
        <f t="shared" si="43"/>
        <v>337.5</v>
      </c>
      <c r="L930" s="152">
        <f t="shared" si="44"/>
        <v>297.89999999999998</v>
      </c>
      <c r="M930" s="113"/>
    </row>
    <row r="931" spans="1:13" s="114" customFormat="1" x14ac:dyDescent="0.2">
      <c r="A931" s="106" t="s">
        <v>3329</v>
      </c>
      <c r="B931" s="105" t="s">
        <v>3413</v>
      </c>
      <c r="C931" s="105" t="s">
        <v>3409</v>
      </c>
      <c r="D931" s="149" t="s">
        <v>3414</v>
      </c>
      <c r="E931" s="105">
        <v>2</v>
      </c>
      <c r="F931" s="150" t="s">
        <v>3415</v>
      </c>
      <c r="G931" s="150" t="s">
        <v>3416</v>
      </c>
      <c r="H931" s="119">
        <f t="shared" si="42"/>
        <v>75</v>
      </c>
      <c r="I931" s="119"/>
      <c r="J931" s="151">
        <v>0</v>
      </c>
      <c r="K931" s="119">
        <f t="shared" si="43"/>
        <v>75</v>
      </c>
      <c r="L931" s="152">
        <f t="shared" si="44"/>
        <v>64.94</v>
      </c>
      <c r="M931" s="113"/>
    </row>
    <row r="932" spans="1:13" s="114" customFormat="1" x14ac:dyDescent="0.2">
      <c r="A932" s="106" t="s">
        <v>3329</v>
      </c>
      <c r="B932" s="105" t="s">
        <v>3417</v>
      </c>
      <c r="C932" s="105" t="s">
        <v>3409</v>
      </c>
      <c r="D932" s="149" t="s">
        <v>3418</v>
      </c>
      <c r="E932" s="105">
        <v>1</v>
      </c>
      <c r="F932" s="150" t="s">
        <v>3419</v>
      </c>
      <c r="G932" s="150" t="s">
        <v>3420</v>
      </c>
      <c r="H932" s="119">
        <f t="shared" si="42"/>
        <v>58.75</v>
      </c>
      <c r="I932" s="119"/>
      <c r="J932" s="151">
        <v>0</v>
      </c>
      <c r="K932" s="119">
        <f t="shared" si="43"/>
        <v>58.75</v>
      </c>
      <c r="L932" s="152">
        <f t="shared" si="44"/>
        <v>51.06</v>
      </c>
      <c r="M932" s="113"/>
    </row>
    <row r="933" spans="1:13" s="114" customFormat="1" x14ac:dyDescent="0.2">
      <c r="A933" s="106" t="s">
        <v>3329</v>
      </c>
      <c r="B933" s="105" t="s">
        <v>1897</v>
      </c>
      <c r="C933" s="105" t="s">
        <v>3409</v>
      </c>
      <c r="D933" s="149" t="s">
        <v>1898</v>
      </c>
      <c r="E933" s="105">
        <v>2</v>
      </c>
      <c r="F933" s="150" t="s">
        <v>1899</v>
      </c>
      <c r="G933" s="150" t="s">
        <v>1900</v>
      </c>
      <c r="H933" s="119">
        <f t="shared" si="42"/>
        <v>60</v>
      </c>
      <c r="I933" s="119"/>
      <c r="J933" s="151">
        <v>0</v>
      </c>
      <c r="K933" s="119">
        <f t="shared" si="43"/>
        <v>60</v>
      </c>
      <c r="L933" s="152">
        <f t="shared" si="44"/>
        <v>55</v>
      </c>
      <c r="M933" s="113"/>
    </row>
    <row r="934" spans="1:13" s="114" customFormat="1" x14ac:dyDescent="0.2">
      <c r="A934" s="106" t="s">
        <v>3329</v>
      </c>
      <c r="B934" s="105" t="s">
        <v>2323</v>
      </c>
      <c r="C934" s="105" t="s">
        <v>3409</v>
      </c>
      <c r="D934" s="149" t="s">
        <v>2325</v>
      </c>
      <c r="E934" s="105">
        <v>2</v>
      </c>
      <c r="F934" s="150" t="s">
        <v>2326</v>
      </c>
      <c r="G934" s="150" t="s">
        <v>1932</v>
      </c>
      <c r="H934" s="119">
        <f t="shared" si="42"/>
        <v>44</v>
      </c>
      <c r="I934" s="119"/>
      <c r="J934" s="151">
        <v>0</v>
      </c>
      <c r="K934" s="119">
        <f t="shared" si="43"/>
        <v>44</v>
      </c>
      <c r="L934" s="152">
        <f t="shared" si="44"/>
        <v>38.200000000000003</v>
      </c>
      <c r="M934" s="113"/>
    </row>
    <row r="935" spans="1:13" s="114" customFormat="1" x14ac:dyDescent="0.2">
      <c r="A935" s="106" t="s">
        <v>3329</v>
      </c>
      <c r="B935" s="105" t="s">
        <v>2115</v>
      </c>
      <c r="C935" s="105" t="s">
        <v>3409</v>
      </c>
      <c r="D935" s="149" t="s">
        <v>2117</v>
      </c>
      <c r="E935" s="105">
        <v>1</v>
      </c>
      <c r="F935" s="150" t="s">
        <v>2118</v>
      </c>
      <c r="G935" s="150" t="s">
        <v>3421</v>
      </c>
      <c r="H935" s="119">
        <f t="shared" si="42"/>
        <v>94</v>
      </c>
      <c r="I935" s="119"/>
      <c r="J935" s="151">
        <v>0</v>
      </c>
      <c r="K935" s="119">
        <f t="shared" si="43"/>
        <v>94</v>
      </c>
      <c r="L935" s="152">
        <f t="shared" si="44"/>
        <v>84.8</v>
      </c>
      <c r="M935" s="113"/>
    </row>
    <row r="936" spans="1:13" s="114" customFormat="1" x14ac:dyDescent="0.2">
      <c r="A936" s="106" t="s">
        <v>3329</v>
      </c>
      <c r="B936" s="105" t="s">
        <v>2139</v>
      </c>
      <c r="C936" s="105" t="s">
        <v>3409</v>
      </c>
      <c r="D936" s="149" t="s">
        <v>2140</v>
      </c>
      <c r="E936" s="105">
        <v>1</v>
      </c>
      <c r="F936" s="150" t="s">
        <v>1832</v>
      </c>
      <c r="G936" s="150" t="s">
        <v>1833</v>
      </c>
      <c r="H936" s="119">
        <f t="shared" si="42"/>
        <v>18.5</v>
      </c>
      <c r="I936" s="119"/>
      <c r="J936" s="151">
        <v>0</v>
      </c>
      <c r="K936" s="119">
        <f t="shared" si="43"/>
        <v>18.5</v>
      </c>
      <c r="L936" s="152">
        <f t="shared" si="44"/>
        <v>16.03</v>
      </c>
      <c r="M936" s="113"/>
    </row>
    <row r="937" spans="1:13" s="114" customFormat="1" x14ac:dyDescent="0.2">
      <c r="A937" s="106" t="s">
        <v>3329</v>
      </c>
      <c r="B937" s="105" t="s">
        <v>2742</v>
      </c>
      <c r="C937" s="105" t="s">
        <v>3409</v>
      </c>
      <c r="D937" s="149" t="s">
        <v>2743</v>
      </c>
      <c r="E937" s="105">
        <v>1</v>
      </c>
      <c r="F937" s="150" t="s">
        <v>1832</v>
      </c>
      <c r="G937" s="150" t="s">
        <v>1833</v>
      </c>
      <c r="H937" s="119">
        <f t="shared" si="42"/>
        <v>18.5</v>
      </c>
      <c r="I937" s="119"/>
      <c r="J937" s="151">
        <v>0</v>
      </c>
      <c r="K937" s="119">
        <f t="shared" si="43"/>
        <v>18.5</v>
      </c>
      <c r="L937" s="152">
        <f t="shared" si="44"/>
        <v>16.03</v>
      </c>
      <c r="M937" s="113"/>
    </row>
    <row r="938" spans="1:13" s="114" customFormat="1" x14ac:dyDescent="0.2">
      <c r="A938" s="106" t="s">
        <v>3329</v>
      </c>
      <c r="B938" s="105" t="s">
        <v>2606</v>
      </c>
      <c r="C938" s="105" t="s">
        <v>3409</v>
      </c>
      <c r="D938" s="149" t="s">
        <v>2607</v>
      </c>
      <c r="E938" s="105">
        <v>2</v>
      </c>
      <c r="F938" s="150" t="s">
        <v>2608</v>
      </c>
      <c r="G938" s="150" t="s">
        <v>2506</v>
      </c>
      <c r="H938" s="119">
        <f t="shared" si="42"/>
        <v>100</v>
      </c>
      <c r="I938" s="119"/>
      <c r="J938" s="151">
        <v>0</v>
      </c>
      <c r="K938" s="119">
        <f t="shared" si="43"/>
        <v>100</v>
      </c>
      <c r="L938" s="152">
        <f t="shared" si="44"/>
        <v>86.68</v>
      </c>
      <c r="M938" s="113"/>
    </row>
    <row r="939" spans="1:13" s="114" customFormat="1" x14ac:dyDescent="0.2">
      <c r="A939" s="106" t="s">
        <v>3329</v>
      </c>
      <c r="B939" s="105" t="s">
        <v>1994</v>
      </c>
      <c r="C939" s="105" t="s">
        <v>3409</v>
      </c>
      <c r="D939" s="149" t="s">
        <v>1995</v>
      </c>
      <c r="E939" s="105">
        <v>10</v>
      </c>
      <c r="F939" s="150" t="s">
        <v>1996</v>
      </c>
      <c r="G939" s="150" t="s">
        <v>1801</v>
      </c>
      <c r="H939" s="119">
        <f t="shared" si="42"/>
        <v>95</v>
      </c>
      <c r="I939" s="119"/>
      <c r="J939" s="151">
        <v>0</v>
      </c>
      <c r="K939" s="119">
        <f t="shared" si="43"/>
        <v>95</v>
      </c>
      <c r="L939" s="152">
        <f t="shared" si="44"/>
        <v>66.7</v>
      </c>
      <c r="M939" s="113"/>
    </row>
    <row r="940" spans="1:13" s="114" customFormat="1" x14ac:dyDescent="0.2">
      <c r="A940" s="106" t="s">
        <v>3422</v>
      </c>
      <c r="B940" s="105" t="s">
        <v>2809</v>
      </c>
      <c r="C940" s="105" t="s">
        <v>3423</v>
      </c>
      <c r="D940" s="149" t="s">
        <v>2810</v>
      </c>
      <c r="E940" s="105">
        <v>1</v>
      </c>
      <c r="F940" s="150" t="s">
        <v>2811</v>
      </c>
      <c r="G940" s="150" t="s">
        <v>2812</v>
      </c>
      <c r="H940" s="119">
        <f t="shared" si="42"/>
        <v>62</v>
      </c>
      <c r="I940" s="119"/>
      <c r="J940" s="151">
        <v>0</v>
      </c>
      <c r="K940" s="119">
        <f t="shared" si="43"/>
        <v>62</v>
      </c>
      <c r="L940" s="152">
        <f t="shared" si="44"/>
        <v>53.81</v>
      </c>
      <c r="M940" s="113"/>
    </row>
    <row r="941" spans="1:13" s="114" customFormat="1" x14ac:dyDescent="0.2">
      <c r="A941" s="106" t="s">
        <v>3422</v>
      </c>
      <c r="B941" s="105" t="s">
        <v>3195</v>
      </c>
      <c r="C941" s="105" t="s">
        <v>3424</v>
      </c>
      <c r="D941" s="149" t="s">
        <v>3196</v>
      </c>
      <c r="E941" s="105">
        <v>1</v>
      </c>
      <c r="F941" s="150" t="s">
        <v>3197</v>
      </c>
      <c r="G941" s="150" t="s">
        <v>3198</v>
      </c>
      <c r="H941" s="119">
        <f t="shared" si="42"/>
        <v>74.5</v>
      </c>
      <c r="I941" s="119"/>
      <c r="J941" s="151">
        <v>0</v>
      </c>
      <c r="K941" s="119">
        <f t="shared" si="43"/>
        <v>74.5</v>
      </c>
      <c r="L941" s="152">
        <f t="shared" si="44"/>
        <v>64.58</v>
      </c>
      <c r="M941" s="113"/>
    </row>
    <row r="942" spans="1:13" s="114" customFormat="1" x14ac:dyDescent="0.2">
      <c r="A942" s="106" t="s">
        <v>3422</v>
      </c>
      <c r="B942" s="105" t="s">
        <v>2941</v>
      </c>
      <c r="C942" s="105" t="s">
        <v>3424</v>
      </c>
      <c r="D942" s="149" t="s">
        <v>2943</v>
      </c>
      <c r="E942" s="105">
        <v>9</v>
      </c>
      <c r="F942" s="150" t="s">
        <v>2944</v>
      </c>
      <c r="G942" s="150" t="s">
        <v>1966</v>
      </c>
      <c r="H942" s="119">
        <f t="shared" si="42"/>
        <v>74.25</v>
      </c>
      <c r="I942" s="119"/>
      <c r="J942" s="151">
        <v>0</v>
      </c>
      <c r="K942" s="119">
        <f t="shared" si="43"/>
        <v>74.25</v>
      </c>
      <c r="L942" s="152">
        <f t="shared" si="44"/>
        <v>64.259999999999991</v>
      </c>
      <c r="M942" s="113"/>
    </row>
    <row r="943" spans="1:13" s="114" customFormat="1" x14ac:dyDescent="0.2">
      <c r="A943" s="106" t="s">
        <v>3422</v>
      </c>
      <c r="B943" s="105" t="s">
        <v>2912</v>
      </c>
      <c r="C943" s="105" t="s">
        <v>3425</v>
      </c>
      <c r="D943" s="149" t="s">
        <v>2914</v>
      </c>
      <c r="E943" s="105">
        <v>2</v>
      </c>
      <c r="F943" s="150" t="s">
        <v>1895</v>
      </c>
      <c r="G943" s="150" t="s">
        <v>1896</v>
      </c>
      <c r="H943" s="119">
        <f t="shared" si="42"/>
        <v>63</v>
      </c>
      <c r="I943" s="119"/>
      <c r="J943" s="151">
        <v>0</v>
      </c>
      <c r="K943" s="119">
        <f t="shared" si="43"/>
        <v>63</v>
      </c>
      <c r="L943" s="152">
        <f t="shared" si="44"/>
        <v>54.6</v>
      </c>
      <c r="M943" s="113"/>
    </row>
    <row r="944" spans="1:13" s="114" customFormat="1" x14ac:dyDescent="0.2">
      <c r="A944" s="106" t="s">
        <v>3422</v>
      </c>
      <c r="B944" s="105" t="s">
        <v>1806</v>
      </c>
      <c r="C944" s="105" t="s">
        <v>3426</v>
      </c>
      <c r="D944" s="149" t="s">
        <v>1807</v>
      </c>
      <c r="E944" s="105">
        <v>1</v>
      </c>
      <c r="F944" s="150" t="s">
        <v>1808</v>
      </c>
      <c r="G944" s="150" t="s">
        <v>1809</v>
      </c>
      <c r="H944" s="119">
        <f t="shared" si="42"/>
        <v>18</v>
      </c>
      <c r="I944" s="119"/>
      <c r="J944" s="151">
        <v>0</v>
      </c>
      <c r="K944" s="119">
        <f t="shared" si="43"/>
        <v>18</v>
      </c>
      <c r="L944" s="152">
        <f t="shared" si="44"/>
        <v>15.65</v>
      </c>
      <c r="M944" s="113"/>
    </row>
    <row r="945" spans="1:13" s="114" customFormat="1" x14ac:dyDescent="0.2">
      <c r="A945" s="106" t="s">
        <v>3422</v>
      </c>
      <c r="B945" s="105" t="s">
        <v>3060</v>
      </c>
      <c r="C945" s="105" t="s">
        <v>3427</v>
      </c>
      <c r="D945" s="149" t="s">
        <v>3062</v>
      </c>
      <c r="E945" s="105">
        <v>1</v>
      </c>
      <c r="F945" s="150" t="s">
        <v>2011</v>
      </c>
      <c r="G945" s="150" t="s">
        <v>2012</v>
      </c>
      <c r="H945" s="119">
        <f t="shared" si="42"/>
        <v>51.75</v>
      </c>
      <c r="I945" s="119"/>
      <c r="J945" s="151">
        <v>0</v>
      </c>
      <c r="K945" s="119">
        <f t="shared" si="43"/>
        <v>51.75</v>
      </c>
      <c r="L945" s="152">
        <f t="shared" si="44"/>
        <v>44.8</v>
      </c>
      <c r="M945" s="113"/>
    </row>
    <row r="946" spans="1:13" s="114" customFormat="1" x14ac:dyDescent="0.2">
      <c r="A946" s="106" t="s">
        <v>3422</v>
      </c>
      <c r="B946" s="105" t="s">
        <v>2338</v>
      </c>
      <c r="C946" s="105" t="s">
        <v>3427</v>
      </c>
      <c r="D946" s="149" t="s">
        <v>2339</v>
      </c>
      <c r="E946" s="105">
        <v>1</v>
      </c>
      <c r="F946" s="150" t="s">
        <v>1913</v>
      </c>
      <c r="G946" s="150" t="s">
        <v>2340</v>
      </c>
      <c r="H946" s="119">
        <f t="shared" si="42"/>
        <v>36.33</v>
      </c>
      <c r="I946" s="119"/>
      <c r="J946" s="151">
        <v>0</v>
      </c>
      <c r="K946" s="119">
        <f t="shared" si="43"/>
        <v>36.33</v>
      </c>
      <c r="L946" s="152">
        <f t="shared" si="44"/>
        <v>31.6</v>
      </c>
      <c r="M946" s="113"/>
    </row>
    <row r="947" spans="1:13" s="114" customFormat="1" x14ac:dyDescent="0.2">
      <c r="A947" s="106" t="s">
        <v>3422</v>
      </c>
      <c r="B947" s="105" t="s">
        <v>3428</v>
      </c>
      <c r="C947" s="105" t="s">
        <v>3427</v>
      </c>
      <c r="D947" s="149" t="s">
        <v>3429</v>
      </c>
      <c r="E947" s="105">
        <v>1</v>
      </c>
      <c r="F947" s="150" t="s">
        <v>3221</v>
      </c>
      <c r="G947" s="150" t="s">
        <v>2479</v>
      </c>
      <c r="H947" s="119">
        <f t="shared" si="42"/>
        <v>41.25</v>
      </c>
      <c r="I947" s="119"/>
      <c r="J947" s="151">
        <v>0</v>
      </c>
      <c r="K947" s="119">
        <f t="shared" si="43"/>
        <v>41.25</v>
      </c>
      <c r="L947" s="152">
        <f t="shared" si="44"/>
        <v>35</v>
      </c>
      <c r="M947" s="113"/>
    </row>
    <row r="948" spans="1:13" s="114" customFormat="1" x14ac:dyDescent="0.2">
      <c r="A948" s="106" t="s">
        <v>3422</v>
      </c>
      <c r="B948" s="105" t="s">
        <v>2072</v>
      </c>
      <c r="C948" s="105" t="s">
        <v>3430</v>
      </c>
      <c r="D948" s="149" t="s">
        <v>2074</v>
      </c>
      <c r="E948" s="105">
        <v>2</v>
      </c>
      <c r="F948" s="150" t="s">
        <v>2075</v>
      </c>
      <c r="G948" s="150" t="s">
        <v>2076</v>
      </c>
      <c r="H948" s="119">
        <f t="shared" si="42"/>
        <v>21</v>
      </c>
      <c r="I948" s="119"/>
      <c r="J948" s="151">
        <v>0</v>
      </c>
      <c r="K948" s="119">
        <f t="shared" si="43"/>
        <v>21</v>
      </c>
      <c r="L948" s="152">
        <f t="shared" si="44"/>
        <v>18.2</v>
      </c>
      <c r="M948" s="113"/>
    </row>
    <row r="949" spans="1:13" s="114" customFormat="1" x14ac:dyDescent="0.2">
      <c r="A949" s="106" t="s">
        <v>3422</v>
      </c>
      <c r="B949" s="105" t="s">
        <v>1997</v>
      </c>
      <c r="C949" s="105" t="s">
        <v>3431</v>
      </c>
      <c r="D949" s="149" t="s">
        <v>1999</v>
      </c>
      <c r="E949" s="105">
        <v>2</v>
      </c>
      <c r="F949" s="150" t="s">
        <v>2874</v>
      </c>
      <c r="G949" s="150" t="s">
        <v>2001</v>
      </c>
      <c r="H949" s="119">
        <f t="shared" si="42"/>
        <v>10.5</v>
      </c>
      <c r="I949" s="119"/>
      <c r="J949" s="151">
        <v>0</v>
      </c>
      <c r="K949" s="119">
        <f t="shared" si="43"/>
        <v>10.5</v>
      </c>
      <c r="L949" s="152">
        <f t="shared" si="44"/>
        <v>8.24</v>
      </c>
      <c r="M949" s="113"/>
    </row>
    <row r="950" spans="1:13" s="114" customFormat="1" x14ac:dyDescent="0.2">
      <c r="A950" s="106" t="s">
        <v>3422</v>
      </c>
      <c r="B950" s="105" t="s">
        <v>2429</v>
      </c>
      <c r="C950" s="105" t="s">
        <v>3432</v>
      </c>
      <c r="D950" s="149" t="s">
        <v>2431</v>
      </c>
      <c r="E950" s="105">
        <v>5</v>
      </c>
      <c r="F950" s="150" t="s">
        <v>2432</v>
      </c>
      <c r="G950" s="150" t="s">
        <v>2433</v>
      </c>
      <c r="H950" s="119">
        <f t="shared" si="42"/>
        <v>80</v>
      </c>
      <c r="I950" s="119"/>
      <c r="J950" s="151">
        <v>0</v>
      </c>
      <c r="K950" s="119">
        <f t="shared" si="43"/>
        <v>80</v>
      </c>
      <c r="L950" s="152">
        <f t="shared" si="44"/>
        <v>68.849999999999994</v>
      </c>
      <c r="M950" s="113"/>
    </row>
    <row r="951" spans="1:13" s="114" customFormat="1" x14ac:dyDescent="0.2">
      <c r="A951" s="106" t="s">
        <v>3422</v>
      </c>
      <c r="B951" s="105" t="s">
        <v>1874</v>
      </c>
      <c r="C951" s="105" t="s">
        <v>3432</v>
      </c>
      <c r="D951" s="149" t="s">
        <v>1875</v>
      </c>
      <c r="E951" s="105">
        <v>1</v>
      </c>
      <c r="F951" s="150" t="s">
        <v>1876</v>
      </c>
      <c r="G951" s="150" t="s">
        <v>1873</v>
      </c>
      <c r="H951" s="119">
        <f t="shared" si="42"/>
        <v>19</v>
      </c>
      <c r="I951" s="119"/>
      <c r="J951" s="151">
        <v>0</v>
      </c>
      <c r="K951" s="119">
        <f t="shared" si="43"/>
        <v>19</v>
      </c>
      <c r="L951" s="152">
        <f t="shared" si="44"/>
        <v>16.350000000000001</v>
      </c>
      <c r="M951" s="113"/>
    </row>
    <row r="952" spans="1:13" s="114" customFormat="1" x14ac:dyDescent="0.2">
      <c r="A952" s="106" t="s">
        <v>3422</v>
      </c>
      <c r="B952" s="105" t="s">
        <v>1924</v>
      </c>
      <c r="C952" s="105" t="s">
        <v>3433</v>
      </c>
      <c r="D952" s="149" t="s">
        <v>1926</v>
      </c>
      <c r="E952" s="105">
        <v>7</v>
      </c>
      <c r="F952" s="150" t="s">
        <v>1927</v>
      </c>
      <c r="G952" s="150" t="s">
        <v>1928</v>
      </c>
      <c r="H952" s="119">
        <f t="shared" si="42"/>
        <v>85.75</v>
      </c>
      <c r="I952" s="119"/>
      <c r="J952" s="151">
        <v>0</v>
      </c>
      <c r="K952" s="119">
        <f t="shared" si="43"/>
        <v>85.75</v>
      </c>
      <c r="L952" s="152">
        <f t="shared" si="44"/>
        <v>74.48</v>
      </c>
      <c r="M952" s="113"/>
    </row>
    <row r="953" spans="1:13" s="114" customFormat="1" x14ac:dyDescent="0.2">
      <c r="A953" s="106" t="s">
        <v>3422</v>
      </c>
      <c r="B953" s="105" t="s">
        <v>2947</v>
      </c>
      <c r="C953" s="105" t="s">
        <v>3433</v>
      </c>
      <c r="D953" s="149" t="s">
        <v>2948</v>
      </c>
      <c r="E953" s="105">
        <v>1</v>
      </c>
      <c r="F953" s="150" t="s">
        <v>2949</v>
      </c>
      <c r="G953" s="150" t="s">
        <v>2950</v>
      </c>
      <c r="H953" s="119">
        <f t="shared" si="42"/>
        <v>76.75</v>
      </c>
      <c r="I953" s="119"/>
      <c r="J953" s="151">
        <v>0</v>
      </c>
      <c r="K953" s="119">
        <f t="shared" si="43"/>
        <v>76.75</v>
      </c>
      <c r="L953" s="152">
        <f t="shared" si="44"/>
        <v>65.989999999999995</v>
      </c>
      <c r="M953" s="113"/>
    </row>
    <row r="954" spans="1:13" s="114" customFormat="1" x14ac:dyDescent="0.2">
      <c r="A954" s="106" t="s">
        <v>3422</v>
      </c>
      <c r="B954" s="105" t="s">
        <v>3434</v>
      </c>
      <c r="C954" s="105" t="s">
        <v>3435</v>
      </c>
      <c r="D954" s="149" t="s">
        <v>3436</v>
      </c>
      <c r="E954" s="105">
        <v>1</v>
      </c>
      <c r="F954" s="150" t="s">
        <v>1965</v>
      </c>
      <c r="G954" s="150" t="s">
        <v>1966</v>
      </c>
      <c r="H954" s="119">
        <f t="shared" si="42"/>
        <v>8.25</v>
      </c>
      <c r="I954" s="119"/>
      <c r="J954" s="151">
        <v>0</v>
      </c>
      <c r="K954" s="119">
        <f t="shared" si="43"/>
        <v>8.25</v>
      </c>
      <c r="L954" s="152">
        <f t="shared" si="44"/>
        <v>7.06</v>
      </c>
      <c r="M954" s="113"/>
    </row>
    <row r="955" spans="1:13" s="114" customFormat="1" x14ac:dyDescent="0.2">
      <c r="A955" s="106" t="s">
        <v>3422</v>
      </c>
      <c r="B955" s="105" t="s">
        <v>3437</v>
      </c>
      <c r="C955" s="105" t="s">
        <v>3438</v>
      </c>
      <c r="D955" s="149" t="s">
        <v>3439</v>
      </c>
      <c r="E955" s="105">
        <v>1</v>
      </c>
      <c r="F955" s="150" t="s">
        <v>3440</v>
      </c>
      <c r="G955" s="150" t="s">
        <v>2213</v>
      </c>
      <c r="H955" s="119">
        <f t="shared" si="42"/>
        <v>15.25</v>
      </c>
      <c r="I955" s="119"/>
      <c r="J955" s="151">
        <v>0</v>
      </c>
      <c r="K955" s="119">
        <f t="shared" si="43"/>
        <v>15.25</v>
      </c>
      <c r="L955" s="152">
        <f t="shared" si="44"/>
        <v>13.12</v>
      </c>
      <c r="M955" s="113"/>
    </row>
    <row r="956" spans="1:13" s="114" customFormat="1" x14ac:dyDescent="0.2">
      <c r="A956" s="106" t="s">
        <v>3422</v>
      </c>
      <c r="B956" s="105" t="s">
        <v>2031</v>
      </c>
      <c r="C956" s="105" t="s">
        <v>3441</v>
      </c>
      <c r="D956" s="149" t="s">
        <v>2033</v>
      </c>
      <c r="E956" s="105">
        <v>1</v>
      </c>
      <c r="F956" s="150" t="s">
        <v>2985</v>
      </c>
      <c r="G956" s="150" t="s">
        <v>1892</v>
      </c>
      <c r="H956" s="119">
        <f t="shared" si="42"/>
        <v>24</v>
      </c>
      <c r="I956" s="119"/>
      <c r="J956" s="151">
        <v>0</v>
      </c>
      <c r="K956" s="119">
        <f t="shared" si="43"/>
        <v>24</v>
      </c>
      <c r="L956" s="152">
        <f t="shared" si="44"/>
        <v>20.399999999999999</v>
      </c>
      <c r="M956" s="113"/>
    </row>
    <row r="957" spans="1:13" s="114" customFormat="1" x14ac:dyDescent="0.2">
      <c r="A957" s="106" t="s">
        <v>3422</v>
      </c>
      <c r="B957" s="105" t="s">
        <v>2919</v>
      </c>
      <c r="C957" s="105" t="s">
        <v>3441</v>
      </c>
      <c r="D957" s="149" t="s">
        <v>2921</v>
      </c>
      <c r="E957" s="105">
        <v>1</v>
      </c>
      <c r="F957" s="150" t="s">
        <v>2922</v>
      </c>
      <c r="G957" s="150" t="s">
        <v>2923</v>
      </c>
      <c r="H957" s="119">
        <f t="shared" si="42"/>
        <v>106.75</v>
      </c>
      <c r="I957" s="119"/>
      <c r="J957" s="151">
        <v>0</v>
      </c>
      <c r="K957" s="119">
        <f t="shared" si="43"/>
        <v>106.75</v>
      </c>
      <c r="L957" s="152">
        <f t="shared" si="44"/>
        <v>92.8</v>
      </c>
      <c r="M957" s="113"/>
    </row>
    <row r="958" spans="1:13" s="114" customFormat="1" x14ac:dyDescent="0.2">
      <c r="A958" s="106" t="s">
        <v>3422</v>
      </c>
      <c r="B958" s="105" t="s">
        <v>2115</v>
      </c>
      <c r="C958" s="105" t="s">
        <v>3442</v>
      </c>
      <c r="D958" s="149" t="s">
        <v>2117</v>
      </c>
      <c r="E958" s="105">
        <v>1</v>
      </c>
      <c r="F958" s="150" t="s">
        <v>2118</v>
      </c>
      <c r="G958" s="150" t="s">
        <v>3421</v>
      </c>
      <c r="H958" s="119">
        <f t="shared" si="42"/>
        <v>94</v>
      </c>
      <c r="I958" s="119"/>
      <c r="J958" s="151">
        <v>0</v>
      </c>
      <c r="K958" s="119">
        <f t="shared" si="43"/>
        <v>94</v>
      </c>
      <c r="L958" s="152">
        <f t="shared" si="44"/>
        <v>84.8</v>
      </c>
      <c r="M958" s="113"/>
    </row>
    <row r="959" spans="1:13" s="114" customFormat="1" x14ac:dyDescent="0.2">
      <c r="A959" s="106" t="s">
        <v>3422</v>
      </c>
      <c r="B959" s="105" t="s">
        <v>3443</v>
      </c>
      <c r="C959" s="105" t="s">
        <v>3442</v>
      </c>
      <c r="D959" s="149" t="s">
        <v>3444</v>
      </c>
      <c r="E959" s="105">
        <v>1</v>
      </c>
      <c r="F959" s="150" t="s">
        <v>3445</v>
      </c>
      <c r="G959" s="150" t="s">
        <v>2842</v>
      </c>
      <c r="H959" s="119">
        <f t="shared" si="42"/>
        <v>103.5</v>
      </c>
      <c r="I959" s="119"/>
      <c r="J959" s="151">
        <v>0</v>
      </c>
      <c r="K959" s="119">
        <f t="shared" si="43"/>
        <v>103.5</v>
      </c>
      <c r="L959" s="152">
        <f t="shared" si="44"/>
        <v>89.91</v>
      </c>
      <c r="M959" s="113"/>
    </row>
    <row r="960" spans="1:13" s="114" customFormat="1" x14ac:dyDescent="0.2">
      <c r="A960" s="106" t="s">
        <v>3422</v>
      </c>
      <c r="B960" s="105" t="s">
        <v>3446</v>
      </c>
      <c r="C960" s="105" t="s">
        <v>3442</v>
      </c>
      <c r="D960" s="149" t="s">
        <v>3447</v>
      </c>
      <c r="E960" s="105">
        <v>3</v>
      </c>
      <c r="F960" s="150" t="s">
        <v>2600</v>
      </c>
      <c r="G960" s="150" t="s">
        <v>2337</v>
      </c>
      <c r="H960" s="119">
        <f t="shared" si="42"/>
        <v>117</v>
      </c>
      <c r="I960" s="119"/>
      <c r="J960" s="151">
        <v>0</v>
      </c>
      <c r="K960" s="119">
        <f t="shared" si="43"/>
        <v>117</v>
      </c>
      <c r="L960" s="152">
        <f t="shared" si="44"/>
        <v>101.25</v>
      </c>
      <c r="M960" s="113"/>
    </row>
    <row r="961" spans="1:13" s="114" customFormat="1" x14ac:dyDescent="0.2">
      <c r="A961" s="106" t="s">
        <v>3422</v>
      </c>
      <c r="B961" s="105" t="s">
        <v>3448</v>
      </c>
      <c r="C961" s="105" t="s">
        <v>3449</v>
      </c>
      <c r="D961" s="149" t="s">
        <v>3450</v>
      </c>
      <c r="E961" s="105">
        <v>4</v>
      </c>
      <c r="F961" s="150" t="s">
        <v>3451</v>
      </c>
      <c r="G961" s="150" t="s">
        <v>1833</v>
      </c>
      <c r="H961" s="119">
        <f t="shared" si="42"/>
        <v>74</v>
      </c>
      <c r="I961" s="119"/>
      <c r="J961" s="151">
        <v>0</v>
      </c>
      <c r="K961" s="119">
        <f t="shared" si="43"/>
        <v>74</v>
      </c>
      <c r="L961" s="152">
        <f t="shared" si="44"/>
        <v>63.64</v>
      </c>
      <c r="M961" s="113"/>
    </row>
    <row r="962" spans="1:13" s="114" customFormat="1" x14ac:dyDescent="0.2">
      <c r="A962" s="106" t="s">
        <v>3422</v>
      </c>
      <c r="B962" s="105" t="s">
        <v>3452</v>
      </c>
      <c r="C962" s="105" t="s">
        <v>3449</v>
      </c>
      <c r="D962" s="149" t="s">
        <v>3453</v>
      </c>
      <c r="E962" s="105">
        <v>2</v>
      </c>
      <c r="F962" s="150" t="s">
        <v>3454</v>
      </c>
      <c r="G962" s="150" t="s">
        <v>3455</v>
      </c>
      <c r="H962" s="119">
        <f t="shared" si="42"/>
        <v>102.5</v>
      </c>
      <c r="I962" s="119"/>
      <c r="J962" s="151">
        <v>0</v>
      </c>
      <c r="K962" s="119">
        <f t="shared" si="43"/>
        <v>102.5</v>
      </c>
      <c r="L962" s="152">
        <f t="shared" si="44"/>
        <v>89</v>
      </c>
      <c r="M962" s="113"/>
    </row>
    <row r="963" spans="1:13" s="114" customFormat="1" x14ac:dyDescent="0.2">
      <c r="A963" s="106" t="s">
        <v>3422</v>
      </c>
      <c r="B963" s="105" t="s">
        <v>2162</v>
      </c>
      <c r="C963" s="105" t="s">
        <v>3449</v>
      </c>
      <c r="D963" s="149" t="s">
        <v>2163</v>
      </c>
      <c r="E963" s="105">
        <v>1</v>
      </c>
      <c r="F963" s="150" t="s">
        <v>2164</v>
      </c>
      <c r="G963" s="150" t="s">
        <v>2165</v>
      </c>
      <c r="H963" s="119">
        <f t="shared" si="42"/>
        <v>77.5</v>
      </c>
      <c r="I963" s="119"/>
      <c r="J963" s="151">
        <v>0</v>
      </c>
      <c r="K963" s="119">
        <f t="shared" si="43"/>
        <v>77.5</v>
      </c>
      <c r="L963" s="152">
        <f t="shared" si="44"/>
        <v>67.290000000000006</v>
      </c>
      <c r="M963" s="113"/>
    </row>
    <row r="964" spans="1:13" s="114" customFormat="1" x14ac:dyDescent="0.2">
      <c r="A964" s="106" t="s">
        <v>3422</v>
      </c>
      <c r="B964" s="105" t="s">
        <v>2173</v>
      </c>
      <c r="C964" s="105" t="s">
        <v>3449</v>
      </c>
      <c r="D964" s="149" t="s">
        <v>2175</v>
      </c>
      <c r="E964" s="105">
        <v>1</v>
      </c>
      <c r="F964" s="150" t="s">
        <v>2176</v>
      </c>
      <c r="G964" s="150" t="s">
        <v>2177</v>
      </c>
      <c r="H964" s="119">
        <f t="shared" si="42"/>
        <v>161</v>
      </c>
      <c r="I964" s="119"/>
      <c r="J964" s="151">
        <v>0</v>
      </c>
      <c r="K964" s="119">
        <f t="shared" si="43"/>
        <v>161</v>
      </c>
      <c r="L964" s="152">
        <f t="shared" si="44"/>
        <v>140</v>
      </c>
      <c r="M964" s="113"/>
    </row>
    <row r="965" spans="1:13" s="114" customFormat="1" x14ac:dyDescent="0.2">
      <c r="A965" s="106" t="s">
        <v>3422</v>
      </c>
      <c r="B965" s="105" t="s">
        <v>2584</v>
      </c>
      <c r="C965" s="105" t="s">
        <v>3456</v>
      </c>
      <c r="D965" s="149" t="s">
        <v>2585</v>
      </c>
      <c r="E965" s="105">
        <v>3</v>
      </c>
      <c r="F965" s="150" t="s">
        <v>2586</v>
      </c>
      <c r="G965" s="150" t="s">
        <v>1910</v>
      </c>
      <c r="H965" s="119">
        <f t="shared" si="42"/>
        <v>62.25</v>
      </c>
      <c r="I965" s="119"/>
      <c r="J965" s="151">
        <v>0</v>
      </c>
      <c r="K965" s="119">
        <f t="shared" si="43"/>
        <v>62.25</v>
      </c>
      <c r="L965" s="152">
        <f t="shared" si="44"/>
        <v>53.699999999999996</v>
      </c>
      <c r="M965" s="113"/>
    </row>
    <row r="966" spans="1:13" s="114" customFormat="1" x14ac:dyDescent="0.2">
      <c r="A966" s="106" t="s">
        <v>3422</v>
      </c>
      <c r="B966" s="105" t="s">
        <v>2503</v>
      </c>
      <c r="C966" s="105" t="s">
        <v>3456</v>
      </c>
      <c r="D966" s="149" t="s">
        <v>2505</v>
      </c>
      <c r="E966" s="105">
        <v>1</v>
      </c>
      <c r="F966" s="150" t="s">
        <v>2067</v>
      </c>
      <c r="G966" s="150" t="s">
        <v>2506</v>
      </c>
      <c r="H966" s="119">
        <f t="shared" ref="H966:H1029" si="45">E966*G966</f>
        <v>50</v>
      </c>
      <c r="I966" s="119"/>
      <c r="J966" s="151">
        <v>0</v>
      </c>
      <c r="K966" s="119">
        <f t="shared" ref="K966:K1029" si="46">H966+I966-J966</f>
        <v>50</v>
      </c>
      <c r="L966" s="152">
        <f t="shared" ref="L966:L1029" si="47">E966*F966</f>
        <v>42.75</v>
      </c>
      <c r="M966" s="113"/>
    </row>
    <row r="967" spans="1:13" s="114" customFormat="1" x14ac:dyDescent="0.2">
      <c r="A967" s="106" t="s">
        <v>3422</v>
      </c>
      <c r="B967" s="105" t="s">
        <v>3457</v>
      </c>
      <c r="C967" s="105" t="s">
        <v>3456</v>
      </c>
      <c r="D967" s="149" t="s">
        <v>3458</v>
      </c>
      <c r="E967" s="105">
        <v>2</v>
      </c>
      <c r="F967" s="150" t="s">
        <v>2183</v>
      </c>
      <c r="G967" s="150" t="s">
        <v>2184</v>
      </c>
      <c r="H967" s="119">
        <f t="shared" si="45"/>
        <v>120</v>
      </c>
      <c r="I967" s="119"/>
      <c r="J967" s="151">
        <v>0</v>
      </c>
      <c r="K967" s="119">
        <f t="shared" si="46"/>
        <v>120</v>
      </c>
      <c r="L967" s="152">
        <f t="shared" si="47"/>
        <v>103.94</v>
      </c>
      <c r="M967" s="113"/>
    </row>
    <row r="968" spans="1:13" s="114" customFormat="1" x14ac:dyDescent="0.2">
      <c r="A968" s="106" t="s">
        <v>3422</v>
      </c>
      <c r="B968" s="105" t="s">
        <v>2521</v>
      </c>
      <c r="C968" s="105" t="s">
        <v>3456</v>
      </c>
      <c r="D968" s="149" t="s">
        <v>2522</v>
      </c>
      <c r="E968" s="105">
        <v>12</v>
      </c>
      <c r="F968" s="150" t="s">
        <v>2523</v>
      </c>
      <c r="G968" s="150" t="s">
        <v>1939</v>
      </c>
      <c r="H968" s="119">
        <f t="shared" si="45"/>
        <v>87</v>
      </c>
      <c r="I968" s="119"/>
      <c r="J968" s="151">
        <v>0</v>
      </c>
      <c r="K968" s="119">
        <f t="shared" si="46"/>
        <v>87</v>
      </c>
      <c r="L968" s="152">
        <f t="shared" si="47"/>
        <v>72.239999999999995</v>
      </c>
      <c r="M968" s="113"/>
    </row>
    <row r="969" spans="1:13" s="114" customFormat="1" x14ac:dyDescent="0.2">
      <c r="A969" s="106" t="s">
        <v>3422</v>
      </c>
      <c r="B969" s="105" t="s">
        <v>2809</v>
      </c>
      <c r="C969" s="105" t="s">
        <v>3456</v>
      </c>
      <c r="D969" s="149" t="s">
        <v>2810</v>
      </c>
      <c r="E969" s="105">
        <v>1</v>
      </c>
      <c r="F969" s="150" t="s">
        <v>2811</v>
      </c>
      <c r="G969" s="150" t="s">
        <v>2812</v>
      </c>
      <c r="H969" s="119">
        <f t="shared" si="45"/>
        <v>62</v>
      </c>
      <c r="I969" s="119"/>
      <c r="J969" s="151">
        <v>0</v>
      </c>
      <c r="K969" s="119">
        <f t="shared" si="46"/>
        <v>62</v>
      </c>
      <c r="L969" s="152">
        <f t="shared" si="47"/>
        <v>53.81</v>
      </c>
      <c r="M969" s="113"/>
    </row>
    <row r="970" spans="1:13" s="114" customFormat="1" x14ac:dyDescent="0.2">
      <c r="A970" s="106" t="s">
        <v>3422</v>
      </c>
      <c r="B970" s="105" t="s">
        <v>3459</v>
      </c>
      <c r="C970" s="105" t="s">
        <v>3456</v>
      </c>
      <c r="D970" s="149" t="s">
        <v>3460</v>
      </c>
      <c r="E970" s="105">
        <v>1</v>
      </c>
      <c r="F970" s="150" t="s">
        <v>3461</v>
      </c>
      <c r="G970" s="150" t="s">
        <v>3462</v>
      </c>
      <c r="H970" s="119">
        <f t="shared" si="45"/>
        <v>314</v>
      </c>
      <c r="I970" s="119"/>
      <c r="J970" s="151">
        <v>0</v>
      </c>
      <c r="K970" s="119">
        <f t="shared" si="46"/>
        <v>314</v>
      </c>
      <c r="L970" s="152">
        <f t="shared" si="47"/>
        <v>273</v>
      </c>
      <c r="M970" s="113"/>
    </row>
    <row r="971" spans="1:13" s="114" customFormat="1" x14ac:dyDescent="0.2">
      <c r="A971" s="106" t="s">
        <v>3422</v>
      </c>
      <c r="B971" s="105" t="s">
        <v>3463</v>
      </c>
      <c r="C971" s="105" t="s">
        <v>3456</v>
      </c>
      <c r="D971" s="149" t="s">
        <v>3464</v>
      </c>
      <c r="E971" s="105">
        <v>1</v>
      </c>
      <c r="F971" s="150" t="s">
        <v>3465</v>
      </c>
      <c r="G971" s="150" t="s">
        <v>3466</v>
      </c>
      <c r="H971" s="119">
        <f t="shared" si="45"/>
        <v>276</v>
      </c>
      <c r="I971" s="119"/>
      <c r="J971" s="151">
        <v>0</v>
      </c>
      <c r="K971" s="119">
        <f t="shared" si="46"/>
        <v>276</v>
      </c>
      <c r="L971" s="152">
        <f t="shared" si="47"/>
        <v>239.94</v>
      </c>
      <c r="M971" s="113"/>
    </row>
    <row r="972" spans="1:13" s="114" customFormat="1" x14ac:dyDescent="0.2">
      <c r="A972" s="153" t="s">
        <v>3422</v>
      </c>
      <c r="B972" s="154" t="s">
        <v>2507</v>
      </c>
      <c r="C972" s="154" t="s">
        <v>3467</v>
      </c>
      <c r="D972" s="155" t="s">
        <v>2508</v>
      </c>
      <c r="E972" s="154">
        <v>5</v>
      </c>
      <c r="F972" s="146"/>
      <c r="G972" s="146">
        <v>56</v>
      </c>
      <c r="H972" s="147">
        <f t="shared" si="45"/>
        <v>280</v>
      </c>
      <c r="I972" s="147"/>
      <c r="J972" s="156">
        <v>0</v>
      </c>
      <c r="K972" s="147">
        <f t="shared" si="46"/>
        <v>280</v>
      </c>
      <c r="L972" s="148">
        <f t="shared" si="47"/>
        <v>0</v>
      </c>
      <c r="M972" s="113"/>
    </row>
    <row r="973" spans="1:13" s="114" customFormat="1" x14ac:dyDescent="0.2">
      <c r="A973" s="106" t="s">
        <v>3422</v>
      </c>
      <c r="B973" s="105" t="s">
        <v>2597</v>
      </c>
      <c r="C973" s="105" t="s">
        <v>3467</v>
      </c>
      <c r="D973" s="149" t="s">
        <v>2598</v>
      </c>
      <c r="E973" s="105">
        <v>12</v>
      </c>
      <c r="F973" s="150" t="s">
        <v>2599</v>
      </c>
      <c r="G973" s="150" t="s">
        <v>2600</v>
      </c>
      <c r="H973" s="119">
        <f t="shared" si="45"/>
        <v>405</v>
      </c>
      <c r="I973" s="119"/>
      <c r="J973" s="151">
        <v>0</v>
      </c>
      <c r="K973" s="119">
        <f t="shared" si="46"/>
        <v>405</v>
      </c>
      <c r="L973" s="152">
        <f t="shared" si="47"/>
        <v>350.04</v>
      </c>
      <c r="M973" s="113"/>
    </row>
    <row r="974" spans="1:13" s="114" customFormat="1" x14ac:dyDescent="0.2">
      <c r="A974" s="106" t="s">
        <v>3422</v>
      </c>
      <c r="B974" s="105" t="s">
        <v>3468</v>
      </c>
      <c r="C974" s="105" t="s">
        <v>3469</v>
      </c>
      <c r="D974" s="149" t="s">
        <v>3470</v>
      </c>
      <c r="E974" s="105">
        <v>1</v>
      </c>
      <c r="F974" s="150" t="s">
        <v>3471</v>
      </c>
      <c r="G974" s="150" t="s">
        <v>1943</v>
      </c>
      <c r="H974" s="119">
        <f t="shared" si="45"/>
        <v>7</v>
      </c>
      <c r="I974" s="119"/>
      <c r="J974" s="151">
        <v>0</v>
      </c>
      <c r="K974" s="119">
        <f t="shared" si="46"/>
        <v>7</v>
      </c>
      <c r="L974" s="152">
        <f t="shared" si="47"/>
        <v>0</v>
      </c>
      <c r="M974" s="113"/>
    </row>
    <row r="975" spans="1:13" s="114" customFormat="1" x14ac:dyDescent="0.2">
      <c r="A975" s="106" t="s">
        <v>3422</v>
      </c>
      <c r="B975" s="105" t="s">
        <v>1997</v>
      </c>
      <c r="C975" s="105" t="s">
        <v>3469</v>
      </c>
      <c r="D975" s="149" t="s">
        <v>1999</v>
      </c>
      <c r="E975" s="105">
        <v>2</v>
      </c>
      <c r="F975" s="150" t="s">
        <v>2874</v>
      </c>
      <c r="G975" s="150" t="s">
        <v>2001</v>
      </c>
      <c r="H975" s="119">
        <f t="shared" si="45"/>
        <v>10.5</v>
      </c>
      <c r="I975" s="119"/>
      <c r="J975" s="151">
        <v>0</v>
      </c>
      <c r="K975" s="119">
        <f t="shared" si="46"/>
        <v>10.5</v>
      </c>
      <c r="L975" s="152">
        <f t="shared" si="47"/>
        <v>8.24</v>
      </c>
      <c r="M975" s="113"/>
    </row>
    <row r="976" spans="1:13" s="114" customFormat="1" x14ac:dyDescent="0.2">
      <c r="A976" s="106" t="s">
        <v>3422</v>
      </c>
      <c r="B976" s="105" t="s">
        <v>2659</v>
      </c>
      <c r="C976" s="105" t="s">
        <v>3472</v>
      </c>
      <c r="D976" s="149" t="s">
        <v>2661</v>
      </c>
      <c r="E976" s="105">
        <v>1</v>
      </c>
      <c r="F976" s="150" t="s">
        <v>2493</v>
      </c>
      <c r="G976" s="150" t="s">
        <v>2662</v>
      </c>
      <c r="H976" s="119">
        <f t="shared" si="45"/>
        <v>70.75</v>
      </c>
      <c r="I976" s="119"/>
      <c r="J976" s="151">
        <v>0</v>
      </c>
      <c r="K976" s="119">
        <f t="shared" si="46"/>
        <v>70.75</v>
      </c>
      <c r="L976" s="152">
        <f t="shared" si="47"/>
        <v>61.5</v>
      </c>
      <c r="M976" s="113"/>
    </row>
    <row r="977" spans="1:13" s="114" customFormat="1" x14ac:dyDescent="0.2">
      <c r="A977" s="106" t="s">
        <v>3422</v>
      </c>
      <c r="B977" s="105" t="s">
        <v>3356</v>
      </c>
      <c r="C977" s="105" t="s">
        <v>3473</v>
      </c>
      <c r="D977" s="149" t="s">
        <v>3358</v>
      </c>
      <c r="E977" s="105">
        <v>1</v>
      </c>
      <c r="F977" s="150" t="s">
        <v>3359</v>
      </c>
      <c r="G977" s="150" t="s">
        <v>1943</v>
      </c>
      <c r="H977" s="119">
        <f t="shared" si="45"/>
        <v>7</v>
      </c>
      <c r="I977" s="119"/>
      <c r="J977" s="151">
        <v>0</v>
      </c>
      <c r="K977" s="119">
        <f t="shared" si="46"/>
        <v>7</v>
      </c>
      <c r="L977" s="152">
        <f t="shared" si="47"/>
        <v>6.03</v>
      </c>
      <c r="M977" s="113"/>
    </row>
    <row r="978" spans="1:13" s="114" customFormat="1" x14ac:dyDescent="0.2">
      <c r="A978" s="106" t="s">
        <v>3422</v>
      </c>
      <c r="B978" s="105" t="s">
        <v>3356</v>
      </c>
      <c r="C978" s="105" t="s">
        <v>3474</v>
      </c>
      <c r="D978" s="149" t="s">
        <v>3358</v>
      </c>
      <c r="E978" s="105">
        <v>1</v>
      </c>
      <c r="F978" s="150" t="s">
        <v>3359</v>
      </c>
      <c r="G978" s="150" t="s">
        <v>1943</v>
      </c>
      <c r="H978" s="119">
        <f t="shared" si="45"/>
        <v>7</v>
      </c>
      <c r="I978" s="119"/>
      <c r="J978" s="151">
        <v>0</v>
      </c>
      <c r="K978" s="119">
        <f t="shared" si="46"/>
        <v>7</v>
      </c>
      <c r="L978" s="152">
        <f t="shared" si="47"/>
        <v>6.03</v>
      </c>
      <c r="M978" s="113"/>
    </row>
    <row r="979" spans="1:13" s="114" customFormat="1" x14ac:dyDescent="0.2">
      <c r="A979" s="106" t="s">
        <v>3422</v>
      </c>
      <c r="B979" s="105" t="s">
        <v>3072</v>
      </c>
      <c r="C979" s="105" t="s">
        <v>3475</v>
      </c>
      <c r="D979" s="149" t="s">
        <v>3074</v>
      </c>
      <c r="E979" s="105">
        <v>1</v>
      </c>
      <c r="F979" s="150" t="s">
        <v>3075</v>
      </c>
      <c r="G979" s="150" t="s">
        <v>3076</v>
      </c>
      <c r="H979" s="119">
        <f t="shared" si="45"/>
        <v>18.600000000000001</v>
      </c>
      <c r="I979" s="119"/>
      <c r="J979" s="151">
        <v>0</v>
      </c>
      <c r="K979" s="119">
        <f t="shared" si="46"/>
        <v>18.600000000000001</v>
      </c>
      <c r="L979" s="152">
        <f t="shared" si="47"/>
        <v>16.91</v>
      </c>
      <c r="M979" s="113"/>
    </row>
    <row r="980" spans="1:13" s="114" customFormat="1" x14ac:dyDescent="0.2">
      <c r="A980" s="106" t="s">
        <v>3422</v>
      </c>
      <c r="B980" s="105" t="s">
        <v>3476</v>
      </c>
      <c r="C980" s="105" t="s">
        <v>3477</v>
      </c>
      <c r="D980" s="149" t="s">
        <v>3478</v>
      </c>
      <c r="E980" s="105">
        <v>1</v>
      </c>
      <c r="F980" s="150" t="s">
        <v>3479</v>
      </c>
      <c r="G980" s="150" t="s">
        <v>3480</v>
      </c>
      <c r="H980" s="119">
        <f t="shared" si="45"/>
        <v>80.25</v>
      </c>
      <c r="I980" s="119"/>
      <c r="J980" s="151">
        <v>0</v>
      </c>
      <c r="K980" s="119">
        <f t="shared" si="46"/>
        <v>80.25</v>
      </c>
      <c r="L980" s="152">
        <f t="shared" si="47"/>
        <v>72.95</v>
      </c>
      <c r="M980" s="113"/>
    </row>
    <row r="981" spans="1:13" s="114" customFormat="1" ht="13.5" customHeight="1" x14ac:dyDescent="0.2">
      <c r="A981" s="106" t="s">
        <v>3481</v>
      </c>
      <c r="B981" s="105" t="s">
        <v>3482</v>
      </c>
      <c r="C981" s="105" t="s">
        <v>3483</v>
      </c>
      <c r="D981" s="149" t="s">
        <v>3484</v>
      </c>
      <c r="E981" s="157">
        <v>1</v>
      </c>
      <c r="F981" s="158" t="s">
        <v>3485</v>
      </c>
      <c r="G981" s="158" t="s">
        <v>3486</v>
      </c>
      <c r="H981" s="119">
        <f t="shared" si="45"/>
        <v>69</v>
      </c>
      <c r="I981" s="119"/>
      <c r="J981" s="151">
        <v>0</v>
      </c>
      <c r="K981" s="119">
        <f t="shared" si="46"/>
        <v>69</v>
      </c>
      <c r="L981" s="152">
        <f t="shared" si="47"/>
        <v>57.1</v>
      </c>
      <c r="M981" s="113"/>
    </row>
    <row r="982" spans="1:13" s="114" customFormat="1" ht="13.5" customHeight="1" x14ac:dyDescent="0.2">
      <c r="A982" s="106" t="s">
        <v>3481</v>
      </c>
      <c r="B982" s="105" t="s">
        <v>3487</v>
      </c>
      <c r="C982" s="105" t="s">
        <v>3483</v>
      </c>
      <c r="D982" s="149" t="s">
        <v>3488</v>
      </c>
      <c r="E982" s="157">
        <v>1</v>
      </c>
      <c r="F982" s="158" t="s">
        <v>2212</v>
      </c>
      <c r="G982" s="158" t="s">
        <v>2213</v>
      </c>
      <c r="H982" s="119">
        <f t="shared" si="45"/>
        <v>15.25</v>
      </c>
      <c r="I982" s="119"/>
      <c r="J982" s="151">
        <v>0</v>
      </c>
      <c r="K982" s="119">
        <f t="shared" si="46"/>
        <v>15.25</v>
      </c>
      <c r="L982" s="152">
        <f t="shared" si="47"/>
        <v>13.1</v>
      </c>
      <c r="M982" s="113"/>
    </row>
    <row r="983" spans="1:13" s="114" customFormat="1" ht="13.5" customHeight="1" x14ac:dyDescent="0.2">
      <c r="A983" s="106" t="s">
        <v>3481</v>
      </c>
      <c r="B983" s="105" t="s">
        <v>2400</v>
      </c>
      <c r="C983" s="105" t="s">
        <v>3483</v>
      </c>
      <c r="D983" s="149" t="s">
        <v>2401</v>
      </c>
      <c r="E983" s="157">
        <v>1</v>
      </c>
      <c r="F983" s="158" t="s">
        <v>2402</v>
      </c>
      <c r="G983" s="158" t="s">
        <v>1932</v>
      </c>
      <c r="H983" s="119">
        <f t="shared" si="45"/>
        <v>22</v>
      </c>
      <c r="I983" s="119"/>
      <c r="J983" s="151">
        <v>0</v>
      </c>
      <c r="K983" s="119">
        <f t="shared" si="46"/>
        <v>22</v>
      </c>
      <c r="L983" s="152">
        <f t="shared" si="47"/>
        <v>19.059999999999999</v>
      </c>
      <c r="M983" s="113"/>
    </row>
    <row r="984" spans="1:13" s="114" customFormat="1" ht="13.5" customHeight="1" x14ac:dyDescent="0.2">
      <c r="A984" s="106" t="s">
        <v>3481</v>
      </c>
      <c r="B984" s="105" t="s">
        <v>2153</v>
      </c>
      <c r="C984" s="105" t="s">
        <v>3489</v>
      </c>
      <c r="D984" s="149" t="s">
        <v>2155</v>
      </c>
      <c r="E984" s="157">
        <v>1</v>
      </c>
      <c r="F984" s="158" t="s">
        <v>2156</v>
      </c>
      <c r="G984" s="158" t="s">
        <v>2038</v>
      </c>
      <c r="H984" s="119">
        <f t="shared" si="45"/>
        <v>26.25</v>
      </c>
      <c r="I984" s="119"/>
      <c r="J984" s="151">
        <v>0</v>
      </c>
      <c r="K984" s="119">
        <f t="shared" si="46"/>
        <v>26.25</v>
      </c>
      <c r="L984" s="152">
        <f t="shared" si="47"/>
        <v>22.75</v>
      </c>
      <c r="M984" s="113"/>
    </row>
    <row r="985" spans="1:13" s="114" customFormat="1" ht="13.5" customHeight="1" x14ac:dyDescent="0.2">
      <c r="A985" s="106" t="s">
        <v>3481</v>
      </c>
      <c r="B985" s="105" t="s">
        <v>1781</v>
      </c>
      <c r="C985" s="105" t="s">
        <v>3490</v>
      </c>
      <c r="D985" s="149" t="s">
        <v>1782</v>
      </c>
      <c r="E985" s="157">
        <v>1</v>
      </c>
      <c r="F985" s="158" t="s">
        <v>1783</v>
      </c>
      <c r="G985" s="158" t="s">
        <v>1784</v>
      </c>
      <c r="H985" s="119">
        <f t="shared" si="45"/>
        <v>11</v>
      </c>
      <c r="I985" s="119"/>
      <c r="J985" s="151">
        <v>0</v>
      </c>
      <c r="K985" s="119">
        <f t="shared" si="46"/>
        <v>11</v>
      </c>
      <c r="L985" s="152">
        <f t="shared" si="47"/>
        <v>9.3800000000000008</v>
      </c>
      <c r="M985" s="113"/>
    </row>
    <row r="986" spans="1:13" s="114" customFormat="1" ht="13.5" customHeight="1" x14ac:dyDescent="0.2">
      <c r="A986" s="106" t="s">
        <v>3481</v>
      </c>
      <c r="B986" s="105" t="s">
        <v>2690</v>
      </c>
      <c r="C986" s="105" t="s">
        <v>3491</v>
      </c>
      <c r="D986" s="149" t="s">
        <v>2692</v>
      </c>
      <c r="E986" s="157">
        <v>1</v>
      </c>
      <c r="F986" s="158" t="s">
        <v>2693</v>
      </c>
      <c r="G986" s="158" t="s">
        <v>2070</v>
      </c>
      <c r="H986" s="119">
        <f t="shared" si="45"/>
        <v>38</v>
      </c>
      <c r="I986" s="119"/>
      <c r="J986" s="151">
        <v>0</v>
      </c>
      <c r="K986" s="119">
        <f t="shared" si="46"/>
        <v>38</v>
      </c>
      <c r="L986" s="152">
        <f t="shared" si="47"/>
        <v>32.86</v>
      </c>
      <c r="M986" s="113"/>
    </row>
    <row r="987" spans="1:13" s="114" customFormat="1" ht="13.5" customHeight="1" x14ac:dyDescent="0.2">
      <c r="A987" s="106" t="s">
        <v>3481</v>
      </c>
      <c r="B987" s="105" t="s">
        <v>3124</v>
      </c>
      <c r="C987" s="105" t="s">
        <v>3492</v>
      </c>
      <c r="D987" s="149" t="s">
        <v>3126</v>
      </c>
      <c r="E987" s="157">
        <v>1</v>
      </c>
      <c r="F987" s="158" t="s">
        <v>3127</v>
      </c>
      <c r="G987" s="158" t="s">
        <v>1828</v>
      </c>
      <c r="H987" s="119">
        <f t="shared" si="45"/>
        <v>90</v>
      </c>
      <c r="I987" s="119"/>
      <c r="J987" s="151">
        <v>0</v>
      </c>
      <c r="K987" s="119">
        <f t="shared" si="46"/>
        <v>90</v>
      </c>
      <c r="L987" s="152">
        <f t="shared" si="47"/>
        <v>81.849999999999994</v>
      </c>
      <c r="M987" s="113"/>
    </row>
    <row r="988" spans="1:13" s="114" customFormat="1" ht="13.5" customHeight="1" x14ac:dyDescent="0.2">
      <c r="A988" s="106" t="s">
        <v>3481</v>
      </c>
      <c r="B988" s="105" t="s">
        <v>3356</v>
      </c>
      <c r="C988" s="105" t="s">
        <v>3493</v>
      </c>
      <c r="D988" s="149" t="s">
        <v>3358</v>
      </c>
      <c r="E988" s="157">
        <v>1</v>
      </c>
      <c r="F988" s="158" t="s">
        <v>3359</v>
      </c>
      <c r="G988" s="158" t="s">
        <v>1943</v>
      </c>
      <c r="H988" s="119">
        <f t="shared" si="45"/>
        <v>7</v>
      </c>
      <c r="I988" s="119"/>
      <c r="J988" s="151">
        <v>0</v>
      </c>
      <c r="K988" s="119">
        <f t="shared" si="46"/>
        <v>7</v>
      </c>
      <c r="L988" s="152">
        <f t="shared" si="47"/>
        <v>6.03</v>
      </c>
      <c r="M988" s="113"/>
    </row>
    <row r="989" spans="1:13" s="114" customFormat="1" ht="13.5" customHeight="1" x14ac:dyDescent="0.2">
      <c r="A989" s="106" t="s">
        <v>3481</v>
      </c>
      <c r="B989" s="105" t="s">
        <v>2323</v>
      </c>
      <c r="C989" s="105" t="s">
        <v>3494</v>
      </c>
      <c r="D989" s="149" t="s">
        <v>2325</v>
      </c>
      <c r="E989" s="157">
        <v>2</v>
      </c>
      <c r="F989" s="158" t="s">
        <v>2326</v>
      </c>
      <c r="G989" s="158" t="s">
        <v>1932</v>
      </c>
      <c r="H989" s="119">
        <f t="shared" si="45"/>
        <v>44</v>
      </c>
      <c r="I989" s="119"/>
      <c r="J989" s="151">
        <v>0</v>
      </c>
      <c r="K989" s="119">
        <f t="shared" si="46"/>
        <v>44</v>
      </c>
      <c r="L989" s="152">
        <f t="shared" si="47"/>
        <v>38.200000000000003</v>
      </c>
      <c r="M989" s="113"/>
    </row>
    <row r="990" spans="1:13" s="114" customFormat="1" ht="13.5" customHeight="1" x14ac:dyDescent="0.2">
      <c r="A990" s="106" t="s">
        <v>3481</v>
      </c>
      <c r="B990" s="105" t="s">
        <v>3446</v>
      </c>
      <c r="C990" s="105" t="s">
        <v>3494</v>
      </c>
      <c r="D990" s="149" t="s">
        <v>3447</v>
      </c>
      <c r="E990" s="157">
        <v>1</v>
      </c>
      <c r="F990" s="158" t="s">
        <v>2600</v>
      </c>
      <c r="G990" s="158" t="s">
        <v>2337</v>
      </c>
      <c r="H990" s="119">
        <f t="shared" si="45"/>
        <v>39</v>
      </c>
      <c r="I990" s="119"/>
      <c r="J990" s="151">
        <v>0</v>
      </c>
      <c r="K990" s="119">
        <f t="shared" si="46"/>
        <v>39</v>
      </c>
      <c r="L990" s="152">
        <f t="shared" si="47"/>
        <v>33.75</v>
      </c>
      <c r="M990" s="113"/>
    </row>
    <row r="991" spans="1:13" s="114" customFormat="1" ht="13.5" customHeight="1" x14ac:dyDescent="0.2">
      <c r="A991" s="106" t="s">
        <v>3481</v>
      </c>
      <c r="B991" s="105" t="s">
        <v>1997</v>
      </c>
      <c r="C991" s="105" t="s">
        <v>3495</v>
      </c>
      <c r="D991" s="149" t="s">
        <v>1999</v>
      </c>
      <c r="E991" s="157">
        <v>3</v>
      </c>
      <c r="F991" s="158" t="s">
        <v>2874</v>
      </c>
      <c r="G991" s="158" t="s">
        <v>2001</v>
      </c>
      <c r="H991" s="119">
        <f t="shared" si="45"/>
        <v>15.75</v>
      </c>
      <c r="I991" s="119"/>
      <c r="J991" s="151">
        <v>0</v>
      </c>
      <c r="K991" s="119">
        <f t="shared" si="46"/>
        <v>15.75</v>
      </c>
      <c r="L991" s="152">
        <f t="shared" si="47"/>
        <v>12.36</v>
      </c>
      <c r="M991" s="113"/>
    </row>
    <row r="992" spans="1:13" s="114" customFormat="1" ht="13.5" customHeight="1" x14ac:dyDescent="0.2">
      <c r="A992" s="106" t="s">
        <v>3481</v>
      </c>
      <c r="B992" s="105" t="s">
        <v>3496</v>
      </c>
      <c r="C992" s="105" t="s">
        <v>3497</v>
      </c>
      <c r="D992" s="149" t="s">
        <v>3498</v>
      </c>
      <c r="E992" s="157">
        <v>1</v>
      </c>
      <c r="F992" s="158" t="s">
        <v>2255</v>
      </c>
      <c r="G992" s="158" t="s">
        <v>2256</v>
      </c>
      <c r="H992" s="119">
        <f t="shared" si="45"/>
        <v>67.25</v>
      </c>
      <c r="I992" s="119"/>
      <c r="J992" s="151">
        <v>0</v>
      </c>
      <c r="K992" s="119">
        <f t="shared" si="46"/>
        <v>67.25</v>
      </c>
      <c r="L992" s="152">
        <f t="shared" si="47"/>
        <v>58.45</v>
      </c>
      <c r="M992" s="113"/>
    </row>
    <row r="993" spans="1:13" s="114" customFormat="1" ht="13.5" customHeight="1" x14ac:dyDescent="0.2">
      <c r="A993" s="106" t="s">
        <v>3481</v>
      </c>
      <c r="B993" s="105" t="s">
        <v>3499</v>
      </c>
      <c r="C993" s="105" t="s">
        <v>3497</v>
      </c>
      <c r="D993" s="149" t="s">
        <v>3500</v>
      </c>
      <c r="E993" s="157">
        <v>1</v>
      </c>
      <c r="F993" s="158" t="s">
        <v>3501</v>
      </c>
      <c r="G993" s="158" t="s">
        <v>3502</v>
      </c>
      <c r="H993" s="119">
        <f t="shared" si="45"/>
        <v>45.25</v>
      </c>
      <c r="I993" s="119"/>
      <c r="J993" s="151">
        <v>0</v>
      </c>
      <c r="K993" s="119">
        <f t="shared" si="46"/>
        <v>45.25</v>
      </c>
      <c r="L993" s="152">
        <f t="shared" si="47"/>
        <v>39.200000000000003</v>
      </c>
      <c r="M993" s="113"/>
    </row>
    <row r="994" spans="1:13" s="114" customFormat="1" ht="13.5" customHeight="1" x14ac:dyDescent="0.2">
      <c r="A994" s="106" t="s">
        <v>3481</v>
      </c>
      <c r="B994" s="105" t="s">
        <v>2932</v>
      </c>
      <c r="C994" s="105" t="s">
        <v>3503</v>
      </c>
      <c r="D994" s="149" t="s">
        <v>2933</v>
      </c>
      <c r="E994" s="157">
        <v>1</v>
      </c>
      <c r="F994" s="158" t="s">
        <v>2934</v>
      </c>
      <c r="G994" s="158" t="s">
        <v>2935</v>
      </c>
      <c r="H994" s="119">
        <f t="shared" si="45"/>
        <v>55</v>
      </c>
      <c r="I994" s="119"/>
      <c r="J994" s="151">
        <v>0</v>
      </c>
      <c r="K994" s="119">
        <f t="shared" si="46"/>
        <v>55</v>
      </c>
      <c r="L994" s="152">
        <f t="shared" si="47"/>
        <v>47.73</v>
      </c>
      <c r="M994" s="113"/>
    </row>
    <row r="995" spans="1:13" s="114" customFormat="1" x14ac:dyDescent="0.2">
      <c r="A995" s="106" t="s">
        <v>3481</v>
      </c>
      <c r="B995" s="105" t="s">
        <v>1789</v>
      </c>
      <c r="C995" s="105" t="s">
        <v>3504</v>
      </c>
      <c r="D995" s="149" t="s">
        <v>1790</v>
      </c>
      <c r="E995" s="157">
        <v>3</v>
      </c>
      <c r="F995" s="158" t="s">
        <v>1791</v>
      </c>
      <c r="G995" s="158" t="s">
        <v>1792</v>
      </c>
      <c r="H995" s="119">
        <f t="shared" si="45"/>
        <v>219</v>
      </c>
      <c r="I995" s="119"/>
      <c r="J995" s="151">
        <v>0</v>
      </c>
      <c r="K995" s="119">
        <f t="shared" si="46"/>
        <v>219</v>
      </c>
      <c r="L995" s="152">
        <f t="shared" si="47"/>
        <v>171</v>
      </c>
      <c r="M995" s="113"/>
    </row>
    <row r="996" spans="1:13" s="114" customFormat="1" ht="13.5" customHeight="1" x14ac:dyDescent="0.2">
      <c r="A996" s="106" t="s">
        <v>3481</v>
      </c>
      <c r="B996" s="105" t="s">
        <v>2082</v>
      </c>
      <c r="C996" s="105" t="s">
        <v>3504</v>
      </c>
      <c r="D996" s="149" t="s">
        <v>2083</v>
      </c>
      <c r="E996" s="157">
        <v>2</v>
      </c>
      <c r="F996" s="158" t="s">
        <v>2084</v>
      </c>
      <c r="G996" s="158" t="s">
        <v>1928</v>
      </c>
      <c r="H996" s="119">
        <f t="shared" si="45"/>
        <v>24.5</v>
      </c>
      <c r="I996" s="119"/>
      <c r="J996" s="151">
        <v>0</v>
      </c>
      <c r="K996" s="119">
        <f t="shared" si="46"/>
        <v>24.5</v>
      </c>
      <c r="L996" s="152">
        <f t="shared" si="47"/>
        <v>20.399999999999999</v>
      </c>
      <c r="M996" s="113"/>
    </row>
    <row r="997" spans="1:13" s="114" customFormat="1" ht="13.5" customHeight="1" x14ac:dyDescent="0.2">
      <c r="A997" s="106" t="s">
        <v>3481</v>
      </c>
      <c r="B997" s="105" t="s">
        <v>2526</v>
      </c>
      <c r="C997" s="105" t="s">
        <v>3505</v>
      </c>
      <c r="D997" s="149" t="s">
        <v>2528</v>
      </c>
      <c r="E997" s="157">
        <v>1</v>
      </c>
      <c r="F997" s="158" t="s">
        <v>1975</v>
      </c>
      <c r="G997" s="158" t="s">
        <v>1976</v>
      </c>
      <c r="H997" s="119">
        <f t="shared" si="45"/>
        <v>23.75</v>
      </c>
      <c r="I997" s="119"/>
      <c r="J997" s="151">
        <v>0</v>
      </c>
      <c r="K997" s="119">
        <f t="shared" si="46"/>
        <v>23.75</v>
      </c>
      <c r="L997" s="152">
        <f t="shared" si="47"/>
        <v>20.55</v>
      </c>
      <c r="M997" s="113"/>
    </row>
    <row r="998" spans="1:13" s="114" customFormat="1" ht="13.5" customHeight="1" x14ac:dyDescent="0.2">
      <c r="A998" s="106" t="s">
        <v>3481</v>
      </c>
      <c r="B998" s="105" t="s">
        <v>2872</v>
      </c>
      <c r="C998" s="105" t="s">
        <v>3505</v>
      </c>
      <c r="D998" s="149" t="s">
        <v>2873</v>
      </c>
      <c r="E998" s="157">
        <v>2</v>
      </c>
      <c r="F998" s="158" t="s">
        <v>2874</v>
      </c>
      <c r="G998" s="158" t="s">
        <v>2001</v>
      </c>
      <c r="H998" s="119">
        <f t="shared" si="45"/>
        <v>10.5</v>
      </c>
      <c r="I998" s="119"/>
      <c r="J998" s="151">
        <v>0</v>
      </c>
      <c r="K998" s="119">
        <f t="shared" si="46"/>
        <v>10.5</v>
      </c>
      <c r="L998" s="152">
        <f t="shared" si="47"/>
        <v>8.24</v>
      </c>
      <c r="M998" s="113"/>
    </row>
    <row r="999" spans="1:13" s="114" customFormat="1" ht="13.5" customHeight="1" x14ac:dyDescent="0.2">
      <c r="A999" s="106" t="s">
        <v>3481</v>
      </c>
      <c r="B999" s="105" t="s">
        <v>2035</v>
      </c>
      <c r="C999" s="105" t="s">
        <v>3506</v>
      </c>
      <c r="D999" s="149" t="s">
        <v>2036</v>
      </c>
      <c r="E999" s="157">
        <v>1</v>
      </c>
      <c r="F999" s="158" t="s">
        <v>2037</v>
      </c>
      <c r="G999" s="158" t="s">
        <v>2038</v>
      </c>
      <c r="H999" s="119">
        <f t="shared" si="45"/>
        <v>26.25</v>
      </c>
      <c r="I999" s="119"/>
      <c r="J999" s="151">
        <v>0</v>
      </c>
      <c r="K999" s="119">
        <f t="shared" si="46"/>
        <v>26.25</v>
      </c>
      <c r="L999" s="152">
        <f t="shared" si="47"/>
        <v>22.7</v>
      </c>
      <c r="M999" s="113"/>
    </row>
    <row r="1000" spans="1:13" s="114" customFormat="1" ht="13.5" customHeight="1" x14ac:dyDescent="0.2">
      <c r="A1000" s="106" t="s">
        <v>3481</v>
      </c>
      <c r="B1000" s="105" t="s">
        <v>3507</v>
      </c>
      <c r="C1000" s="105" t="s">
        <v>3506</v>
      </c>
      <c r="D1000" s="149" t="s">
        <v>3508</v>
      </c>
      <c r="E1000" s="157">
        <v>1</v>
      </c>
      <c r="F1000" s="158" t="s">
        <v>1879</v>
      </c>
      <c r="G1000" s="158" t="s">
        <v>1880</v>
      </c>
      <c r="H1000" s="119">
        <f t="shared" si="45"/>
        <v>21</v>
      </c>
      <c r="I1000" s="119"/>
      <c r="J1000" s="151">
        <v>0</v>
      </c>
      <c r="K1000" s="119">
        <f t="shared" si="46"/>
        <v>21</v>
      </c>
      <c r="L1000" s="152">
        <f t="shared" si="47"/>
        <v>18.2</v>
      </c>
      <c r="M1000" s="113"/>
    </row>
    <row r="1001" spans="1:13" s="114" customFormat="1" ht="13.5" customHeight="1" x14ac:dyDescent="0.2">
      <c r="A1001" s="106" t="s">
        <v>3481</v>
      </c>
      <c r="B1001" s="105" t="s">
        <v>3060</v>
      </c>
      <c r="C1001" s="105" t="s">
        <v>3509</v>
      </c>
      <c r="D1001" s="149" t="s">
        <v>3062</v>
      </c>
      <c r="E1001" s="157">
        <v>1</v>
      </c>
      <c r="F1001" s="158" t="s">
        <v>2011</v>
      </c>
      <c r="G1001" s="158" t="s">
        <v>2012</v>
      </c>
      <c r="H1001" s="119">
        <f t="shared" si="45"/>
        <v>51.75</v>
      </c>
      <c r="I1001" s="119"/>
      <c r="J1001" s="151">
        <v>0</v>
      </c>
      <c r="K1001" s="119">
        <f t="shared" si="46"/>
        <v>51.75</v>
      </c>
      <c r="L1001" s="152">
        <f t="shared" si="47"/>
        <v>44.8</v>
      </c>
      <c r="M1001" s="113"/>
    </row>
    <row r="1002" spans="1:13" s="114" customFormat="1" ht="13.5" customHeight="1" x14ac:dyDescent="0.2">
      <c r="A1002" s="106" t="s">
        <v>3481</v>
      </c>
      <c r="B1002" s="105" t="s">
        <v>1940</v>
      </c>
      <c r="C1002" s="105" t="s">
        <v>3509</v>
      </c>
      <c r="D1002" s="149" t="s">
        <v>1941</v>
      </c>
      <c r="E1002" s="157">
        <v>12</v>
      </c>
      <c r="F1002" s="158" t="s">
        <v>1942</v>
      </c>
      <c r="G1002" s="158" t="s">
        <v>1943</v>
      </c>
      <c r="H1002" s="119">
        <f t="shared" si="45"/>
        <v>84</v>
      </c>
      <c r="I1002" s="119"/>
      <c r="J1002" s="151">
        <v>0</v>
      </c>
      <c r="K1002" s="119">
        <f t="shared" si="46"/>
        <v>84</v>
      </c>
      <c r="L1002" s="152">
        <f t="shared" si="47"/>
        <v>72</v>
      </c>
      <c r="M1002" s="113"/>
    </row>
    <row r="1003" spans="1:13" s="114" customFormat="1" ht="13.5" customHeight="1" x14ac:dyDescent="0.2">
      <c r="A1003" s="106" t="s">
        <v>3481</v>
      </c>
      <c r="B1003" s="105" t="s">
        <v>3510</v>
      </c>
      <c r="C1003" s="105" t="s">
        <v>3509</v>
      </c>
      <c r="D1003" s="149" t="s">
        <v>3511</v>
      </c>
      <c r="E1003" s="157">
        <v>2</v>
      </c>
      <c r="F1003" s="158" t="s">
        <v>3512</v>
      </c>
      <c r="G1003" s="158" t="s">
        <v>2427</v>
      </c>
      <c r="H1003" s="119">
        <f t="shared" si="45"/>
        <v>43</v>
      </c>
      <c r="I1003" s="119"/>
      <c r="J1003" s="151">
        <v>0</v>
      </c>
      <c r="K1003" s="119">
        <f t="shared" si="46"/>
        <v>43</v>
      </c>
      <c r="L1003" s="152">
        <f t="shared" si="47"/>
        <v>37.28</v>
      </c>
      <c r="M1003" s="113"/>
    </row>
    <row r="1004" spans="1:13" s="114" customFormat="1" ht="13.5" customHeight="1" x14ac:dyDescent="0.2">
      <c r="A1004" s="106" t="s">
        <v>3481</v>
      </c>
      <c r="B1004" s="105" t="s">
        <v>3513</v>
      </c>
      <c r="C1004" s="105" t="s">
        <v>3509</v>
      </c>
      <c r="D1004" s="149" t="s">
        <v>3514</v>
      </c>
      <c r="E1004" s="157">
        <v>1</v>
      </c>
      <c r="F1004" s="158" t="s">
        <v>3515</v>
      </c>
      <c r="G1004" s="158" t="s">
        <v>3516</v>
      </c>
      <c r="H1004" s="119">
        <f t="shared" si="45"/>
        <v>59</v>
      </c>
      <c r="I1004" s="119"/>
      <c r="J1004" s="151">
        <v>0</v>
      </c>
      <c r="K1004" s="119">
        <f t="shared" si="46"/>
        <v>59</v>
      </c>
      <c r="L1004" s="152">
        <f t="shared" si="47"/>
        <v>51.3</v>
      </c>
      <c r="M1004" s="113"/>
    </row>
    <row r="1005" spans="1:13" s="114" customFormat="1" ht="13.5" customHeight="1" x14ac:dyDescent="0.2">
      <c r="A1005" s="106" t="s">
        <v>3481</v>
      </c>
      <c r="B1005" s="105" t="s">
        <v>2826</v>
      </c>
      <c r="C1005" s="105" t="s">
        <v>3509</v>
      </c>
      <c r="D1005" s="149" t="s">
        <v>2827</v>
      </c>
      <c r="E1005" s="157">
        <v>12</v>
      </c>
      <c r="F1005" s="158" t="s">
        <v>2828</v>
      </c>
      <c r="G1005" s="158" t="s">
        <v>2829</v>
      </c>
      <c r="H1005" s="119">
        <f t="shared" si="45"/>
        <v>54</v>
      </c>
      <c r="I1005" s="119"/>
      <c r="J1005" s="151">
        <v>0</v>
      </c>
      <c r="K1005" s="119">
        <f t="shared" si="46"/>
        <v>54</v>
      </c>
      <c r="L1005" s="152">
        <f t="shared" si="47"/>
        <v>44.64</v>
      </c>
      <c r="M1005" s="113"/>
    </row>
    <row r="1006" spans="1:13" s="114" customFormat="1" ht="13.5" customHeight="1" x14ac:dyDescent="0.2">
      <c r="A1006" s="106" t="s">
        <v>3481</v>
      </c>
      <c r="B1006" s="105" t="s">
        <v>3517</v>
      </c>
      <c r="C1006" s="105" t="s">
        <v>3509</v>
      </c>
      <c r="D1006" s="149" t="s">
        <v>3518</v>
      </c>
      <c r="E1006" s="157">
        <v>1</v>
      </c>
      <c r="F1006" s="158" t="s">
        <v>2493</v>
      </c>
      <c r="G1006" s="158" t="s">
        <v>2662</v>
      </c>
      <c r="H1006" s="119">
        <f t="shared" si="45"/>
        <v>70.75</v>
      </c>
      <c r="I1006" s="119"/>
      <c r="J1006" s="151">
        <v>0</v>
      </c>
      <c r="K1006" s="119">
        <f t="shared" si="46"/>
        <v>70.75</v>
      </c>
      <c r="L1006" s="152">
        <f t="shared" si="47"/>
        <v>61.5</v>
      </c>
      <c r="M1006" s="113"/>
    </row>
    <row r="1007" spans="1:13" s="114" customFormat="1" ht="13.5" customHeight="1" x14ac:dyDescent="0.2">
      <c r="A1007" s="106" t="s">
        <v>3481</v>
      </c>
      <c r="B1007" s="105" t="s">
        <v>2233</v>
      </c>
      <c r="C1007" s="105" t="s">
        <v>3509</v>
      </c>
      <c r="D1007" s="149" t="s">
        <v>2235</v>
      </c>
      <c r="E1007" s="157">
        <v>1</v>
      </c>
      <c r="F1007" s="158" t="s">
        <v>2087</v>
      </c>
      <c r="G1007" s="158" t="s">
        <v>2088</v>
      </c>
      <c r="H1007" s="119">
        <f t="shared" si="45"/>
        <v>13</v>
      </c>
      <c r="I1007" s="119"/>
      <c r="J1007" s="151">
        <v>0</v>
      </c>
      <c r="K1007" s="119">
        <f t="shared" si="46"/>
        <v>13</v>
      </c>
      <c r="L1007" s="152">
        <f t="shared" si="47"/>
        <v>11.17</v>
      </c>
      <c r="M1007" s="113"/>
    </row>
    <row r="1008" spans="1:13" s="114" customFormat="1" ht="13.5" customHeight="1" x14ac:dyDescent="0.2">
      <c r="A1008" s="106" t="s">
        <v>3481</v>
      </c>
      <c r="B1008" s="105" t="s">
        <v>3519</v>
      </c>
      <c r="C1008" s="105" t="s">
        <v>3509</v>
      </c>
      <c r="D1008" s="149" t="s">
        <v>3520</v>
      </c>
      <c r="E1008" s="157">
        <v>1</v>
      </c>
      <c r="F1008" s="158" t="s">
        <v>2066</v>
      </c>
      <c r="G1008" s="158" t="s">
        <v>2067</v>
      </c>
      <c r="H1008" s="119">
        <f t="shared" si="45"/>
        <v>42.75</v>
      </c>
      <c r="I1008" s="119"/>
      <c r="J1008" s="151">
        <v>0</v>
      </c>
      <c r="K1008" s="119">
        <f t="shared" si="46"/>
        <v>42.75</v>
      </c>
      <c r="L1008" s="152">
        <f t="shared" si="47"/>
        <v>37</v>
      </c>
      <c r="M1008" s="113"/>
    </row>
    <row r="1009" spans="1:13" s="114" customFormat="1" ht="13.5" customHeight="1" x14ac:dyDescent="0.2">
      <c r="A1009" s="106" t="s">
        <v>3481</v>
      </c>
      <c r="B1009" s="105" t="s">
        <v>2735</v>
      </c>
      <c r="C1009" s="105" t="s">
        <v>3521</v>
      </c>
      <c r="D1009" s="149" t="s">
        <v>2737</v>
      </c>
      <c r="E1009" s="157">
        <v>3</v>
      </c>
      <c r="F1009" s="158" t="s">
        <v>2738</v>
      </c>
      <c r="G1009" s="158" t="s">
        <v>2739</v>
      </c>
      <c r="H1009" s="119">
        <f t="shared" si="45"/>
        <v>76.5</v>
      </c>
      <c r="I1009" s="119"/>
      <c r="J1009" s="151">
        <v>0</v>
      </c>
      <c r="K1009" s="119">
        <f t="shared" si="46"/>
        <v>76.5</v>
      </c>
      <c r="L1009" s="152">
        <f t="shared" si="47"/>
        <v>65.91</v>
      </c>
      <c r="M1009" s="113"/>
    </row>
    <row r="1010" spans="1:13" s="114" customFormat="1" ht="13.5" customHeight="1" x14ac:dyDescent="0.2">
      <c r="A1010" s="106" t="s">
        <v>3481</v>
      </c>
      <c r="B1010" s="105" t="s">
        <v>3522</v>
      </c>
      <c r="C1010" s="105" t="s">
        <v>3521</v>
      </c>
      <c r="D1010" s="149" t="s">
        <v>3523</v>
      </c>
      <c r="E1010" s="157">
        <v>4</v>
      </c>
      <c r="F1010" s="158" t="s">
        <v>2738</v>
      </c>
      <c r="G1010" s="158" t="s">
        <v>3524</v>
      </c>
      <c r="H1010" s="119">
        <f t="shared" si="45"/>
        <v>106</v>
      </c>
      <c r="I1010" s="119"/>
      <c r="J1010" s="151">
        <v>0</v>
      </c>
      <c r="K1010" s="119">
        <f t="shared" si="46"/>
        <v>106</v>
      </c>
      <c r="L1010" s="152">
        <f t="shared" si="47"/>
        <v>87.88</v>
      </c>
      <c r="M1010" s="113"/>
    </row>
    <row r="1011" spans="1:13" s="114" customFormat="1" ht="13.5" customHeight="1" x14ac:dyDescent="0.2">
      <c r="A1011" s="106" t="s">
        <v>3481</v>
      </c>
      <c r="B1011" s="105" t="s">
        <v>3525</v>
      </c>
      <c r="C1011" s="105" t="s">
        <v>3521</v>
      </c>
      <c r="D1011" s="149" t="s">
        <v>3526</v>
      </c>
      <c r="E1011" s="157">
        <v>3</v>
      </c>
      <c r="F1011" s="158" t="s">
        <v>2738</v>
      </c>
      <c r="G1011" s="158" t="s">
        <v>2739</v>
      </c>
      <c r="H1011" s="119">
        <f t="shared" si="45"/>
        <v>76.5</v>
      </c>
      <c r="I1011" s="119"/>
      <c r="J1011" s="151">
        <v>0</v>
      </c>
      <c r="K1011" s="119">
        <f t="shared" si="46"/>
        <v>76.5</v>
      </c>
      <c r="L1011" s="152">
        <f t="shared" si="47"/>
        <v>65.91</v>
      </c>
      <c r="M1011" s="113"/>
    </row>
    <row r="1012" spans="1:13" s="114" customFormat="1" ht="13.5" customHeight="1" x14ac:dyDescent="0.2">
      <c r="A1012" s="106" t="s">
        <v>3481</v>
      </c>
      <c r="B1012" s="105" t="s">
        <v>2834</v>
      </c>
      <c r="C1012" s="105" t="s">
        <v>3521</v>
      </c>
      <c r="D1012" s="149" t="s">
        <v>2835</v>
      </c>
      <c r="E1012" s="157">
        <v>1</v>
      </c>
      <c r="F1012" s="158" t="s">
        <v>1886</v>
      </c>
      <c r="G1012" s="158" t="s">
        <v>2046</v>
      </c>
      <c r="H1012" s="119">
        <f t="shared" si="45"/>
        <v>7.75</v>
      </c>
      <c r="I1012" s="119"/>
      <c r="J1012" s="151">
        <v>0</v>
      </c>
      <c r="K1012" s="119">
        <f t="shared" si="46"/>
        <v>7.75</v>
      </c>
      <c r="L1012" s="152">
        <f t="shared" si="47"/>
        <v>6.83</v>
      </c>
      <c r="M1012" s="113"/>
    </row>
    <row r="1013" spans="1:13" s="114" customFormat="1" ht="13.5" customHeight="1" x14ac:dyDescent="0.2">
      <c r="A1013" s="106" t="s">
        <v>3481</v>
      </c>
      <c r="B1013" s="105" t="s">
        <v>3527</v>
      </c>
      <c r="C1013" s="105" t="s">
        <v>3528</v>
      </c>
      <c r="D1013" s="149" t="s">
        <v>3529</v>
      </c>
      <c r="E1013" s="157">
        <v>1</v>
      </c>
      <c r="F1013" s="158" t="s">
        <v>3530</v>
      </c>
      <c r="G1013" s="158" t="s">
        <v>2589</v>
      </c>
      <c r="H1013" s="119">
        <f t="shared" si="45"/>
        <v>15</v>
      </c>
      <c r="I1013" s="119"/>
      <c r="J1013" s="151">
        <v>0</v>
      </c>
      <c r="K1013" s="119">
        <f t="shared" si="46"/>
        <v>15</v>
      </c>
      <c r="L1013" s="152">
        <f t="shared" si="47"/>
        <v>13.02</v>
      </c>
      <c r="M1013" s="113"/>
    </row>
    <row r="1014" spans="1:13" s="114" customFormat="1" ht="13.5" customHeight="1" x14ac:dyDescent="0.2">
      <c r="A1014" s="106" t="s">
        <v>3481</v>
      </c>
      <c r="B1014" s="105" t="s">
        <v>2089</v>
      </c>
      <c r="C1014" s="105" t="s">
        <v>3531</v>
      </c>
      <c r="D1014" s="149" t="s">
        <v>2090</v>
      </c>
      <c r="E1014" s="157">
        <v>5</v>
      </c>
      <c r="F1014" s="158" t="s">
        <v>1980</v>
      </c>
      <c r="G1014" s="158" t="s">
        <v>1981</v>
      </c>
      <c r="H1014" s="119">
        <f t="shared" si="45"/>
        <v>5</v>
      </c>
      <c r="I1014" s="119"/>
      <c r="J1014" s="151">
        <v>0</v>
      </c>
      <c r="K1014" s="119">
        <f t="shared" si="46"/>
        <v>5</v>
      </c>
      <c r="L1014" s="152">
        <f t="shared" si="47"/>
        <v>3.8</v>
      </c>
      <c r="M1014" s="113"/>
    </row>
    <row r="1015" spans="1:13" s="114" customFormat="1" ht="13.5" customHeight="1" x14ac:dyDescent="0.2">
      <c r="A1015" s="106" t="s">
        <v>3481</v>
      </c>
      <c r="B1015" s="105" t="s">
        <v>2908</v>
      </c>
      <c r="C1015" s="105" t="s">
        <v>3532</v>
      </c>
      <c r="D1015" s="149" t="s">
        <v>2910</v>
      </c>
      <c r="E1015" s="157">
        <v>1</v>
      </c>
      <c r="F1015" s="158" t="s">
        <v>1980</v>
      </c>
      <c r="G1015" s="158" t="s">
        <v>1981</v>
      </c>
      <c r="H1015" s="119">
        <f t="shared" si="45"/>
        <v>1</v>
      </c>
      <c r="I1015" s="119"/>
      <c r="J1015" s="151">
        <v>0</v>
      </c>
      <c r="K1015" s="119">
        <f t="shared" si="46"/>
        <v>1</v>
      </c>
      <c r="L1015" s="152">
        <f t="shared" si="47"/>
        <v>0.76</v>
      </c>
      <c r="M1015" s="113"/>
    </row>
    <row r="1016" spans="1:13" s="114" customFormat="1" ht="13.5" customHeight="1" x14ac:dyDescent="0.2">
      <c r="A1016" s="106" t="s">
        <v>3481</v>
      </c>
      <c r="B1016" s="105" t="s">
        <v>1802</v>
      </c>
      <c r="C1016" s="105" t="s">
        <v>3533</v>
      </c>
      <c r="D1016" s="149" t="s">
        <v>1803</v>
      </c>
      <c r="E1016" s="157">
        <v>1</v>
      </c>
      <c r="F1016" s="158" t="s">
        <v>1804</v>
      </c>
      <c r="G1016" s="158" t="s">
        <v>1805</v>
      </c>
      <c r="H1016" s="119">
        <f t="shared" si="45"/>
        <v>8.75</v>
      </c>
      <c r="I1016" s="119"/>
      <c r="J1016" s="151">
        <v>0</v>
      </c>
      <c r="K1016" s="119">
        <f t="shared" si="46"/>
        <v>8.75</v>
      </c>
      <c r="L1016" s="152">
        <f t="shared" si="47"/>
        <v>7.51</v>
      </c>
      <c r="M1016" s="113"/>
    </row>
    <row r="1017" spans="1:13" s="114" customFormat="1" ht="13.5" customHeight="1" x14ac:dyDescent="0.2">
      <c r="A1017" s="106" t="s">
        <v>3481</v>
      </c>
      <c r="B1017" s="105" t="s">
        <v>1884</v>
      </c>
      <c r="C1017" s="105" t="s">
        <v>3533</v>
      </c>
      <c r="D1017" s="149" t="s">
        <v>1885</v>
      </c>
      <c r="E1017" s="157">
        <v>1</v>
      </c>
      <c r="F1017" s="158" t="s">
        <v>1886</v>
      </c>
      <c r="G1017" s="158" t="s">
        <v>1887</v>
      </c>
      <c r="H1017" s="119">
        <f t="shared" si="45"/>
        <v>9.75</v>
      </c>
      <c r="I1017" s="119"/>
      <c r="J1017" s="151">
        <v>0</v>
      </c>
      <c r="K1017" s="119">
        <f t="shared" si="46"/>
        <v>9.75</v>
      </c>
      <c r="L1017" s="152">
        <f t="shared" si="47"/>
        <v>6.83</v>
      </c>
      <c r="M1017" s="113"/>
    </row>
    <row r="1018" spans="1:13" s="114" customFormat="1" ht="13.5" customHeight="1" x14ac:dyDescent="0.2">
      <c r="A1018" s="106" t="s">
        <v>3481</v>
      </c>
      <c r="B1018" s="105" t="s">
        <v>2357</v>
      </c>
      <c r="C1018" s="105" t="s">
        <v>3533</v>
      </c>
      <c r="D1018" s="149" t="s">
        <v>2359</v>
      </c>
      <c r="E1018" s="157">
        <v>1</v>
      </c>
      <c r="F1018" s="158" t="s">
        <v>1852</v>
      </c>
      <c r="G1018" s="158" t="s">
        <v>1853</v>
      </c>
      <c r="H1018" s="119">
        <f t="shared" si="45"/>
        <v>7.5</v>
      </c>
      <c r="I1018" s="119"/>
      <c r="J1018" s="151">
        <v>0</v>
      </c>
      <c r="K1018" s="119">
        <f t="shared" si="46"/>
        <v>7.5</v>
      </c>
      <c r="L1018" s="152">
        <f t="shared" si="47"/>
        <v>6.18</v>
      </c>
      <c r="M1018" s="113"/>
    </row>
    <row r="1019" spans="1:13" s="114" customFormat="1" ht="13.5" customHeight="1" x14ac:dyDescent="0.2">
      <c r="A1019" s="106" t="s">
        <v>3481</v>
      </c>
      <c r="B1019" s="105" t="s">
        <v>1937</v>
      </c>
      <c r="C1019" s="105" t="s">
        <v>3533</v>
      </c>
      <c r="D1019" s="149" t="s">
        <v>1938</v>
      </c>
      <c r="E1019" s="157">
        <v>1</v>
      </c>
      <c r="F1019" s="158" t="s">
        <v>1852</v>
      </c>
      <c r="G1019" s="158" t="s">
        <v>1939</v>
      </c>
      <c r="H1019" s="119">
        <f t="shared" si="45"/>
        <v>7.25</v>
      </c>
      <c r="I1019" s="119"/>
      <c r="J1019" s="151">
        <v>0</v>
      </c>
      <c r="K1019" s="119">
        <f t="shared" si="46"/>
        <v>7.25</v>
      </c>
      <c r="L1019" s="152">
        <f t="shared" si="47"/>
        <v>6.18</v>
      </c>
      <c r="M1019" s="113"/>
    </row>
    <row r="1020" spans="1:13" s="114" customFormat="1" ht="13.5" customHeight="1" x14ac:dyDescent="0.2">
      <c r="A1020" s="106" t="s">
        <v>3481</v>
      </c>
      <c r="B1020" s="105" t="s">
        <v>1907</v>
      </c>
      <c r="C1020" s="105" t="s">
        <v>3534</v>
      </c>
      <c r="D1020" s="149" t="s">
        <v>1908</v>
      </c>
      <c r="E1020" s="157">
        <v>1</v>
      </c>
      <c r="F1020" s="158" t="s">
        <v>1909</v>
      </c>
      <c r="G1020" s="158" t="s">
        <v>1910</v>
      </c>
      <c r="H1020" s="119">
        <f t="shared" si="45"/>
        <v>20.75</v>
      </c>
      <c r="I1020" s="119"/>
      <c r="J1020" s="151">
        <v>0</v>
      </c>
      <c r="K1020" s="119">
        <f t="shared" si="46"/>
        <v>20.75</v>
      </c>
      <c r="L1020" s="152">
        <f t="shared" si="47"/>
        <v>18.03</v>
      </c>
      <c r="M1020" s="113"/>
    </row>
    <row r="1021" spans="1:13" s="114" customFormat="1" ht="13.5" customHeight="1" x14ac:dyDescent="0.2">
      <c r="A1021" s="106" t="s">
        <v>3481</v>
      </c>
      <c r="B1021" s="105" t="s">
        <v>3535</v>
      </c>
      <c r="C1021" s="105" t="s">
        <v>3536</v>
      </c>
      <c r="D1021" s="149" t="s">
        <v>3537</v>
      </c>
      <c r="E1021" s="157">
        <v>2</v>
      </c>
      <c r="F1021" s="158" t="s">
        <v>2689</v>
      </c>
      <c r="G1021" s="158" t="s">
        <v>3538</v>
      </c>
      <c r="H1021" s="119">
        <f t="shared" si="45"/>
        <v>139</v>
      </c>
      <c r="I1021" s="119"/>
      <c r="J1021" s="151">
        <v>0</v>
      </c>
      <c r="K1021" s="119">
        <f t="shared" si="46"/>
        <v>139</v>
      </c>
      <c r="L1021" s="152">
        <f t="shared" si="47"/>
        <v>120.5</v>
      </c>
      <c r="M1021" s="113"/>
    </row>
    <row r="1022" spans="1:13" s="114" customFormat="1" ht="13.5" customHeight="1" x14ac:dyDescent="0.2">
      <c r="A1022" s="106" t="s">
        <v>3481</v>
      </c>
      <c r="B1022" s="105" t="s">
        <v>3539</v>
      </c>
      <c r="C1022" s="105" t="s">
        <v>3536</v>
      </c>
      <c r="D1022" s="149" t="s">
        <v>3540</v>
      </c>
      <c r="E1022" s="157">
        <v>1</v>
      </c>
      <c r="F1022" s="158" t="s">
        <v>3541</v>
      </c>
      <c r="G1022" s="158" t="s">
        <v>3542</v>
      </c>
      <c r="H1022" s="119">
        <f t="shared" si="45"/>
        <v>79</v>
      </c>
      <c r="I1022" s="119"/>
      <c r="J1022" s="151">
        <v>0</v>
      </c>
      <c r="K1022" s="119">
        <f t="shared" si="46"/>
        <v>79</v>
      </c>
      <c r="L1022" s="152">
        <f t="shared" si="47"/>
        <v>68.540000000000006</v>
      </c>
      <c r="M1022" s="113"/>
    </row>
    <row r="1023" spans="1:13" s="114" customFormat="1" ht="13.5" customHeight="1" x14ac:dyDescent="0.2">
      <c r="A1023" s="106" t="s">
        <v>3481</v>
      </c>
      <c r="B1023" s="105" t="s">
        <v>3543</v>
      </c>
      <c r="C1023" s="105" t="s">
        <v>3536</v>
      </c>
      <c r="D1023" s="149" t="s">
        <v>3544</v>
      </c>
      <c r="E1023" s="157">
        <v>1</v>
      </c>
      <c r="F1023" s="158" t="s">
        <v>3541</v>
      </c>
      <c r="G1023" s="158" t="s">
        <v>3542</v>
      </c>
      <c r="H1023" s="119">
        <f t="shared" si="45"/>
        <v>79</v>
      </c>
      <c r="I1023" s="119"/>
      <c r="J1023" s="151">
        <v>0</v>
      </c>
      <c r="K1023" s="119">
        <f t="shared" si="46"/>
        <v>79</v>
      </c>
      <c r="L1023" s="152">
        <f t="shared" si="47"/>
        <v>68.540000000000006</v>
      </c>
      <c r="M1023" s="113"/>
    </row>
    <row r="1024" spans="1:13" s="114" customFormat="1" ht="13.5" customHeight="1" x14ac:dyDescent="0.2">
      <c r="A1024" s="106" t="s">
        <v>3481</v>
      </c>
      <c r="B1024" s="105" t="s">
        <v>3112</v>
      </c>
      <c r="C1024" s="105" t="s">
        <v>3536</v>
      </c>
      <c r="D1024" s="149" t="s">
        <v>3113</v>
      </c>
      <c r="E1024" s="157">
        <v>1</v>
      </c>
      <c r="F1024" s="158" t="s">
        <v>3114</v>
      </c>
      <c r="G1024" s="158" t="s">
        <v>3115</v>
      </c>
      <c r="H1024" s="119">
        <f t="shared" si="45"/>
        <v>136.5</v>
      </c>
      <c r="I1024" s="119"/>
      <c r="J1024" s="151">
        <v>0</v>
      </c>
      <c r="K1024" s="119">
        <f t="shared" si="46"/>
        <v>136.5</v>
      </c>
      <c r="L1024" s="152">
        <f t="shared" si="47"/>
        <v>109.57</v>
      </c>
      <c r="M1024" s="113"/>
    </row>
    <row r="1025" spans="1:13" s="114" customFormat="1" ht="13.5" customHeight="1" x14ac:dyDescent="0.2">
      <c r="A1025" s="153" t="s">
        <v>3481</v>
      </c>
      <c r="B1025" s="154" t="s">
        <v>1902</v>
      </c>
      <c r="C1025" s="154" t="s">
        <v>3536</v>
      </c>
      <c r="D1025" s="155" t="s">
        <v>1903</v>
      </c>
      <c r="E1025" s="159">
        <v>14</v>
      </c>
      <c r="F1025" s="160"/>
      <c r="G1025" s="160" t="s">
        <v>1904</v>
      </c>
      <c r="H1025" s="147">
        <f t="shared" si="45"/>
        <v>269.5</v>
      </c>
      <c r="I1025" s="147"/>
      <c r="J1025" s="156">
        <v>0</v>
      </c>
      <c r="K1025" s="147">
        <f t="shared" si="46"/>
        <v>269.5</v>
      </c>
      <c r="L1025" s="148">
        <f t="shared" si="47"/>
        <v>0</v>
      </c>
      <c r="M1025" s="113"/>
    </row>
    <row r="1026" spans="1:13" s="114" customFormat="1" ht="13.5" customHeight="1" x14ac:dyDescent="0.2">
      <c r="A1026" s="106" t="s">
        <v>3481</v>
      </c>
      <c r="B1026" s="105" t="s">
        <v>2377</v>
      </c>
      <c r="C1026" s="105" t="s">
        <v>3536</v>
      </c>
      <c r="D1026" s="149" t="s">
        <v>2378</v>
      </c>
      <c r="E1026" s="157">
        <v>6</v>
      </c>
      <c r="F1026" s="158" t="s">
        <v>1800</v>
      </c>
      <c r="G1026" s="158" t="s">
        <v>1801</v>
      </c>
      <c r="H1026" s="119">
        <f t="shared" si="45"/>
        <v>57</v>
      </c>
      <c r="I1026" s="119"/>
      <c r="J1026" s="151">
        <v>0</v>
      </c>
      <c r="K1026" s="119">
        <f t="shared" si="46"/>
        <v>57</v>
      </c>
      <c r="L1026" s="152">
        <f t="shared" si="47"/>
        <v>49.199999999999996</v>
      </c>
      <c r="M1026" s="113"/>
    </row>
    <row r="1027" spans="1:13" s="114" customFormat="1" ht="13.5" customHeight="1" x14ac:dyDescent="0.2">
      <c r="A1027" s="106" t="s">
        <v>3481</v>
      </c>
      <c r="B1027" s="105" t="s">
        <v>2257</v>
      </c>
      <c r="C1027" s="105" t="s">
        <v>3536</v>
      </c>
      <c r="D1027" s="149" t="s">
        <v>2258</v>
      </c>
      <c r="E1027" s="157">
        <v>1</v>
      </c>
      <c r="F1027" s="158" t="s">
        <v>2188</v>
      </c>
      <c r="G1027" s="158" t="s">
        <v>2259</v>
      </c>
      <c r="H1027" s="119">
        <f t="shared" si="45"/>
        <v>68.5</v>
      </c>
      <c r="I1027" s="119"/>
      <c r="J1027" s="151">
        <v>0</v>
      </c>
      <c r="K1027" s="119">
        <f t="shared" si="46"/>
        <v>68.5</v>
      </c>
      <c r="L1027" s="152">
        <f t="shared" si="47"/>
        <v>59.5</v>
      </c>
      <c r="M1027" s="113"/>
    </row>
    <row r="1028" spans="1:13" s="114" customFormat="1" ht="13.5" customHeight="1" x14ac:dyDescent="0.2">
      <c r="A1028" s="106" t="s">
        <v>3481</v>
      </c>
      <c r="B1028" s="105" t="s">
        <v>3545</v>
      </c>
      <c r="C1028" s="105" t="s">
        <v>3536</v>
      </c>
      <c r="D1028" s="149" t="s">
        <v>3546</v>
      </c>
      <c r="E1028" s="157">
        <v>1</v>
      </c>
      <c r="F1028" s="158" t="s">
        <v>3547</v>
      </c>
      <c r="G1028" s="158" t="s">
        <v>3548</v>
      </c>
      <c r="H1028" s="119">
        <f t="shared" si="45"/>
        <v>186</v>
      </c>
      <c r="I1028" s="119"/>
      <c r="J1028" s="151">
        <v>0</v>
      </c>
      <c r="K1028" s="119">
        <f t="shared" si="46"/>
        <v>186</v>
      </c>
      <c r="L1028" s="152">
        <f t="shared" si="47"/>
        <v>169.1</v>
      </c>
      <c r="M1028" s="113"/>
    </row>
    <row r="1029" spans="1:13" s="114" customFormat="1" ht="13.5" customHeight="1" x14ac:dyDescent="0.2">
      <c r="A1029" s="106" t="s">
        <v>3481</v>
      </c>
      <c r="B1029" s="105" t="s">
        <v>3314</v>
      </c>
      <c r="C1029" s="105" t="s">
        <v>3549</v>
      </c>
      <c r="D1029" s="149" t="s">
        <v>3316</v>
      </c>
      <c r="E1029" s="157">
        <v>1</v>
      </c>
      <c r="F1029" s="158" t="s">
        <v>3317</v>
      </c>
      <c r="G1029" s="158" t="s">
        <v>1809</v>
      </c>
      <c r="H1029" s="119">
        <f t="shared" si="45"/>
        <v>18</v>
      </c>
      <c r="I1029" s="119"/>
      <c r="J1029" s="151">
        <v>0</v>
      </c>
      <c r="K1029" s="119">
        <f t="shared" si="46"/>
        <v>18</v>
      </c>
      <c r="L1029" s="152">
        <f t="shared" si="47"/>
        <v>15.68</v>
      </c>
      <c r="M1029" s="113"/>
    </row>
    <row r="1030" spans="1:13" s="114" customFormat="1" ht="13.5" customHeight="1" x14ac:dyDescent="0.2">
      <c r="A1030" s="106" t="s">
        <v>3550</v>
      </c>
      <c r="B1030" s="105" t="s">
        <v>2220</v>
      </c>
      <c r="C1030" s="105" t="s">
        <v>3551</v>
      </c>
      <c r="D1030" s="149" t="s">
        <v>2222</v>
      </c>
      <c r="E1030" s="157">
        <v>2</v>
      </c>
      <c r="F1030" s="158" t="s">
        <v>2223</v>
      </c>
      <c r="G1030" s="158" t="s">
        <v>2224</v>
      </c>
      <c r="H1030" s="119">
        <f t="shared" ref="H1030:H1093" si="48">E1030*G1030</f>
        <v>82</v>
      </c>
      <c r="I1030" s="119"/>
      <c r="J1030" s="151">
        <v>0</v>
      </c>
      <c r="K1030" s="119">
        <f t="shared" ref="K1030:K1093" si="49">H1030+I1030-J1030</f>
        <v>82</v>
      </c>
      <c r="L1030" s="152">
        <f t="shared" ref="L1030:L1093" si="50">E1030*F1030</f>
        <v>70.3</v>
      </c>
      <c r="M1030" s="113"/>
    </row>
    <row r="1031" spans="1:13" s="114" customFormat="1" ht="13.5" customHeight="1" x14ac:dyDescent="0.2">
      <c r="A1031" s="106" t="s">
        <v>3550</v>
      </c>
      <c r="B1031" s="105" t="s">
        <v>2831</v>
      </c>
      <c r="C1031" s="105" t="s">
        <v>3552</v>
      </c>
      <c r="D1031" s="149" t="s">
        <v>2833</v>
      </c>
      <c r="E1031" s="157">
        <v>1</v>
      </c>
      <c r="F1031" s="158" t="s">
        <v>1886</v>
      </c>
      <c r="G1031" s="158" t="s">
        <v>2046</v>
      </c>
      <c r="H1031" s="119">
        <f t="shared" si="48"/>
        <v>7.75</v>
      </c>
      <c r="I1031" s="119"/>
      <c r="J1031" s="151">
        <v>0</v>
      </c>
      <c r="K1031" s="119">
        <f t="shared" si="49"/>
        <v>7.75</v>
      </c>
      <c r="L1031" s="152">
        <f t="shared" si="50"/>
        <v>6.83</v>
      </c>
      <c r="M1031" s="113"/>
    </row>
    <row r="1032" spans="1:13" s="114" customFormat="1" ht="13.5" customHeight="1" x14ac:dyDescent="0.2">
      <c r="A1032" s="106" t="s">
        <v>3550</v>
      </c>
      <c r="B1032" s="105" t="s">
        <v>1806</v>
      </c>
      <c r="C1032" s="105" t="s">
        <v>3553</v>
      </c>
      <c r="D1032" s="149" t="s">
        <v>1807</v>
      </c>
      <c r="E1032" s="157">
        <v>1</v>
      </c>
      <c r="F1032" s="158" t="s">
        <v>1808</v>
      </c>
      <c r="G1032" s="158" t="s">
        <v>1809</v>
      </c>
      <c r="H1032" s="119">
        <f t="shared" si="48"/>
        <v>18</v>
      </c>
      <c r="I1032" s="119"/>
      <c r="J1032" s="151">
        <v>0</v>
      </c>
      <c r="K1032" s="119">
        <f t="shared" si="49"/>
        <v>18</v>
      </c>
      <c r="L1032" s="152">
        <f t="shared" si="50"/>
        <v>15.65</v>
      </c>
      <c r="M1032" s="113"/>
    </row>
    <row r="1033" spans="1:13" s="114" customFormat="1" ht="13.5" customHeight="1" x14ac:dyDescent="0.2">
      <c r="A1033" s="106" t="s">
        <v>3550</v>
      </c>
      <c r="B1033" s="105" t="s">
        <v>2173</v>
      </c>
      <c r="C1033" s="105" t="s">
        <v>3554</v>
      </c>
      <c r="D1033" s="149" t="s">
        <v>2175</v>
      </c>
      <c r="E1033" s="157">
        <v>4</v>
      </c>
      <c r="F1033" s="158" t="s">
        <v>2176</v>
      </c>
      <c r="G1033" s="158" t="s">
        <v>2177</v>
      </c>
      <c r="H1033" s="119">
        <f t="shared" si="48"/>
        <v>644</v>
      </c>
      <c r="I1033" s="119"/>
      <c r="J1033" s="151">
        <v>0</v>
      </c>
      <c r="K1033" s="119">
        <f t="shared" si="49"/>
        <v>644</v>
      </c>
      <c r="L1033" s="152">
        <f t="shared" si="50"/>
        <v>560</v>
      </c>
      <c r="M1033" s="113"/>
    </row>
    <row r="1034" spans="1:13" s="114" customFormat="1" ht="13.5" customHeight="1" x14ac:dyDescent="0.2">
      <c r="A1034" s="106" t="s">
        <v>3550</v>
      </c>
      <c r="B1034" s="105" t="s">
        <v>3555</v>
      </c>
      <c r="C1034" s="105" t="s">
        <v>3554</v>
      </c>
      <c r="D1034" s="149" t="s">
        <v>3556</v>
      </c>
      <c r="E1034" s="157">
        <v>2</v>
      </c>
      <c r="F1034" s="158" t="s">
        <v>3557</v>
      </c>
      <c r="G1034" s="158" t="s">
        <v>3558</v>
      </c>
      <c r="H1034" s="119">
        <f t="shared" si="48"/>
        <v>115</v>
      </c>
      <c r="I1034" s="119"/>
      <c r="J1034" s="151">
        <v>0</v>
      </c>
      <c r="K1034" s="119">
        <f t="shared" si="49"/>
        <v>115</v>
      </c>
      <c r="L1034" s="152">
        <f t="shared" si="50"/>
        <v>99.6</v>
      </c>
      <c r="M1034" s="113"/>
    </row>
    <row r="1035" spans="1:13" s="114" customFormat="1" ht="13.5" customHeight="1" x14ac:dyDescent="0.2">
      <c r="A1035" s="106" t="s">
        <v>3550</v>
      </c>
      <c r="B1035" s="105" t="s">
        <v>2809</v>
      </c>
      <c r="C1035" s="105" t="s">
        <v>3554</v>
      </c>
      <c r="D1035" s="149" t="s">
        <v>2810</v>
      </c>
      <c r="E1035" s="157">
        <v>2</v>
      </c>
      <c r="F1035" s="158" t="s">
        <v>2811</v>
      </c>
      <c r="G1035" s="158" t="s">
        <v>2812</v>
      </c>
      <c r="H1035" s="119">
        <f t="shared" si="48"/>
        <v>124</v>
      </c>
      <c r="I1035" s="119"/>
      <c r="J1035" s="151">
        <v>0</v>
      </c>
      <c r="K1035" s="119">
        <f t="shared" si="49"/>
        <v>124</v>
      </c>
      <c r="L1035" s="152">
        <f t="shared" si="50"/>
        <v>107.62</v>
      </c>
      <c r="M1035" s="113"/>
    </row>
    <row r="1036" spans="1:13" s="114" customFormat="1" ht="13.5" customHeight="1" x14ac:dyDescent="0.2">
      <c r="A1036" s="106" t="s">
        <v>3550</v>
      </c>
      <c r="B1036" s="105" t="s">
        <v>2162</v>
      </c>
      <c r="C1036" s="105" t="s">
        <v>3554</v>
      </c>
      <c r="D1036" s="149" t="s">
        <v>2163</v>
      </c>
      <c r="E1036" s="157">
        <v>1</v>
      </c>
      <c r="F1036" s="158" t="s">
        <v>2164</v>
      </c>
      <c r="G1036" s="158" t="s">
        <v>2165</v>
      </c>
      <c r="H1036" s="119">
        <f t="shared" si="48"/>
        <v>77.5</v>
      </c>
      <c r="I1036" s="119"/>
      <c r="J1036" s="151">
        <v>0</v>
      </c>
      <c r="K1036" s="119">
        <f t="shared" si="49"/>
        <v>77.5</v>
      </c>
      <c r="L1036" s="152">
        <f t="shared" si="50"/>
        <v>67.290000000000006</v>
      </c>
      <c r="M1036" s="113"/>
    </row>
    <row r="1037" spans="1:13" s="114" customFormat="1" ht="13.5" customHeight="1" x14ac:dyDescent="0.2">
      <c r="A1037" s="106" t="s">
        <v>3550</v>
      </c>
      <c r="B1037" s="105" t="s">
        <v>2694</v>
      </c>
      <c r="C1037" s="105" t="s">
        <v>3554</v>
      </c>
      <c r="D1037" s="149" t="s">
        <v>2695</v>
      </c>
      <c r="E1037" s="157">
        <v>2</v>
      </c>
      <c r="F1037" s="158" t="s">
        <v>2696</v>
      </c>
      <c r="G1037" s="158" t="s">
        <v>2697</v>
      </c>
      <c r="H1037" s="119">
        <f t="shared" si="48"/>
        <v>148.5</v>
      </c>
      <c r="I1037" s="119"/>
      <c r="J1037" s="151">
        <v>0</v>
      </c>
      <c r="K1037" s="119">
        <f t="shared" si="49"/>
        <v>148.5</v>
      </c>
      <c r="L1037" s="152">
        <f t="shared" si="50"/>
        <v>128.97999999999999</v>
      </c>
      <c r="M1037" s="113"/>
    </row>
    <row r="1038" spans="1:13" s="114" customFormat="1" ht="13.5" customHeight="1" x14ac:dyDescent="0.2">
      <c r="A1038" s="106" t="s">
        <v>3550</v>
      </c>
      <c r="B1038" s="105" t="s">
        <v>2698</v>
      </c>
      <c r="C1038" s="105" t="s">
        <v>3554</v>
      </c>
      <c r="D1038" s="149" t="s">
        <v>2699</v>
      </c>
      <c r="E1038" s="157">
        <v>2</v>
      </c>
      <c r="F1038" s="158" t="s">
        <v>2700</v>
      </c>
      <c r="G1038" s="158" t="s">
        <v>2701</v>
      </c>
      <c r="H1038" s="119">
        <f t="shared" si="48"/>
        <v>77.5</v>
      </c>
      <c r="I1038" s="119"/>
      <c r="J1038" s="151">
        <v>0</v>
      </c>
      <c r="K1038" s="119">
        <f t="shared" si="49"/>
        <v>77.5</v>
      </c>
      <c r="L1038" s="152">
        <f t="shared" si="50"/>
        <v>65.5</v>
      </c>
      <c r="M1038" s="113"/>
    </row>
    <row r="1039" spans="1:13" s="114" customFormat="1" ht="13.5" customHeight="1" x14ac:dyDescent="0.2">
      <c r="A1039" s="106" t="s">
        <v>3550</v>
      </c>
      <c r="B1039" s="105" t="s">
        <v>2363</v>
      </c>
      <c r="C1039" s="105" t="s">
        <v>3559</v>
      </c>
      <c r="D1039" s="149" t="s">
        <v>2365</v>
      </c>
      <c r="E1039" s="157">
        <v>1</v>
      </c>
      <c r="F1039" s="158" t="s">
        <v>2366</v>
      </c>
      <c r="G1039" s="158" t="s">
        <v>2006</v>
      </c>
      <c r="H1039" s="119">
        <f t="shared" si="48"/>
        <v>14.25</v>
      </c>
      <c r="I1039" s="119"/>
      <c r="J1039" s="151">
        <v>0</v>
      </c>
      <c r="K1039" s="119">
        <f t="shared" si="49"/>
        <v>14.25</v>
      </c>
      <c r="L1039" s="152">
        <f t="shared" si="50"/>
        <v>12.66</v>
      </c>
      <c r="M1039" s="113"/>
    </row>
    <row r="1040" spans="1:13" s="114" customFormat="1" ht="13.5" customHeight="1" x14ac:dyDescent="0.2">
      <c r="A1040" s="106" t="s">
        <v>3550</v>
      </c>
      <c r="B1040" s="105" t="s">
        <v>1997</v>
      </c>
      <c r="C1040" s="105" t="s">
        <v>3560</v>
      </c>
      <c r="D1040" s="149" t="s">
        <v>1999</v>
      </c>
      <c r="E1040" s="157">
        <v>2</v>
      </c>
      <c r="F1040" s="158" t="s">
        <v>2874</v>
      </c>
      <c r="G1040" s="158" t="s">
        <v>2001</v>
      </c>
      <c r="H1040" s="119">
        <f t="shared" si="48"/>
        <v>10.5</v>
      </c>
      <c r="I1040" s="119"/>
      <c r="J1040" s="151">
        <v>0</v>
      </c>
      <c r="K1040" s="119">
        <f t="shared" si="49"/>
        <v>10.5</v>
      </c>
      <c r="L1040" s="152">
        <f t="shared" si="50"/>
        <v>8.24</v>
      </c>
      <c r="M1040" s="113"/>
    </row>
    <row r="1041" spans="1:13" s="114" customFormat="1" ht="13.5" customHeight="1" x14ac:dyDescent="0.2">
      <c r="A1041" s="106" t="s">
        <v>3550</v>
      </c>
      <c r="B1041" s="105" t="s">
        <v>3072</v>
      </c>
      <c r="C1041" s="105" t="s">
        <v>3560</v>
      </c>
      <c r="D1041" s="149" t="s">
        <v>3074</v>
      </c>
      <c r="E1041" s="157">
        <v>1</v>
      </c>
      <c r="F1041" s="158" t="s">
        <v>3075</v>
      </c>
      <c r="G1041" s="158" t="s">
        <v>3076</v>
      </c>
      <c r="H1041" s="119">
        <f t="shared" si="48"/>
        <v>18.600000000000001</v>
      </c>
      <c r="I1041" s="119"/>
      <c r="J1041" s="151">
        <v>0</v>
      </c>
      <c r="K1041" s="119">
        <f t="shared" si="49"/>
        <v>18.600000000000001</v>
      </c>
      <c r="L1041" s="152">
        <f t="shared" si="50"/>
        <v>16.91</v>
      </c>
      <c r="M1041" s="113"/>
    </row>
    <row r="1042" spans="1:13" s="114" customFormat="1" ht="13.5" customHeight="1" x14ac:dyDescent="0.2">
      <c r="A1042" s="106" t="s">
        <v>3550</v>
      </c>
      <c r="B1042" s="105" t="s">
        <v>2301</v>
      </c>
      <c r="C1042" s="105" t="s">
        <v>3560</v>
      </c>
      <c r="D1042" s="149" t="s">
        <v>2302</v>
      </c>
      <c r="E1042" s="157">
        <v>1</v>
      </c>
      <c r="F1042" s="158" t="s">
        <v>2303</v>
      </c>
      <c r="G1042" s="158" t="s">
        <v>2304</v>
      </c>
      <c r="H1042" s="119">
        <f t="shared" si="48"/>
        <v>144.5</v>
      </c>
      <c r="I1042" s="119"/>
      <c r="J1042" s="151">
        <v>0</v>
      </c>
      <c r="K1042" s="119">
        <f t="shared" si="49"/>
        <v>144.5</v>
      </c>
      <c r="L1042" s="152">
        <f t="shared" si="50"/>
        <v>125.5</v>
      </c>
      <c r="M1042" s="113"/>
    </row>
    <row r="1043" spans="1:13" s="114" customFormat="1" x14ac:dyDescent="0.2">
      <c r="A1043" s="106" t="s">
        <v>3550</v>
      </c>
      <c r="B1043" s="105" t="s">
        <v>1789</v>
      </c>
      <c r="C1043" s="105" t="s">
        <v>3560</v>
      </c>
      <c r="D1043" s="149" t="s">
        <v>1790</v>
      </c>
      <c r="E1043" s="157">
        <v>2</v>
      </c>
      <c r="F1043" s="158" t="s">
        <v>1791</v>
      </c>
      <c r="G1043" s="158" t="s">
        <v>1792</v>
      </c>
      <c r="H1043" s="119">
        <f t="shared" si="48"/>
        <v>146</v>
      </c>
      <c r="I1043" s="119"/>
      <c r="J1043" s="151">
        <v>0</v>
      </c>
      <c r="K1043" s="119">
        <f t="shared" si="49"/>
        <v>146</v>
      </c>
      <c r="L1043" s="152">
        <f t="shared" si="50"/>
        <v>114</v>
      </c>
      <c r="M1043" s="113"/>
    </row>
    <row r="1044" spans="1:13" s="114" customFormat="1" ht="13.5" customHeight="1" x14ac:dyDescent="0.2">
      <c r="A1044" s="106" t="s">
        <v>3550</v>
      </c>
      <c r="B1044" s="105" t="s">
        <v>2367</v>
      </c>
      <c r="C1044" s="105" t="s">
        <v>3561</v>
      </c>
      <c r="D1044" s="149" t="s">
        <v>2369</v>
      </c>
      <c r="E1044" s="157">
        <v>1</v>
      </c>
      <c r="F1044" s="158" t="s">
        <v>2370</v>
      </c>
      <c r="G1044" s="158" t="s">
        <v>1853</v>
      </c>
      <c r="H1044" s="119">
        <f t="shared" si="48"/>
        <v>7.5</v>
      </c>
      <c r="I1044" s="119"/>
      <c r="J1044" s="151">
        <v>0</v>
      </c>
      <c r="K1044" s="119">
        <f t="shared" si="49"/>
        <v>7.5</v>
      </c>
      <c r="L1044" s="152">
        <f t="shared" si="50"/>
        <v>6.38</v>
      </c>
      <c r="M1044" s="113"/>
    </row>
    <row r="1045" spans="1:13" s="114" customFormat="1" ht="13.5" customHeight="1" x14ac:dyDescent="0.2">
      <c r="A1045" s="106" t="s">
        <v>3550</v>
      </c>
      <c r="B1045" s="105" t="s">
        <v>1924</v>
      </c>
      <c r="C1045" s="105" t="s">
        <v>3562</v>
      </c>
      <c r="D1045" s="149" t="s">
        <v>1926</v>
      </c>
      <c r="E1045" s="157">
        <v>1</v>
      </c>
      <c r="F1045" s="158" t="s">
        <v>1927</v>
      </c>
      <c r="G1045" s="158" t="s">
        <v>1928</v>
      </c>
      <c r="H1045" s="119">
        <f t="shared" si="48"/>
        <v>12.25</v>
      </c>
      <c r="I1045" s="119"/>
      <c r="J1045" s="151">
        <v>0</v>
      </c>
      <c r="K1045" s="119">
        <f t="shared" si="49"/>
        <v>12.25</v>
      </c>
      <c r="L1045" s="152">
        <f t="shared" si="50"/>
        <v>10.64</v>
      </c>
      <c r="M1045" s="113"/>
    </row>
    <row r="1046" spans="1:13" s="114" customFormat="1" ht="13.5" customHeight="1" x14ac:dyDescent="0.2">
      <c r="A1046" s="106" t="s">
        <v>3550</v>
      </c>
      <c r="B1046" s="105" t="s">
        <v>2146</v>
      </c>
      <c r="C1046" s="105" t="s">
        <v>3563</v>
      </c>
      <c r="D1046" s="149" t="s">
        <v>2147</v>
      </c>
      <c r="E1046" s="157">
        <v>2</v>
      </c>
      <c r="F1046" s="158" t="s">
        <v>1928</v>
      </c>
      <c r="G1046" s="158" t="s">
        <v>2097</v>
      </c>
      <c r="H1046" s="119">
        <f t="shared" si="48"/>
        <v>29</v>
      </c>
      <c r="I1046" s="119"/>
      <c r="J1046" s="151">
        <v>0</v>
      </c>
      <c r="K1046" s="119">
        <f t="shared" si="49"/>
        <v>29</v>
      </c>
      <c r="L1046" s="152">
        <f t="shared" si="50"/>
        <v>24.5</v>
      </c>
      <c r="M1046" s="113"/>
    </row>
    <row r="1047" spans="1:13" s="114" customFormat="1" ht="13.5" customHeight="1" x14ac:dyDescent="0.2">
      <c r="A1047" s="106" t="s">
        <v>3550</v>
      </c>
      <c r="B1047" s="105" t="s">
        <v>1781</v>
      </c>
      <c r="C1047" s="105" t="s">
        <v>3563</v>
      </c>
      <c r="D1047" s="149" t="s">
        <v>1782</v>
      </c>
      <c r="E1047" s="157">
        <v>1</v>
      </c>
      <c r="F1047" s="158" t="s">
        <v>1783</v>
      </c>
      <c r="G1047" s="158" t="s">
        <v>1784</v>
      </c>
      <c r="H1047" s="119">
        <f t="shared" si="48"/>
        <v>11</v>
      </c>
      <c r="I1047" s="119"/>
      <c r="J1047" s="151">
        <v>0</v>
      </c>
      <c r="K1047" s="119">
        <f t="shared" si="49"/>
        <v>11</v>
      </c>
      <c r="L1047" s="152">
        <f t="shared" si="50"/>
        <v>9.3800000000000008</v>
      </c>
      <c r="M1047" s="113"/>
    </row>
    <row r="1048" spans="1:13" s="114" customFormat="1" ht="13.5" customHeight="1" x14ac:dyDescent="0.2">
      <c r="A1048" s="106" t="s">
        <v>3550</v>
      </c>
      <c r="B1048" s="105" t="s">
        <v>1781</v>
      </c>
      <c r="C1048" s="105" t="s">
        <v>3564</v>
      </c>
      <c r="D1048" s="149" t="s">
        <v>1782</v>
      </c>
      <c r="E1048" s="157">
        <v>1</v>
      </c>
      <c r="F1048" s="158" t="s">
        <v>1783</v>
      </c>
      <c r="G1048" s="158" t="s">
        <v>1784</v>
      </c>
      <c r="H1048" s="119">
        <f t="shared" si="48"/>
        <v>11</v>
      </c>
      <c r="I1048" s="119"/>
      <c r="J1048" s="151">
        <v>0</v>
      </c>
      <c r="K1048" s="119">
        <f t="shared" si="49"/>
        <v>11</v>
      </c>
      <c r="L1048" s="152">
        <f t="shared" si="50"/>
        <v>9.3800000000000008</v>
      </c>
      <c r="M1048" s="113"/>
    </row>
    <row r="1049" spans="1:13" s="114" customFormat="1" ht="13.5" customHeight="1" x14ac:dyDescent="0.2">
      <c r="A1049" s="106" t="s">
        <v>3550</v>
      </c>
      <c r="B1049" s="105" t="s">
        <v>3565</v>
      </c>
      <c r="C1049" s="105" t="s">
        <v>3566</v>
      </c>
      <c r="D1049" s="149" t="s">
        <v>3567</v>
      </c>
      <c r="E1049" s="157">
        <v>1</v>
      </c>
      <c r="F1049" s="158" t="s">
        <v>3568</v>
      </c>
      <c r="G1049" s="158" t="s">
        <v>3455</v>
      </c>
      <c r="H1049" s="119">
        <f t="shared" si="48"/>
        <v>51.25</v>
      </c>
      <c r="I1049" s="119"/>
      <c r="J1049" s="151">
        <v>0</v>
      </c>
      <c r="K1049" s="119">
        <f t="shared" si="49"/>
        <v>51.25</v>
      </c>
      <c r="L1049" s="152">
        <f t="shared" si="50"/>
        <v>44.37</v>
      </c>
      <c r="M1049" s="113"/>
    </row>
    <row r="1050" spans="1:13" s="114" customFormat="1" ht="13.5" customHeight="1" x14ac:dyDescent="0.2">
      <c r="A1050" s="106" t="s">
        <v>3550</v>
      </c>
      <c r="B1050" s="105" t="s">
        <v>1888</v>
      </c>
      <c r="C1050" s="105" t="s">
        <v>3566</v>
      </c>
      <c r="D1050" s="149" t="s">
        <v>1890</v>
      </c>
      <c r="E1050" s="157">
        <v>1</v>
      </c>
      <c r="F1050" s="158" t="s">
        <v>1891</v>
      </c>
      <c r="G1050" s="158" t="s">
        <v>1892</v>
      </c>
      <c r="H1050" s="119">
        <f t="shared" si="48"/>
        <v>24</v>
      </c>
      <c r="I1050" s="119"/>
      <c r="J1050" s="151">
        <v>0</v>
      </c>
      <c r="K1050" s="119">
        <f t="shared" si="49"/>
        <v>24</v>
      </c>
      <c r="L1050" s="152">
        <f t="shared" si="50"/>
        <v>20.68</v>
      </c>
      <c r="M1050" s="113"/>
    </row>
    <row r="1051" spans="1:13" s="114" customFormat="1" ht="13.5" customHeight="1" x14ac:dyDescent="0.2">
      <c r="A1051" s="106" t="s">
        <v>3550</v>
      </c>
      <c r="B1051" s="105" t="s">
        <v>1854</v>
      </c>
      <c r="C1051" s="105" t="s">
        <v>3566</v>
      </c>
      <c r="D1051" s="149" t="s">
        <v>1855</v>
      </c>
      <c r="E1051" s="157">
        <v>1</v>
      </c>
      <c r="F1051" s="158" t="s">
        <v>1856</v>
      </c>
      <c r="G1051" s="158" t="s">
        <v>1805</v>
      </c>
      <c r="H1051" s="119">
        <f t="shared" si="48"/>
        <v>8.75</v>
      </c>
      <c r="I1051" s="119"/>
      <c r="J1051" s="151">
        <v>0</v>
      </c>
      <c r="K1051" s="119">
        <f t="shared" si="49"/>
        <v>8.75</v>
      </c>
      <c r="L1051" s="152">
        <f t="shared" si="50"/>
        <v>7.62</v>
      </c>
      <c r="M1051" s="113"/>
    </row>
    <row r="1052" spans="1:13" s="114" customFormat="1" ht="13.5" customHeight="1" x14ac:dyDescent="0.2">
      <c r="A1052" s="106" t="s">
        <v>3550</v>
      </c>
      <c r="B1052" s="105" t="s">
        <v>3314</v>
      </c>
      <c r="C1052" s="105" t="s">
        <v>3566</v>
      </c>
      <c r="D1052" s="149" t="s">
        <v>3316</v>
      </c>
      <c r="E1052" s="157">
        <v>1</v>
      </c>
      <c r="F1052" s="158" t="s">
        <v>3317</v>
      </c>
      <c r="G1052" s="158" t="s">
        <v>1809</v>
      </c>
      <c r="H1052" s="119">
        <f t="shared" si="48"/>
        <v>18</v>
      </c>
      <c r="I1052" s="119"/>
      <c r="J1052" s="151">
        <v>0</v>
      </c>
      <c r="K1052" s="119">
        <f t="shared" si="49"/>
        <v>18</v>
      </c>
      <c r="L1052" s="152">
        <f t="shared" si="50"/>
        <v>15.68</v>
      </c>
      <c r="M1052" s="113"/>
    </row>
    <row r="1053" spans="1:13" s="114" customFormat="1" ht="13.5" customHeight="1" x14ac:dyDescent="0.2">
      <c r="A1053" s="106" t="s">
        <v>3550</v>
      </c>
      <c r="B1053" s="105" t="s">
        <v>3569</v>
      </c>
      <c r="C1053" s="105" t="s">
        <v>3570</v>
      </c>
      <c r="D1053" s="149" t="s">
        <v>3571</v>
      </c>
      <c r="E1053" s="157">
        <v>1</v>
      </c>
      <c r="F1053" s="158" t="s">
        <v>3228</v>
      </c>
      <c r="G1053" s="158" t="s">
        <v>3229</v>
      </c>
      <c r="H1053" s="119">
        <f t="shared" si="48"/>
        <v>24.5</v>
      </c>
      <c r="I1053" s="119"/>
      <c r="J1053" s="151">
        <v>0</v>
      </c>
      <c r="K1053" s="119">
        <f t="shared" si="49"/>
        <v>24.5</v>
      </c>
      <c r="L1053" s="152">
        <f t="shared" si="50"/>
        <v>21.17</v>
      </c>
      <c r="M1053" s="113"/>
    </row>
    <row r="1054" spans="1:13" s="114" customFormat="1" ht="13.5" customHeight="1" x14ac:dyDescent="0.2">
      <c r="A1054" s="106" t="s">
        <v>3550</v>
      </c>
      <c r="B1054" s="105" t="s">
        <v>3356</v>
      </c>
      <c r="C1054" s="105" t="s">
        <v>3570</v>
      </c>
      <c r="D1054" s="149" t="s">
        <v>3358</v>
      </c>
      <c r="E1054" s="157">
        <v>1</v>
      </c>
      <c r="F1054" s="158" t="s">
        <v>3359</v>
      </c>
      <c r="G1054" s="158" t="s">
        <v>1943</v>
      </c>
      <c r="H1054" s="119">
        <f t="shared" si="48"/>
        <v>7</v>
      </c>
      <c r="I1054" s="119"/>
      <c r="J1054" s="151">
        <v>0</v>
      </c>
      <c r="K1054" s="119">
        <f t="shared" si="49"/>
        <v>7</v>
      </c>
      <c r="L1054" s="152">
        <f t="shared" si="50"/>
        <v>6.03</v>
      </c>
      <c r="M1054" s="113"/>
    </row>
    <row r="1055" spans="1:13" s="114" customFormat="1" ht="13.5" customHeight="1" x14ac:dyDescent="0.2">
      <c r="A1055" s="106" t="s">
        <v>3550</v>
      </c>
      <c r="B1055" s="105" t="s">
        <v>2301</v>
      </c>
      <c r="C1055" s="105" t="s">
        <v>3572</v>
      </c>
      <c r="D1055" s="149" t="s">
        <v>2302</v>
      </c>
      <c r="E1055" s="157">
        <v>1</v>
      </c>
      <c r="F1055" s="158" t="s">
        <v>2303</v>
      </c>
      <c r="G1055" s="158" t="s">
        <v>2304</v>
      </c>
      <c r="H1055" s="119">
        <f t="shared" si="48"/>
        <v>144.5</v>
      </c>
      <c r="I1055" s="119"/>
      <c r="J1055" s="151">
        <v>0</v>
      </c>
      <c r="K1055" s="119">
        <f t="shared" si="49"/>
        <v>144.5</v>
      </c>
      <c r="L1055" s="152">
        <f t="shared" si="50"/>
        <v>125.5</v>
      </c>
      <c r="M1055" s="113"/>
    </row>
    <row r="1056" spans="1:13" s="114" customFormat="1" ht="13.5" customHeight="1" x14ac:dyDescent="0.2">
      <c r="A1056" s="106" t="s">
        <v>3550</v>
      </c>
      <c r="B1056" s="105" t="s">
        <v>1854</v>
      </c>
      <c r="C1056" s="105" t="s">
        <v>3573</v>
      </c>
      <c r="D1056" s="149" t="s">
        <v>1855</v>
      </c>
      <c r="E1056" s="157">
        <v>1</v>
      </c>
      <c r="F1056" s="158" t="s">
        <v>1856</v>
      </c>
      <c r="G1056" s="158" t="s">
        <v>1805</v>
      </c>
      <c r="H1056" s="119">
        <f t="shared" si="48"/>
        <v>8.75</v>
      </c>
      <c r="I1056" s="119"/>
      <c r="J1056" s="151">
        <v>0</v>
      </c>
      <c r="K1056" s="119">
        <f t="shared" si="49"/>
        <v>8.75</v>
      </c>
      <c r="L1056" s="152">
        <f t="shared" si="50"/>
        <v>7.62</v>
      </c>
      <c r="M1056" s="113"/>
    </row>
    <row r="1057" spans="1:13" s="114" customFormat="1" ht="13.5" customHeight="1" x14ac:dyDescent="0.2">
      <c r="A1057" s="106" t="s">
        <v>3550</v>
      </c>
      <c r="B1057" s="105" t="s">
        <v>3143</v>
      </c>
      <c r="C1057" s="105" t="s">
        <v>3574</v>
      </c>
      <c r="D1057" s="149" t="s">
        <v>3145</v>
      </c>
      <c r="E1057" s="157">
        <v>1</v>
      </c>
      <c r="F1057" s="158" t="s">
        <v>2242</v>
      </c>
      <c r="G1057" s="158" t="s">
        <v>3146</v>
      </c>
      <c r="H1057" s="119">
        <f t="shared" si="48"/>
        <v>18.75</v>
      </c>
      <c r="I1057" s="119"/>
      <c r="J1057" s="151">
        <v>0</v>
      </c>
      <c r="K1057" s="119">
        <f t="shared" si="49"/>
        <v>18.75</v>
      </c>
      <c r="L1057" s="152">
        <f t="shared" si="50"/>
        <v>17.649999999999999</v>
      </c>
      <c r="M1057" s="113"/>
    </row>
    <row r="1058" spans="1:13" s="114" customFormat="1" ht="13.5" customHeight="1" x14ac:dyDescent="0.2">
      <c r="A1058" s="106" t="s">
        <v>3550</v>
      </c>
      <c r="B1058" s="105" t="s">
        <v>2895</v>
      </c>
      <c r="C1058" s="105" t="s">
        <v>3575</v>
      </c>
      <c r="D1058" s="149" t="s">
        <v>2897</v>
      </c>
      <c r="E1058" s="157">
        <v>1</v>
      </c>
      <c r="F1058" s="158" t="s">
        <v>2898</v>
      </c>
      <c r="G1058" s="158" t="s">
        <v>2899</v>
      </c>
      <c r="H1058" s="119">
        <f t="shared" si="48"/>
        <v>10.75</v>
      </c>
      <c r="I1058" s="119"/>
      <c r="J1058" s="151">
        <v>0</v>
      </c>
      <c r="K1058" s="119">
        <f t="shared" si="49"/>
        <v>10.75</v>
      </c>
      <c r="L1058" s="152">
        <f t="shared" si="50"/>
        <v>9.17</v>
      </c>
      <c r="M1058" s="113"/>
    </row>
    <row r="1059" spans="1:13" s="114" customFormat="1" ht="13.5" customHeight="1" x14ac:dyDescent="0.2">
      <c r="A1059" s="106" t="s">
        <v>3550</v>
      </c>
      <c r="B1059" s="105" t="s">
        <v>2226</v>
      </c>
      <c r="C1059" s="105" t="s">
        <v>3576</v>
      </c>
      <c r="D1059" s="149" t="s">
        <v>2228</v>
      </c>
      <c r="E1059" s="157">
        <v>2</v>
      </c>
      <c r="F1059" s="158" t="s">
        <v>2229</v>
      </c>
      <c r="G1059" s="158" t="s">
        <v>2230</v>
      </c>
      <c r="H1059" s="119">
        <f t="shared" si="48"/>
        <v>46</v>
      </c>
      <c r="I1059" s="119"/>
      <c r="J1059" s="151">
        <v>0</v>
      </c>
      <c r="K1059" s="119">
        <f t="shared" si="49"/>
        <v>46</v>
      </c>
      <c r="L1059" s="152">
        <f t="shared" si="50"/>
        <v>38.94</v>
      </c>
      <c r="M1059" s="113"/>
    </row>
    <row r="1060" spans="1:13" s="114" customFormat="1" ht="13.5" customHeight="1" x14ac:dyDescent="0.2">
      <c r="A1060" s="106" t="s">
        <v>3550</v>
      </c>
      <c r="B1060" s="105" t="s">
        <v>2725</v>
      </c>
      <c r="C1060" s="105" t="s">
        <v>3577</v>
      </c>
      <c r="D1060" s="149" t="s">
        <v>2726</v>
      </c>
      <c r="E1060" s="157">
        <v>2</v>
      </c>
      <c r="F1060" s="158" t="s">
        <v>1852</v>
      </c>
      <c r="G1060" s="158" t="s">
        <v>1853</v>
      </c>
      <c r="H1060" s="119">
        <f t="shared" si="48"/>
        <v>15</v>
      </c>
      <c r="I1060" s="119"/>
      <c r="J1060" s="151">
        <v>0</v>
      </c>
      <c r="K1060" s="119">
        <f t="shared" si="49"/>
        <v>15</v>
      </c>
      <c r="L1060" s="152">
        <f t="shared" si="50"/>
        <v>12.36</v>
      </c>
      <c r="M1060" s="113"/>
    </row>
    <row r="1061" spans="1:13" s="114" customFormat="1" ht="13.5" customHeight="1" x14ac:dyDescent="0.2">
      <c r="A1061" s="106" t="s">
        <v>3550</v>
      </c>
      <c r="B1061" s="105" t="s">
        <v>3578</v>
      </c>
      <c r="C1061" s="105" t="s">
        <v>3579</v>
      </c>
      <c r="D1061" s="149" t="s">
        <v>3580</v>
      </c>
      <c r="E1061" s="157">
        <v>1</v>
      </c>
      <c r="F1061" s="158" t="s">
        <v>3581</v>
      </c>
      <c r="G1061" s="158" t="s">
        <v>3582</v>
      </c>
      <c r="H1061" s="119">
        <f t="shared" si="48"/>
        <v>479</v>
      </c>
      <c r="I1061" s="119"/>
      <c r="J1061" s="151">
        <v>0</v>
      </c>
      <c r="K1061" s="119">
        <f t="shared" si="49"/>
        <v>479</v>
      </c>
      <c r="L1061" s="152">
        <f t="shared" si="50"/>
        <v>314.83</v>
      </c>
      <c r="M1061" s="113"/>
    </row>
    <row r="1062" spans="1:13" s="114" customFormat="1" ht="13.5" customHeight="1" x14ac:dyDescent="0.2">
      <c r="A1062" s="106" t="s">
        <v>3550</v>
      </c>
      <c r="B1062" s="105" t="s">
        <v>3583</v>
      </c>
      <c r="C1062" s="105" t="s">
        <v>3584</v>
      </c>
      <c r="D1062" s="149" t="s">
        <v>3585</v>
      </c>
      <c r="E1062" s="157">
        <v>1</v>
      </c>
      <c r="F1062" s="158" t="s">
        <v>3586</v>
      </c>
      <c r="G1062" s="158" t="s">
        <v>3587</v>
      </c>
      <c r="H1062" s="119">
        <f t="shared" si="48"/>
        <v>13.25</v>
      </c>
      <c r="I1062" s="119"/>
      <c r="J1062" s="151">
        <v>0</v>
      </c>
      <c r="K1062" s="119">
        <f t="shared" si="49"/>
        <v>13.25</v>
      </c>
      <c r="L1062" s="152">
        <f t="shared" si="50"/>
        <v>11.32</v>
      </c>
      <c r="M1062" s="113"/>
    </row>
    <row r="1063" spans="1:13" s="114" customFormat="1" ht="13.5" customHeight="1" x14ac:dyDescent="0.2">
      <c r="A1063" s="106" t="s">
        <v>3550</v>
      </c>
      <c r="B1063" s="105" t="s">
        <v>2085</v>
      </c>
      <c r="C1063" s="105" t="s">
        <v>3584</v>
      </c>
      <c r="D1063" s="149" t="s">
        <v>2086</v>
      </c>
      <c r="E1063" s="157">
        <v>1</v>
      </c>
      <c r="F1063" s="158" t="s">
        <v>2087</v>
      </c>
      <c r="G1063" s="158" t="s">
        <v>2088</v>
      </c>
      <c r="H1063" s="119">
        <f t="shared" si="48"/>
        <v>13</v>
      </c>
      <c r="I1063" s="119"/>
      <c r="J1063" s="151">
        <v>0</v>
      </c>
      <c r="K1063" s="119">
        <f t="shared" si="49"/>
        <v>13</v>
      </c>
      <c r="L1063" s="152">
        <f t="shared" si="50"/>
        <v>11.17</v>
      </c>
      <c r="M1063" s="113"/>
    </row>
    <row r="1064" spans="1:13" s="114" customFormat="1" ht="13.5" customHeight="1" x14ac:dyDescent="0.2">
      <c r="A1064" s="106" t="s">
        <v>3550</v>
      </c>
      <c r="B1064" s="105" t="s">
        <v>2082</v>
      </c>
      <c r="C1064" s="105" t="s">
        <v>3584</v>
      </c>
      <c r="D1064" s="149" t="s">
        <v>2083</v>
      </c>
      <c r="E1064" s="157">
        <v>1</v>
      </c>
      <c r="F1064" s="158" t="s">
        <v>2084</v>
      </c>
      <c r="G1064" s="158" t="s">
        <v>1928</v>
      </c>
      <c r="H1064" s="119">
        <f t="shared" si="48"/>
        <v>12.25</v>
      </c>
      <c r="I1064" s="119"/>
      <c r="J1064" s="151">
        <v>0</v>
      </c>
      <c r="K1064" s="119">
        <f t="shared" si="49"/>
        <v>12.25</v>
      </c>
      <c r="L1064" s="152">
        <f t="shared" si="50"/>
        <v>10.199999999999999</v>
      </c>
      <c r="M1064" s="113"/>
    </row>
    <row r="1065" spans="1:13" s="114" customFormat="1" ht="13.5" customHeight="1" x14ac:dyDescent="0.2">
      <c r="A1065" s="106" t="s">
        <v>3550</v>
      </c>
      <c r="B1065" s="105" t="s">
        <v>1834</v>
      </c>
      <c r="C1065" s="105" t="s">
        <v>3584</v>
      </c>
      <c r="D1065" s="149" t="s">
        <v>1836</v>
      </c>
      <c r="E1065" s="157">
        <v>1</v>
      </c>
      <c r="F1065" s="158" t="s">
        <v>1837</v>
      </c>
      <c r="G1065" s="158" t="s">
        <v>1838</v>
      </c>
      <c r="H1065" s="119">
        <f t="shared" si="48"/>
        <v>17</v>
      </c>
      <c r="I1065" s="119"/>
      <c r="J1065" s="151">
        <v>0</v>
      </c>
      <c r="K1065" s="119">
        <f t="shared" si="49"/>
        <v>17</v>
      </c>
      <c r="L1065" s="152">
        <f t="shared" si="50"/>
        <v>14.43</v>
      </c>
      <c r="M1065" s="113"/>
    </row>
    <row r="1066" spans="1:13" s="114" customFormat="1" ht="13.5" customHeight="1" x14ac:dyDescent="0.2">
      <c r="A1066" s="106" t="s">
        <v>3550</v>
      </c>
      <c r="B1066" s="105" t="s">
        <v>2089</v>
      </c>
      <c r="C1066" s="105" t="s">
        <v>3584</v>
      </c>
      <c r="D1066" s="149" t="s">
        <v>2090</v>
      </c>
      <c r="E1066" s="157">
        <v>4</v>
      </c>
      <c r="F1066" s="158" t="s">
        <v>1980</v>
      </c>
      <c r="G1066" s="158" t="s">
        <v>1981</v>
      </c>
      <c r="H1066" s="119">
        <f t="shared" si="48"/>
        <v>4</v>
      </c>
      <c r="I1066" s="119"/>
      <c r="J1066" s="151">
        <v>0</v>
      </c>
      <c r="K1066" s="119">
        <f t="shared" si="49"/>
        <v>4</v>
      </c>
      <c r="L1066" s="152">
        <f t="shared" si="50"/>
        <v>3.04</v>
      </c>
      <c r="M1066" s="113"/>
    </row>
    <row r="1067" spans="1:13" s="114" customFormat="1" ht="13.5" customHeight="1" x14ac:dyDescent="0.2">
      <c r="A1067" s="106" t="s">
        <v>3550</v>
      </c>
      <c r="B1067" s="105" t="s">
        <v>1854</v>
      </c>
      <c r="C1067" s="105" t="s">
        <v>3588</v>
      </c>
      <c r="D1067" s="149" t="s">
        <v>1855</v>
      </c>
      <c r="E1067" s="157">
        <v>1</v>
      </c>
      <c r="F1067" s="158" t="s">
        <v>1856</v>
      </c>
      <c r="G1067" s="158" t="s">
        <v>1805</v>
      </c>
      <c r="H1067" s="119">
        <f t="shared" si="48"/>
        <v>8.75</v>
      </c>
      <c r="I1067" s="119"/>
      <c r="J1067" s="151">
        <v>0</v>
      </c>
      <c r="K1067" s="119">
        <f t="shared" si="49"/>
        <v>8.75</v>
      </c>
      <c r="L1067" s="152">
        <f t="shared" si="50"/>
        <v>7.62</v>
      </c>
      <c r="M1067" s="113"/>
    </row>
    <row r="1068" spans="1:13" s="114" customFormat="1" ht="13.5" customHeight="1" x14ac:dyDescent="0.2">
      <c r="A1068" s="106" t="s">
        <v>3589</v>
      </c>
      <c r="B1068" s="105" t="s">
        <v>2429</v>
      </c>
      <c r="C1068" s="105" t="s">
        <v>3590</v>
      </c>
      <c r="D1068" s="149" t="s">
        <v>2431</v>
      </c>
      <c r="E1068" s="157">
        <v>4</v>
      </c>
      <c r="F1068" s="158" t="s">
        <v>2432</v>
      </c>
      <c r="G1068" s="158" t="s">
        <v>2433</v>
      </c>
      <c r="H1068" s="119">
        <f t="shared" si="48"/>
        <v>64</v>
      </c>
      <c r="I1068" s="119"/>
      <c r="J1068" s="151">
        <v>0</v>
      </c>
      <c r="K1068" s="119">
        <f t="shared" si="49"/>
        <v>64</v>
      </c>
      <c r="L1068" s="152">
        <f t="shared" si="50"/>
        <v>55.08</v>
      </c>
      <c r="M1068" s="113"/>
    </row>
    <row r="1069" spans="1:13" s="114" customFormat="1" ht="13.5" customHeight="1" x14ac:dyDescent="0.2">
      <c r="A1069" s="106" t="s">
        <v>3589</v>
      </c>
      <c r="B1069" s="105" t="s">
        <v>2798</v>
      </c>
      <c r="C1069" s="105" t="s">
        <v>3590</v>
      </c>
      <c r="D1069" s="149" t="s">
        <v>2800</v>
      </c>
      <c r="E1069" s="157">
        <v>1</v>
      </c>
      <c r="F1069" s="158" t="s">
        <v>2183</v>
      </c>
      <c r="G1069" s="158" t="s">
        <v>2184</v>
      </c>
      <c r="H1069" s="119">
        <f t="shared" si="48"/>
        <v>60</v>
      </c>
      <c r="I1069" s="119"/>
      <c r="J1069" s="151">
        <v>0</v>
      </c>
      <c r="K1069" s="119">
        <f t="shared" si="49"/>
        <v>60</v>
      </c>
      <c r="L1069" s="152">
        <f t="shared" si="50"/>
        <v>51.97</v>
      </c>
      <c r="M1069" s="113"/>
    </row>
    <row r="1070" spans="1:13" s="114" customFormat="1" ht="13.5" customHeight="1" x14ac:dyDescent="0.2">
      <c r="A1070" s="106" t="s">
        <v>3589</v>
      </c>
      <c r="B1070" s="105" t="s">
        <v>2180</v>
      </c>
      <c r="C1070" s="105" t="s">
        <v>3590</v>
      </c>
      <c r="D1070" s="149" t="s">
        <v>2182</v>
      </c>
      <c r="E1070" s="157">
        <v>1</v>
      </c>
      <c r="F1070" s="158" t="s">
        <v>2183</v>
      </c>
      <c r="G1070" s="158" t="s">
        <v>2184</v>
      </c>
      <c r="H1070" s="119">
        <f t="shared" si="48"/>
        <v>60</v>
      </c>
      <c r="I1070" s="119"/>
      <c r="J1070" s="151">
        <v>0</v>
      </c>
      <c r="K1070" s="119">
        <f t="shared" si="49"/>
        <v>60</v>
      </c>
      <c r="L1070" s="152">
        <f t="shared" si="50"/>
        <v>51.97</v>
      </c>
      <c r="M1070" s="113"/>
    </row>
    <row r="1071" spans="1:13" s="114" customFormat="1" ht="13.5" customHeight="1" x14ac:dyDescent="0.2">
      <c r="A1071" s="106" t="s">
        <v>3589</v>
      </c>
      <c r="B1071" s="105" t="s">
        <v>3457</v>
      </c>
      <c r="C1071" s="105" t="s">
        <v>3590</v>
      </c>
      <c r="D1071" s="149" t="s">
        <v>3458</v>
      </c>
      <c r="E1071" s="157">
        <v>1</v>
      </c>
      <c r="F1071" s="158" t="s">
        <v>2183</v>
      </c>
      <c r="G1071" s="158" t="s">
        <v>2184</v>
      </c>
      <c r="H1071" s="119">
        <f t="shared" si="48"/>
        <v>60</v>
      </c>
      <c r="I1071" s="119"/>
      <c r="J1071" s="151">
        <v>0</v>
      </c>
      <c r="K1071" s="119">
        <f t="shared" si="49"/>
        <v>60</v>
      </c>
      <c r="L1071" s="152">
        <f t="shared" si="50"/>
        <v>51.97</v>
      </c>
      <c r="M1071" s="113"/>
    </row>
    <row r="1072" spans="1:13" s="114" customFormat="1" ht="13.5" customHeight="1" x14ac:dyDescent="0.2">
      <c r="A1072" s="106" t="s">
        <v>3589</v>
      </c>
      <c r="B1072" s="105" t="s">
        <v>1846</v>
      </c>
      <c r="C1072" s="105" t="s">
        <v>3590</v>
      </c>
      <c r="D1072" s="149" t="s">
        <v>1847</v>
      </c>
      <c r="E1072" s="157">
        <v>1</v>
      </c>
      <c r="F1072" s="158" t="s">
        <v>1848</v>
      </c>
      <c r="G1072" s="158" t="s">
        <v>1849</v>
      </c>
      <c r="H1072" s="119">
        <f t="shared" si="48"/>
        <v>71.25</v>
      </c>
      <c r="I1072" s="119"/>
      <c r="J1072" s="151">
        <v>0</v>
      </c>
      <c r="K1072" s="119">
        <f t="shared" si="49"/>
        <v>71.25</v>
      </c>
      <c r="L1072" s="152">
        <f t="shared" si="50"/>
        <v>61.93</v>
      </c>
      <c r="M1072" s="113"/>
    </row>
    <row r="1073" spans="1:13" s="114" customFormat="1" ht="13.5" customHeight="1" x14ac:dyDescent="0.2">
      <c r="A1073" s="106" t="s">
        <v>3589</v>
      </c>
      <c r="B1073" s="105" t="s">
        <v>2298</v>
      </c>
      <c r="C1073" s="105" t="s">
        <v>3590</v>
      </c>
      <c r="D1073" s="149" t="s">
        <v>2299</v>
      </c>
      <c r="E1073" s="157">
        <v>1</v>
      </c>
      <c r="F1073" s="158" t="s">
        <v>2300</v>
      </c>
      <c r="G1073" s="158" t="s">
        <v>1892</v>
      </c>
      <c r="H1073" s="119">
        <f t="shared" si="48"/>
        <v>24</v>
      </c>
      <c r="I1073" s="119"/>
      <c r="J1073" s="151">
        <v>0</v>
      </c>
      <c r="K1073" s="119">
        <f t="shared" si="49"/>
        <v>24</v>
      </c>
      <c r="L1073" s="152">
        <f t="shared" si="50"/>
        <v>20.8</v>
      </c>
      <c r="M1073" s="113"/>
    </row>
    <row r="1074" spans="1:13" s="114" customFormat="1" ht="13.5" customHeight="1" x14ac:dyDescent="0.2">
      <c r="A1074" s="106" t="s">
        <v>3589</v>
      </c>
      <c r="B1074" s="105" t="s">
        <v>3591</v>
      </c>
      <c r="C1074" s="105" t="s">
        <v>3590</v>
      </c>
      <c r="D1074" s="149" t="s">
        <v>3592</v>
      </c>
      <c r="E1074" s="157">
        <v>1</v>
      </c>
      <c r="F1074" s="158" t="s">
        <v>3593</v>
      </c>
      <c r="G1074" s="158" t="s">
        <v>3594</v>
      </c>
      <c r="H1074" s="119">
        <f t="shared" si="48"/>
        <v>459</v>
      </c>
      <c r="I1074" s="119"/>
      <c r="J1074" s="151">
        <v>0</v>
      </c>
      <c r="K1074" s="119">
        <f t="shared" si="49"/>
        <v>459</v>
      </c>
      <c r="L1074" s="152">
        <f t="shared" si="50"/>
        <v>300.83</v>
      </c>
      <c r="M1074" s="113"/>
    </row>
    <row r="1075" spans="1:13" s="114" customFormat="1" ht="13.5" customHeight="1" x14ac:dyDescent="0.2">
      <c r="A1075" s="106" t="s">
        <v>3589</v>
      </c>
      <c r="B1075" s="105" t="s">
        <v>3595</v>
      </c>
      <c r="C1075" s="105" t="s">
        <v>3590</v>
      </c>
      <c r="D1075" s="149" t="s">
        <v>3596</v>
      </c>
      <c r="E1075" s="157">
        <v>1</v>
      </c>
      <c r="F1075" s="158" t="s">
        <v>3597</v>
      </c>
      <c r="G1075" s="158" t="s">
        <v>3598</v>
      </c>
      <c r="H1075" s="119">
        <f t="shared" si="48"/>
        <v>359</v>
      </c>
      <c r="I1075" s="119"/>
      <c r="J1075" s="151">
        <v>0</v>
      </c>
      <c r="K1075" s="119">
        <f t="shared" si="49"/>
        <v>359</v>
      </c>
      <c r="L1075" s="152">
        <f t="shared" si="50"/>
        <v>251.3</v>
      </c>
      <c r="M1075" s="113"/>
    </row>
    <row r="1076" spans="1:13" s="114" customFormat="1" ht="13.5" customHeight="1" x14ac:dyDescent="0.2">
      <c r="A1076" s="106" t="s">
        <v>3589</v>
      </c>
      <c r="B1076" s="105" t="s">
        <v>3599</v>
      </c>
      <c r="C1076" s="105" t="s">
        <v>3600</v>
      </c>
      <c r="D1076" s="149" t="s">
        <v>3601</v>
      </c>
      <c r="E1076" s="157">
        <v>1</v>
      </c>
      <c r="F1076" s="158" t="s">
        <v>2255</v>
      </c>
      <c r="G1076" s="158" t="s">
        <v>2256</v>
      </c>
      <c r="H1076" s="119">
        <f t="shared" si="48"/>
        <v>67.25</v>
      </c>
      <c r="I1076" s="119"/>
      <c r="J1076" s="151">
        <v>0</v>
      </c>
      <c r="K1076" s="119">
        <f t="shared" si="49"/>
        <v>67.25</v>
      </c>
      <c r="L1076" s="152">
        <f t="shared" si="50"/>
        <v>58.45</v>
      </c>
      <c r="M1076" s="113"/>
    </row>
    <row r="1077" spans="1:13" s="114" customFormat="1" ht="13.5" customHeight="1" x14ac:dyDescent="0.2">
      <c r="A1077" s="106" t="s">
        <v>3589</v>
      </c>
      <c r="B1077" s="105" t="s">
        <v>3060</v>
      </c>
      <c r="C1077" s="105" t="s">
        <v>3600</v>
      </c>
      <c r="D1077" s="149" t="s">
        <v>3062</v>
      </c>
      <c r="E1077" s="157">
        <v>1</v>
      </c>
      <c r="F1077" s="158" t="s">
        <v>2011</v>
      </c>
      <c r="G1077" s="158" t="s">
        <v>2012</v>
      </c>
      <c r="H1077" s="119">
        <f t="shared" si="48"/>
        <v>51.75</v>
      </c>
      <c r="I1077" s="119"/>
      <c r="J1077" s="151">
        <v>0</v>
      </c>
      <c r="K1077" s="119">
        <f t="shared" si="49"/>
        <v>51.75</v>
      </c>
      <c r="L1077" s="152">
        <f t="shared" si="50"/>
        <v>44.8</v>
      </c>
      <c r="M1077" s="113"/>
    </row>
    <row r="1078" spans="1:13" s="114" customFormat="1" ht="13.5" customHeight="1" x14ac:dyDescent="0.2">
      <c r="A1078" s="106" t="s">
        <v>3589</v>
      </c>
      <c r="B1078" s="105" t="s">
        <v>2615</v>
      </c>
      <c r="C1078" s="105" t="s">
        <v>3600</v>
      </c>
      <c r="D1078" s="149" t="s">
        <v>2617</v>
      </c>
      <c r="E1078" s="157">
        <v>1</v>
      </c>
      <c r="F1078" s="158" t="s">
        <v>2580</v>
      </c>
      <c r="G1078" s="158" t="s">
        <v>2456</v>
      </c>
      <c r="H1078" s="119">
        <f t="shared" si="48"/>
        <v>66</v>
      </c>
      <c r="I1078" s="119"/>
      <c r="J1078" s="151">
        <v>0</v>
      </c>
      <c r="K1078" s="119">
        <f t="shared" si="49"/>
        <v>66</v>
      </c>
      <c r="L1078" s="152">
        <f t="shared" si="50"/>
        <v>57.25</v>
      </c>
      <c r="M1078" s="113"/>
    </row>
    <row r="1079" spans="1:13" s="114" customFormat="1" ht="13.5" customHeight="1" x14ac:dyDescent="0.2">
      <c r="A1079" s="106" t="s">
        <v>3589</v>
      </c>
      <c r="B1079" s="105" t="s">
        <v>3602</v>
      </c>
      <c r="C1079" s="105" t="s">
        <v>3603</v>
      </c>
      <c r="D1079" s="149" t="s">
        <v>3604</v>
      </c>
      <c r="E1079" s="157">
        <v>1</v>
      </c>
      <c r="F1079" s="158" t="s">
        <v>2613</v>
      </c>
      <c r="G1079" s="158" t="s">
        <v>2614</v>
      </c>
      <c r="H1079" s="119">
        <f t="shared" si="48"/>
        <v>59.25</v>
      </c>
      <c r="I1079" s="119"/>
      <c r="J1079" s="151">
        <v>0</v>
      </c>
      <c r="K1079" s="119">
        <f t="shared" si="49"/>
        <v>59.25</v>
      </c>
      <c r="L1079" s="152">
        <f t="shared" si="50"/>
        <v>53.9</v>
      </c>
      <c r="M1079" s="113"/>
    </row>
    <row r="1080" spans="1:13" s="114" customFormat="1" ht="13.5" customHeight="1" x14ac:dyDescent="0.2">
      <c r="A1080" s="106" t="s">
        <v>3589</v>
      </c>
      <c r="B1080" s="105" t="s">
        <v>2323</v>
      </c>
      <c r="C1080" s="105" t="s">
        <v>3605</v>
      </c>
      <c r="D1080" s="149" t="s">
        <v>2325</v>
      </c>
      <c r="E1080" s="157">
        <v>1</v>
      </c>
      <c r="F1080" s="158" t="s">
        <v>2326</v>
      </c>
      <c r="G1080" s="158" t="s">
        <v>1932</v>
      </c>
      <c r="H1080" s="119">
        <f t="shared" si="48"/>
        <v>22</v>
      </c>
      <c r="I1080" s="119"/>
      <c r="J1080" s="151">
        <v>0</v>
      </c>
      <c r="K1080" s="119">
        <f t="shared" si="49"/>
        <v>22</v>
      </c>
      <c r="L1080" s="152">
        <f t="shared" si="50"/>
        <v>19.100000000000001</v>
      </c>
      <c r="M1080" s="113"/>
    </row>
    <row r="1081" spans="1:13" s="114" customFormat="1" ht="13.5" customHeight="1" x14ac:dyDescent="0.2">
      <c r="A1081" s="106" t="s">
        <v>3589</v>
      </c>
      <c r="B1081" s="105" t="s">
        <v>2240</v>
      </c>
      <c r="C1081" s="105" t="s">
        <v>3605</v>
      </c>
      <c r="D1081" s="149" t="s">
        <v>2241</v>
      </c>
      <c r="E1081" s="157">
        <v>3</v>
      </c>
      <c r="F1081" s="158" t="s">
        <v>2982</v>
      </c>
      <c r="G1081" s="158" t="s">
        <v>2427</v>
      </c>
      <c r="H1081" s="119">
        <f t="shared" si="48"/>
        <v>64.5</v>
      </c>
      <c r="I1081" s="119"/>
      <c r="J1081" s="151">
        <v>0</v>
      </c>
      <c r="K1081" s="119">
        <f t="shared" si="49"/>
        <v>64.5</v>
      </c>
      <c r="L1081" s="152">
        <f t="shared" si="50"/>
        <v>55.949999999999996</v>
      </c>
      <c r="M1081" s="113"/>
    </row>
    <row r="1082" spans="1:13" s="114" customFormat="1" ht="13.5" customHeight="1" x14ac:dyDescent="0.2">
      <c r="A1082" s="106" t="s">
        <v>3589</v>
      </c>
      <c r="B1082" s="105" t="s">
        <v>3606</v>
      </c>
      <c r="C1082" s="105" t="s">
        <v>3605</v>
      </c>
      <c r="D1082" s="149" t="s">
        <v>3607</v>
      </c>
      <c r="E1082" s="157">
        <v>6</v>
      </c>
      <c r="F1082" s="158" t="s">
        <v>3608</v>
      </c>
      <c r="G1082" s="158" t="s">
        <v>2804</v>
      </c>
      <c r="H1082" s="119">
        <f t="shared" si="48"/>
        <v>37.5</v>
      </c>
      <c r="I1082" s="119"/>
      <c r="J1082" s="151">
        <v>0</v>
      </c>
      <c r="K1082" s="119">
        <f t="shared" si="49"/>
        <v>37.5</v>
      </c>
      <c r="L1082" s="152">
        <f t="shared" si="50"/>
        <v>32.58</v>
      </c>
      <c r="M1082" s="113"/>
    </row>
    <row r="1083" spans="1:13" s="114" customFormat="1" ht="13.5" customHeight="1" x14ac:dyDescent="0.2">
      <c r="A1083" s="106" t="s">
        <v>3589</v>
      </c>
      <c r="B1083" s="105" t="s">
        <v>3609</v>
      </c>
      <c r="C1083" s="105" t="s">
        <v>3605</v>
      </c>
      <c r="D1083" s="149" t="s">
        <v>3610</v>
      </c>
      <c r="E1083" s="157">
        <v>2</v>
      </c>
      <c r="F1083" s="158" t="s">
        <v>2204</v>
      </c>
      <c r="G1083" s="158" t="s">
        <v>3611</v>
      </c>
      <c r="H1083" s="119">
        <f t="shared" si="48"/>
        <v>32.5</v>
      </c>
      <c r="I1083" s="119"/>
      <c r="J1083" s="151">
        <v>0</v>
      </c>
      <c r="K1083" s="119">
        <f t="shared" si="49"/>
        <v>32.5</v>
      </c>
      <c r="L1083" s="152">
        <f t="shared" si="50"/>
        <v>28</v>
      </c>
      <c r="M1083" s="113"/>
    </row>
    <row r="1084" spans="1:13" s="114" customFormat="1" ht="13.5" customHeight="1" x14ac:dyDescent="0.2">
      <c r="A1084" s="106" t="s">
        <v>3589</v>
      </c>
      <c r="B1084" s="105" t="s">
        <v>2082</v>
      </c>
      <c r="C1084" s="105" t="s">
        <v>3605</v>
      </c>
      <c r="D1084" s="149" t="s">
        <v>2083</v>
      </c>
      <c r="E1084" s="157">
        <v>2</v>
      </c>
      <c r="F1084" s="158" t="s">
        <v>2084</v>
      </c>
      <c r="G1084" s="158" t="s">
        <v>1928</v>
      </c>
      <c r="H1084" s="119">
        <f t="shared" si="48"/>
        <v>24.5</v>
      </c>
      <c r="I1084" s="119"/>
      <c r="J1084" s="151">
        <v>0</v>
      </c>
      <c r="K1084" s="119">
        <f t="shared" si="49"/>
        <v>24.5</v>
      </c>
      <c r="L1084" s="152">
        <f t="shared" si="50"/>
        <v>20.399999999999999</v>
      </c>
      <c r="M1084" s="113"/>
    </row>
    <row r="1085" spans="1:13" s="114" customFormat="1" ht="13.5" customHeight="1" x14ac:dyDescent="0.2">
      <c r="A1085" s="106" t="s">
        <v>3589</v>
      </c>
      <c r="B1085" s="105" t="s">
        <v>2301</v>
      </c>
      <c r="C1085" s="105" t="s">
        <v>3605</v>
      </c>
      <c r="D1085" s="149" t="s">
        <v>2302</v>
      </c>
      <c r="E1085" s="157">
        <v>1</v>
      </c>
      <c r="F1085" s="158" t="s">
        <v>2303</v>
      </c>
      <c r="G1085" s="158" t="s">
        <v>2304</v>
      </c>
      <c r="H1085" s="119">
        <f t="shared" si="48"/>
        <v>144.5</v>
      </c>
      <c r="I1085" s="119"/>
      <c r="J1085" s="151">
        <v>0</v>
      </c>
      <c r="K1085" s="119">
        <f t="shared" si="49"/>
        <v>144.5</v>
      </c>
      <c r="L1085" s="152">
        <f t="shared" si="50"/>
        <v>125.5</v>
      </c>
      <c r="M1085" s="113"/>
    </row>
    <row r="1086" spans="1:13" s="114" customFormat="1" ht="13.5" customHeight="1" x14ac:dyDescent="0.2">
      <c r="A1086" s="106" t="s">
        <v>3589</v>
      </c>
      <c r="B1086" s="105" t="s">
        <v>2293</v>
      </c>
      <c r="C1086" s="105" t="s">
        <v>3605</v>
      </c>
      <c r="D1086" s="149" t="s">
        <v>2295</v>
      </c>
      <c r="E1086" s="157">
        <v>1</v>
      </c>
      <c r="F1086" s="158" t="s">
        <v>2296</v>
      </c>
      <c r="G1086" s="158" t="s">
        <v>2297</v>
      </c>
      <c r="H1086" s="119">
        <f t="shared" si="48"/>
        <v>45</v>
      </c>
      <c r="I1086" s="119"/>
      <c r="J1086" s="151">
        <v>0</v>
      </c>
      <c r="K1086" s="119">
        <f t="shared" si="49"/>
        <v>45</v>
      </c>
      <c r="L1086" s="152">
        <f t="shared" si="50"/>
        <v>27.84</v>
      </c>
      <c r="M1086" s="113"/>
    </row>
    <row r="1087" spans="1:13" s="114" customFormat="1" ht="13.5" customHeight="1" x14ac:dyDescent="0.2">
      <c r="A1087" s="106" t="s">
        <v>3589</v>
      </c>
      <c r="B1087" s="105" t="s">
        <v>2201</v>
      </c>
      <c r="C1087" s="105" t="s">
        <v>3612</v>
      </c>
      <c r="D1087" s="149" t="s">
        <v>2202</v>
      </c>
      <c r="E1087" s="157">
        <v>1</v>
      </c>
      <c r="F1087" s="158" t="s">
        <v>2203</v>
      </c>
      <c r="G1087" s="158" t="s">
        <v>2204</v>
      </c>
      <c r="H1087" s="119">
        <f t="shared" si="48"/>
        <v>14</v>
      </c>
      <c r="I1087" s="119"/>
      <c r="J1087" s="151">
        <v>0</v>
      </c>
      <c r="K1087" s="119">
        <f t="shared" si="49"/>
        <v>14</v>
      </c>
      <c r="L1087" s="152">
        <f t="shared" si="50"/>
        <v>11.99</v>
      </c>
      <c r="M1087" s="113"/>
    </row>
    <row r="1088" spans="1:13" s="114" customFormat="1" ht="13.5" customHeight="1" x14ac:dyDescent="0.2">
      <c r="A1088" s="106" t="s">
        <v>3589</v>
      </c>
      <c r="B1088" s="105" t="s">
        <v>3072</v>
      </c>
      <c r="C1088" s="105" t="s">
        <v>3612</v>
      </c>
      <c r="D1088" s="149" t="s">
        <v>3074</v>
      </c>
      <c r="E1088" s="157">
        <v>1</v>
      </c>
      <c r="F1088" s="158" t="s">
        <v>3075</v>
      </c>
      <c r="G1088" s="158" t="s">
        <v>3076</v>
      </c>
      <c r="H1088" s="119">
        <f t="shared" si="48"/>
        <v>18.600000000000001</v>
      </c>
      <c r="I1088" s="119"/>
      <c r="J1088" s="151">
        <v>0</v>
      </c>
      <c r="K1088" s="119">
        <f t="shared" si="49"/>
        <v>18.600000000000001</v>
      </c>
      <c r="L1088" s="152">
        <f t="shared" si="50"/>
        <v>16.91</v>
      </c>
      <c r="M1088" s="113"/>
    </row>
    <row r="1089" spans="1:13" s="114" customFormat="1" ht="13.5" customHeight="1" x14ac:dyDescent="0.2">
      <c r="A1089" s="106" t="s">
        <v>3589</v>
      </c>
      <c r="B1089" s="105" t="s">
        <v>3613</v>
      </c>
      <c r="C1089" s="105" t="s">
        <v>3612</v>
      </c>
      <c r="D1089" s="149" t="s">
        <v>3614</v>
      </c>
      <c r="E1089" s="157">
        <v>1</v>
      </c>
      <c r="F1089" s="158" t="s">
        <v>3615</v>
      </c>
      <c r="G1089" s="158" t="s">
        <v>1801</v>
      </c>
      <c r="H1089" s="119">
        <f t="shared" si="48"/>
        <v>9.5</v>
      </c>
      <c r="I1089" s="119"/>
      <c r="J1089" s="151">
        <v>0</v>
      </c>
      <c r="K1089" s="119">
        <f t="shared" si="49"/>
        <v>9.5</v>
      </c>
      <c r="L1089" s="152">
        <f t="shared" si="50"/>
        <v>8.15</v>
      </c>
      <c r="M1089" s="113"/>
    </row>
    <row r="1090" spans="1:13" s="114" customFormat="1" ht="13.5" customHeight="1" x14ac:dyDescent="0.2">
      <c r="A1090" s="106" t="s">
        <v>3589</v>
      </c>
      <c r="B1090" s="105" t="s">
        <v>3083</v>
      </c>
      <c r="C1090" s="105" t="s">
        <v>3616</v>
      </c>
      <c r="D1090" s="149" t="s">
        <v>3085</v>
      </c>
      <c r="E1090" s="157">
        <v>1</v>
      </c>
      <c r="F1090" s="158" t="s">
        <v>3086</v>
      </c>
      <c r="G1090" s="158" t="s">
        <v>2026</v>
      </c>
      <c r="H1090" s="119">
        <f t="shared" si="48"/>
        <v>34.5</v>
      </c>
      <c r="I1090" s="119"/>
      <c r="J1090" s="151">
        <v>0</v>
      </c>
      <c r="K1090" s="119">
        <f t="shared" si="49"/>
        <v>34.5</v>
      </c>
      <c r="L1090" s="152">
        <f t="shared" si="50"/>
        <v>29.95</v>
      </c>
      <c r="M1090" s="113"/>
    </row>
    <row r="1091" spans="1:13" s="114" customFormat="1" ht="13.5" customHeight="1" x14ac:dyDescent="0.2">
      <c r="A1091" s="106" t="s">
        <v>3589</v>
      </c>
      <c r="B1091" s="105" t="s">
        <v>3617</v>
      </c>
      <c r="C1091" s="105" t="s">
        <v>3618</v>
      </c>
      <c r="D1091" s="149" t="s">
        <v>3619</v>
      </c>
      <c r="E1091" s="157">
        <v>1</v>
      </c>
      <c r="F1091" s="158" t="s">
        <v>3620</v>
      </c>
      <c r="G1091" s="158" t="s">
        <v>2213</v>
      </c>
      <c r="H1091" s="119">
        <f t="shared" si="48"/>
        <v>15.25</v>
      </c>
      <c r="I1091" s="119"/>
      <c r="J1091" s="151">
        <v>0</v>
      </c>
      <c r="K1091" s="119">
        <f t="shared" si="49"/>
        <v>15.25</v>
      </c>
      <c r="L1091" s="152">
        <f t="shared" si="50"/>
        <v>13.21</v>
      </c>
      <c r="M1091" s="113"/>
    </row>
    <row r="1092" spans="1:13" s="114" customFormat="1" ht="13.5" customHeight="1" x14ac:dyDescent="0.2">
      <c r="A1092" s="106" t="s">
        <v>3589</v>
      </c>
      <c r="B1092" s="105" t="s">
        <v>3072</v>
      </c>
      <c r="C1092" s="105" t="s">
        <v>3618</v>
      </c>
      <c r="D1092" s="149" t="s">
        <v>3074</v>
      </c>
      <c r="E1092" s="157">
        <v>1</v>
      </c>
      <c r="F1092" s="158" t="s">
        <v>3075</v>
      </c>
      <c r="G1092" s="158" t="s">
        <v>3076</v>
      </c>
      <c r="H1092" s="119">
        <f t="shared" si="48"/>
        <v>18.600000000000001</v>
      </c>
      <c r="I1092" s="119"/>
      <c r="J1092" s="151">
        <v>0</v>
      </c>
      <c r="K1092" s="119">
        <f t="shared" si="49"/>
        <v>18.600000000000001</v>
      </c>
      <c r="L1092" s="152">
        <f t="shared" si="50"/>
        <v>16.91</v>
      </c>
      <c r="M1092" s="113"/>
    </row>
    <row r="1093" spans="1:13" s="114" customFormat="1" ht="13.5" customHeight="1" x14ac:dyDescent="0.2">
      <c r="A1093" s="106" t="s">
        <v>3589</v>
      </c>
      <c r="B1093" s="105" t="s">
        <v>1997</v>
      </c>
      <c r="C1093" s="105" t="s">
        <v>3621</v>
      </c>
      <c r="D1093" s="149" t="s">
        <v>1999</v>
      </c>
      <c r="E1093" s="157">
        <v>1</v>
      </c>
      <c r="F1093" s="158" t="s">
        <v>2874</v>
      </c>
      <c r="G1093" s="158" t="s">
        <v>2001</v>
      </c>
      <c r="H1093" s="119">
        <f t="shared" si="48"/>
        <v>5.25</v>
      </c>
      <c r="I1093" s="119"/>
      <c r="J1093" s="151">
        <v>0</v>
      </c>
      <c r="K1093" s="119">
        <f t="shared" si="49"/>
        <v>5.25</v>
      </c>
      <c r="L1093" s="152">
        <f t="shared" si="50"/>
        <v>4.12</v>
      </c>
      <c r="M1093" s="113"/>
    </row>
    <row r="1094" spans="1:13" s="114" customFormat="1" ht="13.5" customHeight="1" x14ac:dyDescent="0.2">
      <c r="A1094" s="153" t="s">
        <v>3589</v>
      </c>
      <c r="B1094" s="154" t="s">
        <v>2581</v>
      </c>
      <c r="C1094" s="154" t="s">
        <v>3622</v>
      </c>
      <c r="D1094" s="155" t="s">
        <v>2583</v>
      </c>
      <c r="E1094" s="159">
        <v>4</v>
      </c>
      <c r="F1094" s="160"/>
      <c r="G1094" s="160" t="s">
        <v>1939</v>
      </c>
      <c r="H1094" s="147">
        <f t="shared" ref="H1094:H1145" si="51">E1094*G1094</f>
        <v>29</v>
      </c>
      <c r="I1094" s="147"/>
      <c r="J1094" s="156">
        <v>0</v>
      </c>
      <c r="K1094" s="147">
        <f t="shared" ref="K1094:K1157" si="52">H1094+I1094-J1094</f>
        <v>29</v>
      </c>
      <c r="L1094" s="148">
        <f t="shared" ref="L1094:L1157" si="53">E1094*F1094</f>
        <v>0</v>
      </c>
      <c r="M1094" s="113"/>
    </row>
    <row r="1095" spans="1:13" s="114" customFormat="1" ht="13.5" customHeight="1" x14ac:dyDescent="0.2">
      <c r="A1095" s="106" t="s">
        <v>3589</v>
      </c>
      <c r="B1095" s="105" t="s">
        <v>1798</v>
      </c>
      <c r="C1095" s="105" t="s">
        <v>3623</v>
      </c>
      <c r="D1095" s="149" t="s">
        <v>1799</v>
      </c>
      <c r="E1095" s="157">
        <v>10</v>
      </c>
      <c r="F1095" s="158" t="s">
        <v>1800</v>
      </c>
      <c r="G1095" s="158" t="s">
        <v>1801</v>
      </c>
      <c r="H1095" s="119">
        <f t="shared" si="51"/>
        <v>95</v>
      </c>
      <c r="I1095" s="119"/>
      <c r="J1095" s="151">
        <v>0</v>
      </c>
      <c r="K1095" s="119">
        <f t="shared" si="52"/>
        <v>95</v>
      </c>
      <c r="L1095" s="152">
        <f t="shared" si="53"/>
        <v>82</v>
      </c>
      <c r="M1095" s="113"/>
    </row>
    <row r="1096" spans="1:13" s="114" customFormat="1" ht="13.5" customHeight="1" x14ac:dyDescent="0.2">
      <c r="A1096" s="106" t="s">
        <v>3589</v>
      </c>
      <c r="B1096" s="105" t="s">
        <v>2721</v>
      </c>
      <c r="C1096" s="105" t="s">
        <v>3623</v>
      </c>
      <c r="D1096" s="149" t="s">
        <v>2722</v>
      </c>
      <c r="E1096" s="157">
        <v>1</v>
      </c>
      <c r="F1096" s="158" t="s">
        <v>2562</v>
      </c>
      <c r="G1096" s="158" t="s">
        <v>2563</v>
      </c>
      <c r="H1096" s="119">
        <f t="shared" si="51"/>
        <v>46.25</v>
      </c>
      <c r="I1096" s="119"/>
      <c r="J1096" s="151">
        <v>0</v>
      </c>
      <c r="K1096" s="119">
        <f t="shared" si="52"/>
        <v>46.25</v>
      </c>
      <c r="L1096" s="152">
        <f t="shared" si="53"/>
        <v>40.06</v>
      </c>
      <c r="M1096" s="113"/>
    </row>
    <row r="1097" spans="1:13" s="114" customFormat="1" ht="13.5" customHeight="1" x14ac:dyDescent="0.2">
      <c r="A1097" s="106" t="s">
        <v>3589</v>
      </c>
      <c r="B1097" s="105" t="s">
        <v>2363</v>
      </c>
      <c r="C1097" s="105" t="s">
        <v>3623</v>
      </c>
      <c r="D1097" s="149" t="s">
        <v>2365</v>
      </c>
      <c r="E1097" s="157">
        <v>9</v>
      </c>
      <c r="F1097" s="158" t="s">
        <v>2366</v>
      </c>
      <c r="G1097" s="158" t="s">
        <v>2006</v>
      </c>
      <c r="H1097" s="119">
        <f t="shared" si="51"/>
        <v>128.25</v>
      </c>
      <c r="I1097" s="119"/>
      <c r="J1097" s="151">
        <v>0</v>
      </c>
      <c r="K1097" s="119">
        <f t="shared" si="52"/>
        <v>128.25</v>
      </c>
      <c r="L1097" s="152">
        <f t="shared" si="53"/>
        <v>113.94</v>
      </c>
      <c r="M1097" s="113"/>
    </row>
    <row r="1098" spans="1:13" s="114" customFormat="1" ht="13.5" customHeight="1" x14ac:dyDescent="0.2">
      <c r="A1098" s="106" t="s">
        <v>3589</v>
      </c>
      <c r="B1098" s="105" t="s">
        <v>3624</v>
      </c>
      <c r="C1098" s="105" t="s">
        <v>3623</v>
      </c>
      <c r="D1098" s="149" t="s">
        <v>3625</v>
      </c>
      <c r="E1098" s="157">
        <v>1</v>
      </c>
      <c r="F1098" s="158" t="s">
        <v>3626</v>
      </c>
      <c r="G1098" s="158" t="s">
        <v>3627</v>
      </c>
      <c r="H1098" s="119">
        <f t="shared" si="51"/>
        <v>53.5</v>
      </c>
      <c r="I1098" s="119"/>
      <c r="J1098" s="151">
        <v>0</v>
      </c>
      <c r="K1098" s="119">
        <f t="shared" si="52"/>
        <v>53.5</v>
      </c>
      <c r="L1098" s="152">
        <f t="shared" si="53"/>
        <v>46.5</v>
      </c>
      <c r="M1098" s="113"/>
    </row>
    <row r="1099" spans="1:13" s="114" customFormat="1" ht="13.5" customHeight="1" x14ac:dyDescent="0.2">
      <c r="A1099" s="106" t="s">
        <v>3589</v>
      </c>
      <c r="B1099" s="105" t="s">
        <v>2022</v>
      </c>
      <c r="C1099" s="105" t="s">
        <v>3623</v>
      </c>
      <c r="D1099" s="149" t="s">
        <v>2024</v>
      </c>
      <c r="E1099" s="157">
        <v>1</v>
      </c>
      <c r="F1099" s="158" t="s">
        <v>2025</v>
      </c>
      <c r="G1099" s="158" t="s">
        <v>2026</v>
      </c>
      <c r="H1099" s="119">
        <f t="shared" si="51"/>
        <v>34.5</v>
      </c>
      <c r="I1099" s="119"/>
      <c r="J1099" s="151">
        <v>0</v>
      </c>
      <c r="K1099" s="119">
        <f t="shared" si="52"/>
        <v>34.5</v>
      </c>
      <c r="L1099" s="152">
        <f t="shared" si="53"/>
        <v>29.9</v>
      </c>
      <c r="M1099" s="113"/>
    </row>
    <row r="1100" spans="1:13" s="114" customFormat="1" ht="13.5" customHeight="1" x14ac:dyDescent="0.2">
      <c r="A1100" s="106" t="s">
        <v>3589</v>
      </c>
      <c r="B1100" s="105" t="s">
        <v>2031</v>
      </c>
      <c r="C1100" s="105" t="s">
        <v>3628</v>
      </c>
      <c r="D1100" s="149" t="s">
        <v>2033</v>
      </c>
      <c r="E1100" s="157">
        <v>2</v>
      </c>
      <c r="F1100" s="158" t="s">
        <v>2985</v>
      </c>
      <c r="G1100" s="158" t="s">
        <v>1892</v>
      </c>
      <c r="H1100" s="119">
        <f t="shared" si="51"/>
        <v>48</v>
      </c>
      <c r="I1100" s="119"/>
      <c r="J1100" s="151">
        <v>0</v>
      </c>
      <c r="K1100" s="119">
        <f t="shared" si="52"/>
        <v>48</v>
      </c>
      <c r="L1100" s="152">
        <f t="shared" si="53"/>
        <v>40.799999999999997</v>
      </c>
      <c r="M1100" s="113"/>
    </row>
    <row r="1101" spans="1:13" s="114" customFormat="1" ht="13.5" customHeight="1" x14ac:dyDescent="0.2">
      <c r="A1101" s="106" t="s">
        <v>3589</v>
      </c>
      <c r="B1101" s="105" t="s">
        <v>3507</v>
      </c>
      <c r="C1101" s="105" t="s">
        <v>3628</v>
      </c>
      <c r="D1101" s="149" t="s">
        <v>3508</v>
      </c>
      <c r="E1101" s="157">
        <v>2</v>
      </c>
      <c r="F1101" s="158" t="s">
        <v>1879</v>
      </c>
      <c r="G1101" s="158" t="s">
        <v>1880</v>
      </c>
      <c r="H1101" s="119">
        <f t="shared" si="51"/>
        <v>42</v>
      </c>
      <c r="I1101" s="119"/>
      <c r="J1101" s="151">
        <v>0</v>
      </c>
      <c r="K1101" s="119">
        <f t="shared" si="52"/>
        <v>42</v>
      </c>
      <c r="L1101" s="152">
        <f t="shared" si="53"/>
        <v>36.4</v>
      </c>
      <c r="M1101" s="113"/>
    </row>
    <row r="1102" spans="1:13" s="114" customFormat="1" ht="13.5" customHeight="1" x14ac:dyDescent="0.2">
      <c r="A1102" s="106" t="s">
        <v>3589</v>
      </c>
      <c r="B1102" s="105" t="s">
        <v>2782</v>
      </c>
      <c r="C1102" s="105" t="s">
        <v>3629</v>
      </c>
      <c r="D1102" s="149" t="s">
        <v>2783</v>
      </c>
      <c r="E1102" s="157">
        <v>1</v>
      </c>
      <c r="F1102" s="158" t="s">
        <v>2784</v>
      </c>
      <c r="G1102" s="158" t="s">
        <v>2785</v>
      </c>
      <c r="H1102" s="119">
        <f t="shared" si="51"/>
        <v>32.25</v>
      </c>
      <c r="I1102" s="119"/>
      <c r="J1102" s="151">
        <v>0</v>
      </c>
      <c r="K1102" s="119">
        <f t="shared" si="52"/>
        <v>32.25</v>
      </c>
      <c r="L1102" s="152">
        <f t="shared" si="53"/>
        <v>27.9</v>
      </c>
      <c r="M1102" s="113"/>
    </row>
    <row r="1103" spans="1:13" s="114" customFormat="1" ht="13.5" customHeight="1" x14ac:dyDescent="0.2">
      <c r="A1103" s="106" t="s">
        <v>3589</v>
      </c>
      <c r="B1103" s="105" t="s">
        <v>2002</v>
      </c>
      <c r="C1103" s="105" t="s">
        <v>3630</v>
      </c>
      <c r="D1103" s="149" t="s">
        <v>2004</v>
      </c>
      <c r="E1103" s="157">
        <v>1</v>
      </c>
      <c r="F1103" s="158" t="s">
        <v>2005</v>
      </c>
      <c r="G1103" s="158" t="s">
        <v>2006</v>
      </c>
      <c r="H1103" s="119">
        <f t="shared" si="51"/>
        <v>14.25</v>
      </c>
      <c r="I1103" s="119"/>
      <c r="J1103" s="151">
        <v>0</v>
      </c>
      <c r="K1103" s="119">
        <f t="shared" si="52"/>
        <v>14.25</v>
      </c>
      <c r="L1103" s="152">
        <f t="shared" si="53"/>
        <v>12.56</v>
      </c>
      <c r="M1103" s="113"/>
    </row>
    <row r="1104" spans="1:13" s="114" customFormat="1" x14ac:dyDescent="0.2">
      <c r="A1104" s="161" t="s">
        <v>3631</v>
      </c>
      <c r="B1104" s="105" t="s">
        <v>2094</v>
      </c>
      <c r="C1104" s="105" t="s">
        <v>3632</v>
      </c>
      <c r="D1104" s="149" t="s">
        <v>2096</v>
      </c>
      <c r="E1104" s="157">
        <v>3</v>
      </c>
      <c r="F1104" s="158" t="s">
        <v>2005</v>
      </c>
      <c r="G1104" s="158" t="s">
        <v>2097</v>
      </c>
      <c r="H1104" s="119">
        <f t="shared" si="51"/>
        <v>43.5</v>
      </c>
      <c r="I1104" s="119"/>
      <c r="J1104" s="151">
        <v>0</v>
      </c>
      <c r="K1104" s="119">
        <f t="shared" si="52"/>
        <v>43.5</v>
      </c>
      <c r="L1104" s="152">
        <f t="shared" si="53"/>
        <v>37.68</v>
      </c>
      <c r="M1104" s="113"/>
    </row>
    <row r="1105" spans="1:13" s="114" customFormat="1" x14ac:dyDescent="0.2">
      <c r="A1105" s="161" t="s">
        <v>3631</v>
      </c>
      <c r="B1105" s="105" t="s">
        <v>3360</v>
      </c>
      <c r="C1105" s="105" t="s">
        <v>3633</v>
      </c>
      <c r="D1105" s="149" t="s">
        <v>3361</v>
      </c>
      <c r="E1105" s="157">
        <v>1</v>
      </c>
      <c r="F1105" s="158" t="s">
        <v>3359</v>
      </c>
      <c r="G1105" s="158" t="s">
        <v>1943</v>
      </c>
      <c r="H1105" s="119">
        <f t="shared" si="51"/>
        <v>7</v>
      </c>
      <c r="I1105" s="119"/>
      <c r="J1105" s="151">
        <v>0</v>
      </c>
      <c r="K1105" s="119">
        <f t="shared" si="52"/>
        <v>7</v>
      </c>
      <c r="L1105" s="152">
        <f t="shared" si="53"/>
        <v>6.03</v>
      </c>
      <c r="M1105" s="113"/>
    </row>
    <row r="1106" spans="1:13" s="114" customFormat="1" x14ac:dyDescent="0.2">
      <c r="A1106" s="161" t="s">
        <v>3631</v>
      </c>
      <c r="B1106" s="105" t="s">
        <v>3634</v>
      </c>
      <c r="C1106" s="105" t="s">
        <v>3635</v>
      </c>
      <c r="D1106" s="149" t="s">
        <v>3636</v>
      </c>
      <c r="E1106" s="157">
        <v>1</v>
      </c>
      <c r="F1106" s="158" t="s">
        <v>3637</v>
      </c>
      <c r="G1106" s="158" t="s">
        <v>1788</v>
      </c>
      <c r="H1106" s="119">
        <f t="shared" si="51"/>
        <v>10</v>
      </c>
      <c r="I1106" s="119"/>
      <c r="J1106" s="151">
        <v>0</v>
      </c>
      <c r="K1106" s="119">
        <f t="shared" si="52"/>
        <v>10</v>
      </c>
      <c r="L1106" s="152">
        <f t="shared" si="53"/>
        <v>8.5299999999999994</v>
      </c>
      <c r="M1106" s="113"/>
    </row>
    <row r="1107" spans="1:13" s="114" customFormat="1" x14ac:dyDescent="0.2">
      <c r="A1107" s="161" t="s">
        <v>3631</v>
      </c>
      <c r="B1107" s="105" t="s">
        <v>2226</v>
      </c>
      <c r="C1107" s="105" t="s">
        <v>3635</v>
      </c>
      <c r="D1107" s="149" t="s">
        <v>2228</v>
      </c>
      <c r="E1107" s="157">
        <v>1</v>
      </c>
      <c r="F1107" s="158" t="s">
        <v>2229</v>
      </c>
      <c r="G1107" s="158" t="s">
        <v>2230</v>
      </c>
      <c r="H1107" s="119">
        <f t="shared" si="51"/>
        <v>23</v>
      </c>
      <c r="I1107" s="119"/>
      <c r="J1107" s="151">
        <v>0</v>
      </c>
      <c r="K1107" s="119">
        <f t="shared" si="52"/>
        <v>23</v>
      </c>
      <c r="L1107" s="152">
        <f t="shared" si="53"/>
        <v>19.47</v>
      </c>
      <c r="M1107" s="113"/>
    </row>
    <row r="1108" spans="1:13" s="114" customFormat="1" x14ac:dyDescent="0.2">
      <c r="A1108" s="161" t="s">
        <v>3631</v>
      </c>
      <c r="B1108" s="105" t="s">
        <v>2836</v>
      </c>
      <c r="C1108" s="105" t="s">
        <v>3635</v>
      </c>
      <c r="D1108" s="149" t="s">
        <v>2837</v>
      </c>
      <c r="E1108" s="157">
        <v>1</v>
      </c>
      <c r="F1108" s="158" t="s">
        <v>2838</v>
      </c>
      <c r="G1108" s="158" t="s">
        <v>1838</v>
      </c>
      <c r="H1108" s="119">
        <f t="shared" si="51"/>
        <v>17</v>
      </c>
      <c r="I1108" s="119"/>
      <c r="J1108" s="151">
        <v>0</v>
      </c>
      <c r="K1108" s="119">
        <f t="shared" si="52"/>
        <v>17</v>
      </c>
      <c r="L1108" s="152">
        <f t="shared" si="53"/>
        <v>14.65</v>
      </c>
      <c r="M1108" s="113"/>
    </row>
    <row r="1109" spans="1:13" s="114" customFormat="1" x14ac:dyDescent="0.2">
      <c r="A1109" s="161" t="s">
        <v>3631</v>
      </c>
      <c r="B1109" s="105" t="s">
        <v>3360</v>
      </c>
      <c r="C1109" s="105" t="s">
        <v>3638</v>
      </c>
      <c r="D1109" s="149" t="s">
        <v>3361</v>
      </c>
      <c r="E1109" s="157">
        <v>1</v>
      </c>
      <c r="F1109" s="158" t="s">
        <v>3359</v>
      </c>
      <c r="G1109" s="158" t="s">
        <v>1943</v>
      </c>
      <c r="H1109" s="119">
        <f t="shared" si="51"/>
        <v>7</v>
      </c>
      <c r="I1109" s="119"/>
      <c r="J1109" s="151">
        <v>0</v>
      </c>
      <c r="K1109" s="119">
        <f t="shared" si="52"/>
        <v>7</v>
      </c>
      <c r="L1109" s="152">
        <f t="shared" si="53"/>
        <v>6.03</v>
      </c>
      <c r="M1109" s="113"/>
    </row>
    <row r="1110" spans="1:13" s="114" customFormat="1" x14ac:dyDescent="0.2">
      <c r="A1110" s="161" t="s">
        <v>3631</v>
      </c>
      <c r="B1110" s="105" t="s">
        <v>1781</v>
      </c>
      <c r="C1110" s="105" t="s">
        <v>3639</v>
      </c>
      <c r="D1110" s="149" t="s">
        <v>1782</v>
      </c>
      <c r="E1110" s="157">
        <v>1</v>
      </c>
      <c r="F1110" s="158" t="s">
        <v>1783</v>
      </c>
      <c r="G1110" s="158" t="s">
        <v>1784</v>
      </c>
      <c r="H1110" s="119">
        <f t="shared" si="51"/>
        <v>11</v>
      </c>
      <c r="I1110" s="119"/>
      <c r="J1110" s="151">
        <v>0</v>
      </c>
      <c r="K1110" s="119">
        <f t="shared" si="52"/>
        <v>11</v>
      </c>
      <c r="L1110" s="152">
        <f t="shared" si="53"/>
        <v>9.3800000000000008</v>
      </c>
      <c r="M1110" s="113"/>
    </row>
    <row r="1111" spans="1:13" s="114" customFormat="1" x14ac:dyDescent="0.2">
      <c r="A1111" s="161" t="s">
        <v>3631</v>
      </c>
      <c r="B1111" s="105" t="s">
        <v>2553</v>
      </c>
      <c r="C1111" s="105" t="s">
        <v>3640</v>
      </c>
      <c r="D1111" s="149" t="s">
        <v>2554</v>
      </c>
      <c r="E1111" s="157">
        <v>1</v>
      </c>
      <c r="F1111" s="158" t="s">
        <v>2555</v>
      </c>
      <c r="G1111" s="158" t="s">
        <v>2556</v>
      </c>
      <c r="H1111" s="119">
        <f t="shared" si="51"/>
        <v>62.25</v>
      </c>
      <c r="I1111" s="119"/>
      <c r="J1111" s="151">
        <v>0</v>
      </c>
      <c r="K1111" s="119">
        <f t="shared" si="52"/>
        <v>62.25</v>
      </c>
      <c r="L1111" s="152">
        <f t="shared" si="53"/>
        <v>54</v>
      </c>
      <c r="M1111" s="113"/>
    </row>
    <row r="1112" spans="1:13" s="114" customFormat="1" x14ac:dyDescent="0.2">
      <c r="A1112" s="161" t="s">
        <v>3631</v>
      </c>
      <c r="B1112" s="105" t="s">
        <v>2274</v>
      </c>
      <c r="C1112" s="105" t="s">
        <v>3640</v>
      </c>
      <c r="D1112" s="149" t="s">
        <v>2276</v>
      </c>
      <c r="E1112" s="157">
        <v>1</v>
      </c>
      <c r="F1112" s="158" t="s">
        <v>2277</v>
      </c>
      <c r="G1112" s="158" t="s">
        <v>2097</v>
      </c>
      <c r="H1112" s="119">
        <f t="shared" si="51"/>
        <v>14.5</v>
      </c>
      <c r="I1112" s="119"/>
      <c r="J1112" s="151">
        <v>0</v>
      </c>
      <c r="K1112" s="119">
        <f t="shared" si="52"/>
        <v>14.5</v>
      </c>
      <c r="L1112" s="152">
        <f t="shared" si="53"/>
        <v>12.39</v>
      </c>
      <c r="M1112" s="113"/>
    </row>
    <row r="1113" spans="1:13" s="114" customFormat="1" x14ac:dyDescent="0.2">
      <c r="A1113" s="161" t="s">
        <v>3631</v>
      </c>
      <c r="B1113" s="105" t="s">
        <v>3641</v>
      </c>
      <c r="C1113" s="105" t="s">
        <v>3640</v>
      </c>
      <c r="D1113" s="149" t="s">
        <v>3642</v>
      </c>
      <c r="E1113" s="157">
        <v>1</v>
      </c>
      <c r="F1113" s="158" t="s">
        <v>2277</v>
      </c>
      <c r="G1113" s="158" t="s">
        <v>2097</v>
      </c>
      <c r="H1113" s="119">
        <f t="shared" si="51"/>
        <v>14.5</v>
      </c>
      <c r="I1113" s="119"/>
      <c r="J1113" s="151">
        <v>0</v>
      </c>
      <c r="K1113" s="119">
        <f t="shared" si="52"/>
        <v>14.5</v>
      </c>
      <c r="L1113" s="152">
        <f t="shared" si="53"/>
        <v>12.39</v>
      </c>
      <c r="M1113" s="113"/>
    </row>
    <row r="1114" spans="1:13" s="114" customFormat="1" x14ac:dyDescent="0.2">
      <c r="A1114" s="161" t="s">
        <v>3631</v>
      </c>
      <c r="B1114" s="105" t="s">
        <v>2323</v>
      </c>
      <c r="C1114" s="105" t="s">
        <v>3643</v>
      </c>
      <c r="D1114" s="149" t="s">
        <v>2325</v>
      </c>
      <c r="E1114" s="157">
        <v>1</v>
      </c>
      <c r="F1114" s="158" t="s">
        <v>2326</v>
      </c>
      <c r="G1114" s="158" t="s">
        <v>1932</v>
      </c>
      <c r="H1114" s="119">
        <f t="shared" si="51"/>
        <v>22</v>
      </c>
      <c r="I1114" s="119"/>
      <c r="J1114" s="151">
        <v>0</v>
      </c>
      <c r="K1114" s="119">
        <f t="shared" si="52"/>
        <v>22</v>
      </c>
      <c r="L1114" s="152">
        <f t="shared" si="53"/>
        <v>19.100000000000001</v>
      </c>
      <c r="M1114" s="113"/>
    </row>
    <row r="1115" spans="1:13" s="114" customFormat="1" x14ac:dyDescent="0.2">
      <c r="A1115" s="161" t="s">
        <v>3631</v>
      </c>
      <c r="B1115" s="105" t="s">
        <v>3360</v>
      </c>
      <c r="C1115" s="105" t="s">
        <v>3644</v>
      </c>
      <c r="D1115" s="149" t="s">
        <v>3361</v>
      </c>
      <c r="E1115" s="157">
        <v>1</v>
      </c>
      <c r="F1115" s="158" t="s">
        <v>3359</v>
      </c>
      <c r="G1115" s="158" t="s">
        <v>1943</v>
      </c>
      <c r="H1115" s="119">
        <f t="shared" si="51"/>
        <v>7</v>
      </c>
      <c r="I1115" s="119"/>
      <c r="J1115" s="151">
        <v>0</v>
      </c>
      <c r="K1115" s="119">
        <f t="shared" si="52"/>
        <v>7</v>
      </c>
      <c r="L1115" s="152">
        <f t="shared" si="53"/>
        <v>6.03</v>
      </c>
      <c r="M1115" s="113"/>
    </row>
    <row r="1116" spans="1:13" s="114" customFormat="1" x14ac:dyDescent="0.2">
      <c r="A1116" s="161" t="s">
        <v>3631</v>
      </c>
      <c r="B1116" s="105" t="s">
        <v>2367</v>
      </c>
      <c r="C1116" s="105" t="s">
        <v>3645</v>
      </c>
      <c r="D1116" s="149" t="s">
        <v>2369</v>
      </c>
      <c r="E1116" s="157">
        <v>1</v>
      </c>
      <c r="F1116" s="158" t="s">
        <v>2370</v>
      </c>
      <c r="G1116" s="158" t="s">
        <v>1853</v>
      </c>
      <c r="H1116" s="119">
        <f t="shared" si="51"/>
        <v>7.5</v>
      </c>
      <c r="I1116" s="119"/>
      <c r="J1116" s="151">
        <v>0</v>
      </c>
      <c r="K1116" s="119">
        <f t="shared" si="52"/>
        <v>7.5</v>
      </c>
      <c r="L1116" s="152">
        <f t="shared" si="53"/>
        <v>6.38</v>
      </c>
      <c r="M1116" s="113"/>
    </row>
    <row r="1117" spans="1:13" s="114" customFormat="1" x14ac:dyDescent="0.2">
      <c r="A1117" s="161" t="s">
        <v>3631</v>
      </c>
      <c r="B1117" s="105" t="s">
        <v>3646</v>
      </c>
      <c r="C1117" s="105" t="s">
        <v>3647</v>
      </c>
      <c r="D1117" s="149" t="s">
        <v>3648</v>
      </c>
      <c r="E1117" s="157">
        <v>2</v>
      </c>
      <c r="F1117" s="158" t="s">
        <v>1900</v>
      </c>
      <c r="G1117" s="158" t="s">
        <v>2026</v>
      </c>
      <c r="H1117" s="119">
        <f t="shared" si="51"/>
        <v>69</v>
      </c>
      <c r="I1117" s="119"/>
      <c r="J1117" s="151">
        <v>0</v>
      </c>
      <c r="K1117" s="119">
        <f t="shared" si="52"/>
        <v>69</v>
      </c>
      <c r="L1117" s="152">
        <f t="shared" si="53"/>
        <v>60</v>
      </c>
      <c r="M1117" s="113"/>
    </row>
    <row r="1118" spans="1:13" s="114" customFormat="1" x14ac:dyDescent="0.2">
      <c r="A1118" s="161" t="s">
        <v>3631</v>
      </c>
      <c r="B1118" s="105" t="s">
        <v>1997</v>
      </c>
      <c r="C1118" s="105" t="s">
        <v>3647</v>
      </c>
      <c r="D1118" s="149" t="s">
        <v>1999</v>
      </c>
      <c r="E1118" s="157">
        <v>1</v>
      </c>
      <c r="F1118" s="158" t="s">
        <v>2874</v>
      </c>
      <c r="G1118" s="158" t="s">
        <v>2001</v>
      </c>
      <c r="H1118" s="119">
        <f t="shared" si="51"/>
        <v>5.25</v>
      </c>
      <c r="I1118" s="119"/>
      <c r="J1118" s="151">
        <v>0</v>
      </c>
      <c r="K1118" s="119">
        <f t="shared" si="52"/>
        <v>5.25</v>
      </c>
      <c r="L1118" s="152">
        <f t="shared" si="53"/>
        <v>4.12</v>
      </c>
      <c r="M1118" s="113"/>
    </row>
    <row r="1119" spans="1:13" s="114" customFormat="1" x14ac:dyDescent="0.2">
      <c r="A1119" s="161" t="s">
        <v>3631</v>
      </c>
      <c r="B1119" s="105" t="s">
        <v>2872</v>
      </c>
      <c r="C1119" s="105" t="s">
        <v>3647</v>
      </c>
      <c r="D1119" s="149" t="s">
        <v>2873</v>
      </c>
      <c r="E1119" s="157">
        <v>1</v>
      </c>
      <c r="F1119" s="158" t="s">
        <v>2874</v>
      </c>
      <c r="G1119" s="158" t="s">
        <v>2001</v>
      </c>
      <c r="H1119" s="119">
        <f t="shared" si="51"/>
        <v>5.25</v>
      </c>
      <c r="I1119" s="119"/>
      <c r="J1119" s="151">
        <v>0</v>
      </c>
      <c r="K1119" s="119">
        <f t="shared" si="52"/>
        <v>5.25</v>
      </c>
      <c r="L1119" s="152">
        <f t="shared" si="53"/>
        <v>4.12</v>
      </c>
      <c r="M1119" s="113"/>
    </row>
    <row r="1120" spans="1:13" s="114" customFormat="1" x14ac:dyDescent="0.2">
      <c r="A1120" s="161" t="s">
        <v>3631</v>
      </c>
      <c r="B1120" s="105" t="s">
        <v>1798</v>
      </c>
      <c r="C1120" s="105" t="s">
        <v>3647</v>
      </c>
      <c r="D1120" s="149" t="s">
        <v>1799</v>
      </c>
      <c r="E1120" s="157">
        <v>2</v>
      </c>
      <c r="F1120" s="158" t="s">
        <v>1800</v>
      </c>
      <c r="G1120" s="158" t="s">
        <v>1801</v>
      </c>
      <c r="H1120" s="119">
        <f t="shared" si="51"/>
        <v>19</v>
      </c>
      <c r="I1120" s="119"/>
      <c r="J1120" s="151">
        <v>0</v>
      </c>
      <c r="K1120" s="119">
        <f t="shared" si="52"/>
        <v>19</v>
      </c>
      <c r="L1120" s="152">
        <f t="shared" si="53"/>
        <v>16.399999999999999</v>
      </c>
      <c r="M1120" s="113"/>
    </row>
    <row r="1121" spans="1:13" s="114" customFormat="1" x14ac:dyDescent="0.2">
      <c r="A1121" s="161" t="s">
        <v>3631</v>
      </c>
      <c r="B1121" s="105" t="s">
        <v>2867</v>
      </c>
      <c r="C1121" s="105" t="s">
        <v>3647</v>
      </c>
      <c r="D1121" s="149" t="s">
        <v>2869</v>
      </c>
      <c r="E1121" s="157">
        <v>2</v>
      </c>
      <c r="F1121" s="158" t="s">
        <v>2870</v>
      </c>
      <c r="G1121" s="158" t="s">
        <v>2871</v>
      </c>
      <c r="H1121" s="119">
        <f t="shared" si="51"/>
        <v>13.5</v>
      </c>
      <c r="I1121" s="119"/>
      <c r="J1121" s="151">
        <v>0</v>
      </c>
      <c r="K1121" s="119">
        <f t="shared" si="52"/>
        <v>13.5</v>
      </c>
      <c r="L1121" s="152">
        <f t="shared" si="53"/>
        <v>11.7</v>
      </c>
      <c r="M1121" s="113"/>
    </row>
    <row r="1122" spans="1:13" s="114" customFormat="1" x14ac:dyDescent="0.2">
      <c r="A1122" s="161" t="s">
        <v>3631</v>
      </c>
      <c r="B1122" s="105" t="s">
        <v>2293</v>
      </c>
      <c r="C1122" s="105" t="s">
        <v>3649</v>
      </c>
      <c r="D1122" s="149" t="s">
        <v>2295</v>
      </c>
      <c r="E1122" s="157">
        <v>1</v>
      </c>
      <c r="F1122" s="158" t="s">
        <v>2296</v>
      </c>
      <c r="G1122" s="158" t="s">
        <v>2297</v>
      </c>
      <c r="H1122" s="119">
        <f t="shared" si="51"/>
        <v>45</v>
      </c>
      <c r="I1122" s="119"/>
      <c r="J1122" s="151">
        <v>0</v>
      </c>
      <c r="K1122" s="119">
        <f t="shared" si="52"/>
        <v>45</v>
      </c>
      <c r="L1122" s="152">
        <f t="shared" si="53"/>
        <v>27.84</v>
      </c>
      <c r="M1122" s="113"/>
    </row>
    <row r="1123" spans="1:13" s="114" customFormat="1" x14ac:dyDescent="0.2">
      <c r="A1123" s="161" t="s">
        <v>3631</v>
      </c>
      <c r="B1123" s="105" t="s">
        <v>2476</v>
      </c>
      <c r="C1123" s="105" t="s">
        <v>3649</v>
      </c>
      <c r="D1123" s="149" t="s">
        <v>2478</v>
      </c>
      <c r="E1123" s="157">
        <v>1</v>
      </c>
      <c r="F1123" s="158" t="s">
        <v>2479</v>
      </c>
      <c r="G1123" s="158" t="s">
        <v>2480</v>
      </c>
      <c r="H1123" s="119">
        <f t="shared" si="51"/>
        <v>48.75</v>
      </c>
      <c r="I1123" s="119"/>
      <c r="J1123" s="151">
        <v>0</v>
      </c>
      <c r="K1123" s="119">
        <f t="shared" si="52"/>
        <v>48.75</v>
      </c>
      <c r="L1123" s="152">
        <f t="shared" si="53"/>
        <v>41.25</v>
      </c>
      <c r="M1123" s="113"/>
    </row>
    <row r="1124" spans="1:13" s="114" customFormat="1" x14ac:dyDescent="0.2">
      <c r="A1124" s="161" t="s">
        <v>3631</v>
      </c>
      <c r="B1124" s="105" t="s">
        <v>1977</v>
      </c>
      <c r="C1124" s="105" t="s">
        <v>3650</v>
      </c>
      <c r="D1124" s="149" t="s">
        <v>1979</v>
      </c>
      <c r="E1124" s="157">
        <v>17</v>
      </c>
      <c r="F1124" s="158" t="s">
        <v>1980</v>
      </c>
      <c r="G1124" s="158" t="s">
        <v>1981</v>
      </c>
      <c r="H1124" s="119">
        <f t="shared" si="51"/>
        <v>17</v>
      </c>
      <c r="I1124" s="119"/>
      <c r="J1124" s="151">
        <v>0</v>
      </c>
      <c r="K1124" s="119">
        <f t="shared" si="52"/>
        <v>17</v>
      </c>
      <c r="L1124" s="152">
        <f t="shared" si="53"/>
        <v>12.92</v>
      </c>
      <c r="M1124" s="113"/>
    </row>
    <row r="1125" spans="1:13" s="114" customFormat="1" x14ac:dyDescent="0.2">
      <c r="A1125" s="161" t="s">
        <v>3631</v>
      </c>
      <c r="B1125" s="105" t="s">
        <v>1781</v>
      </c>
      <c r="C1125" s="105" t="s">
        <v>3651</v>
      </c>
      <c r="D1125" s="149" t="s">
        <v>1782</v>
      </c>
      <c r="E1125" s="157">
        <v>3</v>
      </c>
      <c r="F1125" s="158" t="s">
        <v>1783</v>
      </c>
      <c r="G1125" s="158" t="s">
        <v>1784</v>
      </c>
      <c r="H1125" s="119">
        <f t="shared" si="51"/>
        <v>33</v>
      </c>
      <c r="I1125" s="119"/>
      <c r="J1125" s="151">
        <v>0</v>
      </c>
      <c r="K1125" s="119">
        <f t="shared" si="52"/>
        <v>33</v>
      </c>
      <c r="L1125" s="152">
        <f t="shared" si="53"/>
        <v>28.14</v>
      </c>
      <c r="M1125" s="113"/>
    </row>
    <row r="1126" spans="1:13" s="114" customFormat="1" x14ac:dyDescent="0.2">
      <c r="A1126" s="161" t="s">
        <v>3631</v>
      </c>
      <c r="B1126" s="105" t="s">
        <v>3652</v>
      </c>
      <c r="C1126" s="105" t="s">
        <v>3651</v>
      </c>
      <c r="D1126" s="149" t="s">
        <v>3653</v>
      </c>
      <c r="E1126" s="157">
        <v>1</v>
      </c>
      <c r="F1126" s="158" t="s">
        <v>3339</v>
      </c>
      <c r="G1126" s="158" t="s">
        <v>3654</v>
      </c>
      <c r="H1126" s="119">
        <f t="shared" si="51"/>
        <v>83</v>
      </c>
      <c r="I1126" s="119"/>
      <c r="J1126" s="151">
        <v>0</v>
      </c>
      <c r="K1126" s="119">
        <f t="shared" si="52"/>
        <v>83</v>
      </c>
      <c r="L1126" s="152">
        <f t="shared" si="53"/>
        <v>75</v>
      </c>
      <c r="M1126" s="113"/>
    </row>
    <row r="1127" spans="1:13" s="114" customFormat="1" x14ac:dyDescent="0.2">
      <c r="A1127" s="161" t="s">
        <v>3631</v>
      </c>
      <c r="B1127" s="105" t="s">
        <v>2323</v>
      </c>
      <c r="C1127" s="105" t="s">
        <v>3651</v>
      </c>
      <c r="D1127" s="149" t="s">
        <v>2325</v>
      </c>
      <c r="E1127" s="157">
        <v>1</v>
      </c>
      <c r="F1127" s="158" t="s">
        <v>2326</v>
      </c>
      <c r="G1127" s="158" t="s">
        <v>1932</v>
      </c>
      <c r="H1127" s="119">
        <f t="shared" si="51"/>
        <v>22</v>
      </c>
      <c r="I1127" s="119"/>
      <c r="J1127" s="151">
        <v>0</v>
      </c>
      <c r="K1127" s="119">
        <f t="shared" si="52"/>
        <v>22</v>
      </c>
      <c r="L1127" s="152">
        <f t="shared" si="53"/>
        <v>19.100000000000001</v>
      </c>
      <c r="M1127" s="113"/>
    </row>
    <row r="1128" spans="1:13" s="114" customFormat="1" x14ac:dyDescent="0.2">
      <c r="A1128" s="161" t="s">
        <v>3631</v>
      </c>
      <c r="B1128" s="105" t="s">
        <v>3446</v>
      </c>
      <c r="C1128" s="105" t="s">
        <v>3651</v>
      </c>
      <c r="D1128" s="149" t="s">
        <v>3447</v>
      </c>
      <c r="E1128" s="157">
        <v>1</v>
      </c>
      <c r="F1128" s="158" t="s">
        <v>2600</v>
      </c>
      <c r="G1128" s="158" t="s">
        <v>2337</v>
      </c>
      <c r="H1128" s="119">
        <f t="shared" si="51"/>
        <v>39</v>
      </c>
      <c r="I1128" s="119"/>
      <c r="J1128" s="151">
        <v>0</v>
      </c>
      <c r="K1128" s="119">
        <f t="shared" si="52"/>
        <v>39</v>
      </c>
      <c r="L1128" s="152">
        <f t="shared" si="53"/>
        <v>33.75</v>
      </c>
      <c r="M1128" s="113"/>
    </row>
    <row r="1129" spans="1:13" s="114" customFormat="1" x14ac:dyDescent="0.2">
      <c r="A1129" s="161" t="s">
        <v>3631</v>
      </c>
      <c r="B1129" s="105" t="s">
        <v>3207</v>
      </c>
      <c r="C1129" s="105" t="s">
        <v>3655</v>
      </c>
      <c r="D1129" s="149" t="s">
        <v>3209</v>
      </c>
      <c r="E1129" s="157">
        <v>1</v>
      </c>
      <c r="F1129" s="158" t="s">
        <v>1816</v>
      </c>
      <c r="G1129" s="158" t="s">
        <v>1817</v>
      </c>
      <c r="H1129" s="119">
        <f t="shared" si="51"/>
        <v>26</v>
      </c>
      <c r="I1129" s="119"/>
      <c r="J1129" s="151">
        <v>0</v>
      </c>
      <c r="K1129" s="119">
        <f t="shared" si="52"/>
        <v>26</v>
      </c>
      <c r="L1129" s="152">
        <f t="shared" si="53"/>
        <v>22.59</v>
      </c>
      <c r="M1129" s="113"/>
    </row>
    <row r="1130" spans="1:13" s="114" customFormat="1" x14ac:dyDescent="0.2">
      <c r="A1130" s="161" t="s">
        <v>3631</v>
      </c>
      <c r="B1130" s="105" t="s">
        <v>2530</v>
      </c>
      <c r="C1130" s="105" t="s">
        <v>3655</v>
      </c>
      <c r="D1130" s="149" t="s">
        <v>2532</v>
      </c>
      <c r="E1130" s="157">
        <v>1</v>
      </c>
      <c r="F1130" s="158" t="s">
        <v>1816</v>
      </c>
      <c r="G1130" s="158" t="s">
        <v>1817</v>
      </c>
      <c r="H1130" s="119">
        <f t="shared" si="51"/>
        <v>26</v>
      </c>
      <c r="I1130" s="119"/>
      <c r="J1130" s="151">
        <v>0</v>
      </c>
      <c r="K1130" s="119">
        <f t="shared" si="52"/>
        <v>26</v>
      </c>
      <c r="L1130" s="152">
        <f t="shared" si="53"/>
        <v>22.59</v>
      </c>
      <c r="M1130" s="113"/>
    </row>
    <row r="1131" spans="1:13" s="114" customFormat="1" x14ac:dyDescent="0.2">
      <c r="A1131" s="161" t="s">
        <v>3631</v>
      </c>
      <c r="B1131" s="105" t="s">
        <v>3656</v>
      </c>
      <c r="C1131" s="105" t="s">
        <v>3655</v>
      </c>
      <c r="D1131" s="149" t="s">
        <v>3657</v>
      </c>
      <c r="E1131" s="157">
        <v>1</v>
      </c>
      <c r="F1131" s="158" t="s">
        <v>3658</v>
      </c>
      <c r="G1131" s="158" t="s">
        <v>2218</v>
      </c>
      <c r="H1131" s="119">
        <f t="shared" si="51"/>
        <v>48</v>
      </c>
      <c r="I1131" s="119"/>
      <c r="J1131" s="151">
        <v>0</v>
      </c>
      <c r="K1131" s="119">
        <f t="shared" si="52"/>
        <v>48</v>
      </c>
      <c r="L1131" s="152">
        <f t="shared" si="53"/>
        <v>41.72</v>
      </c>
      <c r="M1131" s="113"/>
    </row>
    <row r="1132" spans="1:13" s="114" customFormat="1" x14ac:dyDescent="0.2">
      <c r="A1132" s="161" t="s">
        <v>3631</v>
      </c>
      <c r="B1132" s="105" t="s">
        <v>2031</v>
      </c>
      <c r="C1132" s="105" t="s">
        <v>3659</v>
      </c>
      <c r="D1132" s="149" t="s">
        <v>2033</v>
      </c>
      <c r="E1132" s="157">
        <v>1</v>
      </c>
      <c r="F1132" s="158" t="s">
        <v>2985</v>
      </c>
      <c r="G1132" s="158" t="s">
        <v>1892</v>
      </c>
      <c r="H1132" s="119">
        <f t="shared" si="51"/>
        <v>24</v>
      </c>
      <c r="I1132" s="119"/>
      <c r="J1132" s="151">
        <v>0</v>
      </c>
      <c r="K1132" s="119">
        <f t="shared" si="52"/>
        <v>24</v>
      </c>
      <c r="L1132" s="152">
        <f t="shared" si="53"/>
        <v>20.399999999999999</v>
      </c>
      <c r="M1132" s="113"/>
    </row>
    <row r="1133" spans="1:13" s="114" customFormat="1" x14ac:dyDescent="0.2">
      <c r="A1133" s="161" t="s">
        <v>3631</v>
      </c>
      <c r="B1133" s="105" t="s">
        <v>2550</v>
      </c>
      <c r="C1133" s="105" t="s">
        <v>3660</v>
      </c>
      <c r="D1133" s="149" t="s">
        <v>2552</v>
      </c>
      <c r="E1133" s="157">
        <v>4</v>
      </c>
      <c r="F1133" s="158" t="s">
        <v>2370</v>
      </c>
      <c r="G1133" s="158" t="s">
        <v>1853</v>
      </c>
      <c r="H1133" s="119">
        <f t="shared" si="51"/>
        <v>30</v>
      </c>
      <c r="I1133" s="119"/>
      <c r="J1133" s="151">
        <v>0</v>
      </c>
      <c r="K1133" s="119">
        <f t="shared" si="52"/>
        <v>30</v>
      </c>
      <c r="L1133" s="152">
        <f t="shared" si="53"/>
        <v>25.52</v>
      </c>
      <c r="M1133" s="113"/>
    </row>
    <row r="1134" spans="1:13" s="114" customFormat="1" x14ac:dyDescent="0.2">
      <c r="A1134" s="161" t="s">
        <v>3631</v>
      </c>
      <c r="B1134" s="105" t="s">
        <v>2545</v>
      </c>
      <c r="C1134" s="105" t="s">
        <v>3660</v>
      </c>
      <c r="D1134" s="149" t="s">
        <v>2546</v>
      </c>
      <c r="E1134" s="157">
        <v>4</v>
      </c>
      <c r="F1134" s="158" t="s">
        <v>2547</v>
      </c>
      <c r="G1134" s="158" t="s">
        <v>1943</v>
      </c>
      <c r="H1134" s="119">
        <f t="shared" si="51"/>
        <v>28</v>
      </c>
      <c r="I1134" s="119"/>
      <c r="J1134" s="151">
        <v>0</v>
      </c>
      <c r="K1134" s="119">
        <f t="shared" si="52"/>
        <v>28</v>
      </c>
      <c r="L1134" s="152">
        <f t="shared" si="53"/>
        <v>24.48</v>
      </c>
      <c r="M1134" s="113"/>
    </row>
    <row r="1135" spans="1:13" s="114" customFormat="1" x14ac:dyDescent="0.2">
      <c r="A1135" s="161" t="s">
        <v>3631</v>
      </c>
      <c r="B1135" s="105" t="s">
        <v>2423</v>
      </c>
      <c r="C1135" s="105" t="s">
        <v>3661</v>
      </c>
      <c r="D1135" s="149" t="s">
        <v>2425</v>
      </c>
      <c r="E1135" s="157">
        <v>2</v>
      </c>
      <c r="F1135" s="158" t="s">
        <v>2426</v>
      </c>
      <c r="G1135" s="158" t="s">
        <v>2427</v>
      </c>
      <c r="H1135" s="119">
        <f t="shared" si="51"/>
        <v>43</v>
      </c>
      <c r="I1135" s="119"/>
      <c r="J1135" s="151">
        <v>0</v>
      </c>
      <c r="K1135" s="119">
        <f t="shared" si="52"/>
        <v>43</v>
      </c>
      <c r="L1135" s="152">
        <f t="shared" si="53"/>
        <v>37.06</v>
      </c>
      <c r="M1135" s="113"/>
    </row>
    <row r="1136" spans="1:13" s="114" customFormat="1" x14ac:dyDescent="0.2">
      <c r="A1136" s="161" t="s">
        <v>3631</v>
      </c>
      <c r="B1136" s="105" t="s">
        <v>1893</v>
      </c>
      <c r="C1136" s="105" t="s">
        <v>3662</v>
      </c>
      <c r="D1136" s="149" t="s">
        <v>1894</v>
      </c>
      <c r="E1136" s="157">
        <v>1</v>
      </c>
      <c r="F1136" s="158" t="s">
        <v>2984</v>
      </c>
      <c r="G1136" s="158" t="s">
        <v>2785</v>
      </c>
      <c r="H1136" s="119">
        <f t="shared" si="51"/>
        <v>32.25</v>
      </c>
      <c r="I1136" s="119"/>
      <c r="J1136" s="151">
        <v>0</v>
      </c>
      <c r="K1136" s="119">
        <f t="shared" si="52"/>
        <v>32.25</v>
      </c>
      <c r="L1136" s="152">
        <f t="shared" si="53"/>
        <v>27.85</v>
      </c>
      <c r="M1136" s="113"/>
    </row>
    <row r="1137" spans="1:13" s="114" customFormat="1" x14ac:dyDescent="0.2">
      <c r="A1137" s="161" t="s">
        <v>3631</v>
      </c>
      <c r="B1137" s="105" t="s">
        <v>2323</v>
      </c>
      <c r="C1137" s="105" t="s">
        <v>3663</v>
      </c>
      <c r="D1137" s="149" t="s">
        <v>2325</v>
      </c>
      <c r="E1137" s="157">
        <v>1</v>
      </c>
      <c r="F1137" s="158" t="s">
        <v>2326</v>
      </c>
      <c r="G1137" s="158" t="s">
        <v>1932</v>
      </c>
      <c r="H1137" s="119">
        <f t="shared" si="51"/>
        <v>22</v>
      </c>
      <c r="I1137" s="119"/>
      <c r="J1137" s="151">
        <v>0</v>
      </c>
      <c r="K1137" s="119">
        <f t="shared" si="52"/>
        <v>22</v>
      </c>
      <c r="L1137" s="152">
        <f t="shared" si="53"/>
        <v>19.100000000000001</v>
      </c>
      <c r="M1137" s="113"/>
    </row>
    <row r="1138" spans="1:13" s="114" customFormat="1" x14ac:dyDescent="0.2">
      <c r="A1138" s="161" t="s">
        <v>3631</v>
      </c>
      <c r="B1138" s="105" t="s">
        <v>1977</v>
      </c>
      <c r="C1138" s="105" t="s">
        <v>3663</v>
      </c>
      <c r="D1138" s="149" t="s">
        <v>1979</v>
      </c>
      <c r="E1138" s="157">
        <v>5</v>
      </c>
      <c r="F1138" s="158" t="s">
        <v>1980</v>
      </c>
      <c r="G1138" s="158" t="s">
        <v>1981</v>
      </c>
      <c r="H1138" s="119">
        <f t="shared" si="51"/>
        <v>5</v>
      </c>
      <c r="I1138" s="119"/>
      <c r="J1138" s="151">
        <v>0</v>
      </c>
      <c r="K1138" s="119">
        <f t="shared" si="52"/>
        <v>5</v>
      </c>
      <c r="L1138" s="152">
        <f t="shared" si="53"/>
        <v>3.8</v>
      </c>
      <c r="M1138" s="113"/>
    </row>
    <row r="1139" spans="1:13" s="114" customFormat="1" x14ac:dyDescent="0.2">
      <c r="A1139" s="161" t="s">
        <v>3631</v>
      </c>
      <c r="B1139" s="105" t="s">
        <v>1781</v>
      </c>
      <c r="C1139" s="105" t="s">
        <v>3664</v>
      </c>
      <c r="D1139" s="149" t="s">
        <v>1782</v>
      </c>
      <c r="E1139" s="157">
        <v>1</v>
      </c>
      <c r="F1139" s="158" t="s">
        <v>1783</v>
      </c>
      <c r="G1139" s="158" t="s">
        <v>1784</v>
      </c>
      <c r="H1139" s="119">
        <f t="shared" si="51"/>
        <v>11</v>
      </c>
      <c r="I1139" s="119"/>
      <c r="J1139" s="151">
        <v>0</v>
      </c>
      <c r="K1139" s="119">
        <f t="shared" si="52"/>
        <v>11</v>
      </c>
      <c r="L1139" s="152">
        <f t="shared" si="53"/>
        <v>9.3800000000000008</v>
      </c>
      <c r="M1139" s="113"/>
    </row>
    <row r="1140" spans="1:13" s="114" customFormat="1" x14ac:dyDescent="0.2">
      <c r="A1140" s="161" t="s">
        <v>3631</v>
      </c>
      <c r="B1140" s="105" t="s">
        <v>2423</v>
      </c>
      <c r="C1140" s="105" t="s">
        <v>3665</v>
      </c>
      <c r="D1140" s="149" t="s">
        <v>2425</v>
      </c>
      <c r="E1140" s="157">
        <v>1</v>
      </c>
      <c r="F1140" s="158" t="s">
        <v>2426</v>
      </c>
      <c r="G1140" s="158" t="s">
        <v>2427</v>
      </c>
      <c r="H1140" s="119">
        <f t="shared" si="51"/>
        <v>21.5</v>
      </c>
      <c r="I1140" s="119"/>
      <c r="J1140" s="151">
        <v>0</v>
      </c>
      <c r="K1140" s="119">
        <f t="shared" si="52"/>
        <v>21.5</v>
      </c>
      <c r="L1140" s="152">
        <f t="shared" si="53"/>
        <v>18.53</v>
      </c>
      <c r="M1140" s="113"/>
    </row>
    <row r="1141" spans="1:13" s="114" customFormat="1" x14ac:dyDescent="0.2">
      <c r="A1141" s="161" t="s">
        <v>3631</v>
      </c>
      <c r="B1141" s="105" t="s">
        <v>1977</v>
      </c>
      <c r="C1141" s="105" t="s">
        <v>3666</v>
      </c>
      <c r="D1141" s="149" t="s">
        <v>1979</v>
      </c>
      <c r="E1141" s="157">
        <v>5</v>
      </c>
      <c r="F1141" s="158" t="s">
        <v>1980</v>
      </c>
      <c r="G1141" s="158" t="s">
        <v>1981</v>
      </c>
      <c r="H1141" s="119">
        <f t="shared" si="51"/>
        <v>5</v>
      </c>
      <c r="I1141" s="119"/>
      <c r="J1141" s="151">
        <v>0</v>
      </c>
      <c r="K1141" s="119">
        <f t="shared" si="52"/>
        <v>5</v>
      </c>
      <c r="L1141" s="152">
        <f t="shared" si="53"/>
        <v>3.8</v>
      </c>
      <c r="M1141" s="113"/>
    </row>
    <row r="1142" spans="1:13" s="114" customFormat="1" x14ac:dyDescent="0.2">
      <c r="A1142" s="161" t="s">
        <v>1740</v>
      </c>
      <c r="B1142" s="105" t="s">
        <v>1997</v>
      </c>
      <c r="C1142" s="105" t="s">
        <v>3667</v>
      </c>
      <c r="D1142" s="149" t="s">
        <v>1999</v>
      </c>
      <c r="E1142" s="105">
        <v>1</v>
      </c>
      <c r="F1142" s="158" t="s">
        <v>2874</v>
      </c>
      <c r="G1142" s="158" t="s">
        <v>2001</v>
      </c>
      <c r="H1142" s="119">
        <f t="shared" si="51"/>
        <v>5.25</v>
      </c>
      <c r="I1142" s="119"/>
      <c r="J1142" s="151">
        <v>0</v>
      </c>
      <c r="K1142" s="119">
        <f t="shared" si="52"/>
        <v>5.25</v>
      </c>
      <c r="L1142" s="152">
        <f t="shared" si="53"/>
        <v>4.12</v>
      </c>
      <c r="M1142" s="113"/>
    </row>
    <row r="1143" spans="1:13" s="114" customFormat="1" x14ac:dyDescent="0.2">
      <c r="A1143" s="161" t="s">
        <v>1740</v>
      </c>
      <c r="B1143" s="105" t="s">
        <v>1781</v>
      </c>
      <c r="C1143" s="105" t="s">
        <v>3664</v>
      </c>
      <c r="D1143" s="149" t="s">
        <v>1782</v>
      </c>
      <c r="E1143" s="157">
        <v>1</v>
      </c>
      <c r="F1143" s="158" t="s">
        <v>1783</v>
      </c>
      <c r="G1143" s="158" t="s">
        <v>1784</v>
      </c>
      <c r="H1143" s="119">
        <f t="shared" si="51"/>
        <v>11</v>
      </c>
      <c r="I1143" s="119"/>
      <c r="J1143" s="151">
        <v>0</v>
      </c>
      <c r="K1143" s="119">
        <f t="shared" si="52"/>
        <v>11</v>
      </c>
      <c r="L1143" s="152">
        <f t="shared" si="53"/>
        <v>9.3800000000000008</v>
      </c>
      <c r="M1143" s="113"/>
    </row>
    <row r="1144" spans="1:13" s="114" customFormat="1" x14ac:dyDescent="0.2">
      <c r="A1144" s="161" t="s">
        <v>1740</v>
      </c>
      <c r="B1144" s="105" t="s">
        <v>3446</v>
      </c>
      <c r="C1144" s="105" t="s">
        <v>3668</v>
      </c>
      <c r="D1144" s="149" t="s">
        <v>3447</v>
      </c>
      <c r="E1144" s="105">
        <v>1</v>
      </c>
      <c r="F1144" s="158" t="s">
        <v>2600</v>
      </c>
      <c r="G1144" s="158" t="s">
        <v>2337</v>
      </c>
      <c r="H1144" s="119">
        <f t="shared" si="51"/>
        <v>39</v>
      </c>
      <c r="I1144" s="119"/>
      <c r="J1144" s="151">
        <v>0</v>
      </c>
      <c r="K1144" s="119">
        <f t="shared" si="52"/>
        <v>39</v>
      </c>
      <c r="L1144" s="152">
        <f t="shared" si="53"/>
        <v>33.75</v>
      </c>
      <c r="M1144" s="113"/>
    </row>
    <row r="1145" spans="1:13" s="114" customFormat="1" x14ac:dyDescent="0.2">
      <c r="A1145" s="161" t="s">
        <v>1740</v>
      </c>
      <c r="B1145" s="105" t="s">
        <v>1940</v>
      </c>
      <c r="C1145" s="105" t="s">
        <v>3669</v>
      </c>
      <c r="D1145" s="149" t="s">
        <v>1941</v>
      </c>
      <c r="E1145" s="105">
        <v>2</v>
      </c>
      <c r="F1145" s="158" t="s">
        <v>1942</v>
      </c>
      <c r="G1145" s="158" t="s">
        <v>1943</v>
      </c>
      <c r="H1145" s="119">
        <f t="shared" si="51"/>
        <v>14</v>
      </c>
      <c r="I1145" s="119"/>
      <c r="J1145" s="151">
        <v>0</v>
      </c>
      <c r="K1145" s="119">
        <f t="shared" si="52"/>
        <v>14</v>
      </c>
      <c r="L1145" s="152">
        <f t="shared" si="53"/>
        <v>12</v>
      </c>
      <c r="M1145" s="113"/>
    </row>
    <row r="1146" spans="1:13" s="114" customFormat="1" x14ac:dyDescent="0.2">
      <c r="A1146" s="161" t="s">
        <v>1740</v>
      </c>
      <c r="B1146" s="105" t="s">
        <v>2884</v>
      </c>
      <c r="C1146" s="105" t="s">
        <v>3670</v>
      </c>
      <c r="D1146" s="149" t="s">
        <v>2886</v>
      </c>
      <c r="E1146" s="105">
        <v>5</v>
      </c>
      <c r="F1146" s="158" t="s">
        <v>3671</v>
      </c>
      <c r="G1146" s="158" t="s">
        <v>3672</v>
      </c>
      <c r="H1146" s="119"/>
      <c r="I1146" s="119">
        <v>1813.75</v>
      </c>
      <c r="J1146" s="151">
        <v>0</v>
      </c>
      <c r="K1146" s="119">
        <f t="shared" si="52"/>
        <v>1813.75</v>
      </c>
      <c r="L1146" s="152">
        <f t="shared" si="53"/>
        <v>1510.65</v>
      </c>
      <c r="M1146" s="113"/>
    </row>
    <row r="1147" spans="1:13" s="114" customFormat="1" x14ac:dyDescent="0.2">
      <c r="A1147" s="161" t="s">
        <v>1740</v>
      </c>
      <c r="B1147" s="105" t="s">
        <v>2951</v>
      </c>
      <c r="C1147" s="105" t="s">
        <v>3673</v>
      </c>
      <c r="D1147" s="149" t="s">
        <v>2952</v>
      </c>
      <c r="E1147" s="105">
        <v>2</v>
      </c>
      <c r="F1147" s="158" t="s">
        <v>2953</v>
      </c>
      <c r="G1147" s="158" t="s">
        <v>2954</v>
      </c>
      <c r="H1147" s="119"/>
      <c r="I1147" s="119">
        <v>498</v>
      </c>
      <c r="J1147" s="151">
        <v>0</v>
      </c>
      <c r="K1147" s="119">
        <f t="shared" si="52"/>
        <v>498</v>
      </c>
      <c r="L1147" s="152">
        <f t="shared" si="53"/>
        <v>433.16</v>
      </c>
      <c r="M1147" s="113"/>
    </row>
    <row r="1148" spans="1:13" s="114" customFormat="1" x14ac:dyDescent="0.2">
      <c r="A1148" s="161" t="s">
        <v>1740</v>
      </c>
      <c r="B1148" s="105" t="s">
        <v>3674</v>
      </c>
      <c r="C1148" s="105" t="s">
        <v>3673</v>
      </c>
      <c r="D1148" s="149" t="s">
        <v>3675</v>
      </c>
      <c r="E1148" s="105">
        <v>3</v>
      </c>
      <c r="F1148" s="158" t="s">
        <v>3512</v>
      </c>
      <c r="G1148" s="158" t="s">
        <v>2427</v>
      </c>
      <c r="H1148" s="119"/>
      <c r="I1148" s="119">
        <v>64.5</v>
      </c>
      <c r="J1148" s="151">
        <v>0</v>
      </c>
      <c r="K1148" s="119">
        <f t="shared" si="52"/>
        <v>64.5</v>
      </c>
      <c r="L1148" s="152">
        <f t="shared" si="53"/>
        <v>55.92</v>
      </c>
      <c r="M1148" s="113"/>
    </row>
    <row r="1149" spans="1:13" s="114" customFormat="1" x14ac:dyDescent="0.2">
      <c r="A1149" s="161" t="s">
        <v>1740</v>
      </c>
      <c r="B1149" s="105" t="s">
        <v>3676</v>
      </c>
      <c r="C1149" s="105" t="s">
        <v>3673</v>
      </c>
      <c r="D1149" s="149" t="s">
        <v>3677</v>
      </c>
      <c r="E1149" s="105">
        <v>6</v>
      </c>
      <c r="F1149" s="158" t="s">
        <v>3678</v>
      </c>
      <c r="G1149" s="158" t="s">
        <v>3679</v>
      </c>
      <c r="H1149" s="119"/>
      <c r="I1149" s="119">
        <v>264</v>
      </c>
      <c r="J1149" s="151">
        <v>0</v>
      </c>
      <c r="K1149" s="119">
        <f t="shared" si="52"/>
        <v>264</v>
      </c>
      <c r="L1149" s="152">
        <f t="shared" si="53"/>
        <v>229.5</v>
      </c>
      <c r="M1149" s="113"/>
    </row>
    <row r="1150" spans="1:13" s="114" customFormat="1" x14ac:dyDescent="0.2">
      <c r="A1150" s="161" t="s">
        <v>1740</v>
      </c>
      <c r="B1150" s="105" t="s">
        <v>3680</v>
      </c>
      <c r="C1150" s="105" t="s">
        <v>3673</v>
      </c>
      <c r="D1150" s="149" t="s">
        <v>3681</v>
      </c>
      <c r="E1150" s="105">
        <v>24</v>
      </c>
      <c r="F1150" s="158" t="s">
        <v>3682</v>
      </c>
      <c r="G1150" s="158" t="s">
        <v>1939</v>
      </c>
      <c r="H1150" s="119"/>
      <c r="I1150" s="119">
        <v>174</v>
      </c>
      <c r="J1150" s="151">
        <v>0</v>
      </c>
      <c r="K1150" s="119">
        <f t="shared" si="52"/>
        <v>174</v>
      </c>
      <c r="L1150" s="152">
        <f t="shared" si="53"/>
        <v>150.96</v>
      </c>
      <c r="M1150" s="113"/>
    </row>
    <row r="1151" spans="1:13" s="114" customFormat="1" x14ac:dyDescent="0.2">
      <c r="A1151" s="161" t="s">
        <v>1740</v>
      </c>
      <c r="B1151" s="105" t="s">
        <v>3352</v>
      </c>
      <c r="C1151" s="105" t="s">
        <v>3673</v>
      </c>
      <c r="D1151" s="149" t="s">
        <v>3353</v>
      </c>
      <c r="E1151" s="105">
        <v>60</v>
      </c>
      <c r="F1151" s="158" t="s">
        <v>2547</v>
      </c>
      <c r="G1151" s="158" t="s">
        <v>1853</v>
      </c>
      <c r="H1151" s="119"/>
      <c r="I1151" s="119">
        <v>450</v>
      </c>
      <c r="J1151" s="151">
        <v>0</v>
      </c>
      <c r="K1151" s="119">
        <f t="shared" si="52"/>
        <v>450</v>
      </c>
      <c r="L1151" s="152">
        <f t="shared" si="53"/>
        <v>367.2</v>
      </c>
      <c r="M1151" s="113"/>
    </row>
    <row r="1152" spans="1:13" s="114" customFormat="1" x14ac:dyDescent="0.2">
      <c r="A1152" s="161" t="s">
        <v>1740</v>
      </c>
      <c r="B1152" s="105" t="s">
        <v>3683</v>
      </c>
      <c r="C1152" s="105" t="s">
        <v>3673</v>
      </c>
      <c r="D1152" s="149" t="s">
        <v>3684</v>
      </c>
      <c r="E1152" s="105">
        <v>9</v>
      </c>
      <c r="F1152" s="158" t="s">
        <v>3685</v>
      </c>
      <c r="G1152" s="158" t="s">
        <v>2506</v>
      </c>
      <c r="H1152" s="119"/>
      <c r="I1152" s="119">
        <v>450</v>
      </c>
      <c r="J1152" s="151">
        <v>0</v>
      </c>
      <c r="K1152" s="119">
        <f t="shared" si="52"/>
        <v>450</v>
      </c>
      <c r="L1152" s="152">
        <f t="shared" si="53"/>
        <v>391.5</v>
      </c>
      <c r="M1152" s="113"/>
    </row>
    <row r="1153" spans="1:13" s="114" customFormat="1" x14ac:dyDescent="0.2">
      <c r="A1153" s="161" t="s">
        <v>1740</v>
      </c>
      <c r="B1153" s="105" t="s">
        <v>3686</v>
      </c>
      <c r="C1153" s="105" t="s">
        <v>3673</v>
      </c>
      <c r="D1153" s="149" t="s">
        <v>3687</v>
      </c>
      <c r="E1153" s="105">
        <v>11</v>
      </c>
      <c r="F1153" s="158" t="s">
        <v>3685</v>
      </c>
      <c r="G1153" s="158" t="s">
        <v>2506</v>
      </c>
      <c r="H1153" s="119"/>
      <c r="I1153" s="119">
        <v>550</v>
      </c>
      <c r="J1153" s="151">
        <v>0</v>
      </c>
      <c r="K1153" s="119">
        <f t="shared" si="52"/>
        <v>550</v>
      </c>
      <c r="L1153" s="152">
        <f t="shared" si="53"/>
        <v>478.5</v>
      </c>
      <c r="M1153" s="113"/>
    </row>
    <row r="1154" spans="1:13" s="114" customFormat="1" x14ac:dyDescent="0.2">
      <c r="A1154" s="161" t="s">
        <v>1740</v>
      </c>
      <c r="B1154" s="105" t="s">
        <v>2884</v>
      </c>
      <c r="C1154" s="105" t="s">
        <v>3673</v>
      </c>
      <c r="D1154" s="149" t="s">
        <v>2886</v>
      </c>
      <c r="E1154" s="105">
        <v>4</v>
      </c>
      <c r="F1154" s="158" t="s">
        <v>3671</v>
      </c>
      <c r="G1154" s="158" t="s">
        <v>3672</v>
      </c>
      <c r="H1154" s="119"/>
      <c r="I1154" s="119">
        <v>1451</v>
      </c>
      <c r="J1154" s="151">
        <v>0</v>
      </c>
      <c r="K1154" s="119">
        <f t="shared" si="52"/>
        <v>1451</v>
      </c>
      <c r="L1154" s="152">
        <f t="shared" si="53"/>
        <v>1208.52</v>
      </c>
      <c r="M1154" s="113"/>
    </row>
    <row r="1155" spans="1:13" s="114" customFormat="1" x14ac:dyDescent="0.2">
      <c r="A1155" s="161" t="s">
        <v>1740</v>
      </c>
      <c r="B1155" s="105" t="s">
        <v>2959</v>
      </c>
      <c r="C1155" s="105" t="s">
        <v>3673</v>
      </c>
      <c r="D1155" s="149" t="s">
        <v>2960</v>
      </c>
      <c r="E1155" s="105">
        <v>2</v>
      </c>
      <c r="F1155" s="158" t="s">
        <v>2961</v>
      </c>
      <c r="G1155" s="158" t="s">
        <v>2962</v>
      </c>
      <c r="H1155" s="119"/>
      <c r="I1155" s="119">
        <v>1230</v>
      </c>
      <c r="J1155" s="151">
        <v>0</v>
      </c>
      <c r="K1155" s="119">
        <f t="shared" si="52"/>
        <v>1230</v>
      </c>
      <c r="L1155" s="152">
        <f t="shared" si="53"/>
        <v>1059.1600000000001</v>
      </c>
      <c r="M1155" s="113"/>
    </row>
    <row r="1156" spans="1:13" s="114" customFormat="1" x14ac:dyDescent="0.2">
      <c r="A1156" s="161" t="s">
        <v>1740</v>
      </c>
      <c r="B1156" s="105" t="s">
        <v>2002</v>
      </c>
      <c r="C1156" s="105" t="s">
        <v>3673</v>
      </c>
      <c r="D1156" s="149" t="s">
        <v>2004</v>
      </c>
      <c r="E1156" s="105">
        <v>36</v>
      </c>
      <c r="F1156" s="158" t="s">
        <v>2005</v>
      </c>
      <c r="G1156" s="158" t="s">
        <v>2006</v>
      </c>
      <c r="H1156" s="119"/>
      <c r="I1156" s="119">
        <v>513</v>
      </c>
      <c r="J1156" s="151">
        <v>0</v>
      </c>
      <c r="K1156" s="119">
        <f t="shared" si="52"/>
        <v>513</v>
      </c>
      <c r="L1156" s="152">
        <f t="shared" si="53"/>
        <v>452.16</v>
      </c>
      <c r="M1156" s="113"/>
    </row>
    <row r="1157" spans="1:13" s="114" customFormat="1" x14ac:dyDescent="0.2">
      <c r="A1157" s="161" t="s">
        <v>1740</v>
      </c>
      <c r="B1157" s="105" t="s">
        <v>2884</v>
      </c>
      <c r="C1157" s="105" t="s">
        <v>3688</v>
      </c>
      <c r="D1157" s="149" t="s">
        <v>2886</v>
      </c>
      <c r="E1157" s="105">
        <v>5</v>
      </c>
      <c r="F1157" s="158" t="s">
        <v>3671</v>
      </c>
      <c r="G1157" s="158" t="s">
        <v>3672</v>
      </c>
      <c r="H1157" s="119"/>
      <c r="I1157" s="119">
        <v>1813.75</v>
      </c>
      <c r="J1157" s="151">
        <v>0</v>
      </c>
      <c r="K1157" s="119">
        <f t="shared" si="52"/>
        <v>1813.75</v>
      </c>
      <c r="L1157" s="152">
        <f t="shared" si="53"/>
        <v>1510.65</v>
      </c>
      <c r="M1157" s="113"/>
    </row>
    <row r="1158" spans="1:13" s="114" customFormat="1" x14ac:dyDescent="0.2">
      <c r="A1158" s="161" t="s">
        <v>1740</v>
      </c>
      <c r="B1158" s="105" t="s">
        <v>2278</v>
      </c>
      <c r="C1158" s="105" t="s">
        <v>3688</v>
      </c>
      <c r="D1158" s="149" t="s">
        <v>2280</v>
      </c>
      <c r="E1158" s="105">
        <v>4</v>
      </c>
      <c r="F1158" s="158" t="s">
        <v>2281</v>
      </c>
      <c r="G1158" s="158" t="s">
        <v>2282</v>
      </c>
      <c r="H1158" s="119"/>
      <c r="I1158" s="119">
        <v>664</v>
      </c>
      <c r="J1158" s="151">
        <v>0</v>
      </c>
      <c r="K1158" s="119">
        <f t="shared" ref="K1158:K1221" si="54">H1158+I1158-J1158</f>
        <v>664</v>
      </c>
      <c r="L1158" s="152">
        <f t="shared" ref="L1158:L1221" si="55">E1158*F1158</f>
        <v>577.24</v>
      </c>
      <c r="M1158" s="113"/>
    </row>
    <row r="1159" spans="1:13" s="114" customFormat="1" x14ac:dyDescent="0.2">
      <c r="A1159" s="161" t="s">
        <v>1740</v>
      </c>
      <c r="B1159" s="105" t="s">
        <v>2959</v>
      </c>
      <c r="C1159" s="105" t="s">
        <v>3688</v>
      </c>
      <c r="D1159" s="149" t="s">
        <v>2960</v>
      </c>
      <c r="E1159" s="105">
        <v>3</v>
      </c>
      <c r="F1159" s="158" t="s">
        <v>2961</v>
      </c>
      <c r="G1159" s="158" t="s">
        <v>2962</v>
      </c>
      <c r="H1159" s="119"/>
      <c r="I1159" s="119">
        <v>1845</v>
      </c>
      <c r="J1159" s="151">
        <v>0</v>
      </c>
      <c r="K1159" s="119">
        <f t="shared" si="54"/>
        <v>1845</v>
      </c>
      <c r="L1159" s="152">
        <f t="shared" si="55"/>
        <v>1588.7400000000002</v>
      </c>
      <c r="M1159" s="113"/>
    </row>
    <row r="1160" spans="1:13" s="114" customFormat="1" x14ac:dyDescent="0.2">
      <c r="A1160" s="161" t="s">
        <v>1740</v>
      </c>
      <c r="B1160" s="105" t="s">
        <v>2951</v>
      </c>
      <c r="C1160" s="105" t="s">
        <v>3688</v>
      </c>
      <c r="D1160" s="149" t="s">
        <v>2952</v>
      </c>
      <c r="E1160" s="105">
        <v>10</v>
      </c>
      <c r="F1160" s="158" t="s">
        <v>2953</v>
      </c>
      <c r="G1160" s="158" t="s">
        <v>2954</v>
      </c>
      <c r="H1160" s="119"/>
      <c r="I1160" s="119">
        <v>2490</v>
      </c>
      <c r="J1160" s="151">
        <v>0</v>
      </c>
      <c r="K1160" s="119">
        <f t="shared" si="54"/>
        <v>2490</v>
      </c>
      <c r="L1160" s="152">
        <f t="shared" si="55"/>
        <v>2165.8000000000002</v>
      </c>
      <c r="M1160" s="113"/>
    </row>
    <row r="1161" spans="1:13" s="114" customFormat="1" x14ac:dyDescent="0.2">
      <c r="A1161" s="161" t="s">
        <v>1740</v>
      </c>
      <c r="B1161" s="105" t="s">
        <v>2884</v>
      </c>
      <c r="C1161" s="105" t="s">
        <v>3689</v>
      </c>
      <c r="D1161" s="149" t="s">
        <v>2886</v>
      </c>
      <c r="E1161" s="105">
        <v>2</v>
      </c>
      <c r="F1161" s="158" t="s">
        <v>3671</v>
      </c>
      <c r="G1161" s="158" t="s">
        <v>3672</v>
      </c>
      <c r="H1161" s="119"/>
      <c r="I1161" s="119">
        <v>725.5</v>
      </c>
      <c r="J1161" s="151">
        <v>0</v>
      </c>
      <c r="K1161" s="119">
        <f t="shared" si="54"/>
        <v>725.5</v>
      </c>
      <c r="L1161" s="152">
        <f t="shared" si="55"/>
        <v>604.26</v>
      </c>
      <c r="M1161" s="113"/>
    </row>
    <row r="1162" spans="1:13" s="114" customFormat="1" x14ac:dyDescent="0.2">
      <c r="A1162" s="161" t="s">
        <v>1740</v>
      </c>
      <c r="B1162" s="105" t="s">
        <v>2959</v>
      </c>
      <c r="C1162" s="105" t="s">
        <v>3689</v>
      </c>
      <c r="D1162" s="149" t="s">
        <v>2960</v>
      </c>
      <c r="E1162" s="105">
        <v>3</v>
      </c>
      <c r="F1162" s="158" t="s">
        <v>2961</v>
      </c>
      <c r="G1162" s="158" t="s">
        <v>2962</v>
      </c>
      <c r="H1162" s="119"/>
      <c r="I1162" s="119">
        <v>1845</v>
      </c>
      <c r="J1162" s="151">
        <v>0</v>
      </c>
      <c r="K1162" s="119">
        <f t="shared" si="54"/>
        <v>1845</v>
      </c>
      <c r="L1162" s="152">
        <f t="shared" si="55"/>
        <v>1588.7400000000002</v>
      </c>
      <c r="M1162" s="113"/>
    </row>
    <row r="1163" spans="1:13" s="114" customFormat="1" x14ac:dyDescent="0.2">
      <c r="A1163" s="161" t="s">
        <v>1740</v>
      </c>
      <c r="B1163" s="105" t="s">
        <v>3690</v>
      </c>
      <c r="C1163" s="105" t="s">
        <v>3689</v>
      </c>
      <c r="D1163" s="149" t="s">
        <v>3691</v>
      </c>
      <c r="E1163" s="105">
        <v>10</v>
      </c>
      <c r="F1163" s="158" t="s">
        <v>3692</v>
      </c>
      <c r="G1163" s="158" t="s">
        <v>3693</v>
      </c>
      <c r="H1163" s="119"/>
      <c r="I1163" s="119">
        <v>617.5</v>
      </c>
      <c r="J1163" s="151">
        <v>0</v>
      </c>
      <c r="K1163" s="119">
        <f t="shared" si="54"/>
        <v>617.5</v>
      </c>
      <c r="L1163" s="152">
        <f t="shared" si="55"/>
        <v>536.4</v>
      </c>
      <c r="M1163" s="113"/>
    </row>
    <row r="1164" spans="1:13" s="114" customFormat="1" x14ac:dyDescent="0.2">
      <c r="A1164" s="161" t="s">
        <v>1740</v>
      </c>
      <c r="B1164" s="105" t="s">
        <v>2959</v>
      </c>
      <c r="C1164" s="105" t="s">
        <v>3694</v>
      </c>
      <c r="D1164" s="149" t="s">
        <v>2960</v>
      </c>
      <c r="E1164" s="105">
        <v>3</v>
      </c>
      <c r="F1164" s="158" t="s">
        <v>2961</v>
      </c>
      <c r="G1164" s="158" t="s">
        <v>2962</v>
      </c>
      <c r="H1164" s="119"/>
      <c r="I1164" s="119">
        <v>1845</v>
      </c>
      <c r="J1164" s="151">
        <v>0</v>
      </c>
      <c r="K1164" s="119">
        <f t="shared" si="54"/>
        <v>1845</v>
      </c>
      <c r="L1164" s="152">
        <f t="shared" si="55"/>
        <v>1588.7400000000002</v>
      </c>
      <c r="M1164" s="113"/>
    </row>
    <row r="1165" spans="1:13" s="114" customFormat="1" x14ac:dyDescent="0.2">
      <c r="A1165" s="161" t="s">
        <v>1740</v>
      </c>
      <c r="B1165" s="105" t="s">
        <v>3695</v>
      </c>
      <c r="C1165" s="105" t="s">
        <v>3696</v>
      </c>
      <c r="D1165" s="149" t="s">
        <v>3697</v>
      </c>
      <c r="E1165" s="105">
        <v>10</v>
      </c>
      <c r="F1165" s="158" t="s">
        <v>3685</v>
      </c>
      <c r="G1165" s="158" t="s">
        <v>2506</v>
      </c>
      <c r="H1165" s="119"/>
      <c r="I1165" s="119">
        <v>500</v>
      </c>
      <c r="J1165" s="151">
        <v>0</v>
      </c>
      <c r="K1165" s="119">
        <f t="shared" si="54"/>
        <v>500</v>
      </c>
      <c r="L1165" s="152">
        <f t="shared" si="55"/>
        <v>435</v>
      </c>
      <c r="M1165" s="113"/>
    </row>
    <row r="1166" spans="1:13" s="114" customFormat="1" x14ac:dyDescent="0.2">
      <c r="A1166" s="161" t="s">
        <v>1740</v>
      </c>
      <c r="B1166" s="105" t="s">
        <v>2884</v>
      </c>
      <c r="C1166" s="105" t="s">
        <v>3696</v>
      </c>
      <c r="D1166" s="149" t="s">
        <v>2886</v>
      </c>
      <c r="E1166" s="105">
        <v>2</v>
      </c>
      <c r="F1166" s="158" t="s">
        <v>3671</v>
      </c>
      <c r="G1166" s="158" t="s">
        <v>3672</v>
      </c>
      <c r="H1166" s="119"/>
      <c r="I1166" s="119">
        <v>725.5</v>
      </c>
      <c r="J1166" s="151">
        <v>0</v>
      </c>
      <c r="K1166" s="119">
        <f t="shared" si="54"/>
        <v>725.5</v>
      </c>
      <c r="L1166" s="152">
        <f t="shared" si="55"/>
        <v>604.26</v>
      </c>
      <c r="M1166" s="113"/>
    </row>
    <row r="1167" spans="1:13" s="114" customFormat="1" x14ac:dyDescent="0.2">
      <c r="A1167" s="161" t="s">
        <v>1740</v>
      </c>
      <c r="B1167" s="105" t="s">
        <v>3698</v>
      </c>
      <c r="C1167" s="105" t="s">
        <v>3696</v>
      </c>
      <c r="D1167" s="149" t="s">
        <v>3699</v>
      </c>
      <c r="E1167" s="105">
        <v>2</v>
      </c>
      <c r="F1167" s="158" t="s">
        <v>3700</v>
      </c>
      <c r="G1167" s="158" t="s">
        <v>3701</v>
      </c>
      <c r="H1167" s="119"/>
      <c r="I1167" s="119">
        <v>489.5</v>
      </c>
      <c r="J1167" s="151">
        <v>0</v>
      </c>
      <c r="K1167" s="119">
        <f t="shared" si="54"/>
        <v>489.5</v>
      </c>
      <c r="L1167" s="152">
        <f t="shared" si="55"/>
        <v>418.6</v>
      </c>
      <c r="M1167" s="113"/>
    </row>
    <row r="1168" spans="1:13" s="114" customFormat="1" x14ac:dyDescent="0.2">
      <c r="A1168" s="161" t="s">
        <v>1740</v>
      </c>
      <c r="B1168" s="105" t="s">
        <v>3702</v>
      </c>
      <c r="C1168" s="105" t="s">
        <v>3696</v>
      </c>
      <c r="D1168" s="149" t="s">
        <v>3703</v>
      </c>
      <c r="E1168" s="105">
        <v>1</v>
      </c>
      <c r="F1168" s="158" t="s">
        <v>3704</v>
      </c>
      <c r="G1168" s="158" t="s">
        <v>3705</v>
      </c>
      <c r="H1168" s="119"/>
      <c r="I1168" s="119">
        <v>403.25</v>
      </c>
      <c r="J1168" s="151">
        <v>0</v>
      </c>
      <c r="K1168" s="119">
        <f t="shared" si="54"/>
        <v>403.25</v>
      </c>
      <c r="L1168" s="152">
        <f t="shared" si="55"/>
        <v>350.45</v>
      </c>
      <c r="M1168" s="113"/>
    </row>
    <row r="1169" spans="1:13" s="114" customFormat="1" x14ac:dyDescent="0.2">
      <c r="A1169" s="161" t="s">
        <v>1740</v>
      </c>
      <c r="B1169" s="105" t="s">
        <v>2959</v>
      </c>
      <c r="C1169" s="105" t="s">
        <v>3696</v>
      </c>
      <c r="D1169" s="149" t="s">
        <v>2960</v>
      </c>
      <c r="E1169" s="105">
        <v>1</v>
      </c>
      <c r="F1169" s="158" t="s">
        <v>2961</v>
      </c>
      <c r="G1169" s="158" t="s">
        <v>2962</v>
      </c>
      <c r="H1169" s="119"/>
      <c r="I1169" s="119">
        <v>615</v>
      </c>
      <c r="J1169" s="151">
        <v>0</v>
      </c>
      <c r="K1169" s="119">
        <f t="shared" si="54"/>
        <v>615</v>
      </c>
      <c r="L1169" s="152">
        <f t="shared" si="55"/>
        <v>529.58000000000004</v>
      </c>
      <c r="M1169" s="113"/>
    </row>
    <row r="1170" spans="1:13" s="114" customFormat="1" x14ac:dyDescent="0.2">
      <c r="A1170" s="161" t="s">
        <v>1740</v>
      </c>
      <c r="B1170" s="105" t="s">
        <v>3185</v>
      </c>
      <c r="C1170" s="105" t="s">
        <v>3706</v>
      </c>
      <c r="D1170" s="149" t="s">
        <v>3187</v>
      </c>
      <c r="E1170" s="105">
        <v>1</v>
      </c>
      <c r="F1170" s="158" t="s">
        <v>3188</v>
      </c>
      <c r="G1170" s="158" t="s">
        <v>3189</v>
      </c>
      <c r="H1170" s="119">
        <f t="shared" ref="H1170:H1233" si="56">E1170*G1170</f>
        <v>148.5</v>
      </c>
      <c r="I1170" s="119"/>
      <c r="J1170" s="151">
        <v>0</v>
      </c>
      <c r="K1170" s="119">
        <f t="shared" si="54"/>
        <v>148.5</v>
      </c>
      <c r="L1170" s="152">
        <f t="shared" si="55"/>
        <v>129</v>
      </c>
      <c r="M1170" s="113"/>
    </row>
    <row r="1171" spans="1:13" s="114" customFormat="1" x14ac:dyDescent="0.2">
      <c r="A1171" s="161" t="s">
        <v>1740</v>
      </c>
      <c r="B1171" s="105" t="s">
        <v>1905</v>
      </c>
      <c r="C1171" s="105" t="s">
        <v>3707</v>
      </c>
      <c r="D1171" s="149" t="s">
        <v>1906</v>
      </c>
      <c r="E1171" s="105">
        <v>1</v>
      </c>
      <c r="F1171" s="158" t="s">
        <v>1859</v>
      </c>
      <c r="G1171" s="158" t="s">
        <v>1860</v>
      </c>
      <c r="H1171" s="119">
        <f t="shared" si="56"/>
        <v>17.5</v>
      </c>
      <c r="I1171" s="119"/>
      <c r="J1171" s="151">
        <v>0</v>
      </c>
      <c r="K1171" s="119">
        <f t="shared" si="54"/>
        <v>17.5</v>
      </c>
      <c r="L1171" s="152">
        <f t="shared" si="55"/>
        <v>15.12</v>
      </c>
      <c r="M1171" s="113"/>
    </row>
    <row r="1172" spans="1:13" s="114" customFormat="1" x14ac:dyDescent="0.2">
      <c r="A1172" s="161" t="s">
        <v>1740</v>
      </c>
      <c r="B1172" s="105" t="s">
        <v>1850</v>
      </c>
      <c r="C1172" s="105" t="s">
        <v>3707</v>
      </c>
      <c r="D1172" s="149" t="s">
        <v>1851</v>
      </c>
      <c r="E1172" s="105">
        <v>1</v>
      </c>
      <c r="F1172" s="158" t="s">
        <v>1852</v>
      </c>
      <c r="G1172" s="158" t="s">
        <v>1853</v>
      </c>
      <c r="H1172" s="119">
        <f t="shared" si="56"/>
        <v>7.5</v>
      </c>
      <c r="I1172" s="119"/>
      <c r="J1172" s="151">
        <v>0</v>
      </c>
      <c r="K1172" s="119">
        <f t="shared" si="54"/>
        <v>7.5</v>
      </c>
      <c r="L1172" s="152">
        <f t="shared" si="55"/>
        <v>6.18</v>
      </c>
      <c r="M1172" s="113"/>
    </row>
    <row r="1173" spans="1:13" s="114" customFormat="1" x14ac:dyDescent="0.2">
      <c r="A1173" s="161" t="s">
        <v>1740</v>
      </c>
      <c r="B1173" s="105" t="s">
        <v>2002</v>
      </c>
      <c r="C1173" s="105" t="s">
        <v>3708</v>
      </c>
      <c r="D1173" s="149" t="s">
        <v>2004</v>
      </c>
      <c r="E1173" s="105">
        <v>1</v>
      </c>
      <c r="F1173" s="158" t="s">
        <v>2005</v>
      </c>
      <c r="G1173" s="158" t="s">
        <v>2006</v>
      </c>
      <c r="H1173" s="119">
        <f t="shared" si="56"/>
        <v>14.25</v>
      </c>
      <c r="I1173" s="119"/>
      <c r="J1173" s="151">
        <v>0</v>
      </c>
      <c r="K1173" s="119">
        <f t="shared" si="54"/>
        <v>14.25</v>
      </c>
      <c r="L1173" s="152">
        <f t="shared" si="55"/>
        <v>12.56</v>
      </c>
      <c r="M1173" s="113"/>
    </row>
    <row r="1174" spans="1:13" s="114" customFormat="1" x14ac:dyDescent="0.2">
      <c r="A1174" s="161" t="s">
        <v>1740</v>
      </c>
      <c r="B1174" s="105" t="s">
        <v>3356</v>
      </c>
      <c r="C1174" s="105" t="s">
        <v>3709</v>
      </c>
      <c r="D1174" s="149" t="s">
        <v>3358</v>
      </c>
      <c r="E1174" s="105">
        <v>1</v>
      </c>
      <c r="F1174" s="158" t="s">
        <v>3359</v>
      </c>
      <c r="G1174" s="158" t="s">
        <v>1943</v>
      </c>
      <c r="H1174" s="119">
        <f t="shared" si="56"/>
        <v>7</v>
      </c>
      <c r="I1174" s="119"/>
      <c r="J1174" s="151">
        <v>0</v>
      </c>
      <c r="K1174" s="119">
        <f t="shared" si="54"/>
        <v>7</v>
      </c>
      <c r="L1174" s="152">
        <f t="shared" si="55"/>
        <v>6.03</v>
      </c>
      <c r="M1174" s="113"/>
    </row>
    <row r="1175" spans="1:13" s="114" customFormat="1" x14ac:dyDescent="0.2">
      <c r="A1175" s="161" t="s">
        <v>1740</v>
      </c>
      <c r="B1175" s="105" t="s">
        <v>2377</v>
      </c>
      <c r="C1175" s="105" t="s">
        <v>3710</v>
      </c>
      <c r="D1175" s="149" t="s">
        <v>2378</v>
      </c>
      <c r="E1175" s="105">
        <v>1</v>
      </c>
      <c r="F1175" s="158" t="s">
        <v>1800</v>
      </c>
      <c r="G1175" s="158" t="s">
        <v>1801</v>
      </c>
      <c r="H1175" s="119">
        <f t="shared" si="56"/>
        <v>9.5</v>
      </c>
      <c r="I1175" s="119"/>
      <c r="J1175" s="151">
        <v>0</v>
      </c>
      <c r="K1175" s="119">
        <f t="shared" si="54"/>
        <v>9.5</v>
      </c>
      <c r="L1175" s="152">
        <f t="shared" si="55"/>
        <v>8.1999999999999993</v>
      </c>
      <c r="M1175" s="113"/>
    </row>
    <row r="1176" spans="1:13" s="114" customFormat="1" x14ac:dyDescent="0.2">
      <c r="A1176" s="161" t="s">
        <v>1740</v>
      </c>
      <c r="B1176" s="105" t="s">
        <v>3613</v>
      </c>
      <c r="C1176" s="105" t="s">
        <v>3710</v>
      </c>
      <c r="D1176" s="149" t="s">
        <v>3614</v>
      </c>
      <c r="E1176" s="105">
        <v>1</v>
      </c>
      <c r="F1176" s="158" t="s">
        <v>3615</v>
      </c>
      <c r="G1176" s="158" t="s">
        <v>1801</v>
      </c>
      <c r="H1176" s="119">
        <f t="shared" si="56"/>
        <v>9.5</v>
      </c>
      <c r="I1176" s="119"/>
      <c r="J1176" s="151">
        <v>0</v>
      </c>
      <c r="K1176" s="119">
        <f t="shared" si="54"/>
        <v>9.5</v>
      </c>
      <c r="L1176" s="152">
        <f t="shared" si="55"/>
        <v>8.15</v>
      </c>
      <c r="M1176" s="113"/>
    </row>
    <row r="1177" spans="1:13" s="114" customFormat="1" x14ac:dyDescent="0.2">
      <c r="A1177" s="161" t="s">
        <v>1740</v>
      </c>
      <c r="B1177" s="105" t="s">
        <v>2610</v>
      </c>
      <c r="C1177" s="105" t="s">
        <v>3711</v>
      </c>
      <c r="D1177" s="149" t="s">
        <v>2612</v>
      </c>
      <c r="E1177" s="105">
        <v>1</v>
      </c>
      <c r="F1177" s="158" t="s">
        <v>2613</v>
      </c>
      <c r="G1177" s="158" t="s">
        <v>2614</v>
      </c>
      <c r="H1177" s="119">
        <f t="shared" si="56"/>
        <v>59.25</v>
      </c>
      <c r="I1177" s="119"/>
      <c r="J1177" s="151">
        <v>0</v>
      </c>
      <c r="K1177" s="119">
        <f t="shared" si="54"/>
        <v>59.25</v>
      </c>
      <c r="L1177" s="152">
        <f t="shared" si="55"/>
        <v>53.9</v>
      </c>
      <c r="M1177" s="113"/>
    </row>
    <row r="1178" spans="1:13" s="114" customFormat="1" x14ac:dyDescent="0.2">
      <c r="A1178" s="161" t="s">
        <v>1740</v>
      </c>
      <c r="B1178" s="105" t="s">
        <v>1967</v>
      </c>
      <c r="C1178" s="105" t="s">
        <v>3711</v>
      </c>
      <c r="D1178" s="149" t="s">
        <v>1968</v>
      </c>
      <c r="E1178" s="105">
        <v>1</v>
      </c>
      <c r="F1178" s="158" t="s">
        <v>1800</v>
      </c>
      <c r="G1178" s="158" t="s">
        <v>1788</v>
      </c>
      <c r="H1178" s="119">
        <f t="shared" si="56"/>
        <v>10</v>
      </c>
      <c r="I1178" s="119"/>
      <c r="J1178" s="151">
        <v>0</v>
      </c>
      <c r="K1178" s="119">
        <f t="shared" si="54"/>
        <v>10</v>
      </c>
      <c r="L1178" s="152">
        <f t="shared" si="55"/>
        <v>8.1999999999999993</v>
      </c>
      <c r="M1178" s="113"/>
    </row>
    <row r="1179" spans="1:13" s="114" customFormat="1" x14ac:dyDescent="0.2">
      <c r="A1179" s="161" t="s">
        <v>1740</v>
      </c>
      <c r="B1179" s="105" t="s">
        <v>3712</v>
      </c>
      <c r="C1179" s="105" t="s">
        <v>3713</v>
      </c>
      <c r="D1179" s="149" t="s">
        <v>3714</v>
      </c>
      <c r="E1179" s="105">
        <v>1</v>
      </c>
      <c r="F1179" s="158" t="s">
        <v>3715</v>
      </c>
      <c r="G1179" s="158" t="s">
        <v>3716</v>
      </c>
      <c r="H1179" s="119">
        <f t="shared" si="56"/>
        <v>42</v>
      </c>
      <c r="I1179" s="119"/>
      <c r="J1179" s="151">
        <v>0</v>
      </c>
      <c r="K1179" s="119">
        <f t="shared" si="54"/>
        <v>42</v>
      </c>
      <c r="L1179" s="152">
        <f t="shared" si="55"/>
        <v>41.15</v>
      </c>
      <c r="M1179" s="113"/>
    </row>
    <row r="1180" spans="1:13" s="114" customFormat="1" x14ac:dyDescent="0.2">
      <c r="A1180" s="161" t="s">
        <v>1740</v>
      </c>
      <c r="B1180" s="105" t="s">
        <v>3267</v>
      </c>
      <c r="C1180" s="105" t="s">
        <v>3717</v>
      </c>
      <c r="D1180" s="149" t="s">
        <v>3268</v>
      </c>
      <c r="E1180" s="105">
        <v>1</v>
      </c>
      <c r="F1180" s="158" t="s">
        <v>3269</v>
      </c>
      <c r="G1180" s="158" t="s">
        <v>3270</v>
      </c>
      <c r="H1180" s="119">
        <f t="shared" si="56"/>
        <v>13.5</v>
      </c>
      <c r="I1180" s="119"/>
      <c r="J1180" s="151">
        <v>0</v>
      </c>
      <c r="K1180" s="119">
        <f t="shared" si="54"/>
        <v>13.5</v>
      </c>
      <c r="L1180" s="152">
        <f t="shared" si="55"/>
        <v>11.5</v>
      </c>
      <c r="M1180" s="113"/>
    </row>
    <row r="1181" spans="1:13" s="114" customFormat="1" x14ac:dyDescent="0.2">
      <c r="A1181" s="161" t="s">
        <v>1740</v>
      </c>
      <c r="B1181" s="105" t="s">
        <v>3634</v>
      </c>
      <c r="C1181" s="105" t="s">
        <v>3717</v>
      </c>
      <c r="D1181" s="149" t="s">
        <v>3636</v>
      </c>
      <c r="E1181" s="105">
        <v>1</v>
      </c>
      <c r="F1181" s="158" t="s">
        <v>3637</v>
      </c>
      <c r="G1181" s="158" t="s">
        <v>1788</v>
      </c>
      <c r="H1181" s="119">
        <f t="shared" si="56"/>
        <v>10</v>
      </c>
      <c r="I1181" s="119"/>
      <c r="J1181" s="151">
        <v>0</v>
      </c>
      <c r="K1181" s="119">
        <f t="shared" si="54"/>
        <v>10</v>
      </c>
      <c r="L1181" s="152">
        <f t="shared" si="55"/>
        <v>8.5299999999999994</v>
      </c>
      <c r="M1181" s="113"/>
    </row>
    <row r="1182" spans="1:13" s="114" customFormat="1" x14ac:dyDescent="0.2">
      <c r="A1182" s="161" t="s">
        <v>1740</v>
      </c>
      <c r="B1182" s="105" t="s">
        <v>3718</v>
      </c>
      <c r="C1182" s="105" t="s">
        <v>3717</v>
      </c>
      <c r="D1182" s="149" t="s">
        <v>3719</v>
      </c>
      <c r="E1182" s="105">
        <v>1</v>
      </c>
      <c r="F1182" s="158" t="s">
        <v>3720</v>
      </c>
      <c r="G1182" s="158" t="s">
        <v>1939</v>
      </c>
      <c r="H1182" s="119">
        <f t="shared" si="56"/>
        <v>7.25</v>
      </c>
      <c r="I1182" s="119"/>
      <c r="J1182" s="151">
        <v>0</v>
      </c>
      <c r="K1182" s="119">
        <f t="shared" si="54"/>
        <v>7.25</v>
      </c>
      <c r="L1182" s="152">
        <f t="shared" si="55"/>
        <v>6.27</v>
      </c>
      <c r="M1182" s="113"/>
    </row>
    <row r="1183" spans="1:13" s="114" customFormat="1" x14ac:dyDescent="0.2">
      <c r="A1183" s="161" t="s">
        <v>1740</v>
      </c>
      <c r="B1183" s="105" t="s">
        <v>3721</v>
      </c>
      <c r="C1183" s="105" t="s">
        <v>3722</v>
      </c>
      <c r="D1183" s="149" t="s">
        <v>3723</v>
      </c>
      <c r="E1183" s="157">
        <v>1</v>
      </c>
      <c r="F1183" s="158" t="s">
        <v>3724</v>
      </c>
      <c r="G1183" s="158" t="s">
        <v>3725</v>
      </c>
      <c r="H1183" s="119">
        <f t="shared" si="56"/>
        <v>49.5</v>
      </c>
      <c r="I1183" s="119"/>
      <c r="J1183" s="151">
        <v>0</v>
      </c>
      <c r="K1183" s="119">
        <f t="shared" si="54"/>
        <v>49.5</v>
      </c>
      <c r="L1183" s="152">
        <f t="shared" si="55"/>
        <v>42.87</v>
      </c>
      <c r="M1183" s="113"/>
    </row>
    <row r="1184" spans="1:13" s="114" customFormat="1" x14ac:dyDescent="0.2">
      <c r="A1184" s="161" t="s">
        <v>1740</v>
      </c>
      <c r="B1184" s="105" t="s">
        <v>1781</v>
      </c>
      <c r="C1184" s="105" t="s">
        <v>3717</v>
      </c>
      <c r="D1184" s="149" t="s">
        <v>1782</v>
      </c>
      <c r="E1184" s="105">
        <v>2</v>
      </c>
      <c r="F1184" s="158" t="s">
        <v>1783</v>
      </c>
      <c r="G1184" s="158" t="s">
        <v>1784</v>
      </c>
      <c r="H1184" s="119">
        <f t="shared" si="56"/>
        <v>22</v>
      </c>
      <c r="I1184" s="119"/>
      <c r="J1184" s="151">
        <v>0</v>
      </c>
      <c r="K1184" s="119">
        <f t="shared" si="54"/>
        <v>22</v>
      </c>
      <c r="L1184" s="152">
        <f t="shared" si="55"/>
        <v>18.760000000000002</v>
      </c>
      <c r="M1184" s="113"/>
    </row>
    <row r="1185" spans="1:13" s="114" customFormat="1" x14ac:dyDescent="0.2">
      <c r="A1185" s="161" t="s">
        <v>1740</v>
      </c>
      <c r="B1185" s="105" t="s">
        <v>2380</v>
      </c>
      <c r="C1185" s="105" t="s">
        <v>3722</v>
      </c>
      <c r="D1185" s="149" t="s">
        <v>2381</v>
      </c>
      <c r="E1185" s="105">
        <v>1</v>
      </c>
      <c r="F1185" s="158" t="s">
        <v>2382</v>
      </c>
      <c r="G1185" s="158" t="s">
        <v>2038</v>
      </c>
      <c r="H1185" s="119">
        <f t="shared" si="56"/>
        <v>26.25</v>
      </c>
      <c r="I1185" s="119"/>
      <c r="J1185" s="151">
        <v>0</v>
      </c>
      <c r="K1185" s="119">
        <f t="shared" si="54"/>
        <v>26.25</v>
      </c>
      <c r="L1185" s="152">
        <f t="shared" si="55"/>
        <v>22.73</v>
      </c>
      <c r="M1185" s="113"/>
    </row>
    <row r="1186" spans="1:13" s="114" customFormat="1" x14ac:dyDescent="0.2">
      <c r="A1186" s="161" t="s">
        <v>1740</v>
      </c>
      <c r="B1186" s="105" t="s">
        <v>2313</v>
      </c>
      <c r="C1186" s="105" t="s">
        <v>3726</v>
      </c>
      <c r="D1186" s="149" t="s">
        <v>2314</v>
      </c>
      <c r="E1186" s="105">
        <v>1</v>
      </c>
      <c r="F1186" s="158" t="s">
        <v>2315</v>
      </c>
      <c r="G1186" s="158" t="s">
        <v>2316</v>
      </c>
      <c r="H1186" s="119">
        <f t="shared" si="56"/>
        <v>39.75</v>
      </c>
      <c r="I1186" s="119"/>
      <c r="J1186" s="151">
        <v>0</v>
      </c>
      <c r="K1186" s="119">
        <f t="shared" si="54"/>
        <v>39.75</v>
      </c>
      <c r="L1186" s="152">
        <f t="shared" si="55"/>
        <v>34.380000000000003</v>
      </c>
      <c r="M1186" s="113"/>
    </row>
    <row r="1187" spans="1:13" s="114" customFormat="1" x14ac:dyDescent="0.2">
      <c r="A1187" s="161" t="s">
        <v>1740</v>
      </c>
      <c r="B1187" s="105" t="s">
        <v>3727</v>
      </c>
      <c r="C1187" s="105" t="s">
        <v>3728</v>
      </c>
      <c r="D1187" s="149" t="s">
        <v>3729</v>
      </c>
      <c r="E1187" s="105">
        <v>2</v>
      </c>
      <c r="F1187" s="158" t="s">
        <v>3146</v>
      </c>
      <c r="G1187" s="158" t="s">
        <v>2669</v>
      </c>
      <c r="H1187" s="119">
        <f t="shared" si="56"/>
        <v>43.5</v>
      </c>
      <c r="I1187" s="119"/>
      <c r="J1187" s="151">
        <v>0</v>
      </c>
      <c r="K1187" s="119">
        <f t="shared" si="54"/>
        <v>43.5</v>
      </c>
      <c r="L1187" s="152">
        <f t="shared" si="55"/>
        <v>37.5</v>
      </c>
      <c r="M1187" s="113"/>
    </row>
    <row r="1188" spans="1:13" s="114" customFormat="1" x14ac:dyDescent="0.2">
      <c r="A1188" s="161" t="s">
        <v>1740</v>
      </c>
      <c r="B1188" s="105" t="s">
        <v>3609</v>
      </c>
      <c r="C1188" s="105" t="s">
        <v>3728</v>
      </c>
      <c r="D1188" s="149" t="s">
        <v>3610</v>
      </c>
      <c r="E1188" s="105">
        <v>5</v>
      </c>
      <c r="F1188" s="158" t="s">
        <v>2204</v>
      </c>
      <c r="G1188" s="158" t="s">
        <v>3611</v>
      </c>
      <c r="H1188" s="119">
        <f t="shared" si="56"/>
        <v>81.25</v>
      </c>
      <c r="I1188" s="119"/>
      <c r="J1188" s="151">
        <v>0</v>
      </c>
      <c r="K1188" s="119">
        <f t="shared" si="54"/>
        <v>81.25</v>
      </c>
      <c r="L1188" s="152">
        <f t="shared" si="55"/>
        <v>70</v>
      </c>
      <c r="M1188" s="113"/>
    </row>
    <row r="1189" spans="1:13" s="114" customFormat="1" x14ac:dyDescent="0.2">
      <c r="A1189" s="161" t="s">
        <v>1740</v>
      </c>
      <c r="B1189" s="105" t="s">
        <v>1861</v>
      </c>
      <c r="C1189" s="105" t="s">
        <v>3728</v>
      </c>
      <c r="D1189" s="149" t="s">
        <v>1862</v>
      </c>
      <c r="E1189" s="105">
        <v>1</v>
      </c>
      <c r="F1189" s="158" t="s">
        <v>1808</v>
      </c>
      <c r="G1189" s="158" t="s">
        <v>1809</v>
      </c>
      <c r="H1189" s="119">
        <f t="shared" si="56"/>
        <v>18</v>
      </c>
      <c r="I1189" s="119"/>
      <c r="J1189" s="151">
        <v>0</v>
      </c>
      <c r="K1189" s="119">
        <f t="shared" si="54"/>
        <v>18</v>
      </c>
      <c r="L1189" s="152">
        <f t="shared" si="55"/>
        <v>15.65</v>
      </c>
      <c r="M1189" s="113"/>
    </row>
    <row r="1190" spans="1:13" s="114" customFormat="1" x14ac:dyDescent="0.2">
      <c r="A1190" s="161" t="s">
        <v>1740</v>
      </c>
      <c r="B1190" s="105" t="s">
        <v>3718</v>
      </c>
      <c r="C1190" s="105" t="s">
        <v>3728</v>
      </c>
      <c r="D1190" s="149" t="s">
        <v>3719</v>
      </c>
      <c r="E1190" s="105">
        <v>1</v>
      </c>
      <c r="F1190" s="158" t="s">
        <v>3720</v>
      </c>
      <c r="G1190" s="158" t="s">
        <v>1939</v>
      </c>
      <c r="H1190" s="119">
        <f t="shared" si="56"/>
        <v>7.25</v>
      </c>
      <c r="I1190" s="119"/>
      <c r="J1190" s="151">
        <v>0</v>
      </c>
      <c r="K1190" s="119">
        <f t="shared" si="54"/>
        <v>7.25</v>
      </c>
      <c r="L1190" s="152">
        <f t="shared" si="55"/>
        <v>6.27</v>
      </c>
      <c r="M1190" s="113"/>
    </row>
    <row r="1191" spans="1:13" s="114" customFormat="1" x14ac:dyDescent="0.2">
      <c r="A1191" s="161" t="s">
        <v>1740</v>
      </c>
      <c r="B1191" s="105" t="s">
        <v>3434</v>
      </c>
      <c r="C1191" s="105" t="s">
        <v>3728</v>
      </c>
      <c r="D1191" s="149" t="s">
        <v>3436</v>
      </c>
      <c r="E1191" s="105">
        <v>1</v>
      </c>
      <c r="F1191" s="158" t="s">
        <v>1965</v>
      </c>
      <c r="G1191" s="158" t="s">
        <v>1966</v>
      </c>
      <c r="H1191" s="119">
        <f t="shared" si="56"/>
        <v>8.25</v>
      </c>
      <c r="I1191" s="119"/>
      <c r="J1191" s="151">
        <v>0</v>
      </c>
      <c r="K1191" s="119">
        <f t="shared" si="54"/>
        <v>8.25</v>
      </c>
      <c r="L1191" s="152">
        <f t="shared" si="55"/>
        <v>7.06</v>
      </c>
      <c r="M1191" s="113"/>
    </row>
    <row r="1192" spans="1:13" s="114" customFormat="1" x14ac:dyDescent="0.2">
      <c r="A1192" s="161" t="s">
        <v>1740</v>
      </c>
      <c r="B1192" s="105" t="s">
        <v>3634</v>
      </c>
      <c r="C1192" s="105" t="s">
        <v>3728</v>
      </c>
      <c r="D1192" s="149" t="s">
        <v>3636</v>
      </c>
      <c r="E1192" s="105">
        <v>3</v>
      </c>
      <c r="F1192" s="158" t="s">
        <v>3637</v>
      </c>
      <c r="G1192" s="158" t="s">
        <v>1788</v>
      </c>
      <c r="H1192" s="119">
        <f t="shared" si="56"/>
        <v>30</v>
      </c>
      <c r="I1192" s="119"/>
      <c r="J1192" s="151">
        <v>0</v>
      </c>
      <c r="K1192" s="119">
        <f t="shared" si="54"/>
        <v>30</v>
      </c>
      <c r="L1192" s="152">
        <f t="shared" si="55"/>
        <v>25.589999999999996</v>
      </c>
      <c r="M1192" s="113"/>
    </row>
    <row r="1193" spans="1:13" s="114" customFormat="1" x14ac:dyDescent="0.2">
      <c r="A1193" s="161" t="s">
        <v>1740</v>
      </c>
      <c r="B1193" s="105" t="s">
        <v>2189</v>
      </c>
      <c r="C1193" s="105" t="s">
        <v>3728</v>
      </c>
      <c r="D1193" s="149" t="s">
        <v>2190</v>
      </c>
      <c r="E1193" s="105">
        <v>1</v>
      </c>
      <c r="F1193" s="158" t="s">
        <v>2191</v>
      </c>
      <c r="G1193" s="158" t="s">
        <v>2192</v>
      </c>
      <c r="H1193" s="119">
        <f t="shared" si="56"/>
        <v>71.5</v>
      </c>
      <c r="I1193" s="119"/>
      <c r="J1193" s="151">
        <v>0</v>
      </c>
      <c r="K1193" s="119">
        <f t="shared" si="54"/>
        <v>71.5</v>
      </c>
      <c r="L1193" s="152">
        <f t="shared" si="55"/>
        <v>65</v>
      </c>
      <c r="M1193" s="113"/>
    </row>
    <row r="1194" spans="1:13" s="114" customFormat="1" x14ac:dyDescent="0.2">
      <c r="A1194" s="161" t="s">
        <v>1740</v>
      </c>
      <c r="B1194" s="105" t="s">
        <v>2655</v>
      </c>
      <c r="C1194" s="105" t="s">
        <v>3728</v>
      </c>
      <c r="D1194" s="149" t="s">
        <v>2656</v>
      </c>
      <c r="E1194" s="105">
        <v>1</v>
      </c>
      <c r="F1194" s="158" t="s">
        <v>2657</v>
      </c>
      <c r="G1194" s="158" t="s">
        <v>2658</v>
      </c>
      <c r="H1194" s="119">
        <f t="shared" si="56"/>
        <v>81.5</v>
      </c>
      <c r="I1194" s="119"/>
      <c r="J1194" s="151">
        <v>0</v>
      </c>
      <c r="K1194" s="119">
        <f t="shared" si="54"/>
        <v>81.5</v>
      </c>
      <c r="L1194" s="152">
        <f t="shared" si="55"/>
        <v>70.91</v>
      </c>
      <c r="M1194" s="113"/>
    </row>
    <row r="1195" spans="1:13" s="114" customFormat="1" x14ac:dyDescent="0.2">
      <c r="A1195" s="161" t="s">
        <v>1740</v>
      </c>
      <c r="B1195" s="105" t="s">
        <v>3730</v>
      </c>
      <c r="C1195" s="105" t="s">
        <v>3731</v>
      </c>
      <c r="D1195" s="149" t="s">
        <v>3732</v>
      </c>
      <c r="E1195" s="105">
        <v>1</v>
      </c>
      <c r="F1195" s="158" t="s">
        <v>2470</v>
      </c>
      <c r="G1195" s="158" t="s">
        <v>1829</v>
      </c>
      <c r="H1195" s="119">
        <f t="shared" si="56"/>
        <v>120</v>
      </c>
      <c r="I1195" s="119"/>
      <c r="J1195" s="151">
        <v>0</v>
      </c>
      <c r="K1195" s="119">
        <f t="shared" si="54"/>
        <v>120</v>
      </c>
      <c r="L1195" s="152">
        <f t="shared" si="55"/>
        <v>100</v>
      </c>
      <c r="M1195" s="113"/>
    </row>
    <row r="1196" spans="1:13" s="114" customFormat="1" x14ac:dyDescent="0.2">
      <c r="A1196" s="161" t="s">
        <v>1740</v>
      </c>
      <c r="B1196" s="105" t="s">
        <v>3733</v>
      </c>
      <c r="C1196" s="105" t="s">
        <v>3734</v>
      </c>
      <c r="D1196" s="149" t="s">
        <v>3735</v>
      </c>
      <c r="E1196" s="105">
        <v>1</v>
      </c>
      <c r="F1196" s="158" t="s">
        <v>3736</v>
      </c>
      <c r="G1196" s="158" t="s">
        <v>3737</v>
      </c>
      <c r="H1196" s="119"/>
      <c r="I1196" s="119">
        <v>43000</v>
      </c>
      <c r="J1196" s="151">
        <v>0</v>
      </c>
      <c r="K1196" s="119">
        <f t="shared" si="54"/>
        <v>43000</v>
      </c>
      <c r="L1196" s="152">
        <f t="shared" si="55"/>
        <v>42000</v>
      </c>
      <c r="M1196" s="113"/>
    </row>
    <row r="1197" spans="1:13" s="114" customFormat="1" x14ac:dyDescent="0.2">
      <c r="A1197" s="161" t="s">
        <v>1740</v>
      </c>
      <c r="B1197" s="105" t="s">
        <v>3738</v>
      </c>
      <c r="C1197" s="105" t="s">
        <v>3734</v>
      </c>
      <c r="D1197" s="149" t="s">
        <v>3739</v>
      </c>
      <c r="E1197" s="105">
        <v>15</v>
      </c>
      <c r="F1197" s="158" t="s">
        <v>1868</v>
      </c>
      <c r="G1197" s="158" t="s">
        <v>3740</v>
      </c>
      <c r="H1197" s="119"/>
      <c r="I1197" s="119">
        <v>7500</v>
      </c>
      <c r="J1197" s="151">
        <v>0</v>
      </c>
      <c r="K1197" s="119">
        <f t="shared" si="54"/>
        <v>7500</v>
      </c>
      <c r="L1197" s="152">
        <f t="shared" si="55"/>
        <v>6750</v>
      </c>
      <c r="M1197" s="113"/>
    </row>
    <row r="1198" spans="1:13" s="114" customFormat="1" x14ac:dyDescent="0.2">
      <c r="A1198" s="161" t="s">
        <v>1740</v>
      </c>
      <c r="B1198" s="105" t="s">
        <v>3360</v>
      </c>
      <c r="C1198" s="105" t="s">
        <v>3741</v>
      </c>
      <c r="D1198" s="149" t="s">
        <v>3361</v>
      </c>
      <c r="E1198" s="105">
        <v>1</v>
      </c>
      <c r="F1198" s="158" t="s">
        <v>3359</v>
      </c>
      <c r="G1198" s="158" t="s">
        <v>1943</v>
      </c>
      <c r="H1198" s="119">
        <f t="shared" si="56"/>
        <v>7</v>
      </c>
      <c r="I1198" s="119"/>
      <c r="J1198" s="151">
        <v>0</v>
      </c>
      <c r="K1198" s="119">
        <f t="shared" si="54"/>
        <v>7</v>
      </c>
      <c r="L1198" s="152">
        <f t="shared" si="55"/>
        <v>6.03</v>
      </c>
      <c r="M1198" s="113"/>
    </row>
    <row r="1199" spans="1:13" s="114" customFormat="1" x14ac:dyDescent="0.2">
      <c r="A1199" s="161" t="s">
        <v>1740</v>
      </c>
      <c r="B1199" s="105" t="s">
        <v>3314</v>
      </c>
      <c r="C1199" s="105" t="s">
        <v>3742</v>
      </c>
      <c r="D1199" s="149" t="s">
        <v>3316</v>
      </c>
      <c r="E1199" s="105">
        <v>1</v>
      </c>
      <c r="F1199" s="158" t="s">
        <v>3317</v>
      </c>
      <c r="G1199" s="158" t="s">
        <v>1809</v>
      </c>
      <c r="H1199" s="119">
        <f t="shared" si="56"/>
        <v>18</v>
      </c>
      <c r="I1199" s="119"/>
      <c r="J1199" s="151">
        <v>0</v>
      </c>
      <c r="K1199" s="119">
        <f t="shared" si="54"/>
        <v>18</v>
      </c>
      <c r="L1199" s="152">
        <f t="shared" si="55"/>
        <v>15.68</v>
      </c>
      <c r="M1199" s="113"/>
    </row>
    <row r="1200" spans="1:13" s="114" customFormat="1" x14ac:dyDescent="0.2">
      <c r="A1200" s="161" t="s">
        <v>1740</v>
      </c>
      <c r="B1200" s="105" t="s">
        <v>2094</v>
      </c>
      <c r="C1200" s="105" t="s">
        <v>3743</v>
      </c>
      <c r="D1200" s="149" t="s">
        <v>2096</v>
      </c>
      <c r="E1200" s="105">
        <v>4</v>
      </c>
      <c r="F1200" s="158" t="s">
        <v>2005</v>
      </c>
      <c r="G1200" s="158" t="s">
        <v>2097</v>
      </c>
      <c r="H1200" s="119">
        <f t="shared" si="56"/>
        <v>58</v>
      </c>
      <c r="I1200" s="119"/>
      <c r="J1200" s="151">
        <v>0</v>
      </c>
      <c r="K1200" s="119">
        <f t="shared" si="54"/>
        <v>58</v>
      </c>
      <c r="L1200" s="152">
        <f t="shared" si="55"/>
        <v>50.24</v>
      </c>
      <c r="M1200" s="113"/>
    </row>
    <row r="1201" spans="1:13" s="114" customFormat="1" x14ac:dyDescent="0.2">
      <c r="A1201" s="161" t="s">
        <v>1740</v>
      </c>
      <c r="B1201" s="105" t="s">
        <v>1905</v>
      </c>
      <c r="C1201" s="105" t="s">
        <v>3744</v>
      </c>
      <c r="D1201" s="149" t="s">
        <v>1906</v>
      </c>
      <c r="E1201" s="105">
        <v>1</v>
      </c>
      <c r="F1201" s="158" t="s">
        <v>1859</v>
      </c>
      <c r="G1201" s="158" t="s">
        <v>1860</v>
      </c>
      <c r="H1201" s="119">
        <f t="shared" si="56"/>
        <v>17.5</v>
      </c>
      <c r="I1201" s="119"/>
      <c r="J1201" s="151">
        <v>0</v>
      </c>
      <c r="K1201" s="119">
        <f t="shared" si="54"/>
        <v>17.5</v>
      </c>
      <c r="L1201" s="152">
        <f t="shared" si="55"/>
        <v>15.12</v>
      </c>
      <c r="M1201" s="113"/>
    </row>
    <row r="1202" spans="1:13" s="114" customFormat="1" x14ac:dyDescent="0.2">
      <c r="A1202" s="161" t="s">
        <v>3745</v>
      </c>
      <c r="B1202" s="105" t="s">
        <v>3352</v>
      </c>
      <c r="C1202" s="105" t="s">
        <v>3746</v>
      </c>
      <c r="D1202" s="149" t="s">
        <v>3353</v>
      </c>
      <c r="E1202" s="105">
        <v>12</v>
      </c>
      <c r="F1202" s="158" t="s">
        <v>2547</v>
      </c>
      <c r="G1202" s="158" t="s">
        <v>1853</v>
      </c>
      <c r="H1202" s="119">
        <f t="shared" si="56"/>
        <v>90</v>
      </c>
      <c r="I1202" s="119"/>
      <c r="J1202" s="151">
        <v>0</v>
      </c>
      <c r="K1202" s="119">
        <f t="shared" si="54"/>
        <v>90</v>
      </c>
      <c r="L1202" s="152">
        <f t="shared" si="55"/>
        <v>73.44</v>
      </c>
      <c r="M1202" s="113"/>
    </row>
    <row r="1203" spans="1:13" s="114" customFormat="1" x14ac:dyDescent="0.2">
      <c r="A1203" s="161" t="s">
        <v>3745</v>
      </c>
      <c r="B1203" s="105" t="s">
        <v>1924</v>
      </c>
      <c r="C1203" s="105" t="s">
        <v>3746</v>
      </c>
      <c r="D1203" s="149" t="s">
        <v>1926</v>
      </c>
      <c r="E1203" s="105">
        <v>8</v>
      </c>
      <c r="F1203" s="158" t="s">
        <v>1927</v>
      </c>
      <c r="G1203" s="158" t="s">
        <v>1928</v>
      </c>
      <c r="H1203" s="119">
        <f t="shared" si="56"/>
        <v>98</v>
      </c>
      <c r="I1203" s="119"/>
      <c r="J1203" s="151">
        <v>0</v>
      </c>
      <c r="K1203" s="119">
        <f t="shared" si="54"/>
        <v>98</v>
      </c>
      <c r="L1203" s="152">
        <f t="shared" si="55"/>
        <v>85.12</v>
      </c>
      <c r="M1203" s="113"/>
    </row>
    <row r="1204" spans="1:13" s="114" customFormat="1" x14ac:dyDescent="0.2">
      <c r="A1204" s="161" t="s">
        <v>3745</v>
      </c>
      <c r="B1204" s="105" t="s">
        <v>1865</v>
      </c>
      <c r="C1204" s="105" t="s">
        <v>3747</v>
      </c>
      <c r="D1204" s="149" t="s">
        <v>1866</v>
      </c>
      <c r="E1204" s="105">
        <v>1</v>
      </c>
      <c r="F1204" s="158" t="s">
        <v>1867</v>
      </c>
      <c r="G1204" s="158" t="s">
        <v>1868</v>
      </c>
      <c r="H1204" s="119">
        <f t="shared" si="56"/>
        <v>450</v>
      </c>
      <c r="I1204" s="119"/>
      <c r="J1204" s="151">
        <v>0</v>
      </c>
      <c r="K1204" s="119">
        <f t="shared" si="54"/>
        <v>450</v>
      </c>
      <c r="L1204" s="152">
        <f t="shared" si="55"/>
        <v>300</v>
      </c>
      <c r="M1204" s="113"/>
    </row>
    <row r="1205" spans="1:13" s="114" customFormat="1" x14ac:dyDescent="0.2">
      <c r="A1205" s="161" t="s">
        <v>3745</v>
      </c>
      <c r="B1205" s="105" t="s">
        <v>3448</v>
      </c>
      <c r="C1205" s="105" t="s">
        <v>3747</v>
      </c>
      <c r="D1205" s="149" t="s">
        <v>3450</v>
      </c>
      <c r="E1205" s="105">
        <v>2</v>
      </c>
      <c r="F1205" s="158" t="s">
        <v>3451</v>
      </c>
      <c r="G1205" s="158" t="s">
        <v>1833</v>
      </c>
      <c r="H1205" s="119">
        <f t="shared" si="56"/>
        <v>37</v>
      </c>
      <c r="I1205" s="119"/>
      <c r="J1205" s="151">
        <v>0</v>
      </c>
      <c r="K1205" s="119">
        <f t="shared" si="54"/>
        <v>37</v>
      </c>
      <c r="L1205" s="152">
        <f t="shared" si="55"/>
        <v>31.82</v>
      </c>
      <c r="M1205" s="113"/>
    </row>
    <row r="1206" spans="1:13" s="114" customFormat="1" x14ac:dyDescent="0.2">
      <c r="A1206" s="161" t="s">
        <v>3745</v>
      </c>
      <c r="B1206" s="105" t="s">
        <v>2809</v>
      </c>
      <c r="C1206" s="105" t="s">
        <v>3747</v>
      </c>
      <c r="D1206" s="149" t="s">
        <v>2810</v>
      </c>
      <c r="E1206" s="105">
        <v>1</v>
      </c>
      <c r="F1206" s="158" t="s">
        <v>2811</v>
      </c>
      <c r="G1206" s="158" t="s">
        <v>2812</v>
      </c>
      <c r="H1206" s="119">
        <f t="shared" si="56"/>
        <v>62</v>
      </c>
      <c r="I1206" s="119"/>
      <c r="J1206" s="151">
        <v>0</v>
      </c>
      <c r="K1206" s="119">
        <f t="shared" si="54"/>
        <v>62</v>
      </c>
      <c r="L1206" s="152">
        <f t="shared" si="55"/>
        <v>53.81</v>
      </c>
      <c r="M1206" s="113"/>
    </row>
    <row r="1207" spans="1:13" s="114" customFormat="1" x14ac:dyDescent="0.2">
      <c r="A1207" s="161" t="s">
        <v>3745</v>
      </c>
      <c r="B1207" s="105" t="s">
        <v>3748</v>
      </c>
      <c r="C1207" s="105" t="s">
        <v>3747</v>
      </c>
      <c r="D1207" s="149" t="s">
        <v>3749</v>
      </c>
      <c r="E1207" s="105">
        <v>1</v>
      </c>
      <c r="F1207" s="158" t="s">
        <v>3750</v>
      </c>
      <c r="G1207" s="158" t="s">
        <v>3751</v>
      </c>
      <c r="H1207" s="119">
        <f t="shared" si="56"/>
        <v>105.25</v>
      </c>
      <c r="I1207" s="119"/>
      <c r="J1207" s="151">
        <v>0</v>
      </c>
      <c r="K1207" s="119">
        <f t="shared" si="54"/>
        <v>105.25</v>
      </c>
      <c r="L1207" s="152">
        <f t="shared" si="55"/>
        <v>90.94</v>
      </c>
      <c r="M1207" s="113"/>
    </row>
    <row r="1208" spans="1:13" s="114" customFormat="1" x14ac:dyDescent="0.2">
      <c r="A1208" s="161" t="s">
        <v>3745</v>
      </c>
      <c r="B1208" s="105" t="s">
        <v>2521</v>
      </c>
      <c r="C1208" s="105" t="s">
        <v>3747</v>
      </c>
      <c r="D1208" s="149" t="s">
        <v>2522</v>
      </c>
      <c r="E1208" s="105">
        <v>6</v>
      </c>
      <c r="F1208" s="158" t="s">
        <v>2523</v>
      </c>
      <c r="G1208" s="158" t="s">
        <v>1939</v>
      </c>
      <c r="H1208" s="119">
        <f t="shared" si="56"/>
        <v>43.5</v>
      </c>
      <c r="I1208" s="119"/>
      <c r="J1208" s="151">
        <v>0</v>
      </c>
      <c r="K1208" s="119">
        <f t="shared" si="54"/>
        <v>43.5</v>
      </c>
      <c r="L1208" s="152">
        <f t="shared" si="55"/>
        <v>36.119999999999997</v>
      </c>
      <c r="M1208" s="113"/>
    </row>
    <row r="1209" spans="1:13" s="114" customFormat="1" x14ac:dyDescent="0.2">
      <c r="A1209" s="161" t="s">
        <v>3745</v>
      </c>
      <c r="B1209" s="105" t="s">
        <v>3443</v>
      </c>
      <c r="C1209" s="105" t="s">
        <v>3747</v>
      </c>
      <c r="D1209" s="149" t="s">
        <v>3444</v>
      </c>
      <c r="E1209" s="105">
        <v>2</v>
      </c>
      <c r="F1209" s="158" t="s">
        <v>3445</v>
      </c>
      <c r="G1209" s="158" t="s">
        <v>2842</v>
      </c>
      <c r="H1209" s="119">
        <f t="shared" si="56"/>
        <v>207</v>
      </c>
      <c r="I1209" s="119"/>
      <c r="J1209" s="151">
        <v>0</v>
      </c>
      <c r="K1209" s="119">
        <f t="shared" si="54"/>
        <v>207</v>
      </c>
      <c r="L1209" s="152">
        <f t="shared" si="55"/>
        <v>179.82</v>
      </c>
      <c r="M1209" s="113"/>
    </row>
    <row r="1210" spans="1:13" s="114" customFormat="1" x14ac:dyDescent="0.2">
      <c r="A1210" s="161" t="s">
        <v>3745</v>
      </c>
      <c r="B1210" s="105" t="s">
        <v>3065</v>
      </c>
      <c r="C1210" s="105" t="s">
        <v>3747</v>
      </c>
      <c r="D1210" s="149" t="s">
        <v>3067</v>
      </c>
      <c r="E1210" s="105">
        <v>2</v>
      </c>
      <c r="F1210" s="158" t="s">
        <v>3068</v>
      </c>
      <c r="G1210" s="158" t="s">
        <v>1923</v>
      </c>
      <c r="H1210" s="119">
        <f t="shared" si="56"/>
        <v>31</v>
      </c>
      <c r="I1210" s="119"/>
      <c r="J1210" s="151">
        <v>0</v>
      </c>
      <c r="K1210" s="119">
        <f t="shared" si="54"/>
        <v>31</v>
      </c>
      <c r="L1210" s="152">
        <f t="shared" si="55"/>
        <v>26.78</v>
      </c>
      <c r="M1210" s="113"/>
    </row>
    <row r="1211" spans="1:13" s="114" customFormat="1" x14ac:dyDescent="0.2">
      <c r="A1211" s="161" t="s">
        <v>3745</v>
      </c>
      <c r="B1211" s="105" t="s">
        <v>1781</v>
      </c>
      <c r="C1211" s="105" t="s">
        <v>3752</v>
      </c>
      <c r="D1211" s="149" t="s">
        <v>1782</v>
      </c>
      <c r="E1211" s="105">
        <v>1</v>
      </c>
      <c r="F1211" s="158" t="s">
        <v>1783</v>
      </c>
      <c r="G1211" s="158" t="s">
        <v>1784</v>
      </c>
      <c r="H1211" s="119">
        <f t="shared" si="56"/>
        <v>11</v>
      </c>
      <c r="I1211" s="119"/>
      <c r="J1211" s="151">
        <v>0</v>
      </c>
      <c r="K1211" s="119">
        <f t="shared" si="54"/>
        <v>11</v>
      </c>
      <c r="L1211" s="152">
        <f t="shared" si="55"/>
        <v>9.3800000000000008</v>
      </c>
      <c r="M1211" s="113"/>
    </row>
    <row r="1212" spans="1:13" s="114" customFormat="1" x14ac:dyDescent="0.2">
      <c r="A1212" s="161" t="s">
        <v>3745</v>
      </c>
      <c r="B1212" s="105" t="s">
        <v>3753</v>
      </c>
      <c r="C1212" s="105" t="s">
        <v>3754</v>
      </c>
      <c r="D1212" s="149" t="s">
        <v>3755</v>
      </c>
      <c r="E1212" s="105">
        <v>1</v>
      </c>
      <c r="F1212" s="158" t="s">
        <v>3756</v>
      </c>
      <c r="G1212" s="158" t="s">
        <v>1932</v>
      </c>
      <c r="H1212" s="119">
        <f t="shared" si="56"/>
        <v>22</v>
      </c>
      <c r="I1212" s="119"/>
      <c r="J1212" s="151">
        <v>0</v>
      </c>
      <c r="K1212" s="119">
        <f t="shared" si="54"/>
        <v>22</v>
      </c>
      <c r="L1212" s="152">
        <f t="shared" si="55"/>
        <v>18.98</v>
      </c>
      <c r="M1212" s="113"/>
    </row>
    <row r="1213" spans="1:13" s="114" customFormat="1" x14ac:dyDescent="0.2">
      <c r="A1213" s="161" t="s">
        <v>3745</v>
      </c>
      <c r="B1213" s="105" t="s">
        <v>1781</v>
      </c>
      <c r="C1213" s="105" t="s">
        <v>3757</v>
      </c>
      <c r="D1213" s="149" t="s">
        <v>1782</v>
      </c>
      <c r="E1213" s="105">
        <v>1</v>
      </c>
      <c r="F1213" s="158" t="s">
        <v>1783</v>
      </c>
      <c r="G1213" s="158" t="s">
        <v>1784</v>
      </c>
      <c r="H1213" s="119">
        <f t="shared" si="56"/>
        <v>11</v>
      </c>
      <c r="I1213" s="119"/>
      <c r="J1213" s="151">
        <v>0</v>
      </c>
      <c r="K1213" s="119">
        <f t="shared" si="54"/>
        <v>11</v>
      </c>
      <c r="L1213" s="152">
        <f t="shared" si="55"/>
        <v>9.3800000000000008</v>
      </c>
      <c r="M1213" s="113"/>
    </row>
    <row r="1214" spans="1:13" s="114" customFormat="1" x14ac:dyDescent="0.2">
      <c r="A1214" s="161" t="s">
        <v>3745</v>
      </c>
      <c r="B1214" s="105" t="s">
        <v>3052</v>
      </c>
      <c r="C1214" s="105" t="s">
        <v>3758</v>
      </c>
      <c r="D1214" s="149" t="s">
        <v>3053</v>
      </c>
      <c r="E1214" s="105">
        <v>1</v>
      </c>
      <c r="F1214" s="158" t="s">
        <v>1922</v>
      </c>
      <c r="G1214" s="158" t="s">
        <v>1923</v>
      </c>
      <c r="H1214" s="119">
        <f t="shared" si="56"/>
        <v>15.5</v>
      </c>
      <c r="I1214" s="119"/>
      <c r="J1214" s="151">
        <v>0</v>
      </c>
      <c r="K1214" s="119">
        <f t="shared" si="54"/>
        <v>15.5</v>
      </c>
      <c r="L1214" s="152">
        <f t="shared" si="55"/>
        <v>13.32</v>
      </c>
      <c r="M1214" s="113"/>
    </row>
    <row r="1215" spans="1:13" s="114" customFormat="1" x14ac:dyDescent="0.2">
      <c r="A1215" s="161" t="s">
        <v>3745</v>
      </c>
      <c r="B1215" s="105" t="s">
        <v>1977</v>
      </c>
      <c r="C1215" s="105" t="s">
        <v>3759</v>
      </c>
      <c r="D1215" s="149" t="s">
        <v>1979</v>
      </c>
      <c r="E1215" s="105">
        <v>2</v>
      </c>
      <c r="F1215" s="158" t="s">
        <v>1980</v>
      </c>
      <c r="G1215" s="158" t="s">
        <v>1981</v>
      </c>
      <c r="H1215" s="119">
        <f t="shared" si="56"/>
        <v>2</v>
      </c>
      <c r="I1215" s="119"/>
      <c r="J1215" s="151">
        <v>0</v>
      </c>
      <c r="K1215" s="119">
        <f t="shared" si="54"/>
        <v>2</v>
      </c>
      <c r="L1215" s="152">
        <f t="shared" si="55"/>
        <v>1.52</v>
      </c>
      <c r="M1215" s="113"/>
    </row>
    <row r="1216" spans="1:13" s="114" customFormat="1" x14ac:dyDescent="0.2">
      <c r="A1216" s="161" t="s">
        <v>3745</v>
      </c>
      <c r="B1216" s="105" t="s">
        <v>3613</v>
      </c>
      <c r="C1216" s="105" t="s">
        <v>3760</v>
      </c>
      <c r="D1216" s="149" t="s">
        <v>3614</v>
      </c>
      <c r="E1216" s="105">
        <v>1</v>
      </c>
      <c r="F1216" s="158" t="s">
        <v>3615</v>
      </c>
      <c r="G1216" s="158" t="s">
        <v>1801</v>
      </c>
      <c r="H1216" s="119">
        <f t="shared" si="56"/>
        <v>9.5</v>
      </c>
      <c r="I1216" s="119"/>
      <c r="J1216" s="151">
        <v>0</v>
      </c>
      <c r="K1216" s="119">
        <f t="shared" si="54"/>
        <v>9.5</v>
      </c>
      <c r="L1216" s="152">
        <f t="shared" si="55"/>
        <v>8.15</v>
      </c>
      <c r="M1216" s="113"/>
    </row>
    <row r="1217" spans="1:13" s="114" customFormat="1" x14ac:dyDescent="0.2">
      <c r="A1217" s="161" t="s">
        <v>3745</v>
      </c>
      <c r="B1217" s="105" t="s">
        <v>3761</v>
      </c>
      <c r="C1217" s="105" t="s">
        <v>3762</v>
      </c>
      <c r="D1217" s="149" t="s">
        <v>3763</v>
      </c>
      <c r="E1217" s="105">
        <v>2</v>
      </c>
      <c r="F1217" s="158" t="s">
        <v>1817</v>
      </c>
      <c r="G1217" s="158" t="s">
        <v>3764</v>
      </c>
      <c r="H1217" s="119">
        <f t="shared" si="56"/>
        <v>61</v>
      </c>
      <c r="I1217" s="119"/>
      <c r="J1217" s="151">
        <v>0</v>
      </c>
      <c r="K1217" s="119">
        <f t="shared" si="54"/>
        <v>61</v>
      </c>
      <c r="L1217" s="152">
        <f t="shared" si="55"/>
        <v>52</v>
      </c>
      <c r="M1217" s="113"/>
    </row>
    <row r="1218" spans="1:13" s="114" customFormat="1" x14ac:dyDescent="0.2">
      <c r="A1218" s="161" t="s">
        <v>3745</v>
      </c>
      <c r="B1218" s="105" t="s">
        <v>3765</v>
      </c>
      <c r="C1218" s="105" t="s">
        <v>3762</v>
      </c>
      <c r="D1218" s="149" t="s">
        <v>3766</v>
      </c>
      <c r="E1218" s="105">
        <v>4</v>
      </c>
      <c r="F1218" s="158" t="s">
        <v>3767</v>
      </c>
      <c r="G1218" s="158" t="s">
        <v>3768</v>
      </c>
      <c r="H1218" s="119">
        <f t="shared" si="56"/>
        <v>304</v>
      </c>
      <c r="I1218" s="119"/>
      <c r="J1218" s="151">
        <v>0</v>
      </c>
      <c r="K1218" s="119">
        <f t="shared" si="54"/>
        <v>304</v>
      </c>
      <c r="L1218" s="152">
        <f t="shared" si="55"/>
        <v>263.8</v>
      </c>
      <c r="M1218" s="113"/>
    </row>
    <row r="1219" spans="1:13" s="114" customFormat="1" x14ac:dyDescent="0.2">
      <c r="A1219" s="161" t="s">
        <v>3745</v>
      </c>
      <c r="B1219" s="105" t="s">
        <v>2690</v>
      </c>
      <c r="C1219" s="105" t="s">
        <v>3762</v>
      </c>
      <c r="D1219" s="149" t="s">
        <v>2692</v>
      </c>
      <c r="E1219" s="105">
        <v>5</v>
      </c>
      <c r="F1219" s="158" t="s">
        <v>2693</v>
      </c>
      <c r="G1219" s="158" t="s">
        <v>2070</v>
      </c>
      <c r="H1219" s="119">
        <f t="shared" si="56"/>
        <v>190</v>
      </c>
      <c r="I1219" s="119"/>
      <c r="J1219" s="151">
        <v>0</v>
      </c>
      <c r="K1219" s="119">
        <f t="shared" si="54"/>
        <v>190</v>
      </c>
      <c r="L1219" s="152">
        <f t="shared" si="55"/>
        <v>164.3</v>
      </c>
      <c r="M1219" s="113"/>
    </row>
    <row r="1220" spans="1:13" s="114" customFormat="1" x14ac:dyDescent="0.2">
      <c r="A1220" s="161" t="s">
        <v>3745</v>
      </c>
      <c r="B1220" s="105" t="s">
        <v>2301</v>
      </c>
      <c r="C1220" s="105" t="s">
        <v>3762</v>
      </c>
      <c r="D1220" s="149" t="s">
        <v>2302</v>
      </c>
      <c r="E1220" s="105">
        <v>6</v>
      </c>
      <c r="F1220" s="158" t="s">
        <v>2303</v>
      </c>
      <c r="G1220" s="158" t="s">
        <v>2304</v>
      </c>
      <c r="H1220" s="119">
        <f t="shared" si="56"/>
        <v>867</v>
      </c>
      <c r="I1220" s="119"/>
      <c r="J1220" s="151">
        <v>0</v>
      </c>
      <c r="K1220" s="119">
        <f t="shared" si="54"/>
        <v>867</v>
      </c>
      <c r="L1220" s="152">
        <f t="shared" si="55"/>
        <v>753</v>
      </c>
      <c r="M1220" s="113"/>
    </row>
    <row r="1221" spans="1:13" s="114" customFormat="1" x14ac:dyDescent="0.2">
      <c r="A1221" s="161" t="s">
        <v>3745</v>
      </c>
      <c r="B1221" s="105" t="s">
        <v>3195</v>
      </c>
      <c r="C1221" s="105" t="s">
        <v>3762</v>
      </c>
      <c r="D1221" s="149" t="s">
        <v>3196</v>
      </c>
      <c r="E1221" s="105">
        <v>1</v>
      </c>
      <c r="F1221" s="158" t="s">
        <v>3197</v>
      </c>
      <c r="G1221" s="158" t="s">
        <v>3198</v>
      </c>
      <c r="H1221" s="119">
        <f t="shared" si="56"/>
        <v>74.5</v>
      </c>
      <c r="I1221" s="119"/>
      <c r="J1221" s="151">
        <v>0</v>
      </c>
      <c r="K1221" s="119">
        <f t="shared" si="54"/>
        <v>74.5</v>
      </c>
      <c r="L1221" s="152">
        <f t="shared" si="55"/>
        <v>64.58</v>
      </c>
      <c r="M1221" s="113"/>
    </row>
    <row r="1222" spans="1:13" s="114" customFormat="1" x14ac:dyDescent="0.2">
      <c r="A1222" s="161" t="s">
        <v>3745</v>
      </c>
      <c r="B1222" s="105" t="s">
        <v>2293</v>
      </c>
      <c r="C1222" s="105" t="s">
        <v>3762</v>
      </c>
      <c r="D1222" s="149" t="s">
        <v>2295</v>
      </c>
      <c r="E1222" s="105">
        <v>2</v>
      </c>
      <c r="F1222" s="158" t="s">
        <v>2296</v>
      </c>
      <c r="G1222" s="158" t="s">
        <v>2297</v>
      </c>
      <c r="H1222" s="119">
        <f t="shared" si="56"/>
        <v>90</v>
      </c>
      <c r="I1222" s="119"/>
      <c r="J1222" s="151">
        <v>0</v>
      </c>
      <c r="K1222" s="119">
        <f t="shared" ref="K1222:K1285" si="57">H1222+I1222-J1222</f>
        <v>90</v>
      </c>
      <c r="L1222" s="152">
        <f t="shared" ref="L1222:L1285" si="58">E1222*F1222</f>
        <v>55.68</v>
      </c>
      <c r="M1222" s="113"/>
    </row>
    <row r="1223" spans="1:13" s="114" customFormat="1" x14ac:dyDescent="0.2">
      <c r="A1223" s="161" t="s">
        <v>3745</v>
      </c>
      <c r="B1223" s="105" t="s">
        <v>2665</v>
      </c>
      <c r="C1223" s="105" t="s">
        <v>3762</v>
      </c>
      <c r="D1223" s="149" t="s">
        <v>2667</v>
      </c>
      <c r="E1223" s="105">
        <v>3</v>
      </c>
      <c r="F1223" s="158" t="s">
        <v>2668</v>
      </c>
      <c r="G1223" s="158" t="s">
        <v>2669</v>
      </c>
      <c r="H1223" s="119">
        <f t="shared" si="56"/>
        <v>65.25</v>
      </c>
      <c r="I1223" s="119"/>
      <c r="J1223" s="151">
        <v>0</v>
      </c>
      <c r="K1223" s="119">
        <f t="shared" si="57"/>
        <v>65.25</v>
      </c>
      <c r="L1223" s="152">
        <f t="shared" si="58"/>
        <v>55.71</v>
      </c>
      <c r="M1223" s="113"/>
    </row>
    <row r="1224" spans="1:13" s="114" customFormat="1" x14ac:dyDescent="0.2">
      <c r="A1224" s="161" t="s">
        <v>3745</v>
      </c>
      <c r="B1224" s="105" t="s">
        <v>2941</v>
      </c>
      <c r="C1224" s="105" t="s">
        <v>3762</v>
      </c>
      <c r="D1224" s="149" t="s">
        <v>2943</v>
      </c>
      <c r="E1224" s="105">
        <v>12</v>
      </c>
      <c r="F1224" s="158" t="s">
        <v>2944</v>
      </c>
      <c r="G1224" s="158" t="s">
        <v>1966</v>
      </c>
      <c r="H1224" s="119">
        <f t="shared" si="56"/>
        <v>99</v>
      </c>
      <c r="I1224" s="119"/>
      <c r="J1224" s="151">
        <v>0</v>
      </c>
      <c r="K1224" s="119">
        <f t="shared" si="57"/>
        <v>99</v>
      </c>
      <c r="L1224" s="152">
        <f t="shared" si="58"/>
        <v>85.679999999999993</v>
      </c>
      <c r="M1224" s="113"/>
    </row>
    <row r="1225" spans="1:13" s="114" customFormat="1" x14ac:dyDescent="0.2">
      <c r="A1225" s="161" t="s">
        <v>3745</v>
      </c>
      <c r="B1225" s="105" t="s">
        <v>2220</v>
      </c>
      <c r="C1225" s="105" t="s">
        <v>3762</v>
      </c>
      <c r="D1225" s="149" t="s">
        <v>2222</v>
      </c>
      <c r="E1225" s="105">
        <v>2</v>
      </c>
      <c r="F1225" s="158" t="s">
        <v>2223</v>
      </c>
      <c r="G1225" s="158" t="s">
        <v>2224</v>
      </c>
      <c r="H1225" s="119">
        <f t="shared" si="56"/>
        <v>82</v>
      </c>
      <c r="I1225" s="119"/>
      <c r="J1225" s="151">
        <v>0</v>
      </c>
      <c r="K1225" s="119">
        <f t="shared" si="57"/>
        <v>82</v>
      </c>
      <c r="L1225" s="152">
        <f t="shared" si="58"/>
        <v>70.3</v>
      </c>
      <c r="M1225" s="113"/>
    </row>
    <row r="1226" spans="1:13" s="114" customFormat="1" x14ac:dyDescent="0.2">
      <c r="A1226" s="161" t="s">
        <v>3745</v>
      </c>
      <c r="B1226" s="105" t="s">
        <v>3043</v>
      </c>
      <c r="C1226" s="105" t="s">
        <v>3762</v>
      </c>
      <c r="D1226" s="149" t="s">
        <v>3044</v>
      </c>
      <c r="E1226" s="105">
        <v>1</v>
      </c>
      <c r="F1226" s="158" t="s">
        <v>3045</v>
      </c>
      <c r="G1226" s="158" t="s">
        <v>3046</v>
      </c>
      <c r="H1226" s="119">
        <f t="shared" si="56"/>
        <v>347.25</v>
      </c>
      <c r="I1226" s="119"/>
      <c r="J1226" s="151">
        <v>0</v>
      </c>
      <c r="K1226" s="119">
        <f t="shared" si="57"/>
        <v>347.25</v>
      </c>
      <c r="L1226" s="152">
        <f t="shared" si="58"/>
        <v>301.87</v>
      </c>
      <c r="M1226" s="113"/>
    </row>
    <row r="1227" spans="1:13" s="114" customFormat="1" x14ac:dyDescent="0.2">
      <c r="A1227" s="161" t="s">
        <v>3745</v>
      </c>
      <c r="B1227" s="105" t="s">
        <v>2694</v>
      </c>
      <c r="C1227" s="105" t="s">
        <v>3762</v>
      </c>
      <c r="D1227" s="149" t="s">
        <v>2695</v>
      </c>
      <c r="E1227" s="105">
        <v>1</v>
      </c>
      <c r="F1227" s="158" t="s">
        <v>2696</v>
      </c>
      <c r="G1227" s="158" t="s">
        <v>2697</v>
      </c>
      <c r="H1227" s="119">
        <f t="shared" si="56"/>
        <v>74.25</v>
      </c>
      <c r="I1227" s="119"/>
      <c r="J1227" s="151">
        <v>0</v>
      </c>
      <c r="K1227" s="119">
        <f t="shared" si="57"/>
        <v>74.25</v>
      </c>
      <c r="L1227" s="152">
        <f t="shared" si="58"/>
        <v>64.489999999999995</v>
      </c>
      <c r="M1227" s="113"/>
    </row>
    <row r="1228" spans="1:13" s="114" customFormat="1" x14ac:dyDescent="0.2">
      <c r="A1228" s="161" t="s">
        <v>3745</v>
      </c>
      <c r="B1228" s="105" t="s">
        <v>2158</v>
      </c>
      <c r="C1228" s="105" t="s">
        <v>3762</v>
      </c>
      <c r="D1228" s="149" t="s">
        <v>2160</v>
      </c>
      <c r="E1228" s="105">
        <v>2</v>
      </c>
      <c r="F1228" s="158" t="s">
        <v>2161</v>
      </c>
      <c r="G1228" s="158" t="s">
        <v>1825</v>
      </c>
      <c r="H1228" s="119">
        <f t="shared" si="56"/>
        <v>135</v>
      </c>
      <c r="I1228" s="119"/>
      <c r="J1228" s="151">
        <v>0</v>
      </c>
      <c r="K1228" s="119">
        <f t="shared" si="57"/>
        <v>135</v>
      </c>
      <c r="L1228" s="152">
        <f t="shared" si="58"/>
        <v>117.12</v>
      </c>
      <c r="M1228" s="113"/>
    </row>
    <row r="1229" spans="1:13" s="114" customFormat="1" x14ac:dyDescent="0.2">
      <c r="A1229" s="161" t="s">
        <v>3745</v>
      </c>
      <c r="B1229" s="105" t="s">
        <v>2878</v>
      </c>
      <c r="C1229" s="105" t="s">
        <v>3762</v>
      </c>
      <c r="D1229" s="149" t="s">
        <v>2880</v>
      </c>
      <c r="E1229" s="105">
        <v>3</v>
      </c>
      <c r="F1229" s="158" t="s">
        <v>2881</v>
      </c>
      <c r="G1229" s="158" t="s">
        <v>2882</v>
      </c>
      <c r="H1229" s="119">
        <f t="shared" si="56"/>
        <v>210</v>
      </c>
      <c r="I1229" s="119"/>
      <c r="J1229" s="151">
        <v>0</v>
      </c>
      <c r="K1229" s="119">
        <f t="shared" si="57"/>
        <v>210</v>
      </c>
      <c r="L1229" s="152">
        <f t="shared" si="58"/>
        <v>181.2</v>
      </c>
      <c r="M1229" s="113"/>
    </row>
    <row r="1230" spans="1:13" s="114" customFormat="1" x14ac:dyDescent="0.2">
      <c r="A1230" s="161" t="s">
        <v>3745</v>
      </c>
      <c r="B1230" s="105" t="s">
        <v>2298</v>
      </c>
      <c r="C1230" s="105" t="s">
        <v>3762</v>
      </c>
      <c r="D1230" s="149" t="s">
        <v>2299</v>
      </c>
      <c r="E1230" s="105">
        <v>7</v>
      </c>
      <c r="F1230" s="158" t="s">
        <v>2300</v>
      </c>
      <c r="G1230" s="158" t="s">
        <v>1892</v>
      </c>
      <c r="H1230" s="119">
        <f t="shared" si="56"/>
        <v>168</v>
      </c>
      <c r="I1230" s="119"/>
      <c r="J1230" s="151">
        <v>0</v>
      </c>
      <c r="K1230" s="119">
        <f t="shared" si="57"/>
        <v>168</v>
      </c>
      <c r="L1230" s="152">
        <f t="shared" si="58"/>
        <v>145.6</v>
      </c>
      <c r="M1230" s="113"/>
    </row>
    <row r="1231" spans="1:13" s="114" customFormat="1" x14ac:dyDescent="0.2">
      <c r="A1231" s="161" t="s">
        <v>3745</v>
      </c>
      <c r="B1231" s="105" t="s">
        <v>2245</v>
      </c>
      <c r="C1231" s="105" t="s">
        <v>3762</v>
      </c>
      <c r="D1231" s="149" t="s">
        <v>2246</v>
      </c>
      <c r="E1231" s="105">
        <v>48</v>
      </c>
      <c r="F1231" s="158" t="s">
        <v>2247</v>
      </c>
      <c r="G1231" s="158" t="s">
        <v>2248</v>
      </c>
      <c r="H1231" s="119">
        <f t="shared" si="56"/>
        <v>264</v>
      </c>
      <c r="I1231" s="119"/>
      <c r="J1231" s="151">
        <v>0</v>
      </c>
      <c r="K1231" s="119">
        <f t="shared" si="57"/>
        <v>264</v>
      </c>
      <c r="L1231" s="152">
        <f t="shared" si="58"/>
        <v>227.52</v>
      </c>
      <c r="M1231" s="113"/>
    </row>
    <row r="1232" spans="1:13" s="114" customFormat="1" x14ac:dyDescent="0.2">
      <c r="A1232" s="161" t="s">
        <v>3745</v>
      </c>
      <c r="B1232" s="105" t="s">
        <v>1944</v>
      </c>
      <c r="C1232" s="105" t="s">
        <v>3762</v>
      </c>
      <c r="D1232" s="149" t="s">
        <v>1946</v>
      </c>
      <c r="E1232" s="105">
        <v>10</v>
      </c>
      <c r="F1232" s="158" t="s">
        <v>1947</v>
      </c>
      <c r="G1232" s="158" t="s">
        <v>1948</v>
      </c>
      <c r="H1232" s="119">
        <f t="shared" si="56"/>
        <v>167.5</v>
      </c>
      <c r="I1232" s="119"/>
      <c r="J1232" s="151">
        <v>0</v>
      </c>
      <c r="K1232" s="119">
        <f t="shared" si="57"/>
        <v>167.5</v>
      </c>
      <c r="L1232" s="152">
        <f t="shared" si="58"/>
        <v>143.80000000000001</v>
      </c>
      <c r="M1232" s="113"/>
    </row>
    <row r="1233" spans="1:13" s="114" customFormat="1" x14ac:dyDescent="0.2">
      <c r="A1233" s="161" t="s">
        <v>3745</v>
      </c>
      <c r="B1233" s="105" t="s">
        <v>3457</v>
      </c>
      <c r="C1233" s="105" t="s">
        <v>3762</v>
      </c>
      <c r="D1233" s="149" t="s">
        <v>3458</v>
      </c>
      <c r="E1233" s="105">
        <v>1</v>
      </c>
      <c r="F1233" s="158" t="s">
        <v>2183</v>
      </c>
      <c r="G1233" s="158" t="s">
        <v>2184</v>
      </c>
      <c r="H1233" s="119">
        <f t="shared" si="56"/>
        <v>60</v>
      </c>
      <c r="I1233" s="119"/>
      <c r="J1233" s="151">
        <v>0</v>
      </c>
      <c r="K1233" s="119">
        <f t="shared" si="57"/>
        <v>60</v>
      </c>
      <c r="L1233" s="152">
        <f t="shared" si="58"/>
        <v>51.97</v>
      </c>
      <c r="M1233" s="113"/>
    </row>
    <row r="1234" spans="1:13" s="114" customFormat="1" x14ac:dyDescent="0.2">
      <c r="A1234" s="161" t="s">
        <v>3745</v>
      </c>
      <c r="B1234" s="105" t="s">
        <v>3374</v>
      </c>
      <c r="C1234" s="105" t="s">
        <v>3769</v>
      </c>
      <c r="D1234" s="149" t="s">
        <v>3376</v>
      </c>
      <c r="E1234" s="105">
        <v>2</v>
      </c>
      <c r="F1234" s="158" t="s">
        <v>3377</v>
      </c>
      <c r="G1234" s="158" t="s">
        <v>2184</v>
      </c>
      <c r="H1234" s="119">
        <f t="shared" ref="H1234:H1297" si="59">E1234*G1234</f>
        <v>120</v>
      </c>
      <c r="I1234" s="119"/>
      <c r="J1234" s="151">
        <v>0</v>
      </c>
      <c r="K1234" s="119">
        <f t="shared" si="57"/>
        <v>120</v>
      </c>
      <c r="L1234" s="152">
        <f t="shared" si="58"/>
        <v>98.4</v>
      </c>
      <c r="M1234" s="113"/>
    </row>
    <row r="1235" spans="1:13" s="114" customFormat="1" x14ac:dyDescent="0.2">
      <c r="A1235" s="161" t="s">
        <v>3745</v>
      </c>
      <c r="B1235" s="105" t="s">
        <v>1874</v>
      </c>
      <c r="C1235" s="105" t="s">
        <v>3770</v>
      </c>
      <c r="D1235" s="149" t="s">
        <v>1875</v>
      </c>
      <c r="E1235" s="105">
        <v>1</v>
      </c>
      <c r="F1235" s="158" t="s">
        <v>1876</v>
      </c>
      <c r="G1235" s="158" t="s">
        <v>1873</v>
      </c>
      <c r="H1235" s="119">
        <f t="shared" si="59"/>
        <v>19</v>
      </c>
      <c r="I1235" s="119"/>
      <c r="J1235" s="151">
        <v>0</v>
      </c>
      <c r="K1235" s="119">
        <f t="shared" si="57"/>
        <v>19</v>
      </c>
      <c r="L1235" s="152">
        <f t="shared" si="58"/>
        <v>16.350000000000001</v>
      </c>
      <c r="M1235" s="113"/>
    </row>
    <row r="1236" spans="1:13" s="114" customFormat="1" x14ac:dyDescent="0.2">
      <c r="A1236" s="161" t="s">
        <v>3745</v>
      </c>
      <c r="B1236" s="105" t="s">
        <v>1997</v>
      </c>
      <c r="C1236" s="105" t="s">
        <v>3771</v>
      </c>
      <c r="D1236" s="149" t="s">
        <v>1999</v>
      </c>
      <c r="E1236" s="105">
        <v>1</v>
      </c>
      <c r="F1236" s="158" t="s">
        <v>2874</v>
      </c>
      <c r="G1236" s="158" t="s">
        <v>2001</v>
      </c>
      <c r="H1236" s="119">
        <f t="shared" si="59"/>
        <v>5.25</v>
      </c>
      <c r="I1236" s="119"/>
      <c r="J1236" s="151">
        <v>0</v>
      </c>
      <c r="K1236" s="119">
        <f t="shared" si="57"/>
        <v>5.25</v>
      </c>
      <c r="L1236" s="152">
        <f t="shared" si="58"/>
        <v>4.12</v>
      </c>
      <c r="M1236" s="113"/>
    </row>
    <row r="1237" spans="1:13" s="114" customFormat="1" x14ac:dyDescent="0.2">
      <c r="A1237" s="161" t="s">
        <v>3745</v>
      </c>
      <c r="B1237" s="105" t="s">
        <v>3613</v>
      </c>
      <c r="C1237" s="105" t="s">
        <v>3772</v>
      </c>
      <c r="D1237" s="149" t="s">
        <v>3614</v>
      </c>
      <c r="E1237" s="105">
        <v>1</v>
      </c>
      <c r="F1237" s="158" t="s">
        <v>3615</v>
      </c>
      <c r="G1237" s="158" t="s">
        <v>1801</v>
      </c>
      <c r="H1237" s="119">
        <f t="shared" si="59"/>
        <v>9.5</v>
      </c>
      <c r="I1237" s="119"/>
      <c r="J1237" s="151">
        <v>0</v>
      </c>
      <c r="K1237" s="119">
        <f t="shared" si="57"/>
        <v>9.5</v>
      </c>
      <c r="L1237" s="152">
        <f t="shared" si="58"/>
        <v>8.15</v>
      </c>
      <c r="M1237" s="113"/>
    </row>
    <row r="1238" spans="1:13" s="114" customFormat="1" x14ac:dyDescent="0.2">
      <c r="A1238" s="161" t="s">
        <v>3745</v>
      </c>
      <c r="B1238" s="105" t="s">
        <v>1920</v>
      </c>
      <c r="C1238" s="105" t="s">
        <v>3772</v>
      </c>
      <c r="D1238" s="149" t="s">
        <v>1921</v>
      </c>
      <c r="E1238" s="105">
        <v>1</v>
      </c>
      <c r="F1238" s="158" t="s">
        <v>1922</v>
      </c>
      <c r="G1238" s="158" t="s">
        <v>1923</v>
      </c>
      <c r="H1238" s="119">
        <f t="shared" si="59"/>
        <v>15.5</v>
      </c>
      <c r="I1238" s="119"/>
      <c r="J1238" s="151">
        <v>0</v>
      </c>
      <c r="K1238" s="119">
        <f t="shared" si="57"/>
        <v>15.5</v>
      </c>
      <c r="L1238" s="152">
        <f t="shared" si="58"/>
        <v>13.32</v>
      </c>
      <c r="M1238" s="113"/>
    </row>
    <row r="1239" spans="1:13" s="114" customFormat="1" x14ac:dyDescent="0.2">
      <c r="A1239" s="161" t="s">
        <v>3745</v>
      </c>
      <c r="B1239" s="105" t="s">
        <v>3583</v>
      </c>
      <c r="C1239" s="105" t="s">
        <v>3773</v>
      </c>
      <c r="D1239" s="149" t="s">
        <v>3585</v>
      </c>
      <c r="E1239" s="105">
        <v>1</v>
      </c>
      <c r="F1239" s="158" t="s">
        <v>3586</v>
      </c>
      <c r="G1239" s="158" t="s">
        <v>3587</v>
      </c>
      <c r="H1239" s="119">
        <f t="shared" si="59"/>
        <v>13.25</v>
      </c>
      <c r="I1239" s="119"/>
      <c r="J1239" s="151">
        <v>0</v>
      </c>
      <c r="K1239" s="119">
        <f t="shared" si="57"/>
        <v>13.25</v>
      </c>
      <c r="L1239" s="152">
        <f t="shared" si="58"/>
        <v>11.32</v>
      </c>
      <c r="M1239" s="113"/>
    </row>
    <row r="1240" spans="1:13" s="114" customFormat="1" x14ac:dyDescent="0.2">
      <c r="A1240" s="161" t="s">
        <v>3745</v>
      </c>
      <c r="B1240" s="105" t="s">
        <v>2545</v>
      </c>
      <c r="C1240" s="105" t="s">
        <v>3773</v>
      </c>
      <c r="D1240" s="149" t="s">
        <v>2546</v>
      </c>
      <c r="E1240" s="105">
        <v>3</v>
      </c>
      <c r="F1240" s="158" t="s">
        <v>2547</v>
      </c>
      <c r="G1240" s="158" t="s">
        <v>1943</v>
      </c>
      <c r="H1240" s="119">
        <f t="shared" si="59"/>
        <v>21</v>
      </c>
      <c r="I1240" s="119"/>
      <c r="J1240" s="151">
        <v>0</v>
      </c>
      <c r="K1240" s="119">
        <f t="shared" si="57"/>
        <v>21</v>
      </c>
      <c r="L1240" s="152">
        <f t="shared" si="58"/>
        <v>18.36</v>
      </c>
      <c r="M1240" s="113"/>
    </row>
    <row r="1241" spans="1:13" s="114" customFormat="1" x14ac:dyDescent="0.2">
      <c r="A1241" s="161" t="s">
        <v>3745</v>
      </c>
      <c r="B1241" s="105" t="s">
        <v>2836</v>
      </c>
      <c r="C1241" s="105" t="s">
        <v>3774</v>
      </c>
      <c r="D1241" s="149" t="s">
        <v>2837</v>
      </c>
      <c r="E1241" s="105">
        <v>1</v>
      </c>
      <c r="F1241" s="158" t="s">
        <v>2838</v>
      </c>
      <c r="G1241" s="158" t="s">
        <v>1838</v>
      </c>
      <c r="H1241" s="119">
        <f t="shared" si="59"/>
        <v>17</v>
      </c>
      <c r="I1241" s="119"/>
      <c r="J1241" s="151">
        <v>0</v>
      </c>
      <c r="K1241" s="119">
        <f t="shared" si="57"/>
        <v>17</v>
      </c>
      <c r="L1241" s="152">
        <f t="shared" si="58"/>
        <v>14.65</v>
      </c>
      <c r="M1241" s="113"/>
    </row>
    <row r="1242" spans="1:13" s="114" customFormat="1" x14ac:dyDescent="0.2">
      <c r="A1242" s="161" t="s">
        <v>3745</v>
      </c>
      <c r="B1242" s="105" t="s">
        <v>3443</v>
      </c>
      <c r="C1242" s="105" t="s">
        <v>3774</v>
      </c>
      <c r="D1242" s="149" t="s">
        <v>3444</v>
      </c>
      <c r="E1242" s="105">
        <v>1</v>
      </c>
      <c r="F1242" s="158" t="s">
        <v>3445</v>
      </c>
      <c r="G1242" s="158" t="s">
        <v>2842</v>
      </c>
      <c r="H1242" s="119">
        <f t="shared" si="59"/>
        <v>103.5</v>
      </c>
      <c r="I1242" s="119"/>
      <c r="J1242" s="151">
        <v>0</v>
      </c>
      <c r="K1242" s="119">
        <f t="shared" si="57"/>
        <v>103.5</v>
      </c>
      <c r="L1242" s="152">
        <f t="shared" si="58"/>
        <v>89.91</v>
      </c>
      <c r="M1242" s="113"/>
    </row>
    <row r="1243" spans="1:13" s="114" customFormat="1" x14ac:dyDescent="0.2">
      <c r="A1243" s="161" t="s">
        <v>3745</v>
      </c>
      <c r="B1243" s="105" t="s">
        <v>3360</v>
      </c>
      <c r="C1243" s="105" t="s">
        <v>3775</v>
      </c>
      <c r="D1243" s="149" t="s">
        <v>3361</v>
      </c>
      <c r="E1243" s="105">
        <v>1</v>
      </c>
      <c r="F1243" s="158" t="s">
        <v>3359</v>
      </c>
      <c r="G1243" s="158" t="s">
        <v>1943</v>
      </c>
      <c r="H1243" s="119">
        <f t="shared" si="59"/>
        <v>7</v>
      </c>
      <c r="I1243" s="119"/>
      <c r="J1243" s="151">
        <v>0</v>
      </c>
      <c r="K1243" s="119">
        <f t="shared" si="57"/>
        <v>7</v>
      </c>
      <c r="L1243" s="152">
        <f t="shared" si="58"/>
        <v>6.03</v>
      </c>
      <c r="M1243" s="113"/>
    </row>
    <row r="1244" spans="1:13" s="114" customFormat="1" x14ac:dyDescent="0.2">
      <c r="A1244" s="161" t="s">
        <v>3745</v>
      </c>
      <c r="B1244" s="105" t="s">
        <v>1793</v>
      </c>
      <c r="C1244" s="105" t="s">
        <v>3776</v>
      </c>
      <c r="D1244" s="149" t="s">
        <v>1795</v>
      </c>
      <c r="E1244" s="105">
        <v>1</v>
      </c>
      <c r="F1244" s="158" t="s">
        <v>1796</v>
      </c>
      <c r="G1244" s="158" t="s">
        <v>1797</v>
      </c>
      <c r="H1244" s="119">
        <f t="shared" si="59"/>
        <v>14.75</v>
      </c>
      <c r="I1244" s="119"/>
      <c r="J1244" s="151">
        <v>0</v>
      </c>
      <c r="K1244" s="119">
        <f t="shared" si="57"/>
        <v>14.75</v>
      </c>
      <c r="L1244" s="152">
        <f t="shared" si="58"/>
        <v>12.77</v>
      </c>
      <c r="M1244" s="113"/>
    </row>
    <row r="1245" spans="1:13" s="114" customFormat="1" x14ac:dyDescent="0.2">
      <c r="A1245" s="161" t="s">
        <v>3745</v>
      </c>
      <c r="B1245" s="105" t="s">
        <v>2367</v>
      </c>
      <c r="C1245" s="105" t="s">
        <v>3777</v>
      </c>
      <c r="D1245" s="149" t="s">
        <v>2369</v>
      </c>
      <c r="E1245" s="105">
        <v>6</v>
      </c>
      <c r="F1245" s="158" t="s">
        <v>2370</v>
      </c>
      <c r="G1245" s="158" t="s">
        <v>1853</v>
      </c>
      <c r="H1245" s="119">
        <f t="shared" si="59"/>
        <v>45</v>
      </c>
      <c r="I1245" s="119"/>
      <c r="J1245" s="151">
        <v>0</v>
      </c>
      <c r="K1245" s="119">
        <f t="shared" si="57"/>
        <v>45</v>
      </c>
      <c r="L1245" s="152">
        <f t="shared" si="58"/>
        <v>38.28</v>
      </c>
      <c r="M1245" s="113"/>
    </row>
    <row r="1246" spans="1:13" s="114" customFormat="1" x14ac:dyDescent="0.2">
      <c r="A1246" s="161" t="s">
        <v>3745</v>
      </c>
      <c r="B1246" s="105" t="s">
        <v>3169</v>
      </c>
      <c r="C1246" s="105" t="s">
        <v>3777</v>
      </c>
      <c r="D1246" s="149" t="s">
        <v>3170</v>
      </c>
      <c r="E1246" s="105">
        <v>6</v>
      </c>
      <c r="F1246" s="158" t="s">
        <v>2803</v>
      </c>
      <c r="G1246" s="158" t="s">
        <v>2804</v>
      </c>
      <c r="H1246" s="119">
        <f t="shared" si="59"/>
        <v>37.5</v>
      </c>
      <c r="I1246" s="119"/>
      <c r="J1246" s="151">
        <v>0</v>
      </c>
      <c r="K1246" s="119">
        <f t="shared" si="57"/>
        <v>37.5</v>
      </c>
      <c r="L1246" s="152">
        <f t="shared" si="58"/>
        <v>32.46</v>
      </c>
      <c r="M1246" s="113"/>
    </row>
    <row r="1247" spans="1:13" s="114" customFormat="1" x14ac:dyDescent="0.2">
      <c r="A1247" s="161" t="s">
        <v>3745</v>
      </c>
      <c r="B1247" s="105" t="s">
        <v>2794</v>
      </c>
      <c r="C1247" s="105" t="s">
        <v>3777</v>
      </c>
      <c r="D1247" s="149" t="s">
        <v>2795</v>
      </c>
      <c r="E1247" s="105">
        <v>1</v>
      </c>
      <c r="F1247" s="158" t="s">
        <v>2796</v>
      </c>
      <c r="G1247" s="158" t="s">
        <v>1957</v>
      </c>
      <c r="H1247" s="119">
        <f t="shared" si="59"/>
        <v>27</v>
      </c>
      <c r="I1247" s="119"/>
      <c r="J1247" s="151">
        <v>0</v>
      </c>
      <c r="K1247" s="119">
        <f t="shared" si="57"/>
        <v>27</v>
      </c>
      <c r="L1247" s="152">
        <f t="shared" si="58"/>
        <v>23.15</v>
      </c>
      <c r="M1247" s="113"/>
    </row>
    <row r="1248" spans="1:13" s="114" customFormat="1" x14ac:dyDescent="0.2">
      <c r="A1248" s="161" t="s">
        <v>3745</v>
      </c>
      <c r="B1248" s="105" t="s">
        <v>3778</v>
      </c>
      <c r="C1248" s="105" t="s">
        <v>3779</v>
      </c>
      <c r="D1248" s="149" t="s">
        <v>3780</v>
      </c>
      <c r="E1248" s="105">
        <v>1</v>
      </c>
      <c r="F1248" s="158" t="s">
        <v>3678</v>
      </c>
      <c r="G1248" s="158" t="s">
        <v>3679</v>
      </c>
      <c r="H1248" s="119">
        <f t="shared" si="59"/>
        <v>44</v>
      </c>
      <c r="I1248" s="119"/>
      <c r="J1248" s="151">
        <v>0</v>
      </c>
      <c r="K1248" s="119">
        <f t="shared" si="57"/>
        <v>44</v>
      </c>
      <c r="L1248" s="152">
        <f t="shared" si="58"/>
        <v>38.25</v>
      </c>
      <c r="M1248" s="113"/>
    </row>
    <row r="1249" spans="1:13" s="114" customFormat="1" x14ac:dyDescent="0.2">
      <c r="A1249" s="161" t="s">
        <v>3745</v>
      </c>
      <c r="B1249" s="105" t="s">
        <v>1781</v>
      </c>
      <c r="C1249" s="105" t="s">
        <v>3781</v>
      </c>
      <c r="D1249" s="149" t="s">
        <v>1782</v>
      </c>
      <c r="E1249" s="105">
        <v>1</v>
      </c>
      <c r="F1249" s="158" t="s">
        <v>1783</v>
      </c>
      <c r="G1249" s="158" t="s">
        <v>1784</v>
      </c>
      <c r="H1249" s="119">
        <f t="shared" si="59"/>
        <v>11</v>
      </c>
      <c r="I1249" s="119"/>
      <c r="J1249" s="151">
        <v>0</v>
      </c>
      <c r="K1249" s="119">
        <f t="shared" si="57"/>
        <v>11</v>
      </c>
      <c r="L1249" s="152">
        <f t="shared" si="58"/>
        <v>9.3800000000000008</v>
      </c>
      <c r="M1249" s="113"/>
    </row>
    <row r="1250" spans="1:13" s="114" customFormat="1" x14ac:dyDescent="0.2">
      <c r="A1250" s="161" t="s">
        <v>3745</v>
      </c>
      <c r="B1250" s="105" t="s">
        <v>2008</v>
      </c>
      <c r="C1250" s="105" t="s">
        <v>3782</v>
      </c>
      <c r="D1250" s="149" t="s">
        <v>2010</v>
      </c>
      <c r="E1250" s="105">
        <v>1</v>
      </c>
      <c r="F1250" s="158" t="s">
        <v>2011</v>
      </c>
      <c r="G1250" s="158" t="s">
        <v>2012</v>
      </c>
      <c r="H1250" s="119">
        <f t="shared" si="59"/>
        <v>51.75</v>
      </c>
      <c r="I1250" s="119"/>
      <c r="J1250" s="151">
        <v>0</v>
      </c>
      <c r="K1250" s="119">
        <f t="shared" si="57"/>
        <v>51.75</v>
      </c>
      <c r="L1250" s="152">
        <f t="shared" si="58"/>
        <v>44.8</v>
      </c>
      <c r="M1250" s="113"/>
    </row>
    <row r="1251" spans="1:13" s="114" customFormat="1" x14ac:dyDescent="0.2">
      <c r="A1251" s="161" t="s">
        <v>3745</v>
      </c>
      <c r="B1251" s="105" t="s">
        <v>3060</v>
      </c>
      <c r="C1251" s="105" t="s">
        <v>3782</v>
      </c>
      <c r="D1251" s="149" t="s">
        <v>3062</v>
      </c>
      <c r="E1251" s="105">
        <v>1</v>
      </c>
      <c r="F1251" s="158" t="s">
        <v>2011</v>
      </c>
      <c r="G1251" s="158" t="s">
        <v>2012</v>
      </c>
      <c r="H1251" s="119">
        <f t="shared" si="59"/>
        <v>51.75</v>
      </c>
      <c r="I1251" s="119"/>
      <c r="J1251" s="151">
        <v>0</v>
      </c>
      <c r="K1251" s="119">
        <f t="shared" si="57"/>
        <v>51.75</v>
      </c>
      <c r="L1251" s="152">
        <f t="shared" si="58"/>
        <v>44.8</v>
      </c>
      <c r="M1251" s="113"/>
    </row>
    <row r="1252" spans="1:13" s="114" customFormat="1" x14ac:dyDescent="0.2">
      <c r="A1252" s="161" t="s">
        <v>3745</v>
      </c>
      <c r="B1252" s="105" t="s">
        <v>2498</v>
      </c>
      <c r="C1252" s="105" t="s">
        <v>3783</v>
      </c>
      <c r="D1252" s="149" t="s">
        <v>2499</v>
      </c>
      <c r="E1252" s="105">
        <v>1</v>
      </c>
      <c r="F1252" s="158" t="s">
        <v>2500</v>
      </c>
      <c r="G1252" s="158" t="s">
        <v>2501</v>
      </c>
      <c r="H1252" s="119">
        <f t="shared" si="59"/>
        <v>84.5</v>
      </c>
      <c r="I1252" s="119"/>
      <c r="J1252" s="151">
        <v>0</v>
      </c>
      <c r="K1252" s="119">
        <f t="shared" si="57"/>
        <v>84.5</v>
      </c>
      <c r="L1252" s="152">
        <f t="shared" si="58"/>
        <v>71.75</v>
      </c>
      <c r="M1252" s="113"/>
    </row>
    <row r="1253" spans="1:13" s="114" customFormat="1" x14ac:dyDescent="0.2">
      <c r="A1253" s="161" t="s">
        <v>3745</v>
      </c>
      <c r="B1253" s="105" t="s">
        <v>2834</v>
      </c>
      <c r="C1253" s="105" t="s">
        <v>3784</v>
      </c>
      <c r="D1253" s="149" t="s">
        <v>2835</v>
      </c>
      <c r="E1253" s="105">
        <v>1</v>
      </c>
      <c r="F1253" s="158" t="s">
        <v>1886</v>
      </c>
      <c r="G1253" s="158" t="s">
        <v>2046</v>
      </c>
      <c r="H1253" s="119">
        <f t="shared" si="59"/>
        <v>7.75</v>
      </c>
      <c r="I1253" s="119"/>
      <c r="J1253" s="151">
        <v>0</v>
      </c>
      <c r="K1253" s="119">
        <f t="shared" si="57"/>
        <v>7.75</v>
      </c>
      <c r="L1253" s="152">
        <f t="shared" si="58"/>
        <v>6.83</v>
      </c>
      <c r="M1253" s="113"/>
    </row>
    <row r="1254" spans="1:13" s="114" customFormat="1" x14ac:dyDescent="0.2">
      <c r="A1254" s="161" t="s">
        <v>3745</v>
      </c>
      <c r="B1254" s="105" t="s">
        <v>1893</v>
      </c>
      <c r="C1254" s="105" t="s">
        <v>3785</v>
      </c>
      <c r="D1254" s="149" t="s">
        <v>1894</v>
      </c>
      <c r="E1254" s="105">
        <v>2</v>
      </c>
      <c r="F1254" s="158" t="s">
        <v>2984</v>
      </c>
      <c r="G1254" s="158" t="s">
        <v>2785</v>
      </c>
      <c r="H1254" s="119">
        <f t="shared" si="59"/>
        <v>64.5</v>
      </c>
      <c r="I1254" s="119"/>
      <c r="J1254" s="151">
        <v>0</v>
      </c>
      <c r="K1254" s="119">
        <f t="shared" si="57"/>
        <v>64.5</v>
      </c>
      <c r="L1254" s="152">
        <f t="shared" si="58"/>
        <v>55.7</v>
      </c>
      <c r="M1254" s="113"/>
    </row>
    <row r="1255" spans="1:13" s="114" customFormat="1" x14ac:dyDescent="0.2">
      <c r="A1255" s="161" t="s">
        <v>3745</v>
      </c>
      <c r="B1255" s="105" t="s">
        <v>3314</v>
      </c>
      <c r="C1255" s="105" t="s">
        <v>3786</v>
      </c>
      <c r="D1255" s="149" t="s">
        <v>3316</v>
      </c>
      <c r="E1255" s="105">
        <v>1</v>
      </c>
      <c r="F1255" s="158" t="s">
        <v>3317</v>
      </c>
      <c r="G1255" s="158" t="s">
        <v>1809</v>
      </c>
      <c r="H1255" s="119">
        <f t="shared" si="59"/>
        <v>18</v>
      </c>
      <c r="I1255" s="119"/>
      <c r="J1255" s="151">
        <v>0</v>
      </c>
      <c r="K1255" s="119">
        <f t="shared" si="57"/>
        <v>18</v>
      </c>
      <c r="L1255" s="152">
        <f t="shared" si="58"/>
        <v>15.68</v>
      </c>
      <c r="M1255" s="113"/>
    </row>
    <row r="1256" spans="1:13" s="114" customFormat="1" x14ac:dyDescent="0.2">
      <c r="A1256" s="161" t="s">
        <v>3745</v>
      </c>
      <c r="B1256" s="105" t="s">
        <v>3348</v>
      </c>
      <c r="C1256" s="105" t="s">
        <v>3787</v>
      </c>
      <c r="D1256" s="149" t="s">
        <v>3349</v>
      </c>
      <c r="E1256" s="105">
        <v>12</v>
      </c>
      <c r="F1256" s="158" t="s">
        <v>3350</v>
      </c>
      <c r="G1256" s="158" t="s">
        <v>3351</v>
      </c>
      <c r="H1256" s="119">
        <f t="shared" si="59"/>
        <v>207</v>
      </c>
      <c r="I1256" s="119"/>
      <c r="J1256" s="151">
        <v>0</v>
      </c>
      <c r="K1256" s="119">
        <f t="shared" si="57"/>
        <v>207</v>
      </c>
      <c r="L1256" s="152">
        <f t="shared" si="58"/>
        <v>178.92000000000002</v>
      </c>
      <c r="M1256" s="113"/>
    </row>
    <row r="1257" spans="1:13" s="114" customFormat="1" x14ac:dyDescent="0.2">
      <c r="A1257" s="161" t="s">
        <v>3745</v>
      </c>
      <c r="B1257" s="105" t="s">
        <v>3788</v>
      </c>
      <c r="C1257" s="105" t="s">
        <v>3787</v>
      </c>
      <c r="D1257" s="149" t="s">
        <v>3789</v>
      </c>
      <c r="E1257" s="105">
        <v>1</v>
      </c>
      <c r="F1257" s="158" t="s">
        <v>3790</v>
      </c>
      <c r="G1257" s="158" t="s">
        <v>2739</v>
      </c>
      <c r="H1257" s="119">
        <f t="shared" si="59"/>
        <v>25.5</v>
      </c>
      <c r="I1257" s="119"/>
      <c r="J1257" s="151">
        <v>0</v>
      </c>
      <c r="K1257" s="119">
        <f t="shared" si="57"/>
        <v>25.5</v>
      </c>
      <c r="L1257" s="152">
        <f t="shared" si="58"/>
        <v>22.19</v>
      </c>
      <c r="M1257" s="113"/>
    </row>
    <row r="1258" spans="1:13" s="114" customFormat="1" x14ac:dyDescent="0.2">
      <c r="A1258" s="161" t="s">
        <v>3745</v>
      </c>
      <c r="B1258" s="105" t="s">
        <v>1854</v>
      </c>
      <c r="C1258" s="105" t="s">
        <v>3791</v>
      </c>
      <c r="D1258" s="149" t="s">
        <v>1855</v>
      </c>
      <c r="E1258" s="105">
        <v>1</v>
      </c>
      <c r="F1258" s="158" t="s">
        <v>1856</v>
      </c>
      <c r="G1258" s="158" t="s">
        <v>1805</v>
      </c>
      <c r="H1258" s="119">
        <f t="shared" si="59"/>
        <v>8.75</v>
      </c>
      <c r="I1258" s="119"/>
      <c r="J1258" s="151">
        <v>0</v>
      </c>
      <c r="K1258" s="119">
        <f t="shared" si="57"/>
        <v>8.75</v>
      </c>
      <c r="L1258" s="152">
        <f t="shared" si="58"/>
        <v>7.62</v>
      </c>
      <c r="M1258" s="113"/>
    </row>
    <row r="1259" spans="1:13" s="114" customFormat="1" x14ac:dyDescent="0.2">
      <c r="A1259" s="161" t="s">
        <v>3745</v>
      </c>
      <c r="B1259" s="105" t="s">
        <v>1977</v>
      </c>
      <c r="C1259" s="105" t="s">
        <v>3792</v>
      </c>
      <c r="D1259" s="149" t="s">
        <v>1979</v>
      </c>
      <c r="E1259" s="105">
        <v>5</v>
      </c>
      <c r="F1259" s="158" t="s">
        <v>1980</v>
      </c>
      <c r="G1259" s="158" t="s">
        <v>1981</v>
      </c>
      <c r="H1259" s="119">
        <f t="shared" si="59"/>
        <v>5</v>
      </c>
      <c r="I1259" s="119"/>
      <c r="J1259" s="151">
        <v>0</v>
      </c>
      <c r="K1259" s="119">
        <f t="shared" si="57"/>
        <v>5</v>
      </c>
      <c r="L1259" s="152">
        <f t="shared" si="58"/>
        <v>3.8</v>
      </c>
      <c r="M1259" s="113"/>
    </row>
    <row r="1260" spans="1:13" s="114" customFormat="1" x14ac:dyDescent="0.2">
      <c r="A1260" s="161" t="s">
        <v>3745</v>
      </c>
      <c r="B1260" s="105" t="s">
        <v>3793</v>
      </c>
      <c r="C1260" s="105" t="s">
        <v>3794</v>
      </c>
      <c r="D1260" s="149" t="s">
        <v>3795</v>
      </c>
      <c r="E1260" s="105">
        <v>1</v>
      </c>
      <c r="F1260" s="158" t="s">
        <v>3796</v>
      </c>
      <c r="G1260" s="158" t="s">
        <v>1887</v>
      </c>
      <c r="H1260" s="119">
        <f t="shared" si="59"/>
        <v>9.75</v>
      </c>
      <c r="I1260" s="119"/>
      <c r="J1260" s="151">
        <v>0</v>
      </c>
      <c r="K1260" s="119">
        <f t="shared" si="57"/>
        <v>9.75</v>
      </c>
      <c r="L1260" s="152">
        <f t="shared" si="58"/>
        <v>8.3800000000000008</v>
      </c>
      <c r="M1260" s="113"/>
    </row>
    <row r="1261" spans="1:13" s="114" customFormat="1" x14ac:dyDescent="0.2">
      <c r="A1261" s="161" t="s">
        <v>3745</v>
      </c>
      <c r="B1261" s="105" t="s">
        <v>1997</v>
      </c>
      <c r="C1261" s="105" t="s">
        <v>3797</v>
      </c>
      <c r="D1261" s="149" t="s">
        <v>1999</v>
      </c>
      <c r="E1261" s="105">
        <v>1</v>
      </c>
      <c r="F1261" s="158" t="s">
        <v>2874</v>
      </c>
      <c r="G1261" s="158" t="s">
        <v>2001</v>
      </c>
      <c r="H1261" s="119">
        <f t="shared" si="59"/>
        <v>5.25</v>
      </c>
      <c r="I1261" s="119"/>
      <c r="J1261" s="151">
        <v>0</v>
      </c>
      <c r="K1261" s="119">
        <f t="shared" si="57"/>
        <v>5.25</v>
      </c>
      <c r="L1261" s="152">
        <f t="shared" si="58"/>
        <v>4.12</v>
      </c>
      <c r="M1261" s="113"/>
    </row>
    <row r="1262" spans="1:13" s="114" customFormat="1" x14ac:dyDescent="0.2">
      <c r="A1262" s="161" t="s">
        <v>3745</v>
      </c>
      <c r="B1262" s="105" t="s">
        <v>2665</v>
      </c>
      <c r="C1262" s="105" t="s">
        <v>3798</v>
      </c>
      <c r="D1262" s="149" t="s">
        <v>2667</v>
      </c>
      <c r="E1262" s="105">
        <v>3</v>
      </c>
      <c r="F1262" s="158" t="s">
        <v>2668</v>
      </c>
      <c r="G1262" s="158" t="s">
        <v>2669</v>
      </c>
      <c r="H1262" s="119">
        <f t="shared" si="59"/>
        <v>65.25</v>
      </c>
      <c r="I1262" s="119"/>
      <c r="J1262" s="151">
        <v>0</v>
      </c>
      <c r="K1262" s="119">
        <f t="shared" si="57"/>
        <v>65.25</v>
      </c>
      <c r="L1262" s="152">
        <f t="shared" si="58"/>
        <v>55.71</v>
      </c>
      <c r="M1262" s="113"/>
    </row>
    <row r="1263" spans="1:13" s="114" customFormat="1" x14ac:dyDescent="0.2">
      <c r="A1263" s="161" t="s">
        <v>3745</v>
      </c>
      <c r="B1263" s="105" t="s">
        <v>3360</v>
      </c>
      <c r="C1263" s="105" t="s">
        <v>3799</v>
      </c>
      <c r="D1263" s="149" t="s">
        <v>3361</v>
      </c>
      <c r="E1263" s="105">
        <v>1</v>
      </c>
      <c r="F1263" s="158" t="s">
        <v>3359</v>
      </c>
      <c r="G1263" s="158" t="s">
        <v>1943</v>
      </c>
      <c r="H1263" s="119">
        <f t="shared" si="59"/>
        <v>7</v>
      </c>
      <c r="I1263" s="119"/>
      <c r="J1263" s="151">
        <v>0</v>
      </c>
      <c r="K1263" s="119">
        <f t="shared" si="57"/>
        <v>7</v>
      </c>
      <c r="L1263" s="152">
        <f t="shared" si="58"/>
        <v>6.03</v>
      </c>
      <c r="M1263" s="113"/>
    </row>
    <row r="1264" spans="1:13" s="114" customFormat="1" x14ac:dyDescent="0.2">
      <c r="A1264" s="161" t="s">
        <v>3745</v>
      </c>
      <c r="B1264" s="105" t="s">
        <v>3599</v>
      </c>
      <c r="C1264" s="105" t="s">
        <v>3800</v>
      </c>
      <c r="D1264" s="149" t="s">
        <v>3601</v>
      </c>
      <c r="E1264" s="105">
        <v>1</v>
      </c>
      <c r="F1264" s="158" t="s">
        <v>2255</v>
      </c>
      <c r="G1264" s="158" t="s">
        <v>2256</v>
      </c>
      <c r="H1264" s="119">
        <f t="shared" si="59"/>
        <v>67.25</v>
      </c>
      <c r="I1264" s="119"/>
      <c r="J1264" s="151">
        <v>0</v>
      </c>
      <c r="K1264" s="119">
        <f t="shared" si="57"/>
        <v>67.25</v>
      </c>
      <c r="L1264" s="152">
        <f t="shared" si="58"/>
        <v>58.45</v>
      </c>
      <c r="M1264" s="113"/>
    </row>
    <row r="1265" spans="1:13" s="114" customFormat="1" x14ac:dyDescent="0.2">
      <c r="A1265" s="161" t="s">
        <v>3745</v>
      </c>
      <c r="B1265" s="105" t="s">
        <v>1789</v>
      </c>
      <c r="C1265" s="105" t="s">
        <v>3800</v>
      </c>
      <c r="D1265" s="149" t="s">
        <v>1790</v>
      </c>
      <c r="E1265" s="105">
        <v>2</v>
      </c>
      <c r="F1265" s="158" t="s">
        <v>1791</v>
      </c>
      <c r="G1265" s="158" t="s">
        <v>1792</v>
      </c>
      <c r="H1265" s="119">
        <f t="shared" si="59"/>
        <v>146</v>
      </c>
      <c r="I1265" s="119"/>
      <c r="J1265" s="151">
        <v>0</v>
      </c>
      <c r="K1265" s="119">
        <f t="shared" si="57"/>
        <v>146</v>
      </c>
      <c r="L1265" s="152">
        <f t="shared" si="58"/>
        <v>114</v>
      </c>
      <c r="M1265" s="113"/>
    </row>
    <row r="1266" spans="1:13" s="114" customFormat="1" x14ac:dyDescent="0.2">
      <c r="A1266" s="161" t="s">
        <v>3745</v>
      </c>
      <c r="B1266" s="105" t="s">
        <v>2936</v>
      </c>
      <c r="C1266" s="105" t="s">
        <v>3800</v>
      </c>
      <c r="D1266" s="149" t="s">
        <v>2938</v>
      </c>
      <c r="E1266" s="105">
        <v>1</v>
      </c>
      <c r="F1266" s="158" t="s">
        <v>2939</v>
      </c>
      <c r="G1266" s="158" t="s">
        <v>1825</v>
      </c>
      <c r="H1266" s="119">
        <f t="shared" si="59"/>
        <v>67.5</v>
      </c>
      <c r="I1266" s="119"/>
      <c r="J1266" s="151">
        <v>0</v>
      </c>
      <c r="K1266" s="119">
        <f t="shared" si="57"/>
        <v>67.5</v>
      </c>
      <c r="L1266" s="152">
        <f t="shared" si="58"/>
        <v>58.5</v>
      </c>
      <c r="M1266" s="113"/>
    </row>
    <row r="1267" spans="1:13" s="114" customFormat="1" x14ac:dyDescent="0.2">
      <c r="A1267" s="161" t="s">
        <v>3745</v>
      </c>
      <c r="B1267" s="105" t="s">
        <v>2742</v>
      </c>
      <c r="C1267" s="105" t="s">
        <v>3800</v>
      </c>
      <c r="D1267" s="149" t="s">
        <v>2743</v>
      </c>
      <c r="E1267" s="105">
        <v>1</v>
      </c>
      <c r="F1267" s="158" t="s">
        <v>1832</v>
      </c>
      <c r="G1267" s="158" t="s">
        <v>1833</v>
      </c>
      <c r="H1267" s="119">
        <f t="shared" si="59"/>
        <v>18.5</v>
      </c>
      <c r="I1267" s="119"/>
      <c r="J1267" s="151">
        <v>0</v>
      </c>
      <c r="K1267" s="119">
        <f t="shared" si="57"/>
        <v>18.5</v>
      </c>
      <c r="L1267" s="152">
        <f t="shared" si="58"/>
        <v>16.03</v>
      </c>
      <c r="M1267" s="113"/>
    </row>
    <row r="1268" spans="1:13" s="114" customFormat="1" x14ac:dyDescent="0.2">
      <c r="A1268" s="161" t="s">
        <v>3745</v>
      </c>
      <c r="B1268" s="105" t="s">
        <v>1893</v>
      </c>
      <c r="C1268" s="105" t="s">
        <v>3800</v>
      </c>
      <c r="D1268" s="149" t="s">
        <v>1894</v>
      </c>
      <c r="E1268" s="105">
        <v>1</v>
      </c>
      <c r="F1268" s="158" t="s">
        <v>2984</v>
      </c>
      <c r="G1268" s="158" t="s">
        <v>2785</v>
      </c>
      <c r="H1268" s="119">
        <f t="shared" si="59"/>
        <v>32.25</v>
      </c>
      <c r="I1268" s="119"/>
      <c r="J1268" s="151">
        <v>0</v>
      </c>
      <c r="K1268" s="119">
        <f t="shared" si="57"/>
        <v>32.25</v>
      </c>
      <c r="L1268" s="152">
        <f t="shared" si="58"/>
        <v>27.85</v>
      </c>
      <c r="M1268" s="113"/>
    </row>
    <row r="1269" spans="1:13" s="114" customFormat="1" x14ac:dyDescent="0.2">
      <c r="A1269" s="161" t="s">
        <v>3745</v>
      </c>
      <c r="B1269" s="105" t="s">
        <v>2384</v>
      </c>
      <c r="C1269" s="105" t="s">
        <v>3800</v>
      </c>
      <c r="D1269" s="149" t="s">
        <v>2386</v>
      </c>
      <c r="E1269" s="105">
        <v>1</v>
      </c>
      <c r="F1269" s="158" t="s">
        <v>1876</v>
      </c>
      <c r="G1269" s="158" t="s">
        <v>1873</v>
      </c>
      <c r="H1269" s="119">
        <f t="shared" si="59"/>
        <v>19</v>
      </c>
      <c r="I1269" s="119"/>
      <c r="J1269" s="151">
        <v>0</v>
      </c>
      <c r="K1269" s="119">
        <f t="shared" si="57"/>
        <v>19</v>
      </c>
      <c r="L1269" s="152">
        <f t="shared" si="58"/>
        <v>16.350000000000001</v>
      </c>
      <c r="M1269" s="113"/>
    </row>
    <row r="1270" spans="1:13" s="114" customFormat="1" x14ac:dyDescent="0.2">
      <c r="A1270" s="161" t="s">
        <v>3745</v>
      </c>
      <c r="B1270" s="105" t="s">
        <v>3652</v>
      </c>
      <c r="C1270" s="105" t="s">
        <v>3800</v>
      </c>
      <c r="D1270" s="149" t="s">
        <v>3653</v>
      </c>
      <c r="E1270" s="105">
        <v>1</v>
      </c>
      <c r="F1270" s="158" t="s">
        <v>3339</v>
      </c>
      <c r="G1270" s="158" t="s">
        <v>3654</v>
      </c>
      <c r="H1270" s="119">
        <f t="shared" si="59"/>
        <v>83</v>
      </c>
      <c r="I1270" s="119"/>
      <c r="J1270" s="151">
        <v>0</v>
      </c>
      <c r="K1270" s="119">
        <f t="shared" si="57"/>
        <v>83</v>
      </c>
      <c r="L1270" s="152">
        <f t="shared" si="58"/>
        <v>75</v>
      </c>
      <c r="M1270" s="113"/>
    </row>
    <row r="1271" spans="1:13" s="114" customFormat="1" x14ac:dyDescent="0.2">
      <c r="A1271" s="161" t="s">
        <v>3745</v>
      </c>
      <c r="B1271" s="105" t="s">
        <v>3801</v>
      </c>
      <c r="C1271" s="105" t="s">
        <v>3800</v>
      </c>
      <c r="D1271" s="149" t="s">
        <v>3802</v>
      </c>
      <c r="E1271" s="105">
        <v>2</v>
      </c>
      <c r="F1271" s="158" t="s">
        <v>3568</v>
      </c>
      <c r="G1271" s="158" t="s">
        <v>3455</v>
      </c>
      <c r="H1271" s="119">
        <f t="shared" si="59"/>
        <v>102.5</v>
      </c>
      <c r="I1271" s="119"/>
      <c r="J1271" s="151">
        <v>0</v>
      </c>
      <c r="K1271" s="119">
        <f t="shared" si="57"/>
        <v>102.5</v>
      </c>
      <c r="L1271" s="152">
        <f t="shared" si="58"/>
        <v>88.74</v>
      </c>
      <c r="M1271" s="113"/>
    </row>
    <row r="1272" spans="1:13" s="114" customFormat="1" x14ac:dyDescent="0.2">
      <c r="A1272" s="161" t="s">
        <v>3745</v>
      </c>
      <c r="B1272" s="105" t="s">
        <v>2680</v>
      </c>
      <c r="C1272" s="105" t="s">
        <v>3800</v>
      </c>
      <c r="D1272" s="149" t="s">
        <v>2681</v>
      </c>
      <c r="E1272" s="105">
        <v>2</v>
      </c>
      <c r="F1272" s="158" t="s">
        <v>1879</v>
      </c>
      <c r="G1272" s="158" t="s">
        <v>1880</v>
      </c>
      <c r="H1272" s="119">
        <f t="shared" si="59"/>
        <v>42</v>
      </c>
      <c r="I1272" s="119"/>
      <c r="J1272" s="151">
        <v>0</v>
      </c>
      <c r="K1272" s="119">
        <f t="shared" si="57"/>
        <v>42</v>
      </c>
      <c r="L1272" s="152">
        <f t="shared" si="58"/>
        <v>36.4</v>
      </c>
      <c r="M1272" s="113"/>
    </row>
    <row r="1273" spans="1:13" s="114" customFormat="1" x14ac:dyDescent="0.2">
      <c r="A1273" s="161" t="s">
        <v>3745</v>
      </c>
      <c r="B1273" s="105" t="s">
        <v>2671</v>
      </c>
      <c r="C1273" s="105" t="s">
        <v>3800</v>
      </c>
      <c r="D1273" s="149" t="s">
        <v>2673</v>
      </c>
      <c r="E1273" s="105">
        <v>2</v>
      </c>
      <c r="F1273" s="158" t="s">
        <v>1879</v>
      </c>
      <c r="G1273" s="158" t="s">
        <v>1880</v>
      </c>
      <c r="H1273" s="119">
        <f t="shared" si="59"/>
        <v>42</v>
      </c>
      <c r="I1273" s="119"/>
      <c r="J1273" s="151">
        <v>0</v>
      </c>
      <c r="K1273" s="119">
        <f t="shared" si="57"/>
        <v>42</v>
      </c>
      <c r="L1273" s="152">
        <f t="shared" si="58"/>
        <v>36.4</v>
      </c>
      <c r="M1273" s="113"/>
    </row>
    <row r="1274" spans="1:13" s="114" customFormat="1" x14ac:dyDescent="0.2">
      <c r="A1274" s="161" t="s">
        <v>3745</v>
      </c>
      <c r="B1274" s="105" t="s">
        <v>3803</v>
      </c>
      <c r="C1274" s="105" t="s">
        <v>3800</v>
      </c>
      <c r="D1274" s="149" t="s">
        <v>3804</v>
      </c>
      <c r="E1274" s="105">
        <v>1</v>
      </c>
      <c r="F1274" s="158" t="s">
        <v>2070</v>
      </c>
      <c r="G1274" s="158" t="s">
        <v>2071</v>
      </c>
      <c r="H1274" s="119">
        <f t="shared" si="59"/>
        <v>43.75</v>
      </c>
      <c r="I1274" s="119"/>
      <c r="J1274" s="151">
        <v>0</v>
      </c>
      <c r="K1274" s="119">
        <f t="shared" si="57"/>
        <v>43.75</v>
      </c>
      <c r="L1274" s="152">
        <f t="shared" si="58"/>
        <v>38</v>
      </c>
      <c r="M1274" s="113"/>
    </row>
    <row r="1275" spans="1:13" s="114" customFormat="1" x14ac:dyDescent="0.2">
      <c r="A1275" s="161" t="s">
        <v>3745</v>
      </c>
      <c r="B1275" s="105" t="s">
        <v>3805</v>
      </c>
      <c r="C1275" s="105" t="s">
        <v>3800</v>
      </c>
      <c r="D1275" s="149" t="s">
        <v>3806</v>
      </c>
      <c r="E1275" s="105">
        <v>2</v>
      </c>
      <c r="F1275" s="158" t="s">
        <v>2212</v>
      </c>
      <c r="G1275" s="158" t="s">
        <v>2213</v>
      </c>
      <c r="H1275" s="119">
        <f t="shared" si="59"/>
        <v>30.5</v>
      </c>
      <c r="I1275" s="119"/>
      <c r="J1275" s="151">
        <v>0</v>
      </c>
      <c r="K1275" s="119">
        <f t="shared" si="57"/>
        <v>30.5</v>
      </c>
      <c r="L1275" s="152">
        <f t="shared" si="58"/>
        <v>26.2</v>
      </c>
      <c r="M1275" s="113"/>
    </row>
    <row r="1276" spans="1:13" s="114" customFormat="1" x14ac:dyDescent="0.2">
      <c r="A1276" s="161" t="s">
        <v>3745</v>
      </c>
      <c r="B1276" s="105" t="s">
        <v>1830</v>
      </c>
      <c r="C1276" s="105" t="s">
        <v>3807</v>
      </c>
      <c r="D1276" s="149" t="s">
        <v>1831</v>
      </c>
      <c r="E1276" s="105">
        <v>1</v>
      </c>
      <c r="F1276" s="158" t="s">
        <v>2740</v>
      </c>
      <c r="G1276" s="158" t="s">
        <v>2741</v>
      </c>
      <c r="H1276" s="119">
        <f t="shared" si="59"/>
        <v>19.5</v>
      </c>
      <c r="I1276" s="119"/>
      <c r="J1276" s="151">
        <v>0</v>
      </c>
      <c r="K1276" s="119">
        <f t="shared" si="57"/>
        <v>19.5</v>
      </c>
      <c r="L1276" s="152">
        <f t="shared" si="58"/>
        <v>16.84</v>
      </c>
      <c r="M1276" s="113"/>
    </row>
    <row r="1277" spans="1:13" s="114" customFormat="1" x14ac:dyDescent="0.2">
      <c r="A1277" s="161" t="s">
        <v>3745</v>
      </c>
      <c r="B1277" s="105" t="s">
        <v>2249</v>
      </c>
      <c r="C1277" s="105" t="s">
        <v>3807</v>
      </c>
      <c r="D1277" s="149" t="s">
        <v>2250</v>
      </c>
      <c r="E1277" s="105">
        <v>2</v>
      </c>
      <c r="F1277" s="158" t="s">
        <v>2251</v>
      </c>
      <c r="G1277" s="158" t="s">
        <v>2252</v>
      </c>
      <c r="H1277" s="119">
        <f t="shared" si="59"/>
        <v>57</v>
      </c>
      <c r="I1277" s="119"/>
      <c r="J1277" s="151">
        <v>0</v>
      </c>
      <c r="K1277" s="119">
        <f t="shared" si="57"/>
        <v>57</v>
      </c>
      <c r="L1277" s="152">
        <f t="shared" si="58"/>
        <v>49.38</v>
      </c>
      <c r="M1277" s="113"/>
    </row>
    <row r="1278" spans="1:13" s="114" customFormat="1" x14ac:dyDescent="0.2">
      <c r="A1278" s="161" t="s">
        <v>3745</v>
      </c>
      <c r="B1278" s="105" t="s">
        <v>1781</v>
      </c>
      <c r="C1278" s="105" t="s">
        <v>3808</v>
      </c>
      <c r="D1278" s="149" t="s">
        <v>1782</v>
      </c>
      <c r="E1278" s="105">
        <v>1</v>
      </c>
      <c r="F1278" s="158" t="s">
        <v>1783</v>
      </c>
      <c r="G1278" s="158" t="s">
        <v>1784</v>
      </c>
      <c r="H1278" s="119">
        <f t="shared" si="59"/>
        <v>11</v>
      </c>
      <c r="I1278" s="119"/>
      <c r="J1278" s="151">
        <v>0</v>
      </c>
      <c r="K1278" s="119">
        <f t="shared" si="57"/>
        <v>11</v>
      </c>
      <c r="L1278" s="152">
        <f t="shared" si="58"/>
        <v>9.3800000000000008</v>
      </c>
      <c r="M1278" s="113"/>
    </row>
    <row r="1279" spans="1:13" s="114" customFormat="1" x14ac:dyDescent="0.2">
      <c r="A1279" s="161" t="s">
        <v>3745</v>
      </c>
      <c r="B1279" s="105" t="s">
        <v>2878</v>
      </c>
      <c r="C1279" s="105" t="s">
        <v>3809</v>
      </c>
      <c r="D1279" s="149" t="s">
        <v>2880</v>
      </c>
      <c r="E1279" s="105">
        <v>1</v>
      </c>
      <c r="F1279" s="158" t="s">
        <v>2881</v>
      </c>
      <c r="G1279" s="158" t="s">
        <v>2882</v>
      </c>
      <c r="H1279" s="119">
        <f t="shared" si="59"/>
        <v>70</v>
      </c>
      <c r="I1279" s="119"/>
      <c r="J1279" s="151">
        <v>0</v>
      </c>
      <c r="K1279" s="119">
        <f t="shared" si="57"/>
        <v>70</v>
      </c>
      <c r="L1279" s="152">
        <f t="shared" si="58"/>
        <v>60.4</v>
      </c>
      <c r="M1279" s="113"/>
    </row>
    <row r="1280" spans="1:13" s="114" customFormat="1" x14ac:dyDescent="0.2">
      <c r="A1280" s="162" t="s">
        <v>3810</v>
      </c>
      <c r="B1280" s="105" t="s">
        <v>2022</v>
      </c>
      <c r="C1280" s="105" t="s">
        <v>3811</v>
      </c>
      <c r="D1280" s="149" t="s">
        <v>2024</v>
      </c>
      <c r="E1280" s="105">
        <v>2</v>
      </c>
      <c r="F1280" s="158" t="s">
        <v>2025</v>
      </c>
      <c r="G1280" s="158" t="s">
        <v>2026</v>
      </c>
      <c r="H1280" s="119">
        <f t="shared" si="59"/>
        <v>69</v>
      </c>
      <c r="I1280" s="119"/>
      <c r="J1280" s="151">
        <v>0</v>
      </c>
      <c r="K1280" s="119">
        <f t="shared" si="57"/>
        <v>69</v>
      </c>
      <c r="L1280" s="152">
        <f t="shared" si="58"/>
        <v>59.8</v>
      </c>
      <c r="M1280" s="113"/>
    </row>
    <row r="1281" spans="1:13" s="114" customFormat="1" x14ac:dyDescent="0.2">
      <c r="A1281" s="162" t="s">
        <v>3810</v>
      </c>
      <c r="B1281" s="105" t="s">
        <v>3812</v>
      </c>
      <c r="C1281" s="105" t="s">
        <v>3811</v>
      </c>
      <c r="D1281" s="149" t="s">
        <v>3813</v>
      </c>
      <c r="E1281" s="105">
        <v>1</v>
      </c>
      <c r="F1281" s="158" t="s">
        <v>2070</v>
      </c>
      <c r="G1281" s="158" t="s">
        <v>2071</v>
      </c>
      <c r="H1281" s="119">
        <f t="shared" si="59"/>
        <v>43.75</v>
      </c>
      <c r="I1281" s="119"/>
      <c r="J1281" s="151">
        <v>0</v>
      </c>
      <c r="K1281" s="119">
        <f t="shared" si="57"/>
        <v>43.75</v>
      </c>
      <c r="L1281" s="152">
        <f t="shared" si="58"/>
        <v>38</v>
      </c>
      <c r="M1281" s="113"/>
    </row>
    <row r="1282" spans="1:13" s="114" customFormat="1" x14ac:dyDescent="0.2">
      <c r="A1282" s="162" t="s">
        <v>3810</v>
      </c>
      <c r="B1282" s="105" t="s">
        <v>1781</v>
      </c>
      <c r="C1282" s="105" t="s">
        <v>3814</v>
      </c>
      <c r="D1282" s="149" t="s">
        <v>1782</v>
      </c>
      <c r="E1282" s="105">
        <v>1</v>
      </c>
      <c r="F1282" s="158" t="s">
        <v>1783</v>
      </c>
      <c r="G1282" s="158" t="s">
        <v>1784</v>
      </c>
      <c r="H1282" s="119">
        <f t="shared" si="59"/>
        <v>11</v>
      </c>
      <c r="I1282" s="119"/>
      <c r="J1282" s="151">
        <v>0</v>
      </c>
      <c r="K1282" s="119">
        <f t="shared" si="57"/>
        <v>11</v>
      </c>
      <c r="L1282" s="152">
        <f t="shared" si="58"/>
        <v>9.3800000000000008</v>
      </c>
      <c r="M1282" s="113"/>
    </row>
    <row r="1283" spans="1:13" s="114" customFormat="1" x14ac:dyDescent="0.2">
      <c r="A1283" s="162" t="s">
        <v>3810</v>
      </c>
      <c r="B1283" s="105" t="s">
        <v>2512</v>
      </c>
      <c r="C1283" s="105" t="s">
        <v>3815</v>
      </c>
      <c r="D1283" s="149" t="s">
        <v>2514</v>
      </c>
      <c r="E1283" s="105">
        <v>1</v>
      </c>
      <c r="F1283" s="158" t="s">
        <v>1780</v>
      </c>
      <c r="G1283" s="158" t="s">
        <v>2515</v>
      </c>
      <c r="H1283" s="119">
        <f t="shared" si="59"/>
        <v>67</v>
      </c>
      <c r="I1283" s="119"/>
      <c r="J1283" s="151">
        <v>0</v>
      </c>
      <c r="K1283" s="119">
        <f t="shared" si="57"/>
        <v>67</v>
      </c>
      <c r="L1283" s="152">
        <f t="shared" si="58"/>
        <v>58</v>
      </c>
      <c r="M1283" s="113"/>
    </row>
    <row r="1284" spans="1:13" s="114" customFormat="1" x14ac:dyDescent="0.2">
      <c r="A1284" s="162" t="s">
        <v>3810</v>
      </c>
      <c r="B1284" s="105" t="s">
        <v>2363</v>
      </c>
      <c r="C1284" s="105" t="s">
        <v>3816</v>
      </c>
      <c r="D1284" s="149" t="s">
        <v>2365</v>
      </c>
      <c r="E1284" s="105">
        <v>1</v>
      </c>
      <c r="F1284" s="158" t="s">
        <v>2366</v>
      </c>
      <c r="G1284" s="158" t="s">
        <v>2006</v>
      </c>
      <c r="H1284" s="119">
        <f t="shared" si="59"/>
        <v>14.25</v>
      </c>
      <c r="I1284" s="119"/>
      <c r="J1284" s="151">
        <v>0</v>
      </c>
      <c r="K1284" s="119">
        <f t="shared" si="57"/>
        <v>14.25</v>
      </c>
      <c r="L1284" s="152">
        <f t="shared" si="58"/>
        <v>12.66</v>
      </c>
      <c r="M1284" s="113"/>
    </row>
    <row r="1285" spans="1:13" s="114" customFormat="1" x14ac:dyDescent="0.2">
      <c r="A1285" s="162" t="s">
        <v>3810</v>
      </c>
      <c r="B1285" s="105" t="s">
        <v>2072</v>
      </c>
      <c r="C1285" s="105" t="s">
        <v>3817</v>
      </c>
      <c r="D1285" s="149" t="s">
        <v>2074</v>
      </c>
      <c r="E1285" s="105">
        <v>3</v>
      </c>
      <c r="F1285" s="158" t="s">
        <v>2075</v>
      </c>
      <c r="G1285" s="158" t="s">
        <v>2076</v>
      </c>
      <c r="H1285" s="119">
        <f t="shared" si="59"/>
        <v>31.5</v>
      </c>
      <c r="I1285" s="119"/>
      <c r="J1285" s="151">
        <v>0</v>
      </c>
      <c r="K1285" s="119">
        <f t="shared" si="57"/>
        <v>31.5</v>
      </c>
      <c r="L1285" s="152">
        <f t="shared" si="58"/>
        <v>27.299999999999997</v>
      </c>
      <c r="M1285" s="113"/>
    </row>
    <row r="1286" spans="1:13" s="114" customFormat="1" x14ac:dyDescent="0.2">
      <c r="A1286" s="162" t="s">
        <v>3810</v>
      </c>
      <c r="B1286" s="105" t="s">
        <v>3818</v>
      </c>
      <c r="C1286" s="105" t="s">
        <v>3817</v>
      </c>
      <c r="D1286" s="149" t="s">
        <v>3819</v>
      </c>
      <c r="E1286" s="105">
        <v>1</v>
      </c>
      <c r="F1286" s="158" t="s">
        <v>3820</v>
      </c>
      <c r="G1286" s="158" t="s">
        <v>3821</v>
      </c>
      <c r="H1286" s="119">
        <f t="shared" si="59"/>
        <v>112</v>
      </c>
      <c r="I1286" s="119"/>
      <c r="J1286" s="151">
        <v>0</v>
      </c>
      <c r="K1286" s="119">
        <f t="shared" ref="K1286:K1349" si="60">H1286+I1286-J1286</f>
        <v>112</v>
      </c>
      <c r="L1286" s="152">
        <f t="shared" ref="L1286:L1349" si="61">E1286*F1286</f>
        <v>97.36</v>
      </c>
      <c r="M1286" s="113"/>
    </row>
    <row r="1287" spans="1:13" s="114" customFormat="1" x14ac:dyDescent="0.2">
      <c r="A1287" s="162" t="s">
        <v>3810</v>
      </c>
      <c r="B1287" s="105" t="s">
        <v>2834</v>
      </c>
      <c r="C1287" s="105" t="s">
        <v>3822</v>
      </c>
      <c r="D1287" s="149" t="s">
        <v>2835</v>
      </c>
      <c r="E1287" s="105">
        <v>1</v>
      </c>
      <c r="F1287" s="158" t="s">
        <v>1886</v>
      </c>
      <c r="G1287" s="158" t="s">
        <v>2046</v>
      </c>
      <c r="H1287" s="119">
        <f t="shared" si="59"/>
        <v>7.75</v>
      </c>
      <c r="I1287" s="119"/>
      <c r="J1287" s="151">
        <v>0</v>
      </c>
      <c r="K1287" s="119">
        <f t="shared" si="60"/>
        <v>7.75</v>
      </c>
      <c r="L1287" s="152">
        <f t="shared" si="61"/>
        <v>6.83</v>
      </c>
      <c r="M1287" s="113"/>
    </row>
    <row r="1288" spans="1:13" s="114" customFormat="1" x14ac:dyDescent="0.2">
      <c r="A1288" s="162" t="s">
        <v>3810</v>
      </c>
      <c r="B1288" s="105" t="s">
        <v>3356</v>
      </c>
      <c r="C1288" s="105" t="s">
        <v>3823</v>
      </c>
      <c r="D1288" s="149" t="s">
        <v>3358</v>
      </c>
      <c r="E1288" s="105">
        <v>1</v>
      </c>
      <c r="F1288" s="158" t="s">
        <v>3359</v>
      </c>
      <c r="G1288" s="158" t="s">
        <v>1943</v>
      </c>
      <c r="H1288" s="119">
        <f t="shared" si="59"/>
        <v>7</v>
      </c>
      <c r="I1288" s="119"/>
      <c r="J1288" s="151">
        <v>0</v>
      </c>
      <c r="K1288" s="119">
        <f t="shared" si="60"/>
        <v>7</v>
      </c>
      <c r="L1288" s="152">
        <f t="shared" si="61"/>
        <v>6.03</v>
      </c>
      <c r="M1288" s="113"/>
    </row>
    <row r="1289" spans="1:13" s="114" customFormat="1" x14ac:dyDescent="0.2">
      <c r="A1289" s="162" t="s">
        <v>3810</v>
      </c>
      <c r="B1289" s="105" t="s">
        <v>1951</v>
      </c>
      <c r="C1289" s="105" t="s">
        <v>3824</v>
      </c>
      <c r="D1289" s="149" t="s">
        <v>1952</v>
      </c>
      <c r="E1289" s="105">
        <v>1</v>
      </c>
      <c r="F1289" s="158" t="s">
        <v>1796</v>
      </c>
      <c r="G1289" s="158" t="s">
        <v>1797</v>
      </c>
      <c r="H1289" s="119">
        <f t="shared" si="59"/>
        <v>14.75</v>
      </c>
      <c r="I1289" s="119"/>
      <c r="J1289" s="151">
        <v>0</v>
      </c>
      <c r="K1289" s="119">
        <f t="shared" si="60"/>
        <v>14.75</v>
      </c>
      <c r="L1289" s="152">
        <f t="shared" si="61"/>
        <v>12.77</v>
      </c>
      <c r="M1289" s="113"/>
    </row>
    <row r="1290" spans="1:13" s="114" customFormat="1" x14ac:dyDescent="0.2">
      <c r="A1290" s="162" t="s">
        <v>3810</v>
      </c>
      <c r="B1290" s="105" t="s">
        <v>3825</v>
      </c>
      <c r="C1290" s="105" t="s">
        <v>3826</v>
      </c>
      <c r="D1290" s="149" t="s">
        <v>3827</v>
      </c>
      <c r="E1290" s="105">
        <v>2</v>
      </c>
      <c r="F1290" s="158" t="s">
        <v>3828</v>
      </c>
      <c r="G1290" s="158" t="s">
        <v>3829</v>
      </c>
      <c r="H1290" s="119">
        <f t="shared" si="59"/>
        <v>145.5</v>
      </c>
      <c r="I1290" s="119"/>
      <c r="J1290" s="151">
        <v>0</v>
      </c>
      <c r="K1290" s="119">
        <f t="shared" si="60"/>
        <v>145.5</v>
      </c>
      <c r="L1290" s="152">
        <f t="shared" si="61"/>
        <v>126.4</v>
      </c>
      <c r="M1290" s="113"/>
    </row>
    <row r="1291" spans="1:13" s="114" customFormat="1" x14ac:dyDescent="0.2">
      <c r="A1291" s="162" t="s">
        <v>3810</v>
      </c>
      <c r="B1291" s="105" t="s">
        <v>2323</v>
      </c>
      <c r="C1291" s="105" t="s">
        <v>3830</v>
      </c>
      <c r="D1291" s="149" t="s">
        <v>2325</v>
      </c>
      <c r="E1291" s="105">
        <v>1</v>
      </c>
      <c r="F1291" s="158" t="s">
        <v>2326</v>
      </c>
      <c r="G1291" s="158" t="s">
        <v>1932</v>
      </c>
      <c r="H1291" s="119">
        <f t="shared" si="59"/>
        <v>22</v>
      </c>
      <c r="I1291" s="119"/>
      <c r="J1291" s="151">
        <v>0</v>
      </c>
      <c r="K1291" s="119">
        <f t="shared" si="60"/>
        <v>22</v>
      </c>
      <c r="L1291" s="152">
        <f t="shared" si="61"/>
        <v>19.100000000000001</v>
      </c>
      <c r="M1291" s="113"/>
    </row>
    <row r="1292" spans="1:13" s="114" customFormat="1" x14ac:dyDescent="0.2">
      <c r="A1292" s="162" t="s">
        <v>3810</v>
      </c>
      <c r="B1292" s="105" t="s">
        <v>3831</v>
      </c>
      <c r="C1292" s="105" t="s">
        <v>3832</v>
      </c>
      <c r="D1292" s="149" t="s">
        <v>3833</v>
      </c>
      <c r="E1292" s="105">
        <v>1</v>
      </c>
      <c r="F1292" s="158" t="s">
        <v>3182</v>
      </c>
      <c r="G1292" s="158" t="s">
        <v>1900</v>
      </c>
      <c r="H1292" s="119">
        <f t="shared" si="59"/>
        <v>30</v>
      </c>
      <c r="I1292" s="119"/>
      <c r="J1292" s="151">
        <v>0</v>
      </c>
      <c r="K1292" s="119">
        <f t="shared" si="60"/>
        <v>30</v>
      </c>
      <c r="L1292" s="152">
        <f t="shared" si="61"/>
        <v>25.8</v>
      </c>
      <c r="M1292" s="113"/>
    </row>
    <row r="1293" spans="1:13" s="114" customFormat="1" x14ac:dyDescent="0.2">
      <c r="A1293" s="162" t="s">
        <v>3810</v>
      </c>
      <c r="B1293" s="105" t="s">
        <v>2124</v>
      </c>
      <c r="C1293" s="105" t="s">
        <v>3834</v>
      </c>
      <c r="D1293" s="149" t="s">
        <v>2126</v>
      </c>
      <c r="E1293" s="105">
        <v>1</v>
      </c>
      <c r="F1293" s="158" t="s">
        <v>1923</v>
      </c>
      <c r="G1293" s="158" t="s">
        <v>1809</v>
      </c>
      <c r="H1293" s="119">
        <f t="shared" si="59"/>
        <v>18</v>
      </c>
      <c r="I1293" s="119"/>
      <c r="J1293" s="151">
        <v>0</v>
      </c>
      <c r="K1293" s="119">
        <f t="shared" si="60"/>
        <v>18</v>
      </c>
      <c r="L1293" s="152">
        <f t="shared" si="61"/>
        <v>15.5</v>
      </c>
      <c r="M1293" s="113"/>
    </row>
    <row r="1294" spans="1:13" s="114" customFormat="1" x14ac:dyDescent="0.2">
      <c r="A1294" s="162" t="s">
        <v>3810</v>
      </c>
      <c r="B1294" s="105" t="s">
        <v>2884</v>
      </c>
      <c r="C1294" s="105" t="s">
        <v>3835</v>
      </c>
      <c r="D1294" s="149" t="s">
        <v>2886</v>
      </c>
      <c r="E1294" s="105">
        <v>3</v>
      </c>
      <c r="F1294" s="158" t="s">
        <v>3671</v>
      </c>
      <c r="G1294" s="158" t="s">
        <v>3672</v>
      </c>
      <c r="H1294" s="119">
        <f t="shared" si="59"/>
        <v>1088.25</v>
      </c>
      <c r="I1294" s="119"/>
      <c r="J1294" s="151">
        <v>0</v>
      </c>
      <c r="K1294" s="119">
        <f t="shared" si="60"/>
        <v>1088.25</v>
      </c>
      <c r="L1294" s="152">
        <f t="shared" si="61"/>
        <v>906.39</v>
      </c>
      <c r="M1294" s="113"/>
    </row>
    <row r="1295" spans="1:13" s="114" customFormat="1" x14ac:dyDescent="0.2">
      <c r="A1295" s="162" t="s">
        <v>3810</v>
      </c>
      <c r="B1295" s="105" t="s">
        <v>3836</v>
      </c>
      <c r="C1295" s="105" t="s">
        <v>3837</v>
      </c>
      <c r="D1295" s="149" t="s">
        <v>3838</v>
      </c>
      <c r="E1295" s="105">
        <v>1</v>
      </c>
      <c r="F1295" s="158" t="s">
        <v>2230</v>
      </c>
      <c r="G1295" s="158" t="s">
        <v>3524</v>
      </c>
      <c r="H1295" s="119">
        <f t="shared" si="59"/>
        <v>26.5</v>
      </c>
      <c r="I1295" s="119"/>
      <c r="J1295" s="151">
        <v>0</v>
      </c>
      <c r="K1295" s="119">
        <f t="shared" si="60"/>
        <v>26.5</v>
      </c>
      <c r="L1295" s="152">
        <f t="shared" si="61"/>
        <v>23</v>
      </c>
      <c r="M1295" s="113"/>
    </row>
    <row r="1296" spans="1:13" s="114" customFormat="1" x14ac:dyDescent="0.2">
      <c r="A1296" s="162" t="s">
        <v>3810</v>
      </c>
      <c r="B1296" s="105" t="s">
        <v>2380</v>
      </c>
      <c r="C1296" s="105" t="s">
        <v>3839</v>
      </c>
      <c r="D1296" s="149" t="s">
        <v>2381</v>
      </c>
      <c r="E1296" s="105">
        <v>1</v>
      </c>
      <c r="F1296" s="158" t="s">
        <v>2382</v>
      </c>
      <c r="G1296" s="158" t="s">
        <v>2038</v>
      </c>
      <c r="H1296" s="119">
        <f t="shared" si="59"/>
        <v>26.25</v>
      </c>
      <c r="I1296" s="119"/>
      <c r="J1296" s="151">
        <v>0</v>
      </c>
      <c r="K1296" s="119">
        <f t="shared" si="60"/>
        <v>26.25</v>
      </c>
      <c r="L1296" s="152">
        <f t="shared" si="61"/>
        <v>22.73</v>
      </c>
      <c r="M1296" s="113"/>
    </row>
    <row r="1297" spans="1:13" s="114" customFormat="1" x14ac:dyDescent="0.2">
      <c r="A1297" s="162" t="s">
        <v>3810</v>
      </c>
      <c r="B1297" s="105" t="s">
        <v>2031</v>
      </c>
      <c r="C1297" s="105" t="s">
        <v>3840</v>
      </c>
      <c r="D1297" s="149" t="s">
        <v>2033</v>
      </c>
      <c r="E1297" s="105">
        <v>1</v>
      </c>
      <c r="F1297" s="158" t="s">
        <v>2985</v>
      </c>
      <c r="G1297" s="158" t="s">
        <v>1892</v>
      </c>
      <c r="H1297" s="119">
        <f t="shared" si="59"/>
        <v>24</v>
      </c>
      <c r="I1297" s="119"/>
      <c r="J1297" s="151">
        <v>0</v>
      </c>
      <c r="K1297" s="119">
        <f t="shared" si="60"/>
        <v>24</v>
      </c>
      <c r="L1297" s="152">
        <f t="shared" si="61"/>
        <v>20.399999999999999</v>
      </c>
      <c r="M1297" s="113"/>
    </row>
    <row r="1298" spans="1:13" s="114" customFormat="1" x14ac:dyDescent="0.2">
      <c r="A1298" s="162" t="s">
        <v>3810</v>
      </c>
      <c r="B1298" s="105" t="s">
        <v>2912</v>
      </c>
      <c r="C1298" s="105" t="s">
        <v>3841</v>
      </c>
      <c r="D1298" s="149" t="s">
        <v>2914</v>
      </c>
      <c r="E1298" s="105">
        <v>1</v>
      </c>
      <c r="F1298" s="158" t="s">
        <v>1895</v>
      </c>
      <c r="G1298" s="158" t="s">
        <v>1896</v>
      </c>
      <c r="H1298" s="119">
        <f t="shared" ref="H1298:H1361" si="62">E1298*G1298</f>
        <v>31.5</v>
      </c>
      <c r="I1298" s="119"/>
      <c r="J1298" s="151">
        <v>0</v>
      </c>
      <c r="K1298" s="119">
        <f t="shared" si="60"/>
        <v>31.5</v>
      </c>
      <c r="L1298" s="152">
        <f t="shared" si="61"/>
        <v>27.3</v>
      </c>
      <c r="M1298" s="113"/>
    </row>
    <row r="1299" spans="1:13" s="114" customFormat="1" x14ac:dyDescent="0.2">
      <c r="A1299" s="162" t="s">
        <v>3810</v>
      </c>
      <c r="B1299" s="105" t="s">
        <v>3842</v>
      </c>
      <c r="C1299" s="105" t="s">
        <v>3843</v>
      </c>
      <c r="D1299" s="149" t="s">
        <v>3844</v>
      </c>
      <c r="E1299" s="105">
        <v>1</v>
      </c>
      <c r="F1299" s="158" t="s">
        <v>3845</v>
      </c>
      <c r="G1299" s="158" t="s">
        <v>2209</v>
      </c>
      <c r="H1299" s="119">
        <f t="shared" si="62"/>
        <v>48.25</v>
      </c>
      <c r="I1299" s="119"/>
      <c r="J1299" s="151">
        <v>0</v>
      </c>
      <c r="K1299" s="119">
        <f t="shared" si="60"/>
        <v>48.25</v>
      </c>
      <c r="L1299" s="152">
        <f t="shared" si="61"/>
        <v>41.83</v>
      </c>
      <c r="M1299" s="113"/>
    </row>
    <row r="1300" spans="1:13" s="114" customFormat="1" x14ac:dyDescent="0.2">
      <c r="A1300" s="162" t="s">
        <v>3810</v>
      </c>
      <c r="B1300" s="105" t="s">
        <v>3314</v>
      </c>
      <c r="C1300" s="105" t="s">
        <v>3843</v>
      </c>
      <c r="D1300" s="149" t="s">
        <v>3316</v>
      </c>
      <c r="E1300" s="105">
        <v>1</v>
      </c>
      <c r="F1300" s="158" t="s">
        <v>3317</v>
      </c>
      <c r="G1300" s="158" t="s">
        <v>1809</v>
      </c>
      <c r="H1300" s="119">
        <f t="shared" si="62"/>
        <v>18</v>
      </c>
      <c r="I1300" s="119"/>
      <c r="J1300" s="151">
        <v>0</v>
      </c>
      <c r="K1300" s="119">
        <f t="shared" si="60"/>
        <v>18</v>
      </c>
      <c r="L1300" s="152">
        <f t="shared" si="61"/>
        <v>15.68</v>
      </c>
      <c r="M1300" s="113"/>
    </row>
    <row r="1301" spans="1:13" s="114" customFormat="1" x14ac:dyDescent="0.2">
      <c r="A1301" s="162" t="s">
        <v>3810</v>
      </c>
      <c r="B1301" s="105" t="s">
        <v>1905</v>
      </c>
      <c r="C1301" s="105" t="s">
        <v>3843</v>
      </c>
      <c r="D1301" s="149" t="s">
        <v>1906</v>
      </c>
      <c r="E1301" s="105">
        <v>1</v>
      </c>
      <c r="F1301" s="158" t="s">
        <v>1859</v>
      </c>
      <c r="G1301" s="158" t="s">
        <v>1860</v>
      </c>
      <c r="H1301" s="119">
        <f t="shared" si="62"/>
        <v>17.5</v>
      </c>
      <c r="I1301" s="119"/>
      <c r="J1301" s="151">
        <v>0</v>
      </c>
      <c r="K1301" s="119">
        <f t="shared" si="60"/>
        <v>17.5</v>
      </c>
      <c r="L1301" s="152">
        <f t="shared" si="61"/>
        <v>15.12</v>
      </c>
      <c r="M1301" s="113"/>
    </row>
    <row r="1302" spans="1:13" s="114" customFormat="1" x14ac:dyDescent="0.2">
      <c r="A1302" s="162" t="s">
        <v>3810</v>
      </c>
      <c r="B1302" s="105" t="s">
        <v>1802</v>
      </c>
      <c r="C1302" s="105" t="s">
        <v>3843</v>
      </c>
      <c r="D1302" s="149" t="s">
        <v>1803</v>
      </c>
      <c r="E1302" s="105">
        <v>1</v>
      </c>
      <c r="F1302" s="158" t="s">
        <v>1804</v>
      </c>
      <c r="G1302" s="158" t="s">
        <v>1805</v>
      </c>
      <c r="H1302" s="119">
        <f t="shared" si="62"/>
        <v>8.75</v>
      </c>
      <c r="I1302" s="119"/>
      <c r="J1302" s="151">
        <v>0</v>
      </c>
      <c r="K1302" s="119">
        <f t="shared" si="60"/>
        <v>8.75</v>
      </c>
      <c r="L1302" s="152">
        <f t="shared" si="61"/>
        <v>7.51</v>
      </c>
      <c r="M1302" s="113"/>
    </row>
    <row r="1303" spans="1:13" s="114" customFormat="1" x14ac:dyDescent="0.2">
      <c r="A1303" s="163" t="s">
        <v>3810</v>
      </c>
      <c r="B1303" s="154" t="s">
        <v>3101</v>
      </c>
      <c r="C1303" s="154" t="s">
        <v>3846</v>
      </c>
      <c r="D1303" s="155" t="s">
        <v>3102</v>
      </c>
      <c r="E1303" s="154">
        <v>5</v>
      </c>
      <c r="F1303" s="160"/>
      <c r="G1303" s="160" t="s">
        <v>3103</v>
      </c>
      <c r="H1303" s="147">
        <f t="shared" si="62"/>
        <v>177.5</v>
      </c>
      <c r="I1303" s="147"/>
      <c r="J1303" s="156">
        <v>0</v>
      </c>
      <c r="K1303" s="147">
        <f t="shared" si="60"/>
        <v>177.5</v>
      </c>
      <c r="L1303" s="148">
        <f t="shared" si="61"/>
        <v>0</v>
      </c>
      <c r="M1303" s="113"/>
    </row>
    <row r="1304" spans="1:13" s="114" customFormat="1" x14ac:dyDescent="0.2">
      <c r="A1304" s="163" t="s">
        <v>3810</v>
      </c>
      <c r="B1304" s="154" t="s">
        <v>2507</v>
      </c>
      <c r="C1304" s="154" t="s">
        <v>3846</v>
      </c>
      <c r="D1304" s="155" t="s">
        <v>2508</v>
      </c>
      <c r="E1304" s="154">
        <v>2</v>
      </c>
      <c r="F1304" s="160"/>
      <c r="G1304" s="160">
        <v>56</v>
      </c>
      <c r="H1304" s="147">
        <f t="shared" si="62"/>
        <v>112</v>
      </c>
      <c r="I1304" s="147"/>
      <c r="J1304" s="156">
        <v>0</v>
      </c>
      <c r="K1304" s="147">
        <f t="shared" si="60"/>
        <v>112</v>
      </c>
      <c r="L1304" s="148">
        <f t="shared" si="61"/>
        <v>0</v>
      </c>
      <c r="M1304" s="113"/>
    </row>
    <row r="1305" spans="1:13" s="114" customFormat="1" x14ac:dyDescent="0.2">
      <c r="A1305" s="162" t="s">
        <v>3810</v>
      </c>
      <c r="B1305" s="105" t="s">
        <v>2115</v>
      </c>
      <c r="C1305" s="105" t="s">
        <v>3846</v>
      </c>
      <c r="D1305" s="149" t="s">
        <v>2117</v>
      </c>
      <c r="E1305" s="105">
        <v>5</v>
      </c>
      <c r="F1305" s="158" t="s">
        <v>2118</v>
      </c>
      <c r="G1305" s="158" t="s">
        <v>3421</v>
      </c>
      <c r="H1305" s="119">
        <f t="shared" si="62"/>
        <v>470</v>
      </c>
      <c r="I1305" s="119"/>
      <c r="J1305" s="151">
        <v>0</v>
      </c>
      <c r="K1305" s="119">
        <f t="shared" si="60"/>
        <v>470</v>
      </c>
      <c r="L1305" s="152">
        <f t="shared" si="61"/>
        <v>424</v>
      </c>
      <c r="M1305" s="113"/>
    </row>
    <row r="1306" spans="1:13" s="114" customFormat="1" x14ac:dyDescent="0.2">
      <c r="A1306" s="162" t="s">
        <v>3810</v>
      </c>
      <c r="B1306" s="105" t="s">
        <v>2394</v>
      </c>
      <c r="C1306" s="105" t="s">
        <v>3846</v>
      </c>
      <c r="D1306" s="149" t="s">
        <v>2395</v>
      </c>
      <c r="E1306" s="105">
        <v>1</v>
      </c>
      <c r="F1306" s="158" t="s">
        <v>2255</v>
      </c>
      <c r="G1306" s="158" t="s">
        <v>2191</v>
      </c>
      <c r="H1306" s="119">
        <f t="shared" si="62"/>
        <v>65</v>
      </c>
      <c r="I1306" s="119"/>
      <c r="J1306" s="151">
        <v>0</v>
      </c>
      <c r="K1306" s="119">
        <f t="shared" si="60"/>
        <v>65</v>
      </c>
      <c r="L1306" s="152">
        <f t="shared" si="61"/>
        <v>58.45</v>
      </c>
      <c r="M1306" s="113"/>
    </row>
    <row r="1307" spans="1:13" s="114" customFormat="1" x14ac:dyDescent="0.2">
      <c r="A1307" s="162" t="s">
        <v>3810</v>
      </c>
      <c r="B1307" s="105" t="s">
        <v>3195</v>
      </c>
      <c r="C1307" s="105" t="s">
        <v>3846</v>
      </c>
      <c r="D1307" s="149" t="s">
        <v>3196</v>
      </c>
      <c r="E1307" s="105">
        <v>1</v>
      </c>
      <c r="F1307" s="158" t="s">
        <v>3197</v>
      </c>
      <c r="G1307" s="158" t="s">
        <v>3198</v>
      </c>
      <c r="H1307" s="119">
        <f t="shared" si="62"/>
        <v>74.5</v>
      </c>
      <c r="I1307" s="119"/>
      <c r="J1307" s="151">
        <v>0</v>
      </c>
      <c r="K1307" s="119">
        <f t="shared" si="60"/>
        <v>74.5</v>
      </c>
      <c r="L1307" s="152">
        <f t="shared" si="61"/>
        <v>64.58</v>
      </c>
      <c r="M1307" s="113"/>
    </row>
    <row r="1308" spans="1:13" s="114" customFormat="1" x14ac:dyDescent="0.2">
      <c r="A1308" s="162" t="s">
        <v>1768</v>
      </c>
      <c r="B1308" s="105" t="s">
        <v>3280</v>
      </c>
      <c r="C1308" s="105" t="s">
        <v>3847</v>
      </c>
      <c r="D1308" s="149" t="s">
        <v>3281</v>
      </c>
      <c r="E1308" s="105">
        <v>1</v>
      </c>
      <c r="F1308" s="158" t="s">
        <v>2562</v>
      </c>
      <c r="G1308" s="158" t="s">
        <v>2563</v>
      </c>
      <c r="H1308" s="119">
        <f t="shared" si="62"/>
        <v>46.25</v>
      </c>
      <c r="I1308" s="119"/>
      <c r="J1308" s="151">
        <v>0</v>
      </c>
      <c r="K1308" s="119">
        <f t="shared" si="60"/>
        <v>46.25</v>
      </c>
      <c r="L1308" s="152">
        <f t="shared" si="61"/>
        <v>40.06</v>
      </c>
      <c r="M1308" s="113"/>
    </row>
    <row r="1309" spans="1:13" s="114" customFormat="1" x14ac:dyDescent="0.2">
      <c r="A1309" s="162" t="s">
        <v>1768</v>
      </c>
      <c r="B1309" s="105" t="s">
        <v>2559</v>
      </c>
      <c r="C1309" s="105" t="s">
        <v>3847</v>
      </c>
      <c r="D1309" s="149" t="s">
        <v>2561</v>
      </c>
      <c r="E1309" s="105">
        <v>1</v>
      </c>
      <c r="F1309" s="158" t="s">
        <v>2562</v>
      </c>
      <c r="G1309" s="158" t="s">
        <v>2563</v>
      </c>
      <c r="H1309" s="119">
        <f t="shared" si="62"/>
        <v>46.25</v>
      </c>
      <c r="I1309" s="119"/>
      <c r="J1309" s="151">
        <v>0</v>
      </c>
      <c r="K1309" s="119">
        <f t="shared" si="60"/>
        <v>46.25</v>
      </c>
      <c r="L1309" s="152">
        <f t="shared" si="61"/>
        <v>40.06</v>
      </c>
      <c r="M1309" s="113"/>
    </row>
    <row r="1310" spans="1:13" s="114" customFormat="1" x14ac:dyDescent="0.2">
      <c r="A1310" s="162" t="s">
        <v>1768</v>
      </c>
      <c r="B1310" s="105" t="s">
        <v>3848</v>
      </c>
      <c r="C1310" s="105" t="s">
        <v>3847</v>
      </c>
      <c r="D1310" s="149" t="s">
        <v>3849</v>
      </c>
      <c r="E1310" s="105">
        <v>6</v>
      </c>
      <c r="F1310" s="158" t="s">
        <v>3029</v>
      </c>
      <c r="G1310" s="158" t="s">
        <v>1853</v>
      </c>
      <c r="H1310" s="119">
        <f t="shared" si="62"/>
        <v>45</v>
      </c>
      <c r="I1310" s="119"/>
      <c r="J1310" s="151">
        <v>0</v>
      </c>
      <c r="K1310" s="119">
        <f t="shared" si="60"/>
        <v>45</v>
      </c>
      <c r="L1310" s="152">
        <f t="shared" si="61"/>
        <v>38.22</v>
      </c>
      <c r="M1310" s="113"/>
    </row>
    <row r="1311" spans="1:13" s="114" customFormat="1" x14ac:dyDescent="0.2">
      <c r="A1311" s="162" t="s">
        <v>1768</v>
      </c>
      <c r="B1311" s="105" t="s">
        <v>2307</v>
      </c>
      <c r="C1311" s="105" t="s">
        <v>3850</v>
      </c>
      <c r="D1311" s="149" t="s">
        <v>2309</v>
      </c>
      <c r="E1311" s="105">
        <v>1</v>
      </c>
      <c r="F1311" s="158" t="s">
        <v>1913</v>
      </c>
      <c r="G1311" s="158" t="s">
        <v>1914</v>
      </c>
      <c r="H1311" s="119">
        <f t="shared" si="62"/>
        <v>36.5</v>
      </c>
      <c r="I1311" s="119"/>
      <c r="J1311" s="151">
        <v>0</v>
      </c>
      <c r="K1311" s="119">
        <f t="shared" si="60"/>
        <v>36.5</v>
      </c>
      <c r="L1311" s="152">
        <f t="shared" si="61"/>
        <v>31.6</v>
      </c>
      <c r="M1311" s="113"/>
    </row>
    <row r="1312" spans="1:13" s="114" customFormat="1" x14ac:dyDescent="0.2">
      <c r="A1312" s="162" t="s">
        <v>1768</v>
      </c>
      <c r="B1312" s="105" t="s">
        <v>3613</v>
      </c>
      <c r="C1312" s="105" t="s">
        <v>3851</v>
      </c>
      <c r="D1312" s="149" t="s">
        <v>3614</v>
      </c>
      <c r="E1312" s="105">
        <v>1</v>
      </c>
      <c r="F1312" s="158" t="s">
        <v>3615</v>
      </c>
      <c r="G1312" s="158" t="s">
        <v>1801</v>
      </c>
      <c r="H1312" s="119">
        <f t="shared" si="62"/>
        <v>9.5</v>
      </c>
      <c r="I1312" s="119"/>
      <c r="J1312" s="151">
        <v>0</v>
      </c>
      <c r="K1312" s="119">
        <f t="shared" si="60"/>
        <v>9.5</v>
      </c>
      <c r="L1312" s="152">
        <f t="shared" si="61"/>
        <v>8.15</v>
      </c>
      <c r="M1312" s="113"/>
    </row>
    <row r="1313" spans="1:13" s="114" customFormat="1" x14ac:dyDescent="0.2">
      <c r="A1313" s="162" t="s">
        <v>1768</v>
      </c>
      <c r="B1313" s="105" t="s">
        <v>3836</v>
      </c>
      <c r="C1313" s="105" t="s">
        <v>3852</v>
      </c>
      <c r="D1313" s="149" t="s">
        <v>3838</v>
      </c>
      <c r="E1313" s="105">
        <v>1</v>
      </c>
      <c r="F1313" s="158" t="s">
        <v>2230</v>
      </c>
      <c r="G1313" s="158" t="s">
        <v>3524</v>
      </c>
      <c r="H1313" s="119">
        <f t="shared" si="62"/>
        <v>26.5</v>
      </c>
      <c r="I1313" s="119"/>
      <c r="J1313" s="151">
        <v>0</v>
      </c>
      <c r="K1313" s="119">
        <f t="shared" si="60"/>
        <v>26.5</v>
      </c>
      <c r="L1313" s="152">
        <f t="shared" si="61"/>
        <v>23</v>
      </c>
      <c r="M1313" s="113"/>
    </row>
    <row r="1314" spans="1:13" s="114" customFormat="1" x14ac:dyDescent="0.2">
      <c r="A1314" s="162" t="s">
        <v>1768</v>
      </c>
      <c r="B1314" s="105" t="s">
        <v>3360</v>
      </c>
      <c r="C1314" s="105" t="s">
        <v>3853</v>
      </c>
      <c r="D1314" s="149" t="s">
        <v>3361</v>
      </c>
      <c r="E1314" s="105">
        <v>1</v>
      </c>
      <c r="F1314" s="158" t="s">
        <v>3359</v>
      </c>
      <c r="G1314" s="158" t="s">
        <v>1943</v>
      </c>
      <c r="H1314" s="119">
        <f t="shared" si="62"/>
        <v>7</v>
      </c>
      <c r="I1314" s="119"/>
      <c r="J1314" s="151">
        <v>0</v>
      </c>
      <c r="K1314" s="119">
        <f t="shared" si="60"/>
        <v>7</v>
      </c>
      <c r="L1314" s="152">
        <f t="shared" si="61"/>
        <v>6.03</v>
      </c>
      <c r="M1314" s="113"/>
    </row>
    <row r="1315" spans="1:13" s="114" customFormat="1" x14ac:dyDescent="0.2">
      <c r="A1315" s="162" t="s">
        <v>1768</v>
      </c>
      <c r="B1315" s="105" t="s">
        <v>1977</v>
      </c>
      <c r="C1315" s="105" t="s">
        <v>3854</v>
      </c>
      <c r="D1315" s="149" t="s">
        <v>1979</v>
      </c>
      <c r="E1315" s="105">
        <v>5</v>
      </c>
      <c r="F1315" s="158" t="s">
        <v>1980</v>
      </c>
      <c r="G1315" s="158" t="s">
        <v>1981</v>
      </c>
      <c r="H1315" s="119">
        <f t="shared" si="62"/>
        <v>5</v>
      </c>
      <c r="I1315" s="119"/>
      <c r="J1315" s="151">
        <v>0</v>
      </c>
      <c r="K1315" s="119">
        <f t="shared" si="60"/>
        <v>5</v>
      </c>
      <c r="L1315" s="152">
        <f t="shared" si="61"/>
        <v>3.8</v>
      </c>
      <c r="M1315" s="113"/>
    </row>
    <row r="1316" spans="1:13" s="114" customFormat="1" x14ac:dyDescent="0.2">
      <c r="A1316" s="162" t="s">
        <v>1768</v>
      </c>
      <c r="B1316" s="105" t="s">
        <v>1781</v>
      </c>
      <c r="C1316" s="105" t="s">
        <v>3855</v>
      </c>
      <c r="D1316" s="149" t="s">
        <v>1782</v>
      </c>
      <c r="E1316" s="105">
        <v>1</v>
      </c>
      <c r="F1316" s="158" t="s">
        <v>1783</v>
      </c>
      <c r="G1316" s="158" t="s">
        <v>1784</v>
      </c>
      <c r="H1316" s="119">
        <f t="shared" si="62"/>
        <v>11</v>
      </c>
      <c r="I1316" s="119"/>
      <c r="J1316" s="151">
        <v>0</v>
      </c>
      <c r="K1316" s="119">
        <f t="shared" si="60"/>
        <v>11</v>
      </c>
      <c r="L1316" s="152">
        <f t="shared" si="61"/>
        <v>9.3800000000000008</v>
      </c>
      <c r="M1316" s="113"/>
    </row>
    <row r="1317" spans="1:13" s="114" customFormat="1" x14ac:dyDescent="0.2">
      <c r="A1317" s="162" t="s">
        <v>1768</v>
      </c>
      <c r="B1317" s="105" t="s">
        <v>1781</v>
      </c>
      <c r="C1317" s="105" t="s">
        <v>3856</v>
      </c>
      <c r="D1317" s="149" t="s">
        <v>1782</v>
      </c>
      <c r="E1317" s="105">
        <v>1</v>
      </c>
      <c r="F1317" s="158" t="s">
        <v>1783</v>
      </c>
      <c r="G1317" s="158" t="s">
        <v>1784</v>
      </c>
      <c r="H1317" s="119">
        <f t="shared" si="62"/>
        <v>11</v>
      </c>
      <c r="I1317" s="119"/>
      <c r="J1317" s="151">
        <v>0</v>
      </c>
      <c r="K1317" s="119">
        <f t="shared" si="60"/>
        <v>11</v>
      </c>
      <c r="L1317" s="152">
        <f t="shared" si="61"/>
        <v>9.3800000000000008</v>
      </c>
      <c r="M1317" s="113"/>
    </row>
    <row r="1318" spans="1:13" s="114" customFormat="1" x14ac:dyDescent="0.2">
      <c r="A1318" s="162" t="s">
        <v>1768</v>
      </c>
      <c r="B1318" s="105" t="s">
        <v>1937</v>
      </c>
      <c r="C1318" s="105" t="s">
        <v>3857</v>
      </c>
      <c r="D1318" s="149" t="s">
        <v>1938</v>
      </c>
      <c r="E1318" s="105">
        <v>2</v>
      </c>
      <c r="F1318" s="158" t="s">
        <v>1852</v>
      </c>
      <c r="G1318" s="158" t="s">
        <v>1939</v>
      </c>
      <c r="H1318" s="119">
        <f t="shared" si="62"/>
        <v>14.5</v>
      </c>
      <c r="I1318" s="119"/>
      <c r="J1318" s="151">
        <v>0</v>
      </c>
      <c r="K1318" s="119">
        <f t="shared" si="60"/>
        <v>14.5</v>
      </c>
      <c r="L1318" s="152">
        <f t="shared" si="61"/>
        <v>12.36</v>
      </c>
      <c r="M1318" s="113"/>
    </row>
    <row r="1319" spans="1:13" s="114" customFormat="1" x14ac:dyDescent="0.2">
      <c r="A1319" s="162" t="s">
        <v>1768</v>
      </c>
      <c r="B1319" s="105" t="s">
        <v>2089</v>
      </c>
      <c r="C1319" s="105" t="s">
        <v>3858</v>
      </c>
      <c r="D1319" s="149" t="s">
        <v>2090</v>
      </c>
      <c r="E1319" s="105">
        <v>5</v>
      </c>
      <c r="F1319" s="158" t="s">
        <v>1980</v>
      </c>
      <c r="G1319" s="158" t="s">
        <v>1981</v>
      </c>
      <c r="H1319" s="119">
        <f t="shared" si="62"/>
        <v>5</v>
      </c>
      <c r="I1319" s="119"/>
      <c r="J1319" s="151">
        <v>0</v>
      </c>
      <c r="K1319" s="119">
        <f t="shared" si="60"/>
        <v>5</v>
      </c>
      <c r="L1319" s="152">
        <f t="shared" si="61"/>
        <v>3.8</v>
      </c>
      <c r="M1319" s="113"/>
    </row>
    <row r="1320" spans="1:13" s="114" customFormat="1" x14ac:dyDescent="0.2">
      <c r="A1320" s="162" t="s">
        <v>1768</v>
      </c>
      <c r="B1320" s="105" t="s">
        <v>3788</v>
      </c>
      <c r="C1320" s="105" t="s">
        <v>3859</v>
      </c>
      <c r="D1320" s="149" t="s">
        <v>3789</v>
      </c>
      <c r="E1320" s="105">
        <v>2</v>
      </c>
      <c r="F1320" s="158" t="s">
        <v>3790</v>
      </c>
      <c r="G1320" s="158" t="s">
        <v>2739</v>
      </c>
      <c r="H1320" s="119">
        <f t="shared" si="62"/>
        <v>51</v>
      </c>
      <c r="I1320" s="119"/>
      <c r="J1320" s="151">
        <v>0</v>
      </c>
      <c r="K1320" s="119">
        <f t="shared" si="60"/>
        <v>51</v>
      </c>
      <c r="L1320" s="152">
        <f t="shared" si="61"/>
        <v>44.38</v>
      </c>
      <c r="M1320" s="113"/>
    </row>
    <row r="1321" spans="1:13" s="114" customFormat="1" x14ac:dyDescent="0.2">
      <c r="A1321" s="162" t="s">
        <v>1768</v>
      </c>
      <c r="B1321" s="105" t="s">
        <v>2530</v>
      </c>
      <c r="C1321" s="105" t="s">
        <v>3860</v>
      </c>
      <c r="D1321" s="149" t="s">
        <v>2532</v>
      </c>
      <c r="E1321" s="105">
        <v>1</v>
      </c>
      <c r="F1321" s="158" t="s">
        <v>1816</v>
      </c>
      <c r="G1321" s="158" t="s">
        <v>1817</v>
      </c>
      <c r="H1321" s="119">
        <f t="shared" si="62"/>
        <v>26</v>
      </c>
      <c r="I1321" s="119"/>
      <c r="J1321" s="151">
        <v>0</v>
      </c>
      <c r="K1321" s="119">
        <f t="shared" si="60"/>
        <v>26</v>
      </c>
      <c r="L1321" s="152">
        <f t="shared" si="61"/>
        <v>22.59</v>
      </c>
      <c r="M1321" s="113"/>
    </row>
    <row r="1322" spans="1:13" s="114" customFormat="1" x14ac:dyDescent="0.2">
      <c r="A1322" s="162" t="s">
        <v>1768</v>
      </c>
      <c r="B1322" s="105" t="s">
        <v>3861</v>
      </c>
      <c r="C1322" s="105" t="s">
        <v>3862</v>
      </c>
      <c r="D1322" s="149" t="s">
        <v>3863</v>
      </c>
      <c r="E1322" s="105">
        <v>1</v>
      </c>
      <c r="F1322" s="158" t="s">
        <v>3864</v>
      </c>
      <c r="G1322" s="158" t="s">
        <v>3865</v>
      </c>
      <c r="H1322" s="119">
        <f t="shared" si="62"/>
        <v>6500</v>
      </c>
      <c r="I1322" s="119"/>
      <c r="J1322" s="151">
        <v>0</v>
      </c>
      <c r="K1322" s="119">
        <f t="shared" si="60"/>
        <v>6500</v>
      </c>
      <c r="L1322" s="152">
        <f t="shared" si="61"/>
        <v>6000</v>
      </c>
      <c r="M1322" s="113"/>
    </row>
    <row r="1323" spans="1:13" s="114" customFormat="1" x14ac:dyDescent="0.2">
      <c r="A1323" s="162" t="s">
        <v>1768</v>
      </c>
      <c r="B1323" s="105" t="s">
        <v>2162</v>
      </c>
      <c r="C1323" s="105" t="s">
        <v>3866</v>
      </c>
      <c r="D1323" s="149" t="s">
        <v>2163</v>
      </c>
      <c r="E1323" s="105">
        <v>1</v>
      </c>
      <c r="F1323" s="158" t="s">
        <v>2164</v>
      </c>
      <c r="G1323" s="158" t="s">
        <v>2165</v>
      </c>
      <c r="H1323" s="119">
        <f t="shared" si="62"/>
        <v>77.5</v>
      </c>
      <c r="I1323" s="119"/>
      <c r="J1323" s="151">
        <v>0</v>
      </c>
      <c r="K1323" s="119">
        <f t="shared" si="60"/>
        <v>77.5</v>
      </c>
      <c r="L1323" s="152">
        <f t="shared" si="61"/>
        <v>67.290000000000006</v>
      </c>
      <c r="M1323" s="113"/>
    </row>
    <row r="1324" spans="1:13" s="114" customFormat="1" x14ac:dyDescent="0.2">
      <c r="A1324" s="162" t="s">
        <v>1768</v>
      </c>
      <c r="B1324" s="105" t="s">
        <v>3309</v>
      </c>
      <c r="C1324" s="105" t="s">
        <v>3866</v>
      </c>
      <c r="D1324" s="149" t="s">
        <v>3310</v>
      </c>
      <c r="E1324" s="105">
        <v>2</v>
      </c>
      <c r="F1324" s="158" t="s">
        <v>3311</v>
      </c>
      <c r="G1324" s="158" t="s">
        <v>2939</v>
      </c>
      <c r="H1324" s="119">
        <f t="shared" si="62"/>
        <v>117</v>
      </c>
      <c r="I1324" s="119"/>
      <c r="J1324" s="151">
        <v>0</v>
      </c>
      <c r="K1324" s="119">
        <f t="shared" si="60"/>
        <v>117</v>
      </c>
      <c r="L1324" s="152">
        <f t="shared" si="61"/>
        <v>101.6</v>
      </c>
      <c r="M1324" s="113"/>
    </row>
    <row r="1325" spans="1:13" s="114" customFormat="1" x14ac:dyDescent="0.2">
      <c r="A1325" s="162" t="s">
        <v>1768</v>
      </c>
      <c r="B1325" s="105" t="s">
        <v>2809</v>
      </c>
      <c r="C1325" s="105" t="s">
        <v>3866</v>
      </c>
      <c r="D1325" s="149" t="s">
        <v>2810</v>
      </c>
      <c r="E1325" s="105">
        <v>2</v>
      </c>
      <c r="F1325" s="158" t="s">
        <v>2811</v>
      </c>
      <c r="G1325" s="158" t="s">
        <v>2812</v>
      </c>
      <c r="H1325" s="119">
        <f t="shared" si="62"/>
        <v>124</v>
      </c>
      <c r="I1325" s="119"/>
      <c r="J1325" s="151">
        <v>0</v>
      </c>
      <c r="K1325" s="119">
        <f t="shared" si="60"/>
        <v>124</v>
      </c>
      <c r="L1325" s="152">
        <f t="shared" si="61"/>
        <v>107.62</v>
      </c>
      <c r="M1325" s="113"/>
    </row>
    <row r="1326" spans="1:13" s="114" customFormat="1" x14ac:dyDescent="0.2">
      <c r="A1326" s="162" t="s">
        <v>1768</v>
      </c>
      <c r="B1326" s="105" t="s">
        <v>3448</v>
      </c>
      <c r="C1326" s="105" t="s">
        <v>3866</v>
      </c>
      <c r="D1326" s="149" t="s">
        <v>3450</v>
      </c>
      <c r="E1326" s="105">
        <v>2</v>
      </c>
      <c r="F1326" s="158" t="s">
        <v>3451</v>
      </c>
      <c r="G1326" s="158" t="s">
        <v>1833</v>
      </c>
      <c r="H1326" s="119">
        <f t="shared" si="62"/>
        <v>37</v>
      </c>
      <c r="I1326" s="119"/>
      <c r="J1326" s="151">
        <v>0</v>
      </c>
      <c r="K1326" s="119">
        <f t="shared" si="60"/>
        <v>37</v>
      </c>
      <c r="L1326" s="152">
        <f t="shared" si="61"/>
        <v>31.82</v>
      </c>
      <c r="M1326" s="113"/>
    </row>
    <row r="1327" spans="1:13" s="114" customFormat="1" x14ac:dyDescent="0.2">
      <c r="A1327" s="163" t="s">
        <v>1768</v>
      </c>
      <c r="B1327" s="154" t="s">
        <v>3101</v>
      </c>
      <c r="C1327" s="154" t="s">
        <v>3866</v>
      </c>
      <c r="D1327" s="155" t="s">
        <v>3102</v>
      </c>
      <c r="E1327" s="154">
        <v>6</v>
      </c>
      <c r="F1327" s="160"/>
      <c r="G1327" s="160" t="s">
        <v>3103</v>
      </c>
      <c r="H1327" s="147">
        <f t="shared" si="62"/>
        <v>213</v>
      </c>
      <c r="I1327" s="147"/>
      <c r="J1327" s="156">
        <v>0</v>
      </c>
      <c r="K1327" s="147">
        <f t="shared" si="60"/>
        <v>213</v>
      </c>
      <c r="L1327" s="148">
        <f t="shared" si="61"/>
        <v>0</v>
      </c>
      <c r="M1327" s="113"/>
    </row>
    <row r="1328" spans="1:13" s="114" customFormat="1" x14ac:dyDescent="0.2">
      <c r="A1328" s="162" t="s">
        <v>1768</v>
      </c>
      <c r="B1328" s="105" t="s">
        <v>2115</v>
      </c>
      <c r="C1328" s="105" t="s">
        <v>3866</v>
      </c>
      <c r="D1328" s="149" t="s">
        <v>2117</v>
      </c>
      <c r="E1328" s="105">
        <v>4</v>
      </c>
      <c r="F1328" s="158" t="s">
        <v>3867</v>
      </c>
      <c r="G1328" s="158" t="s">
        <v>3421</v>
      </c>
      <c r="H1328" s="119">
        <f t="shared" si="62"/>
        <v>376</v>
      </c>
      <c r="I1328" s="119"/>
      <c r="J1328" s="151">
        <v>0</v>
      </c>
      <c r="K1328" s="119">
        <f t="shared" si="60"/>
        <v>376</v>
      </c>
      <c r="L1328" s="152">
        <f t="shared" si="61"/>
        <v>339.4</v>
      </c>
      <c r="M1328" s="113"/>
    </row>
    <row r="1329" spans="1:13" s="114" customFormat="1" x14ac:dyDescent="0.2">
      <c r="A1329" s="162" t="s">
        <v>1768</v>
      </c>
      <c r="B1329" s="105" t="s">
        <v>2394</v>
      </c>
      <c r="C1329" s="105" t="s">
        <v>3866</v>
      </c>
      <c r="D1329" s="149" t="s">
        <v>2395</v>
      </c>
      <c r="E1329" s="105">
        <v>1</v>
      </c>
      <c r="F1329" s="158" t="s">
        <v>3868</v>
      </c>
      <c r="G1329" s="158" t="s">
        <v>2191</v>
      </c>
      <c r="H1329" s="119">
        <f t="shared" si="62"/>
        <v>65</v>
      </c>
      <c r="I1329" s="119"/>
      <c r="J1329" s="151">
        <v>0</v>
      </c>
      <c r="K1329" s="119">
        <f t="shared" si="60"/>
        <v>65</v>
      </c>
      <c r="L1329" s="152">
        <f t="shared" si="61"/>
        <v>58.95</v>
      </c>
      <c r="M1329" s="113"/>
    </row>
    <row r="1330" spans="1:13" s="114" customFormat="1" x14ac:dyDescent="0.2">
      <c r="A1330" s="163" t="s">
        <v>1768</v>
      </c>
      <c r="B1330" s="154" t="s">
        <v>2507</v>
      </c>
      <c r="C1330" s="154" t="s">
        <v>3866</v>
      </c>
      <c r="D1330" s="155" t="s">
        <v>2508</v>
      </c>
      <c r="E1330" s="154">
        <v>2</v>
      </c>
      <c r="F1330" s="160"/>
      <c r="G1330" s="160">
        <v>56</v>
      </c>
      <c r="H1330" s="147">
        <f t="shared" si="62"/>
        <v>112</v>
      </c>
      <c r="I1330" s="147"/>
      <c r="J1330" s="156">
        <v>0</v>
      </c>
      <c r="K1330" s="147">
        <f t="shared" si="60"/>
        <v>112</v>
      </c>
      <c r="L1330" s="148">
        <f t="shared" si="61"/>
        <v>0</v>
      </c>
      <c r="M1330" s="113"/>
    </row>
    <row r="1331" spans="1:13" s="114" customFormat="1" x14ac:dyDescent="0.2">
      <c r="A1331" s="162" t="s">
        <v>1768</v>
      </c>
      <c r="B1331" s="105" t="s">
        <v>3869</v>
      </c>
      <c r="C1331" s="105" t="s">
        <v>3870</v>
      </c>
      <c r="D1331" s="149" t="s">
        <v>3871</v>
      </c>
      <c r="E1331" s="105">
        <v>1</v>
      </c>
      <c r="F1331" s="158" t="s">
        <v>3611</v>
      </c>
      <c r="G1331" s="158" t="s">
        <v>1873</v>
      </c>
      <c r="H1331" s="119">
        <f t="shared" si="62"/>
        <v>19</v>
      </c>
      <c r="I1331" s="119"/>
      <c r="J1331" s="151">
        <v>0</v>
      </c>
      <c r="K1331" s="119">
        <f t="shared" si="60"/>
        <v>19</v>
      </c>
      <c r="L1331" s="152">
        <f t="shared" si="61"/>
        <v>16.25</v>
      </c>
      <c r="M1331" s="113"/>
    </row>
    <row r="1332" spans="1:13" s="114" customFormat="1" x14ac:dyDescent="0.2">
      <c r="A1332" s="162" t="s">
        <v>1768</v>
      </c>
      <c r="B1332" s="105" t="s">
        <v>2094</v>
      </c>
      <c r="C1332" s="105" t="s">
        <v>3870</v>
      </c>
      <c r="D1332" s="149" t="s">
        <v>2096</v>
      </c>
      <c r="E1332" s="105">
        <v>2</v>
      </c>
      <c r="F1332" s="158" t="s">
        <v>2005</v>
      </c>
      <c r="G1332" s="158" t="s">
        <v>2097</v>
      </c>
      <c r="H1332" s="119">
        <f t="shared" si="62"/>
        <v>29</v>
      </c>
      <c r="I1332" s="119"/>
      <c r="J1332" s="151">
        <v>0</v>
      </c>
      <c r="K1332" s="119">
        <f t="shared" si="60"/>
        <v>29</v>
      </c>
      <c r="L1332" s="152">
        <f t="shared" si="61"/>
        <v>25.12</v>
      </c>
      <c r="M1332" s="113"/>
    </row>
    <row r="1333" spans="1:13" s="114" customFormat="1" x14ac:dyDescent="0.2">
      <c r="A1333" s="162" t="s">
        <v>1768</v>
      </c>
      <c r="B1333" s="105" t="s">
        <v>1977</v>
      </c>
      <c r="C1333" s="105" t="s">
        <v>3872</v>
      </c>
      <c r="D1333" s="149" t="s">
        <v>1979</v>
      </c>
      <c r="E1333" s="105">
        <v>5</v>
      </c>
      <c r="F1333" s="158" t="s">
        <v>1980</v>
      </c>
      <c r="G1333" s="158" t="s">
        <v>1981</v>
      </c>
      <c r="H1333" s="119">
        <f t="shared" si="62"/>
        <v>5</v>
      </c>
      <c r="I1333" s="119"/>
      <c r="J1333" s="151">
        <v>0</v>
      </c>
      <c r="K1333" s="119">
        <f t="shared" si="60"/>
        <v>5</v>
      </c>
      <c r="L1333" s="152">
        <f t="shared" si="61"/>
        <v>3.8</v>
      </c>
      <c r="M1333" s="113"/>
    </row>
    <row r="1334" spans="1:13" s="114" customFormat="1" x14ac:dyDescent="0.2">
      <c r="A1334" s="162" t="s">
        <v>1768</v>
      </c>
      <c r="B1334" s="105" t="s">
        <v>3236</v>
      </c>
      <c r="C1334" s="105" t="s">
        <v>3873</v>
      </c>
      <c r="D1334" s="149" t="s">
        <v>3237</v>
      </c>
      <c r="E1334" s="105">
        <v>1</v>
      </c>
      <c r="F1334" s="158" t="s">
        <v>2382</v>
      </c>
      <c r="G1334" s="158" t="s">
        <v>2038</v>
      </c>
      <c r="H1334" s="119">
        <f t="shared" si="62"/>
        <v>26.25</v>
      </c>
      <c r="I1334" s="119"/>
      <c r="J1334" s="151">
        <v>0</v>
      </c>
      <c r="K1334" s="119">
        <f t="shared" si="60"/>
        <v>26.25</v>
      </c>
      <c r="L1334" s="152">
        <f t="shared" si="61"/>
        <v>22.73</v>
      </c>
      <c r="M1334" s="113"/>
    </row>
    <row r="1335" spans="1:13" s="114" customFormat="1" x14ac:dyDescent="0.2">
      <c r="A1335" s="162" t="s">
        <v>1768</v>
      </c>
      <c r="B1335" s="105" t="s">
        <v>3267</v>
      </c>
      <c r="C1335" s="105" t="s">
        <v>3874</v>
      </c>
      <c r="D1335" s="149" t="s">
        <v>3268</v>
      </c>
      <c r="E1335" s="105">
        <v>1</v>
      </c>
      <c r="F1335" s="158" t="s">
        <v>3269</v>
      </c>
      <c r="G1335" s="158" t="s">
        <v>3270</v>
      </c>
      <c r="H1335" s="119">
        <f t="shared" si="62"/>
        <v>13.5</v>
      </c>
      <c r="I1335" s="119"/>
      <c r="J1335" s="151">
        <v>0</v>
      </c>
      <c r="K1335" s="119">
        <f t="shared" si="60"/>
        <v>13.5</v>
      </c>
      <c r="L1335" s="152">
        <f t="shared" si="61"/>
        <v>11.5</v>
      </c>
      <c r="M1335" s="113"/>
    </row>
    <row r="1336" spans="1:13" s="114" customFormat="1" x14ac:dyDescent="0.2">
      <c r="A1336" s="162" t="s">
        <v>1768</v>
      </c>
      <c r="B1336" s="105" t="s">
        <v>2035</v>
      </c>
      <c r="C1336" s="105" t="s">
        <v>3875</v>
      </c>
      <c r="D1336" s="149" t="s">
        <v>2036</v>
      </c>
      <c r="E1336" s="105">
        <v>1</v>
      </c>
      <c r="F1336" s="158" t="s">
        <v>2037</v>
      </c>
      <c r="G1336" s="158" t="s">
        <v>2038</v>
      </c>
      <c r="H1336" s="119">
        <f t="shared" si="62"/>
        <v>26.25</v>
      </c>
      <c r="I1336" s="119"/>
      <c r="J1336" s="151">
        <v>0</v>
      </c>
      <c r="K1336" s="119">
        <f t="shared" si="60"/>
        <v>26.25</v>
      </c>
      <c r="L1336" s="152">
        <f t="shared" si="61"/>
        <v>22.7</v>
      </c>
      <c r="M1336" s="113"/>
    </row>
    <row r="1337" spans="1:13" s="114" customFormat="1" x14ac:dyDescent="0.2">
      <c r="A1337" s="162" t="s">
        <v>1768</v>
      </c>
      <c r="B1337" s="105" t="s">
        <v>3793</v>
      </c>
      <c r="C1337" s="105" t="s">
        <v>3876</v>
      </c>
      <c r="D1337" s="149" t="s">
        <v>3795</v>
      </c>
      <c r="E1337" s="105">
        <v>1</v>
      </c>
      <c r="F1337" s="158" t="s">
        <v>3796</v>
      </c>
      <c r="G1337" s="158" t="s">
        <v>1887</v>
      </c>
      <c r="H1337" s="119">
        <f t="shared" si="62"/>
        <v>9.75</v>
      </c>
      <c r="I1337" s="119"/>
      <c r="J1337" s="151">
        <v>0</v>
      </c>
      <c r="K1337" s="119">
        <f t="shared" si="60"/>
        <v>9.75</v>
      </c>
      <c r="L1337" s="152">
        <f t="shared" si="61"/>
        <v>8.3800000000000008</v>
      </c>
      <c r="M1337" s="113"/>
    </row>
    <row r="1338" spans="1:13" s="114" customFormat="1" x14ac:dyDescent="0.2">
      <c r="A1338" s="162" t="s">
        <v>1768</v>
      </c>
      <c r="B1338" s="105" t="s">
        <v>2610</v>
      </c>
      <c r="C1338" s="105" t="s">
        <v>3877</v>
      </c>
      <c r="D1338" s="149" t="s">
        <v>2612</v>
      </c>
      <c r="E1338" s="105">
        <v>1</v>
      </c>
      <c r="F1338" s="158" t="s">
        <v>2613</v>
      </c>
      <c r="G1338" s="158" t="s">
        <v>2614</v>
      </c>
      <c r="H1338" s="119">
        <f t="shared" si="62"/>
        <v>59.25</v>
      </c>
      <c r="I1338" s="119"/>
      <c r="J1338" s="151">
        <v>0</v>
      </c>
      <c r="K1338" s="119">
        <f t="shared" si="60"/>
        <v>59.25</v>
      </c>
      <c r="L1338" s="152">
        <f t="shared" si="61"/>
        <v>53.9</v>
      </c>
      <c r="M1338" s="113"/>
    </row>
    <row r="1339" spans="1:13" s="114" customFormat="1" x14ac:dyDescent="0.2">
      <c r="A1339" s="162" t="s">
        <v>1768</v>
      </c>
      <c r="B1339" s="105" t="s">
        <v>2559</v>
      </c>
      <c r="C1339" s="105" t="s">
        <v>3878</v>
      </c>
      <c r="D1339" s="149" t="s">
        <v>2561</v>
      </c>
      <c r="E1339" s="105">
        <v>1</v>
      </c>
      <c r="F1339" s="158" t="s">
        <v>2562</v>
      </c>
      <c r="G1339" s="158" t="s">
        <v>2563</v>
      </c>
      <c r="H1339" s="119">
        <f t="shared" si="62"/>
        <v>46.25</v>
      </c>
      <c r="I1339" s="119"/>
      <c r="J1339" s="151">
        <v>0</v>
      </c>
      <c r="K1339" s="119">
        <f t="shared" si="60"/>
        <v>46.25</v>
      </c>
      <c r="L1339" s="152">
        <f t="shared" si="61"/>
        <v>40.06</v>
      </c>
      <c r="M1339" s="113"/>
    </row>
    <row r="1340" spans="1:13" s="114" customFormat="1" x14ac:dyDescent="0.2">
      <c r="A1340" s="162" t="s">
        <v>1768</v>
      </c>
      <c r="B1340" s="105" t="s">
        <v>3879</v>
      </c>
      <c r="C1340" s="105" t="s">
        <v>3880</v>
      </c>
      <c r="D1340" s="149" t="s">
        <v>3881</v>
      </c>
      <c r="E1340" s="105">
        <v>1</v>
      </c>
      <c r="F1340" s="158" t="s">
        <v>3882</v>
      </c>
      <c r="G1340" s="158" t="s">
        <v>3883</v>
      </c>
      <c r="H1340" s="119">
        <f t="shared" si="62"/>
        <v>31.75</v>
      </c>
      <c r="I1340" s="119"/>
      <c r="J1340" s="151">
        <v>0</v>
      </c>
      <c r="K1340" s="119">
        <f t="shared" si="60"/>
        <v>31.75</v>
      </c>
      <c r="L1340" s="152">
        <f t="shared" si="61"/>
        <v>27.49</v>
      </c>
      <c r="M1340" s="113"/>
    </row>
    <row r="1341" spans="1:13" s="114" customFormat="1" x14ac:dyDescent="0.2">
      <c r="A1341" s="162" t="s">
        <v>1768</v>
      </c>
      <c r="B1341" s="105" t="s">
        <v>3443</v>
      </c>
      <c r="C1341" s="105" t="s">
        <v>3884</v>
      </c>
      <c r="D1341" s="149" t="s">
        <v>3444</v>
      </c>
      <c r="E1341" s="105">
        <v>1</v>
      </c>
      <c r="F1341" s="158" t="s">
        <v>3445</v>
      </c>
      <c r="G1341" s="158" t="s">
        <v>2842</v>
      </c>
      <c r="H1341" s="119">
        <f t="shared" si="62"/>
        <v>103.5</v>
      </c>
      <c r="I1341" s="119"/>
      <c r="J1341" s="151">
        <v>0</v>
      </c>
      <c r="K1341" s="119">
        <f t="shared" si="60"/>
        <v>103.5</v>
      </c>
      <c r="L1341" s="152">
        <f t="shared" si="61"/>
        <v>89.91</v>
      </c>
      <c r="M1341" s="113"/>
    </row>
    <row r="1342" spans="1:13" s="114" customFormat="1" x14ac:dyDescent="0.2">
      <c r="A1342" s="162" t="s">
        <v>1768</v>
      </c>
      <c r="B1342" s="105" t="s">
        <v>3885</v>
      </c>
      <c r="C1342" s="105" t="s">
        <v>3886</v>
      </c>
      <c r="D1342" s="149" t="s">
        <v>3887</v>
      </c>
      <c r="E1342" s="105">
        <v>2</v>
      </c>
      <c r="F1342" s="158" t="s">
        <v>1833</v>
      </c>
      <c r="G1342" s="158" t="s">
        <v>2427</v>
      </c>
      <c r="H1342" s="119">
        <f t="shared" si="62"/>
        <v>43</v>
      </c>
      <c r="I1342" s="119"/>
      <c r="J1342" s="151">
        <v>0</v>
      </c>
      <c r="K1342" s="119">
        <f t="shared" si="60"/>
        <v>43</v>
      </c>
      <c r="L1342" s="152">
        <f t="shared" si="61"/>
        <v>37</v>
      </c>
      <c r="M1342" s="113"/>
    </row>
    <row r="1343" spans="1:13" s="114" customFormat="1" x14ac:dyDescent="0.2">
      <c r="A1343" s="162" t="s">
        <v>1768</v>
      </c>
      <c r="B1343" s="105" t="s">
        <v>2031</v>
      </c>
      <c r="C1343" s="105" t="s">
        <v>3888</v>
      </c>
      <c r="D1343" s="149" t="s">
        <v>2033</v>
      </c>
      <c r="E1343" s="105">
        <v>1</v>
      </c>
      <c r="F1343" s="158" t="s">
        <v>2985</v>
      </c>
      <c r="G1343" s="158" t="s">
        <v>1892</v>
      </c>
      <c r="H1343" s="119">
        <f t="shared" si="62"/>
        <v>24</v>
      </c>
      <c r="I1343" s="119"/>
      <c r="J1343" s="151">
        <v>0</v>
      </c>
      <c r="K1343" s="119">
        <f t="shared" si="60"/>
        <v>24</v>
      </c>
      <c r="L1343" s="152">
        <f t="shared" si="61"/>
        <v>20.399999999999999</v>
      </c>
      <c r="M1343" s="113"/>
    </row>
    <row r="1344" spans="1:13" s="114" customFormat="1" x14ac:dyDescent="0.2">
      <c r="A1344" s="162" t="s">
        <v>3889</v>
      </c>
      <c r="B1344" s="105" t="s">
        <v>1924</v>
      </c>
      <c r="C1344" s="105" t="s">
        <v>3890</v>
      </c>
      <c r="D1344" s="149" t="s">
        <v>1926</v>
      </c>
      <c r="E1344" s="105">
        <v>8</v>
      </c>
      <c r="F1344" s="158" t="s">
        <v>1927</v>
      </c>
      <c r="G1344" s="158" t="s">
        <v>1928</v>
      </c>
      <c r="H1344" s="119">
        <f t="shared" si="62"/>
        <v>98</v>
      </c>
      <c r="I1344" s="119"/>
      <c r="J1344" s="151">
        <v>0</v>
      </c>
      <c r="K1344" s="119">
        <f t="shared" si="60"/>
        <v>98</v>
      </c>
      <c r="L1344" s="152">
        <f t="shared" si="61"/>
        <v>85.12</v>
      </c>
      <c r="M1344" s="113"/>
    </row>
    <row r="1345" spans="1:13" s="114" customFormat="1" x14ac:dyDescent="0.2">
      <c r="A1345" s="162" t="s">
        <v>3889</v>
      </c>
      <c r="B1345" s="105" t="s">
        <v>2951</v>
      </c>
      <c r="C1345" s="105" t="s">
        <v>3891</v>
      </c>
      <c r="D1345" s="149" t="s">
        <v>2952</v>
      </c>
      <c r="E1345" s="105">
        <v>1</v>
      </c>
      <c r="F1345" s="158" t="s">
        <v>2953</v>
      </c>
      <c r="G1345" s="158" t="s">
        <v>2954</v>
      </c>
      <c r="H1345" s="119">
        <f t="shared" si="62"/>
        <v>249</v>
      </c>
      <c r="I1345" s="119"/>
      <c r="J1345" s="151">
        <v>0</v>
      </c>
      <c r="K1345" s="119">
        <f t="shared" si="60"/>
        <v>249</v>
      </c>
      <c r="L1345" s="152">
        <f t="shared" si="61"/>
        <v>216.58</v>
      </c>
      <c r="M1345" s="113"/>
    </row>
    <row r="1346" spans="1:13" s="114" customFormat="1" x14ac:dyDescent="0.2">
      <c r="A1346" s="162" t="s">
        <v>3889</v>
      </c>
      <c r="B1346" s="105" t="s">
        <v>3676</v>
      </c>
      <c r="C1346" s="105" t="s">
        <v>3891</v>
      </c>
      <c r="D1346" s="149" t="s">
        <v>3677</v>
      </c>
      <c r="E1346" s="105">
        <v>1</v>
      </c>
      <c r="F1346" s="158" t="s">
        <v>3678</v>
      </c>
      <c r="G1346" s="158" t="s">
        <v>3679</v>
      </c>
      <c r="H1346" s="119">
        <f t="shared" si="62"/>
        <v>44</v>
      </c>
      <c r="I1346" s="119"/>
      <c r="J1346" s="151">
        <v>0</v>
      </c>
      <c r="K1346" s="119">
        <f t="shared" si="60"/>
        <v>44</v>
      </c>
      <c r="L1346" s="152">
        <f t="shared" si="61"/>
        <v>38.25</v>
      </c>
      <c r="M1346" s="113"/>
    </row>
    <row r="1347" spans="1:13" s="114" customFormat="1" x14ac:dyDescent="0.2">
      <c r="A1347" s="162" t="s">
        <v>3889</v>
      </c>
      <c r="B1347" s="105" t="s">
        <v>1969</v>
      </c>
      <c r="C1347" s="105" t="s">
        <v>3892</v>
      </c>
      <c r="D1347" s="149" t="s">
        <v>1970</v>
      </c>
      <c r="E1347" s="105">
        <v>4</v>
      </c>
      <c r="F1347" s="158" t="s">
        <v>1935</v>
      </c>
      <c r="G1347" s="158" t="s">
        <v>1936</v>
      </c>
      <c r="H1347" s="119">
        <f t="shared" si="62"/>
        <v>17</v>
      </c>
      <c r="I1347" s="119"/>
      <c r="J1347" s="151">
        <v>0</v>
      </c>
      <c r="K1347" s="119">
        <f t="shared" si="60"/>
        <v>17</v>
      </c>
      <c r="L1347" s="152">
        <f t="shared" si="61"/>
        <v>14.4</v>
      </c>
      <c r="M1347" s="113"/>
    </row>
    <row r="1348" spans="1:13" s="114" customFormat="1" x14ac:dyDescent="0.2">
      <c r="A1348" s="162" t="s">
        <v>3889</v>
      </c>
      <c r="B1348" s="105" t="s">
        <v>3893</v>
      </c>
      <c r="C1348" s="105" t="s">
        <v>3894</v>
      </c>
      <c r="D1348" s="149" t="s">
        <v>3895</v>
      </c>
      <c r="E1348" s="105">
        <v>1</v>
      </c>
      <c r="F1348" s="158" t="s">
        <v>3896</v>
      </c>
      <c r="G1348" s="158" t="s">
        <v>1900</v>
      </c>
      <c r="H1348" s="119">
        <f t="shared" si="62"/>
        <v>30</v>
      </c>
      <c r="I1348" s="119"/>
      <c r="J1348" s="151">
        <v>0</v>
      </c>
      <c r="K1348" s="119">
        <f t="shared" si="60"/>
        <v>30</v>
      </c>
      <c r="L1348" s="152">
        <f t="shared" si="61"/>
        <v>25.75</v>
      </c>
      <c r="M1348" s="113"/>
    </row>
    <row r="1349" spans="1:13" s="114" customFormat="1" x14ac:dyDescent="0.2">
      <c r="A1349" s="162" t="s">
        <v>3889</v>
      </c>
      <c r="B1349" s="105" t="s">
        <v>3897</v>
      </c>
      <c r="C1349" s="105" t="s">
        <v>3898</v>
      </c>
      <c r="D1349" s="149" t="s">
        <v>3899</v>
      </c>
      <c r="E1349" s="105">
        <v>1</v>
      </c>
      <c r="F1349" s="158" t="s">
        <v>3900</v>
      </c>
      <c r="G1349" s="158" t="s">
        <v>3183</v>
      </c>
      <c r="H1349" s="119">
        <f t="shared" si="62"/>
        <v>29.75</v>
      </c>
      <c r="I1349" s="119"/>
      <c r="J1349" s="151">
        <v>0</v>
      </c>
      <c r="K1349" s="119">
        <f t="shared" si="60"/>
        <v>29.75</v>
      </c>
      <c r="L1349" s="152">
        <f t="shared" si="61"/>
        <v>25.69</v>
      </c>
      <c r="M1349" s="113"/>
    </row>
    <row r="1350" spans="1:13" s="114" customFormat="1" x14ac:dyDescent="0.2">
      <c r="A1350" s="162" t="s">
        <v>3889</v>
      </c>
      <c r="B1350" s="105" t="s">
        <v>2133</v>
      </c>
      <c r="C1350" s="105" t="s">
        <v>3898</v>
      </c>
      <c r="D1350" s="149" t="s">
        <v>2135</v>
      </c>
      <c r="E1350" s="105">
        <v>1</v>
      </c>
      <c r="F1350" s="158" t="s">
        <v>2136</v>
      </c>
      <c r="G1350" s="158" t="s">
        <v>2137</v>
      </c>
      <c r="H1350" s="119">
        <f t="shared" si="62"/>
        <v>78.25</v>
      </c>
      <c r="I1350" s="119"/>
      <c r="J1350" s="151">
        <v>0</v>
      </c>
      <c r="K1350" s="119">
        <f t="shared" ref="K1350:K1395" si="63">H1350+I1350-J1350</f>
        <v>78.25</v>
      </c>
      <c r="L1350" s="152">
        <f t="shared" ref="L1350:L1395" si="64">E1350*F1350</f>
        <v>68</v>
      </c>
      <c r="M1350" s="113"/>
    </row>
    <row r="1351" spans="1:13" s="114" customFormat="1" x14ac:dyDescent="0.2">
      <c r="A1351" s="162" t="s">
        <v>3889</v>
      </c>
      <c r="B1351" s="105" t="s">
        <v>1810</v>
      </c>
      <c r="C1351" s="105" t="s">
        <v>3898</v>
      </c>
      <c r="D1351" s="149" t="s">
        <v>1811</v>
      </c>
      <c r="E1351" s="105">
        <v>1</v>
      </c>
      <c r="F1351" s="158" t="s">
        <v>1812</v>
      </c>
      <c r="G1351" s="158" t="s">
        <v>1813</v>
      </c>
      <c r="H1351" s="119">
        <f t="shared" si="62"/>
        <v>44.25</v>
      </c>
      <c r="I1351" s="119"/>
      <c r="J1351" s="151">
        <v>0</v>
      </c>
      <c r="K1351" s="119">
        <f t="shared" si="63"/>
        <v>44.25</v>
      </c>
      <c r="L1351" s="152">
        <f t="shared" si="64"/>
        <v>38.39</v>
      </c>
      <c r="M1351" s="113"/>
    </row>
    <row r="1352" spans="1:13" s="114" customFormat="1" x14ac:dyDescent="0.2">
      <c r="A1352" s="162" t="s">
        <v>3889</v>
      </c>
      <c r="B1352" s="105" t="s">
        <v>2193</v>
      </c>
      <c r="C1352" s="105" t="s">
        <v>3901</v>
      </c>
      <c r="D1352" s="149" t="s">
        <v>2195</v>
      </c>
      <c r="E1352" s="105">
        <v>1</v>
      </c>
      <c r="F1352" s="158" t="s">
        <v>1891</v>
      </c>
      <c r="G1352" s="158" t="s">
        <v>1892</v>
      </c>
      <c r="H1352" s="119">
        <f t="shared" si="62"/>
        <v>24</v>
      </c>
      <c r="I1352" s="119"/>
      <c r="J1352" s="151">
        <v>0</v>
      </c>
      <c r="K1352" s="119">
        <f t="shared" si="63"/>
        <v>24</v>
      </c>
      <c r="L1352" s="152">
        <f t="shared" si="64"/>
        <v>20.68</v>
      </c>
      <c r="M1352" s="113"/>
    </row>
    <row r="1353" spans="1:13" s="114" customFormat="1" x14ac:dyDescent="0.2">
      <c r="A1353" s="162" t="s">
        <v>3889</v>
      </c>
      <c r="B1353" s="105" t="s">
        <v>1854</v>
      </c>
      <c r="C1353" s="105" t="s">
        <v>3901</v>
      </c>
      <c r="D1353" s="149" t="s">
        <v>1855</v>
      </c>
      <c r="E1353" s="105">
        <v>1</v>
      </c>
      <c r="F1353" s="158" t="s">
        <v>1856</v>
      </c>
      <c r="G1353" s="158" t="s">
        <v>1805</v>
      </c>
      <c r="H1353" s="119">
        <f t="shared" si="62"/>
        <v>8.75</v>
      </c>
      <c r="I1353" s="119"/>
      <c r="J1353" s="151">
        <v>0</v>
      </c>
      <c r="K1353" s="119">
        <f t="shared" si="63"/>
        <v>8.75</v>
      </c>
      <c r="L1353" s="152">
        <f t="shared" si="64"/>
        <v>7.62</v>
      </c>
      <c r="M1353" s="113"/>
    </row>
    <row r="1354" spans="1:13" s="114" customFormat="1" x14ac:dyDescent="0.2">
      <c r="A1354" s="162" t="s">
        <v>3889</v>
      </c>
      <c r="B1354" s="105" t="s">
        <v>2226</v>
      </c>
      <c r="C1354" s="105" t="s">
        <v>3902</v>
      </c>
      <c r="D1354" s="149" t="s">
        <v>2228</v>
      </c>
      <c r="E1354" s="105">
        <v>1</v>
      </c>
      <c r="F1354" s="158" t="s">
        <v>2229</v>
      </c>
      <c r="G1354" s="158" t="s">
        <v>2230</v>
      </c>
      <c r="H1354" s="119">
        <f t="shared" si="62"/>
        <v>23</v>
      </c>
      <c r="I1354" s="119"/>
      <c r="J1354" s="151">
        <v>0</v>
      </c>
      <c r="K1354" s="119">
        <f t="shared" si="63"/>
        <v>23</v>
      </c>
      <c r="L1354" s="152">
        <f t="shared" si="64"/>
        <v>19.47</v>
      </c>
      <c r="M1354" s="113"/>
    </row>
    <row r="1355" spans="1:13" s="114" customFormat="1" x14ac:dyDescent="0.2">
      <c r="A1355" s="162" t="s">
        <v>3889</v>
      </c>
      <c r="B1355" s="105" t="s">
        <v>2035</v>
      </c>
      <c r="C1355" s="105" t="s">
        <v>3902</v>
      </c>
      <c r="D1355" s="149" t="s">
        <v>2036</v>
      </c>
      <c r="E1355" s="105">
        <v>1</v>
      </c>
      <c r="F1355" s="158" t="s">
        <v>2037</v>
      </c>
      <c r="G1355" s="158" t="s">
        <v>2038</v>
      </c>
      <c r="H1355" s="119">
        <f t="shared" si="62"/>
        <v>26.25</v>
      </c>
      <c r="I1355" s="119"/>
      <c r="J1355" s="151">
        <v>0</v>
      </c>
      <c r="K1355" s="119">
        <f t="shared" si="63"/>
        <v>26.25</v>
      </c>
      <c r="L1355" s="152">
        <f t="shared" si="64"/>
        <v>22.7</v>
      </c>
      <c r="M1355" s="113"/>
    </row>
    <row r="1356" spans="1:13" s="114" customFormat="1" x14ac:dyDescent="0.2">
      <c r="A1356" s="162" t="s">
        <v>3889</v>
      </c>
      <c r="B1356" s="105" t="s">
        <v>1789</v>
      </c>
      <c r="C1356" s="105" t="s">
        <v>3903</v>
      </c>
      <c r="D1356" s="149" t="s">
        <v>1790</v>
      </c>
      <c r="E1356" s="105">
        <v>1</v>
      </c>
      <c r="F1356" s="158" t="s">
        <v>1791</v>
      </c>
      <c r="G1356" s="158" t="s">
        <v>1792</v>
      </c>
      <c r="H1356" s="119">
        <f t="shared" si="62"/>
        <v>73</v>
      </c>
      <c r="I1356" s="119"/>
      <c r="J1356" s="151">
        <v>0</v>
      </c>
      <c r="K1356" s="119">
        <f t="shared" si="63"/>
        <v>73</v>
      </c>
      <c r="L1356" s="152">
        <f t="shared" si="64"/>
        <v>57</v>
      </c>
      <c r="M1356" s="113"/>
    </row>
    <row r="1357" spans="1:13" s="114" customFormat="1" x14ac:dyDescent="0.2">
      <c r="A1357" s="162" t="s">
        <v>3889</v>
      </c>
      <c r="B1357" s="105" t="s">
        <v>2094</v>
      </c>
      <c r="C1357" s="105" t="s">
        <v>3904</v>
      </c>
      <c r="D1357" s="149" t="s">
        <v>2096</v>
      </c>
      <c r="E1357" s="105">
        <v>2</v>
      </c>
      <c r="F1357" s="158" t="s">
        <v>2005</v>
      </c>
      <c r="G1357" s="158" t="s">
        <v>2097</v>
      </c>
      <c r="H1357" s="119">
        <f t="shared" si="62"/>
        <v>29</v>
      </c>
      <c r="I1357" s="119"/>
      <c r="J1357" s="151">
        <v>0</v>
      </c>
      <c r="K1357" s="119">
        <f t="shared" si="63"/>
        <v>29</v>
      </c>
      <c r="L1357" s="152">
        <f t="shared" si="64"/>
        <v>25.12</v>
      </c>
      <c r="M1357" s="113"/>
    </row>
    <row r="1358" spans="1:13" s="114" customFormat="1" x14ac:dyDescent="0.2">
      <c r="A1358" s="163" t="s">
        <v>3889</v>
      </c>
      <c r="B1358" s="154" t="s">
        <v>2581</v>
      </c>
      <c r="C1358" s="154" t="s">
        <v>3904</v>
      </c>
      <c r="D1358" s="155" t="s">
        <v>2583</v>
      </c>
      <c r="E1358" s="154">
        <v>4</v>
      </c>
      <c r="F1358" s="160"/>
      <c r="G1358" s="160" t="s">
        <v>1939</v>
      </c>
      <c r="H1358" s="147">
        <f t="shared" si="62"/>
        <v>29</v>
      </c>
      <c r="I1358" s="147"/>
      <c r="J1358" s="156">
        <v>0</v>
      </c>
      <c r="K1358" s="147">
        <f t="shared" si="63"/>
        <v>29</v>
      </c>
      <c r="L1358" s="148">
        <f t="shared" si="64"/>
        <v>0</v>
      </c>
      <c r="M1358" s="113"/>
    </row>
    <row r="1359" spans="1:13" s="114" customFormat="1" x14ac:dyDescent="0.2">
      <c r="A1359" s="162" t="s">
        <v>3889</v>
      </c>
      <c r="B1359" s="105" t="s">
        <v>3905</v>
      </c>
      <c r="C1359" s="105" t="s">
        <v>3906</v>
      </c>
      <c r="D1359" s="149" t="s">
        <v>3907</v>
      </c>
      <c r="E1359" s="105">
        <v>1</v>
      </c>
      <c r="F1359" s="158" t="s">
        <v>3908</v>
      </c>
      <c r="G1359" s="158" t="s">
        <v>2156</v>
      </c>
      <c r="H1359" s="119">
        <f t="shared" si="62"/>
        <v>22.75</v>
      </c>
      <c r="I1359" s="119"/>
      <c r="J1359" s="151">
        <v>0</v>
      </c>
      <c r="K1359" s="119">
        <f t="shared" si="63"/>
        <v>22.75</v>
      </c>
      <c r="L1359" s="152">
        <f t="shared" si="64"/>
        <v>19.61</v>
      </c>
      <c r="M1359" s="113"/>
    </row>
    <row r="1360" spans="1:13" s="114" customFormat="1" x14ac:dyDescent="0.2">
      <c r="A1360" s="162" t="s">
        <v>3889</v>
      </c>
      <c r="B1360" s="105" t="s">
        <v>3909</v>
      </c>
      <c r="C1360" s="105" t="s">
        <v>3910</v>
      </c>
      <c r="D1360" s="149" t="s">
        <v>3911</v>
      </c>
      <c r="E1360" s="105">
        <v>3</v>
      </c>
      <c r="F1360" s="158" t="s">
        <v>1965</v>
      </c>
      <c r="G1360" s="158" t="s">
        <v>1966</v>
      </c>
      <c r="H1360" s="119">
        <f t="shared" si="62"/>
        <v>24.75</v>
      </c>
      <c r="I1360" s="119"/>
      <c r="J1360" s="151">
        <v>0</v>
      </c>
      <c r="K1360" s="119">
        <f t="shared" si="63"/>
        <v>24.75</v>
      </c>
      <c r="L1360" s="152">
        <f t="shared" si="64"/>
        <v>21.18</v>
      </c>
      <c r="M1360" s="113"/>
    </row>
    <row r="1361" spans="1:13" s="114" customFormat="1" x14ac:dyDescent="0.2">
      <c r="A1361" s="162" t="s">
        <v>3889</v>
      </c>
      <c r="B1361" s="105" t="s">
        <v>3912</v>
      </c>
      <c r="C1361" s="105" t="s">
        <v>3910</v>
      </c>
      <c r="D1361" s="149" t="s">
        <v>3913</v>
      </c>
      <c r="E1361" s="105">
        <v>1</v>
      </c>
      <c r="F1361" s="158" t="s">
        <v>2213</v>
      </c>
      <c r="G1361" s="158" t="s">
        <v>3914</v>
      </c>
      <c r="H1361" s="119">
        <f t="shared" si="62"/>
        <v>17.75</v>
      </c>
      <c r="I1361" s="119"/>
      <c r="J1361" s="151">
        <v>0</v>
      </c>
      <c r="K1361" s="119">
        <f t="shared" si="63"/>
        <v>17.75</v>
      </c>
      <c r="L1361" s="152">
        <f t="shared" si="64"/>
        <v>15.25</v>
      </c>
      <c r="M1361" s="113"/>
    </row>
    <row r="1362" spans="1:13" s="114" customFormat="1" x14ac:dyDescent="0.2">
      <c r="A1362" s="162" t="s">
        <v>3889</v>
      </c>
      <c r="B1362" s="105" t="s">
        <v>3609</v>
      </c>
      <c r="C1362" s="105" t="s">
        <v>3910</v>
      </c>
      <c r="D1362" s="149" t="s">
        <v>3610</v>
      </c>
      <c r="E1362" s="105">
        <v>1</v>
      </c>
      <c r="F1362" s="158" t="s">
        <v>2204</v>
      </c>
      <c r="G1362" s="158" t="s">
        <v>3611</v>
      </c>
      <c r="H1362" s="119">
        <f t="shared" ref="H1362:H1395" si="65">E1362*G1362</f>
        <v>16.25</v>
      </c>
      <c r="I1362" s="119"/>
      <c r="J1362" s="151">
        <v>0</v>
      </c>
      <c r="K1362" s="119">
        <f t="shared" si="63"/>
        <v>16.25</v>
      </c>
      <c r="L1362" s="152">
        <f t="shared" si="64"/>
        <v>14</v>
      </c>
      <c r="M1362" s="113"/>
    </row>
    <row r="1363" spans="1:13" s="114" customFormat="1" x14ac:dyDescent="0.2">
      <c r="A1363" s="162" t="s">
        <v>3889</v>
      </c>
      <c r="B1363" s="105" t="s">
        <v>2104</v>
      </c>
      <c r="C1363" s="105" t="s">
        <v>3910</v>
      </c>
      <c r="D1363" s="149" t="s">
        <v>2106</v>
      </c>
      <c r="E1363" s="105">
        <v>1</v>
      </c>
      <c r="F1363" s="158" t="s">
        <v>1852</v>
      </c>
      <c r="G1363" s="158" t="s">
        <v>1853</v>
      </c>
      <c r="H1363" s="119">
        <f t="shared" si="65"/>
        <v>7.5</v>
      </c>
      <c r="I1363" s="119"/>
      <c r="J1363" s="151">
        <v>0</v>
      </c>
      <c r="K1363" s="119">
        <f t="shared" si="63"/>
        <v>7.5</v>
      </c>
      <c r="L1363" s="152">
        <f t="shared" si="64"/>
        <v>6.18</v>
      </c>
      <c r="M1363" s="113"/>
    </row>
    <row r="1364" spans="1:13" s="114" customFormat="1" x14ac:dyDescent="0.2">
      <c r="A1364" s="162" t="s">
        <v>3889</v>
      </c>
      <c r="B1364" s="105" t="s">
        <v>2876</v>
      </c>
      <c r="C1364" s="105" t="s">
        <v>3910</v>
      </c>
      <c r="D1364" s="149" t="s">
        <v>2877</v>
      </c>
      <c r="E1364" s="105">
        <v>1</v>
      </c>
      <c r="F1364" s="158" t="s">
        <v>2188</v>
      </c>
      <c r="G1364" s="158" t="s">
        <v>2259</v>
      </c>
      <c r="H1364" s="119">
        <f t="shared" si="65"/>
        <v>68.5</v>
      </c>
      <c r="I1364" s="119"/>
      <c r="J1364" s="151">
        <v>0</v>
      </c>
      <c r="K1364" s="119">
        <f t="shared" si="63"/>
        <v>68.5</v>
      </c>
      <c r="L1364" s="152">
        <f t="shared" si="64"/>
        <v>59.5</v>
      </c>
      <c r="M1364" s="113"/>
    </row>
    <row r="1365" spans="1:13" s="114" customFormat="1" x14ac:dyDescent="0.2">
      <c r="A1365" s="162" t="s">
        <v>3889</v>
      </c>
      <c r="B1365" s="105" t="s">
        <v>3915</v>
      </c>
      <c r="C1365" s="105" t="s">
        <v>3910</v>
      </c>
      <c r="D1365" s="149" t="s">
        <v>3916</v>
      </c>
      <c r="E1365" s="105">
        <v>1</v>
      </c>
      <c r="F1365" s="158" t="s">
        <v>2188</v>
      </c>
      <c r="G1365" s="158" t="s">
        <v>2259</v>
      </c>
      <c r="H1365" s="119">
        <f t="shared" si="65"/>
        <v>68.5</v>
      </c>
      <c r="I1365" s="119"/>
      <c r="J1365" s="151">
        <v>0</v>
      </c>
      <c r="K1365" s="119">
        <f t="shared" si="63"/>
        <v>68.5</v>
      </c>
      <c r="L1365" s="152">
        <f t="shared" si="64"/>
        <v>59.5</v>
      </c>
      <c r="M1365" s="113"/>
    </row>
    <row r="1366" spans="1:13" s="114" customFormat="1" x14ac:dyDescent="0.2">
      <c r="A1366" s="162" t="s">
        <v>3889</v>
      </c>
      <c r="B1366" s="105" t="s">
        <v>3917</v>
      </c>
      <c r="C1366" s="105" t="s">
        <v>3918</v>
      </c>
      <c r="D1366" s="149" t="s">
        <v>3919</v>
      </c>
      <c r="E1366" s="105">
        <v>5</v>
      </c>
      <c r="F1366" s="158" t="s">
        <v>3029</v>
      </c>
      <c r="G1366" s="158" t="s">
        <v>1853</v>
      </c>
      <c r="H1366" s="119">
        <f t="shared" si="65"/>
        <v>37.5</v>
      </c>
      <c r="I1366" s="119"/>
      <c r="J1366" s="151">
        <v>0</v>
      </c>
      <c r="K1366" s="119">
        <f t="shared" si="63"/>
        <v>37.5</v>
      </c>
      <c r="L1366" s="152">
        <f t="shared" si="64"/>
        <v>31.85</v>
      </c>
      <c r="M1366" s="113"/>
    </row>
    <row r="1367" spans="1:13" s="114" customFormat="1" x14ac:dyDescent="0.2">
      <c r="A1367" s="162" t="s">
        <v>3889</v>
      </c>
      <c r="B1367" s="105" t="s">
        <v>3917</v>
      </c>
      <c r="C1367" s="105" t="s">
        <v>3918</v>
      </c>
      <c r="D1367" s="149" t="s">
        <v>3919</v>
      </c>
      <c r="E1367" s="105">
        <v>6</v>
      </c>
      <c r="F1367" s="158" t="s">
        <v>3029</v>
      </c>
      <c r="G1367" s="158" t="s">
        <v>1853</v>
      </c>
      <c r="H1367" s="119">
        <f t="shared" si="65"/>
        <v>45</v>
      </c>
      <c r="I1367" s="119"/>
      <c r="J1367" s="151">
        <v>0</v>
      </c>
      <c r="K1367" s="119">
        <f t="shared" si="63"/>
        <v>45</v>
      </c>
      <c r="L1367" s="152">
        <f t="shared" si="64"/>
        <v>38.22</v>
      </c>
      <c r="M1367" s="113"/>
    </row>
    <row r="1368" spans="1:13" s="114" customFormat="1" x14ac:dyDescent="0.2">
      <c r="A1368" s="162" t="s">
        <v>3889</v>
      </c>
      <c r="B1368" s="105" t="s">
        <v>3169</v>
      </c>
      <c r="C1368" s="105" t="s">
        <v>3918</v>
      </c>
      <c r="D1368" s="149" t="s">
        <v>3170</v>
      </c>
      <c r="E1368" s="105">
        <v>6</v>
      </c>
      <c r="F1368" s="158" t="s">
        <v>2803</v>
      </c>
      <c r="G1368" s="158" t="s">
        <v>2804</v>
      </c>
      <c r="H1368" s="119">
        <f t="shared" si="65"/>
        <v>37.5</v>
      </c>
      <c r="I1368" s="119"/>
      <c r="J1368" s="151">
        <v>0</v>
      </c>
      <c r="K1368" s="119">
        <f t="shared" si="63"/>
        <v>37.5</v>
      </c>
      <c r="L1368" s="152">
        <f t="shared" si="64"/>
        <v>32.46</v>
      </c>
      <c r="M1368" s="113"/>
    </row>
    <row r="1369" spans="1:13" s="114" customFormat="1" x14ac:dyDescent="0.2">
      <c r="A1369" s="162" t="s">
        <v>3889</v>
      </c>
      <c r="B1369" s="105" t="s">
        <v>3613</v>
      </c>
      <c r="C1369" s="105" t="s">
        <v>3920</v>
      </c>
      <c r="D1369" s="149" t="s">
        <v>3614</v>
      </c>
      <c r="E1369" s="105">
        <v>2</v>
      </c>
      <c r="F1369" s="158" t="s">
        <v>3615</v>
      </c>
      <c r="G1369" s="158" t="s">
        <v>1801</v>
      </c>
      <c r="H1369" s="119">
        <f t="shared" si="65"/>
        <v>19</v>
      </c>
      <c r="I1369" s="119"/>
      <c r="J1369" s="151">
        <v>0</v>
      </c>
      <c r="K1369" s="119">
        <f t="shared" si="63"/>
        <v>19</v>
      </c>
      <c r="L1369" s="152">
        <f t="shared" si="64"/>
        <v>16.3</v>
      </c>
      <c r="M1369" s="113"/>
    </row>
    <row r="1370" spans="1:13" s="114" customFormat="1" x14ac:dyDescent="0.2">
      <c r="A1370" s="162" t="s">
        <v>3889</v>
      </c>
      <c r="B1370" s="105" t="s">
        <v>1933</v>
      </c>
      <c r="C1370" s="105" t="s">
        <v>3921</v>
      </c>
      <c r="D1370" s="149" t="s">
        <v>1934</v>
      </c>
      <c r="E1370" s="105">
        <v>2</v>
      </c>
      <c r="F1370" s="158" t="s">
        <v>1935</v>
      </c>
      <c r="G1370" s="158" t="s">
        <v>1936</v>
      </c>
      <c r="H1370" s="119">
        <f t="shared" si="65"/>
        <v>8.5</v>
      </c>
      <c r="I1370" s="119"/>
      <c r="J1370" s="151">
        <v>0</v>
      </c>
      <c r="K1370" s="119">
        <f t="shared" si="63"/>
        <v>8.5</v>
      </c>
      <c r="L1370" s="152">
        <f t="shared" si="64"/>
        <v>7.2</v>
      </c>
      <c r="M1370" s="113"/>
    </row>
    <row r="1371" spans="1:13" s="114" customFormat="1" x14ac:dyDescent="0.2">
      <c r="A1371" s="162" t="s">
        <v>3889</v>
      </c>
      <c r="B1371" s="105" t="s">
        <v>3332</v>
      </c>
      <c r="C1371" s="105" t="s">
        <v>3922</v>
      </c>
      <c r="D1371" s="149" t="s">
        <v>3334</v>
      </c>
      <c r="E1371" s="105">
        <v>1</v>
      </c>
      <c r="F1371" s="158" t="s">
        <v>3335</v>
      </c>
      <c r="G1371" s="158" t="s">
        <v>3336</v>
      </c>
      <c r="H1371" s="119">
        <f t="shared" si="65"/>
        <v>82</v>
      </c>
      <c r="I1371" s="119"/>
      <c r="J1371" s="151">
        <v>0</v>
      </c>
      <c r="K1371" s="119">
        <f t="shared" si="63"/>
        <v>82</v>
      </c>
      <c r="L1371" s="152">
        <f t="shared" si="64"/>
        <v>71.3</v>
      </c>
      <c r="M1371" s="113"/>
    </row>
    <row r="1372" spans="1:13" s="114" customFormat="1" x14ac:dyDescent="0.2">
      <c r="A1372" s="162" t="s">
        <v>3889</v>
      </c>
      <c r="B1372" s="105" t="s">
        <v>3446</v>
      </c>
      <c r="C1372" s="105" t="s">
        <v>3923</v>
      </c>
      <c r="D1372" s="149" t="s">
        <v>3447</v>
      </c>
      <c r="E1372" s="105">
        <v>1</v>
      </c>
      <c r="F1372" s="158" t="s">
        <v>2600</v>
      </c>
      <c r="G1372" s="158" t="s">
        <v>2337</v>
      </c>
      <c r="H1372" s="119">
        <f t="shared" si="65"/>
        <v>39</v>
      </c>
      <c r="I1372" s="119"/>
      <c r="J1372" s="151">
        <v>0</v>
      </c>
      <c r="K1372" s="119">
        <f t="shared" si="63"/>
        <v>39</v>
      </c>
      <c r="L1372" s="152">
        <f t="shared" si="64"/>
        <v>33.75</v>
      </c>
      <c r="M1372" s="113"/>
    </row>
    <row r="1373" spans="1:13" s="114" customFormat="1" x14ac:dyDescent="0.2">
      <c r="A1373" s="162" t="s">
        <v>3889</v>
      </c>
      <c r="B1373" s="105" t="s">
        <v>2371</v>
      </c>
      <c r="C1373" s="105" t="s">
        <v>3924</v>
      </c>
      <c r="D1373" s="149" t="s">
        <v>2372</v>
      </c>
      <c r="E1373" s="105">
        <v>1</v>
      </c>
      <c r="F1373" s="158" t="s">
        <v>2373</v>
      </c>
      <c r="G1373" s="158" t="s">
        <v>1820</v>
      </c>
      <c r="H1373" s="119">
        <f t="shared" si="65"/>
        <v>46</v>
      </c>
      <c r="I1373" s="119"/>
      <c r="J1373" s="151">
        <v>0</v>
      </c>
      <c r="K1373" s="119">
        <f t="shared" si="63"/>
        <v>46</v>
      </c>
      <c r="L1373" s="152">
        <f t="shared" si="64"/>
        <v>39.880000000000003</v>
      </c>
      <c r="M1373" s="113"/>
    </row>
    <row r="1374" spans="1:13" s="114" customFormat="1" x14ac:dyDescent="0.2">
      <c r="A1374" s="162" t="s">
        <v>3889</v>
      </c>
      <c r="B1374" s="105" t="s">
        <v>2576</v>
      </c>
      <c r="C1374" s="105" t="s">
        <v>3925</v>
      </c>
      <c r="D1374" s="149" t="s">
        <v>2578</v>
      </c>
      <c r="E1374" s="105">
        <v>2</v>
      </c>
      <c r="F1374" s="158" t="s">
        <v>2579</v>
      </c>
      <c r="G1374" s="158" t="s">
        <v>2580</v>
      </c>
      <c r="H1374" s="119">
        <f t="shared" si="65"/>
        <v>114.5</v>
      </c>
      <c r="I1374" s="119"/>
      <c r="J1374" s="151">
        <v>0</v>
      </c>
      <c r="K1374" s="119">
        <f t="shared" si="63"/>
        <v>114.5</v>
      </c>
      <c r="L1374" s="152">
        <f t="shared" si="64"/>
        <v>99.5</v>
      </c>
      <c r="M1374" s="113"/>
    </row>
    <row r="1375" spans="1:13" s="114" customFormat="1" x14ac:dyDescent="0.2">
      <c r="A1375" s="162" t="s">
        <v>3889</v>
      </c>
      <c r="B1375" s="105" t="s">
        <v>2189</v>
      </c>
      <c r="C1375" s="105" t="s">
        <v>3925</v>
      </c>
      <c r="D1375" s="149" t="s">
        <v>2190</v>
      </c>
      <c r="E1375" s="105">
        <v>1</v>
      </c>
      <c r="F1375" s="158" t="s">
        <v>2191</v>
      </c>
      <c r="G1375" s="158" t="s">
        <v>2192</v>
      </c>
      <c r="H1375" s="119">
        <f t="shared" si="65"/>
        <v>71.5</v>
      </c>
      <c r="I1375" s="119"/>
      <c r="J1375" s="151">
        <v>0</v>
      </c>
      <c r="K1375" s="119">
        <f t="shared" si="63"/>
        <v>71.5</v>
      </c>
      <c r="L1375" s="152">
        <f t="shared" si="64"/>
        <v>65</v>
      </c>
      <c r="M1375" s="113"/>
    </row>
    <row r="1376" spans="1:13" s="114" customFormat="1" x14ac:dyDescent="0.2">
      <c r="A1376" s="162" t="s">
        <v>3889</v>
      </c>
      <c r="B1376" s="105" t="s">
        <v>2323</v>
      </c>
      <c r="C1376" s="105" t="s">
        <v>3926</v>
      </c>
      <c r="D1376" s="149" t="s">
        <v>2325</v>
      </c>
      <c r="E1376" s="105">
        <v>1</v>
      </c>
      <c r="F1376" s="158" t="s">
        <v>2326</v>
      </c>
      <c r="G1376" s="158" t="s">
        <v>1932</v>
      </c>
      <c r="H1376" s="119">
        <f t="shared" si="65"/>
        <v>22</v>
      </c>
      <c r="I1376" s="119"/>
      <c r="J1376" s="151">
        <v>0</v>
      </c>
      <c r="K1376" s="119">
        <f t="shared" si="63"/>
        <v>22</v>
      </c>
      <c r="L1376" s="152">
        <f t="shared" si="64"/>
        <v>19.100000000000001</v>
      </c>
      <c r="M1376" s="113"/>
    </row>
    <row r="1377" spans="1:13" s="114" customFormat="1" x14ac:dyDescent="0.2">
      <c r="A1377" s="162" t="s">
        <v>3889</v>
      </c>
      <c r="B1377" s="105" t="s">
        <v>3446</v>
      </c>
      <c r="C1377" s="105" t="s">
        <v>3926</v>
      </c>
      <c r="D1377" s="149" t="s">
        <v>3447</v>
      </c>
      <c r="E1377" s="105">
        <v>1</v>
      </c>
      <c r="F1377" s="158" t="s">
        <v>2600</v>
      </c>
      <c r="G1377" s="158" t="s">
        <v>2337</v>
      </c>
      <c r="H1377" s="119">
        <f t="shared" si="65"/>
        <v>39</v>
      </c>
      <c r="I1377" s="119"/>
      <c r="J1377" s="151">
        <v>0</v>
      </c>
      <c r="K1377" s="119">
        <f t="shared" si="63"/>
        <v>39</v>
      </c>
      <c r="L1377" s="152">
        <f t="shared" si="64"/>
        <v>33.75</v>
      </c>
      <c r="M1377" s="113"/>
    </row>
    <row r="1378" spans="1:13" s="114" customFormat="1" x14ac:dyDescent="0.2">
      <c r="A1378" s="162" t="s">
        <v>3889</v>
      </c>
      <c r="B1378" s="105" t="s">
        <v>2201</v>
      </c>
      <c r="C1378" s="105" t="s">
        <v>3927</v>
      </c>
      <c r="D1378" s="149" t="s">
        <v>2202</v>
      </c>
      <c r="E1378" s="105">
        <v>7</v>
      </c>
      <c r="F1378" s="158" t="s">
        <v>2203</v>
      </c>
      <c r="G1378" s="158" t="s">
        <v>2204</v>
      </c>
      <c r="H1378" s="119">
        <f t="shared" si="65"/>
        <v>98</v>
      </c>
      <c r="I1378" s="119"/>
      <c r="J1378" s="151">
        <v>0</v>
      </c>
      <c r="K1378" s="119">
        <f t="shared" si="63"/>
        <v>98</v>
      </c>
      <c r="L1378" s="152">
        <f t="shared" si="64"/>
        <v>83.93</v>
      </c>
      <c r="M1378" s="113"/>
    </row>
    <row r="1379" spans="1:13" s="114" customFormat="1" x14ac:dyDescent="0.2">
      <c r="A1379" s="162" t="s">
        <v>3889</v>
      </c>
      <c r="B1379" s="105" t="s">
        <v>3928</v>
      </c>
      <c r="C1379" s="105" t="s">
        <v>3929</v>
      </c>
      <c r="D1379" s="149" t="s">
        <v>3930</v>
      </c>
      <c r="E1379" s="105">
        <v>1</v>
      </c>
      <c r="F1379" s="158" t="s">
        <v>3931</v>
      </c>
      <c r="G1379" s="158" t="s">
        <v>2704</v>
      </c>
      <c r="H1379" s="119">
        <f t="shared" si="65"/>
        <v>51.5</v>
      </c>
      <c r="I1379" s="119"/>
      <c r="J1379" s="151">
        <v>0</v>
      </c>
      <c r="K1379" s="119">
        <f t="shared" si="63"/>
        <v>51.5</v>
      </c>
      <c r="L1379" s="152">
        <f t="shared" si="64"/>
        <v>44.79</v>
      </c>
      <c r="M1379" s="113"/>
    </row>
    <row r="1380" spans="1:13" s="114" customFormat="1" x14ac:dyDescent="0.2">
      <c r="A1380" s="162" t="s">
        <v>3889</v>
      </c>
      <c r="B1380" s="105" t="s">
        <v>1854</v>
      </c>
      <c r="C1380" s="105" t="s">
        <v>3932</v>
      </c>
      <c r="D1380" s="149" t="s">
        <v>1855</v>
      </c>
      <c r="E1380" s="105">
        <v>2</v>
      </c>
      <c r="F1380" s="158" t="s">
        <v>1856</v>
      </c>
      <c r="G1380" s="158" t="s">
        <v>1805</v>
      </c>
      <c r="H1380" s="119">
        <f t="shared" si="65"/>
        <v>17.5</v>
      </c>
      <c r="I1380" s="119"/>
      <c r="J1380" s="151">
        <v>0</v>
      </c>
      <c r="K1380" s="119">
        <f t="shared" si="63"/>
        <v>17.5</v>
      </c>
      <c r="L1380" s="152">
        <f t="shared" si="64"/>
        <v>15.24</v>
      </c>
      <c r="M1380" s="113"/>
    </row>
    <row r="1381" spans="1:13" s="114" customFormat="1" x14ac:dyDescent="0.2">
      <c r="A1381" s="162" t="s">
        <v>3889</v>
      </c>
      <c r="B1381" s="105" t="s">
        <v>3356</v>
      </c>
      <c r="C1381" s="105" t="s">
        <v>3933</v>
      </c>
      <c r="D1381" s="149" t="s">
        <v>3358</v>
      </c>
      <c r="E1381" s="105">
        <v>1</v>
      </c>
      <c r="F1381" s="158" t="s">
        <v>3359</v>
      </c>
      <c r="G1381" s="158" t="s">
        <v>1943</v>
      </c>
      <c r="H1381" s="119">
        <f t="shared" si="65"/>
        <v>7</v>
      </c>
      <c r="I1381" s="119"/>
      <c r="J1381" s="151">
        <v>0</v>
      </c>
      <c r="K1381" s="119">
        <f t="shared" si="63"/>
        <v>7</v>
      </c>
      <c r="L1381" s="152">
        <f t="shared" si="64"/>
        <v>6.03</v>
      </c>
      <c r="M1381" s="113"/>
    </row>
    <row r="1382" spans="1:13" s="114" customFormat="1" x14ac:dyDescent="0.2">
      <c r="A1382" s="162" t="s">
        <v>3889</v>
      </c>
      <c r="B1382" s="105" t="s">
        <v>2031</v>
      </c>
      <c r="C1382" s="105" t="s">
        <v>3934</v>
      </c>
      <c r="D1382" s="149" t="s">
        <v>2033</v>
      </c>
      <c r="E1382" s="105">
        <v>5</v>
      </c>
      <c r="F1382" s="158" t="s">
        <v>2985</v>
      </c>
      <c r="G1382" s="158" t="s">
        <v>1892</v>
      </c>
      <c r="H1382" s="119">
        <f t="shared" si="65"/>
        <v>120</v>
      </c>
      <c r="I1382" s="119"/>
      <c r="J1382" s="151">
        <v>0</v>
      </c>
      <c r="K1382" s="119">
        <f t="shared" si="63"/>
        <v>120</v>
      </c>
      <c r="L1382" s="152">
        <f t="shared" si="64"/>
        <v>102</v>
      </c>
      <c r="M1382" s="113"/>
    </row>
    <row r="1383" spans="1:13" s="114" customFormat="1" x14ac:dyDescent="0.2">
      <c r="A1383" s="162" t="s">
        <v>3889</v>
      </c>
      <c r="B1383" s="105" t="s">
        <v>2831</v>
      </c>
      <c r="C1383" s="105" t="s">
        <v>3934</v>
      </c>
      <c r="D1383" s="149" t="s">
        <v>2833</v>
      </c>
      <c r="E1383" s="105">
        <v>1</v>
      </c>
      <c r="F1383" s="158" t="s">
        <v>1886</v>
      </c>
      <c r="G1383" s="158" t="s">
        <v>2046</v>
      </c>
      <c r="H1383" s="119">
        <f t="shared" si="65"/>
        <v>7.75</v>
      </c>
      <c r="I1383" s="119"/>
      <c r="J1383" s="151">
        <v>0</v>
      </c>
      <c r="K1383" s="119">
        <f t="shared" si="63"/>
        <v>7.75</v>
      </c>
      <c r="L1383" s="152">
        <f t="shared" si="64"/>
        <v>6.83</v>
      </c>
      <c r="M1383" s="113"/>
    </row>
    <row r="1384" spans="1:13" s="114" customFormat="1" x14ac:dyDescent="0.2">
      <c r="A1384" s="162" t="s">
        <v>3889</v>
      </c>
      <c r="B1384" s="105" t="s">
        <v>3935</v>
      </c>
      <c r="C1384" s="105" t="s">
        <v>3936</v>
      </c>
      <c r="D1384" s="149" t="s">
        <v>3937</v>
      </c>
      <c r="E1384" s="105">
        <v>1</v>
      </c>
      <c r="F1384" s="158" t="s">
        <v>3938</v>
      </c>
      <c r="G1384" s="158" t="s">
        <v>3939</v>
      </c>
      <c r="H1384" s="119">
        <f t="shared" si="65"/>
        <v>98.25</v>
      </c>
      <c r="I1384" s="119"/>
      <c r="J1384" s="151">
        <v>0</v>
      </c>
      <c r="K1384" s="119">
        <f t="shared" si="63"/>
        <v>98.25</v>
      </c>
      <c r="L1384" s="152">
        <f t="shared" si="64"/>
        <v>85.25</v>
      </c>
      <c r="M1384" s="113"/>
    </row>
    <row r="1385" spans="1:13" s="114" customFormat="1" x14ac:dyDescent="0.2">
      <c r="A1385" s="163" t="s">
        <v>3889</v>
      </c>
      <c r="B1385" s="154" t="s">
        <v>2507</v>
      </c>
      <c r="C1385" s="154" t="s">
        <v>3940</v>
      </c>
      <c r="D1385" s="155" t="s">
        <v>2508</v>
      </c>
      <c r="E1385" s="154">
        <v>1</v>
      </c>
      <c r="F1385" s="160"/>
      <c r="G1385" s="160" t="s">
        <v>2509</v>
      </c>
      <c r="H1385" s="147">
        <f t="shared" si="65"/>
        <v>56</v>
      </c>
      <c r="I1385" s="147"/>
      <c r="J1385" s="156">
        <v>0</v>
      </c>
      <c r="K1385" s="147">
        <f>H1385+I1385-J1385</f>
        <v>56</v>
      </c>
      <c r="L1385" s="148">
        <f>E1385*F1385</f>
        <v>0</v>
      </c>
      <c r="M1385" s="113"/>
    </row>
    <row r="1386" spans="1:13" s="114" customFormat="1" x14ac:dyDescent="0.2">
      <c r="A1386" s="162" t="s">
        <v>3889</v>
      </c>
      <c r="B1386" s="105" t="s">
        <v>2298</v>
      </c>
      <c r="C1386" s="105" t="s">
        <v>3940</v>
      </c>
      <c r="D1386" s="149" t="s">
        <v>2299</v>
      </c>
      <c r="E1386" s="105">
        <v>2</v>
      </c>
      <c r="F1386" s="158" t="s">
        <v>2300</v>
      </c>
      <c r="G1386" s="158" t="s">
        <v>1892</v>
      </c>
      <c r="H1386" s="119">
        <f t="shared" si="65"/>
        <v>48</v>
      </c>
      <c r="I1386" s="119"/>
      <c r="J1386" s="151">
        <v>0</v>
      </c>
      <c r="K1386" s="119">
        <f t="shared" si="63"/>
        <v>48</v>
      </c>
      <c r="L1386" s="152">
        <f t="shared" si="64"/>
        <v>41.6</v>
      </c>
      <c r="M1386" s="113"/>
    </row>
    <row r="1387" spans="1:13" s="114" customFormat="1" x14ac:dyDescent="0.2">
      <c r="A1387" s="163" t="s">
        <v>3889</v>
      </c>
      <c r="B1387" s="154" t="s">
        <v>3101</v>
      </c>
      <c r="C1387" s="154" t="s">
        <v>3940</v>
      </c>
      <c r="D1387" s="155" t="s">
        <v>3102</v>
      </c>
      <c r="E1387" s="154">
        <v>2</v>
      </c>
      <c r="F1387" s="160"/>
      <c r="G1387" s="160" t="s">
        <v>3103</v>
      </c>
      <c r="H1387" s="147">
        <f t="shared" si="65"/>
        <v>71</v>
      </c>
      <c r="I1387" s="147"/>
      <c r="J1387" s="156">
        <v>0</v>
      </c>
      <c r="K1387" s="147">
        <f t="shared" si="63"/>
        <v>71</v>
      </c>
      <c r="L1387" s="148">
        <f t="shared" si="64"/>
        <v>0</v>
      </c>
      <c r="M1387" s="113"/>
    </row>
    <row r="1388" spans="1:13" s="114" customFormat="1" x14ac:dyDescent="0.2">
      <c r="A1388" s="162" t="s">
        <v>3889</v>
      </c>
      <c r="B1388" s="105" t="s">
        <v>3236</v>
      </c>
      <c r="C1388" s="105" t="s">
        <v>3941</v>
      </c>
      <c r="D1388" s="149" t="s">
        <v>3237</v>
      </c>
      <c r="E1388" s="105">
        <v>1</v>
      </c>
      <c r="F1388" s="158" t="s">
        <v>2382</v>
      </c>
      <c r="G1388" s="158" t="s">
        <v>2038</v>
      </c>
      <c r="H1388" s="119">
        <f t="shared" si="65"/>
        <v>26.25</v>
      </c>
      <c r="I1388" s="119"/>
      <c r="J1388" s="151">
        <v>0</v>
      </c>
      <c r="K1388" s="119">
        <f t="shared" si="63"/>
        <v>26.25</v>
      </c>
      <c r="L1388" s="152">
        <f t="shared" si="64"/>
        <v>22.73</v>
      </c>
      <c r="M1388" s="113"/>
    </row>
    <row r="1389" spans="1:13" s="114" customFormat="1" x14ac:dyDescent="0.2">
      <c r="A1389" s="162" t="s">
        <v>3889</v>
      </c>
      <c r="B1389" s="105" t="s">
        <v>2453</v>
      </c>
      <c r="C1389" s="105" t="s">
        <v>3941</v>
      </c>
      <c r="D1389" s="149" t="s">
        <v>2454</v>
      </c>
      <c r="E1389" s="105">
        <v>1</v>
      </c>
      <c r="F1389" s="158" t="s">
        <v>2455</v>
      </c>
      <c r="G1389" s="158" t="s">
        <v>2456</v>
      </c>
      <c r="H1389" s="119">
        <f t="shared" si="65"/>
        <v>66</v>
      </c>
      <c r="I1389" s="119"/>
      <c r="J1389" s="151">
        <v>0</v>
      </c>
      <c r="K1389" s="119">
        <f t="shared" si="63"/>
        <v>66</v>
      </c>
      <c r="L1389" s="152">
        <f t="shared" si="64"/>
        <v>57.4</v>
      </c>
      <c r="M1389" s="113"/>
    </row>
    <row r="1390" spans="1:13" s="114" customFormat="1" x14ac:dyDescent="0.2">
      <c r="A1390" s="162" t="s">
        <v>3889</v>
      </c>
      <c r="B1390" s="105" t="s">
        <v>1897</v>
      </c>
      <c r="C1390" s="105" t="s">
        <v>3941</v>
      </c>
      <c r="D1390" s="149" t="s">
        <v>1898</v>
      </c>
      <c r="E1390" s="105">
        <v>1</v>
      </c>
      <c r="F1390" s="158" t="s">
        <v>1899</v>
      </c>
      <c r="G1390" s="158" t="s">
        <v>1900</v>
      </c>
      <c r="H1390" s="119">
        <f t="shared" si="65"/>
        <v>30</v>
      </c>
      <c r="I1390" s="119"/>
      <c r="J1390" s="151">
        <v>0</v>
      </c>
      <c r="K1390" s="119">
        <f t="shared" si="63"/>
        <v>30</v>
      </c>
      <c r="L1390" s="152">
        <f t="shared" si="64"/>
        <v>27.5</v>
      </c>
      <c r="M1390" s="113"/>
    </row>
    <row r="1391" spans="1:13" s="114" customFormat="1" x14ac:dyDescent="0.2">
      <c r="A1391" s="162" t="s">
        <v>3889</v>
      </c>
      <c r="B1391" s="105" t="s">
        <v>3942</v>
      </c>
      <c r="C1391" s="105" t="s">
        <v>3941</v>
      </c>
      <c r="D1391" s="149" t="s">
        <v>3943</v>
      </c>
      <c r="E1391" s="105">
        <v>1</v>
      </c>
      <c r="F1391" s="158" t="s">
        <v>3944</v>
      </c>
      <c r="G1391" s="158" t="s">
        <v>3945</v>
      </c>
      <c r="H1391" s="119">
        <f t="shared" si="65"/>
        <v>34.75</v>
      </c>
      <c r="I1391" s="119"/>
      <c r="J1391" s="151">
        <v>0</v>
      </c>
      <c r="K1391" s="119">
        <f t="shared" si="63"/>
        <v>34.75</v>
      </c>
      <c r="L1391" s="152">
        <f t="shared" si="64"/>
        <v>30.04</v>
      </c>
      <c r="M1391" s="113"/>
    </row>
    <row r="1392" spans="1:13" s="114" customFormat="1" x14ac:dyDescent="0.2">
      <c r="A1392" s="162" t="s">
        <v>3889</v>
      </c>
      <c r="B1392" s="105" t="s">
        <v>2022</v>
      </c>
      <c r="C1392" s="105" t="s">
        <v>3941</v>
      </c>
      <c r="D1392" s="149" t="s">
        <v>2024</v>
      </c>
      <c r="E1392" s="105">
        <v>1</v>
      </c>
      <c r="F1392" s="158" t="s">
        <v>2025</v>
      </c>
      <c r="G1392" s="158" t="s">
        <v>2026</v>
      </c>
      <c r="H1392" s="119">
        <f t="shared" si="65"/>
        <v>34.5</v>
      </c>
      <c r="I1392" s="119"/>
      <c r="J1392" s="151">
        <v>0</v>
      </c>
      <c r="K1392" s="119">
        <f t="shared" si="63"/>
        <v>34.5</v>
      </c>
      <c r="L1392" s="152">
        <f t="shared" si="64"/>
        <v>29.9</v>
      </c>
      <c r="M1392" s="113"/>
    </row>
    <row r="1393" spans="1:13" s="114" customFormat="1" x14ac:dyDescent="0.2">
      <c r="A1393" s="162" t="s">
        <v>3889</v>
      </c>
      <c r="B1393" s="105" t="s">
        <v>1972</v>
      </c>
      <c r="C1393" s="105" t="s">
        <v>3946</v>
      </c>
      <c r="D1393" s="149" t="s">
        <v>1974</v>
      </c>
      <c r="E1393" s="105">
        <v>1</v>
      </c>
      <c r="F1393" s="158" t="s">
        <v>1975</v>
      </c>
      <c r="G1393" s="158" t="s">
        <v>1976</v>
      </c>
      <c r="H1393" s="119">
        <f t="shared" si="65"/>
        <v>23.75</v>
      </c>
      <c r="I1393" s="119"/>
      <c r="J1393" s="151">
        <v>0</v>
      </c>
      <c r="K1393" s="119">
        <f t="shared" si="63"/>
        <v>23.75</v>
      </c>
      <c r="L1393" s="152">
        <f t="shared" si="64"/>
        <v>20.55</v>
      </c>
      <c r="M1393" s="113"/>
    </row>
    <row r="1394" spans="1:13" s="114" customFormat="1" x14ac:dyDescent="0.2">
      <c r="A1394" s="162" t="s">
        <v>3889</v>
      </c>
      <c r="B1394" s="105" t="s">
        <v>1854</v>
      </c>
      <c r="C1394" s="105" t="s">
        <v>3946</v>
      </c>
      <c r="D1394" s="149" t="s">
        <v>1855</v>
      </c>
      <c r="E1394" s="105">
        <v>1</v>
      </c>
      <c r="F1394" s="158" t="s">
        <v>1856</v>
      </c>
      <c r="G1394" s="158" t="s">
        <v>1805</v>
      </c>
      <c r="H1394" s="119">
        <f t="shared" si="65"/>
        <v>8.75</v>
      </c>
      <c r="I1394" s="119"/>
      <c r="J1394" s="151">
        <v>0</v>
      </c>
      <c r="K1394" s="119">
        <f t="shared" si="63"/>
        <v>8.75</v>
      </c>
      <c r="L1394" s="152">
        <f t="shared" si="64"/>
        <v>7.62</v>
      </c>
      <c r="M1394" s="113"/>
    </row>
    <row r="1395" spans="1:13" s="114" customFormat="1" x14ac:dyDescent="0.2">
      <c r="A1395" s="162" t="s">
        <v>3889</v>
      </c>
      <c r="B1395" s="105" t="s">
        <v>3185</v>
      </c>
      <c r="C1395" s="105" t="s">
        <v>3947</v>
      </c>
      <c r="D1395" s="149" t="s">
        <v>3187</v>
      </c>
      <c r="E1395" s="105">
        <v>1</v>
      </c>
      <c r="F1395" s="158" t="s">
        <v>3188</v>
      </c>
      <c r="G1395" s="158" t="s">
        <v>3189</v>
      </c>
      <c r="H1395" s="119">
        <f t="shared" si="65"/>
        <v>148.5</v>
      </c>
      <c r="I1395" s="119"/>
      <c r="J1395" s="151">
        <v>0</v>
      </c>
      <c r="K1395" s="119">
        <f t="shared" si="63"/>
        <v>148.5</v>
      </c>
      <c r="L1395" s="152">
        <f t="shared" si="64"/>
        <v>129</v>
      </c>
      <c r="M1395" s="113"/>
    </row>
    <row r="1396" spans="1:13" s="75" customFormat="1" ht="13.5" thickBot="1" x14ac:dyDescent="0.25">
      <c r="A1396" s="263" t="s">
        <v>0</v>
      </c>
      <c r="B1396" s="264"/>
      <c r="C1396" s="264"/>
      <c r="D1396" s="265"/>
      <c r="E1396" s="164">
        <f t="shared" ref="E1396:L1396" si="66">SUM(E6:E1395)</f>
        <v>3146</v>
      </c>
      <c r="F1396" s="164">
        <f t="shared" si="66"/>
        <v>0</v>
      </c>
      <c r="G1396" s="164">
        <f t="shared" si="66"/>
        <v>224</v>
      </c>
      <c r="H1396" s="164">
        <f t="shared" si="66"/>
        <v>101597.39000000001</v>
      </c>
      <c r="I1396" s="164">
        <f t="shared" si="66"/>
        <v>86448.5</v>
      </c>
      <c r="J1396" s="164">
        <f t="shared" si="66"/>
        <v>89.5</v>
      </c>
      <c r="K1396" s="164">
        <f t="shared" si="66"/>
        <v>187956.39</v>
      </c>
      <c r="L1396" s="164">
        <f t="shared" si="66"/>
        <v>162329.84999999954</v>
      </c>
      <c r="M1396" s="61"/>
    </row>
    <row r="1397" spans="1:13" x14ac:dyDescent="0.2">
      <c r="E1397" s="54">
        <v>3146</v>
      </c>
      <c r="G1397" s="165"/>
      <c r="H1397" s="165"/>
      <c r="I1397" s="165"/>
      <c r="J1397" s="165"/>
      <c r="K1397" s="165"/>
      <c r="L1397" s="141"/>
      <c r="M1397" s="61"/>
    </row>
    <row r="1398" spans="1:13" x14ac:dyDescent="0.2">
      <c r="D1398" s="102"/>
      <c r="E1398" s="80"/>
      <c r="F1398" s="103"/>
      <c r="G1398" s="165"/>
      <c r="H1398" s="81"/>
      <c r="I1398" s="81"/>
      <c r="J1398" s="165"/>
      <c r="K1398" s="165"/>
      <c r="L1398" s="166"/>
    </row>
    <row r="1399" spans="1:13" x14ac:dyDescent="0.2">
      <c r="D1399" s="102"/>
      <c r="E1399" s="80"/>
      <c r="F1399" s="81"/>
      <c r="G1399" s="165"/>
      <c r="H1399" s="81"/>
      <c r="I1399" s="165"/>
      <c r="J1399" s="165" t="s">
        <v>16</v>
      </c>
      <c r="K1399" s="165">
        <v>101507.89</v>
      </c>
      <c r="L1399" s="54" t="s">
        <v>3948</v>
      </c>
    </row>
    <row r="1400" spans="1:13" x14ac:dyDescent="0.2">
      <c r="D1400" s="102"/>
      <c r="E1400" s="80"/>
      <c r="F1400" s="81"/>
      <c r="G1400" s="165"/>
      <c r="H1400" s="81"/>
      <c r="I1400" s="165"/>
      <c r="J1400" s="167" t="s">
        <v>1704</v>
      </c>
      <c r="K1400" s="167">
        <v>86448.5</v>
      </c>
      <c r="L1400" s="168">
        <v>46171</v>
      </c>
    </row>
    <row r="1401" spans="1:13" x14ac:dyDescent="0.2">
      <c r="D1401" s="102"/>
      <c r="E1401" s="80"/>
      <c r="F1401" s="81"/>
      <c r="G1401" s="165"/>
      <c r="H1401" s="81"/>
      <c r="I1401" s="165"/>
      <c r="J1401" s="167"/>
      <c r="K1401" s="167"/>
      <c r="L1401" s="139"/>
    </row>
    <row r="1402" spans="1:13" x14ac:dyDescent="0.2">
      <c r="A1402" s="84"/>
      <c r="C1402" s="85"/>
      <c r="D1402" s="169"/>
      <c r="E1402" s="85"/>
      <c r="F1402" s="85"/>
      <c r="G1402" s="165"/>
      <c r="H1402" s="165"/>
      <c r="I1402" s="85"/>
      <c r="J1402" s="85" t="s">
        <v>0</v>
      </c>
      <c r="K1402" s="85">
        <f>SUM(K1397:K1401)</f>
        <v>187956.39</v>
      </c>
      <c r="L1402" s="141"/>
      <c r="M1402" s="75"/>
    </row>
    <row r="1403" spans="1:13" x14ac:dyDescent="0.2">
      <c r="D1403" s="102"/>
      <c r="E1403" s="80"/>
      <c r="F1403" s="103"/>
      <c r="G1403" s="82"/>
      <c r="H1403" s="81"/>
      <c r="I1403" s="165"/>
      <c r="J1403" s="165"/>
      <c r="K1403" s="165">
        <f>K1396-K1402</f>
        <v>0</v>
      </c>
      <c r="L1403" s="141"/>
    </row>
    <row r="1404" spans="1:13" x14ac:dyDescent="0.2">
      <c r="D1404" s="102"/>
      <c r="E1404" s="80"/>
      <c r="F1404" s="81"/>
      <c r="G1404" s="81"/>
      <c r="H1404" s="81"/>
      <c r="I1404" s="165"/>
      <c r="J1404" s="165"/>
      <c r="K1404" s="165"/>
    </row>
    <row r="1405" spans="1:13" x14ac:dyDescent="0.2">
      <c r="D1405" s="102"/>
      <c r="E1405" s="80"/>
      <c r="F1405" s="103"/>
      <c r="G1405" s="81"/>
      <c r="H1405" s="81"/>
      <c r="I1405" s="165"/>
      <c r="J1405" s="165"/>
      <c r="K1405" s="165"/>
    </row>
    <row r="1406" spans="1:13" x14ac:dyDescent="0.2">
      <c r="D1406" s="170"/>
      <c r="E1406" s="80"/>
      <c r="F1406" s="103"/>
      <c r="G1406" s="82"/>
      <c r="H1406" s="81"/>
      <c r="I1406" s="165"/>
      <c r="J1406" s="165"/>
      <c r="K1406" s="165"/>
    </row>
    <row r="1407" spans="1:13" x14ac:dyDescent="0.2">
      <c r="D1407" s="102"/>
      <c r="E1407" s="80"/>
      <c r="F1407" s="103"/>
      <c r="G1407" s="82"/>
      <c r="H1407" s="81"/>
      <c r="I1407" s="165"/>
      <c r="J1407" s="165"/>
      <c r="K1407" s="165"/>
    </row>
    <row r="1408" spans="1:13" x14ac:dyDescent="0.2">
      <c r="D1408" s="102"/>
      <c r="E1408" s="80"/>
      <c r="F1408" s="103"/>
      <c r="G1408" s="82"/>
      <c r="H1408" s="81"/>
      <c r="I1408" s="165"/>
      <c r="J1408" s="165"/>
      <c r="K1408" s="165"/>
    </row>
    <row r="1409" spans="4:11" x14ac:dyDescent="0.2">
      <c r="D1409" s="102"/>
      <c r="E1409" s="80"/>
      <c r="F1409" s="81"/>
      <c r="G1409" s="81"/>
      <c r="H1409" s="81"/>
      <c r="I1409" s="165"/>
      <c r="J1409" s="165"/>
      <c r="K1409" s="165"/>
    </row>
    <row r="1410" spans="4:11" x14ac:dyDescent="0.2">
      <c r="D1410" s="102"/>
      <c r="E1410" s="80"/>
      <c r="F1410" s="81"/>
      <c r="G1410" s="81"/>
      <c r="H1410" s="81"/>
      <c r="I1410" s="165"/>
      <c r="J1410" s="165"/>
      <c r="K1410" s="165"/>
    </row>
    <row r="1411" spans="4:11" x14ac:dyDescent="0.2">
      <c r="D1411" s="102"/>
      <c r="E1411" s="80"/>
      <c r="F1411" s="103"/>
      <c r="G1411" s="82"/>
      <c r="H1411" s="81"/>
      <c r="I1411" s="165"/>
      <c r="J1411" s="165"/>
      <c r="K1411" s="165"/>
    </row>
    <row r="1412" spans="4:11" x14ac:dyDescent="0.2">
      <c r="D1412" s="102"/>
      <c r="E1412" s="80"/>
      <c r="F1412" s="103"/>
      <c r="G1412" s="82"/>
      <c r="H1412" s="81"/>
      <c r="I1412" s="165"/>
      <c r="J1412" s="165"/>
      <c r="K1412" s="165"/>
    </row>
  </sheetData>
  <mergeCells count="1">
    <mergeCell ref="A1396:D1396"/>
  </mergeCells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7F3E-E95B-4F21-B7E6-69C812C8E26E}">
  <sheetPr>
    <tabColor rgb="FF8DFB43"/>
  </sheetPr>
  <dimension ref="A1:J25"/>
  <sheetViews>
    <sheetView topLeftCell="A4" workbookViewId="0">
      <selection activeCell="A2" sqref="A2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66" t="s">
        <v>3949</v>
      </c>
      <c r="B1" s="266"/>
      <c r="C1" s="266"/>
    </row>
    <row r="2" spans="1:10" x14ac:dyDescent="0.2">
      <c r="A2" s="202" t="s">
        <v>3965</v>
      </c>
      <c r="H2" s="267" t="s">
        <v>3950</v>
      </c>
      <c r="I2" s="267"/>
      <c r="J2" s="268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68"/>
    </row>
    <row r="4" spans="1:10" ht="18.75" x14ac:dyDescent="0.3">
      <c r="B4" s="175">
        <v>888123456781555</v>
      </c>
      <c r="C4" s="176" t="s">
        <v>3100</v>
      </c>
      <c r="D4" s="177">
        <v>14</v>
      </c>
      <c r="E4" s="178" t="s">
        <v>3956</v>
      </c>
      <c r="F4" s="179">
        <v>31.5</v>
      </c>
      <c r="G4" s="180">
        <v>37</v>
      </c>
      <c r="H4" s="181">
        <v>1</v>
      </c>
      <c r="I4" s="181">
        <f>G4*H4</f>
        <v>37</v>
      </c>
      <c r="J4" s="182">
        <f>D4-H4</f>
        <v>13</v>
      </c>
    </row>
    <row r="5" spans="1:10" s="183" customFormat="1" ht="18.75" x14ac:dyDescent="0.3">
      <c r="B5" s="175">
        <v>4806500472639</v>
      </c>
      <c r="C5" s="176" t="s">
        <v>2508</v>
      </c>
      <c r="D5" s="177">
        <v>14</v>
      </c>
      <c r="E5" s="178" t="s">
        <v>3956</v>
      </c>
      <c r="F5" s="184">
        <v>48.6</v>
      </c>
      <c r="G5" s="185">
        <v>56</v>
      </c>
      <c r="H5" s="186">
        <v>14</v>
      </c>
      <c r="I5" s="186">
        <f t="shared" ref="I5:I15" si="0">G5*H5</f>
        <v>784</v>
      </c>
      <c r="J5" s="187">
        <f t="shared" ref="J5:J15" si="1">D5-H5</f>
        <v>0</v>
      </c>
    </row>
    <row r="6" spans="1:10" s="183" customFormat="1" ht="18.75" x14ac:dyDescent="0.3">
      <c r="B6" s="175">
        <v>748485800011</v>
      </c>
      <c r="C6" s="176" t="s">
        <v>2171</v>
      </c>
      <c r="D6" s="177">
        <v>14</v>
      </c>
      <c r="E6" s="178" t="s">
        <v>3956</v>
      </c>
      <c r="F6" s="184">
        <v>38.81</v>
      </c>
      <c r="G6" s="185">
        <v>47.5</v>
      </c>
      <c r="H6" s="186">
        <v>10</v>
      </c>
      <c r="I6" s="186">
        <f t="shared" si="0"/>
        <v>475</v>
      </c>
      <c r="J6" s="187">
        <f t="shared" si="1"/>
        <v>4</v>
      </c>
    </row>
    <row r="7" spans="1:10" s="183" customFormat="1" ht="18.75" x14ac:dyDescent="0.3">
      <c r="B7" s="175">
        <v>750515018501</v>
      </c>
      <c r="C7" s="176" t="s">
        <v>1844</v>
      </c>
      <c r="D7" s="177">
        <v>14</v>
      </c>
      <c r="E7" s="178" t="s">
        <v>3956</v>
      </c>
      <c r="F7" s="184">
        <v>57.95</v>
      </c>
      <c r="G7" s="185">
        <v>73.25</v>
      </c>
      <c r="H7" s="186">
        <v>2</v>
      </c>
      <c r="I7" s="186">
        <f t="shared" si="0"/>
        <v>146.5</v>
      </c>
      <c r="J7" s="187">
        <f t="shared" si="1"/>
        <v>12</v>
      </c>
    </row>
    <row r="8" spans="1:10" s="183" customFormat="1" ht="18.75" x14ac:dyDescent="0.3">
      <c r="B8" s="175">
        <v>4800361415293</v>
      </c>
      <c r="C8" s="176" t="s">
        <v>1903</v>
      </c>
      <c r="D8" s="177">
        <v>28</v>
      </c>
      <c r="E8" s="178" t="s">
        <v>3956</v>
      </c>
      <c r="F8" s="184">
        <v>16.63</v>
      </c>
      <c r="G8" s="185">
        <v>19.25</v>
      </c>
      <c r="H8" s="186">
        <v>28</v>
      </c>
      <c r="I8" s="186">
        <f t="shared" si="0"/>
        <v>539</v>
      </c>
      <c r="J8" s="187">
        <f t="shared" si="1"/>
        <v>0</v>
      </c>
    </row>
    <row r="9" spans="1:10" s="183" customFormat="1" ht="18.75" x14ac:dyDescent="0.3">
      <c r="B9" s="175">
        <v>4800888602725</v>
      </c>
      <c r="C9" s="176" t="s">
        <v>2583</v>
      </c>
      <c r="D9" s="177">
        <v>28</v>
      </c>
      <c r="E9" s="178" t="s">
        <v>3956</v>
      </c>
      <c r="F9" s="184">
        <v>6.02</v>
      </c>
      <c r="G9" s="185">
        <v>7.25</v>
      </c>
      <c r="H9" s="186">
        <v>28</v>
      </c>
      <c r="I9" s="186">
        <f t="shared" si="0"/>
        <v>203</v>
      </c>
      <c r="J9" s="187">
        <f t="shared" si="1"/>
        <v>0</v>
      </c>
    </row>
    <row r="10" spans="1:10" s="183" customFormat="1" ht="18.75" x14ac:dyDescent="0.3">
      <c r="B10" s="175">
        <v>4800361390804</v>
      </c>
      <c r="C10" s="176" t="s">
        <v>2187</v>
      </c>
      <c r="D10" s="177">
        <v>14</v>
      </c>
      <c r="E10" s="178" t="s">
        <v>3956</v>
      </c>
      <c r="F10" s="184">
        <v>44.78</v>
      </c>
      <c r="G10" s="185">
        <v>59.5</v>
      </c>
      <c r="H10" s="186">
        <v>3</v>
      </c>
      <c r="I10" s="186">
        <f t="shared" si="0"/>
        <v>178.5</v>
      </c>
      <c r="J10" s="187">
        <f t="shared" si="1"/>
        <v>11</v>
      </c>
    </row>
    <row r="11" spans="1:10" s="183" customFormat="1" ht="18.75" x14ac:dyDescent="0.3">
      <c r="B11" s="175">
        <v>4806500670073</v>
      </c>
      <c r="C11" s="176" t="s">
        <v>3102</v>
      </c>
      <c r="D11" s="177">
        <v>14</v>
      </c>
      <c r="E11" s="178" t="s">
        <v>3956</v>
      </c>
      <c r="F11" s="184">
        <v>30.83</v>
      </c>
      <c r="G11" s="185">
        <v>35.5</v>
      </c>
      <c r="H11" s="186">
        <v>14</v>
      </c>
      <c r="I11" s="186">
        <f>G11*H11</f>
        <v>497</v>
      </c>
      <c r="J11" s="187">
        <f t="shared" si="1"/>
        <v>0</v>
      </c>
    </row>
    <row r="12" spans="1:10" s="183" customFormat="1" ht="18.75" x14ac:dyDescent="0.3">
      <c r="B12" s="175">
        <v>4800361393645</v>
      </c>
      <c r="C12" s="176" t="s">
        <v>1779</v>
      </c>
      <c r="D12" s="177">
        <v>11</v>
      </c>
      <c r="E12" s="178" t="s">
        <v>3956</v>
      </c>
      <c r="F12" s="184">
        <v>50.43</v>
      </c>
      <c r="G12" s="185">
        <v>58</v>
      </c>
      <c r="H12" s="186">
        <v>4</v>
      </c>
      <c r="I12" s="186">
        <f t="shared" si="0"/>
        <v>232</v>
      </c>
      <c r="J12" s="187">
        <f t="shared" si="1"/>
        <v>7</v>
      </c>
    </row>
    <row r="13" spans="1:10" s="183" customFormat="1" ht="18.75" x14ac:dyDescent="0.3">
      <c r="B13" s="175">
        <v>4800010012033</v>
      </c>
      <c r="C13" s="176" t="s">
        <v>3138</v>
      </c>
      <c r="D13" s="177">
        <v>3</v>
      </c>
      <c r="E13" s="178" t="s">
        <v>3956</v>
      </c>
      <c r="F13" s="184">
        <v>48.8</v>
      </c>
      <c r="G13" s="185">
        <v>56.25</v>
      </c>
      <c r="H13" s="186">
        <v>1</v>
      </c>
      <c r="I13" s="186">
        <f t="shared" si="0"/>
        <v>56.25</v>
      </c>
      <c r="J13" s="187">
        <f t="shared" si="1"/>
        <v>2</v>
      </c>
    </row>
    <row r="14" spans="1:10" s="183" customFormat="1" ht="18.75" x14ac:dyDescent="0.3">
      <c r="B14" s="175">
        <v>4800154013057</v>
      </c>
      <c r="C14" s="176" t="s">
        <v>3957</v>
      </c>
      <c r="D14" s="177">
        <v>28</v>
      </c>
      <c r="E14" s="178" t="s">
        <v>3956</v>
      </c>
      <c r="F14" s="184">
        <v>32.1</v>
      </c>
      <c r="G14" s="185">
        <v>38.25</v>
      </c>
      <c r="H14" s="186"/>
      <c r="I14" s="186">
        <f t="shared" si="0"/>
        <v>0</v>
      </c>
      <c r="J14" s="187">
        <f t="shared" si="1"/>
        <v>28</v>
      </c>
    </row>
    <row r="15" spans="1:10" s="183" customFormat="1" ht="19.5" thickBot="1" x14ac:dyDescent="0.35">
      <c r="B15" s="188" t="s">
        <v>3958</v>
      </c>
      <c r="C15" s="176" t="s">
        <v>3959</v>
      </c>
      <c r="D15" s="189">
        <v>14</v>
      </c>
      <c r="E15" s="178" t="s">
        <v>3956</v>
      </c>
      <c r="F15" s="184">
        <v>6</v>
      </c>
      <c r="G15" s="185">
        <v>20</v>
      </c>
      <c r="H15" s="190"/>
      <c r="I15" s="190">
        <f t="shared" si="0"/>
        <v>0</v>
      </c>
      <c r="J15" s="191">
        <f t="shared" si="1"/>
        <v>14</v>
      </c>
    </row>
    <row r="16" spans="1:10" ht="13.5" thickBot="1" x14ac:dyDescent="0.25">
      <c r="D16" s="192">
        <f>SUM(D4:D15)</f>
        <v>196</v>
      </c>
      <c r="H16" s="193" t="s">
        <v>0</v>
      </c>
      <c r="I16" s="194">
        <f>SUM(I4:I15)</f>
        <v>3148.25</v>
      </c>
      <c r="J16" s="195">
        <f>SUM(J4:J15)</f>
        <v>91</v>
      </c>
    </row>
    <row r="18" spans="2:7" x14ac:dyDescent="0.2">
      <c r="B18" s="196" t="s">
        <v>3960</v>
      </c>
    </row>
    <row r="19" spans="2:7" x14ac:dyDescent="0.2">
      <c r="B19" s="197">
        <v>46171</v>
      </c>
      <c r="C19" s="269" t="s">
        <v>3961</v>
      </c>
      <c r="D19" s="269"/>
      <c r="E19" s="269"/>
      <c r="F19" s="172" t="s">
        <v>3962</v>
      </c>
      <c r="G19" s="172" t="s">
        <v>3963</v>
      </c>
    </row>
    <row r="20" spans="2:7" x14ac:dyDescent="0.2">
      <c r="B20" s="197"/>
      <c r="C20" s="198"/>
      <c r="F20" s="172"/>
      <c r="G20" s="172"/>
    </row>
    <row r="21" spans="2:7" ht="15" x14ac:dyDescent="0.25">
      <c r="B21" s="199"/>
      <c r="C21" s="198" t="s">
        <v>17</v>
      </c>
      <c r="F21" s="94">
        <f>I16</f>
        <v>3148.25</v>
      </c>
    </row>
    <row r="22" spans="2:7" x14ac:dyDescent="0.2">
      <c r="B22" s="200"/>
      <c r="C22" s="198" t="s">
        <v>3964</v>
      </c>
      <c r="G22">
        <f>I16</f>
        <v>3148.25</v>
      </c>
    </row>
    <row r="24" spans="2:7" x14ac:dyDescent="0.2">
      <c r="B24" s="201"/>
      <c r="C24" s="198"/>
    </row>
    <row r="25" spans="2:7" x14ac:dyDescent="0.2">
      <c r="C25" s="198"/>
    </row>
  </sheetData>
  <mergeCells count="4">
    <mergeCell ref="A1:C1"/>
    <mergeCell ref="H2:I2"/>
    <mergeCell ref="J2:J3"/>
    <mergeCell ref="C19:E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42F5-FC81-48B3-83B6-FFAA7F7B187B}">
  <sheetPr>
    <tabColor rgb="FFFFFFCC"/>
  </sheetPr>
  <dimension ref="A1:M138"/>
  <sheetViews>
    <sheetView topLeftCell="D102" workbookViewId="0">
      <selection activeCell="L127" sqref="L127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3966</v>
      </c>
      <c r="E3" s="58">
        <f>+E124</f>
        <v>714</v>
      </c>
      <c r="H3" s="59">
        <f>H124</f>
        <v>32183.75</v>
      </c>
      <c r="I3" s="59">
        <f>I124</f>
        <v>88782</v>
      </c>
      <c r="J3" s="59">
        <f>J124</f>
        <v>0</v>
      </c>
      <c r="K3" s="60">
        <f>K124</f>
        <v>120965.75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 t="s">
        <v>4107</v>
      </c>
      <c r="B6" s="117" t="s">
        <v>1689</v>
      </c>
      <c r="C6" s="117" t="s">
        <v>4307</v>
      </c>
      <c r="D6" s="118" t="s">
        <v>1702</v>
      </c>
      <c r="E6" s="117">
        <v>1</v>
      </c>
      <c r="F6" s="133">
        <v>10</v>
      </c>
      <c r="G6" s="133">
        <v>200</v>
      </c>
      <c r="H6" s="109"/>
      <c r="I6" s="109">
        <f t="shared" ref="I6:I69" si="0">E6*G6</f>
        <v>200</v>
      </c>
      <c r="J6" s="110"/>
      <c r="K6" s="110">
        <f>H6+I6-J6</f>
        <v>200</v>
      </c>
      <c r="L6" s="120">
        <f>E6*F6</f>
        <v>10</v>
      </c>
      <c r="M6" s="113"/>
    </row>
    <row r="7" spans="1:13" s="114" customFormat="1" ht="14.25" customHeight="1" x14ac:dyDescent="0.2">
      <c r="A7" s="106" t="s">
        <v>4107</v>
      </c>
      <c r="B7" s="105" t="s">
        <v>1689</v>
      </c>
      <c r="C7" s="105" t="s">
        <v>4308</v>
      </c>
      <c r="D7" s="107" t="s">
        <v>1702</v>
      </c>
      <c r="E7" s="105">
        <v>1</v>
      </c>
      <c r="F7" s="134">
        <v>10</v>
      </c>
      <c r="G7" s="134">
        <v>200</v>
      </c>
      <c r="H7" s="109"/>
      <c r="I7" s="109">
        <f t="shared" si="0"/>
        <v>200</v>
      </c>
      <c r="J7" s="110"/>
      <c r="K7" s="110">
        <f t="shared" ref="K7:K70" si="1">H7+I7-J7</f>
        <v>200</v>
      </c>
      <c r="L7" s="120">
        <f>E7*F7</f>
        <v>10</v>
      </c>
      <c r="M7" s="113"/>
    </row>
    <row r="8" spans="1:13" s="114" customFormat="1" ht="14.25" customHeight="1" x14ac:dyDescent="0.2">
      <c r="A8" s="106" t="s">
        <v>4107</v>
      </c>
      <c r="B8" s="105" t="s">
        <v>1689</v>
      </c>
      <c r="C8" s="105" t="s">
        <v>4309</v>
      </c>
      <c r="D8" s="107" t="s">
        <v>1702</v>
      </c>
      <c r="E8" s="105">
        <v>2</v>
      </c>
      <c r="F8" s="134">
        <v>10</v>
      </c>
      <c r="G8" s="134">
        <v>200</v>
      </c>
      <c r="H8" s="109"/>
      <c r="I8" s="109">
        <f t="shared" si="0"/>
        <v>400</v>
      </c>
      <c r="J8" s="110"/>
      <c r="K8" s="110">
        <f t="shared" si="1"/>
        <v>400</v>
      </c>
      <c r="L8" s="120">
        <f t="shared" ref="L8:L71" si="2">E8*F8</f>
        <v>20</v>
      </c>
      <c r="M8" s="113"/>
    </row>
    <row r="9" spans="1:13" s="114" customFormat="1" ht="14.25" customHeight="1" x14ac:dyDescent="0.2">
      <c r="A9" s="106" t="s">
        <v>4107</v>
      </c>
      <c r="B9" s="105" t="s">
        <v>1689</v>
      </c>
      <c r="C9" s="105" t="s">
        <v>4310</v>
      </c>
      <c r="D9" s="107" t="s">
        <v>1702</v>
      </c>
      <c r="E9" s="105">
        <v>3</v>
      </c>
      <c r="F9" s="134">
        <v>10</v>
      </c>
      <c r="G9" s="134">
        <v>200</v>
      </c>
      <c r="H9" s="109"/>
      <c r="I9" s="109">
        <f t="shared" si="0"/>
        <v>600</v>
      </c>
      <c r="J9" s="110"/>
      <c r="K9" s="110">
        <f t="shared" si="1"/>
        <v>600</v>
      </c>
      <c r="L9" s="120">
        <f t="shared" si="2"/>
        <v>30</v>
      </c>
      <c r="M9" s="113"/>
    </row>
    <row r="10" spans="1:13" s="114" customFormat="1" ht="14.25" customHeight="1" x14ac:dyDescent="0.2">
      <c r="A10" s="106" t="s">
        <v>4107</v>
      </c>
      <c r="B10" s="105" t="s">
        <v>1689</v>
      </c>
      <c r="C10" s="105" t="s">
        <v>4311</v>
      </c>
      <c r="D10" s="107" t="s">
        <v>1702</v>
      </c>
      <c r="E10" s="105">
        <v>2</v>
      </c>
      <c r="F10" s="134">
        <v>10</v>
      </c>
      <c r="G10" s="134">
        <v>200</v>
      </c>
      <c r="H10" s="109"/>
      <c r="I10" s="109">
        <f t="shared" si="0"/>
        <v>400</v>
      </c>
      <c r="J10" s="110"/>
      <c r="K10" s="110">
        <f t="shared" si="1"/>
        <v>400</v>
      </c>
      <c r="L10" s="120">
        <f t="shared" si="2"/>
        <v>20</v>
      </c>
      <c r="M10" s="113"/>
    </row>
    <row r="11" spans="1:13" s="114" customFormat="1" ht="14.25" customHeight="1" x14ac:dyDescent="0.2">
      <c r="A11" s="106" t="s">
        <v>4107</v>
      </c>
      <c r="B11" s="105" t="s">
        <v>1458</v>
      </c>
      <c r="C11" s="105" t="s">
        <v>4312</v>
      </c>
      <c r="D11" s="107" t="s">
        <v>22</v>
      </c>
      <c r="E11" s="105">
        <v>1</v>
      </c>
      <c r="F11" s="134">
        <v>126</v>
      </c>
      <c r="G11" s="134">
        <v>201</v>
      </c>
      <c r="H11" s="109"/>
      <c r="I11" s="109">
        <f t="shared" si="0"/>
        <v>201</v>
      </c>
      <c r="J11" s="110"/>
      <c r="K11" s="110">
        <f t="shared" si="1"/>
        <v>201</v>
      </c>
      <c r="L11" s="120">
        <f t="shared" si="2"/>
        <v>126</v>
      </c>
      <c r="M11" s="113"/>
    </row>
    <row r="12" spans="1:13" s="114" customFormat="1" ht="14.25" customHeight="1" x14ac:dyDescent="0.2">
      <c r="A12" s="106" t="s">
        <v>4107</v>
      </c>
      <c r="B12" s="105" t="s">
        <v>1456</v>
      </c>
      <c r="C12" s="105" t="s">
        <v>4313</v>
      </c>
      <c r="D12" s="107" t="s">
        <v>21</v>
      </c>
      <c r="E12" s="105">
        <v>5</v>
      </c>
      <c r="F12" s="134">
        <v>148.9</v>
      </c>
      <c r="G12" s="134">
        <v>237</v>
      </c>
      <c r="H12" s="109"/>
      <c r="I12" s="109">
        <f t="shared" si="0"/>
        <v>1185</v>
      </c>
      <c r="J12" s="110"/>
      <c r="K12" s="110">
        <f t="shared" si="1"/>
        <v>1185</v>
      </c>
      <c r="L12" s="120">
        <f t="shared" si="2"/>
        <v>744.5</v>
      </c>
      <c r="M12" s="113"/>
    </row>
    <row r="13" spans="1:13" s="114" customFormat="1" ht="14.25" customHeight="1" x14ac:dyDescent="0.2">
      <c r="A13" s="106" t="s">
        <v>4107</v>
      </c>
      <c r="B13" s="105" t="s">
        <v>1458</v>
      </c>
      <c r="C13" s="105" t="s">
        <v>4313</v>
      </c>
      <c r="D13" s="107" t="s">
        <v>22</v>
      </c>
      <c r="E13" s="105">
        <v>5</v>
      </c>
      <c r="F13" s="134">
        <v>126</v>
      </c>
      <c r="G13" s="134">
        <v>201</v>
      </c>
      <c r="H13" s="109"/>
      <c r="I13" s="109">
        <f t="shared" si="0"/>
        <v>1005</v>
      </c>
      <c r="J13" s="110"/>
      <c r="K13" s="110">
        <f t="shared" si="1"/>
        <v>1005</v>
      </c>
      <c r="L13" s="120">
        <f t="shared" si="2"/>
        <v>630</v>
      </c>
      <c r="M13" s="113"/>
    </row>
    <row r="14" spans="1:13" s="114" customFormat="1" ht="14.25" customHeight="1" x14ac:dyDescent="0.2">
      <c r="A14" s="106" t="s">
        <v>4107</v>
      </c>
      <c r="B14" s="105" t="s">
        <v>1553</v>
      </c>
      <c r="C14" s="105" t="s">
        <v>4313</v>
      </c>
      <c r="D14" s="107" t="s">
        <v>1263</v>
      </c>
      <c r="E14" s="105">
        <v>10</v>
      </c>
      <c r="F14" s="134">
        <v>24</v>
      </c>
      <c r="G14" s="134">
        <v>31.25</v>
      </c>
      <c r="H14" s="109"/>
      <c r="I14" s="109">
        <f t="shared" si="0"/>
        <v>312.5</v>
      </c>
      <c r="J14" s="110"/>
      <c r="K14" s="110">
        <f t="shared" si="1"/>
        <v>312.5</v>
      </c>
      <c r="L14" s="120">
        <f t="shared" si="2"/>
        <v>240</v>
      </c>
      <c r="M14" s="113"/>
    </row>
    <row r="15" spans="1:13" s="114" customFormat="1" ht="14.25" customHeight="1" x14ac:dyDescent="0.2">
      <c r="A15" s="106" t="s">
        <v>4107</v>
      </c>
      <c r="B15" s="105" t="s">
        <v>1615</v>
      </c>
      <c r="C15" s="105" t="s">
        <v>4314</v>
      </c>
      <c r="D15" s="107" t="s">
        <v>1618</v>
      </c>
      <c r="E15" s="105">
        <v>8</v>
      </c>
      <c r="F15" s="134">
        <v>21.5</v>
      </c>
      <c r="G15" s="134">
        <v>26</v>
      </c>
      <c r="H15" s="109"/>
      <c r="I15" s="109">
        <f t="shared" si="0"/>
        <v>208</v>
      </c>
      <c r="J15" s="110"/>
      <c r="K15" s="110">
        <f t="shared" si="1"/>
        <v>208</v>
      </c>
      <c r="L15" s="120">
        <f t="shared" si="2"/>
        <v>172</v>
      </c>
      <c r="M15" s="113"/>
    </row>
    <row r="16" spans="1:13" s="114" customFormat="1" ht="14.25" customHeight="1" x14ac:dyDescent="0.2">
      <c r="A16" s="106" t="s">
        <v>4107</v>
      </c>
      <c r="B16" s="105" t="s">
        <v>1489</v>
      </c>
      <c r="C16" s="105" t="s">
        <v>4314</v>
      </c>
      <c r="D16" s="107" t="s">
        <v>29</v>
      </c>
      <c r="E16" s="105">
        <v>4</v>
      </c>
      <c r="F16" s="134">
        <v>21.5</v>
      </c>
      <c r="G16" s="134">
        <v>28</v>
      </c>
      <c r="H16" s="109"/>
      <c r="I16" s="109">
        <f t="shared" si="0"/>
        <v>112</v>
      </c>
      <c r="J16" s="110"/>
      <c r="K16" s="110">
        <f t="shared" si="1"/>
        <v>112</v>
      </c>
      <c r="L16" s="120">
        <f t="shared" si="2"/>
        <v>86</v>
      </c>
      <c r="M16" s="113"/>
    </row>
    <row r="17" spans="1:13" s="114" customFormat="1" ht="14.25" customHeight="1" x14ac:dyDescent="0.2">
      <c r="A17" s="106" t="s">
        <v>4107</v>
      </c>
      <c r="B17" s="105" t="s">
        <v>1475</v>
      </c>
      <c r="C17" s="105" t="s">
        <v>4314</v>
      </c>
      <c r="D17" s="107" t="s">
        <v>20</v>
      </c>
      <c r="E17" s="105">
        <v>6</v>
      </c>
      <c r="F17" s="134">
        <v>84</v>
      </c>
      <c r="G17" s="134">
        <v>157</v>
      </c>
      <c r="H17" s="109"/>
      <c r="I17" s="109">
        <f t="shared" si="0"/>
        <v>942</v>
      </c>
      <c r="J17" s="110"/>
      <c r="K17" s="110">
        <f t="shared" si="1"/>
        <v>942</v>
      </c>
      <c r="L17" s="120">
        <f t="shared" si="2"/>
        <v>504</v>
      </c>
      <c r="M17" s="113"/>
    </row>
    <row r="18" spans="1:13" s="114" customFormat="1" ht="14.25" customHeight="1" x14ac:dyDescent="0.2">
      <c r="A18" s="106" t="s">
        <v>4107</v>
      </c>
      <c r="B18" s="105" t="s">
        <v>1458</v>
      </c>
      <c r="C18" s="105" t="s">
        <v>4314</v>
      </c>
      <c r="D18" s="107" t="s">
        <v>22</v>
      </c>
      <c r="E18" s="105">
        <v>4</v>
      </c>
      <c r="F18" s="134">
        <v>126</v>
      </c>
      <c r="G18" s="134">
        <v>201</v>
      </c>
      <c r="H18" s="109"/>
      <c r="I18" s="109">
        <f t="shared" si="0"/>
        <v>804</v>
      </c>
      <c r="J18" s="110"/>
      <c r="K18" s="110">
        <f t="shared" si="1"/>
        <v>804</v>
      </c>
      <c r="L18" s="120">
        <f t="shared" si="2"/>
        <v>504</v>
      </c>
      <c r="M18" s="113"/>
    </row>
    <row r="19" spans="1:13" s="114" customFormat="1" ht="14.25" customHeight="1" x14ac:dyDescent="0.2">
      <c r="A19" s="106" t="s">
        <v>4107</v>
      </c>
      <c r="B19" s="105" t="s">
        <v>1625</v>
      </c>
      <c r="C19" s="105" t="s">
        <v>4314</v>
      </c>
      <c r="D19" s="107" t="s">
        <v>1328</v>
      </c>
      <c r="E19" s="105">
        <v>12</v>
      </c>
      <c r="F19" s="134">
        <v>1.54</v>
      </c>
      <c r="G19" s="134">
        <v>5</v>
      </c>
      <c r="H19" s="109"/>
      <c r="I19" s="109">
        <f t="shared" si="0"/>
        <v>60</v>
      </c>
      <c r="J19" s="110"/>
      <c r="K19" s="110">
        <f t="shared" si="1"/>
        <v>60</v>
      </c>
      <c r="L19" s="120">
        <f t="shared" si="2"/>
        <v>18.48</v>
      </c>
      <c r="M19" s="113"/>
    </row>
    <row r="20" spans="1:13" s="114" customFormat="1" ht="14.25" customHeight="1" x14ac:dyDescent="0.2">
      <c r="A20" s="106" t="s">
        <v>4107</v>
      </c>
      <c r="B20" s="105" t="s">
        <v>1458</v>
      </c>
      <c r="C20" s="105" t="s">
        <v>4315</v>
      </c>
      <c r="D20" s="107" t="s">
        <v>22</v>
      </c>
      <c r="E20" s="105">
        <v>15</v>
      </c>
      <c r="F20" s="134">
        <v>126</v>
      </c>
      <c r="G20" s="134">
        <v>201</v>
      </c>
      <c r="H20" s="109"/>
      <c r="I20" s="109">
        <f t="shared" si="0"/>
        <v>3015</v>
      </c>
      <c r="J20" s="110"/>
      <c r="K20" s="110">
        <f t="shared" si="1"/>
        <v>3015</v>
      </c>
      <c r="L20" s="120">
        <f t="shared" si="2"/>
        <v>1890</v>
      </c>
      <c r="M20" s="113"/>
    </row>
    <row r="21" spans="1:13" s="114" customFormat="1" ht="14.25" customHeight="1" x14ac:dyDescent="0.2">
      <c r="A21" s="106" t="s">
        <v>4107</v>
      </c>
      <c r="B21" s="105" t="s">
        <v>1518</v>
      </c>
      <c r="C21" s="105" t="s">
        <v>4315</v>
      </c>
      <c r="D21" s="107" t="s">
        <v>1262</v>
      </c>
      <c r="E21" s="105">
        <v>3</v>
      </c>
      <c r="F21" s="134">
        <v>12</v>
      </c>
      <c r="G21" s="134">
        <v>15.75</v>
      </c>
      <c r="H21" s="109"/>
      <c r="I21" s="109">
        <f t="shared" si="0"/>
        <v>47.25</v>
      </c>
      <c r="J21" s="110"/>
      <c r="K21" s="110">
        <f t="shared" si="1"/>
        <v>47.25</v>
      </c>
      <c r="L21" s="120">
        <f t="shared" si="2"/>
        <v>36</v>
      </c>
      <c r="M21" s="113"/>
    </row>
    <row r="22" spans="1:13" s="114" customFormat="1" ht="14.25" customHeight="1" x14ac:dyDescent="0.2">
      <c r="A22" s="106" t="s">
        <v>4107</v>
      </c>
      <c r="B22" s="105" t="s">
        <v>1670</v>
      </c>
      <c r="C22" s="105" t="s">
        <v>4315</v>
      </c>
      <c r="D22" s="107" t="s">
        <v>1253</v>
      </c>
      <c r="E22" s="105">
        <v>15</v>
      </c>
      <c r="F22" s="134">
        <v>15</v>
      </c>
      <c r="G22" s="134">
        <v>20</v>
      </c>
      <c r="H22" s="109"/>
      <c r="I22" s="109">
        <f t="shared" si="0"/>
        <v>300</v>
      </c>
      <c r="J22" s="110"/>
      <c r="K22" s="110">
        <f t="shared" si="1"/>
        <v>300</v>
      </c>
      <c r="L22" s="120">
        <f t="shared" si="2"/>
        <v>225</v>
      </c>
      <c r="M22" s="113"/>
    </row>
    <row r="23" spans="1:13" s="114" customFormat="1" ht="14.25" customHeight="1" x14ac:dyDescent="0.2">
      <c r="A23" s="106" t="s">
        <v>4107</v>
      </c>
      <c r="B23" s="105" t="s">
        <v>1554</v>
      </c>
      <c r="C23" s="105" t="s">
        <v>4315</v>
      </c>
      <c r="D23" s="107" t="s">
        <v>30</v>
      </c>
      <c r="E23" s="105">
        <v>30</v>
      </c>
      <c r="F23" s="134">
        <v>0.54</v>
      </c>
      <c r="G23" s="134">
        <v>1.5</v>
      </c>
      <c r="H23" s="109"/>
      <c r="I23" s="109">
        <f t="shared" si="0"/>
        <v>45</v>
      </c>
      <c r="J23" s="110"/>
      <c r="K23" s="110">
        <f t="shared" si="1"/>
        <v>45</v>
      </c>
      <c r="L23" s="120">
        <f t="shared" si="2"/>
        <v>16.200000000000003</v>
      </c>
      <c r="M23" s="113"/>
    </row>
    <row r="24" spans="1:13" s="114" customFormat="1" ht="14.25" customHeight="1" x14ac:dyDescent="0.2">
      <c r="A24" s="106" t="s">
        <v>4107</v>
      </c>
      <c r="B24" s="105" t="s">
        <v>1474</v>
      </c>
      <c r="C24" s="105" t="s">
        <v>4316</v>
      </c>
      <c r="D24" s="107" t="s">
        <v>23</v>
      </c>
      <c r="E24" s="105">
        <v>5</v>
      </c>
      <c r="F24" s="134">
        <v>99.3</v>
      </c>
      <c r="G24" s="134">
        <v>175</v>
      </c>
      <c r="H24" s="109"/>
      <c r="I24" s="109">
        <f t="shared" si="0"/>
        <v>875</v>
      </c>
      <c r="J24" s="110"/>
      <c r="K24" s="110">
        <f t="shared" si="1"/>
        <v>875</v>
      </c>
      <c r="L24" s="120">
        <f t="shared" si="2"/>
        <v>496.5</v>
      </c>
      <c r="M24" s="113"/>
    </row>
    <row r="25" spans="1:13" s="114" customFormat="1" ht="14.25" customHeight="1" x14ac:dyDescent="0.2">
      <c r="A25" s="106" t="s">
        <v>4107</v>
      </c>
      <c r="B25" s="105" t="s">
        <v>1475</v>
      </c>
      <c r="C25" s="105" t="s">
        <v>4316</v>
      </c>
      <c r="D25" s="107" t="s">
        <v>20</v>
      </c>
      <c r="E25" s="105">
        <v>5</v>
      </c>
      <c r="F25" s="134">
        <v>84</v>
      </c>
      <c r="G25" s="134">
        <v>157</v>
      </c>
      <c r="H25" s="109"/>
      <c r="I25" s="109">
        <f t="shared" si="0"/>
        <v>785</v>
      </c>
      <c r="J25" s="110"/>
      <c r="K25" s="110">
        <f t="shared" si="1"/>
        <v>785</v>
      </c>
      <c r="L25" s="120">
        <f t="shared" si="2"/>
        <v>420</v>
      </c>
      <c r="M25" s="113"/>
    </row>
    <row r="26" spans="1:13" s="114" customFormat="1" ht="14.25" customHeight="1" x14ac:dyDescent="0.2">
      <c r="A26" s="106" t="s">
        <v>4107</v>
      </c>
      <c r="B26" s="105" t="s">
        <v>4317</v>
      </c>
      <c r="C26" s="105" t="s">
        <v>4316</v>
      </c>
      <c r="D26" s="107" t="s">
        <v>1346</v>
      </c>
      <c r="E26" s="105">
        <v>12</v>
      </c>
      <c r="F26" s="134">
        <v>15</v>
      </c>
      <c r="G26" s="134">
        <v>20</v>
      </c>
      <c r="H26" s="109"/>
      <c r="I26" s="109">
        <f t="shared" si="0"/>
        <v>240</v>
      </c>
      <c r="J26" s="110"/>
      <c r="K26" s="110">
        <f t="shared" si="1"/>
        <v>240</v>
      </c>
      <c r="L26" s="120">
        <f t="shared" si="2"/>
        <v>180</v>
      </c>
      <c r="M26" s="113"/>
    </row>
    <row r="27" spans="1:13" s="114" customFormat="1" ht="14.25" customHeight="1" x14ac:dyDescent="0.2">
      <c r="A27" s="106" t="s">
        <v>4107</v>
      </c>
      <c r="B27" s="105" t="s">
        <v>1475</v>
      </c>
      <c r="C27" s="105" t="s">
        <v>4318</v>
      </c>
      <c r="D27" s="107" t="s">
        <v>20</v>
      </c>
      <c r="E27" s="105">
        <v>3</v>
      </c>
      <c r="F27" s="134">
        <v>84</v>
      </c>
      <c r="G27" s="134">
        <v>157</v>
      </c>
      <c r="H27" s="109"/>
      <c r="I27" s="109">
        <f t="shared" si="0"/>
        <v>471</v>
      </c>
      <c r="J27" s="110"/>
      <c r="K27" s="110">
        <f t="shared" si="1"/>
        <v>471</v>
      </c>
      <c r="L27" s="120">
        <f t="shared" si="2"/>
        <v>252</v>
      </c>
      <c r="M27" s="113"/>
    </row>
    <row r="28" spans="1:13" s="114" customFormat="1" ht="14.25" customHeight="1" x14ac:dyDescent="0.2">
      <c r="A28" s="106" t="s">
        <v>4107</v>
      </c>
      <c r="B28" s="105" t="s">
        <v>1458</v>
      </c>
      <c r="C28" s="105" t="s">
        <v>4319</v>
      </c>
      <c r="D28" s="107" t="s">
        <v>22</v>
      </c>
      <c r="E28" s="105">
        <v>4</v>
      </c>
      <c r="F28" s="134">
        <v>126</v>
      </c>
      <c r="G28" s="134">
        <v>201</v>
      </c>
      <c r="H28" s="109"/>
      <c r="I28" s="109">
        <f t="shared" si="0"/>
        <v>804</v>
      </c>
      <c r="J28" s="110"/>
      <c r="K28" s="110">
        <f t="shared" si="1"/>
        <v>804</v>
      </c>
      <c r="L28" s="120">
        <f t="shared" si="2"/>
        <v>504</v>
      </c>
      <c r="M28" s="113"/>
    </row>
    <row r="29" spans="1:13" s="114" customFormat="1" ht="14.25" customHeight="1" x14ac:dyDescent="0.2">
      <c r="A29" s="106" t="s">
        <v>4107</v>
      </c>
      <c r="B29" s="105" t="s">
        <v>1462</v>
      </c>
      <c r="C29" s="105" t="s">
        <v>4320</v>
      </c>
      <c r="D29" s="107" t="s">
        <v>27</v>
      </c>
      <c r="E29" s="105">
        <v>25</v>
      </c>
      <c r="F29" s="134">
        <v>8</v>
      </c>
      <c r="G29" s="134">
        <v>10</v>
      </c>
      <c r="H29" s="109">
        <v>250</v>
      </c>
      <c r="I29" s="109"/>
      <c r="J29" s="110"/>
      <c r="K29" s="110">
        <f t="shared" si="1"/>
        <v>250</v>
      </c>
      <c r="L29" s="120">
        <f t="shared" si="2"/>
        <v>200</v>
      </c>
      <c r="M29" s="113"/>
    </row>
    <row r="30" spans="1:13" s="114" customFormat="1" ht="14.25" customHeight="1" x14ac:dyDescent="0.2">
      <c r="A30" s="106" t="s">
        <v>4107</v>
      </c>
      <c r="B30" s="105" t="s">
        <v>1605</v>
      </c>
      <c r="C30" s="105" t="s">
        <v>4320</v>
      </c>
      <c r="D30" s="107" t="s">
        <v>1320</v>
      </c>
      <c r="E30" s="105">
        <v>1</v>
      </c>
      <c r="F30" s="134">
        <v>20</v>
      </c>
      <c r="G30" s="134">
        <v>30</v>
      </c>
      <c r="H30" s="109">
        <v>30</v>
      </c>
      <c r="I30" s="109"/>
      <c r="J30" s="110"/>
      <c r="K30" s="110">
        <f t="shared" si="1"/>
        <v>30</v>
      </c>
      <c r="L30" s="120">
        <f t="shared" si="2"/>
        <v>20</v>
      </c>
      <c r="M30" s="113"/>
    </row>
    <row r="31" spans="1:13" s="114" customFormat="1" ht="14.25" customHeight="1" x14ac:dyDescent="0.2">
      <c r="A31" s="106" t="s">
        <v>4107</v>
      </c>
      <c r="B31" s="105" t="s">
        <v>1553</v>
      </c>
      <c r="C31" s="105" t="s">
        <v>4320</v>
      </c>
      <c r="D31" s="107" t="s">
        <v>1263</v>
      </c>
      <c r="E31" s="105">
        <v>1</v>
      </c>
      <c r="F31" s="134">
        <v>24</v>
      </c>
      <c r="G31" s="134">
        <v>31.25</v>
      </c>
      <c r="H31" s="109">
        <v>31.25</v>
      </c>
      <c r="I31" s="109"/>
      <c r="J31" s="110"/>
      <c r="K31" s="110">
        <f t="shared" si="1"/>
        <v>31.25</v>
      </c>
      <c r="L31" s="120">
        <f t="shared" si="2"/>
        <v>24</v>
      </c>
      <c r="M31" s="113"/>
    </row>
    <row r="32" spans="1:13" s="114" customFormat="1" ht="14.25" customHeight="1" x14ac:dyDescent="0.2">
      <c r="A32" s="106" t="s">
        <v>4107</v>
      </c>
      <c r="B32" s="105" t="s">
        <v>1553</v>
      </c>
      <c r="C32" s="105" t="s">
        <v>4321</v>
      </c>
      <c r="D32" s="107" t="s">
        <v>1263</v>
      </c>
      <c r="E32" s="105">
        <v>2</v>
      </c>
      <c r="F32" s="134">
        <v>24</v>
      </c>
      <c r="G32" s="134">
        <v>31.25</v>
      </c>
      <c r="H32" s="109">
        <v>62.5</v>
      </c>
      <c r="I32" s="109"/>
      <c r="J32" s="110"/>
      <c r="K32" s="110">
        <f t="shared" si="1"/>
        <v>62.5</v>
      </c>
      <c r="L32" s="120">
        <f t="shared" si="2"/>
        <v>48</v>
      </c>
      <c r="M32" s="113"/>
    </row>
    <row r="33" spans="1:13" s="114" customFormat="1" ht="14.25" customHeight="1" x14ac:dyDescent="0.2">
      <c r="A33" s="106" t="s">
        <v>4217</v>
      </c>
      <c r="B33" s="105" t="s">
        <v>1560</v>
      </c>
      <c r="C33" s="105" t="s">
        <v>4322</v>
      </c>
      <c r="D33" s="107" t="s">
        <v>1264</v>
      </c>
      <c r="E33" s="105">
        <v>1</v>
      </c>
      <c r="F33" s="134">
        <v>16</v>
      </c>
      <c r="G33" s="134">
        <v>21</v>
      </c>
      <c r="H33" s="109">
        <v>21</v>
      </c>
      <c r="I33" s="109"/>
      <c r="J33" s="110"/>
      <c r="K33" s="110">
        <f t="shared" si="1"/>
        <v>21</v>
      </c>
      <c r="L33" s="120">
        <f t="shared" si="2"/>
        <v>16</v>
      </c>
      <c r="M33" s="113"/>
    </row>
    <row r="34" spans="1:13" s="114" customFormat="1" ht="14.25" customHeight="1" x14ac:dyDescent="0.2">
      <c r="A34" s="106" t="s">
        <v>4217</v>
      </c>
      <c r="B34" s="105" t="s">
        <v>1562</v>
      </c>
      <c r="C34" s="105" t="s">
        <v>4323</v>
      </c>
      <c r="D34" s="107" t="s">
        <v>4324</v>
      </c>
      <c r="E34" s="105">
        <v>122</v>
      </c>
      <c r="F34" s="134">
        <v>173.03</v>
      </c>
      <c r="G34" s="134">
        <v>200</v>
      </c>
      <c r="H34" s="109"/>
      <c r="I34" s="109">
        <f t="shared" si="0"/>
        <v>24400</v>
      </c>
      <c r="J34" s="110"/>
      <c r="K34" s="110">
        <f t="shared" si="1"/>
        <v>24400</v>
      </c>
      <c r="L34" s="120">
        <f t="shared" si="2"/>
        <v>21109.66</v>
      </c>
      <c r="M34" s="113"/>
    </row>
    <row r="35" spans="1:13" s="114" customFormat="1" ht="14.25" customHeight="1" x14ac:dyDescent="0.2">
      <c r="A35" s="106">
        <v>46183</v>
      </c>
      <c r="B35" s="105" t="s">
        <v>1518</v>
      </c>
      <c r="C35" s="105" t="s">
        <v>4325</v>
      </c>
      <c r="D35" s="107" t="s">
        <v>1262</v>
      </c>
      <c r="E35" s="105">
        <v>2</v>
      </c>
      <c r="F35" s="134">
        <v>12</v>
      </c>
      <c r="G35" s="134">
        <v>15.75</v>
      </c>
      <c r="H35" s="109">
        <v>31.5</v>
      </c>
      <c r="I35" s="109"/>
      <c r="J35" s="110"/>
      <c r="K35" s="110">
        <f t="shared" si="1"/>
        <v>31.5</v>
      </c>
      <c r="L35" s="120">
        <f t="shared" si="2"/>
        <v>24</v>
      </c>
      <c r="M35" s="113"/>
    </row>
    <row r="36" spans="1:13" s="114" customFormat="1" ht="14.25" customHeight="1" x14ac:dyDescent="0.2">
      <c r="A36" s="106">
        <v>46188</v>
      </c>
      <c r="B36" s="105" t="s">
        <v>1679</v>
      </c>
      <c r="C36" s="105" t="s">
        <v>4436</v>
      </c>
      <c r="D36" s="107" t="s">
        <v>4437</v>
      </c>
      <c r="E36" s="105">
        <v>1</v>
      </c>
      <c r="F36" s="136">
        <v>216</v>
      </c>
      <c r="G36" s="136">
        <v>360</v>
      </c>
      <c r="H36" s="109">
        <v>360</v>
      </c>
      <c r="I36" s="109"/>
      <c r="J36" s="110"/>
      <c r="K36" s="110">
        <f t="shared" si="1"/>
        <v>360</v>
      </c>
      <c r="L36" s="120">
        <f t="shared" si="2"/>
        <v>216</v>
      </c>
      <c r="M36" s="113"/>
    </row>
    <row r="37" spans="1:13" s="114" customFormat="1" ht="14.25" customHeight="1" x14ac:dyDescent="0.2">
      <c r="A37" s="106">
        <v>46188</v>
      </c>
      <c r="B37" s="105" t="s">
        <v>4435</v>
      </c>
      <c r="C37" s="105" t="s">
        <v>4436</v>
      </c>
      <c r="D37" s="107" t="s">
        <v>4438</v>
      </c>
      <c r="E37" s="105">
        <v>48</v>
      </c>
      <c r="F37" s="136">
        <v>306.25</v>
      </c>
      <c r="G37" s="136">
        <v>350</v>
      </c>
      <c r="H37" s="109">
        <v>16800</v>
      </c>
      <c r="I37" s="109"/>
      <c r="J37" s="110"/>
      <c r="K37" s="110">
        <f t="shared" si="1"/>
        <v>16800</v>
      </c>
      <c r="L37" s="120">
        <f t="shared" si="2"/>
        <v>14700</v>
      </c>
      <c r="M37" s="113"/>
    </row>
    <row r="38" spans="1:13" s="114" customFormat="1" ht="14.25" customHeight="1" x14ac:dyDescent="0.2">
      <c r="A38" s="106">
        <v>46188</v>
      </c>
      <c r="B38" s="105" t="s">
        <v>1522</v>
      </c>
      <c r="C38" s="105" t="s">
        <v>4436</v>
      </c>
      <c r="D38" s="107" t="s">
        <v>4439</v>
      </c>
      <c r="E38" s="105">
        <v>48</v>
      </c>
      <c r="F38" s="136">
        <v>175.31</v>
      </c>
      <c r="G38" s="136">
        <v>200</v>
      </c>
      <c r="H38" s="109">
        <v>9600</v>
      </c>
      <c r="I38" s="109"/>
      <c r="J38" s="110"/>
      <c r="K38" s="110">
        <f t="shared" si="1"/>
        <v>9600</v>
      </c>
      <c r="L38" s="120">
        <f t="shared" si="2"/>
        <v>8414.880000000001</v>
      </c>
      <c r="M38" s="113"/>
    </row>
    <row r="39" spans="1:13" s="114" customFormat="1" ht="14.25" customHeight="1" x14ac:dyDescent="0.2">
      <c r="A39" s="106">
        <v>46190</v>
      </c>
      <c r="B39" s="105" t="s">
        <v>1458</v>
      </c>
      <c r="C39" s="105" t="s">
        <v>4516</v>
      </c>
      <c r="D39" s="107" t="s">
        <v>22</v>
      </c>
      <c r="E39" s="105">
        <v>5</v>
      </c>
      <c r="F39" s="134">
        <v>126</v>
      </c>
      <c r="G39" s="134">
        <v>201</v>
      </c>
      <c r="H39" s="109"/>
      <c r="I39" s="109">
        <f t="shared" si="0"/>
        <v>1005</v>
      </c>
      <c r="J39" s="110"/>
      <c r="K39" s="110">
        <f t="shared" si="1"/>
        <v>1005</v>
      </c>
      <c r="L39" s="120">
        <f t="shared" si="2"/>
        <v>630</v>
      </c>
      <c r="M39" s="113"/>
    </row>
    <row r="40" spans="1:13" s="114" customFormat="1" ht="14.25" customHeight="1" x14ac:dyDescent="0.2">
      <c r="A40" s="106">
        <v>46190</v>
      </c>
      <c r="B40" s="105" t="s">
        <v>1562</v>
      </c>
      <c r="C40" s="105" t="s">
        <v>4517</v>
      </c>
      <c r="D40" s="107" t="s">
        <v>4324</v>
      </c>
      <c r="E40" s="105">
        <v>10</v>
      </c>
      <c r="F40" s="134">
        <v>185</v>
      </c>
      <c r="G40" s="134">
        <v>200</v>
      </c>
      <c r="H40" s="109"/>
      <c r="I40" s="109">
        <f t="shared" si="0"/>
        <v>2000</v>
      </c>
      <c r="J40" s="110"/>
      <c r="K40" s="110">
        <f t="shared" si="1"/>
        <v>2000</v>
      </c>
      <c r="L40" s="120">
        <f t="shared" si="2"/>
        <v>1850</v>
      </c>
      <c r="M40" s="113"/>
    </row>
    <row r="41" spans="1:13" s="114" customFormat="1" ht="14.25" customHeight="1" x14ac:dyDescent="0.2">
      <c r="A41" s="106">
        <v>46190</v>
      </c>
      <c r="B41" s="105" t="s">
        <v>1534</v>
      </c>
      <c r="C41" s="105" t="s">
        <v>4518</v>
      </c>
      <c r="D41" s="107" t="s">
        <v>1250</v>
      </c>
      <c r="E41" s="105">
        <v>3</v>
      </c>
      <c r="F41" s="134">
        <v>55</v>
      </c>
      <c r="G41" s="134">
        <v>71.5</v>
      </c>
      <c r="H41" s="109"/>
      <c r="I41" s="109">
        <f t="shared" si="0"/>
        <v>214.5</v>
      </c>
      <c r="J41" s="110"/>
      <c r="K41" s="110">
        <f t="shared" si="1"/>
        <v>214.5</v>
      </c>
      <c r="L41" s="120">
        <f t="shared" si="2"/>
        <v>165</v>
      </c>
      <c r="M41" s="113"/>
    </row>
    <row r="42" spans="1:13" s="114" customFormat="1" ht="14.25" customHeight="1" x14ac:dyDescent="0.2">
      <c r="A42" s="106">
        <v>46191</v>
      </c>
      <c r="B42" s="105" t="s">
        <v>1689</v>
      </c>
      <c r="C42" s="105" t="s">
        <v>4699</v>
      </c>
      <c r="D42" s="107" t="s">
        <v>1702</v>
      </c>
      <c r="E42" s="105">
        <v>7</v>
      </c>
      <c r="F42" s="134">
        <v>10</v>
      </c>
      <c r="G42" s="134">
        <v>200</v>
      </c>
      <c r="H42" s="109"/>
      <c r="I42" s="109">
        <f t="shared" si="0"/>
        <v>1400</v>
      </c>
      <c r="J42" s="110"/>
      <c r="K42" s="110">
        <f t="shared" si="1"/>
        <v>1400</v>
      </c>
      <c r="L42" s="120">
        <f t="shared" si="2"/>
        <v>70</v>
      </c>
      <c r="M42" s="113"/>
    </row>
    <row r="43" spans="1:13" s="114" customFormat="1" ht="14.25" customHeight="1" x14ac:dyDescent="0.2">
      <c r="A43" s="106">
        <v>46191</v>
      </c>
      <c r="B43" s="105" t="s">
        <v>1689</v>
      </c>
      <c r="C43" s="105" t="s">
        <v>4700</v>
      </c>
      <c r="D43" s="107" t="s">
        <v>1702</v>
      </c>
      <c r="E43" s="105">
        <v>1</v>
      </c>
      <c r="F43" s="134">
        <v>10</v>
      </c>
      <c r="G43" s="134">
        <v>200</v>
      </c>
      <c r="H43" s="109"/>
      <c r="I43" s="109">
        <f t="shared" si="0"/>
        <v>200</v>
      </c>
      <c r="J43" s="110"/>
      <c r="K43" s="110">
        <f t="shared" si="1"/>
        <v>200</v>
      </c>
      <c r="L43" s="120">
        <f t="shared" si="2"/>
        <v>10</v>
      </c>
      <c r="M43" s="113"/>
    </row>
    <row r="44" spans="1:13" s="114" customFormat="1" ht="14.25" customHeight="1" x14ac:dyDescent="0.2">
      <c r="A44" s="106">
        <v>46191</v>
      </c>
      <c r="B44" s="105" t="s">
        <v>1689</v>
      </c>
      <c r="C44" s="105" t="s">
        <v>4701</v>
      </c>
      <c r="D44" s="107" t="s">
        <v>1702</v>
      </c>
      <c r="E44" s="105">
        <v>5</v>
      </c>
      <c r="F44" s="134">
        <v>10</v>
      </c>
      <c r="G44" s="134">
        <v>200</v>
      </c>
      <c r="H44" s="109"/>
      <c r="I44" s="109">
        <f t="shared" si="0"/>
        <v>1000</v>
      </c>
      <c r="J44" s="110"/>
      <c r="K44" s="110">
        <f t="shared" si="1"/>
        <v>1000</v>
      </c>
      <c r="L44" s="120">
        <f t="shared" si="2"/>
        <v>50</v>
      </c>
      <c r="M44" s="113"/>
    </row>
    <row r="45" spans="1:13" s="114" customFormat="1" ht="14.25" customHeight="1" x14ac:dyDescent="0.2">
      <c r="A45" s="106">
        <v>46191</v>
      </c>
      <c r="B45" s="105" t="s">
        <v>1689</v>
      </c>
      <c r="C45" s="105" t="s">
        <v>4702</v>
      </c>
      <c r="D45" s="107" t="s">
        <v>1702</v>
      </c>
      <c r="E45" s="105">
        <v>2</v>
      </c>
      <c r="F45" s="134">
        <v>10</v>
      </c>
      <c r="G45" s="134">
        <v>200</v>
      </c>
      <c r="H45" s="109"/>
      <c r="I45" s="109">
        <f t="shared" si="0"/>
        <v>400</v>
      </c>
      <c r="J45" s="110"/>
      <c r="K45" s="110">
        <f t="shared" si="1"/>
        <v>400</v>
      </c>
      <c r="L45" s="120">
        <f t="shared" si="2"/>
        <v>20</v>
      </c>
      <c r="M45" s="113"/>
    </row>
    <row r="46" spans="1:13" s="114" customFormat="1" ht="14.25" customHeight="1" x14ac:dyDescent="0.2">
      <c r="A46" s="106">
        <v>46191</v>
      </c>
      <c r="B46" s="105" t="s">
        <v>1689</v>
      </c>
      <c r="C46" s="105" t="s">
        <v>4703</v>
      </c>
      <c r="D46" s="107" t="s">
        <v>1702</v>
      </c>
      <c r="E46" s="105">
        <v>7</v>
      </c>
      <c r="F46" s="134">
        <v>10</v>
      </c>
      <c r="G46" s="134">
        <v>200</v>
      </c>
      <c r="H46" s="109"/>
      <c r="I46" s="109">
        <f t="shared" si="0"/>
        <v>1400</v>
      </c>
      <c r="J46" s="110"/>
      <c r="K46" s="110">
        <f t="shared" si="1"/>
        <v>1400</v>
      </c>
      <c r="L46" s="120">
        <f t="shared" si="2"/>
        <v>70</v>
      </c>
      <c r="M46" s="113"/>
    </row>
    <row r="47" spans="1:13" s="114" customFormat="1" ht="14.25" customHeight="1" x14ac:dyDescent="0.2">
      <c r="A47" s="106">
        <v>46191</v>
      </c>
      <c r="B47" s="105" t="s">
        <v>1689</v>
      </c>
      <c r="C47" s="105" t="s">
        <v>4704</v>
      </c>
      <c r="D47" s="107" t="s">
        <v>1702</v>
      </c>
      <c r="E47" s="105">
        <v>2</v>
      </c>
      <c r="F47" s="134">
        <v>10</v>
      </c>
      <c r="G47" s="134">
        <v>200</v>
      </c>
      <c r="H47" s="109"/>
      <c r="I47" s="109">
        <f t="shared" si="0"/>
        <v>400</v>
      </c>
      <c r="J47" s="110"/>
      <c r="K47" s="110">
        <f t="shared" si="1"/>
        <v>400</v>
      </c>
      <c r="L47" s="120">
        <f t="shared" si="2"/>
        <v>20</v>
      </c>
      <c r="M47" s="113"/>
    </row>
    <row r="48" spans="1:13" s="114" customFormat="1" ht="14.25" customHeight="1" x14ac:dyDescent="0.2">
      <c r="A48" s="106">
        <v>46191</v>
      </c>
      <c r="B48" s="105" t="s">
        <v>1689</v>
      </c>
      <c r="C48" s="105" t="s">
        <v>4705</v>
      </c>
      <c r="D48" s="107" t="s">
        <v>1702</v>
      </c>
      <c r="E48" s="105">
        <v>3</v>
      </c>
      <c r="F48" s="134">
        <v>10</v>
      </c>
      <c r="G48" s="134">
        <v>200</v>
      </c>
      <c r="H48" s="109"/>
      <c r="I48" s="109">
        <f t="shared" si="0"/>
        <v>600</v>
      </c>
      <c r="J48" s="110"/>
      <c r="K48" s="110">
        <f t="shared" si="1"/>
        <v>600</v>
      </c>
      <c r="L48" s="120">
        <f t="shared" si="2"/>
        <v>30</v>
      </c>
      <c r="M48" s="113"/>
    </row>
    <row r="49" spans="1:13" s="114" customFormat="1" ht="14.25" customHeight="1" x14ac:dyDescent="0.2">
      <c r="A49" s="106">
        <v>46191</v>
      </c>
      <c r="B49" s="105" t="s">
        <v>1689</v>
      </c>
      <c r="C49" s="105" t="s">
        <v>4706</v>
      </c>
      <c r="D49" s="107" t="s">
        <v>1702</v>
      </c>
      <c r="E49" s="105">
        <v>3</v>
      </c>
      <c r="F49" s="134">
        <v>10</v>
      </c>
      <c r="G49" s="134">
        <v>200</v>
      </c>
      <c r="H49" s="109"/>
      <c r="I49" s="109">
        <f t="shared" si="0"/>
        <v>600</v>
      </c>
      <c r="J49" s="110"/>
      <c r="K49" s="110">
        <f t="shared" si="1"/>
        <v>600</v>
      </c>
      <c r="L49" s="120">
        <f t="shared" si="2"/>
        <v>30</v>
      </c>
      <c r="M49" s="113"/>
    </row>
    <row r="50" spans="1:13" s="114" customFormat="1" ht="14.25" customHeight="1" x14ac:dyDescent="0.2">
      <c r="A50" s="106">
        <v>46191</v>
      </c>
      <c r="B50" s="105" t="s">
        <v>1689</v>
      </c>
      <c r="C50" s="105" t="s">
        <v>4707</v>
      </c>
      <c r="D50" s="107" t="s">
        <v>1702</v>
      </c>
      <c r="E50" s="105">
        <v>1</v>
      </c>
      <c r="F50" s="134">
        <v>10</v>
      </c>
      <c r="G50" s="134">
        <v>200</v>
      </c>
      <c r="H50" s="109"/>
      <c r="I50" s="109">
        <f t="shared" si="0"/>
        <v>200</v>
      </c>
      <c r="J50" s="110"/>
      <c r="K50" s="110">
        <f t="shared" si="1"/>
        <v>200</v>
      </c>
      <c r="L50" s="120">
        <f t="shared" si="2"/>
        <v>10</v>
      </c>
      <c r="M50" s="113"/>
    </row>
    <row r="51" spans="1:13" s="114" customFormat="1" ht="14.25" customHeight="1" x14ac:dyDescent="0.2">
      <c r="A51" s="106">
        <v>46191</v>
      </c>
      <c r="B51" s="105" t="s">
        <v>1689</v>
      </c>
      <c r="C51" s="105" t="s">
        <v>4708</v>
      </c>
      <c r="D51" s="107" t="s">
        <v>1702</v>
      </c>
      <c r="E51" s="105">
        <v>1</v>
      </c>
      <c r="F51" s="134">
        <v>10</v>
      </c>
      <c r="G51" s="134">
        <v>200</v>
      </c>
      <c r="H51" s="109"/>
      <c r="I51" s="109">
        <f t="shared" si="0"/>
        <v>200</v>
      </c>
      <c r="J51" s="110"/>
      <c r="K51" s="110">
        <f t="shared" si="1"/>
        <v>200</v>
      </c>
      <c r="L51" s="120">
        <f t="shared" si="2"/>
        <v>10</v>
      </c>
      <c r="M51" s="113"/>
    </row>
    <row r="52" spans="1:13" s="114" customFormat="1" ht="14.25" customHeight="1" x14ac:dyDescent="0.2">
      <c r="A52" s="106">
        <v>46191</v>
      </c>
      <c r="B52" s="105" t="s">
        <v>1469</v>
      </c>
      <c r="C52" s="105" t="s">
        <v>4709</v>
      </c>
      <c r="D52" s="107" t="s">
        <v>1247</v>
      </c>
      <c r="E52" s="105">
        <v>3</v>
      </c>
      <c r="F52" s="134">
        <v>35.75</v>
      </c>
      <c r="G52" s="134">
        <v>47</v>
      </c>
      <c r="H52" s="109"/>
      <c r="I52" s="109">
        <f t="shared" si="0"/>
        <v>141</v>
      </c>
      <c r="J52" s="110"/>
      <c r="K52" s="110">
        <f t="shared" si="1"/>
        <v>141</v>
      </c>
      <c r="L52" s="120">
        <f t="shared" si="2"/>
        <v>107.25</v>
      </c>
      <c r="M52" s="113"/>
    </row>
    <row r="53" spans="1:13" s="114" customFormat="1" ht="14.25" customHeight="1" x14ac:dyDescent="0.2">
      <c r="A53" s="106">
        <v>46191</v>
      </c>
      <c r="B53" s="105" t="s">
        <v>1456</v>
      </c>
      <c r="C53" s="105" t="s">
        <v>4710</v>
      </c>
      <c r="D53" s="107" t="s">
        <v>21</v>
      </c>
      <c r="E53" s="105">
        <v>5</v>
      </c>
      <c r="F53" s="134">
        <v>148.9</v>
      </c>
      <c r="G53" s="134">
        <v>237</v>
      </c>
      <c r="H53" s="109"/>
      <c r="I53" s="109">
        <f t="shared" si="0"/>
        <v>1185</v>
      </c>
      <c r="J53" s="110"/>
      <c r="K53" s="110">
        <f t="shared" si="1"/>
        <v>1185</v>
      </c>
      <c r="L53" s="120">
        <f t="shared" si="2"/>
        <v>744.5</v>
      </c>
      <c r="M53" s="113"/>
    </row>
    <row r="54" spans="1:13" s="114" customFormat="1" ht="14.25" customHeight="1" x14ac:dyDescent="0.2">
      <c r="A54" s="106">
        <v>46191</v>
      </c>
      <c r="B54" s="105" t="s">
        <v>1475</v>
      </c>
      <c r="C54" s="105" t="s">
        <v>4711</v>
      </c>
      <c r="D54" s="107" t="s">
        <v>20</v>
      </c>
      <c r="E54" s="105">
        <v>2</v>
      </c>
      <c r="F54" s="134">
        <v>84</v>
      </c>
      <c r="G54" s="134">
        <v>157</v>
      </c>
      <c r="H54" s="109">
        <v>314</v>
      </c>
      <c r="I54" s="109"/>
      <c r="J54" s="110"/>
      <c r="K54" s="110">
        <f t="shared" si="1"/>
        <v>314</v>
      </c>
      <c r="L54" s="120">
        <f t="shared" si="2"/>
        <v>168</v>
      </c>
      <c r="M54" s="113"/>
    </row>
    <row r="55" spans="1:13" s="114" customFormat="1" ht="14.25" customHeight="1" x14ac:dyDescent="0.2">
      <c r="A55" s="106">
        <v>46191</v>
      </c>
      <c r="B55" s="105" t="s">
        <v>4698</v>
      </c>
      <c r="C55" s="105" t="s">
        <v>4711</v>
      </c>
      <c r="D55" s="107" t="s">
        <v>4713</v>
      </c>
      <c r="E55" s="105">
        <v>1</v>
      </c>
      <c r="F55" s="134">
        <v>60</v>
      </c>
      <c r="G55" s="134">
        <v>78</v>
      </c>
      <c r="H55" s="109">
        <v>78</v>
      </c>
      <c r="I55" s="109"/>
      <c r="J55" s="110"/>
      <c r="K55" s="110">
        <f t="shared" si="1"/>
        <v>78</v>
      </c>
      <c r="L55" s="120">
        <f t="shared" si="2"/>
        <v>60</v>
      </c>
      <c r="M55" s="113"/>
    </row>
    <row r="56" spans="1:13" s="114" customFormat="1" ht="14.25" customHeight="1" x14ac:dyDescent="0.2">
      <c r="A56" s="106">
        <v>46191</v>
      </c>
      <c r="B56" s="105" t="s">
        <v>1518</v>
      </c>
      <c r="C56" s="105" t="s">
        <v>4711</v>
      </c>
      <c r="D56" s="107" t="s">
        <v>1262</v>
      </c>
      <c r="E56" s="105">
        <v>2</v>
      </c>
      <c r="F56" s="134">
        <v>12</v>
      </c>
      <c r="G56" s="134">
        <v>15.75</v>
      </c>
      <c r="H56" s="109">
        <v>31.5</v>
      </c>
      <c r="I56" s="109"/>
      <c r="J56" s="110"/>
      <c r="K56" s="110">
        <f t="shared" si="1"/>
        <v>31.5</v>
      </c>
      <c r="L56" s="120">
        <f t="shared" si="2"/>
        <v>24</v>
      </c>
      <c r="M56" s="113"/>
    </row>
    <row r="57" spans="1:13" s="114" customFormat="1" ht="14.25" customHeight="1" x14ac:dyDescent="0.2">
      <c r="A57" s="106">
        <v>46191</v>
      </c>
      <c r="B57" s="105" t="s">
        <v>1453</v>
      </c>
      <c r="C57" s="105" t="s">
        <v>4712</v>
      </c>
      <c r="D57" s="107" t="s">
        <v>26</v>
      </c>
      <c r="E57" s="105">
        <v>1</v>
      </c>
      <c r="F57" s="134">
        <v>167.8</v>
      </c>
      <c r="G57" s="134">
        <v>360</v>
      </c>
      <c r="H57" s="109">
        <v>360</v>
      </c>
      <c r="I57" s="109"/>
      <c r="J57" s="110"/>
      <c r="K57" s="110">
        <f t="shared" si="1"/>
        <v>360</v>
      </c>
      <c r="L57" s="120">
        <f t="shared" si="2"/>
        <v>167.8</v>
      </c>
      <c r="M57" s="113"/>
    </row>
    <row r="58" spans="1:13" s="114" customFormat="1" ht="14.25" customHeight="1" x14ac:dyDescent="0.2">
      <c r="A58" s="106">
        <v>46192</v>
      </c>
      <c r="B58" s="105" t="s">
        <v>1460</v>
      </c>
      <c r="C58" s="105" t="s">
        <v>4756</v>
      </c>
      <c r="D58" s="107" t="s">
        <v>24</v>
      </c>
      <c r="E58" s="105">
        <v>10</v>
      </c>
      <c r="F58" s="134">
        <v>2.7</v>
      </c>
      <c r="G58" s="134">
        <v>8</v>
      </c>
      <c r="H58" s="109">
        <v>80</v>
      </c>
      <c r="I58" s="109"/>
      <c r="J58" s="110"/>
      <c r="K58" s="110">
        <f t="shared" si="1"/>
        <v>80</v>
      </c>
      <c r="L58" s="120">
        <f t="shared" si="2"/>
        <v>27</v>
      </c>
      <c r="M58" s="113"/>
    </row>
    <row r="59" spans="1:13" s="114" customFormat="1" ht="14.25" customHeight="1" x14ac:dyDescent="0.2">
      <c r="A59" s="106">
        <v>46192</v>
      </c>
      <c r="B59" s="105" t="s">
        <v>1476</v>
      </c>
      <c r="C59" s="105" t="s">
        <v>4756</v>
      </c>
      <c r="D59" s="107" t="s">
        <v>1478</v>
      </c>
      <c r="E59" s="105">
        <v>1</v>
      </c>
      <c r="F59" s="134">
        <v>130</v>
      </c>
      <c r="G59" s="134">
        <v>169</v>
      </c>
      <c r="H59" s="109">
        <v>169</v>
      </c>
      <c r="I59" s="109"/>
      <c r="J59" s="110"/>
      <c r="K59" s="110">
        <f t="shared" si="1"/>
        <v>169</v>
      </c>
      <c r="L59" s="120">
        <f t="shared" si="2"/>
        <v>130</v>
      </c>
      <c r="M59" s="113"/>
    </row>
    <row r="60" spans="1:13" s="114" customFormat="1" ht="14.25" customHeight="1" x14ac:dyDescent="0.2">
      <c r="A60" s="106">
        <v>46192</v>
      </c>
      <c r="B60" s="105" t="s">
        <v>1615</v>
      </c>
      <c r="C60" s="105" t="s">
        <v>4757</v>
      </c>
      <c r="D60" s="107" t="s">
        <v>1618</v>
      </c>
      <c r="E60" s="105">
        <v>1</v>
      </c>
      <c r="F60" s="134">
        <v>21.5</v>
      </c>
      <c r="G60" s="134">
        <v>30</v>
      </c>
      <c r="H60" s="109">
        <v>30</v>
      </c>
      <c r="I60" s="109"/>
      <c r="J60" s="110"/>
      <c r="K60" s="110">
        <f t="shared" si="1"/>
        <v>30</v>
      </c>
      <c r="L60" s="120">
        <f t="shared" si="2"/>
        <v>21.5</v>
      </c>
      <c r="M60" s="113"/>
    </row>
    <row r="61" spans="1:13" s="114" customFormat="1" ht="14.25" customHeight="1" x14ac:dyDescent="0.2">
      <c r="A61" s="106">
        <v>46192</v>
      </c>
      <c r="B61" s="105" t="s">
        <v>1518</v>
      </c>
      <c r="C61" s="105" t="s">
        <v>4758</v>
      </c>
      <c r="D61" s="107" t="s">
        <v>1262</v>
      </c>
      <c r="E61" s="105">
        <v>2</v>
      </c>
      <c r="F61" s="134">
        <v>12</v>
      </c>
      <c r="G61" s="134">
        <v>15.75</v>
      </c>
      <c r="H61" s="109">
        <v>31.5</v>
      </c>
      <c r="I61" s="109"/>
      <c r="J61" s="110"/>
      <c r="K61" s="110">
        <f t="shared" si="1"/>
        <v>31.5</v>
      </c>
      <c r="L61" s="120">
        <f t="shared" si="2"/>
        <v>24</v>
      </c>
      <c r="M61" s="113"/>
    </row>
    <row r="62" spans="1:13" s="114" customFormat="1" ht="14.25" customHeight="1" x14ac:dyDescent="0.2">
      <c r="A62" s="106">
        <v>46195</v>
      </c>
      <c r="B62" s="105">
        <v>70176</v>
      </c>
      <c r="C62" s="105" t="s">
        <v>4792</v>
      </c>
      <c r="D62" s="107" t="s">
        <v>26</v>
      </c>
      <c r="E62" s="105">
        <v>7</v>
      </c>
      <c r="F62" s="134">
        <v>167.8</v>
      </c>
      <c r="G62" s="134">
        <v>360</v>
      </c>
      <c r="H62" s="109">
        <v>2520</v>
      </c>
      <c r="I62" s="109"/>
      <c r="J62" s="110"/>
      <c r="K62" s="110">
        <f t="shared" si="1"/>
        <v>2520</v>
      </c>
      <c r="L62" s="120">
        <f t="shared" si="2"/>
        <v>1174.6000000000001</v>
      </c>
      <c r="M62" s="113"/>
    </row>
    <row r="63" spans="1:13" s="114" customFormat="1" ht="14.25" customHeight="1" x14ac:dyDescent="0.2">
      <c r="A63" s="106">
        <v>46196</v>
      </c>
      <c r="B63" s="105" t="s">
        <v>1518</v>
      </c>
      <c r="C63" s="105" t="s">
        <v>4876</v>
      </c>
      <c r="D63" s="107" t="s">
        <v>1262</v>
      </c>
      <c r="E63" s="105">
        <v>2</v>
      </c>
      <c r="F63" s="134">
        <v>12</v>
      </c>
      <c r="G63" s="134">
        <v>15.75</v>
      </c>
      <c r="H63" s="109">
        <v>31.5</v>
      </c>
      <c r="I63" s="109"/>
      <c r="J63" s="110"/>
      <c r="K63" s="110">
        <f t="shared" si="1"/>
        <v>31.5</v>
      </c>
      <c r="L63" s="120">
        <f t="shared" si="2"/>
        <v>24</v>
      </c>
      <c r="M63" s="113"/>
    </row>
    <row r="64" spans="1:13" s="114" customFormat="1" ht="14.25" customHeight="1" x14ac:dyDescent="0.2">
      <c r="A64" s="106">
        <v>46196</v>
      </c>
      <c r="B64" s="105" t="s">
        <v>1475</v>
      </c>
      <c r="C64" s="105" t="s">
        <v>4876</v>
      </c>
      <c r="D64" s="107" t="s">
        <v>20</v>
      </c>
      <c r="E64" s="105">
        <v>5</v>
      </c>
      <c r="F64" s="134">
        <v>84</v>
      </c>
      <c r="G64" s="134">
        <v>157</v>
      </c>
      <c r="H64" s="109">
        <v>785</v>
      </c>
      <c r="I64" s="109"/>
      <c r="J64" s="110"/>
      <c r="K64" s="110">
        <f t="shared" si="1"/>
        <v>785</v>
      </c>
      <c r="L64" s="120">
        <f t="shared" si="2"/>
        <v>420</v>
      </c>
      <c r="M64" s="113"/>
    </row>
    <row r="65" spans="1:13" s="114" customFormat="1" ht="14.25" customHeight="1" x14ac:dyDescent="0.2">
      <c r="A65" s="106">
        <v>46196</v>
      </c>
      <c r="B65" s="105" t="s">
        <v>1460</v>
      </c>
      <c r="C65" s="105" t="s">
        <v>4876</v>
      </c>
      <c r="D65" s="107" t="s">
        <v>24</v>
      </c>
      <c r="E65" s="105">
        <v>10</v>
      </c>
      <c r="F65" s="134">
        <v>2.7</v>
      </c>
      <c r="G65" s="134">
        <v>8</v>
      </c>
      <c r="H65" s="109">
        <v>80</v>
      </c>
      <c r="I65" s="109"/>
      <c r="J65" s="110"/>
      <c r="K65" s="110">
        <f t="shared" si="1"/>
        <v>80</v>
      </c>
      <c r="L65" s="120">
        <f t="shared" si="2"/>
        <v>27</v>
      </c>
      <c r="M65" s="113"/>
    </row>
    <row r="66" spans="1:13" s="114" customFormat="1" ht="14.25" customHeight="1" x14ac:dyDescent="0.2">
      <c r="A66" s="106">
        <v>46196</v>
      </c>
      <c r="B66" s="105" t="s">
        <v>1560</v>
      </c>
      <c r="C66" s="105" t="s">
        <v>4876</v>
      </c>
      <c r="D66" s="107" t="s">
        <v>1264</v>
      </c>
      <c r="E66" s="105">
        <v>15</v>
      </c>
      <c r="F66" s="134">
        <v>16</v>
      </c>
      <c r="G66" s="134">
        <v>21</v>
      </c>
      <c r="H66" s="109">
        <v>315</v>
      </c>
      <c r="I66" s="109"/>
      <c r="J66" s="110"/>
      <c r="K66" s="110">
        <f t="shared" si="1"/>
        <v>315</v>
      </c>
      <c r="L66" s="120">
        <f t="shared" si="2"/>
        <v>240</v>
      </c>
      <c r="M66" s="113"/>
    </row>
    <row r="67" spans="1:13" s="114" customFormat="1" x14ac:dyDescent="0.2">
      <c r="A67" s="106">
        <v>46198</v>
      </c>
      <c r="B67" s="105" t="s">
        <v>1455</v>
      </c>
      <c r="C67" s="105" t="s">
        <v>4933</v>
      </c>
      <c r="D67" s="107" t="s">
        <v>25</v>
      </c>
      <c r="E67" s="105">
        <v>6</v>
      </c>
      <c r="F67" s="134">
        <v>115.85</v>
      </c>
      <c r="G67" s="134">
        <v>280</v>
      </c>
      <c r="H67" s="109"/>
      <c r="I67" s="109">
        <f t="shared" si="0"/>
        <v>1680</v>
      </c>
      <c r="J67" s="110"/>
      <c r="K67" s="110">
        <f t="shared" si="1"/>
        <v>1680</v>
      </c>
      <c r="L67" s="120">
        <f t="shared" si="2"/>
        <v>695.09999999999991</v>
      </c>
      <c r="M67" s="113"/>
    </row>
    <row r="68" spans="1:13" s="114" customFormat="1" x14ac:dyDescent="0.2">
      <c r="A68" s="106">
        <v>46198</v>
      </c>
      <c r="B68" s="105" t="s">
        <v>1503</v>
      </c>
      <c r="C68" s="105" t="s">
        <v>4933</v>
      </c>
      <c r="D68" s="107" t="s">
        <v>1344</v>
      </c>
      <c r="E68" s="105">
        <v>4</v>
      </c>
      <c r="F68" s="134">
        <v>167.8</v>
      </c>
      <c r="G68" s="134">
        <v>460</v>
      </c>
      <c r="H68" s="109"/>
      <c r="I68" s="109">
        <f t="shared" si="0"/>
        <v>1840</v>
      </c>
      <c r="J68" s="110"/>
      <c r="K68" s="110">
        <f t="shared" si="1"/>
        <v>1840</v>
      </c>
      <c r="L68" s="120">
        <f t="shared" si="2"/>
        <v>671.2</v>
      </c>
      <c r="M68" s="113"/>
    </row>
    <row r="69" spans="1:13" s="114" customFormat="1" x14ac:dyDescent="0.2">
      <c r="A69" s="106">
        <v>46198</v>
      </c>
      <c r="B69" s="105" t="s">
        <v>1514</v>
      </c>
      <c r="C69" s="105" t="s">
        <v>4933</v>
      </c>
      <c r="D69" s="107" t="s">
        <v>1343</v>
      </c>
      <c r="E69" s="105">
        <v>3</v>
      </c>
      <c r="F69" s="134">
        <v>88</v>
      </c>
      <c r="G69" s="134">
        <v>280</v>
      </c>
      <c r="H69" s="109"/>
      <c r="I69" s="109">
        <f t="shared" si="0"/>
        <v>840</v>
      </c>
      <c r="J69" s="110"/>
      <c r="K69" s="110">
        <f t="shared" si="1"/>
        <v>840</v>
      </c>
      <c r="L69" s="120">
        <f t="shared" si="2"/>
        <v>264</v>
      </c>
      <c r="M69" s="113"/>
    </row>
    <row r="70" spans="1:13" s="114" customFormat="1" x14ac:dyDescent="0.2">
      <c r="A70" s="106">
        <v>46198</v>
      </c>
      <c r="B70" s="105" t="s">
        <v>1453</v>
      </c>
      <c r="C70" s="105" t="s">
        <v>4934</v>
      </c>
      <c r="D70" s="107" t="s">
        <v>26</v>
      </c>
      <c r="E70" s="105">
        <v>3</v>
      </c>
      <c r="F70" s="134">
        <v>167.8</v>
      </c>
      <c r="G70" s="134">
        <v>360</v>
      </c>
      <c r="H70" s="109"/>
      <c r="I70" s="109">
        <f t="shared" ref="I70:I91" si="3">E70*G70</f>
        <v>1080</v>
      </c>
      <c r="J70" s="110"/>
      <c r="K70" s="110">
        <f t="shared" si="1"/>
        <v>1080</v>
      </c>
      <c r="L70" s="120">
        <f t="shared" si="2"/>
        <v>503.40000000000003</v>
      </c>
      <c r="M70" s="113"/>
    </row>
    <row r="71" spans="1:13" s="114" customFormat="1" x14ac:dyDescent="0.2">
      <c r="A71" s="106">
        <v>46198</v>
      </c>
      <c r="B71" s="105" t="s">
        <v>1503</v>
      </c>
      <c r="C71" s="105" t="s">
        <v>4934</v>
      </c>
      <c r="D71" s="107" t="s">
        <v>1344</v>
      </c>
      <c r="E71" s="105">
        <v>1</v>
      </c>
      <c r="F71" s="134">
        <v>167.8</v>
      </c>
      <c r="G71" s="134">
        <v>460</v>
      </c>
      <c r="H71" s="109"/>
      <c r="I71" s="109">
        <f t="shared" si="3"/>
        <v>460</v>
      </c>
      <c r="J71" s="110"/>
      <c r="K71" s="110">
        <f t="shared" ref="K71:K119" si="4">H71+I71-J71</f>
        <v>460</v>
      </c>
      <c r="L71" s="120">
        <f t="shared" si="2"/>
        <v>167.8</v>
      </c>
      <c r="M71" s="113"/>
    </row>
    <row r="72" spans="1:13" s="114" customFormat="1" x14ac:dyDescent="0.2">
      <c r="A72" s="106">
        <v>46198</v>
      </c>
      <c r="B72" s="105" t="s">
        <v>1455</v>
      </c>
      <c r="C72" s="105" t="s">
        <v>4935</v>
      </c>
      <c r="D72" s="107" t="s">
        <v>25</v>
      </c>
      <c r="E72" s="105">
        <v>2</v>
      </c>
      <c r="F72" s="134">
        <v>115.85</v>
      </c>
      <c r="G72" s="134">
        <v>280</v>
      </c>
      <c r="H72" s="109"/>
      <c r="I72" s="109">
        <f t="shared" si="3"/>
        <v>560</v>
      </c>
      <c r="J72" s="110"/>
      <c r="K72" s="110">
        <f t="shared" si="4"/>
        <v>560</v>
      </c>
      <c r="L72" s="120">
        <f t="shared" ref="L72:L120" si="5">E72*F72</f>
        <v>231.7</v>
      </c>
      <c r="M72" s="113"/>
    </row>
    <row r="73" spans="1:13" s="114" customFormat="1" x14ac:dyDescent="0.2">
      <c r="A73" s="106">
        <v>46198</v>
      </c>
      <c r="B73" s="105" t="s">
        <v>1453</v>
      </c>
      <c r="C73" s="105" t="s">
        <v>4935</v>
      </c>
      <c r="D73" s="107" t="s">
        <v>26</v>
      </c>
      <c r="E73" s="105">
        <v>1</v>
      </c>
      <c r="F73" s="134">
        <v>167.8</v>
      </c>
      <c r="G73" s="134">
        <v>360</v>
      </c>
      <c r="H73" s="109"/>
      <c r="I73" s="109">
        <f t="shared" si="3"/>
        <v>360</v>
      </c>
      <c r="J73" s="110"/>
      <c r="K73" s="110">
        <f t="shared" si="4"/>
        <v>360</v>
      </c>
      <c r="L73" s="120">
        <f t="shared" si="5"/>
        <v>167.8</v>
      </c>
      <c r="M73" s="113"/>
    </row>
    <row r="74" spans="1:13" s="114" customFormat="1" x14ac:dyDescent="0.2">
      <c r="A74" s="106">
        <v>46198</v>
      </c>
      <c r="B74" s="105" t="s">
        <v>1503</v>
      </c>
      <c r="C74" s="105" t="s">
        <v>4935</v>
      </c>
      <c r="D74" s="107" t="s">
        <v>1344</v>
      </c>
      <c r="E74" s="105">
        <v>1</v>
      </c>
      <c r="F74" s="134">
        <v>167.8</v>
      </c>
      <c r="G74" s="134">
        <v>460</v>
      </c>
      <c r="H74" s="109"/>
      <c r="I74" s="109">
        <f t="shared" si="3"/>
        <v>460</v>
      </c>
      <c r="J74" s="110"/>
      <c r="K74" s="110">
        <f t="shared" si="4"/>
        <v>460</v>
      </c>
      <c r="L74" s="120">
        <f t="shared" si="5"/>
        <v>167.8</v>
      </c>
      <c r="M74" s="113"/>
    </row>
    <row r="75" spans="1:13" s="114" customFormat="1" x14ac:dyDescent="0.2">
      <c r="A75" s="106">
        <v>46198</v>
      </c>
      <c r="B75" s="105" t="s">
        <v>1503</v>
      </c>
      <c r="C75" s="105" t="s">
        <v>4936</v>
      </c>
      <c r="D75" s="107" t="s">
        <v>1344</v>
      </c>
      <c r="E75" s="105">
        <v>4</v>
      </c>
      <c r="F75" s="134">
        <v>167.8</v>
      </c>
      <c r="G75" s="134">
        <v>460</v>
      </c>
      <c r="H75" s="109"/>
      <c r="I75" s="109">
        <f t="shared" si="3"/>
        <v>1840</v>
      </c>
      <c r="J75" s="110"/>
      <c r="K75" s="110">
        <f t="shared" si="4"/>
        <v>1840</v>
      </c>
      <c r="L75" s="120">
        <f t="shared" si="5"/>
        <v>671.2</v>
      </c>
      <c r="M75" s="113"/>
    </row>
    <row r="76" spans="1:13" s="114" customFormat="1" x14ac:dyDescent="0.2">
      <c r="A76" s="106">
        <v>46198</v>
      </c>
      <c r="B76" s="105" t="s">
        <v>1453</v>
      </c>
      <c r="C76" s="105" t="s">
        <v>4936</v>
      </c>
      <c r="D76" s="107" t="s">
        <v>26</v>
      </c>
      <c r="E76" s="105">
        <v>5</v>
      </c>
      <c r="F76" s="134">
        <v>167.8</v>
      </c>
      <c r="G76" s="134">
        <v>360</v>
      </c>
      <c r="H76" s="109"/>
      <c r="I76" s="109">
        <f t="shared" si="3"/>
        <v>1800</v>
      </c>
      <c r="J76" s="110"/>
      <c r="K76" s="110">
        <f t="shared" si="4"/>
        <v>1800</v>
      </c>
      <c r="L76" s="120">
        <f t="shared" si="5"/>
        <v>839</v>
      </c>
      <c r="M76" s="113"/>
    </row>
    <row r="77" spans="1:13" s="114" customFormat="1" x14ac:dyDescent="0.2">
      <c r="A77" s="106">
        <v>46198</v>
      </c>
      <c r="B77" s="105" t="s">
        <v>1453</v>
      </c>
      <c r="C77" s="105" t="s">
        <v>4937</v>
      </c>
      <c r="D77" s="107" t="s">
        <v>26</v>
      </c>
      <c r="E77" s="105">
        <v>5</v>
      </c>
      <c r="F77" s="134">
        <v>167.8</v>
      </c>
      <c r="G77" s="134">
        <v>360</v>
      </c>
      <c r="H77" s="109"/>
      <c r="I77" s="109">
        <f t="shared" si="3"/>
        <v>1800</v>
      </c>
      <c r="J77" s="110"/>
      <c r="K77" s="110">
        <f t="shared" si="4"/>
        <v>1800</v>
      </c>
      <c r="L77" s="120">
        <f t="shared" si="5"/>
        <v>839</v>
      </c>
      <c r="M77" s="113"/>
    </row>
    <row r="78" spans="1:13" s="114" customFormat="1" x14ac:dyDescent="0.2">
      <c r="A78" s="106">
        <v>46198</v>
      </c>
      <c r="B78" s="105" t="s">
        <v>1503</v>
      </c>
      <c r="C78" s="105" t="s">
        <v>4937</v>
      </c>
      <c r="D78" s="107" t="s">
        <v>1344</v>
      </c>
      <c r="E78" s="105">
        <v>3</v>
      </c>
      <c r="F78" s="134">
        <v>167.8</v>
      </c>
      <c r="G78" s="134">
        <v>460</v>
      </c>
      <c r="H78" s="109"/>
      <c r="I78" s="109">
        <f t="shared" si="3"/>
        <v>1380</v>
      </c>
      <c r="J78" s="110"/>
      <c r="K78" s="110">
        <f t="shared" si="4"/>
        <v>1380</v>
      </c>
      <c r="L78" s="120">
        <f t="shared" si="5"/>
        <v>503.40000000000003</v>
      </c>
      <c r="M78" s="113"/>
    </row>
    <row r="79" spans="1:13" s="114" customFormat="1" x14ac:dyDescent="0.2">
      <c r="A79" s="106">
        <v>46198</v>
      </c>
      <c r="B79" s="105" t="s">
        <v>1455</v>
      </c>
      <c r="C79" s="105" t="s">
        <v>4937</v>
      </c>
      <c r="D79" s="107" t="s">
        <v>25</v>
      </c>
      <c r="E79" s="105">
        <v>9</v>
      </c>
      <c r="F79" s="134">
        <v>115.85</v>
      </c>
      <c r="G79" s="134">
        <v>280</v>
      </c>
      <c r="H79" s="109"/>
      <c r="I79" s="109">
        <f t="shared" si="3"/>
        <v>2520</v>
      </c>
      <c r="J79" s="110"/>
      <c r="K79" s="110">
        <f t="shared" si="4"/>
        <v>2520</v>
      </c>
      <c r="L79" s="120">
        <f t="shared" si="5"/>
        <v>1042.6499999999999</v>
      </c>
      <c r="M79" s="113"/>
    </row>
    <row r="80" spans="1:13" s="114" customFormat="1" x14ac:dyDescent="0.2">
      <c r="A80" s="106">
        <v>46198</v>
      </c>
      <c r="B80" s="105" t="s">
        <v>1453</v>
      </c>
      <c r="C80" s="105" t="s">
        <v>4938</v>
      </c>
      <c r="D80" s="107" t="s">
        <v>26</v>
      </c>
      <c r="E80" s="105">
        <v>3</v>
      </c>
      <c r="F80" s="134">
        <v>167.8</v>
      </c>
      <c r="G80" s="134">
        <v>360</v>
      </c>
      <c r="H80" s="109"/>
      <c r="I80" s="109">
        <f t="shared" si="3"/>
        <v>1080</v>
      </c>
      <c r="J80" s="110"/>
      <c r="K80" s="110">
        <f t="shared" si="4"/>
        <v>1080</v>
      </c>
      <c r="L80" s="120">
        <f t="shared" si="5"/>
        <v>503.40000000000003</v>
      </c>
      <c r="M80" s="113"/>
    </row>
    <row r="81" spans="1:13" s="114" customFormat="1" x14ac:dyDescent="0.2">
      <c r="A81" s="106">
        <v>46198</v>
      </c>
      <c r="B81" s="105" t="s">
        <v>1455</v>
      </c>
      <c r="C81" s="105" t="s">
        <v>4938</v>
      </c>
      <c r="D81" s="107" t="s">
        <v>25</v>
      </c>
      <c r="E81" s="105">
        <v>1</v>
      </c>
      <c r="F81" s="134">
        <v>115.85</v>
      </c>
      <c r="G81" s="134">
        <v>280</v>
      </c>
      <c r="H81" s="109"/>
      <c r="I81" s="109">
        <f t="shared" si="3"/>
        <v>280</v>
      </c>
      <c r="J81" s="110"/>
      <c r="K81" s="110">
        <f t="shared" si="4"/>
        <v>280</v>
      </c>
      <c r="L81" s="120">
        <f t="shared" si="5"/>
        <v>115.85</v>
      </c>
      <c r="M81" s="113"/>
    </row>
    <row r="82" spans="1:13" s="114" customFormat="1" x14ac:dyDescent="0.2">
      <c r="A82" s="106">
        <v>46198</v>
      </c>
      <c r="B82" s="105" t="s">
        <v>1503</v>
      </c>
      <c r="C82" s="105" t="s">
        <v>4938</v>
      </c>
      <c r="D82" s="107" t="s">
        <v>1344</v>
      </c>
      <c r="E82" s="105">
        <v>2</v>
      </c>
      <c r="F82" s="134">
        <v>167.8</v>
      </c>
      <c r="G82" s="134">
        <v>460</v>
      </c>
      <c r="H82" s="109"/>
      <c r="I82" s="109">
        <f t="shared" si="3"/>
        <v>920</v>
      </c>
      <c r="J82" s="110"/>
      <c r="K82" s="110">
        <f t="shared" si="4"/>
        <v>920</v>
      </c>
      <c r="L82" s="120">
        <f t="shared" si="5"/>
        <v>335.6</v>
      </c>
      <c r="M82" s="113"/>
    </row>
    <row r="83" spans="1:13" s="114" customFormat="1" x14ac:dyDescent="0.2">
      <c r="A83" s="106">
        <v>46198</v>
      </c>
      <c r="B83" s="105" t="s">
        <v>1455</v>
      </c>
      <c r="C83" s="105" t="s">
        <v>4939</v>
      </c>
      <c r="D83" s="107" t="s">
        <v>25</v>
      </c>
      <c r="E83" s="105">
        <v>4</v>
      </c>
      <c r="F83" s="134">
        <v>115.85</v>
      </c>
      <c r="G83" s="134">
        <v>280</v>
      </c>
      <c r="H83" s="109"/>
      <c r="I83" s="109">
        <f t="shared" si="3"/>
        <v>1120</v>
      </c>
      <c r="J83" s="110"/>
      <c r="K83" s="110">
        <f t="shared" si="4"/>
        <v>1120</v>
      </c>
      <c r="L83" s="120">
        <f t="shared" si="5"/>
        <v>463.4</v>
      </c>
      <c r="M83" s="113"/>
    </row>
    <row r="84" spans="1:13" s="114" customFormat="1" x14ac:dyDescent="0.2">
      <c r="A84" s="106">
        <v>46198</v>
      </c>
      <c r="B84" s="105" t="s">
        <v>1514</v>
      </c>
      <c r="C84" s="105" t="s">
        <v>4939</v>
      </c>
      <c r="D84" s="107" t="s">
        <v>1343</v>
      </c>
      <c r="E84" s="105">
        <v>2</v>
      </c>
      <c r="F84" s="134">
        <v>88</v>
      </c>
      <c r="G84" s="134">
        <v>280</v>
      </c>
      <c r="H84" s="109"/>
      <c r="I84" s="109">
        <f t="shared" si="3"/>
        <v>560</v>
      </c>
      <c r="J84" s="110"/>
      <c r="K84" s="110">
        <f t="shared" si="4"/>
        <v>560</v>
      </c>
      <c r="L84" s="120">
        <f t="shared" si="5"/>
        <v>176</v>
      </c>
      <c r="M84" s="113"/>
    </row>
    <row r="85" spans="1:13" s="114" customFormat="1" x14ac:dyDescent="0.2">
      <c r="A85" s="106">
        <v>46198</v>
      </c>
      <c r="B85" s="105" t="s">
        <v>1503</v>
      </c>
      <c r="C85" s="105" t="s">
        <v>4939</v>
      </c>
      <c r="D85" s="107" t="s">
        <v>1344</v>
      </c>
      <c r="E85" s="105">
        <v>2</v>
      </c>
      <c r="F85" s="134">
        <v>167.8</v>
      </c>
      <c r="G85" s="134">
        <v>460</v>
      </c>
      <c r="H85" s="109"/>
      <c r="I85" s="109">
        <f t="shared" si="3"/>
        <v>920</v>
      </c>
      <c r="J85" s="110"/>
      <c r="K85" s="110">
        <f t="shared" si="4"/>
        <v>920</v>
      </c>
      <c r="L85" s="120">
        <f t="shared" si="5"/>
        <v>335.6</v>
      </c>
      <c r="M85" s="113"/>
    </row>
    <row r="86" spans="1:13" s="114" customFormat="1" x14ac:dyDescent="0.2">
      <c r="A86" s="106">
        <v>46198</v>
      </c>
      <c r="B86" s="105" t="s">
        <v>1503</v>
      </c>
      <c r="C86" s="105" t="s">
        <v>4940</v>
      </c>
      <c r="D86" s="107" t="s">
        <v>1344</v>
      </c>
      <c r="E86" s="105">
        <v>3</v>
      </c>
      <c r="F86" s="134">
        <v>167.8</v>
      </c>
      <c r="G86" s="134">
        <v>460</v>
      </c>
      <c r="H86" s="109"/>
      <c r="I86" s="109">
        <f t="shared" si="3"/>
        <v>1380</v>
      </c>
      <c r="J86" s="110"/>
      <c r="K86" s="110">
        <f t="shared" si="4"/>
        <v>1380</v>
      </c>
      <c r="L86" s="120">
        <f t="shared" si="5"/>
        <v>503.40000000000003</v>
      </c>
      <c r="M86" s="113"/>
    </row>
    <row r="87" spans="1:13" s="114" customFormat="1" x14ac:dyDescent="0.2">
      <c r="A87" s="106">
        <v>46198</v>
      </c>
      <c r="B87" s="105" t="s">
        <v>1455</v>
      </c>
      <c r="C87" s="105" t="s">
        <v>4940</v>
      </c>
      <c r="D87" s="107" t="s">
        <v>25</v>
      </c>
      <c r="E87" s="105">
        <v>3</v>
      </c>
      <c r="F87" s="134">
        <v>115.85</v>
      </c>
      <c r="G87" s="134">
        <v>280</v>
      </c>
      <c r="H87" s="109"/>
      <c r="I87" s="109">
        <f t="shared" si="3"/>
        <v>840</v>
      </c>
      <c r="J87" s="110"/>
      <c r="K87" s="110">
        <f t="shared" si="4"/>
        <v>840</v>
      </c>
      <c r="L87" s="120">
        <f t="shared" si="5"/>
        <v>347.54999999999995</v>
      </c>
      <c r="M87" s="113"/>
    </row>
    <row r="88" spans="1:13" s="114" customFormat="1" x14ac:dyDescent="0.2">
      <c r="A88" s="106">
        <v>46198</v>
      </c>
      <c r="B88" s="105" t="s">
        <v>1453</v>
      </c>
      <c r="C88" s="105" t="s">
        <v>4941</v>
      </c>
      <c r="D88" s="107" t="s">
        <v>26</v>
      </c>
      <c r="E88" s="105">
        <v>2</v>
      </c>
      <c r="F88" s="134">
        <v>167.8</v>
      </c>
      <c r="G88" s="134">
        <v>360</v>
      </c>
      <c r="H88" s="109"/>
      <c r="I88" s="109">
        <f t="shared" si="3"/>
        <v>720</v>
      </c>
      <c r="J88" s="110"/>
      <c r="K88" s="110">
        <f t="shared" si="4"/>
        <v>720</v>
      </c>
      <c r="L88" s="120">
        <f t="shared" si="5"/>
        <v>335.6</v>
      </c>
      <c r="M88" s="113"/>
    </row>
    <row r="89" spans="1:13" s="114" customFormat="1" x14ac:dyDescent="0.2">
      <c r="A89" s="106">
        <v>46198</v>
      </c>
      <c r="B89" s="105" t="s">
        <v>1503</v>
      </c>
      <c r="C89" s="105" t="s">
        <v>4941</v>
      </c>
      <c r="D89" s="107" t="s">
        <v>1344</v>
      </c>
      <c r="E89" s="105">
        <v>2</v>
      </c>
      <c r="F89" s="134">
        <v>167.8</v>
      </c>
      <c r="G89" s="134">
        <v>460</v>
      </c>
      <c r="H89" s="109"/>
      <c r="I89" s="109">
        <f t="shared" si="3"/>
        <v>920</v>
      </c>
      <c r="J89" s="110"/>
      <c r="K89" s="110">
        <f t="shared" si="4"/>
        <v>920</v>
      </c>
      <c r="L89" s="120">
        <f t="shared" si="5"/>
        <v>335.6</v>
      </c>
      <c r="M89" s="113"/>
    </row>
    <row r="90" spans="1:13" s="114" customFormat="1" x14ac:dyDescent="0.2">
      <c r="A90" s="106">
        <v>46198</v>
      </c>
      <c r="B90" s="105" t="s">
        <v>1472</v>
      </c>
      <c r="C90" s="105" t="s">
        <v>4942</v>
      </c>
      <c r="D90" s="107" t="s">
        <v>1398</v>
      </c>
      <c r="E90" s="105">
        <v>1</v>
      </c>
      <c r="F90" s="134">
        <v>147.69999999999999</v>
      </c>
      <c r="G90" s="134">
        <v>207</v>
      </c>
      <c r="H90" s="109"/>
      <c r="I90" s="109">
        <f t="shared" si="3"/>
        <v>207</v>
      </c>
      <c r="J90" s="110"/>
      <c r="K90" s="110">
        <f t="shared" si="4"/>
        <v>207</v>
      </c>
      <c r="L90" s="120">
        <f t="shared" si="5"/>
        <v>147.69999999999999</v>
      </c>
      <c r="M90" s="113"/>
    </row>
    <row r="91" spans="1:13" s="114" customFormat="1" x14ac:dyDescent="0.2">
      <c r="A91" s="106">
        <v>46198</v>
      </c>
      <c r="B91" s="105" t="s">
        <v>1553</v>
      </c>
      <c r="C91" s="105" t="s">
        <v>4942</v>
      </c>
      <c r="D91" s="107" t="s">
        <v>1263</v>
      </c>
      <c r="E91" s="105">
        <v>1</v>
      </c>
      <c r="F91" s="134">
        <v>24</v>
      </c>
      <c r="G91" s="134">
        <v>31.25</v>
      </c>
      <c r="H91" s="109"/>
      <c r="I91" s="109">
        <f t="shared" si="3"/>
        <v>31.25</v>
      </c>
      <c r="J91" s="110"/>
      <c r="K91" s="110">
        <f t="shared" si="4"/>
        <v>31.25</v>
      </c>
      <c r="L91" s="120">
        <f t="shared" si="5"/>
        <v>24</v>
      </c>
      <c r="M91" s="113"/>
    </row>
    <row r="92" spans="1:13" s="114" customFormat="1" x14ac:dyDescent="0.2">
      <c r="A92" s="106">
        <v>46198</v>
      </c>
      <c r="B92" s="105" t="s">
        <v>1469</v>
      </c>
      <c r="C92" s="105" t="s">
        <v>4943</v>
      </c>
      <c r="D92" s="107" t="s">
        <v>1247</v>
      </c>
      <c r="E92" s="105">
        <v>2</v>
      </c>
      <c r="F92" s="134">
        <v>35.75</v>
      </c>
      <c r="G92" s="134">
        <v>47</v>
      </c>
      <c r="H92" s="109">
        <v>94</v>
      </c>
      <c r="I92" s="109"/>
      <c r="J92" s="110"/>
      <c r="K92" s="110">
        <f t="shared" si="4"/>
        <v>94</v>
      </c>
      <c r="L92" s="120">
        <f t="shared" si="5"/>
        <v>71.5</v>
      </c>
      <c r="M92" s="113"/>
    </row>
    <row r="93" spans="1:13" s="114" customFormat="1" x14ac:dyDescent="0.2">
      <c r="A93" s="106">
        <v>46198</v>
      </c>
      <c r="B93" s="105" t="s">
        <v>1468</v>
      </c>
      <c r="C93" s="105" t="s">
        <v>4944</v>
      </c>
      <c r="D93" s="107" t="s">
        <v>1251</v>
      </c>
      <c r="E93" s="105">
        <v>1</v>
      </c>
      <c r="F93" s="134">
        <v>60</v>
      </c>
      <c r="G93" s="134">
        <v>78</v>
      </c>
      <c r="H93" s="109">
        <v>78</v>
      </c>
      <c r="I93" s="109"/>
      <c r="J93" s="110"/>
      <c r="K93" s="110">
        <f t="shared" si="4"/>
        <v>78</v>
      </c>
      <c r="L93" s="120">
        <f t="shared" si="5"/>
        <v>60</v>
      </c>
      <c r="M93" s="113"/>
    </row>
    <row r="94" spans="1:13" s="114" customFormat="1" x14ac:dyDescent="0.2">
      <c r="A94" s="106">
        <v>46199</v>
      </c>
      <c r="B94" s="105" t="s">
        <v>1453</v>
      </c>
      <c r="C94" s="105" t="s">
        <v>4992</v>
      </c>
      <c r="D94" s="107" t="s">
        <v>26</v>
      </c>
      <c r="E94" s="105">
        <v>3</v>
      </c>
      <c r="F94" s="134">
        <v>167.8</v>
      </c>
      <c r="G94" s="134">
        <v>360</v>
      </c>
      <c r="H94" s="109"/>
      <c r="I94" s="109">
        <f t="shared" ref="I94:I118" si="6">E94*G94</f>
        <v>1080</v>
      </c>
      <c r="J94" s="110"/>
      <c r="K94" s="110">
        <f t="shared" si="4"/>
        <v>1080</v>
      </c>
      <c r="L94" s="120">
        <f t="shared" si="5"/>
        <v>503.40000000000003</v>
      </c>
      <c r="M94" s="113"/>
    </row>
    <row r="95" spans="1:13" s="114" customFormat="1" x14ac:dyDescent="0.2">
      <c r="A95" s="106">
        <v>46199</v>
      </c>
      <c r="B95" s="105" t="s">
        <v>1455</v>
      </c>
      <c r="C95" s="105" t="s">
        <v>4992</v>
      </c>
      <c r="D95" s="107" t="s">
        <v>25</v>
      </c>
      <c r="E95" s="105">
        <v>5</v>
      </c>
      <c r="F95" s="134">
        <v>115.85</v>
      </c>
      <c r="G95" s="134">
        <v>280</v>
      </c>
      <c r="H95" s="109"/>
      <c r="I95" s="109">
        <f t="shared" si="6"/>
        <v>1400</v>
      </c>
      <c r="J95" s="110"/>
      <c r="K95" s="110">
        <f t="shared" si="4"/>
        <v>1400</v>
      </c>
      <c r="L95" s="120">
        <f t="shared" si="5"/>
        <v>579.25</v>
      </c>
      <c r="M95" s="113"/>
    </row>
    <row r="96" spans="1:13" s="114" customFormat="1" x14ac:dyDescent="0.2">
      <c r="A96" s="106">
        <v>46199</v>
      </c>
      <c r="B96" s="105" t="s">
        <v>1503</v>
      </c>
      <c r="C96" s="105" t="s">
        <v>4992</v>
      </c>
      <c r="D96" s="107" t="s">
        <v>1344</v>
      </c>
      <c r="E96" s="105">
        <v>2</v>
      </c>
      <c r="F96" s="134">
        <v>167.8</v>
      </c>
      <c r="G96" s="134">
        <v>460</v>
      </c>
      <c r="H96" s="109"/>
      <c r="I96" s="109">
        <f t="shared" si="6"/>
        <v>920</v>
      </c>
      <c r="J96" s="110"/>
      <c r="K96" s="110">
        <f t="shared" si="4"/>
        <v>920</v>
      </c>
      <c r="L96" s="120">
        <f t="shared" si="5"/>
        <v>335.6</v>
      </c>
      <c r="M96" s="113"/>
    </row>
    <row r="97" spans="1:13" s="114" customFormat="1" x14ac:dyDescent="0.2">
      <c r="A97" s="106">
        <v>46199</v>
      </c>
      <c r="B97" s="105" t="s">
        <v>4990</v>
      </c>
      <c r="C97" s="105" t="s">
        <v>4993</v>
      </c>
      <c r="D97" s="107" t="s">
        <v>4995</v>
      </c>
      <c r="E97" s="105">
        <v>50</v>
      </c>
      <c r="F97" s="134">
        <v>40</v>
      </c>
      <c r="G97" s="134">
        <v>60</v>
      </c>
      <c r="H97" s="109"/>
      <c r="I97" s="109">
        <f t="shared" si="6"/>
        <v>3000</v>
      </c>
      <c r="J97" s="110"/>
      <c r="K97" s="110">
        <f t="shared" si="4"/>
        <v>3000</v>
      </c>
      <c r="L97" s="120">
        <f t="shared" si="5"/>
        <v>2000</v>
      </c>
      <c r="M97" s="113"/>
    </row>
    <row r="98" spans="1:13" s="114" customFormat="1" x14ac:dyDescent="0.2">
      <c r="A98" s="106">
        <v>46199</v>
      </c>
      <c r="B98" s="105" t="s">
        <v>1489</v>
      </c>
      <c r="C98" s="105" t="s">
        <v>4994</v>
      </c>
      <c r="D98" s="107" t="s">
        <v>29</v>
      </c>
      <c r="E98" s="105">
        <v>1</v>
      </c>
      <c r="F98" s="134">
        <v>21.5</v>
      </c>
      <c r="G98" s="134">
        <v>30</v>
      </c>
      <c r="H98" s="109"/>
      <c r="I98" s="109">
        <f t="shared" si="6"/>
        <v>30</v>
      </c>
      <c r="J98" s="110"/>
      <c r="K98" s="110">
        <f t="shared" si="4"/>
        <v>30</v>
      </c>
      <c r="L98" s="120">
        <f t="shared" si="5"/>
        <v>21.5</v>
      </c>
      <c r="M98" s="113"/>
    </row>
    <row r="99" spans="1:13" s="114" customFormat="1" x14ac:dyDescent="0.2">
      <c r="A99" s="106">
        <v>46199</v>
      </c>
      <c r="B99" s="105" t="s">
        <v>4991</v>
      </c>
      <c r="C99" s="105" t="s">
        <v>4994</v>
      </c>
      <c r="D99" s="107" t="s">
        <v>4996</v>
      </c>
      <c r="E99" s="105">
        <v>11</v>
      </c>
      <c r="F99" s="134">
        <v>23</v>
      </c>
      <c r="G99" s="134">
        <v>30</v>
      </c>
      <c r="H99" s="109"/>
      <c r="I99" s="109">
        <f t="shared" si="6"/>
        <v>330</v>
      </c>
      <c r="J99" s="110"/>
      <c r="K99" s="110">
        <f t="shared" si="4"/>
        <v>330</v>
      </c>
      <c r="L99" s="120">
        <f t="shared" si="5"/>
        <v>253</v>
      </c>
      <c r="M99" s="113"/>
    </row>
    <row r="100" spans="1:13" s="114" customFormat="1" x14ac:dyDescent="0.2">
      <c r="A100" s="106">
        <v>46203</v>
      </c>
      <c r="B100" s="105" t="s">
        <v>1689</v>
      </c>
      <c r="C100" s="105" t="s">
        <v>5100</v>
      </c>
      <c r="D100" s="107" t="s">
        <v>1702</v>
      </c>
      <c r="E100" s="105">
        <v>6</v>
      </c>
      <c r="F100" s="134">
        <v>10</v>
      </c>
      <c r="G100" s="134">
        <v>200</v>
      </c>
      <c r="H100" s="109"/>
      <c r="I100" s="109">
        <f t="shared" si="6"/>
        <v>1200</v>
      </c>
      <c r="J100" s="110"/>
      <c r="K100" s="110">
        <f t="shared" si="4"/>
        <v>1200</v>
      </c>
      <c r="L100" s="120">
        <f t="shared" si="5"/>
        <v>60</v>
      </c>
      <c r="M100" s="113"/>
    </row>
    <row r="101" spans="1:13" s="114" customFormat="1" x14ac:dyDescent="0.2">
      <c r="A101" s="106">
        <v>46203</v>
      </c>
      <c r="B101" s="105" t="s">
        <v>1689</v>
      </c>
      <c r="C101" s="105" t="s">
        <v>5101</v>
      </c>
      <c r="D101" s="107" t="s">
        <v>1702</v>
      </c>
      <c r="E101" s="105">
        <v>4</v>
      </c>
      <c r="F101" s="134">
        <v>10</v>
      </c>
      <c r="G101" s="134">
        <v>200</v>
      </c>
      <c r="H101" s="109"/>
      <c r="I101" s="109">
        <f t="shared" si="6"/>
        <v>800</v>
      </c>
      <c r="J101" s="110"/>
      <c r="K101" s="110">
        <f t="shared" si="4"/>
        <v>800</v>
      </c>
      <c r="L101" s="120">
        <f t="shared" si="5"/>
        <v>40</v>
      </c>
      <c r="M101" s="113"/>
    </row>
    <row r="102" spans="1:13" s="114" customFormat="1" x14ac:dyDescent="0.2">
      <c r="A102" s="106">
        <v>46203</v>
      </c>
      <c r="B102" s="105" t="s">
        <v>1689</v>
      </c>
      <c r="C102" s="105" t="s">
        <v>5102</v>
      </c>
      <c r="D102" s="107" t="s">
        <v>1702</v>
      </c>
      <c r="E102" s="105">
        <v>1</v>
      </c>
      <c r="F102" s="134">
        <v>10</v>
      </c>
      <c r="G102" s="134">
        <v>200</v>
      </c>
      <c r="H102" s="109"/>
      <c r="I102" s="109">
        <f t="shared" si="6"/>
        <v>200</v>
      </c>
      <c r="J102" s="110"/>
      <c r="K102" s="110">
        <f t="shared" si="4"/>
        <v>200</v>
      </c>
      <c r="L102" s="120">
        <f t="shared" si="5"/>
        <v>10</v>
      </c>
      <c r="M102" s="113"/>
    </row>
    <row r="103" spans="1:13" s="114" customFormat="1" x14ac:dyDescent="0.2">
      <c r="A103" s="106">
        <v>46203</v>
      </c>
      <c r="B103" s="105" t="s">
        <v>1689</v>
      </c>
      <c r="C103" s="105" t="s">
        <v>5103</v>
      </c>
      <c r="D103" s="107" t="s">
        <v>1702</v>
      </c>
      <c r="E103" s="105">
        <v>1</v>
      </c>
      <c r="F103" s="134">
        <v>10</v>
      </c>
      <c r="G103" s="134">
        <v>200</v>
      </c>
      <c r="H103" s="109"/>
      <c r="I103" s="109">
        <f t="shared" si="6"/>
        <v>200</v>
      </c>
      <c r="J103" s="110"/>
      <c r="K103" s="110">
        <f t="shared" si="4"/>
        <v>200</v>
      </c>
      <c r="L103" s="120">
        <f t="shared" si="5"/>
        <v>10</v>
      </c>
      <c r="M103" s="113"/>
    </row>
    <row r="104" spans="1:13" s="114" customFormat="1" x14ac:dyDescent="0.2">
      <c r="A104" s="106">
        <v>46203</v>
      </c>
      <c r="B104" s="105" t="s">
        <v>1503</v>
      </c>
      <c r="C104" s="105" t="s">
        <v>5104</v>
      </c>
      <c r="D104" s="107" t="s">
        <v>1344</v>
      </c>
      <c r="E104" s="105">
        <v>1</v>
      </c>
      <c r="F104" s="134">
        <v>167.8</v>
      </c>
      <c r="G104" s="134">
        <v>460</v>
      </c>
      <c r="H104" s="109"/>
      <c r="I104" s="109">
        <f t="shared" si="6"/>
        <v>460</v>
      </c>
      <c r="J104" s="110"/>
      <c r="K104" s="110">
        <f t="shared" si="4"/>
        <v>460</v>
      </c>
      <c r="L104" s="120">
        <f t="shared" si="5"/>
        <v>167.8</v>
      </c>
      <c r="M104" s="113"/>
    </row>
    <row r="105" spans="1:13" s="114" customFormat="1" x14ac:dyDescent="0.2">
      <c r="A105" s="106">
        <v>46203</v>
      </c>
      <c r="B105" s="105" t="s">
        <v>1455</v>
      </c>
      <c r="C105" s="105" t="s">
        <v>5104</v>
      </c>
      <c r="D105" s="107" t="s">
        <v>25</v>
      </c>
      <c r="E105" s="105">
        <v>1</v>
      </c>
      <c r="F105" s="134">
        <v>115.85</v>
      </c>
      <c r="G105" s="134">
        <v>280</v>
      </c>
      <c r="H105" s="109"/>
      <c r="I105" s="109">
        <f t="shared" si="6"/>
        <v>280</v>
      </c>
      <c r="J105" s="110"/>
      <c r="K105" s="110">
        <f t="shared" si="4"/>
        <v>280</v>
      </c>
      <c r="L105" s="120">
        <f t="shared" si="5"/>
        <v>115.85</v>
      </c>
      <c r="M105" s="113"/>
    </row>
    <row r="106" spans="1:13" s="114" customFormat="1" x14ac:dyDescent="0.2">
      <c r="A106" s="106">
        <v>46203</v>
      </c>
      <c r="B106" s="105" t="s">
        <v>1453</v>
      </c>
      <c r="C106" s="105" t="s">
        <v>5104</v>
      </c>
      <c r="D106" s="107" t="s">
        <v>26</v>
      </c>
      <c r="E106" s="105">
        <v>1</v>
      </c>
      <c r="F106" s="134">
        <v>167.8</v>
      </c>
      <c r="G106" s="134">
        <v>360</v>
      </c>
      <c r="H106" s="109"/>
      <c r="I106" s="109">
        <f t="shared" si="6"/>
        <v>360</v>
      </c>
      <c r="J106" s="110"/>
      <c r="K106" s="110">
        <f t="shared" si="4"/>
        <v>360</v>
      </c>
      <c r="L106" s="120">
        <f t="shared" si="5"/>
        <v>167.8</v>
      </c>
      <c r="M106" s="113"/>
    </row>
    <row r="107" spans="1:13" s="114" customFormat="1" x14ac:dyDescent="0.2">
      <c r="A107" s="106">
        <v>46203</v>
      </c>
      <c r="B107" s="105" t="s">
        <v>5099</v>
      </c>
      <c r="C107" s="105" t="s">
        <v>5105</v>
      </c>
      <c r="D107" s="107" t="s">
        <v>5109</v>
      </c>
      <c r="E107" s="105">
        <v>2</v>
      </c>
      <c r="F107" s="134">
        <v>500</v>
      </c>
      <c r="G107" s="134">
        <v>650</v>
      </c>
      <c r="H107" s="109"/>
      <c r="I107" s="109">
        <f t="shared" si="6"/>
        <v>1300</v>
      </c>
      <c r="J107" s="110"/>
      <c r="K107" s="110">
        <f t="shared" si="4"/>
        <v>1300</v>
      </c>
      <c r="L107" s="120">
        <f t="shared" si="5"/>
        <v>1000</v>
      </c>
      <c r="M107" s="113"/>
    </row>
    <row r="108" spans="1:13" s="114" customFormat="1" x14ac:dyDescent="0.2">
      <c r="A108" s="106">
        <v>46203</v>
      </c>
      <c r="B108" s="105" t="s">
        <v>1518</v>
      </c>
      <c r="C108" s="105" t="s">
        <v>5105</v>
      </c>
      <c r="D108" s="107" t="s">
        <v>1262</v>
      </c>
      <c r="E108" s="105">
        <v>10</v>
      </c>
      <c r="F108" s="134">
        <v>12</v>
      </c>
      <c r="G108" s="134">
        <v>15.75</v>
      </c>
      <c r="H108" s="109"/>
      <c r="I108" s="109">
        <f t="shared" si="6"/>
        <v>157.5</v>
      </c>
      <c r="J108" s="110"/>
      <c r="K108" s="110">
        <f t="shared" si="4"/>
        <v>157.5</v>
      </c>
      <c r="L108" s="120">
        <f t="shared" si="5"/>
        <v>120</v>
      </c>
      <c r="M108" s="113"/>
    </row>
    <row r="109" spans="1:13" s="114" customFormat="1" x14ac:dyDescent="0.2">
      <c r="A109" s="106">
        <v>46203</v>
      </c>
      <c r="B109" s="105" t="s">
        <v>1506</v>
      </c>
      <c r="C109" s="105" t="s">
        <v>5105</v>
      </c>
      <c r="D109" s="107" t="s">
        <v>1261</v>
      </c>
      <c r="E109" s="105">
        <v>2</v>
      </c>
      <c r="F109" s="134">
        <v>115</v>
      </c>
      <c r="G109" s="134">
        <v>149.5</v>
      </c>
      <c r="H109" s="109"/>
      <c r="I109" s="109">
        <f t="shared" si="6"/>
        <v>299</v>
      </c>
      <c r="J109" s="110"/>
      <c r="K109" s="110">
        <f t="shared" si="4"/>
        <v>299</v>
      </c>
      <c r="L109" s="120">
        <f t="shared" si="5"/>
        <v>230</v>
      </c>
      <c r="M109" s="113"/>
    </row>
    <row r="110" spans="1:13" s="114" customFormat="1" x14ac:dyDescent="0.2">
      <c r="A110" s="106">
        <v>46203</v>
      </c>
      <c r="B110" s="105" t="s">
        <v>1689</v>
      </c>
      <c r="C110" s="105" t="s">
        <v>5106</v>
      </c>
      <c r="D110" s="107" t="s">
        <v>1702</v>
      </c>
      <c r="E110" s="105">
        <v>2</v>
      </c>
      <c r="F110" s="134">
        <v>10</v>
      </c>
      <c r="G110" s="134">
        <v>200</v>
      </c>
      <c r="H110" s="109"/>
      <c r="I110" s="109">
        <f t="shared" si="6"/>
        <v>400</v>
      </c>
      <c r="J110" s="110"/>
      <c r="K110" s="110">
        <f t="shared" si="4"/>
        <v>400</v>
      </c>
      <c r="L110" s="120">
        <f t="shared" si="5"/>
        <v>20</v>
      </c>
      <c r="M110" s="113"/>
    </row>
    <row r="111" spans="1:13" s="114" customFormat="1" x14ac:dyDescent="0.2">
      <c r="A111" s="106">
        <v>46203</v>
      </c>
      <c r="B111" s="105" t="s">
        <v>1689</v>
      </c>
      <c r="C111" s="105" t="s">
        <v>5107</v>
      </c>
      <c r="D111" s="107" t="s">
        <v>1702</v>
      </c>
      <c r="E111" s="105">
        <v>1</v>
      </c>
      <c r="F111" s="134">
        <v>10</v>
      </c>
      <c r="G111" s="134">
        <v>200</v>
      </c>
      <c r="H111" s="109"/>
      <c r="I111" s="109">
        <f t="shared" si="6"/>
        <v>200</v>
      </c>
      <c r="J111" s="110"/>
      <c r="K111" s="110">
        <f t="shared" si="4"/>
        <v>200</v>
      </c>
      <c r="L111" s="120">
        <f t="shared" si="5"/>
        <v>10</v>
      </c>
      <c r="M111" s="113"/>
    </row>
    <row r="112" spans="1:13" s="114" customFormat="1" x14ac:dyDescent="0.2">
      <c r="A112" s="106">
        <v>46203</v>
      </c>
      <c r="B112" s="105" t="s">
        <v>1458</v>
      </c>
      <c r="C112" s="105" t="s">
        <v>5108</v>
      </c>
      <c r="D112" s="107" t="s">
        <v>22</v>
      </c>
      <c r="E112" s="105">
        <v>10</v>
      </c>
      <c r="F112" s="134">
        <v>126</v>
      </c>
      <c r="G112" s="134">
        <v>201</v>
      </c>
      <c r="H112" s="109"/>
      <c r="I112" s="109">
        <f t="shared" si="6"/>
        <v>2010</v>
      </c>
      <c r="J112" s="110"/>
      <c r="K112" s="110">
        <f t="shared" si="4"/>
        <v>2010</v>
      </c>
      <c r="L112" s="120">
        <f t="shared" si="5"/>
        <v>1260</v>
      </c>
      <c r="M112" s="113"/>
    </row>
    <row r="113" spans="1:13" s="114" customFormat="1" hidden="1" x14ac:dyDescent="0.2">
      <c r="A113" s="106"/>
      <c r="B113" s="105"/>
      <c r="C113" s="105"/>
      <c r="D113" s="107"/>
      <c r="E113" s="105"/>
      <c r="F113" s="158"/>
      <c r="G113" s="158"/>
      <c r="H113" s="109">
        <f t="shared" ref="H113:H123" si="7">E113*G113</f>
        <v>0</v>
      </c>
      <c r="I113" s="109">
        <f t="shared" si="6"/>
        <v>0</v>
      </c>
      <c r="J113" s="110"/>
      <c r="K113" s="110">
        <f t="shared" si="4"/>
        <v>0</v>
      </c>
      <c r="L113" s="120">
        <f t="shared" si="5"/>
        <v>0</v>
      </c>
      <c r="M113" s="113"/>
    </row>
    <row r="114" spans="1:13" s="114" customFormat="1" hidden="1" x14ac:dyDescent="0.2">
      <c r="A114" s="106"/>
      <c r="B114" s="105"/>
      <c r="C114" s="105"/>
      <c r="D114" s="107"/>
      <c r="E114" s="105"/>
      <c r="F114" s="158"/>
      <c r="G114" s="158"/>
      <c r="H114" s="109">
        <f t="shared" si="7"/>
        <v>0</v>
      </c>
      <c r="I114" s="109">
        <f t="shared" si="6"/>
        <v>0</v>
      </c>
      <c r="J114" s="110"/>
      <c r="K114" s="110">
        <f t="shared" si="4"/>
        <v>0</v>
      </c>
      <c r="L114" s="120">
        <f t="shared" si="5"/>
        <v>0</v>
      </c>
      <c r="M114" s="113"/>
    </row>
    <row r="115" spans="1:13" s="114" customFormat="1" hidden="1" x14ac:dyDescent="0.2">
      <c r="A115" s="106"/>
      <c r="B115" s="105"/>
      <c r="C115" s="105"/>
      <c r="D115" s="107"/>
      <c r="E115" s="105"/>
      <c r="F115" s="158"/>
      <c r="G115" s="158"/>
      <c r="H115" s="109">
        <f t="shared" si="7"/>
        <v>0</v>
      </c>
      <c r="I115" s="109">
        <f t="shared" si="6"/>
        <v>0</v>
      </c>
      <c r="J115" s="110"/>
      <c r="K115" s="110">
        <f t="shared" si="4"/>
        <v>0</v>
      </c>
      <c r="L115" s="120">
        <f t="shared" si="5"/>
        <v>0</v>
      </c>
      <c r="M115" s="113"/>
    </row>
    <row r="116" spans="1:13" s="114" customFormat="1" hidden="1" x14ac:dyDescent="0.2">
      <c r="A116" s="106"/>
      <c r="B116" s="105"/>
      <c r="C116" s="105"/>
      <c r="D116" s="107"/>
      <c r="E116" s="105"/>
      <c r="F116" s="158"/>
      <c r="G116" s="158"/>
      <c r="H116" s="109">
        <f t="shared" si="7"/>
        <v>0</v>
      </c>
      <c r="I116" s="109">
        <f t="shared" si="6"/>
        <v>0</v>
      </c>
      <c r="J116" s="110"/>
      <c r="K116" s="110">
        <f t="shared" si="4"/>
        <v>0</v>
      </c>
      <c r="L116" s="120">
        <f t="shared" si="5"/>
        <v>0</v>
      </c>
      <c r="M116" s="113"/>
    </row>
    <row r="117" spans="1:13" s="114" customFormat="1" hidden="1" x14ac:dyDescent="0.2">
      <c r="A117" s="106"/>
      <c r="B117" s="105"/>
      <c r="C117" s="105"/>
      <c r="D117" s="107"/>
      <c r="E117" s="105"/>
      <c r="F117" s="158"/>
      <c r="G117" s="158"/>
      <c r="H117" s="109">
        <f t="shared" si="7"/>
        <v>0</v>
      </c>
      <c r="I117" s="109">
        <f t="shared" si="6"/>
        <v>0</v>
      </c>
      <c r="J117" s="110"/>
      <c r="K117" s="110">
        <f t="shared" si="4"/>
        <v>0</v>
      </c>
      <c r="L117" s="120">
        <f t="shared" si="5"/>
        <v>0</v>
      </c>
      <c r="M117" s="113"/>
    </row>
    <row r="118" spans="1:13" s="114" customFormat="1" hidden="1" x14ac:dyDescent="0.2">
      <c r="A118" s="106"/>
      <c r="B118" s="105"/>
      <c r="C118" s="105"/>
      <c r="D118" s="107"/>
      <c r="E118" s="105"/>
      <c r="F118" s="158"/>
      <c r="G118" s="158"/>
      <c r="H118" s="109">
        <f t="shared" si="7"/>
        <v>0</v>
      </c>
      <c r="I118" s="109">
        <f t="shared" si="6"/>
        <v>0</v>
      </c>
      <c r="J118" s="110"/>
      <c r="K118" s="110">
        <f t="shared" si="4"/>
        <v>0</v>
      </c>
      <c r="L118" s="120">
        <f t="shared" si="5"/>
        <v>0</v>
      </c>
      <c r="M118" s="113"/>
    </row>
    <row r="119" spans="1:13" s="114" customFormat="1" hidden="1" x14ac:dyDescent="0.2">
      <c r="A119" s="106"/>
      <c r="B119" s="105"/>
      <c r="C119" s="105"/>
      <c r="D119" s="107"/>
      <c r="E119" s="105"/>
      <c r="F119" s="158"/>
      <c r="G119" s="158"/>
      <c r="H119" s="109">
        <f t="shared" si="7"/>
        <v>0</v>
      </c>
      <c r="I119" s="109">
        <f t="shared" ref="I119:I123" si="8">E119*G119</f>
        <v>0</v>
      </c>
      <c r="J119" s="110"/>
      <c r="K119" s="110">
        <f t="shared" si="4"/>
        <v>0</v>
      </c>
      <c r="L119" s="120">
        <f t="shared" si="5"/>
        <v>0</v>
      </c>
      <c r="M119" s="113"/>
    </row>
    <row r="120" spans="1:13" s="114" customFormat="1" hidden="1" x14ac:dyDescent="0.2">
      <c r="A120" s="106"/>
      <c r="B120" s="105"/>
      <c r="C120" s="105"/>
      <c r="D120" s="107"/>
      <c r="E120" s="105"/>
      <c r="F120" s="158"/>
      <c r="G120" s="158"/>
      <c r="H120" s="109">
        <f t="shared" si="7"/>
        <v>0</v>
      </c>
      <c r="I120" s="109">
        <f t="shared" si="8"/>
        <v>0</v>
      </c>
      <c r="J120" s="110"/>
      <c r="K120" s="110">
        <f t="shared" ref="K120:K123" si="9">H120+I120-J120</f>
        <v>0</v>
      </c>
      <c r="L120" s="120">
        <f t="shared" si="5"/>
        <v>0</v>
      </c>
      <c r="M120" s="113"/>
    </row>
    <row r="121" spans="1:13" s="114" customFormat="1" hidden="1" x14ac:dyDescent="0.2">
      <c r="A121" s="106"/>
      <c r="B121" s="105"/>
      <c r="C121" s="105"/>
      <c r="D121" s="107"/>
      <c r="E121" s="105"/>
      <c r="F121" s="158"/>
      <c r="G121" s="158"/>
      <c r="H121" s="109">
        <f t="shared" si="7"/>
        <v>0</v>
      </c>
      <c r="I121" s="109">
        <f t="shared" si="8"/>
        <v>0</v>
      </c>
      <c r="J121" s="110"/>
      <c r="K121" s="110">
        <f t="shared" si="9"/>
        <v>0</v>
      </c>
      <c r="L121" s="120">
        <f t="shared" ref="L121:L123" si="10">E121*F121</f>
        <v>0</v>
      </c>
      <c r="M121" s="113"/>
    </row>
    <row r="122" spans="1:13" s="114" customFormat="1" hidden="1" x14ac:dyDescent="0.2">
      <c r="A122" s="106"/>
      <c r="B122" s="105"/>
      <c r="C122" s="105"/>
      <c r="D122" s="107"/>
      <c r="E122" s="105"/>
      <c r="F122" s="158"/>
      <c r="G122" s="158"/>
      <c r="H122" s="109">
        <f t="shared" si="7"/>
        <v>0</v>
      </c>
      <c r="I122" s="109">
        <f t="shared" si="8"/>
        <v>0</v>
      </c>
      <c r="J122" s="110"/>
      <c r="K122" s="110">
        <f t="shared" si="9"/>
        <v>0</v>
      </c>
      <c r="L122" s="120">
        <f t="shared" si="10"/>
        <v>0</v>
      </c>
      <c r="M122" s="113"/>
    </row>
    <row r="123" spans="1:13" s="114" customFormat="1" hidden="1" x14ac:dyDescent="0.2">
      <c r="A123" s="106"/>
      <c r="B123" s="105"/>
      <c r="C123" s="105"/>
      <c r="D123" s="107"/>
      <c r="E123" s="105"/>
      <c r="F123" s="158"/>
      <c r="G123" s="158"/>
      <c r="H123" s="109">
        <f t="shared" si="7"/>
        <v>0</v>
      </c>
      <c r="I123" s="109">
        <f t="shared" si="8"/>
        <v>0</v>
      </c>
      <c r="J123" s="110"/>
      <c r="K123" s="110">
        <f t="shared" si="9"/>
        <v>0</v>
      </c>
      <c r="L123" s="120">
        <f t="shared" si="10"/>
        <v>0</v>
      </c>
      <c r="M123" s="113"/>
    </row>
    <row r="124" spans="1:13" s="75" customFormat="1" ht="13.5" thickBot="1" x14ac:dyDescent="0.25">
      <c r="A124" s="260" t="s">
        <v>0</v>
      </c>
      <c r="B124" s="261"/>
      <c r="C124" s="261"/>
      <c r="D124" s="262"/>
      <c r="E124" s="74">
        <f>SUM(E6:E123)</f>
        <v>714</v>
      </c>
      <c r="F124" s="228">
        <f t="shared" ref="F124:L124" si="11">SUM(F6:F123)</f>
        <v>9144.970000000003</v>
      </c>
      <c r="G124" s="228">
        <f t="shared" si="11"/>
        <v>21876</v>
      </c>
      <c r="H124" s="74">
        <f t="shared" si="11"/>
        <v>32183.75</v>
      </c>
      <c r="I124" s="74">
        <f t="shared" si="11"/>
        <v>88782</v>
      </c>
      <c r="J124" s="74">
        <f t="shared" si="11"/>
        <v>0</v>
      </c>
      <c r="K124" s="74">
        <f t="shared" si="11"/>
        <v>120965.75</v>
      </c>
      <c r="L124" s="230">
        <f t="shared" si="11"/>
        <v>75655.320000000036</v>
      </c>
      <c r="M124" s="61"/>
    </row>
    <row r="125" spans="1:13" x14ac:dyDescent="0.2">
      <c r="G125" s="79"/>
      <c r="H125" s="79"/>
      <c r="I125" s="79"/>
      <c r="J125" s="79"/>
      <c r="K125" s="231" t="s">
        <v>16</v>
      </c>
      <c r="L125" s="71">
        <v>32183.75</v>
      </c>
      <c r="M125" s="76">
        <v>46203</v>
      </c>
    </row>
    <row r="126" spans="1:13" x14ac:dyDescent="0.2">
      <c r="D126" s="102"/>
      <c r="E126" s="80"/>
      <c r="F126" s="103"/>
      <c r="G126" s="79"/>
      <c r="H126" s="83"/>
      <c r="I126" s="83"/>
      <c r="J126" s="79"/>
      <c r="K126" s="231" t="s">
        <v>1704</v>
      </c>
      <c r="L126" s="73">
        <v>88782</v>
      </c>
      <c r="M126" s="137"/>
    </row>
    <row r="127" spans="1:13" x14ac:dyDescent="0.2">
      <c r="D127" s="102"/>
      <c r="E127" s="80"/>
      <c r="F127" s="81"/>
      <c r="G127" s="79"/>
      <c r="H127" s="83"/>
      <c r="I127" s="79"/>
      <c r="J127" s="79"/>
      <c r="K127" s="231" t="s">
        <v>0</v>
      </c>
      <c r="L127" s="229">
        <f>SUM(L125:L126)</f>
        <v>120965.75</v>
      </c>
      <c r="M127" s="61"/>
    </row>
    <row r="128" spans="1:13" x14ac:dyDescent="0.2">
      <c r="A128" s="84"/>
      <c r="C128" s="85"/>
      <c r="D128" s="86"/>
      <c r="E128" s="85"/>
      <c r="F128" s="85"/>
      <c r="G128" s="79"/>
      <c r="H128" s="79"/>
      <c r="I128" s="85"/>
      <c r="J128" s="85"/>
      <c r="K128" s="85"/>
      <c r="L128" s="79">
        <f>K124-L127</f>
        <v>0</v>
      </c>
      <c r="M128" s="61"/>
    </row>
    <row r="129" spans="4:11" x14ac:dyDescent="0.2">
      <c r="D129" s="102"/>
      <c r="E129" s="80"/>
      <c r="F129" s="103"/>
      <c r="G129" s="82"/>
      <c r="H129" s="83"/>
      <c r="I129" s="79"/>
      <c r="J129" s="79"/>
    </row>
    <row r="130" spans="4:11" x14ac:dyDescent="0.2">
      <c r="D130" s="102"/>
      <c r="E130" s="80"/>
      <c r="F130" s="81"/>
      <c r="G130" s="81"/>
      <c r="H130" s="83"/>
      <c r="I130" s="79"/>
      <c r="J130" s="79"/>
      <c r="K130" s="79"/>
    </row>
    <row r="131" spans="4:11" x14ac:dyDescent="0.2">
      <c r="D131" s="102"/>
      <c r="E131" s="80"/>
      <c r="F131" s="103"/>
      <c r="G131" s="81"/>
      <c r="H131" s="83"/>
      <c r="I131" s="79"/>
      <c r="J131" s="79"/>
      <c r="K131" s="79"/>
    </row>
    <row r="132" spans="4:11" x14ac:dyDescent="0.2">
      <c r="D132" s="132"/>
      <c r="E132" s="80"/>
      <c r="F132" s="103"/>
      <c r="G132" s="82"/>
      <c r="H132" s="83"/>
      <c r="I132" s="79"/>
      <c r="J132" s="79"/>
      <c r="K132" s="79"/>
    </row>
    <row r="133" spans="4:11" x14ac:dyDescent="0.2">
      <c r="D133" s="102"/>
      <c r="E133" s="80"/>
      <c r="F133" s="103"/>
      <c r="G133" s="82"/>
      <c r="H133" s="83"/>
      <c r="I133" s="79"/>
      <c r="J133" s="79"/>
      <c r="K133" s="79"/>
    </row>
    <row r="134" spans="4:11" x14ac:dyDescent="0.2">
      <c r="D134" s="102"/>
      <c r="E134" s="80"/>
      <c r="F134" s="103"/>
      <c r="G134" s="82"/>
      <c r="H134" s="83"/>
      <c r="I134" s="79"/>
      <c r="J134" s="79"/>
      <c r="K134" s="79"/>
    </row>
    <row r="135" spans="4:11" x14ac:dyDescent="0.2">
      <c r="D135" s="102"/>
      <c r="E135" s="80"/>
      <c r="F135" s="81"/>
      <c r="G135" s="81"/>
      <c r="H135" s="83"/>
      <c r="I135" s="79"/>
      <c r="J135" s="79"/>
      <c r="K135" s="79"/>
    </row>
    <row r="136" spans="4:11" x14ac:dyDescent="0.2">
      <c r="D136" s="102"/>
      <c r="E136" s="80"/>
      <c r="F136" s="81"/>
      <c r="G136" s="81"/>
      <c r="H136" s="83"/>
      <c r="I136" s="79"/>
      <c r="J136" s="79"/>
      <c r="K136" s="79"/>
    </row>
    <row r="137" spans="4:11" x14ac:dyDescent="0.2">
      <c r="D137" s="102"/>
      <c r="E137" s="80"/>
      <c r="F137" s="103"/>
      <c r="G137" s="82"/>
      <c r="H137" s="83"/>
      <c r="I137" s="79"/>
      <c r="J137" s="79"/>
      <c r="K137" s="79"/>
    </row>
    <row r="138" spans="4:11" x14ac:dyDescent="0.2">
      <c r="D138" s="102"/>
      <c r="E138" s="80"/>
      <c r="F138" s="103"/>
      <c r="G138" s="82"/>
      <c r="H138" s="83"/>
      <c r="I138" s="79"/>
      <c r="J138" s="79"/>
      <c r="K138" s="79"/>
    </row>
  </sheetData>
  <mergeCells count="1">
    <mergeCell ref="A124:D124"/>
  </mergeCells>
  <phoneticPr fontId="35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832E-3476-4B5D-BA78-998D25A4BCF3}">
  <sheetPr>
    <tabColor rgb="FF8DFB43"/>
  </sheetPr>
  <dimension ref="A1:N1512"/>
  <sheetViews>
    <sheetView zoomScale="85" zoomScaleNormal="85" workbookViewId="0">
      <selection activeCell="H6" sqref="H6"/>
    </sheetView>
  </sheetViews>
  <sheetFormatPr defaultColWidth="9.140625" defaultRowHeight="12.75" x14ac:dyDescent="0.2"/>
  <cols>
    <col min="1" max="1" width="12.5703125" style="218" customWidth="1"/>
    <col min="2" max="2" width="20.140625" style="139" customWidth="1"/>
    <col min="3" max="3" width="16.5703125" style="139" customWidth="1"/>
    <col min="4" max="4" width="44.28515625" style="205" customWidth="1"/>
    <col min="5" max="5" width="11.140625" style="139" customWidth="1"/>
    <col min="6" max="6" width="13.7109375" style="139" customWidth="1"/>
    <col min="7" max="7" width="15" style="140" customWidth="1"/>
    <col min="8" max="8" width="14" style="140" customWidth="1"/>
    <col min="9" max="9" width="12.7109375" style="140" customWidth="1"/>
    <col min="10" max="10" width="14" style="140" customWidth="1"/>
    <col min="11" max="11" width="14.140625" style="140" customWidth="1"/>
    <col min="12" max="12" width="16.28515625" style="139" customWidth="1"/>
    <col min="13" max="13" width="15.5703125" style="114" customWidth="1"/>
    <col min="14" max="14" width="10.5703125" style="114" customWidth="1"/>
    <col min="15" max="16384" width="9.140625" style="114"/>
  </cols>
  <sheetData>
    <row r="1" spans="1:13" x14ac:dyDescent="0.2">
      <c r="A1" s="203" t="s">
        <v>1</v>
      </c>
      <c r="D1" s="138"/>
      <c r="L1" s="204"/>
    </row>
    <row r="2" spans="1:13" ht="13.5" thickBot="1" x14ac:dyDescent="0.25">
      <c r="A2" s="203" t="s">
        <v>1775</v>
      </c>
    </row>
    <row r="3" spans="1:13" ht="13.5" thickBot="1" x14ac:dyDescent="0.25">
      <c r="A3" s="206" t="s">
        <v>3966</v>
      </c>
      <c r="E3" s="207">
        <f>+E1497</f>
        <v>5236</v>
      </c>
      <c r="H3" s="208">
        <f>H1497</f>
        <v>131984.63</v>
      </c>
      <c r="I3" s="208">
        <f>I1497</f>
        <v>51768.45</v>
      </c>
      <c r="J3" s="208">
        <f>J1497</f>
        <v>5610.12</v>
      </c>
      <c r="K3" s="209">
        <f>K1497</f>
        <v>178142.96000000002</v>
      </c>
      <c r="L3" s="204"/>
    </row>
    <row r="4" spans="1:13" ht="13.5" thickBot="1" x14ac:dyDescent="0.25">
      <c r="A4" s="203"/>
    </row>
    <row r="5" spans="1:13" s="215" customFormat="1" ht="45" customHeight="1" thickBot="1" x14ac:dyDescent="0.25">
      <c r="A5" s="210" t="s">
        <v>2</v>
      </c>
      <c r="B5" s="211" t="s">
        <v>7</v>
      </c>
      <c r="C5" s="211" t="s">
        <v>19</v>
      </c>
      <c r="D5" s="211" t="s">
        <v>4</v>
      </c>
      <c r="E5" s="211" t="s">
        <v>3</v>
      </c>
      <c r="F5" s="211" t="s">
        <v>18</v>
      </c>
      <c r="G5" s="212" t="s">
        <v>5</v>
      </c>
      <c r="H5" s="212" t="s">
        <v>1258</v>
      </c>
      <c r="I5" s="212" t="s">
        <v>1257</v>
      </c>
      <c r="J5" s="213" t="s">
        <v>8</v>
      </c>
      <c r="K5" s="214" t="s">
        <v>9</v>
      </c>
      <c r="L5" s="214" t="s">
        <v>31</v>
      </c>
    </row>
    <row r="6" spans="1:13" ht="14.25" customHeight="1" x14ac:dyDescent="0.2">
      <c r="A6" s="116" t="s">
        <v>3967</v>
      </c>
      <c r="B6" s="117" t="s">
        <v>2323</v>
      </c>
      <c r="C6" s="117" t="s">
        <v>3968</v>
      </c>
      <c r="D6" s="216" t="s">
        <v>2325</v>
      </c>
      <c r="E6" s="117">
        <v>2</v>
      </c>
      <c r="F6" s="133">
        <v>19.100000000000001</v>
      </c>
      <c r="G6" s="133">
        <v>22</v>
      </c>
      <c r="H6" s="109">
        <f t="shared" ref="H6" si="0">E6*G6</f>
        <v>44</v>
      </c>
      <c r="I6" s="119"/>
      <c r="J6" s="119">
        <v>0</v>
      </c>
      <c r="K6" s="119">
        <f>H6+I6-J6</f>
        <v>44</v>
      </c>
      <c r="L6" s="152">
        <f>E6*F6</f>
        <v>38.200000000000003</v>
      </c>
      <c r="M6" s="113"/>
    </row>
    <row r="7" spans="1:13" ht="14.25" customHeight="1" x14ac:dyDescent="0.2">
      <c r="A7" s="106" t="s">
        <v>3967</v>
      </c>
      <c r="B7" s="105" t="s">
        <v>3969</v>
      </c>
      <c r="C7" s="117" t="s">
        <v>3970</v>
      </c>
      <c r="D7" s="149" t="s">
        <v>3971</v>
      </c>
      <c r="E7" s="105">
        <v>2</v>
      </c>
      <c r="F7" s="133">
        <v>5</v>
      </c>
      <c r="G7" s="133">
        <v>5.75</v>
      </c>
      <c r="H7" s="109">
        <f t="shared" ref="H7:H70" si="1">E7*G7</f>
        <v>11.5</v>
      </c>
      <c r="I7" s="119"/>
      <c r="J7" s="119">
        <v>0</v>
      </c>
      <c r="K7" s="119">
        <f t="shared" ref="K7:K70" si="2">H7+I7-J7</f>
        <v>11.5</v>
      </c>
      <c r="L7" s="152">
        <f t="shared" ref="L7:L70" si="3">E7*F7</f>
        <v>10</v>
      </c>
      <c r="M7" s="113"/>
    </row>
    <row r="8" spans="1:13" ht="14.25" customHeight="1" x14ac:dyDescent="0.2">
      <c r="A8" s="106" t="s">
        <v>3967</v>
      </c>
      <c r="B8" s="105" t="s">
        <v>3972</v>
      </c>
      <c r="C8" s="117" t="s">
        <v>3970</v>
      </c>
      <c r="D8" s="149" t="s">
        <v>3973</v>
      </c>
      <c r="E8" s="105">
        <v>6</v>
      </c>
      <c r="F8" s="133">
        <v>3.72</v>
      </c>
      <c r="G8" s="133">
        <v>4.5</v>
      </c>
      <c r="H8" s="109">
        <f t="shared" si="1"/>
        <v>27</v>
      </c>
      <c r="I8" s="119"/>
      <c r="J8" s="119">
        <v>0</v>
      </c>
      <c r="K8" s="119">
        <f t="shared" si="2"/>
        <v>27</v>
      </c>
      <c r="L8" s="152">
        <f t="shared" si="3"/>
        <v>22.32</v>
      </c>
      <c r="M8" s="113"/>
    </row>
    <row r="9" spans="1:13" ht="14.25" customHeight="1" x14ac:dyDescent="0.2">
      <c r="A9" s="106" t="s">
        <v>3967</v>
      </c>
      <c r="B9" s="105" t="s">
        <v>3974</v>
      </c>
      <c r="C9" s="117" t="s">
        <v>3970</v>
      </c>
      <c r="D9" s="149" t="s">
        <v>3975</v>
      </c>
      <c r="E9" s="105">
        <v>1</v>
      </c>
      <c r="F9" s="133">
        <v>59.51</v>
      </c>
      <c r="G9" s="133">
        <v>68.5</v>
      </c>
      <c r="H9" s="109">
        <f t="shared" si="1"/>
        <v>68.5</v>
      </c>
      <c r="I9" s="119"/>
      <c r="J9" s="119">
        <v>0</v>
      </c>
      <c r="K9" s="119">
        <f t="shared" si="2"/>
        <v>68.5</v>
      </c>
      <c r="L9" s="152">
        <f t="shared" si="3"/>
        <v>59.51</v>
      </c>
      <c r="M9" s="113"/>
    </row>
    <row r="10" spans="1:13" ht="14.25" customHeight="1" x14ac:dyDescent="0.2">
      <c r="A10" s="106" t="s">
        <v>3967</v>
      </c>
      <c r="B10" s="105" t="s">
        <v>3676</v>
      </c>
      <c r="C10" s="117" t="s">
        <v>3970</v>
      </c>
      <c r="D10" s="149" t="s">
        <v>3677</v>
      </c>
      <c r="E10" s="105">
        <v>1</v>
      </c>
      <c r="F10" s="133">
        <v>38.25</v>
      </c>
      <c r="G10" s="133">
        <v>44</v>
      </c>
      <c r="H10" s="109">
        <f t="shared" si="1"/>
        <v>44</v>
      </c>
      <c r="I10" s="119"/>
      <c r="J10" s="119">
        <v>0</v>
      </c>
      <c r="K10" s="119">
        <f t="shared" si="2"/>
        <v>44</v>
      </c>
      <c r="L10" s="152">
        <f t="shared" si="3"/>
        <v>38.25</v>
      </c>
      <c r="M10" s="113"/>
    </row>
    <row r="11" spans="1:13" ht="14.25" customHeight="1" x14ac:dyDescent="0.2">
      <c r="A11" s="106" t="s">
        <v>3967</v>
      </c>
      <c r="B11" s="105" t="s">
        <v>1997</v>
      </c>
      <c r="C11" s="105" t="s">
        <v>3976</v>
      </c>
      <c r="D11" s="149" t="s">
        <v>1999</v>
      </c>
      <c r="E11" s="105">
        <v>1</v>
      </c>
      <c r="F11" s="133">
        <v>4.12</v>
      </c>
      <c r="G11" s="133">
        <v>5.25</v>
      </c>
      <c r="H11" s="109">
        <f t="shared" si="1"/>
        <v>5.25</v>
      </c>
      <c r="I11" s="119"/>
      <c r="J11" s="119">
        <v>0</v>
      </c>
      <c r="K11" s="119">
        <f t="shared" si="2"/>
        <v>5.25</v>
      </c>
      <c r="L11" s="152">
        <f t="shared" si="3"/>
        <v>4.12</v>
      </c>
      <c r="M11" s="113"/>
    </row>
    <row r="12" spans="1:13" ht="14.25" customHeight="1" x14ac:dyDescent="0.2">
      <c r="A12" s="106" t="s">
        <v>3967</v>
      </c>
      <c r="B12" s="105" t="s">
        <v>3613</v>
      </c>
      <c r="C12" s="105" t="s">
        <v>3976</v>
      </c>
      <c r="D12" s="149" t="s">
        <v>3614</v>
      </c>
      <c r="E12" s="105">
        <v>1</v>
      </c>
      <c r="F12" s="133">
        <v>8.15</v>
      </c>
      <c r="G12" s="133">
        <v>9.5</v>
      </c>
      <c r="H12" s="109">
        <f t="shared" si="1"/>
        <v>9.5</v>
      </c>
      <c r="I12" s="119"/>
      <c r="J12" s="119">
        <v>0</v>
      </c>
      <c r="K12" s="119">
        <f t="shared" si="2"/>
        <v>9.5</v>
      </c>
      <c r="L12" s="152">
        <f t="shared" si="3"/>
        <v>8.15</v>
      </c>
      <c r="M12" s="113"/>
    </row>
    <row r="13" spans="1:13" ht="14.25" customHeight="1" x14ac:dyDescent="0.2">
      <c r="A13" s="106" t="s">
        <v>3967</v>
      </c>
      <c r="B13" s="105" t="s">
        <v>1951</v>
      </c>
      <c r="C13" s="105" t="s">
        <v>3977</v>
      </c>
      <c r="D13" s="149" t="s">
        <v>1952</v>
      </c>
      <c r="E13" s="105">
        <v>1</v>
      </c>
      <c r="F13" s="133">
        <v>12.77</v>
      </c>
      <c r="G13" s="133">
        <v>14.75</v>
      </c>
      <c r="H13" s="109">
        <f t="shared" si="1"/>
        <v>14.75</v>
      </c>
      <c r="I13" s="119"/>
      <c r="J13" s="119">
        <v>0</v>
      </c>
      <c r="K13" s="119">
        <f t="shared" si="2"/>
        <v>14.75</v>
      </c>
      <c r="L13" s="152">
        <f t="shared" si="3"/>
        <v>12.77</v>
      </c>
      <c r="M13" s="113"/>
    </row>
    <row r="14" spans="1:13" ht="14.25" customHeight="1" x14ac:dyDescent="0.2">
      <c r="A14" s="106" t="s">
        <v>3967</v>
      </c>
      <c r="B14" s="105" t="s">
        <v>1826</v>
      </c>
      <c r="C14" s="105" t="s">
        <v>3977</v>
      </c>
      <c r="D14" s="149" t="s">
        <v>1827</v>
      </c>
      <c r="E14" s="105">
        <v>1</v>
      </c>
      <c r="F14" s="133">
        <v>90</v>
      </c>
      <c r="G14" s="133">
        <v>120</v>
      </c>
      <c r="H14" s="109">
        <f t="shared" si="1"/>
        <v>120</v>
      </c>
      <c r="I14" s="119"/>
      <c r="J14" s="119">
        <v>0</v>
      </c>
      <c r="K14" s="119">
        <f t="shared" si="2"/>
        <v>120</v>
      </c>
      <c r="L14" s="152">
        <f t="shared" si="3"/>
        <v>90</v>
      </c>
      <c r="M14" s="113"/>
    </row>
    <row r="15" spans="1:13" ht="14.25" customHeight="1" x14ac:dyDescent="0.2">
      <c r="A15" s="106" t="s">
        <v>3967</v>
      </c>
      <c r="B15" s="105" t="s">
        <v>1897</v>
      </c>
      <c r="C15" s="105" t="s">
        <v>3978</v>
      </c>
      <c r="D15" s="149" t="s">
        <v>1898</v>
      </c>
      <c r="E15" s="105">
        <v>1</v>
      </c>
      <c r="F15" s="133">
        <v>27.5</v>
      </c>
      <c r="G15" s="133">
        <v>30</v>
      </c>
      <c r="H15" s="109">
        <f t="shared" si="1"/>
        <v>30</v>
      </c>
      <c r="I15" s="119"/>
      <c r="J15" s="119">
        <v>0</v>
      </c>
      <c r="K15" s="119">
        <f t="shared" si="2"/>
        <v>30</v>
      </c>
      <c r="L15" s="152">
        <f t="shared" si="3"/>
        <v>27.5</v>
      </c>
      <c r="M15" s="113"/>
    </row>
    <row r="16" spans="1:13" ht="14.25" customHeight="1" x14ac:dyDescent="0.2">
      <c r="A16" s="106" t="s">
        <v>3967</v>
      </c>
      <c r="B16" s="105" t="s">
        <v>3979</v>
      </c>
      <c r="C16" s="105" t="s">
        <v>3978</v>
      </c>
      <c r="D16" s="149" t="s">
        <v>3980</v>
      </c>
      <c r="E16" s="105">
        <v>2</v>
      </c>
      <c r="F16" s="133">
        <v>6.6</v>
      </c>
      <c r="G16" s="133">
        <v>7.75</v>
      </c>
      <c r="H16" s="109">
        <f t="shared" si="1"/>
        <v>15.5</v>
      </c>
      <c r="I16" s="119"/>
      <c r="J16" s="119">
        <v>0</v>
      </c>
      <c r="K16" s="119">
        <f t="shared" si="2"/>
        <v>15.5</v>
      </c>
      <c r="L16" s="152">
        <f t="shared" si="3"/>
        <v>13.2</v>
      </c>
      <c r="M16" s="113"/>
    </row>
    <row r="17" spans="1:13" ht="14.25" customHeight="1" x14ac:dyDescent="0.2">
      <c r="A17" s="106" t="s">
        <v>3967</v>
      </c>
      <c r="B17" s="105" t="s">
        <v>3981</v>
      </c>
      <c r="C17" s="105" t="s">
        <v>3978</v>
      </c>
      <c r="D17" s="149" t="s">
        <v>3982</v>
      </c>
      <c r="E17" s="105">
        <v>1</v>
      </c>
      <c r="F17" s="133">
        <v>7.75</v>
      </c>
      <c r="G17" s="133">
        <v>9</v>
      </c>
      <c r="H17" s="109">
        <f t="shared" si="1"/>
        <v>9</v>
      </c>
      <c r="I17" s="119"/>
      <c r="J17" s="119">
        <v>0</v>
      </c>
      <c r="K17" s="119">
        <f t="shared" si="2"/>
        <v>9</v>
      </c>
      <c r="L17" s="152">
        <f t="shared" si="3"/>
        <v>7.75</v>
      </c>
      <c r="M17" s="113"/>
    </row>
    <row r="18" spans="1:13" ht="14.25" customHeight="1" x14ac:dyDescent="0.2">
      <c r="A18" s="106" t="s">
        <v>3967</v>
      </c>
      <c r="B18" s="105" t="s">
        <v>3983</v>
      </c>
      <c r="C18" s="105" t="s">
        <v>3978</v>
      </c>
      <c r="D18" s="149" t="s">
        <v>3984</v>
      </c>
      <c r="E18" s="105">
        <v>4</v>
      </c>
      <c r="F18" s="133">
        <v>13.87</v>
      </c>
      <c r="G18" s="133">
        <v>17.75</v>
      </c>
      <c r="H18" s="109">
        <f t="shared" si="1"/>
        <v>71</v>
      </c>
      <c r="I18" s="119"/>
      <c r="J18" s="119">
        <v>0</v>
      </c>
      <c r="K18" s="119">
        <f t="shared" si="2"/>
        <v>71</v>
      </c>
      <c r="L18" s="152">
        <f t="shared" si="3"/>
        <v>55.48</v>
      </c>
      <c r="M18" s="113"/>
    </row>
    <row r="19" spans="1:13" ht="14.25" customHeight="1" x14ac:dyDescent="0.2">
      <c r="A19" s="106" t="s">
        <v>3967</v>
      </c>
      <c r="B19" s="105" t="s">
        <v>2380</v>
      </c>
      <c r="C19" s="105" t="s">
        <v>3985</v>
      </c>
      <c r="D19" s="149" t="s">
        <v>2381</v>
      </c>
      <c r="E19" s="105">
        <v>1</v>
      </c>
      <c r="F19" s="133">
        <v>22.73</v>
      </c>
      <c r="G19" s="133">
        <v>26.25</v>
      </c>
      <c r="H19" s="109">
        <f t="shared" si="1"/>
        <v>26.25</v>
      </c>
      <c r="I19" s="119"/>
      <c r="J19" s="119">
        <v>0</v>
      </c>
      <c r="K19" s="119">
        <f t="shared" si="2"/>
        <v>26.25</v>
      </c>
      <c r="L19" s="152">
        <f t="shared" si="3"/>
        <v>22.73</v>
      </c>
      <c r="M19" s="113"/>
    </row>
    <row r="20" spans="1:13" ht="14.25" customHeight="1" x14ac:dyDescent="0.2">
      <c r="A20" s="106" t="s">
        <v>3967</v>
      </c>
      <c r="B20" s="105" t="s">
        <v>3986</v>
      </c>
      <c r="C20" s="105" t="s">
        <v>3987</v>
      </c>
      <c r="D20" s="149" t="s">
        <v>3988</v>
      </c>
      <c r="E20" s="105">
        <v>1</v>
      </c>
      <c r="F20" s="133">
        <v>31.04</v>
      </c>
      <c r="G20" s="133">
        <v>37</v>
      </c>
      <c r="H20" s="109">
        <f t="shared" si="1"/>
        <v>37</v>
      </c>
      <c r="I20" s="119"/>
      <c r="J20" s="119">
        <v>0</v>
      </c>
      <c r="K20" s="119">
        <f t="shared" si="2"/>
        <v>37</v>
      </c>
      <c r="L20" s="152">
        <f t="shared" si="3"/>
        <v>31.04</v>
      </c>
      <c r="M20" s="113"/>
    </row>
    <row r="21" spans="1:13" ht="14.25" customHeight="1" x14ac:dyDescent="0.2">
      <c r="A21" s="106" t="s">
        <v>3967</v>
      </c>
      <c r="B21" s="105" t="s">
        <v>3905</v>
      </c>
      <c r="C21" s="105" t="s">
        <v>3989</v>
      </c>
      <c r="D21" s="149" t="s">
        <v>3907</v>
      </c>
      <c r="E21" s="105">
        <v>2</v>
      </c>
      <c r="F21" s="133">
        <v>19.61</v>
      </c>
      <c r="G21" s="133">
        <v>22.75</v>
      </c>
      <c r="H21" s="109">
        <f t="shared" si="1"/>
        <v>45.5</v>
      </c>
      <c r="I21" s="119"/>
      <c r="J21" s="119">
        <v>0</v>
      </c>
      <c r="K21" s="119">
        <f t="shared" si="2"/>
        <v>45.5</v>
      </c>
      <c r="L21" s="152">
        <f t="shared" si="3"/>
        <v>39.22</v>
      </c>
      <c r="M21" s="113"/>
    </row>
    <row r="22" spans="1:13" ht="14.25" customHeight="1" x14ac:dyDescent="0.2">
      <c r="A22" s="106" t="s">
        <v>3967</v>
      </c>
      <c r="B22" s="105" t="s">
        <v>1826</v>
      </c>
      <c r="C22" s="105" t="s">
        <v>3990</v>
      </c>
      <c r="D22" s="149" t="s">
        <v>1827</v>
      </c>
      <c r="E22" s="105">
        <v>3</v>
      </c>
      <c r="F22" s="133">
        <v>90</v>
      </c>
      <c r="G22" s="133">
        <v>120</v>
      </c>
      <c r="H22" s="109">
        <f t="shared" si="1"/>
        <v>360</v>
      </c>
      <c r="I22" s="119"/>
      <c r="J22" s="119">
        <v>0</v>
      </c>
      <c r="K22" s="119">
        <f t="shared" si="2"/>
        <v>360</v>
      </c>
      <c r="L22" s="152">
        <f t="shared" si="3"/>
        <v>270</v>
      </c>
      <c r="M22" s="113"/>
    </row>
    <row r="23" spans="1:13" ht="14.25" customHeight="1" x14ac:dyDescent="0.2">
      <c r="A23" s="106" t="s">
        <v>3967</v>
      </c>
      <c r="B23" s="105" t="s">
        <v>3072</v>
      </c>
      <c r="C23" s="105" t="s">
        <v>3991</v>
      </c>
      <c r="D23" s="149" t="s">
        <v>3074</v>
      </c>
      <c r="E23" s="105">
        <v>1</v>
      </c>
      <c r="F23" s="133">
        <v>16.91</v>
      </c>
      <c r="G23" s="133">
        <v>18.600000000000001</v>
      </c>
      <c r="H23" s="109">
        <f t="shared" si="1"/>
        <v>18.600000000000001</v>
      </c>
      <c r="I23" s="119"/>
      <c r="J23" s="119">
        <v>0</v>
      </c>
      <c r="K23" s="119">
        <f t="shared" si="2"/>
        <v>18.600000000000001</v>
      </c>
      <c r="L23" s="152">
        <f t="shared" si="3"/>
        <v>16.91</v>
      </c>
      <c r="M23" s="113"/>
    </row>
    <row r="24" spans="1:13" ht="14.25" customHeight="1" x14ac:dyDescent="0.2">
      <c r="A24" s="106" t="s">
        <v>3967</v>
      </c>
      <c r="B24" s="105" t="s">
        <v>1793</v>
      </c>
      <c r="C24" s="105" t="s">
        <v>3992</v>
      </c>
      <c r="D24" s="149" t="s">
        <v>1795</v>
      </c>
      <c r="E24" s="105">
        <v>2</v>
      </c>
      <c r="F24" s="133">
        <v>12.77</v>
      </c>
      <c r="G24" s="133">
        <v>14.75</v>
      </c>
      <c r="H24" s="109">
        <f t="shared" si="1"/>
        <v>29.5</v>
      </c>
      <c r="I24" s="119"/>
      <c r="J24" s="119">
        <v>0</v>
      </c>
      <c r="K24" s="119">
        <f t="shared" si="2"/>
        <v>29.5</v>
      </c>
      <c r="L24" s="152">
        <f t="shared" si="3"/>
        <v>25.54</v>
      </c>
      <c r="M24" s="113"/>
    </row>
    <row r="25" spans="1:13" ht="14.25" customHeight="1" x14ac:dyDescent="0.2">
      <c r="A25" s="106" t="s">
        <v>3967</v>
      </c>
      <c r="B25" s="105" t="s">
        <v>1951</v>
      </c>
      <c r="C25" s="105" t="s">
        <v>3992</v>
      </c>
      <c r="D25" s="149" t="s">
        <v>1952</v>
      </c>
      <c r="E25" s="105">
        <v>1</v>
      </c>
      <c r="F25" s="133">
        <v>12.77</v>
      </c>
      <c r="G25" s="133">
        <v>14.75</v>
      </c>
      <c r="H25" s="109">
        <f t="shared" si="1"/>
        <v>14.75</v>
      </c>
      <c r="I25" s="119"/>
      <c r="J25" s="119">
        <v>0</v>
      </c>
      <c r="K25" s="119">
        <f t="shared" si="2"/>
        <v>14.75</v>
      </c>
      <c r="L25" s="152">
        <f t="shared" si="3"/>
        <v>12.77</v>
      </c>
      <c r="M25" s="113"/>
    </row>
    <row r="26" spans="1:13" ht="14.25" customHeight="1" x14ac:dyDescent="0.2">
      <c r="A26" s="106" t="s">
        <v>3967</v>
      </c>
      <c r="B26" s="105" t="s">
        <v>3993</v>
      </c>
      <c r="C26" s="105" t="s">
        <v>3994</v>
      </c>
      <c r="D26" s="149" t="s">
        <v>3995</v>
      </c>
      <c r="E26" s="105">
        <v>1</v>
      </c>
      <c r="F26" s="133">
        <v>17.649999999999999</v>
      </c>
      <c r="G26" s="133">
        <v>18.75</v>
      </c>
      <c r="H26" s="109">
        <f t="shared" si="1"/>
        <v>18.75</v>
      </c>
      <c r="I26" s="119"/>
      <c r="J26" s="119">
        <v>0</v>
      </c>
      <c r="K26" s="119">
        <f t="shared" si="2"/>
        <v>18.75</v>
      </c>
      <c r="L26" s="152">
        <f t="shared" si="3"/>
        <v>17.649999999999999</v>
      </c>
      <c r="M26" s="113"/>
    </row>
    <row r="27" spans="1:13" ht="14.25" customHeight="1" x14ac:dyDescent="0.2">
      <c r="A27" s="106" t="s">
        <v>3967</v>
      </c>
      <c r="B27" s="105" t="s">
        <v>2240</v>
      </c>
      <c r="C27" s="105" t="s">
        <v>3994</v>
      </c>
      <c r="D27" s="149" t="s">
        <v>2241</v>
      </c>
      <c r="E27" s="105">
        <v>1</v>
      </c>
      <c r="F27" s="133">
        <v>18.649999999999999</v>
      </c>
      <c r="G27" s="133">
        <v>21.5</v>
      </c>
      <c r="H27" s="109">
        <f t="shared" si="1"/>
        <v>21.5</v>
      </c>
      <c r="I27" s="119"/>
      <c r="J27" s="119">
        <v>0</v>
      </c>
      <c r="K27" s="119">
        <f t="shared" si="2"/>
        <v>21.5</v>
      </c>
      <c r="L27" s="152">
        <f t="shared" si="3"/>
        <v>18.649999999999999</v>
      </c>
      <c r="M27" s="113"/>
    </row>
    <row r="28" spans="1:13" ht="14.25" customHeight="1" x14ac:dyDescent="0.2">
      <c r="A28" s="106" t="s">
        <v>3967</v>
      </c>
      <c r="B28" s="105" t="s">
        <v>1933</v>
      </c>
      <c r="C28" s="105" t="s">
        <v>3994</v>
      </c>
      <c r="D28" s="149" t="s">
        <v>1934</v>
      </c>
      <c r="E28" s="105">
        <v>1</v>
      </c>
      <c r="F28" s="133">
        <v>3.6</v>
      </c>
      <c r="G28" s="133">
        <v>4.25</v>
      </c>
      <c r="H28" s="109">
        <f t="shared" si="1"/>
        <v>4.25</v>
      </c>
      <c r="I28" s="119"/>
      <c r="J28" s="119">
        <v>0</v>
      </c>
      <c r="K28" s="119">
        <f t="shared" si="2"/>
        <v>4.25</v>
      </c>
      <c r="L28" s="152">
        <f t="shared" si="3"/>
        <v>3.6</v>
      </c>
      <c r="M28" s="113"/>
    </row>
    <row r="29" spans="1:13" ht="14.25" customHeight="1" x14ac:dyDescent="0.2">
      <c r="A29" s="106" t="s">
        <v>3967</v>
      </c>
      <c r="B29" s="105" t="s">
        <v>3996</v>
      </c>
      <c r="C29" s="105" t="s">
        <v>3994</v>
      </c>
      <c r="D29" s="149" t="s">
        <v>3997</v>
      </c>
      <c r="E29" s="105">
        <v>1</v>
      </c>
      <c r="F29" s="133">
        <v>30.9</v>
      </c>
      <c r="G29" s="133">
        <v>35.75</v>
      </c>
      <c r="H29" s="109">
        <f t="shared" si="1"/>
        <v>35.75</v>
      </c>
      <c r="I29" s="119"/>
      <c r="J29" s="119">
        <v>0</v>
      </c>
      <c r="K29" s="119">
        <f t="shared" si="2"/>
        <v>35.75</v>
      </c>
      <c r="L29" s="152">
        <f t="shared" si="3"/>
        <v>30.9</v>
      </c>
      <c r="M29" s="113"/>
    </row>
    <row r="30" spans="1:13" ht="14.25" customHeight="1" x14ac:dyDescent="0.2">
      <c r="A30" s="106" t="s">
        <v>3967</v>
      </c>
      <c r="B30" s="105" t="s">
        <v>1884</v>
      </c>
      <c r="C30" s="105" t="s">
        <v>3998</v>
      </c>
      <c r="D30" s="149" t="s">
        <v>1885</v>
      </c>
      <c r="E30" s="105">
        <v>1</v>
      </c>
      <c r="F30" s="133">
        <v>6.83</v>
      </c>
      <c r="G30" s="133">
        <v>9.75</v>
      </c>
      <c r="H30" s="109">
        <f t="shared" si="1"/>
        <v>9.75</v>
      </c>
      <c r="I30" s="119"/>
      <c r="J30" s="119">
        <v>0</v>
      </c>
      <c r="K30" s="119">
        <f t="shared" si="2"/>
        <v>9.75</v>
      </c>
      <c r="L30" s="152">
        <f t="shared" si="3"/>
        <v>6.83</v>
      </c>
      <c r="M30" s="113"/>
    </row>
    <row r="31" spans="1:13" ht="14.25" customHeight="1" x14ac:dyDescent="0.2">
      <c r="A31" s="106" t="s">
        <v>3967</v>
      </c>
      <c r="B31" s="105" t="s">
        <v>3260</v>
      </c>
      <c r="C31" s="105" t="s">
        <v>3999</v>
      </c>
      <c r="D31" s="149" t="s">
        <v>3261</v>
      </c>
      <c r="E31" s="105">
        <v>1</v>
      </c>
      <c r="F31" s="133">
        <v>152</v>
      </c>
      <c r="G31" s="133">
        <v>175</v>
      </c>
      <c r="H31" s="109">
        <f t="shared" si="1"/>
        <v>175</v>
      </c>
      <c r="I31" s="119"/>
      <c r="J31" s="119">
        <v>0</v>
      </c>
      <c r="K31" s="119">
        <f t="shared" si="2"/>
        <v>175</v>
      </c>
      <c r="L31" s="152">
        <f t="shared" si="3"/>
        <v>152</v>
      </c>
      <c r="M31" s="113"/>
    </row>
    <row r="32" spans="1:13" ht="14.25" customHeight="1" x14ac:dyDescent="0.2">
      <c r="A32" s="106" t="s">
        <v>4000</v>
      </c>
      <c r="B32" s="105" t="s">
        <v>2013</v>
      </c>
      <c r="C32" s="105" t="s">
        <v>4001</v>
      </c>
      <c r="D32" s="149" t="s">
        <v>2015</v>
      </c>
      <c r="E32" s="105">
        <v>1</v>
      </c>
      <c r="F32" s="133">
        <v>28.89</v>
      </c>
      <c r="G32" s="133">
        <v>33.25</v>
      </c>
      <c r="H32" s="109">
        <f t="shared" si="1"/>
        <v>33.25</v>
      </c>
      <c r="I32" s="119"/>
      <c r="J32" s="119">
        <v>0</v>
      </c>
      <c r="K32" s="119">
        <f t="shared" si="2"/>
        <v>33.25</v>
      </c>
      <c r="L32" s="152">
        <f t="shared" si="3"/>
        <v>28.89</v>
      </c>
      <c r="M32" s="113"/>
    </row>
    <row r="33" spans="1:13" ht="14.25" customHeight="1" x14ac:dyDescent="0.2">
      <c r="A33" s="106" t="s">
        <v>4000</v>
      </c>
      <c r="B33" s="105" t="s">
        <v>1893</v>
      </c>
      <c r="C33" s="105" t="s">
        <v>4002</v>
      </c>
      <c r="D33" s="149" t="s">
        <v>1894</v>
      </c>
      <c r="E33" s="105">
        <v>1</v>
      </c>
      <c r="F33" s="133">
        <v>27.85</v>
      </c>
      <c r="G33" s="133">
        <v>32.25</v>
      </c>
      <c r="H33" s="109">
        <f t="shared" si="1"/>
        <v>32.25</v>
      </c>
      <c r="I33" s="119"/>
      <c r="J33" s="119">
        <v>0</v>
      </c>
      <c r="K33" s="119">
        <f t="shared" si="2"/>
        <v>32.25</v>
      </c>
      <c r="L33" s="152">
        <f t="shared" si="3"/>
        <v>27.85</v>
      </c>
      <c r="M33" s="113"/>
    </row>
    <row r="34" spans="1:13" ht="14.25" customHeight="1" x14ac:dyDescent="0.2">
      <c r="A34" s="106" t="s">
        <v>4000</v>
      </c>
      <c r="B34" s="105" t="s">
        <v>4003</v>
      </c>
      <c r="C34" s="105" t="s">
        <v>4004</v>
      </c>
      <c r="D34" s="149" t="s">
        <v>4005</v>
      </c>
      <c r="E34" s="105">
        <v>2</v>
      </c>
      <c r="F34" s="133">
        <v>8.77</v>
      </c>
      <c r="G34" s="133">
        <v>10.25</v>
      </c>
      <c r="H34" s="109">
        <f t="shared" si="1"/>
        <v>20.5</v>
      </c>
      <c r="I34" s="119"/>
      <c r="J34" s="119">
        <v>0</v>
      </c>
      <c r="K34" s="119">
        <f t="shared" si="2"/>
        <v>20.5</v>
      </c>
      <c r="L34" s="152">
        <f t="shared" si="3"/>
        <v>17.54</v>
      </c>
      <c r="M34" s="113"/>
    </row>
    <row r="35" spans="1:13" ht="14.25" customHeight="1" x14ac:dyDescent="0.2">
      <c r="A35" s="106" t="s">
        <v>4000</v>
      </c>
      <c r="B35" s="105" t="s">
        <v>3905</v>
      </c>
      <c r="C35" s="105" t="s">
        <v>4004</v>
      </c>
      <c r="D35" s="149" t="s">
        <v>3907</v>
      </c>
      <c r="E35" s="105">
        <v>1</v>
      </c>
      <c r="F35" s="133">
        <v>19.61</v>
      </c>
      <c r="G35" s="133">
        <v>22.75</v>
      </c>
      <c r="H35" s="109">
        <f t="shared" si="1"/>
        <v>22.75</v>
      </c>
      <c r="I35" s="119"/>
      <c r="J35" s="119">
        <v>0</v>
      </c>
      <c r="K35" s="119">
        <f t="shared" si="2"/>
        <v>22.75</v>
      </c>
      <c r="L35" s="152">
        <f t="shared" si="3"/>
        <v>19.61</v>
      </c>
      <c r="M35" s="113"/>
    </row>
    <row r="36" spans="1:13" ht="14.25" customHeight="1" x14ac:dyDescent="0.2">
      <c r="A36" s="106" t="s">
        <v>4000</v>
      </c>
      <c r="B36" s="105" t="s">
        <v>3674</v>
      </c>
      <c r="C36" s="105" t="s">
        <v>4004</v>
      </c>
      <c r="D36" s="149" t="s">
        <v>3675</v>
      </c>
      <c r="E36" s="105">
        <v>1</v>
      </c>
      <c r="F36" s="133">
        <v>18.64</v>
      </c>
      <c r="G36" s="133">
        <v>21.5</v>
      </c>
      <c r="H36" s="109">
        <f t="shared" si="1"/>
        <v>21.5</v>
      </c>
      <c r="I36" s="119"/>
      <c r="J36" s="119">
        <v>0</v>
      </c>
      <c r="K36" s="119">
        <f t="shared" si="2"/>
        <v>21.5</v>
      </c>
      <c r="L36" s="152">
        <f t="shared" si="3"/>
        <v>18.64</v>
      </c>
      <c r="M36" s="113"/>
    </row>
    <row r="37" spans="1:13" ht="14.25" customHeight="1" x14ac:dyDescent="0.2">
      <c r="A37" s="106" t="s">
        <v>4000</v>
      </c>
      <c r="B37" s="105" t="s">
        <v>2857</v>
      </c>
      <c r="C37" s="105" t="s">
        <v>4004</v>
      </c>
      <c r="D37" s="149" t="s">
        <v>2859</v>
      </c>
      <c r="E37" s="105">
        <v>3</v>
      </c>
      <c r="F37" s="133">
        <v>6.97</v>
      </c>
      <c r="G37" s="133">
        <v>8</v>
      </c>
      <c r="H37" s="109">
        <f t="shared" si="1"/>
        <v>24</v>
      </c>
      <c r="I37" s="119"/>
      <c r="J37" s="119">
        <v>0</v>
      </c>
      <c r="K37" s="119">
        <f t="shared" si="2"/>
        <v>24</v>
      </c>
      <c r="L37" s="152">
        <f t="shared" si="3"/>
        <v>20.91</v>
      </c>
      <c r="M37" s="113"/>
    </row>
    <row r="38" spans="1:13" ht="14.25" customHeight="1" x14ac:dyDescent="0.2">
      <c r="A38" s="106" t="s">
        <v>4000</v>
      </c>
      <c r="B38" s="105" t="s">
        <v>2082</v>
      </c>
      <c r="C38" s="105" t="s">
        <v>4004</v>
      </c>
      <c r="D38" s="149" t="s">
        <v>2083</v>
      </c>
      <c r="E38" s="105">
        <v>1</v>
      </c>
      <c r="F38" s="133">
        <v>10.199999999999999</v>
      </c>
      <c r="G38" s="133">
        <v>12.25</v>
      </c>
      <c r="H38" s="109">
        <f t="shared" si="1"/>
        <v>12.25</v>
      </c>
      <c r="I38" s="119"/>
      <c r="J38" s="119">
        <v>0</v>
      </c>
      <c r="K38" s="119">
        <f t="shared" si="2"/>
        <v>12.25</v>
      </c>
      <c r="L38" s="152">
        <f t="shared" si="3"/>
        <v>10.199999999999999</v>
      </c>
      <c r="M38" s="113"/>
    </row>
    <row r="39" spans="1:13" ht="14.25" customHeight="1" x14ac:dyDescent="0.2">
      <c r="A39" s="106" t="s">
        <v>4000</v>
      </c>
      <c r="B39" s="105" t="s">
        <v>2581</v>
      </c>
      <c r="C39" s="105" t="s">
        <v>4004</v>
      </c>
      <c r="D39" s="149" t="s">
        <v>2583</v>
      </c>
      <c r="E39" s="105">
        <v>2</v>
      </c>
      <c r="F39" s="133">
        <v>6.02</v>
      </c>
      <c r="G39" s="133">
        <v>7.25</v>
      </c>
      <c r="H39" s="109">
        <f t="shared" si="1"/>
        <v>14.5</v>
      </c>
      <c r="I39" s="119"/>
      <c r="J39" s="119">
        <v>0</v>
      </c>
      <c r="K39" s="119">
        <f t="shared" si="2"/>
        <v>14.5</v>
      </c>
      <c r="L39" s="152">
        <f t="shared" si="3"/>
        <v>12.04</v>
      </c>
      <c r="M39" s="113"/>
    </row>
    <row r="40" spans="1:13" ht="14.25" customHeight="1" x14ac:dyDescent="0.2">
      <c r="A40" s="153" t="s">
        <v>4000</v>
      </c>
      <c r="B40" s="154" t="s">
        <v>1777</v>
      </c>
      <c r="C40" s="154" t="s">
        <v>4006</v>
      </c>
      <c r="D40" s="155" t="s">
        <v>1779</v>
      </c>
      <c r="E40" s="154">
        <v>1</v>
      </c>
      <c r="F40" s="236"/>
      <c r="G40" s="236">
        <v>58</v>
      </c>
      <c r="H40" s="237">
        <f t="shared" si="1"/>
        <v>58</v>
      </c>
      <c r="I40" s="147"/>
      <c r="J40" s="147">
        <v>0</v>
      </c>
      <c r="K40" s="147">
        <f t="shared" si="2"/>
        <v>58</v>
      </c>
      <c r="L40" s="148">
        <f t="shared" si="3"/>
        <v>0</v>
      </c>
      <c r="M40" s="113"/>
    </row>
    <row r="41" spans="1:13" ht="14.25" customHeight="1" x14ac:dyDescent="0.2">
      <c r="A41" s="106" t="s">
        <v>4000</v>
      </c>
      <c r="B41" s="105" t="s">
        <v>2323</v>
      </c>
      <c r="C41" s="105" t="s">
        <v>4007</v>
      </c>
      <c r="D41" s="149" t="s">
        <v>2325</v>
      </c>
      <c r="E41" s="105">
        <v>2</v>
      </c>
      <c r="F41" s="133">
        <v>19.100000000000001</v>
      </c>
      <c r="G41" s="133">
        <v>22</v>
      </c>
      <c r="H41" s="109">
        <f t="shared" si="1"/>
        <v>44</v>
      </c>
      <c r="I41" s="119"/>
      <c r="J41" s="119">
        <v>0</v>
      </c>
      <c r="K41" s="119">
        <f t="shared" si="2"/>
        <v>44</v>
      </c>
      <c r="L41" s="152">
        <f t="shared" si="3"/>
        <v>38.200000000000003</v>
      </c>
      <c r="M41" s="113"/>
    </row>
    <row r="42" spans="1:13" ht="14.25" customHeight="1" x14ac:dyDescent="0.2">
      <c r="A42" s="106" t="s">
        <v>4000</v>
      </c>
      <c r="B42" s="105" t="s">
        <v>1920</v>
      </c>
      <c r="C42" s="105" t="s">
        <v>4008</v>
      </c>
      <c r="D42" s="149" t="s">
        <v>1921</v>
      </c>
      <c r="E42" s="105">
        <v>1</v>
      </c>
      <c r="F42" s="133">
        <v>13.32</v>
      </c>
      <c r="G42" s="133">
        <v>15.5</v>
      </c>
      <c r="H42" s="109">
        <f t="shared" si="1"/>
        <v>15.5</v>
      </c>
      <c r="I42" s="119"/>
      <c r="J42" s="119">
        <v>0</v>
      </c>
      <c r="K42" s="119">
        <f t="shared" si="2"/>
        <v>15.5</v>
      </c>
      <c r="L42" s="152">
        <f t="shared" si="3"/>
        <v>13.32</v>
      </c>
      <c r="M42" s="113"/>
    </row>
    <row r="43" spans="1:13" ht="14.25" customHeight="1" x14ac:dyDescent="0.2">
      <c r="A43" s="106" t="s">
        <v>4000</v>
      </c>
      <c r="B43" s="105" t="s">
        <v>2908</v>
      </c>
      <c r="C43" s="105" t="s">
        <v>4009</v>
      </c>
      <c r="D43" s="149" t="s">
        <v>2910</v>
      </c>
      <c r="E43" s="105">
        <v>5</v>
      </c>
      <c r="F43" s="133">
        <v>0.76</v>
      </c>
      <c r="G43" s="133">
        <v>1</v>
      </c>
      <c r="H43" s="109">
        <f t="shared" si="1"/>
        <v>5</v>
      </c>
      <c r="I43" s="119"/>
      <c r="J43" s="119">
        <v>0</v>
      </c>
      <c r="K43" s="119">
        <f t="shared" si="2"/>
        <v>5</v>
      </c>
      <c r="L43" s="152">
        <f t="shared" si="3"/>
        <v>3.8</v>
      </c>
      <c r="M43" s="113"/>
    </row>
    <row r="44" spans="1:13" ht="14.25" customHeight="1" x14ac:dyDescent="0.2">
      <c r="A44" s="106" t="s">
        <v>4000</v>
      </c>
      <c r="B44" s="105" t="s">
        <v>2002</v>
      </c>
      <c r="C44" s="105" t="s">
        <v>4010</v>
      </c>
      <c r="D44" s="149" t="s">
        <v>2004</v>
      </c>
      <c r="E44" s="105">
        <v>1</v>
      </c>
      <c r="F44" s="133">
        <v>12.56</v>
      </c>
      <c r="G44" s="133">
        <v>14.25</v>
      </c>
      <c r="H44" s="109">
        <f t="shared" si="1"/>
        <v>14.25</v>
      </c>
      <c r="I44" s="119"/>
      <c r="J44" s="119">
        <v>0</v>
      </c>
      <c r="K44" s="119">
        <f t="shared" si="2"/>
        <v>14.25</v>
      </c>
      <c r="L44" s="152">
        <f t="shared" si="3"/>
        <v>12.56</v>
      </c>
      <c r="M44" s="113"/>
    </row>
    <row r="45" spans="1:13" ht="14.25" customHeight="1" x14ac:dyDescent="0.2">
      <c r="A45" s="106" t="s">
        <v>4000</v>
      </c>
      <c r="B45" s="105" t="s">
        <v>3457</v>
      </c>
      <c r="C45" s="105" t="s">
        <v>4011</v>
      </c>
      <c r="D45" s="149" t="s">
        <v>3458</v>
      </c>
      <c r="E45" s="105">
        <v>1</v>
      </c>
      <c r="F45" s="133">
        <v>51.97</v>
      </c>
      <c r="G45" s="133">
        <v>60</v>
      </c>
      <c r="H45" s="109">
        <f t="shared" si="1"/>
        <v>60</v>
      </c>
      <c r="I45" s="119"/>
      <c r="J45" s="119">
        <v>0</v>
      </c>
      <c r="K45" s="119">
        <f t="shared" si="2"/>
        <v>60</v>
      </c>
      <c r="L45" s="152">
        <f t="shared" si="3"/>
        <v>51.97</v>
      </c>
      <c r="M45" s="113"/>
    </row>
    <row r="46" spans="1:13" ht="14.25" customHeight="1" x14ac:dyDescent="0.2">
      <c r="A46" s="106" t="s">
        <v>4000</v>
      </c>
      <c r="B46" s="105" t="s">
        <v>3848</v>
      </c>
      <c r="C46" s="105" t="s">
        <v>4011</v>
      </c>
      <c r="D46" s="149" t="s">
        <v>3849</v>
      </c>
      <c r="E46" s="105">
        <v>2</v>
      </c>
      <c r="F46" s="133">
        <v>6.37</v>
      </c>
      <c r="G46" s="133">
        <v>7.5</v>
      </c>
      <c r="H46" s="109">
        <f t="shared" si="1"/>
        <v>15</v>
      </c>
      <c r="I46" s="119"/>
      <c r="J46" s="119">
        <v>0</v>
      </c>
      <c r="K46" s="119">
        <f t="shared" si="2"/>
        <v>15</v>
      </c>
      <c r="L46" s="152">
        <f t="shared" si="3"/>
        <v>12.74</v>
      </c>
      <c r="M46" s="113"/>
    </row>
    <row r="47" spans="1:13" ht="14.25" customHeight="1" x14ac:dyDescent="0.2">
      <c r="A47" s="106" t="s">
        <v>4000</v>
      </c>
      <c r="B47" s="105" t="s">
        <v>2878</v>
      </c>
      <c r="C47" s="105" t="s">
        <v>4011</v>
      </c>
      <c r="D47" s="149" t="s">
        <v>2880</v>
      </c>
      <c r="E47" s="105">
        <v>3</v>
      </c>
      <c r="F47" s="133">
        <v>60.4</v>
      </c>
      <c r="G47" s="133">
        <v>70</v>
      </c>
      <c r="H47" s="109">
        <f t="shared" si="1"/>
        <v>210</v>
      </c>
      <c r="I47" s="119"/>
      <c r="J47" s="119">
        <v>0</v>
      </c>
      <c r="K47" s="119">
        <f t="shared" si="2"/>
        <v>210</v>
      </c>
      <c r="L47" s="152">
        <f t="shared" si="3"/>
        <v>181.2</v>
      </c>
      <c r="M47" s="113"/>
    </row>
    <row r="48" spans="1:13" ht="14.25" customHeight="1" x14ac:dyDescent="0.2">
      <c r="A48" s="106" t="s">
        <v>4000</v>
      </c>
      <c r="B48" s="105" t="s">
        <v>3448</v>
      </c>
      <c r="C48" s="105" t="s">
        <v>4011</v>
      </c>
      <c r="D48" s="149" t="s">
        <v>3450</v>
      </c>
      <c r="E48" s="105">
        <v>3</v>
      </c>
      <c r="F48" s="133">
        <v>15.91</v>
      </c>
      <c r="G48" s="133">
        <v>18.5</v>
      </c>
      <c r="H48" s="109">
        <f t="shared" si="1"/>
        <v>55.5</v>
      </c>
      <c r="I48" s="119"/>
      <c r="J48" s="119">
        <v>0</v>
      </c>
      <c r="K48" s="119">
        <f t="shared" si="2"/>
        <v>55.5</v>
      </c>
      <c r="L48" s="152">
        <f t="shared" si="3"/>
        <v>47.730000000000004</v>
      </c>
      <c r="M48" s="113"/>
    </row>
    <row r="49" spans="1:13" ht="14.25" customHeight="1" x14ac:dyDescent="0.2">
      <c r="A49" s="106" t="s">
        <v>4000</v>
      </c>
      <c r="B49" s="105" t="s">
        <v>2686</v>
      </c>
      <c r="C49" s="105" t="s">
        <v>4011</v>
      </c>
      <c r="D49" s="149" t="s">
        <v>2687</v>
      </c>
      <c r="E49" s="105">
        <v>3</v>
      </c>
      <c r="F49" s="133">
        <v>51</v>
      </c>
      <c r="G49" s="133">
        <v>60.25</v>
      </c>
      <c r="H49" s="109">
        <f t="shared" si="1"/>
        <v>180.75</v>
      </c>
      <c r="I49" s="119"/>
      <c r="J49" s="119">
        <v>0</v>
      </c>
      <c r="K49" s="119">
        <f t="shared" si="2"/>
        <v>180.75</v>
      </c>
      <c r="L49" s="152">
        <f t="shared" si="3"/>
        <v>153</v>
      </c>
      <c r="M49" s="113"/>
    </row>
    <row r="50" spans="1:13" ht="14.25" customHeight="1" x14ac:dyDescent="0.2">
      <c r="A50" s="106" t="s">
        <v>4000</v>
      </c>
      <c r="B50" s="105" t="s">
        <v>2809</v>
      </c>
      <c r="C50" s="105" t="s">
        <v>4011</v>
      </c>
      <c r="D50" s="149" t="s">
        <v>2810</v>
      </c>
      <c r="E50" s="105">
        <v>1</v>
      </c>
      <c r="F50" s="133">
        <v>53.81</v>
      </c>
      <c r="G50" s="133">
        <v>62</v>
      </c>
      <c r="H50" s="109">
        <f t="shared" si="1"/>
        <v>62</v>
      </c>
      <c r="I50" s="119"/>
      <c r="J50" s="119">
        <v>0</v>
      </c>
      <c r="K50" s="119">
        <f t="shared" si="2"/>
        <v>62</v>
      </c>
      <c r="L50" s="152">
        <f t="shared" si="3"/>
        <v>53.81</v>
      </c>
      <c r="M50" s="113"/>
    </row>
    <row r="51" spans="1:13" ht="14.25" customHeight="1" x14ac:dyDescent="0.2">
      <c r="A51" s="106" t="s">
        <v>4000</v>
      </c>
      <c r="B51" s="105" t="s">
        <v>2162</v>
      </c>
      <c r="C51" s="105" t="s">
        <v>4011</v>
      </c>
      <c r="D51" s="149" t="s">
        <v>2163</v>
      </c>
      <c r="E51" s="105">
        <v>1</v>
      </c>
      <c r="F51" s="133">
        <v>67.290000000000006</v>
      </c>
      <c r="G51" s="133">
        <v>77.5</v>
      </c>
      <c r="H51" s="109">
        <f t="shared" si="1"/>
        <v>77.5</v>
      </c>
      <c r="I51" s="119"/>
      <c r="J51" s="119">
        <v>0</v>
      </c>
      <c r="K51" s="119">
        <f t="shared" si="2"/>
        <v>77.5</v>
      </c>
      <c r="L51" s="152">
        <f t="shared" si="3"/>
        <v>67.290000000000006</v>
      </c>
      <c r="M51" s="113"/>
    </row>
    <row r="52" spans="1:13" ht="14.25" customHeight="1" x14ac:dyDescent="0.2">
      <c r="A52" s="106" t="s">
        <v>4000</v>
      </c>
      <c r="B52" s="105" t="s">
        <v>2694</v>
      </c>
      <c r="C52" s="105" t="s">
        <v>4011</v>
      </c>
      <c r="D52" s="149" t="s">
        <v>2695</v>
      </c>
      <c r="E52" s="105">
        <v>1</v>
      </c>
      <c r="F52" s="133">
        <v>64.489999999999995</v>
      </c>
      <c r="G52" s="133">
        <v>74.25</v>
      </c>
      <c r="H52" s="109">
        <f t="shared" si="1"/>
        <v>74.25</v>
      </c>
      <c r="I52" s="119"/>
      <c r="J52" s="119">
        <v>0</v>
      </c>
      <c r="K52" s="119">
        <f t="shared" si="2"/>
        <v>74.25</v>
      </c>
      <c r="L52" s="152">
        <f t="shared" si="3"/>
        <v>64.489999999999995</v>
      </c>
      <c r="M52" s="113"/>
    </row>
    <row r="53" spans="1:13" ht="14.25" customHeight="1" x14ac:dyDescent="0.2">
      <c r="A53" s="106" t="s">
        <v>4000</v>
      </c>
      <c r="B53" s="105" t="s">
        <v>2158</v>
      </c>
      <c r="C53" s="105" t="s">
        <v>4011</v>
      </c>
      <c r="D53" s="149" t="s">
        <v>2160</v>
      </c>
      <c r="E53" s="105">
        <v>1</v>
      </c>
      <c r="F53" s="133">
        <v>58.56</v>
      </c>
      <c r="G53" s="133">
        <v>67.5</v>
      </c>
      <c r="H53" s="109">
        <f t="shared" si="1"/>
        <v>67.5</v>
      </c>
      <c r="I53" s="119"/>
      <c r="J53" s="119">
        <v>0</v>
      </c>
      <c r="K53" s="119">
        <f t="shared" si="2"/>
        <v>67.5</v>
      </c>
      <c r="L53" s="152">
        <f t="shared" si="3"/>
        <v>58.56</v>
      </c>
      <c r="M53" s="113"/>
    </row>
    <row r="54" spans="1:13" ht="14.25" customHeight="1" x14ac:dyDescent="0.2">
      <c r="A54" s="106" t="s">
        <v>4000</v>
      </c>
      <c r="B54" s="105" t="s">
        <v>3309</v>
      </c>
      <c r="C54" s="105" t="s">
        <v>4011</v>
      </c>
      <c r="D54" s="149" t="s">
        <v>3310</v>
      </c>
      <c r="E54" s="105">
        <v>1</v>
      </c>
      <c r="F54" s="133">
        <v>50.8</v>
      </c>
      <c r="G54" s="133">
        <v>58.5</v>
      </c>
      <c r="H54" s="109">
        <f t="shared" si="1"/>
        <v>58.5</v>
      </c>
      <c r="I54" s="119"/>
      <c r="J54" s="119">
        <v>0</v>
      </c>
      <c r="K54" s="119">
        <f t="shared" si="2"/>
        <v>58.5</v>
      </c>
      <c r="L54" s="152">
        <f t="shared" si="3"/>
        <v>50.8</v>
      </c>
      <c r="M54" s="113"/>
    </row>
    <row r="55" spans="1:13" ht="14.25" customHeight="1" x14ac:dyDescent="0.2">
      <c r="A55" s="106" t="s">
        <v>4000</v>
      </c>
      <c r="B55" s="105" t="s">
        <v>3065</v>
      </c>
      <c r="C55" s="105" t="s">
        <v>4011</v>
      </c>
      <c r="D55" s="149" t="s">
        <v>3067</v>
      </c>
      <c r="E55" s="105">
        <v>5</v>
      </c>
      <c r="F55" s="133">
        <v>13.39</v>
      </c>
      <c r="G55" s="133">
        <v>15.5</v>
      </c>
      <c r="H55" s="109">
        <f t="shared" si="1"/>
        <v>77.5</v>
      </c>
      <c r="I55" s="119"/>
      <c r="J55" s="119">
        <v>0</v>
      </c>
      <c r="K55" s="119">
        <f t="shared" si="2"/>
        <v>77.5</v>
      </c>
      <c r="L55" s="152">
        <f t="shared" si="3"/>
        <v>66.95</v>
      </c>
      <c r="M55" s="113"/>
    </row>
    <row r="56" spans="1:13" ht="14.25" customHeight="1" x14ac:dyDescent="0.2">
      <c r="A56" s="106" t="s">
        <v>4000</v>
      </c>
      <c r="B56" s="105" t="s">
        <v>1944</v>
      </c>
      <c r="C56" s="105" t="s">
        <v>4011</v>
      </c>
      <c r="D56" s="149" t="s">
        <v>1946</v>
      </c>
      <c r="E56" s="105">
        <v>5</v>
      </c>
      <c r="F56" s="133">
        <v>14.38</v>
      </c>
      <c r="G56" s="133">
        <v>16.75</v>
      </c>
      <c r="H56" s="109">
        <f t="shared" si="1"/>
        <v>83.75</v>
      </c>
      <c r="I56" s="119"/>
      <c r="J56" s="119">
        <v>0</v>
      </c>
      <c r="K56" s="119">
        <f t="shared" si="2"/>
        <v>83.75</v>
      </c>
      <c r="L56" s="152">
        <f t="shared" si="3"/>
        <v>71.900000000000006</v>
      </c>
      <c r="M56" s="113"/>
    </row>
    <row r="57" spans="1:13" ht="14.25" customHeight="1" x14ac:dyDescent="0.2">
      <c r="A57" s="106" t="s">
        <v>4000</v>
      </c>
      <c r="B57" s="105" t="s">
        <v>2245</v>
      </c>
      <c r="C57" s="105" t="s">
        <v>4011</v>
      </c>
      <c r="D57" s="149" t="s">
        <v>2246</v>
      </c>
      <c r="E57" s="105">
        <v>32</v>
      </c>
      <c r="F57" s="133">
        <v>4.74</v>
      </c>
      <c r="G57" s="133">
        <v>5.5</v>
      </c>
      <c r="H57" s="109">
        <f t="shared" si="1"/>
        <v>176</v>
      </c>
      <c r="I57" s="119"/>
      <c r="J57" s="119">
        <v>0</v>
      </c>
      <c r="K57" s="119">
        <f t="shared" si="2"/>
        <v>176</v>
      </c>
      <c r="L57" s="152">
        <f t="shared" si="3"/>
        <v>151.68</v>
      </c>
      <c r="M57" s="113"/>
    </row>
    <row r="58" spans="1:13" ht="14.25" customHeight="1" x14ac:dyDescent="0.2">
      <c r="A58" s="106" t="s">
        <v>4000</v>
      </c>
      <c r="B58" s="105" t="s">
        <v>3765</v>
      </c>
      <c r="C58" s="105" t="s">
        <v>4011</v>
      </c>
      <c r="D58" s="149" t="s">
        <v>3766</v>
      </c>
      <c r="E58" s="105">
        <v>5</v>
      </c>
      <c r="F58" s="133">
        <v>65.95</v>
      </c>
      <c r="G58" s="133">
        <v>76</v>
      </c>
      <c r="H58" s="109">
        <f t="shared" si="1"/>
        <v>380</v>
      </c>
      <c r="I58" s="119"/>
      <c r="J58" s="119">
        <v>0</v>
      </c>
      <c r="K58" s="119">
        <f t="shared" si="2"/>
        <v>380</v>
      </c>
      <c r="L58" s="152">
        <f t="shared" si="3"/>
        <v>329.75</v>
      </c>
      <c r="M58" s="113"/>
    </row>
    <row r="59" spans="1:13" ht="14.25" customHeight="1" x14ac:dyDescent="0.2">
      <c r="A59" s="106" t="s">
        <v>4000</v>
      </c>
      <c r="B59" s="105" t="s">
        <v>3043</v>
      </c>
      <c r="C59" s="105" t="s">
        <v>4011</v>
      </c>
      <c r="D59" s="149" t="s">
        <v>3044</v>
      </c>
      <c r="E59" s="105">
        <v>1</v>
      </c>
      <c r="F59" s="133">
        <v>301.87</v>
      </c>
      <c r="G59" s="133">
        <v>347.25</v>
      </c>
      <c r="H59" s="109">
        <f t="shared" si="1"/>
        <v>347.25</v>
      </c>
      <c r="I59" s="119"/>
      <c r="J59" s="119">
        <v>0</v>
      </c>
      <c r="K59" s="119">
        <f t="shared" si="2"/>
        <v>347.25</v>
      </c>
      <c r="L59" s="152">
        <f t="shared" si="3"/>
        <v>301.87</v>
      </c>
      <c r="M59" s="113"/>
    </row>
    <row r="60" spans="1:13" ht="14.25" customHeight="1" x14ac:dyDescent="0.2">
      <c r="A60" s="106" t="s">
        <v>4000</v>
      </c>
      <c r="B60" s="105" t="s">
        <v>2481</v>
      </c>
      <c r="C60" s="105" t="s">
        <v>4011</v>
      </c>
      <c r="D60" s="149" t="s">
        <v>2482</v>
      </c>
      <c r="E60" s="105">
        <v>1</v>
      </c>
      <c r="F60" s="133">
        <v>723.8</v>
      </c>
      <c r="G60" s="133">
        <v>832.5</v>
      </c>
      <c r="H60" s="109">
        <f t="shared" si="1"/>
        <v>832.5</v>
      </c>
      <c r="I60" s="119"/>
      <c r="J60" s="119">
        <v>0</v>
      </c>
      <c r="K60" s="119">
        <f t="shared" si="2"/>
        <v>832.5</v>
      </c>
      <c r="L60" s="152">
        <f t="shared" si="3"/>
        <v>723.8</v>
      </c>
      <c r="M60" s="113"/>
    </row>
    <row r="61" spans="1:13" ht="14.25" customHeight="1" x14ac:dyDescent="0.2">
      <c r="A61" s="106" t="s">
        <v>4000</v>
      </c>
      <c r="B61" s="105" t="s">
        <v>3158</v>
      </c>
      <c r="C61" s="105" t="s">
        <v>4011</v>
      </c>
      <c r="D61" s="149" t="s">
        <v>3159</v>
      </c>
      <c r="E61" s="105">
        <v>1</v>
      </c>
      <c r="F61" s="133">
        <v>1160.3499999999999</v>
      </c>
      <c r="G61" s="133">
        <v>1334.5</v>
      </c>
      <c r="H61" s="109">
        <f t="shared" si="1"/>
        <v>1334.5</v>
      </c>
      <c r="I61" s="119"/>
      <c r="J61" s="119">
        <v>0</v>
      </c>
      <c r="K61" s="119">
        <f t="shared" si="2"/>
        <v>1334.5</v>
      </c>
      <c r="L61" s="152">
        <f t="shared" si="3"/>
        <v>1160.3499999999999</v>
      </c>
      <c r="M61" s="113"/>
    </row>
    <row r="62" spans="1:13" ht="14.25" customHeight="1" x14ac:dyDescent="0.2">
      <c r="A62" s="106" t="s">
        <v>4000</v>
      </c>
      <c r="B62" s="105" t="s">
        <v>3101</v>
      </c>
      <c r="C62" s="105" t="s">
        <v>4011</v>
      </c>
      <c r="D62" s="149" t="s">
        <v>3102</v>
      </c>
      <c r="E62" s="105">
        <v>12</v>
      </c>
      <c r="F62" s="133">
        <v>30.83</v>
      </c>
      <c r="G62" s="133">
        <v>35.5</v>
      </c>
      <c r="H62" s="109">
        <f t="shared" si="1"/>
        <v>426</v>
      </c>
      <c r="I62" s="119"/>
      <c r="J62" s="119">
        <v>0</v>
      </c>
      <c r="K62" s="119">
        <f t="shared" si="2"/>
        <v>426</v>
      </c>
      <c r="L62" s="152">
        <f t="shared" si="3"/>
        <v>369.96</v>
      </c>
      <c r="M62" s="113"/>
    </row>
    <row r="63" spans="1:13" ht="14.25" customHeight="1" x14ac:dyDescent="0.2">
      <c r="A63" s="106" t="s">
        <v>4000</v>
      </c>
      <c r="B63" s="105" t="s">
        <v>2507</v>
      </c>
      <c r="C63" s="105" t="s">
        <v>4011</v>
      </c>
      <c r="D63" s="149" t="s">
        <v>2508</v>
      </c>
      <c r="E63" s="105">
        <v>5</v>
      </c>
      <c r="F63" s="133">
        <v>48.6</v>
      </c>
      <c r="G63" s="133">
        <v>56</v>
      </c>
      <c r="H63" s="109">
        <f t="shared" si="1"/>
        <v>280</v>
      </c>
      <c r="I63" s="119"/>
      <c r="J63" s="119">
        <v>0</v>
      </c>
      <c r="K63" s="119">
        <f t="shared" si="2"/>
        <v>280</v>
      </c>
      <c r="L63" s="152">
        <f t="shared" si="3"/>
        <v>243</v>
      </c>
      <c r="M63" s="113"/>
    </row>
    <row r="64" spans="1:13" ht="14.25" customHeight="1" x14ac:dyDescent="0.2">
      <c r="A64" s="106" t="s">
        <v>4000</v>
      </c>
      <c r="B64" s="105" t="s">
        <v>2521</v>
      </c>
      <c r="C64" s="105" t="s">
        <v>4011</v>
      </c>
      <c r="D64" s="149" t="s">
        <v>2522</v>
      </c>
      <c r="E64" s="105">
        <v>11</v>
      </c>
      <c r="F64" s="133">
        <v>6.02</v>
      </c>
      <c r="G64" s="133">
        <v>7.25</v>
      </c>
      <c r="H64" s="109">
        <f t="shared" si="1"/>
        <v>79.75</v>
      </c>
      <c r="I64" s="119"/>
      <c r="J64" s="119">
        <v>0</v>
      </c>
      <c r="K64" s="119">
        <f t="shared" si="2"/>
        <v>79.75</v>
      </c>
      <c r="L64" s="152">
        <f t="shared" si="3"/>
        <v>66.22</v>
      </c>
      <c r="M64" s="113"/>
    </row>
    <row r="65" spans="1:13" ht="14.25" customHeight="1" x14ac:dyDescent="0.2">
      <c r="A65" s="106" t="s">
        <v>4000</v>
      </c>
      <c r="B65" s="105" t="s">
        <v>2581</v>
      </c>
      <c r="C65" s="105" t="s">
        <v>4011</v>
      </c>
      <c r="D65" s="149" t="s">
        <v>2583</v>
      </c>
      <c r="E65" s="105">
        <v>11</v>
      </c>
      <c r="F65" s="133">
        <v>6.02</v>
      </c>
      <c r="G65" s="133">
        <v>7.25</v>
      </c>
      <c r="H65" s="109">
        <f t="shared" si="1"/>
        <v>79.75</v>
      </c>
      <c r="I65" s="119"/>
      <c r="J65" s="119">
        <v>0</v>
      </c>
      <c r="K65" s="119">
        <f t="shared" si="2"/>
        <v>79.75</v>
      </c>
      <c r="L65" s="152">
        <f t="shared" si="3"/>
        <v>66.22</v>
      </c>
      <c r="M65" s="113"/>
    </row>
    <row r="66" spans="1:13" ht="14.25" customHeight="1" x14ac:dyDescent="0.2">
      <c r="A66" s="106" t="s">
        <v>4000</v>
      </c>
      <c r="B66" s="105" t="s">
        <v>2416</v>
      </c>
      <c r="C66" s="105" t="s">
        <v>4011</v>
      </c>
      <c r="D66" s="149" t="s">
        <v>2417</v>
      </c>
      <c r="E66" s="105">
        <v>4</v>
      </c>
      <c r="F66" s="133">
        <v>20.88</v>
      </c>
      <c r="G66" s="133">
        <v>24</v>
      </c>
      <c r="H66" s="109">
        <f t="shared" si="1"/>
        <v>96</v>
      </c>
      <c r="I66" s="119"/>
      <c r="J66" s="119">
        <v>0</v>
      </c>
      <c r="K66" s="119">
        <f t="shared" si="2"/>
        <v>96</v>
      </c>
      <c r="L66" s="152">
        <f t="shared" si="3"/>
        <v>83.52</v>
      </c>
      <c r="M66" s="113"/>
    </row>
    <row r="67" spans="1:13" ht="14.25" customHeight="1" x14ac:dyDescent="0.2">
      <c r="A67" s="106" t="s">
        <v>4000</v>
      </c>
      <c r="B67" s="105" t="s">
        <v>3072</v>
      </c>
      <c r="C67" s="105" t="s">
        <v>4012</v>
      </c>
      <c r="D67" s="149" t="s">
        <v>3074</v>
      </c>
      <c r="E67" s="105">
        <v>1</v>
      </c>
      <c r="F67" s="133">
        <v>16.91</v>
      </c>
      <c r="G67" s="133">
        <v>18.600000000000001</v>
      </c>
      <c r="H67" s="109">
        <f t="shared" si="1"/>
        <v>18.600000000000001</v>
      </c>
      <c r="I67" s="119"/>
      <c r="J67" s="119">
        <v>0</v>
      </c>
      <c r="K67" s="119">
        <f t="shared" si="2"/>
        <v>18.600000000000001</v>
      </c>
      <c r="L67" s="152">
        <f t="shared" si="3"/>
        <v>16.91</v>
      </c>
      <c r="M67" s="113"/>
    </row>
    <row r="68" spans="1:13" ht="14.25" customHeight="1" x14ac:dyDescent="0.2">
      <c r="A68" s="106" t="s">
        <v>4000</v>
      </c>
      <c r="B68" s="105" t="s">
        <v>2018</v>
      </c>
      <c r="C68" s="105" t="s">
        <v>4012</v>
      </c>
      <c r="D68" s="149" t="s">
        <v>2019</v>
      </c>
      <c r="E68" s="105">
        <v>1</v>
      </c>
      <c r="F68" s="133">
        <v>30.79</v>
      </c>
      <c r="G68" s="133">
        <v>36.75</v>
      </c>
      <c r="H68" s="109">
        <f t="shared" si="1"/>
        <v>36.75</v>
      </c>
      <c r="I68" s="119"/>
      <c r="J68" s="119">
        <v>0</v>
      </c>
      <c r="K68" s="119">
        <f t="shared" si="2"/>
        <v>36.75</v>
      </c>
      <c r="L68" s="152">
        <f t="shared" si="3"/>
        <v>30.79</v>
      </c>
      <c r="M68" s="113"/>
    </row>
    <row r="69" spans="1:13" ht="14.25" customHeight="1" x14ac:dyDescent="0.2">
      <c r="A69" s="106" t="s">
        <v>4000</v>
      </c>
      <c r="B69" s="105" t="s">
        <v>3348</v>
      </c>
      <c r="C69" s="105" t="s">
        <v>4013</v>
      </c>
      <c r="D69" s="149" t="s">
        <v>3349</v>
      </c>
      <c r="E69" s="105">
        <v>12</v>
      </c>
      <c r="F69" s="133">
        <v>14.91</v>
      </c>
      <c r="G69" s="133">
        <v>17.25</v>
      </c>
      <c r="H69" s="109">
        <f t="shared" si="1"/>
        <v>207</v>
      </c>
      <c r="I69" s="119"/>
      <c r="J69" s="119">
        <v>0</v>
      </c>
      <c r="K69" s="119">
        <f t="shared" si="2"/>
        <v>207</v>
      </c>
      <c r="L69" s="152">
        <f t="shared" si="3"/>
        <v>178.92000000000002</v>
      </c>
      <c r="M69" s="113"/>
    </row>
    <row r="70" spans="1:13" ht="14.25" customHeight="1" x14ac:dyDescent="0.2">
      <c r="A70" s="106" t="s">
        <v>4000</v>
      </c>
      <c r="B70" s="105" t="s">
        <v>3352</v>
      </c>
      <c r="C70" s="105" t="s">
        <v>4013</v>
      </c>
      <c r="D70" s="149" t="s">
        <v>3353</v>
      </c>
      <c r="E70" s="105">
        <v>3</v>
      </c>
      <c r="F70" s="133">
        <v>6.12</v>
      </c>
      <c r="G70" s="133">
        <v>7.5</v>
      </c>
      <c r="H70" s="109">
        <f t="shared" si="1"/>
        <v>22.5</v>
      </c>
      <c r="I70" s="119"/>
      <c r="J70" s="119">
        <v>0</v>
      </c>
      <c r="K70" s="119">
        <f t="shared" si="2"/>
        <v>22.5</v>
      </c>
      <c r="L70" s="152">
        <f t="shared" si="3"/>
        <v>18.36</v>
      </c>
      <c r="M70" s="113"/>
    </row>
    <row r="71" spans="1:13" ht="14.25" customHeight="1" x14ac:dyDescent="0.2">
      <c r="A71" s="106" t="s">
        <v>4000</v>
      </c>
      <c r="B71" s="105" t="s">
        <v>1977</v>
      </c>
      <c r="C71" s="105" t="s">
        <v>4014</v>
      </c>
      <c r="D71" s="149" t="s">
        <v>1979</v>
      </c>
      <c r="E71" s="105">
        <v>5</v>
      </c>
      <c r="F71" s="133">
        <v>0.76</v>
      </c>
      <c r="G71" s="133">
        <v>1</v>
      </c>
      <c r="H71" s="109">
        <f t="shared" ref="H71:H134" si="4">E71*G71</f>
        <v>5</v>
      </c>
      <c r="I71" s="119"/>
      <c r="J71" s="119">
        <v>0</v>
      </c>
      <c r="K71" s="119">
        <f t="shared" ref="K71:K134" si="5">H71+I71-J71</f>
        <v>5</v>
      </c>
      <c r="L71" s="152">
        <f t="shared" ref="L71:L134" si="6">E71*F71</f>
        <v>3.8</v>
      </c>
      <c r="M71" s="113"/>
    </row>
    <row r="72" spans="1:13" ht="14.25" customHeight="1" x14ac:dyDescent="0.2">
      <c r="A72" s="106" t="s">
        <v>4000</v>
      </c>
      <c r="B72" s="105" t="s">
        <v>4015</v>
      </c>
      <c r="C72" s="105" t="s">
        <v>4016</v>
      </c>
      <c r="D72" s="149" t="s">
        <v>4017</v>
      </c>
      <c r="E72" s="105">
        <v>1</v>
      </c>
      <c r="F72" s="133">
        <v>88</v>
      </c>
      <c r="G72" s="133">
        <v>101.25</v>
      </c>
      <c r="H72" s="109">
        <f t="shared" si="4"/>
        <v>101.25</v>
      </c>
      <c r="I72" s="119"/>
      <c r="J72" s="119">
        <v>0</v>
      </c>
      <c r="K72" s="119">
        <f t="shared" si="5"/>
        <v>101.25</v>
      </c>
      <c r="L72" s="152">
        <f t="shared" si="6"/>
        <v>88</v>
      </c>
      <c r="M72" s="113"/>
    </row>
    <row r="73" spans="1:13" ht="14.25" customHeight="1" x14ac:dyDescent="0.2">
      <c r="A73" s="106" t="s">
        <v>4000</v>
      </c>
      <c r="B73" s="105" t="s">
        <v>2576</v>
      </c>
      <c r="C73" s="105" t="s">
        <v>4018</v>
      </c>
      <c r="D73" s="149" t="s">
        <v>2578</v>
      </c>
      <c r="E73" s="105">
        <v>1</v>
      </c>
      <c r="F73" s="133">
        <v>49.75</v>
      </c>
      <c r="G73" s="133">
        <v>57.25</v>
      </c>
      <c r="H73" s="109">
        <f t="shared" si="4"/>
        <v>57.25</v>
      </c>
      <c r="I73" s="119"/>
      <c r="J73" s="119">
        <v>0</v>
      </c>
      <c r="K73" s="119">
        <f t="shared" si="5"/>
        <v>57.25</v>
      </c>
      <c r="L73" s="152">
        <f t="shared" si="6"/>
        <v>49.75</v>
      </c>
      <c r="M73" s="113"/>
    </row>
    <row r="74" spans="1:13" ht="14.25" customHeight="1" x14ac:dyDescent="0.2">
      <c r="A74" s="106" t="s">
        <v>4000</v>
      </c>
      <c r="B74" s="105" t="s">
        <v>2576</v>
      </c>
      <c r="C74" s="105" t="s">
        <v>4019</v>
      </c>
      <c r="D74" s="149" t="s">
        <v>2578</v>
      </c>
      <c r="E74" s="105">
        <v>1</v>
      </c>
      <c r="F74" s="133">
        <v>49.75</v>
      </c>
      <c r="G74" s="133">
        <v>57.25</v>
      </c>
      <c r="H74" s="109">
        <f t="shared" si="4"/>
        <v>57.25</v>
      </c>
      <c r="I74" s="119"/>
      <c r="J74" s="119">
        <v>0</v>
      </c>
      <c r="K74" s="119">
        <f t="shared" si="5"/>
        <v>57.25</v>
      </c>
      <c r="L74" s="152">
        <f t="shared" si="6"/>
        <v>49.75</v>
      </c>
      <c r="M74" s="113"/>
    </row>
    <row r="75" spans="1:13" ht="14.25" customHeight="1" x14ac:dyDescent="0.2">
      <c r="A75" s="106" t="s">
        <v>4000</v>
      </c>
      <c r="B75" s="105" t="s">
        <v>2760</v>
      </c>
      <c r="C75" s="105" t="s">
        <v>4020</v>
      </c>
      <c r="D75" s="149" t="s">
        <v>2761</v>
      </c>
      <c r="E75" s="105">
        <v>1</v>
      </c>
      <c r="F75" s="133">
        <v>18.5</v>
      </c>
      <c r="G75" s="133">
        <v>21.5</v>
      </c>
      <c r="H75" s="109">
        <f t="shared" si="4"/>
        <v>21.5</v>
      </c>
      <c r="I75" s="119"/>
      <c r="J75" s="119">
        <v>0</v>
      </c>
      <c r="K75" s="119">
        <f t="shared" si="5"/>
        <v>21.5</v>
      </c>
      <c r="L75" s="152">
        <f t="shared" si="6"/>
        <v>18.5</v>
      </c>
      <c r="M75" s="113"/>
    </row>
    <row r="76" spans="1:13" ht="14.25" customHeight="1" x14ac:dyDescent="0.2">
      <c r="A76" s="106" t="s">
        <v>4000</v>
      </c>
      <c r="B76" s="105" t="s">
        <v>1877</v>
      </c>
      <c r="C76" s="105" t="s">
        <v>4020</v>
      </c>
      <c r="D76" s="149" t="s">
        <v>1878</v>
      </c>
      <c r="E76" s="105">
        <v>1</v>
      </c>
      <c r="F76" s="133">
        <v>18.2</v>
      </c>
      <c r="G76" s="133">
        <v>21</v>
      </c>
      <c r="H76" s="109">
        <f t="shared" si="4"/>
        <v>21</v>
      </c>
      <c r="I76" s="119"/>
      <c r="J76" s="119">
        <v>0</v>
      </c>
      <c r="K76" s="119">
        <f t="shared" si="5"/>
        <v>21</v>
      </c>
      <c r="L76" s="152">
        <f t="shared" si="6"/>
        <v>18.2</v>
      </c>
      <c r="M76" s="113"/>
    </row>
    <row r="77" spans="1:13" ht="14.25" customHeight="1" x14ac:dyDescent="0.2">
      <c r="A77" s="106" t="s">
        <v>4021</v>
      </c>
      <c r="B77" s="105" t="s">
        <v>4022</v>
      </c>
      <c r="C77" s="105" t="s">
        <v>4023</v>
      </c>
      <c r="D77" s="149" t="s">
        <v>4024</v>
      </c>
      <c r="E77" s="105">
        <v>5</v>
      </c>
      <c r="F77" s="133">
        <v>7.71</v>
      </c>
      <c r="G77" s="133">
        <v>9</v>
      </c>
      <c r="H77" s="109">
        <f t="shared" si="4"/>
        <v>45</v>
      </c>
      <c r="I77" s="119"/>
      <c r="J77" s="119">
        <v>0</v>
      </c>
      <c r="K77" s="119">
        <f t="shared" si="5"/>
        <v>45</v>
      </c>
      <c r="L77" s="152">
        <f t="shared" si="6"/>
        <v>38.549999999999997</v>
      </c>
      <c r="M77" s="113"/>
    </row>
    <row r="78" spans="1:13" ht="14.25" customHeight="1" x14ac:dyDescent="0.2">
      <c r="A78" s="106" t="s">
        <v>4025</v>
      </c>
      <c r="B78" s="105" t="s">
        <v>4026</v>
      </c>
      <c r="C78" s="105" t="s">
        <v>4023</v>
      </c>
      <c r="D78" s="149" t="s">
        <v>4027</v>
      </c>
      <c r="E78" s="105">
        <v>12</v>
      </c>
      <c r="F78" s="133">
        <v>5.46</v>
      </c>
      <c r="G78" s="133">
        <v>6.5</v>
      </c>
      <c r="H78" s="109">
        <f t="shared" si="4"/>
        <v>78</v>
      </c>
      <c r="I78" s="119"/>
      <c r="J78" s="119">
        <v>0</v>
      </c>
      <c r="K78" s="119">
        <f t="shared" si="5"/>
        <v>78</v>
      </c>
      <c r="L78" s="152">
        <f t="shared" si="6"/>
        <v>65.52</v>
      </c>
      <c r="M78" s="113"/>
    </row>
    <row r="79" spans="1:13" ht="14.25" customHeight="1" x14ac:dyDescent="0.2">
      <c r="A79" s="106" t="s">
        <v>4028</v>
      </c>
      <c r="B79" s="105" t="s">
        <v>4029</v>
      </c>
      <c r="C79" s="105" t="s">
        <v>4030</v>
      </c>
      <c r="D79" s="149" t="s">
        <v>4031</v>
      </c>
      <c r="E79" s="105">
        <v>1</v>
      </c>
      <c r="F79" s="133">
        <v>30.2</v>
      </c>
      <c r="G79" s="133">
        <v>34.75</v>
      </c>
      <c r="H79" s="109">
        <f t="shared" si="4"/>
        <v>34.75</v>
      </c>
      <c r="I79" s="119"/>
      <c r="J79" s="119">
        <v>0</v>
      </c>
      <c r="K79" s="119">
        <f t="shared" si="5"/>
        <v>34.75</v>
      </c>
      <c r="L79" s="152">
        <f t="shared" si="6"/>
        <v>30.2</v>
      </c>
      <c r="M79" s="113"/>
    </row>
    <row r="80" spans="1:13" ht="14.25" customHeight="1" x14ac:dyDescent="0.2">
      <c r="A80" s="106" t="s">
        <v>4028</v>
      </c>
      <c r="B80" s="105" t="s">
        <v>1781</v>
      </c>
      <c r="C80" s="105" t="s">
        <v>4032</v>
      </c>
      <c r="D80" s="149" t="s">
        <v>1782</v>
      </c>
      <c r="E80" s="105">
        <v>1</v>
      </c>
      <c r="F80" s="133">
        <v>9.3800000000000008</v>
      </c>
      <c r="G80" s="133">
        <v>11</v>
      </c>
      <c r="H80" s="109">
        <f t="shared" si="4"/>
        <v>11</v>
      </c>
      <c r="I80" s="119"/>
      <c r="J80" s="119">
        <v>0</v>
      </c>
      <c r="K80" s="119">
        <f t="shared" si="5"/>
        <v>11</v>
      </c>
      <c r="L80" s="152">
        <f t="shared" si="6"/>
        <v>9.3800000000000008</v>
      </c>
      <c r="M80" s="113"/>
    </row>
    <row r="81" spans="1:13" ht="14.25" customHeight="1" x14ac:dyDescent="0.2">
      <c r="A81" s="106" t="s">
        <v>4028</v>
      </c>
      <c r="B81" s="105" t="s">
        <v>3356</v>
      </c>
      <c r="C81" s="105" t="s">
        <v>4033</v>
      </c>
      <c r="D81" s="149" t="s">
        <v>3358</v>
      </c>
      <c r="E81" s="105">
        <v>1</v>
      </c>
      <c r="F81" s="133">
        <v>6.03</v>
      </c>
      <c r="G81" s="133">
        <v>7</v>
      </c>
      <c r="H81" s="109">
        <f t="shared" si="4"/>
        <v>7</v>
      </c>
      <c r="I81" s="119"/>
      <c r="J81" s="119">
        <v>0</v>
      </c>
      <c r="K81" s="119">
        <f t="shared" si="5"/>
        <v>7</v>
      </c>
      <c r="L81" s="152">
        <f t="shared" si="6"/>
        <v>6.03</v>
      </c>
      <c r="M81" s="113"/>
    </row>
    <row r="82" spans="1:13" ht="14.25" customHeight="1" x14ac:dyDescent="0.2">
      <c r="A82" s="106" t="s">
        <v>4028</v>
      </c>
      <c r="B82" s="105" t="s">
        <v>2298</v>
      </c>
      <c r="C82" s="105" t="s">
        <v>4034</v>
      </c>
      <c r="D82" s="149" t="s">
        <v>2299</v>
      </c>
      <c r="E82" s="105">
        <v>5</v>
      </c>
      <c r="F82" s="133">
        <v>20.8</v>
      </c>
      <c r="G82" s="133">
        <v>24</v>
      </c>
      <c r="H82" s="109">
        <f t="shared" si="4"/>
        <v>120</v>
      </c>
      <c r="I82" s="119"/>
      <c r="J82" s="119">
        <v>0</v>
      </c>
      <c r="K82" s="119">
        <f t="shared" si="5"/>
        <v>120</v>
      </c>
      <c r="L82" s="152">
        <f t="shared" si="6"/>
        <v>104</v>
      </c>
      <c r="M82" s="113"/>
    </row>
    <row r="83" spans="1:13" ht="14.25" customHeight="1" x14ac:dyDescent="0.2">
      <c r="A83" s="106" t="s">
        <v>4028</v>
      </c>
      <c r="B83" s="105" t="s">
        <v>3047</v>
      </c>
      <c r="C83" s="105" t="s">
        <v>4034</v>
      </c>
      <c r="D83" s="149" t="s">
        <v>3048</v>
      </c>
      <c r="E83" s="105">
        <v>3</v>
      </c>
      <c r="F83" s="133">
        <v>35.68</v>
      </c>
      <c r="G83" s="133">
        <v>41.25</v>
      </c>
      <c r="H83" s="109">
        <f t="shared" si="4"/>
        <v>123.75</v>
      </c>
      <c r="I83" s="119"/>
      <c r="J83" s="119">
        <v>0</v>
      </c>
      <c r="K83" s="119">
        <f t="shared" si="5"/>
        <v>123.75</v>
      </c>
      <c r="L83" s="152">
        <f t="shared" si="6"/>
        <v>107.03999999999999</v>
      </c>
      <c r="M83" s="113"/>
    </row>
    <row r="84" spans="1:13" ht="14.25" customHeight="1" x14ac:dyDescent="0.2">
      <c r="A84" s="106" t="s">
        <v>4028</v>
      </c>
      <c r="B84" s="105" t="s">
        <v>1944</v>
      </c>
      <c r="C84" s="105" t="s">
        <v>4034</v>
      </c>
      <c r="D84" s="149" t="s">
        <v>1946</v>
      </c>
      <c r="E84" s="105">
        <v>12</v>
      </c>
      <c r="F84" s="133">
        <v>14.38</v>
      </c>
      <c r="G84" s="133">
        <v>16.75</v>
      </c>
      <c r="H84" s="109">
        <f t="shared" si="4"/>
        <v>201</v>
      </c>
      <c r="I84" s="119"/>
      <c r="J84" s="119">
        <v>0</v>
      </c>
      <c r="K84" s="119">
        <f t="shared" si="5"/>
        <v>201</v>
      </c>
      <c r="L84" s="152">
        <f t="shared" si="6"/>
        <v>172.56</v>
      </c>
      <c r="M84" s="113"/>
    </row>
    <row r="85" spans="1:13" ht="14.25" customHeight="1" x14ac:dyDescent="0.2">
      <c r="A85" s="106" t="s">
        <v>4028</v>
      </c>
      <c r="B85" s="105" t="s">
        <v>4035</v>
      </c>
      <c r="C85" s="105" t="s">
        <v>4034</v>
      </c>
      <c r="D85" s="149" t="s">
        <v>4036</v>
      </c>
      <c r="E85" s="105">
        <v>3</v>
      </c>
      <c r="F85" s="133">
        <v>62.8</v>
      </c>
      <c r="G85" s="133">
        <v>72.25</v>
      </c>
      <c r="H85" s="109">
        <f t="shared" si="4"/>
        <v>216.75</v>
      </c>
      <c r="I85" s="119"/>
      <c r="J85" s="119">
        <v>0</v>
      </c>
      <c r="K85" s="119">
        <f t="shared" si="5"/>
        <v>216.75</v>
      </c>
      <c r="L85" s="152">
        <f t="shared" si="6"/>
        <v>188.39999999999998</v>
      </c>
      <c r="M85" s="113"/>
    </row>
    <row r="86" spans="1:13" ht="14.25" customHeight="1" x14ac:dyDescent="0.2">
      <c r="A86" s="106" t="s">
        <v>4028</v>
      </c>
      <c r="B86" s="105" t="s">
        <v>4037</v>
      </c>
      <c r="C86" s="105" t="s">
        <v>4038</v>
      </c>
      <c r="D86" s="149" t="s">
        <v>4039</v>
      </c>
      <c r="E86" s="105">
        <v>1</v>
      </c>
      <c r="F86" s="133">
        <v>148.25</v>
      </c>
      <c r="G86" s="133">
        <v>170.5</v>
      </c>
      <c r="H86" s="109">
        <f t="shared" si="4"/>
        <v>170.5</v>
      </c>
      <c r="I86" s="119"/>
      <c r="J86" s="119">
        <v>0</v>
      </c>
      <c r="K86" s="119">
        <f t="shared" si="5"/>
        <v>170.5</v>
      </c>
      <c r="L86" s="152">
        <f t="shared" si="6"/>
        <v>148.25</v>
      </c>
      <c r="M86" s="113"/>
    </row>
    <row r="87" spans="1:13" ht="14.25" customHeight="1" x14ac:dyDescent="0.2">
      <c r="A87" s="106" t="s">
        <v>4028</v>
      </c>
      <c r="B87" s="105" t="s">
        <v>2220</v>
      </c>
      <c r="C87" s="105" t="s">
        <v>4038</v>
      </c>
      <c r="D87" s="149" t="s">
        <v>2222</v>
      </c>
      <c r="E87" s="105">
        <v>2</v>
      </c>
      <c r="F87" s="133">
        <v>35.15</v>
      </c>
      <c r="G87" s="133">
        <v>41</v>
      </c>
      <c r="H87" s="109">
        <f t="shared" si="4"/>
        <v>82</v>
      </c>
      <c r="I87" s="119"/>
      <c r="J87" s="119">
        <v>0</v>
      </c>
      <c r="K87" s="119">
        <f t="shared" si="5"/>
        <v>82</v>
      </c>
      <c r="L87" s="152">
        <f t="shared" si="6"/>
        <v>70.3</v>
      </c>
      <c r="M87" s="113"/>
    </row>
    <row r="88" spans="1:13" ht="14.25" customHeight="1" x14ac:dyDescent="0.2">
      <c r="A88" s="106" t="s">
        <v>4028</v>
      </c>
      <c r="B88" s="105" t="s">
        <v>2488</v>
      </c>
      <c r="C88" s="105" t="s">
        <v>4038</v>
      </c>
      <c r="D88" s="149" t="s">
        <v>2489</v>
      </c>
      <c r="E88" s="105">
        <v>1</v>
      </c>
      <c r="F88" s="133">
        <v>31.19</v>
      </c>
      <c r="G88" s="133">
        <v>36</v>
      </c>
      <c r="H88" s="109">
        <f t="shared" si="4"/>
        <v>36</v>
      </c>
      <c r="I88" s="119"/>
      <c r="J88" s="119">
        <v>0</v>
      </c>
      <c r="K88" s="119">
        <f t="shared" si="5"/>
        <v>36</v>
      </c>
      <c r="L88" s="152">
        <f t="shared" si="6"/>
        <v>31.19</v>
      </c>
      <c r="M88" s="113"/>
    </row>
    <row r="89" spans="1:13" ht="14.25" customHeight="1" x14ac:dyDescent="0.2">
      <c r="A89" s="106" t="s">
        <v>4028</v>
      </c>
      <c r="B89" s="105" t="s">
        <v>2495</v>
      </c>
      <c r="C89" s="105" t="s">
        <v>4040</v>
      </c>
      <c r="D89" s="149" t="s">
        <v>2496</v>
      </c>
      <c r="E89" s="105">
        <v>1</v>
      </c>
      <c r="F89" s="133">
        <v>35.75</v>
      </c>
      <c r="G89" s="133">
        <v>41.25</v>
      </c>
      <c r="H89" s="109">
        <f t="shared" si="4"/>
        <v>41.25</v>
      </c>
      <c r="I89" s="119"/>
      <c r="J89" s="119">
        <v>0</v>
      </c>
      <c r="K89" s="119">
        <f t="shared" si="5"/>
        <v>41.25</v>
      </c>
      <c r="L89" s="152">
        <f t="shared" si="6"/>
        <v>35.75</v>
      </c>
      <c r="M89" s="113"/>
    </row>
    <row r="90" spans="1:13" ht="14.25" customHeight="1" x14ac:dyDescent="0.2">
      <c r="A90" s="106" t="s">
        <v>4028</v>
      </c>
      <c r="B90" s="105" t="s">
        <v>4041</v>
      </c>
      <c r="C90" s="105" t="s">
        <v>4042</v>
      </c>
      <c r="D90" s="149" t="s">
        <v>4043</v>
      </c>
      <c r="E90" s="105">
        <v>1</v>
      </c>
      <c r="F90" s="133">
        <v>19.350000000000001</v>
      </c>
      <c r="G90" s="133">
        <v>22.25</v>
      </c>
      <c r="H90" s="109">
        <f t="shared" si="4"/>
        <v>22.25</v>
      </c>
      <c r="I90" s="119"/>
      <c r="J90" s="119">
        <v>0</v>
      </c>
      <c r="K90" s="119">
        <f t="shared" si="5"/>
        <v>22.25</v>
      </c>
      <c r="L90" s="152">
        <f t="shared" si="6"/>
        <v>19.350000000000001</v>
      </c>
      <c r="M90" s="113"/>
    </row>
    <row r="91" spans="1:13" ht="14.25" customHeight="1" x14ac:dyDescent="0.2">
      <c r="A91" s="106" t="s">
        <v>4028</v>
      </c>
      <c r="B91" s="105" t="s">
        <v>2089</v>
      </c>
      <c r="C91" s="105" t="s">
        <v>4044</v>
      </c>
      <c r="D91" s="149" t="s">
        <v>2090</v>
      </c>
      <c r="E91" s="105">
        <v>5</v>
      </c>
      <c r="F91" s="133">
        <v>0.76</v>
      </c>
      <c r="G91" s="133">
        <v>1</v>
      </c>
      <c r="H91" s="109">
        <f t="shared" si="4"/>
        <v>5</v>
      </c>
      <c r="I91" s="119"/>
      <c r="J91" s="119">
        <v>0</v>
      </c>
      <c r="K91" s="119">
        <f t="shared" si="5"/>
        <v>5</v>
      </c>
      <c r="L91" s="152">
        <f t="shared" si="6"/>
        <v>3.8</v>
      </c>
      <c r="M91" s="113"/>
    </row>
    <row r="92" spans="1:13" ht="14.25" customHeight="1" x14ac:dyDescent="0.2">
      <c r="A92" s="106" t="s">
        <v>4028</v>
      </c>
      <c r="B92" s="105" t="s">
        <v>4045</v>
      </c>
      <c r="C92" s="105" t="s">
        <v>4046</v>
      </c>
      <c r="D92" s="149" t="s">
        <v>4047</v>
      </c>
      <c r="E92" s="105">
        <v>1</v>
      </c>
      <c r="F92" s="133">
        <v>40.74</v>
      </c>
      <c r="G92" s="133">
        <v>48.5</v>
      </c>
      <c r="H92" s="109">
        <f t="shared" si="4"/>
        <v>48.5</v>
      </c>
      <c r="I92" s="119"/>
      <c r="J92" s="119">
        <v>0</v>
      </c>
      <c r="K92" s="119">
        <f t="shared" si="5"/>
        <v>48.5</v>
      </c>
      <c r="L92" s="152">
        <f t="shared" si="6"/>
        <v>40.74</v>
      </c>
      <c r="M92" s="113"/>
    </row>
    <row r="93" spans="1:13" ht="14.25" customHeight="1" x14ac:dyDescent="0.2">
      <c r="A93" s="106" t="s">
        <v>4028</v>
      </c>
      <c r="B93" s="105" t="s">
        <v>2189</v>
      </c>
      <c r="C93" s="105" t="s">
        <v>4048</v>
      </c>
      <c r="D93" s="149" t="s">
        <v>2190</v>
      </c>
      <c r="E93" s="105">
        <v>1</v>
      </c>
      <c r="F93" s="133">
        <v>65</v>
      </c>
      <c r="G93" s="133">
        <v>71.5</v>
      </c>
      <c r="H93" s="109">
        <f t="shared" si="4"/>
        <v>71.5</v>
      </c>
      <c r="I93" s="119"/>
      <c r="J93" s="119">
        <v>0</v>
      </c>
      <c r="K93" s="119">
        <f t="shared" si="5"/>
        <v>71.5</v>
      </c>
      <c r="L93" s="152">
        <f t="shared" si="6"/>
        <v>65</v>
      </c>
      <c r="M93" s="113"/>
    </row>
    <row r="94" spans="1:13" ht="14.25" customHeight="1" x14ac:dyDescent="0.2">
      <c r="A94" s="106" t="s">
        <v>4028</v>
      </c>
      <c r="B94" s="105" t="s">
        <v>2089</v>
      </c>
      <c r="C94" s="105" t="s">
        <v>4048</v>
      </c>
      <c r="D94" s="149" t="s">
        <v>2090</v>
      </c>
      <c r="E94" s="105">
        <v>3</v>
      </c>
      <c r="F94" s="133">
        <v>0.76</v>
      </c>
      <c r="G94" s="133">
        <v>1</v>
      </c>
      <c r="H94" s="109">
        <f t="shared" si="4"/>
        <v>3</v>
      </c>
      <c r="I94" s="119"/>
      <c r="J94" s="119">
        <v>0</v>
      </c>
      <c r="K94" s="119">
        <f t="shared" si="5"/>
        <v>3</v>
      </c>
      <c r="L94" s="152">
        <f t="shared" si="6"/>
        <v>2.2800000000000002</v>
      </c>
      <c r="M94" s="113"/>
    </row>
    <row r="95" spans="1:13" ht="14.25" customHeight="1" x14ac:dyDescent="0.2">
      <c r="A95" s="106" t="s">
        <v>4028</v>
      </c>
      <c r="B95" s="105" t="s">
        <v>3613</v>
      </c>
      <c r="C95" s="105" t="s">
        <v>4049</v>
      </c>
      <c r="D95" s="149" t="s">
        <v>3614</v>
      </c>
      <c r="E95" s="105">
        <v>1</v>
      </c>
      <c r="F95" s="133">
        <v>8.15</v>
      </c>
      <c r="G95" s="133">
        <v>9.5</v>
      </c>
      <c r="H95" s="109">
        <f t="shared" si="4"/>
        <v>9.5</v>
      </c>
      <c r="I95" s="119"/>
      <c r="J95" s="119">
        <v>0</v>
      </c>
      <c r="K95" s="119">
        <f t="shared" si="5"/>
        <v>9.5</v>
      </c>
      <c r="L95" s="152">
        <f t="shared" si="6"/>
        <v>8.15</v>
      </c>
      <c r="M95" s="113"/>
    </row>
    <row r="96" spans="1:13" ht="14.25" customHeight="1" x14ac:dyDescent="0.2">
      <c r="A96" s="106" t="s">
        <v>4028</v>
      </c>
      <c r="B96" s="105" t="s">
        <v>1798</v>
      </c>
      <c r="C96" s="105" t="s">
        <v>4049</v>
      </c>
      <c r="D96" s="149" t="s">
        <v>1799</v>
      </c>
      <c r="E96" s="105">
        <v>1</v>
      </c>
      <c r="F96" s="133">
        <v>8.1999999999999993</v>
      </c>
      <c r="G96" s="133">
        <v>9.5</v>
      </c>
      <c r="H96" s="109">
        <f t="shared" si="4"/>
        <v>9.5</v>
      </c>
      <c r="I96" s="119"/>
      <c r="J96" s="119">
        <v>0</v>
      </c>
      <c r="K96" s="119">
        <f t="shared" si="5"/>
        <v>9.5</v>
      </c>
      <c r="L96" s="152">
        <f t="shared" si="6"/>
        <v>8.1999999999999993</v>
      </c>
      <c r="M96" s="113"/>
    </row>
    <row r="97" spans="1:13" ht="14.25" customHeight="1" x14ac:dyDescent="0.2">
      <c r="A97" s="106" t="s">
        <v>4028</v>
      </c>
      <c r="B97" s="105" t="s">
        <v>3869</v>
      </c>
      <c r="C97" s="105" t="s">
        <v>4049</v>
      </c>
      <c r="D97" s="149" t="s">
        <v>3871</v>
      </c>
      <c r="E97" s="105">
        <v>1</v>
      </c>
      <c r="F97" s="133">
        <v>16.25</v>
      </c>
      <c r="G97" s="133">
        <v>19</v>
      </c>
      <c r="H97" s="109">
        <f t="shared" si="4"/>
        <v>19</v>
      </c>
      <c r="I97" s="119"/>
      <c r="J97" s="119">
        <v>0</v>
      </c>
      <c r="K97" s="119">
        <f t="shared" si="5"/>
        <v>19</v>
      </c>
      <c r="L97" s="152">
        <f t="shared" si="6"/>
        <v>16.25</v>
      </c>
      <c r="M97" s="113"/>
    </row>
    <row r="98" spans="1:13" ht="14.25" customHeight="1" x14ac:dyDescent="0.2">
      <c r="A98" s="106" t="s">
        <v>4028</v>
      </c>
      <c r="B98" s="105" t="s">
        <v>1877</v>
      </c>
      <c r="C98" s="105" t="s">
        <v>4050</v>
      </c>
      <c r="D98" s="149" t="s">
        <v>1878</v>
      </c>
      <c r="E98" s="105">
        <v>1</v>
      </c>
      <c r="F98" s="133">
        <v>18.2</v>
      </c>
      <c r="G98" s="133">
        <v>21</v>
      </c>
      <c r="H98" s="109">
        <f t="shared" si="4"/>
        <v>21</v>
      </c>
      <c r="I98" s="119"/>
      <c r="J98" s="119">
        <v>0</v>
      </c>
      <c r="K98" s="119">
        <f t="shared" si="5"/>
        <v>21</v>
      </c>
      <c r="L98" s="152">
        <f t="shared" si="6"/>
        <v>18.2</v>
      </c>
      <c r="M98" s="113"/>
    </row>
    <row r="99" spans="1:13" ht="14.25" customHeight="1" x14ac:dyDescent="0.2">
      <c r="A99" s="106" t="s">
        <v>4028</v>
      </c>
      <c r="B99" s="105" t="s">
        <v>1958</v>
      </c>
      <c r="C99" s="105" t="s">
        <v>4050</v>
      </c>
      <c r="D99" s="149" t="s">
        <v>1960</v>
      </c>
      <c r="E99" s="105">
        <v>1</v>
      </c>
      <c r="F99" s="133">
        <v>18.2</v>
      </c>
      <c r="G99" s="133">
        <v>21</v>
      </c>
      <c r="H99" s="109">
        <f t="shared" si="4"/>
        <v>21</v>
      </c>
      <c r="I99" s="119"/>
      <c r="J99" s="119">
        <v>0</v>
      </c>
      <c r="K99" s="119">
        <f t="shared" si="5"/>
        <v>21</v>
      </c>
      <c r="L99" s="152">
        <f t="shared" si="6"/>
        <v>18.2</v>
      </c>
      <c r="M99" s="113"/>
    </row>
    <row r="100" spans="1:13" ht="14.25" customHeight="1" x14ac:dyDescent="0.2">
      <c r="A100" s="106" t="s">
        <v>4028</v>
      </c>
      <c r="B100" s="105" t="s">
        <v>2380</v>
      </c>
      <c r="C100" s="105" t="s">
        <v>4051</v>
      </c>
      <c r="D100" s="149" t="s">
        <v>2381</v>
      </c>
      <c r="E100" s="105">
        <v>1</v>
      </c>
      <c r="F100" s="133">
        <v>22.73</v>
      </c>
      <c r="G100" s="133">
        <v>26.25</v>
      </c>
      <c r="H100" s="109">
        <f t="shared" si="4"/>
        <v>26.25</v>
      </c>
      <c r="I100" s="119"/>
      <c r="J100" s="119">
        <v>0</v>
      </c>
      <c r="K100" s="119">
        <f t="shared" si="5"/>
        <v>26.25</v>
      </c>
      <c r="L100" s="152">
        <f t="shared" si="6"/>
        <v>22.73</v>
      </c>
      <c r="M100" s="113"/>
    </row>
    <row r="101" spans="1:13" ht="14.25" customHeight="1" x14ac:dyDescent="0.2">
      <c r="A101" s="106" t="s">
        <v>4028</v>
      </c>
      <c r="B101" s="105" t="s">
        <v>2323</v>
      </c>
      <c r="C101" s="105" t="s">
        <v>4052</v>
      </c>
      <c r="D101" s="149" t="s">
        <v>2325</v>
      </c>
      <c r="E101" s="105">
        <v>1</v>
      </c>
      <c r="F101" s="133">
        <v>19.100000000000001</v>
      </c>
      <c r="G101" s="133">
        <v>22</v>
      </c>
      <c r="H101" s="109">
        <f t="shared" si="4"/>
        <v>22</v>
      </c>
      <c r="I101" s="119"/>
      <c r="J101" s="119">
        <v>0</v>
      </c>
      <c r="K101" s="119">
        <f t="shared" si="5"/>
        <v>22</v>
      </c>
      <c r="L101" s="152">
        <f t="shared" si="6"/>
        <v>19.100000000000001</v>
      </c>
      <c r="M101" s="113"/>
    </row>
    <row r="102" spans="1:13" ht="14.25" customHeight="1" x14ac:dyDescent="0.2">
      <c r="A102" s="106" t="s">
        <v>4028</v>
      </c>
      <c r="B102" s="105" t="s">
        <v>3818</v>
      </c>
      <c r="C102" s="105" t="s">
        <v>4052</v>
      </c>
      <c r="D102" s="149" t="s">
        <v>3819</v>
      </c>
      <c r="E102" s="105">
        <v>1</v>
      </c>
      <c r="F102" s="133">
        <v>97.36</v>
      </c>
      <c r="G102" s="133">
        <v>112</v>
      </c>
      <c r="H102" s="109">
        <f t="shared" si="4"/>
        <v>112</v>
      </c>
      <c r="I102" s="119"/>
      <c r="J102" s="119">
        <v>0</v>
      </c>
      <c r="K102" s="119">
        <f t="shared" si="5"/>
        <v>112</v>
      </c>
      <c r="L102" s="152">
        <f t="shared" si="6"/>
        <v>97.36</v>
      </c>
      <c r="M102" s="113"/>
    </row>
    <row r="103" spans="1:13" ht="14.25" customHeight="1" x14ac:dyDescent="0.2">
      <c r="A103" s="106" t="s">
        <v>4028</v>
      </c>
      <c r="B103" s="105" t="s">
        <v>3180</v>
      </c>
      <c r="C103" s="105" t="s">
        <v>4053</v>
      </c>
      <c r="D103" s="149" t="s">
        <v>3181</v>
      </c>
      <c r="E103" s="105">
        <v>1</v>
      </c>
      <c r="F103" s="133">
        <v>25.8</v>
      </c>
      <c r="G103" s="133">
        <v>29.75</v>
      </c>
      <c r="H103" s="109">
        <f t="shared" si="4"/>
        <v>29.75</v>
      </c>
      <c r="I103" s="119"/>
      <c r="J103" s="119">
        <v>0</v>
      </c>
      <c r="K103" s="119">
        <f t="shared" si="5"/>
        <v>29.75</v>
      </c>
      <c r="L103" s="152">
        <f t="shared" si="6"/>
        <v>25.8</v>
      </c>
      <c r="M103" s="113"/>
    </row>
    <row r="104" spans="1:13" ht="14.25" customHeight="1" x14ac:dyDescent="0.2">
      <c r="A104" s="106" t="s">
        <v>4028</v>
      </c>
      <c r="B104" s="105" t="s">
        <v>2220</v>
      </c>
      <c r="C104" s="105" t="s">
        <v>4053</v>
      </c>
      <c r="D104" s="149" t="s">
        <v>2222</v>
      </c>
      <c r="E104" s="105">
        <v>1</v>
      </c>
      <c r="F104" s="133">
        <v>35.15</v>
      </c>
      <c r="G104" s="133">
        <v>41</v>
      </c>
      <c r="H104" s="109">
        <f t="shared" si="4"/>
        <v>41</v>
      </c>
      <c r="I104" s="119"/>
      <c r="J104" s="119">
        <v>0</v>
      </c>
      <c r="K104" s="119">
        <f t="shared" si="5"/>
        <v>41</v>
      </c>
      <c r="L104" s="152">
        <f t="shared" si="6"/>
        <v>35.15</v>
      </c>
      <c r="M104" s="113"/>
    </row>
    <row r="105" spans="1:13" ht="14.25" customHeight="1" x14ac:dyDescent="0.2">
      <c r="A105" s="153" t="s">
        <v>4028</v>
      </c>
      <c r="B105" s="154" t="s">
        <v>2170</v>
      </c>
      <c r="C105" s="154" t="s">
        <v>4053</v>
      </c>
      <c r="D105" s="155" t="s">
        <v>2171</v>
      </c>
      <c r="E105" s="154">
        <v>1</v>
      </c>
      <c r="F105" s="236"/>
      <c r="G105" s="236">
        <v>47.5</v>
      </c>
      <c r="H105" s="237">
        <f t="shared" si="4"/>
        <v>47.5</v>
      </c>
      <c r="I105" s="147"/>
      <c r="J105" s="147">
        <v>0</v>
      </c>
      <c r="K105" s="147">
        <f t="shared" si="5"/>
        <v>47.5</v>
      </c>
      <c r="L105" s="148">
        <f t="shared" si="6"/>
        <v>0</v>
      </c>
      <c r="M105" s="113"/>
    </row>
    <row r="106" spans="1:13" ht="14.25" customHeight="1" x14ac:dyDescent="0.2">
      <c r="A106" s="106" t="s">
        <v>4028</v>
      </c>
      <c r="B106" s="105" t="s">
        <v>2521</v>
      </c>
      <c r="C106" s="105" t="s">
        <v>4053</v>
      </c>
      <c r="D106" s="149" t="s">
        <v>2522</v>
      </c>
      <c r="E106" s="105">
        <v>1</v>
      </c>
      <c r="F106" s="133">
        <v>6.02</v>
      </c>
      <c r="G106" s="133">
        <v>7.25</v>
      </c>
      <c r="H106" s="109">
        <f t="shared" si="4"/>
        <v>7.25</v>
      </c>
      <c r="I106" s="119"/>
      <c r="J106" s="119">
        <v>0</v>
      </c>
      <c r="K106" s="119">
        <f t="shared" si="5"/>
        <v>7.25</v>
      </c>
      <c r="L106" s="152">
        <f t="shared" si="6"/>
        <v>6.02</v>
      </c>
      <c r="M106" s="113"/>
    </row>
    <row r="107" spans="1:13" ht="14.25" customHeight="1" x14ac:dyDescent="0.2">
      <c r="A107" s="106" t="s">
        <v>4028</v>
      </c>
      <c r="B107" s="105" t="s">
        <v>4054</v>
      </c>
      <c r="C107" s="105" t="s">
        <v>4055</v>
      </c>
      <c r="D107" s="149" t="s">
        <v>4056</v>
      </c>
      <c r="E107" s="105">
        <v>1</v>
      </c>
      <c r="F107" s="133">
        <v>12.69</v>
      </c>
      <c r="G107" s="133">
        <v>14.75</v>
      </c>
      <c r="H107" s="109">
        <f t="shared" si="4"/>
        <v>14.75</v>
      </c>
      <c r="I107" s="119"/>
      <c r="J107" s="119">
        <v>0</v>
      </c>
      <c r="K107" s="119">
        <f t="shared" si="5"/>
        <v>14.75</v>
      </c>
      <c r="L107" s="152">
        <f t="shared" si="6"/>
        <v>12.69</v>
      </c>
      <c r="M107" s="113"/>
    </row>
    <row r="108" spans="1:13" ht="14.25" customHeight="1" x14ac:dyDescent="0.2">
      <c r="A108" s="106" t="s">
        <v>4028</v>
      </c>
      <c r="B108" s="105" t="s">
        <v>2089</v>
      </c>
      <c r="C108" s="105" t="s">
        <v>4057</v>
      </c>
      <c r="D108" s="149" t="s">
        <v>2090</v>
      </c>
      <c r="E108" s="105">
        <v>6</v>
      </c>
      <c r="F108" s="133">
        <v>0.76</v>
      </c>
      <c r="G108" s="133">
        <v>1</v>
      </c>
      <c r="H108" s="109">
        <f t="shared" si="4"/>
        <v>6</v>
      </c>
      <c r="I108" s="119"/>
      <c r="J108" s="119">
        <v>0</v>
      </c>
      <c r="K108" s="119">
        <f t="shared" si="5"/>
        <v>6</v>
      </c>
      <c r="L108" s="152">
        <f t="shared" si="6"/>
        <v>4.5600000000000005</v>
      </c>
      <c r="M108" s="113"/>
    </row>
    <row r="109" spans="1:13" ht="14.25" customHeight="1" x14ac:dyDescent="0.2">
      <c r="A109" s="106" t="s">
        <v>4028</v>
      </c>
      <c r="B109" s="105" t="s">
        <v>1977</v>
      </c>
      <c r="C109" s="105" t="s">
        <v>4058</v>
      </c>
      <c r="D109" s="149" t="s">
        <v>1979</v>
      </c>
      <c r="E109" s="105">
        <v>1</v>
      </c>
      <c r="F109" s="133">
        <v>0.76</v>
      </c>
      <c r="G109" s="133">
        <v>1</v>
      </c>
      <c r="H109" s="109">
        <f t="shared" si="4"/>
        <v>1</v>
      </c>
      <c r="I109" s="119"/>
      <c r="J109" s="119">
        <v>0</v>
      </c>
      <c r="K109" s="119">
        <f t="shared" si="5"/>
        <v>1</v>
      </c>
      <c r="L109" s="152">
        <f t="shared" si="6"/>
        <v>0.76</v>
      </c>
      <c r="M109" s="113"/>
    </row>
    <row r="110" spans="1:13" ht="14.25" customHeight="1" x14ac:dyDescent="0.2">
      <c r="A110" s="106" t="s">
        <v>4028</v>
      </c>
      <c r="B110" s="105" t="s">
        <v>2908</v>
      </c>
      <c r="C110" s="105" t="s">
        <v>4058</v>
      </c>
      <c r="D110" s="149" t="s">
        <v>2910</v>
      </c>
      <c r="E110" s="105">
        <v>4</v>
      </c>
      <c r="F110" s="133">
        <v>0.76</v>
      </c>
      <c r="G110" s="133">
        <v>1</v>
      </c>
      <c r="H110" s="109">
        <f t="shared" si="4"/>
        <v>4</v>
      </c>
      <c r="I110" s="119"/>
      <c r="J110" s="119">
        <v>0</v>
      </c>
      <c r="K110" s="119">
        <f t="shared" si="5"/>
        <v>4</v>
      </c>
      <c r="L110" s="152">
        <f t="shared" si="6"/>
        <v>3.04</v>
      </c>
      <c r="M110" s="113"/>
    </row>
    <row r="111" spans="1:13" ht="14.25" customHeight="1" x14ac:dyDescent="0.2">
      <c r="A111" s="106" t="s">
        <v>4028</v>
      </c>
      <c r="B111" s="105" t="s">
        <v>2507</v>
      </c>
      <c r="C111" s="105" t="s">
        <v>4059</v>
      </c>
      <c r="D111" s="149" t="s">
        <v>2508</v>
      </c>
      <c r="E111" s="105">
        <v>2</v>
      </c>
      <c r="F111" s="133">
        <v>48.6</v>
      </c>
      <c r="G111" s="133">
        <v>56</v>
      </c>
      <c r="H111" s="109">
        <f t="shared" si="4"/>
        <v>112</v>
      </c>
      <c r="I111" s="119"/>
      <c r="J111" s="119">
        <v>0</v>
      </c>
      <c r="K111" s="119">
        <f t="shared" si="5"/>
        <v>112</v>
      </c>
      <c r="L111" s="152">
        <f t="shared" si="6"/>
        <v>97.2</v>
      </c>
      <c r="M111" s="113"/>
    </row>
    <row r="112" spans="1:13" ht="14.25" customHeight="1" x14ac:dyDescent="0.2">
      <c r="A112" s="106" t="s">
        <v>4028</v>
      </c>
      <c r="B112" s="105" t="s">
        <v>1924</v>
      </c>
      <c r="C112" s="105" t="s">
        <v>4060</v>
      </c>
      <c r="D112" s="149" t="s">
        <v>1926</v>
      </c>
      <c r="E112" s="105">
        <v>2</v>
      </c>
      <c r="F112" s="133">
        <v>10.64</v>
      </c>
      <c r="G112" s="133">
        <v>12.25</v>
      </c>
      <c r="H112" s="109">
        <f t="shared" si="4"/>
        <v>24.5</v>
      </c>
      <c r="I112" s="119"/>
      <c r="J112" s="119">
        <v>0</v>
      </c>
      <c r="K112" s="119">
        <f t="shared" si="5"/>
        <v>24.5</v>
      </c>
      <c r="L112" s="152">
        <f t="shared" si="6"/>
        <v>21.28</v>
      </c>
      <c r="M112" s="113"/>
    </row>
    <row r="113" spans="1:13" ht="14.25" customHeight="1" x14ac:dyDescent="0.2">
      <c r="A113" s="106" t="s">
        <v>4028</v>
      </c>
      <c r="B113" s="105" t="s">
        <v>2908</v>
      </c>
      <c r="C113" s="105" t="s">
        <v>4061</v>
      </c>
      <c r="D113" s="149" t="s">
        <v>2910</v>
      </c>
      <c r="E113" s="105">
        <v>2</v>
      </c>
      <c r="F113" s="133">
        <v>0.76</v>
      </c>
      <c r="G113" s="133">
        <v>1</v>
      </c>
      <c r="H113" s="109">
        <f t="shared" si="4"/>
        <v>2</v>
      </c>
      <c r="I113" s="119"/>
      <c r="J113" s="119">
        <v>0</v>
      </c>
      <c r="K113" s="119">
        <f t="shared" si="5"/>
        <v>2</v>
      </c>
      <c r="L113" s="152">
        <f t="shared" si="6"/>
        <v>1.52</v>
      </c>
      <c r="M113" s="113"/>
    </row>
    <row r="114" spans="1:13" ht="14.25" customHeight="1" x14ac:dyDescent="0.2">
      <c r="A114" s="106" t="s">
        <v>4028</v>
      </c>
      <c r="B114" s="105" t="s">
        <v>1915</v>
      </c>
      <c r="C114" s="105" t="s">
        <v>4062</v>
      </c>
      <c r="D114" s="149" t="s">
        <v>1917</v>
      </c>
      <c r="E114" s="105">
        <v>1</v>
      </c>
      <c r="F114" s="133">
        <v>7.85</v>
      </c>
      <c r="G114" s="133">
        <v>12</v>
      </c>
      <c r="H114" s="109">
        <f t="shared" si="4"/>
        <v>12</v>
      </c>
      <c r="I114" s="119"/>
      <c r="J114" s="119">
        <v>0</v>
      </c>
      <c r="K114" s="119">
        <f t="shared" si="5"/>
        <v>12</v>
      </c>
      <c r="L114" s="152">
        <f t="shared" si="6"/>
        <v>7.85</v>
      </c>
      <c r="M114" s="113"/>
    </row>
    <row r="115" spans="1:13" ht="14.25" customHeight="1" x14ac:dyDescent="0.2">
      <c r="A115" s="106" t="s">
        <v>4028</v>
      </c>
      <c r="B115" s="105" t="s">
        <v>3072</v>
      </c>
      <c r="C115" s="105" t="s">
        <v>4062</v>
      </c>
      <c r="D115" s="149" t="s">
        <v>3074</v>
      </c>
      <c r="E115" s="105">
        <v>1</v>
      </c>
      <c r="F115" s="133">
        <v>16.91</v>
      </c>
      <c r="G115" s="133">
        <v>18.600000000000001</v>
      </c>
      <c r="H115" s="109">
        <f t="shared" si="4"/>
        <v>18.600000000000001</v>
      </c>
      <c r="I115" s="119"/>
      <c r="J115" s="119">
        <v>0</v>
      </c>
      <c r="K115" s="119">
        <f t="shared" si="5"/>
        <v>18.600000000000001</v>
      </c>
      <c r="L115" s="152">
        <f t="shared" si="6"/>
        <v>16.91</v>
      </c>
      <c r="M115" s="113"/>
    </row>
    <row r="116" spans="1:13" ht="14.25" customHeight="1" x14ac:dyDescent="0.2">
      <c r="A116" s="106" t="s">
        <v>4028</v>
      </c>
      <c r="B116" s="105" t="s">
        <v>1924</v>
      </c>
      <c r="C116" s="105" t="s">
        <v>4062</v>
      </c>
      <c r="D116" s="149" t="s">
        <v>1926</v>
      </c>
      <c r="E116" s="105">
        <v>1</v>
      </c>
      <c r="F116" s="133">
        <v>10.64</v>
      </c>
      <c r="G116" s="133">
        <v>12.25</v>
      </c>
      <c r="H116" s="109">
        <f t="shared" si="4"/>
        <v>12.25</v>
      </c>
      <c r="I116" s="119"/>
      <c r="J116" s="119">
        <v>0</v>
      </c>
      <c r="K116" s="119">
        <f t="shared" si="5"/>
        <v>12.25</v>
      </c>
      <c r="L116" s="152">
        <f t="shared" si="6"/>
        <v>10.64</v>
      </c>
      <c r="M116" s="113"/>
    </row>
    <row r="117" spans="1:13" ht="14.25" customHeight="1" x14ac:dyDescent="0.2">
      <c r="A117" s="106" t="s">
        <v>4028</v>
      </c>
      <c r="B117" s="105" t="s">
        <v>2363</v>
      </c>
      <c r="C117" s="105" t="s">
        <v>4062</v>
      </c>
      <c r="D117" s="149" t="s">
        <v>2365</v>
      </c>
      <c r="E117" s="105">
        <v>1</v>
      </c>
      <c r="F117" s="133">
        <v>12.66</v>
      </c>
      <c r="G117" s="133">
        <v>14.25</v>
      </c>
      <c r="H117" s="109">
        <f t="shared" si="4"/>
        <v>14.25</v>
      </c>
      <c r="I117" s="119"/>
      <c r="J117" s="119">
        <v>0</v>
      </c>
      <c r="K117" s="119">
        <f t="shared" si="5"/>
        <v>14.25</v>
      </c>
      <c r="L117" s="152">
        <f t="shared" si="6"/>
        <v>12.66</v>
      </c>
      <c r="M117" s="113"/>
    </row>
    <row r="118" spans="1:13" ht="14.25" customHeight="1" x14ac:dyDescent="0.2">
      <c r="A118" s="106" t="s">
        <v>4028</v>
      </c>
      <c r="B118" s="105" t="s">
        <v>1854</v>
      </c>
      <c r="C118" s="105" t="s">
        <v>4062</v>
      </c>
      <c r="D118" s="149" t="s">
        <v>1855</v>
      </c>
      <c r="E118" s="105">
        <v>1</v>
      </c>
      <c r="F118" s="133">
        <v>7.62</v>
      </c>
      <c r="G118" s="133">
        <v>8.75</v>
      </c>
      <c r="H118" s="109">
        <f t="shared" si="4"/>
        <v>8.75</v>
      </c>
      <c r="I118" s="119"/>
      <c r="J118" s="119">
        <v>0</v>
      </c>
      <c r="K118" s="119">
        <f t="shared" si="5"/>
        <v>8.75</v>
      </c>
      <c r="L118" s="152">
        <f t="shared" si="6"/>
        <v>7.62</v>
      </c>
      <c r="M118" s="113"/>
    </row>
    <row r="119" spans="1:13" ht="14.25" customHeight="1" x14ac:dyDescent="0.2">
      <c r="A119" s="106" t="s">
        <v>4028</v>
      </c>
      <c r="B119" s="105" t="s">
        <v>3641</v>
      </c>
      <c r="C119" s="105" t="s">
        <v>4063</v>
      </c>
      <c r="D119" s="149" t="s">
        <v>3642</v>
      </c>
      <c r="E119" s="105">
        <v>1</v>
      </c>
      <c r="F119" s="133">
        <v>12.39</v>
      </c>
      <c r="G119" s="133">
        <v>14.5</v>
      </c>
      <c r="H119" s="109">
        <f t="shared" si="4"/>
        <v>14.5</v>
      </c>
      <c r="I119" s="119"/>
      <c r="J119" s="119">
        <v>0</v>
      </c>
      <c r="K119" s="119">
        <f t="shared" si="5"/>
        <v>14.5</v>
      </c>
      <c r="L119" s="152">
        <f t="shared" si="6"/>
        <v>12.39</v>
      </c>
      <c r="M119" s="113"/>
    </row>
    <row r="120" spans="1:13" ht="14.25" customHeight="1" x14ac:dyDescent="0.2">
      <c r="A120" s="106" t="s">
        <v>4028</v>
      </c>
      <c r="B120" s="105" t="s">
        <v>3072</v>
      </c>
      <c r="C120" s="105" t="s">
        <v>4064</v>
      </c>
      <c r="D120" s="149" t="s">
        <v>3074</v>
      </c>
      <c r="E120" s="105">
        <v>2</v>
      </c>
      <c r="F120" s="133">
        <v>16.91</v>
      </c>
      <c r="G120" s="133">
        <v>18.600000000000001</v>
      </c>
      <c r="H120" s="109">
        <f t="shared" si="4"/>
        <v>37.200000000000003</v>
      </c>
      <c r="I120" s="119"/>
      <c r="J120" s="119">
        <v>0</v>
      </c>
      <c r="K120" s="119">
        <f t="shared" si="5"/>
        <v>37.200000000000003</v>
      </c>
      <c r="L120" s="152">
        <f t="shared" si="6"/>
        <v>33.82</v>
      </c>
      <c r="M120" s="113"/>
    </row>
    <row r="121" spans="1:13" ht="14.25" customHeight="1" x14ac:dyDescent="0.2">
      <c r="A121" s="106" t="s">
        <v>4028</v>
      </c>
      <c r="B121" s="105" t="s">
        <v>2226</v>
      </c>
      <c r="C121" s="105" t="s">
        <v>4064</v>
      </c>
      <c r="D121" s="149" t="s">
        <v>2228</v>
      </c>
      <c r="E121" s="105">
        <v>2</v>
      </c>
      <c r="F121" s="133">
        <v>19.47</v>
      </c>
      <c r="G121" s="133">
        <v>23</v>
      </c>
      <c r="H121" s="109">
        <f t="shared" si="4"/>
        <v>46</v>
      </c>
      <c r="I121" s="119"/>
      <c r="J121" s="119">
        <v>0</v>
      </c>
      <c r="K121" s="119">
        <f t="shared" si="5"/>
        <v>46</v>
      </c>
      <c r="L121" s="152">
        <f t="shared" si="6"/>
        <v>38.94</v>
      </c>
      <c r="M121" s="113"/>
    </row>
    <row r="122" spans="1:13" ht="14.25" customHeight="1" x14ac:dyDescent="0.2">
      <c r="A122" s="106" t="s">
        <v>4028</v>
      </c>
      <c r="B122" s="105" t="s">
        <v>1915</v>
      </c>
      <c r="C122" s="105" t="s">
        <v>4064</v>
      </c>
      <c r="D122" s="149" t="s">
        <v>1917</v>
      </c>
      <c r="E122" s="105">
        <v>1</v>
      </c>
      <c r="F122" s="133">
        <v>7.85</v>
      </c>
      <c r="G122" s="133">
        <v>12</v>
      </c>
      <c r="H122" s="109">
        <f t="shared" si="4"/>
        <v>12</v>
      </c>
      <c r="I122" s="119"/>
      <c r="J122" s="119">
        <v>0</v>
      </c>
      <c r="K122" s="119">
        <f t="shared" si="5"/>
        <v>12</v>
      </c>
      <c r="L122" s="152">
        <f t="shared" si="6"/>
        <v>7.85</v>
      </c>
      <c r="M122" s="113"/>
    </row>
    <row r="123" spans="1:13" ht="14.25" customHeight="1" x14ac:dyDescent="0.2">
      <c r="A123" s="106" t="s">
        <v>4028</v>
      </c>
      <c r="B123" s="105" t="s">
        <v>2908</v>
      </c>
      <c r="C123" s="105" t="s">
        <v>4064</v>
      </c>
      <c r="D123" s="149" t="s">
        <v>2910</v>
      </c>
      <c r="E123" s="105">
        <v>4</v>
      </c>
      <c r="F123" s="133">
        <v>0.76</v>
      </c>
      <c r="G123" s="133">
        <v>1</v>
      </c>
      <c r="H123" s="109">
        <f t="shared" si="4"/>
        <v>4</v>
      </c>
      <c r="I123" s="119"/>
      <c r="J123" s="119">
        <v>0</v>
      </c>
      <c r="K123" s="119">
        <f t="shared" si="5"/>
        <v>4</v>
      </c>
      <c r="L123" s="152">
        <f t="shared" si="6"/>
        <v>3.04</v>
      </c>
      <c r="M123" s="113"/>
    </row>
    <row r="124" spans="1:13" ht="14.25" customHeight="1" x14ac:dyDescent="0.2">
      <c r="A124" s="106" t="s">
        <v>4028</v>
      </c>
      <c r="B124" s="105" t="s">
        <v>2089</v>
      </c>
      <c r="C124" s="105" t="s">
        <v>4065</v>
      </c>
      <c r="D124" s="149" t="s">
        <v>2090</v>
      </c>
      <c r="E124" s="105">
        <v>4</v>
      </c>
      <c r="F124" s="133">
        <v>0.76</v>
      </c>
      <c r="G124" s="133">
        <v>1</v>
      </c>
      <c r="H124" s="109">
        <f t="shared" si="4"/>
        <v>4</v>
      </c>
      <c r="I124" s="119"/>
      <c r="J124" s="119">
        <v>0</v>
      </c>
      <c r="K124" s="119">
        <f t="shared" si="5"/>
        <v>4</v>
      </c>
      <c r="L124" s="152">
        <f t="shared" si="6"/>
        <v>3.04</v>
      </c>
      <c r="M124" s="113"/>
    </row>
    <row r="125" spans="1:13" ht="14.25" customHeight="1" x14ac:dyDescent="0.2">
      <c r="A125" s="106" t="s">
        <v>4066</v>
      </c>
      <c r="B125" s="105" t="s">
        <v>1861</v>
      </c>
      <c r="C125" s="105" t="s">
        <v>4067</v>
      </c>
      <c r="D125" s="149" t="s">
        <v>1862</v>
      </c>
      <c r="E125" s="105">
        <v>2</v>
      </c>
      <c r="F125" s="133">
        <v>15.65</v>
      </c>
      <c r="G125" s="133">
        <v>18</v>
      </c>
      <c r="H125" s="109">
        <f t="shared" si="4"/>
        <v>36</v>
      </c>
      <c r="I125" s="119"/>
      <c r="J125" s="119">
        <v>0</v>
      </c>
      <c r="K125" s="119">
        <f t="shared" si="5"/>
        <v>36</v>
      </c>
      <c r="L125" s="152">
        <f t="shared" si="6"/>
        <v>31.3</v>
      </c>
      <c r="M125" s="113"/>
    </row>
    <row r="126" spans="1:13" ht="14.25" customHeight="1" x14ac:dyDescent="0.2">
      <c r="A126" s="106" t="s">
        <v>4066</v>
      </c>
      <c r="B126" s="105" t="s">
        <v>2941</v>
      </c>
      <c r="C126" s="105" t="s">
        <v>4067</v>
      </c>
      <c r="D126" s="149" t="s">
        <v>2943</v>
      </c>
      <c r="E126" s="105">
        <v>24</v>
      </c>
      <c r="F126" s="133">
        <v>7.14</v>
      </c>
      <c r="G126" s="133">
        <v>8.25</v>
      </c>
      <c r="H126" s="109">
        <f t="shared" si="4"/>
        <v>198</v>
      </c>
      <c r="I126" s="119"/>
      <c r="J126" s="119">
        <v>0</v>
      </c>
      <c r="K126" s="119">
        <f t="shared" si="5"/>
        <v>198</v>
      </c>
      <c r="L126" s="152">
        <f t="shared" si="6"/>
        <v>171.35999999999999</v>
      </c>
      <c r="M126" s="113"/>
    </row>
    <row r="127" spans="1:13" ht="14.25" customHeight="1" x14ac:dyDescent="0.2">
      <c r="A127" s="106" t="s">
        <v>4066</v>
      </c>
      <c r="B127" s="105" t="s">
        <v>2908</v>
      </c>
      <c r="C127" s="105" t="s">
        <v>4067</v>
      </c>
      <c r="D127" s="149" t="s">
        <v>2910</v>
      </c>
      <c r="E127" s="105">
        <v>1</v>
      </c>
      <c r="F127" s="133">
        <v>0.76</v>
      </c>
      <c r="G127" s="133">
        <v>1</v>
      </c>
      <c r="H127" s="109">
        <f t="shared" si="4"/>
        <v>1</v>
      </c>
      <c r="I127" s="119"/>
      <c r="J127" s="119">
        <v>0</v>
      </c>
      <c r="K127" s="119">
        <f t="shared" si="5"/>
        <v>1</v>
      </c>
      <c r="L127" s="152">
        <f t="shared" si="6"/>
        <v>0.76</v>
      </c>
      <c r="M127" s="113"/>
    </row>
    <row r="128" spans="1:13" ht="14.25" customHeight="1" x14ac:dyDescent="0.2">
      <c r="A128" s="106" t="s">
        <v>4066</v>
      </c>
      <c r="B128" s="105" t="s">
        <v>4068</v>
      </c>
      <c r="C128" s="105" t="s">
        <v>4069</v>
      </c>
      <c r="D128" s="149" t="s">
        <v>4070</v>
      </c>
      <c r="E128" s="105">
        <v>1</v>
      </c>
      <c r="F128" s="133">
        <v>20.57</v>
      </c>
      <c r="G128" s="133">
        <v>23.75</v>
      </c>
      <c r="H128" s="109">
        <f t="shared" si="4"/>
        <v>23.75</v>
      </c>
      <c r="I128" s="119"/>
      <c r="J128" s="119">
        <v>0</v>
      </c>
      <c r="K128" s="119">
        <f t="shared" si="5"/>
        <v>23.75</v>
      </c>
      <c r="L128" s="152">
        <f t="shared" si="6"/>
        <v>20.57</v>
      </c>
      <c r="M128" s="113"/>
    </row>
    <row r="129" spans="1:13" ht="14.25" customHeight="1" x14ac:dyDescent="0.2">
      <c r="A129" s="106" t="s">
        <v>4066</v>
      </c>
      <c r="B129" s="105" t="s">
        <v>2908</v>
      </c>
      <c r="C129" s="105" t="s">
        <v>4069</v>
      </c>
      <c r="D129" s="149" t="s">
        <v>2910</v>
      </c>
      <c r="E129" s="105">
        <v>1</v>
      </c>
      <c r="F129" s="133">
        <v>0.76</v>
      </c>
      <c r="G129" s="133">
        <v>1</v>
      </c>
      <c r="H129" s="109">
        <f t="shared" si="4"/>
        <v>1</v>
      </c>
      <c r="I129" s="119"/>
      <c r="J129" s="119">
        <v>0</v>
      </c>
      <c r="K129" s="119">
        <f t="shared" si="5"/>
        <v>1</v>
      </c>
      <c r="L129" s="152">
        <f t="shared" si="6"/>
        <v>0.76</v>
      </c>
      <c r="M129" s="113"/>
    </row>
    <row r="130" spans="1:13" ht="14.25" customHeight="1" x14ac:dyDescent="0.2">
      <c r="A130" s="106" t="s">
        <v>4066</v>
      </c>
      <c r="B130" s="105" t="s">
        <v>2610</v>
      </c>
      <c r="C130" s="105" t="s">
        <v>4071</v>
      </c>
      <c r="D130" s="149" t="s">
        <v>2612</v>
      </c>
      <c r="E130" s="105">
        <v>1</v>
      </c>
      <c r="F130" s="133">
        <v>53.9</v>
      </c>
      <c r="G130" s="133">
        <v>59.25</v>
      </c>
      <c r="H130" s="109">
        <f t="shared" si="4"/>
        <v>59.25</v>
      </c>
      <c r="I130" s="119"/>
      <c r="J130" s="119">
        <v>0</v>
      </c>
      <c r="K130" s="119">
        <f t="shared" si="5"/>
        <v>59.25</v>
      </c>
      <c r="L130" s="152">
        <f t="shared" si="6"/>
        <v>53.9</v>
      </c>
      <c r="M130" s="113"/>
    </row>
    <row r="131" spans="1:13" ht="14.25" customHeight="1" x14ac:dyDescent="0.2">
      <c r="A131" s="106" t="s">
        <v>4066</v>
      </c>
      <c r="B131" s="105" t="s">
        <v>4072</v>
      </c>
      <c r="C131" s="105" t="s">
        <v>4073</v>
      </c>
      <c r="D131" s="149" t="s">
        <v>4074</v>
      </c>
      <c r="E131" s="105">
        <v>1</v>
      </c>
      <c r="F131" s="133">
        <v>57.25</v>
      </c>
      <c r="G131" s="133">
        <v>66</v>
      </c>
      <c r="H131" s="109">
        <f t="shared" si="4"/>
        <v>66</v>
      </c>
      <c r="I131" s="119"/>
      <c r="J131" s="119">
        <v>0</v>
      </c>
      <c r="K131" s="119">
        <f t="shared" si="5"/>
        <v>66</v>
      </c>
      <c r="L131" s="152">
        <f t="shared" si="6"/>
        <v>57.25</v>
      </c>
      <c r="M131" s="113"/>
    </row>
    <row r="132" spans="1:13" ht="14.25" customHeight="1" x14ac:dyDescent="0.2">
      <c r="A132" s="106" t="s">
        <v>4066</v>
      </c>
      <c r="B132" s="105" t="s">
        <v>2610</v>
      </c>
      <c r="C132" s="105" t="s">
        <v>4075</v>
      </c>
      <c r="D132" s="149" t="s">
        <v>2612</v>
      </c>
      <c r="E132" s="105">
        <v>1</v>
      </c>
      <c r="F132" s="133">
        <v>53.9</v>
      </c>
      <c r="G132" s="133">
        <v>59.25</v>
      </c>
      <c r="H132" s="109">
        <f t="shared" si="4"/>
        <v>59.25</v>
      </c>
      <c r="I132" s="119"/>
      <c r="J132" s="119">
        <v>0</v>
      </c>
      <c r="K132" s="119">
        <f t="shared" si="5"/>
        <v>59.25</v>
      </c>
      <c r="L132" s="152">
        <f t="shared" si="6"/>
        <v>53.9</v>
      </c>
      <c r="M132" s="113"/>
    </row>
    <row r="133" spans="1:13" ht="14.25" customHeight="1" x14ac:dyDescent="0.2">
      <c r="A133" s="106" t="s">
        <v>4066</v>
      </c>
      <c r="B133" s="105" t="s">
        <v>4076</v>
      </c>
      <c r="C133" s="105" t="s">
        <v>4077</v>
      </c>
      <c r="D133" s="149" t="s">
        <v>4078</v>
      </c>
      <c r="E133" s="105">
        <v>2</v>
      </c>
      <c r="F133" s="133">
        <v>8.75</v>
      </c>
      <c r="G133" s="133">
        <v>10.25</v>
      </c>
      <c r="H133" s="109">
        <f t="shared" si="4"/>
        <v>20.5</v>
      </c>
      <c r="I133" s="119"/>
      <c r="J133" s="119">
        <v>0</v>
      </c>
      <c r="K133" s="119">
        <f t="shared" si="5"/>
        <v>20.5</v>
      </c>
      <c r="L133" s="152">
        <f t="shared" si="6"/>
        <v>17.5</v>
      </c>
      <c r="M133" s="113"/>
    </row>
    <row r="134" spans="1:13" ht="14.25" customHeight="1" x14ac:dyDescent="0.2">
      <c r="A134" s="106" t="s">
        <v>4066</v>
      </c>
      <c r="B134" s="105" t="s">
        <v>2400</v>
      </c>
      <c r="C134" s="105" t="s">
        <v>4077</v>
      </c>
      <c r="D134" s="149" t="s">
        <v>2401</v>
      </c>
      <c r="E134" s="105">
        <v>1</v>
      </c>
      <c r="F134" s="133">
        <v>19.059999999999999</v>
      </c>
      <c r="G134" s="133">
        <v>22</v>
      </c>
      <c r="H134" s="109">
        <f t="shared" si="4"/>
        <v>22</v>
      </c>
      <c r="I134" s="119"/>
      <c r="J134" s="119">
        <v>0</v>
      </c>
      <c r="K134" s="119">
        <f t="shared" si="5"/>
        <v>22</v>
      </c>
      <c r="L134" s="152">
        <f t="shared" si="6"/>
        <v>19.059999999999999</v>
      </c>
      <c r="M134" s="113"/>
    </row>
    <row r="135" spans="1:13" ht="14.25" customHeight="1" x14ac:dyDescent="0.2">
      <c r="A135" s="106" t="s">
        <v>4066</v>
      </c>
      <c r="B135" s="105" t="s">
        <v>2416</v>
      </c>
      <c r="C135" s="105" t="s">
        <v>4077</v>
      </c>
      <c r="D135" s="149" t="s">
        <v>2417</v>
      </c>
      <c r="E135" s="105">
        <v>1</v>
      </c>
      <c r="F135" s="133">
        <v>20.88</v>
      </c>
      <c r="G135" s="133">
        <v>24</v>
      </c>
      <c r="H135" s="109">
        <f t="shared" ref="H135:H198" si="7">E135*G135</f>
        <v>24</v>
      </c>
      <c r="I135" s="119"/>
      <c r="J135" s="119">
        <v>0</v>
      </c>
      <c r="K135" s="119">
        <f t="shared" ref="K135:K198" si="8">H135+I135-J135</f>
        <v>24</v>
      </c>
      <c r="L135" s="152">
        <f t="shared" ref="L135:L198" si="9">E135*F135</f>
        <v>20.88</v>
      </c>
      <c r="M135" s="113"/>
    </row>
    <row r="136" spans="1:13" ht="14.25" customHeight="1" x14ac:dyDescent="0.2">
      <c r="A136" s="106" t="s">
        <v>4066</v>
      </c>
      <c r="B136" s="105" t="s">
        <v>2323</v>
      </c>
      <c r="C136" s="105" t="s">
        <v>4079</v>
      </c>
      <c r="D136" s="149" t="s">
        <v>2325</v>
      </c>
      <c r="E136" s="105">
        <v>1</v>
      </c>
      <c r="F136" s="133">
        <v>19.100000000000001</v>
      </c>
      <c r="G136" s="133">
        <v>22</v>
      </c>
      <c r="H136" s="109">
        <f t="shared" si="7"/>
        <v>22</v>
      </c>
      <c r="I136" s="119"/>
      <c r="J136" s="119">
        <v>0</v>
      </c>
      <c r="K136" s="119">
        <f t="shared" si="8"/>
        <v>22</v>
      </c>
      <c r="L136" s="152">
        <f t="shared" si="9"/>
        <v>19.100000000000001</v>
      </c>
      <c r="M136" s="113"/>
    </row>
    <row r="137" spans="1:13" ht="14.25" customHeight="1" x14ac:dyDescent="0.2">
      <c r="A137" s="106" t="s">
        <v>4066</v>
      </c>
      <c r="B137" s="105" t="s">
        <v>2264</v>
      </c>
      <c r="C137" s="105" t="s">
        <v>4080</v>
      </c>
      <c r="D137" s="149" t="s">
        <v>2265</v>
      </c>
      <c r="E137" s="105">
        <v>1</v>
      </c>
      <c r="F137" s="133">
        <v>62.45</v>
      </c>
      <c r="G137" s="133">
        <v>72</v>
      </c>
      <c r="H137" s="109">
        <f t="shared" si="7"/>
        <v>72</v>
      </c>
      <c r="I137" s="119"/>
      <c r="J137" s="119">
        <v>0</v>
      </c>
      <c r="K137" s="119">
        <f t="shared" si="8"/>
        <v>72</v>
      </c>
      <c r="L137" s="152">
        <f t="shared" si="9"/>
        <v>62.45</v>
      </c>
      <c r="M137" s="113"/>
    </row>
    <row r="138" spans="1:13" ht="14.25" customHeight="1" x14ac:dyDescent="0.2">
      <c r="A138" s="106" t="s">
        <v>4066</v>
      </c>
      <c r="B138" s="105" t="s">
        <v>1905</v>
      </c>
      <c r="C138" s="105" t="s">
        <v>4080</v>
      </c>
      <c r="D138" s="149" t="s">
        <v>1906</v>
      </c>
      <c r="E138" s="105">
        <v>1</v>
      </c>
      <c r="F138" s="133">
        <v>15.12</v>
      </c>
      <c r="G138" s="133">
        <v>17.5</v>
      </c>
      <c r="H138" s="109">
        <f t="shared" si="7"/>
        <v>17.5</v>
      </c>
      <c r="I138" s="119"/>
      <c r="J138" s="119">
        <v>0</v>
      </c>
      <c r="K138" s="119">
        <f t="shared" si="8"/>
        <v>17.5</v>
      </c>
      <c r="L138" s="152">
        <f t="shared" si="9"/>
        <v>15.12</v>
      </c>
      <c r="M138" s="113"/>
    </row>
    <row r="139" spans="1:13" ht="14.25" customHeight="1" x14ac:dyDescent="0.2">
      <c r="A139" s="106" t="s">
        <v>4066</v>
      </c>
      <c r="B139" s="105" t="s">
        <v>3446</v>
      </c>
      <c r="C139" s="105" t="s">
        <v>4080</v>
      </c>
      <c r="D139" s="149" t="s">
        <v>3447</v>
      </c>
      <c r="E139" s="105">
        <v>1</v>
      </c>
      <c r="F139" s="133">
        <v>33.75</v>
      </c>
      <c r="G139" s="133">
        <v>39</v>
      </c>
      <c r="H139" s="109">
        <f t="shared" si="7"/>
        <v>39</v>
      </c>
      <c r="I139" s="119"/>
      <c r="J139" s="119">
        <v>0</v>
      </c>
      <c r="K139" s="119">
        <f t="shared" si="8"/>
        <v>39</v>
      </c>
      <c r="L139" s="152">
        <f t="shared" si="9"/>
        <v>33.75</v>
      </c>
      <c r="M139" s="113"/>
    </row>
    <row r="140" spans="1:13" ht="14.25" customHeight="1" x14ac:dyDescent="0.2">
      <c r="A140" s="106" t="s">
        <v>4066</v>
      </c>
      <c r="B140" s="105" t="s">
        <v>2089</v>
      </c>
      <c r="C140" s="105" t="s">
        <v>4080</v>
      </c>
      <c r="D140" s="149" t="s">
        <v>2090</v>
      </c>
      <c r="E140" s="105">
        <v>5</v>
      </c>
      <c r="F140" s="133">
        <v>0.76</v>
      </c>
      <c r="G140" s="133">
        <v>1</v>
      </c>
      <c r="H140" s="109">
        <f t="shared" si="7"/>
        <v>5</v>
      </c>
      <c r="I140" s="119"/>
      <c r="J140" s="119">
        <v>0</v>
      </c>
      <c r="K140" s="119">
        <f t="shared" si="8"/>
        <v>5</v>
      </c>
      <c r="L140" s="152">
        <f t="shared" si="9"/>
        <v>3.8</v>
      </c>
      <c r="M140" s="113"/>
    </row>
    <row r="141" spans="1:13" ht="14.25" customHeight="1" x14ac:dyDescent="0.2">
      <c r="A141" s="106" t="s">
        <v>4066</v>
      </c>
      <c r="B141" s="105" t="s">
        <v>3942</v>
      </c>
      <c r="C141" s="105" t="s">
        <v>4080</v>
      </c>
      <c r="D141" s="149" t="s">
        <v>3943</v>
      </c>
      <c r="E141" s="105">
        <v>1</v>
      </c>
      <c r="F141" s="133">
        <v>30.04</v>
      </c>
      <c r="G141" s="133">
        <v>34.75</v>
      </c>
      <c r="H141" s="109">
        <f t="shared" si="7"/>
        <v>34.75</v>
      </c>
      <c r="I141" s="119"/>
      <c r="J141" s="119">
        <v>0</v>
      </c>
      <c r="K141" s="119">
        <f t="shared" si="8"/>
        <v>34.75</v>
      </c>
      <c r="L141" s="152">
        <f t="shared" si="9"/>
        <v>30.04</v>
      </c>
      <c r="M141" s="113"/>
    </row>
    <row r="142" spans="1:13" ht="14.25" customHeight="1" x14ac:dyDescent="0.2">
      <c r="A142" s="106" t="s">
        <v>4066</v>
      </c>
      <c r="B142" s="105" t="s">
        <v>1994</v>
      </c>
      <c r="C142" s="105" t="s">
        <v>4080</v>
      </c>
      <c r="D142" s="149" t="s">
        <v>1995</v>
      </c>
      <c r="E142" s="105">
        <v>1</v>
      </c>
      <c r="F142" s="133">
        <v>6.67</v>
      </c>
      <c r="G142" s="133">
        <v>9.5</v>
      </c>
      <c r="H142" s="109">
        <f t="shared" si="7"/>
        <v>9.5</v>
      </c>
      <c r="I142" s="119"/>
      <c r="J142" s="119">
        <v>0</v>
      </c>
      <c r="K142" s="119">
        <f t="shared" si="8"/>
        <v>9.5</v>
      </c>
      <c r="L142" s="152">
        <f t="shared" si="9"/>
        <v>6.67</v>
      </c>
      <c r="M142" s="113"/>
    </row>
    <row r="143" spans="1:13" ht="14.25" customHeight="1" x14ac:dyDescent="0.2">
      <c r="A143" s="106" t="s">
        <v>4066</v>
      </c>
      <c r="B143" s="105" t="s">
        <v>3507</v>
      </c>
      <c r="C143" s="105" t="s">
        <v>4080</v>
      </c>
      <c r="D143" s="149" t="s">
        <v>3508</v>
      </c>
      <c r="E143" s="105">
        <v>2</v>
      </c>
      <c r="F143" s="133">
        <v>18.2</v>
      </c>
      <c r="G143" s="133">
        <v>21</v>
      </c>
      <c r="H143" s="109">
        <f t="shared" si="7"/>
        <v>42</v>
      </c>
      <c r="I143" s="119"/>
      <c r="J143" s="119">
        <v>0</v>
      </c>
      <c r="K143" s="119">
        <f t="shared" si="8"/>
        <v>42</v>
      </c>
      <c r="L143" s="152">
        <f t="shared" si="9"/>
        <v>36.4</v>
      </c>
      <c r="M143" s="113"/>
    </row>
    <row r="144" spans="1:13" ht="14.25" customHeight="1" x14ac:dyDescent="0.2">
      <c r="A144" s="106" t="s">
        <v>4066</v>
      </c>
      <c r="B144" s="105" t="s">
        <v>2035</v>
      </c>
      <c r="C144" s="105" t="s">
        <v>4080</v>
      </c>
      <c r="D144" s="149" t="s">
        <v>2036</v>
      </c>
      <c r="E144" s="105">
        <v>1</v>
      </c>
      <c r="F144" s="133">
        <v>22.7</v>
      </c>
      <c r="G144" s="133">
        <v>26.25</v>
      </c>
      <c r="H144" s="109">
        <f t="shared" si="7"/>
        <v>26.25</v>
      </c>
      <c r="I144" s="119"/>
      <c r="J144" s="119">
        <v>0</v>
      </c>
      <c r="K144" s="119">
        <f t="shared" si="8"/>
        <v>26.25</v>
      </c>
      <c r="L144" s="152">
        <f t="shared" si="9"/>
        <v>22.7</v>
      </c>
      <c r="M144" s="113"/>
    </row>
    <row r="145" spans="1:13" ht="14.25" customHeight="1" x14ac:dyDescent="0.2">
      <c r="A145" s="106" t="s">
        <v>4066</v>
      </c>
      <c r="B145" s="105" t="s">
        <v>4081</v>
      </c>
      <c r="C145" s="105" t="s">
        <v>4080</v>
      </c>
      <c r="D145" s="149" t="s">
        <v>4082</v>
      </c>
      <c r="E145" s="105">
        <v>1</v>
      </c>
      <c r="F145" s="133">
        <v>118.16</v>
      </c>
      <c r="G145" s="133">
        <v>136</v>
      </c>
      <c r="H145" s="109">
        <f t="shared" si="7"/>
        <v>136</v>
      </c>
      <c r="I145" s="119"/>
      <c r="J145" s="119">
        <v>0</v>
      </c>
      <c r="K145" s="119">
        <f t="shared" si="8"/>
        <v>136</v>
      </c>
      <c r="L145" s="152">
        <f t="shared" si="9"/>
        <v>118.16</v>
      </c>
      <c r="M145" s="113"/>
    </row>
    <row r="146" spans="1:13" ht="14.25" customHeight="1" x14ac:dyDescent="0.2">
      <c r="A146" s="106" t="s">
        <v>4066</v>
      </c>
      <c r="B146" s="105" t="s">
        <v>4083</v>
      </c>
      <c r="C146" s="105" t="s">
        <v>4080</v>
      </c>
      <c r="D146" s="149" t="s">
        <v>4084</v>
      </c>
      <c r="E146" s="105">
        <v>1</v>
      </c>
      <c r="F146" s="133">
        <v>200.03</v>
      </c>
      <c r="G146" s="133">
        <v>230</v>
      </c>
      <c r="H146" s="109">
        <f t="shared" si="7"/>
        <v>230</v>
      </c>
      <c r="I146" s="119"/>
      <c r="J146" s="119">
        <v>0</v>
      </c>
      <c r="K146" s="119">
        <f t="shared" si="8"/>
        <v>230</v>
      </c>
      <c r="L146" s="152">
        <f t="shared" si="9"/>
        <v>200.03</v>
      </c>
      <c r="M146" s="113"/>
    </row>
    <row r="147" spans="1:13" ht="14.25" customHeight="1" x14ac:dyDescent="0.2">
      <c r="A147" s="153" t="s">
        <v>4066</v>
      </c>
      <c r="B147" s="154" t="s">
        <v>3098</v>
      </c>
      <c r="C147" s="154" t="s">
        <v>4080</v>
      </c>
      <c r="D147" s="155" t="s">
        <v>3100</v>
      </c>
      <c r="E147" s="154">
        <v>2</v>
      </c>
      <c r="F147" s="236"/>
      <c r="G147" s="236">
        <v>37</v>
      </c>
      <c r="H147" s="237">
        <f t="shared" si="7"/>
        <v>74</v>
      </c>
      <c r="I147" s="147"/>
      <c r="J147" s="147">
        <v>0</v>
      </c>
      <c r="K147" s="147">
        <f t="shared" si="8"/>
        <v>74</v>
      </c>
      <c r="L147" s="148">
        <f t="shared" si="9"/>
        <v>0</v>
      </c>
      <c r="M147" s="113"/>
    </row>
    <row r="148" spans="1:13" ht="14.25" customHeight="1" x14ac:dyDescent="0.2">
      <c r="A148" s="106" t="s">
        <v>4066</v>
      </c>
      <c r="B148" s="105" t="s">
        <v>2055</v>
      </c>
      <c r="C148" s="105" t="s">
        <v>4085</v>
      </c>
      <c r="D148" s="149" t="s">
        <v>2056</v>
      </c>
      <c r="E148" s="105">
        <v>6</v>
      </c>
      <c r="F148" s="133">
        <v>59.58</v>
      </c>
      <c r="G148" s="133">
        <v>67.5</v>
      </c>
      <c r="H148" s="109">
        <f t="shared" si="7"/>
        <v>405</v>
      </c>
      <c r="I148" s="119"/>
      <c r="J148" s="119">
        <v>0</v>
      </c>
      <c r="K148" s="119">
        <f t="shared" si="8"/>
        <v>405</v>
      </c>
      <c r="L148" s="152">
        <f t="shared" si="9"/>
        <v>357.48</v>
      </c>
      <c r="M148" s="113"/>
    </row>
    <row r="149" spans="1:13" ht="14.25" customHeight="1" x14ac:dyDescent="0.2">
      <c r="A149" s="106" t="s">
        <v>4066</v>
      </c>
      <c r="B149" s="105" t="s">
        <v>4086</v>
      </c>
      <c r="C149" s="105" t="s">
        <v>4085</v>
      </c>
      <c r="D149" s="149" t="s">
        <v>4087</v>
      </c>
      <c r="E149" s="105">
        <v>1</v>
      </c>
      <c r="F149" s="133">
        <v>60.25</v>
      </c>
      <c r="G149" s="133">
        <v>69.5</v>
      </c>
      <c r="H149" s="109">
        <f t="shared" si="7"/>
        <v>69.5</v>
      </c>
      <c r="I149" s="119"/>
      <c r="J149" s="119">
        <v>0</v>
      </c>
      <c r="K149" s="119">
        <f t="shared" si="8"/>
        <v>69.5</v>
      </c>
      <c r="L149" s="152">
        <f t="shared" si="9"/>
        <v>60.25</v>
      </c>
      <c r="M149" s="113"/>
    </row>
    <row r="150" spans="1:13" x14ac:dyDescent="0.2">
      <c r="A150" s="106" t="s">
        <v>4066</v>
      </c>
      <c r="B150" s="105" t="s">
        <v>3915</v>
      </c>
      <c r="C150" s="105" t="s">
        <v>4085</v>
      </c>
      <c r="D150" s="149" t="s">
        <v>3916</v>
      </c>
      <c r="E150" s="105">
        <v>1</v>
      </c>
      <c r="F150" s="133">
        <v>59.5</v>
      </c>
      <c r="G150" s="133">
        <v>68.5</v>
      </c>
      <c r="H150" s="109">
        <f t="shared" si="7"/>
        <v>68.5</v>
      </c>
      <c r="I150" s="119"/>
      <c r="J150" s="119">
        <v>0</v>
      </c>
      <c r="K150" s="119">
        <f t="shared" si="8"/>
        <v>68.5</v>
      </c>
      <c r="L150" s="152">
        <f t="shared" si="9"/>
        <v>59.5</v>
      </c>
      <c r="M150" s="113"/>
    </row>
    <row r="151" spans="1:13" x14ac:dyDescent="0.2">
      <c r="A151" s="106" t="s">
        <v>4066</v>
      </c>
      <c r="B151" s="105" t="s">
        <v>4088</v>
      </c>
      <c r="C151" s="105" t="s">
        <v>4085</v>
      </c>
      <c r="D151" s="149" t="s">
        <v>4089</v>
      </c>
      <c r="E151" s="105">
        <v>1</v>
      </c>
      <c r="F151" s="133">
        <v>59.5</v>
      </c>
      <c r="G151" s="133">
        <v>68.5</v>
      </c>
      <c r="H151" s="109">
        <f t="shared" si="7"/>
        <v>68.5</v>
      </c>
      <c r="I151" s="119"/>
      <c r="J151" s="119">
        <v>0</v>
      </c>
      <c r="K151" s="119">
        <f t="shared" si="8"/>
        <v>68.5</v>
      </c>
      <c r="L151" s="152">
        <f t="shared" si="9"/>
        <v>59.5</v>
      </c>
      <c r="M151" s="113"/>
    </row>
    <row r="152" spans="1:13" x14ac:dyDescent="0.2">
      <c r="A152" s="106" t="s">
        <v>4066</v>
      </c>
      <c r="B152" s="105" t="s">
        <v>4090</v>
      </c>
      <c r="C152" s="105" t="s">
        <v>4085</v>
      </c>
      <c r="D152" s="149" t="s">
        <v>4091</v>
      </c>
      <c r="E152" s="105">
        <v>1</v>
      </c>
      <c r="F152" s="133">
        <v>178.1</v>
      </c>
      <c r="G152" s="133">
        <v>205</v>
      </c>
      <c r="H152" s="109">
        <f t="shared" si="7"/>
        <v>205</v>
      </c>
      <c r="I152" s="119"/>
      <c r="J152" s="119">
        <v>0</v>
      </c>
      <c r="K152" s="119">
        <f t="shared" si="8"/>
        <v>205</v>
      </c>
      <c r="L152" s="152">
        <f t="shared" si="9"/>
        <v>178.1</v>
      </c>
      <c r="M152" s="113"/>
    </row>
    <row r="153" spans="1:13" x14ac:dyDescent="0.2">
      <c r="A153" s="106" t="s">
        <v>4066</v>
      </c>
      <c r="B153" s="105" t="s">
        <v>3443</v>
      </c>
      <c r="C153" s="105" t="s">
        <v>4085</v>
      </c>
      <c r="D153" s="149" t="s">
        <v>3444</v>
      </c>
      <c r="E153" s="105">
        <v>1</v>
      </c>
      <c r="F153" s="133">
        <v>89.91</v>
      </c>
      <c r="G153" s="133">
        <v>103.5</v>
      </c>
      <c r="H153" s="109">
        <f t="shared" si="7"/>
        <v>103.5</v>
      </c>
      <c r="I153" s="119"/>
      <c r="J153" s="119">
        <v>0</v>
      </c>
      <c r="K153" s="119">
        <f t="shared" si="8"/>
        <v>103.5</v>
      </c>
      <c r="L153" s="152">
        <f t="shared" si="9"/>
        <v>89.91</v>
      </c>
      <c r="M153" s="113"/>
    </row>
    <row r="154" spans="1:13" x14ac:dyDescent="0.2">
      <c r="A154" s="106" t="s">
        <v>4066</v>
      </c>
      <c r="B154" s="105" t="s">
        <v>3312</v>
      </c>
      <c r="C154" s="105" t="s">
        <v>4085</v>
      </c>
      <c r="D154" s="149" t="s">
        <v>3313</v>
      </c>
      <c r="E154" s="105">
        <v>1</v>
      </c>
      <c r="F154" s="133">
        <v>60.75</v>
      </c>
      <c r="G154" s="133">
        <v>67.25</v>
      </c>
      <c r="H154" s="109">
        <f t="shared" si="7"/>
        <v>67.25</v>
      </c>
      <c r="I154" s="119"/>
      <c r="J154" s="119">
        <v>0</v>
      </c>
      <c r="K154" s="119">
        <f t="shared" si="8"/>
        <v>67.25</v>
      </c>
      <c r="L154" s="152">
        <f t="shared" si="9"/>
        <v>60.75</v>
      </c>
      <c r="M154" s="113"/>
    </row>
    <row r="155" spans="1:13" x14ac:dyDescent="0.2">
      <c r="A155" s="106" t="s">
        <v>4066</v>
      </c>
      <c r="B155" s="105" t="s">
        <v>1951</v>
      </c>
      <c r="C155" s="105" t="s">
        <v>4085</v>
      </c>
      <c r="D155" s="149" t="s">
        <v>1952</v>
      </c>
      <c r="E155" s="105">
        <v>1</v>
      </c>
      <c r="F155" s="133">
        <v>12.77</v>
      </c>
      <c r="G155" s="133">
        <v>14.75</v>
      </c>
      <c r="H155" s="109">
        <f t="shared" si="7"/>
        <v>14.75</v>
      </c>
      <c r="I155" s="119"/>
      <c r="J155" s="119">
        <v>0</v>
      </c>
      <c r="K155" s="119">
        <f t="shared" si="8"/>
        <v>14.75</v>
      </c>
      <c r="L155" s="152">
        <f t="shared" si="9"/>
        <v>12.77</v>
      </c>
      <c r="M155" s="113"/>
    </row>
    <row r="156" spans="1:13" x14ac:dyDescent="0.2">
      <c r="A156" s="106" t="s">
        <v>4066</v>
      </c>
      <c r="B156" s="105" t="s">
        <v>1884</v>
      </c>
      <c r="C156" s="105" t="s">
        <v>4092</v>
      </c>
      <c r="D156" s="149" t="s">
        <v>1885</v>
      </c>
      <c r="E156" s="105">
        <v>1</v>
      </c>
      <c r="F156" s="133">
        <v>6.83</v>
      </c>
      <c r="G156" s="133">
        <v>9.75</v>
      </c>
      <c r="H156" s="109">
        <f t="shared" si="7"/>
        <v>9.75</v>
      </c>
      <c r="I156" s="119"/>
      <c r="J156" s="119">
        <v>0</v>
      </c>
      <c r="K156" s="119">
        <f t="shared" si="8"/>
        <v>9.75</v>
      </c>
      <c r="L156" s="152">
        <f t="shared" si="9"/>
        <v>6.83</v>
      </c>
      <c r="M156" s="113"/>
    </row>
    <row r="157" spans="1:13" x14ac:dyDescent="0.2">
      <c r="A157" s="106" t="s">
        <v>4066</v>
      </c>
      <c r="B157" s="105" t="s">
        <v>3935</v>
      </c>
      <c r="C157" s="105" t="s">
        <v>4093</v>
      </c>
      <c r="D157" s="149" t="s">
        <v>3937</v>
      </c>
      <c r="E157" s="105">
        <v>1</v>
      </c>
      <c r="F157" s="133">
        <v>85.25</v>
      </c>
      <c r="G157" s="133">
        <v>98.25</v>
      </c>
      <c r="H157" s="109">
        <f t="shared" si="7"/>
        <v>98.25</v>
      </c>
      <c r="I157" s="119"/>
      <c r="J157" s="119">
        <v>0</v>
      </c>
      <c r="K157" s="119">
        <f t="shared" si="8"/>
        <v>98.25</v>
      </c>
      <c r="L157" s="152">
        <f t="shared" si="9"/>
        <v>85.25</v>
      </c>
      <c r="M157" s="113"/>
    </row>
    <row r="158" spans="1:13" x14ac:dyDescent="0.2">
      <c r="A158" s="106" t="s">
        <v>4066</v>
      </c>
      <c r="B158" s="105" t="s">
        <v>4094</v>
      </c>
      <c r="C158" s="105" t="s">
        <v>4095</v>
      </c>
      <c r="D158" s="149" t="s">
        <v>4096</v>
      </c>
      <c r="E158" s="105">
        <v>1</v>
      </c>
      <c r="F158" s="133">
        <v>54.05</v>
      </c>
      <c r="G158" s="133">
        <v>63</v>
      </c>
      <c r="H158" s="109">
        <f t="shared" si="7"/>
        <v>63</v>
      </c>
      <c r="I158" s="119"/>
      <c r="J158" s="119">
        <v>0</v>
      </c>
      <c r="K158" s="119">
        <f t="shared" si="8"/>
        <v>63</v>
      </c>
      <c r="L158" s="152">
        <f t="shared" si="9"/>
        <v>54.05</v>
      </c>
      <c r="M158" s="113"/>
    </row>
    <row r="159" spans="1:13" x14ac:dyDescent="0.2">
      <c r="A159" s="106" t="s">
        <v>4066</v>
      </c>
      <c r="B159" s="105" t="s">
        <v>2110</v>
      </c>
      <c r="C159" s="105" t="s">
        <v>4097</v>
      </c>
      <c r="D159" s="149" t="s">
        <v>2112</v>
      </c>
      <c r="E159" s="105">
        <v>1</v>
      </c>
      <c r="F159" s="133">
        <v>23.13</v>
      </c>
      <c r="G159" s="133">
        <v>30.25</v>
      </c>
      <c r="H159" s="109">
        <f t="shared" si="7"/>
        <v>30.25</v>
      </c>
      <c r="I159" s="119"/>
      <c r="J159" s="119">
        <v>0</v>
      </c>
      <c r="K159" s="119">
        <f t="shared" si="8"/>
        <v>30.25</v>
      </c>
      <c r="L159" s="152">
        <f t="shared" si="9"/>
        <v>23.13</v>
      </c>
      <c r="M159" s="113"/>
    </row>
    <row r="160" spans="1:13" x14ac:dyDescent="0.2">
      <c r="A160" s="106" t="s">
        <v>4066</v>
      </c>
      <c r="B160" s="105" t="s">
        <v>4098</v>
      </c>
      <c r="C160" s="105" t="s">
        <v>4099</v>
      </c>
      <c r="D160" s="149" t="s">
        <v>4100</v>
      </c>
      <c r="E160" s="105">
        <v>1</v>
      </c>
      <c r="F160" s="133">
        <v>18.25</v>
      </c>
      <c r="G160" s="133">
        <v>21</v>
      </c>
      <c r="H160" s="109">
        <f t="shared" si="7"/>
        <v>21</v>
      </c>
      <c r="I160" s="119"/>
      <c r="J160" s="119">
        <v>0</v>
      </c>
      <c r="K160" s="119">
        <f t="shared" si="8"/>
        <v>21</v>
      </c>
      <c r="L160" s="152">
        <f t="shared" si="9"/>
        <v>18.25</v>
      </c>
      <c r="M160" s="113"/>
    </row>
    <row r="161" spans="1:13" x14ac:dyDescent="0.2">
      <c r="A161" s="106" t="s">
        <v>4066</v>
      </c>
      <c r="B161" s="105" t="s">
        <v>2633</v>
      </c>
      <c r="C161" s="105" t="s">
        <v>4099</v>
      </c>
      <c r="D161" s="149" t="s">
        <v>2635</v>
      </c>
      <c r="E161" s="105">
        <v>1</v>
      </c>
      <c r="F161" s="133">
        <v>14</v>
      </c>
      <c r="G161" s="133">
        <v>16</v>
      </c>
      <c r="H161" s="109">
        <f t="shared" si="7"/>
        <v>16</v>
      </c>
      <c r="I161" s="119"/>
      <c r="J161" s="119">
        <v>0</v>
      </c>
      <c r="K161" s="119">
        <f t="shared" si="8"/>
        <v>16</v>
      </c>
      <c r="L161" s="152">
        <f t="shared" si="9"/>
        <v>14</v>
      </c>
      <c r="M161" s="113"/>
    </row>
    <row r="162" spans="1:13" x14ac:dyDescent="0.2">
      <c r="A162" s="106" t="s">
        <v>4066</v>
      </c>
      <c r="B162" s="105" t="s">
        <v>2908</v>
      </c>
      <c r="C162" s="105" t="s">
        <v>4099</v>
      </c>
      <c r="D162" s="149" t="s">
        <v>2910</v>
      </c>
      <c r="E162" s="105">
        <v>3</v>
      </c>
      <c r="F162" s="133">
        <v>0.76</v>
      </c>
      <c r="G162" s="133">
        <v>1</v>
      </c>
      <c r="H162" s="109">
        <f t="shared" si="7"/>
        <v>3</v>
      </c>
      <c r="I162" s="119"/>
      <c r="J162" s="119">
        <v>0</v>
      </c>
      <c r="K162" s="119">
        <f t="shared" si="8"/>
        <v>3</v>
      </c>
      <c r="L162" s="152">
        <f t="shared" si="9"/>
        <v>2.2800000000000002</v>
      </c>
      <c r="M162" s="113"/>
    </row>
    <row r="163" spans="1:13" x14ac:dyDescent="0.2">
      <c r="A163" s="106" t="s">
        <v>4066</v>
      </c>
      <c r="B163" s="105" t="s">
        <v>2884</v>
      </c>
      <c r="C163" s="105" t="s">
        <v>4101</v>
      </c>
      <c r="D163" s="149" t="s">
        <v>2886</v>
      </c>
      <c r="E163" s="105">
        <v>2</v>
      </c>
      <c r="F163" s="133">
        <v>302.13</v>
      </c>
      <c r="G163" s="133">
        <v>362.75</v>
      </c>
      <c r="H163" s="109">
        <f t="shared" si="7"/>
        <v>725.5</v>
      </c>
      <c r="I163" s="119"/>
      <c r="J163" s="119">
        <v>0</v>
      </c>
      <c r="K163" s="119">
        <f t="shared" si="8"/>
        <v>725.5</v>
      </c>
      <c r="L163" s="152">
        <f t="shared" si="9"/>
        <v>604.26</v>
      </c>
      <c r="M163" s="113"/>
    </row>
    <row r="164" spans="1:13" x14ac:dyDescent="0.2">
      <c r="A164" s="106" t="s">
        <v>4066</v>
      </c>
      <c r="B164" s="105" t="s">
        <v>2240</v>
      </c>
      <c r="C164" s="105" t="s">
        <v>4102</v>
      </c>
      <c r="D164" s="149" t="s">
        <v>2241</v>
      </c>
      <c r="E164" s="105">
        <v>1</v>
      </c>
      <c r="F164" s="133">
        <v>18.649999999999999</v>
      </c>
      <c r="G164" s="133">
        <v>21.5</v>
      </c>
      <c r="H164" s="109">
        <f t="shared" si="7"/>
        <v>21.5</v>
      </c>
      <c r="I164" s="119"/>
      <c r="J164" s="119">
        <v>0</v>
      </c>
      <c r="K164" s="119">
        <f t="shared" si="8"/>
        <v>21.5</v>
      </c>
      <c r="L164" s="152">
        <f t="shared" si="9"/>
        <v>18.649999999999999</v>
      </c>
      <c r="M164" s="113"/>
    </row>
    <row r="165" spans="1:13" x14ac:dyDescent="0.2">
      <c r="A165" s="106" t="s">
        <v>4066</v>
      </c>
      <c r="B165" s="105" t="s">
        <v>2133</v>
      </c>
      <c r="C165" s="105" t="s">
        <v>4103</v>
      </c>
      <c r="D165" s="149" t="s">
        <v>2135</v>
      </c>
      <c r="E165" s="105">
        <v>1</v>
      </c>
      <c r="F165" s="133">
        <v>68</v>
      </c>
      <c r="G165" s="133">
        <v>78.25</v>
      </c>
      <c r="H165" s="109">
        <f t="shared" si="7"/>
        <v>78.25</v>
      </c>
      <c r="I165" s="119"/>
      <c r="J165" s="119">
        <v>0</v>
      </c>
      <c r="K165" s="119">
        <f t="shared" si="8"/>
        <v>78.25</v>
      </c>
      <c r="L165" s="152">
        <f t="shared" si="9"/>
        <v>68</v>
      </c>
      <c r="M165" s="113"/>
    </row>
    <row r="166" spans="1:13" x14ac:dyDescent="0.2">
      <c r="A166" s="106" t="s">
        <v>4066</v>
      </c>
      <c r="B166" s="105" t="s">
        <v>2908</v>
      </c>
      <c r="C166" s="105" t="s">
        <v>4104</v>
      </c>
      <c r="D166" s="149" t="s">
        <v>2910</v>
      </c>
      <c r="E166" s="105">
        <v>1</v>
      </c>
      <c r="F166" s="133">
        <v>0.76</v>
      </c>
      <c r="G166" s="133">
        <v>1</v>
      </c>
      <c r="H166" s="109">
        <f t="shared" si="7"/>
        <v>1</v>
      </c>
      <c r="I166" s="119"/>
      <c r="J166" s="119">
        <v>0</v>
      </c>
      <c r="K166" s="119">
        <f t="shared" si="8"/>
        <v>1</v>
      </c>
      <c r="L166" s="152">
        <f t="shared" si="9"/>
        <v>0.76</v>
      </c>
      <c r="M166" s="113"/>
    </row>
    <row r="167" spans="1:13" x14ac:dyDescent="0.2">
      <c r="A167" s="106" t="s">
        <v>4066</v>
      </c>
      <c r="B167" s="105" t="s">
        <v>2363</v>
      </c>
      <c r="C167" s="105" t="s">
        <v>4105</v>
      </c>
      <c r="D167" s="149" t="s">
        <v>2365</v>
      </c>
      <c r="E167" s="105">
        <v>1</v>
      </c>
      <c r="F167" s="133">
        <v>12.66</v>
      </c>
      <c r="G167" s="133">
        <v>14.25</v>
      </c>
      <c r="H167" s="109">
        <f t="shared" si="7"/>
        <v>14.25</v>
      </c>
      <c r="I167" s="119"/>
      <c r="J167" s="119">
        <v>0</v>
      </c>
      <c r="K167" s="119">
        <f t="shared" si="8"/>
        <v>14.25</v>
      </c>
      <c r="L167" s="152">
        <f t="shared" si="9"/>
        <v>12.66</v>
      </c>
      <c r="M167" s="113"/>
    </row>
    <row r="168" spans="1:13" x14ac:dyDescent="0.2">
      <c r="A168" s="106" t="s">
        <v>4066</v>
      </c>
      <c r="B168" s="105" t="s">
        <v>2237</v>
      </c>
      <c r="C168" s="105" t="s">
        <v>4106</v>
      </c>
      <c r="D168" s="149" t="s">
        <v>2239</v>
      </c>
      <c r="E168" s="105">
        <v>1</v>
      </c>
      <c r="F168" s="133">
        <v>13.32</v>
      </c>
      <c r="G168" s="133">
        <v>15.5</v>
      </c>
      <c r="H168" s="109">
        <f t="shared" si="7"/>
        <v>15.5</v>
      </c>
      <c r="I168" s="119"/>
      <c r="J168" s="119">
        <v>0</v>
      </c>
      <c r="K168" s="119">
        <f t="shared" si="8"/>
        <v>15.5</v>
      </c>
      <c r="L168" s="152">
        <f t="shared" si="9"/>
        <v>13.32</v>
      </c>
      <c r="M168" s="113"/>
    </row>
    <row r="169" spans="1:13" x14ac:dyDescent="0.2">
      <c r="A169" s="106" t="s">
        <v>4107</v>
      </c>
      <c r="B169" s="105" t="s">
        <v>2884</v>
      </c>
      <c r="C169" s="105" t="s">
        <v>4108</v>
      </c>
      <c r="D169" s="149" t="s">
        <v>2886</v>
      </c>
      <c r="E169" s="105">
        <v>4</v>
      </c>
      <c r="F169" s="133">
        <v>302.13</v>
      </c>
      <c r="G169" s="133">
        <v>362.75</v>
      </c>
      <c r="H169" s="109">
        <f t="shared" si="7"/>
        <v>1451</v>
      </c>
      <c r="I169" s="119"/>
      <c r="J169" s="119">
        <v>0</v>
      </c>
      <c r="K169" s="119">
        <f t="shared" si="8"/>
        <v>1451</v>
      </c>
      <c r="L169" s="152">
        <f t="shared" si="9"/>
        <v>1208.52</v>
      </c>
      <c r="M169" s="113"/>
    </row>
    <row r="170" spans="1:13" x14ac:dyDescent="0.2">
      <c r="A170" s="106" t="s">
        <v>4107</v>
      </c>
      <c r="B170" s="105" t="s">
        <v>2884</v>
      </c>
      <c r="C170" s="105" t="s">
        <v>4109</v>
      </c>
      <c r="D170" s="149" t="s">
        <v>2886</v>
      </c>
      <c r="E170" s="105">
        <v>4</v>
      </c>
      <c r="F170" s="133">
        <v>302.13</v>
      </c>
      <c r="G170" s="133">
        <v>362.75</v>
      </c>
      <c r="H170" s="109">
        <f t="shared" si="7"/>
        <v>1451</v>
      </c>
      <c r="I170" s="119"/>
      <c r="J170" s="119">
        <v>0</v>
      </c>
      <c r="K170" s="119">
        <f t="shared" si="8"/>
        <v>1451</v>
      </c>
      <c r="L170" s="152">
        <f t="shared" si="9"/>
        <v>1208.52</v>
      </c>
      <c r="M170" s="113"/>
    </row>
    <row r="171" spans="1:13" x14ac:dyDescent="0.2">
      <c r="A171" s="106" t="s">
        <v>4107</v>
      </c>
      <c r="B171" s="105" t="s">
        <v>2327</v>
      </c>
      <c r="C171" s="105" t="s">
        <v>4110</v>
      </c>
      <c r="D171" s="149" t="s">
        <v>2329</v>
      </c>
      <c r="E171" s="105">
        <v>1</v>
      </c>
      <c r="F171" s="133">
        <v>23.07</v>
      </c>
      <c r="G171" s="133">
        <v>26.75</v>
      </c>
      <c r="H171" s="109">
        <f t="shared" si="7"/>
        <v>26.75</v>
      </c>
      <c r="I171" s="119"/>
      <c r="J171" s="119">
        <v>0</v>
      </c>
      <c r="K171" s="119">
        <f t="shared" si="8"/>
        <v>26.75</v>
      </c>
      <c r="L171" s="152">
        <f t="shared" si="9"/>
        <v>23.07</v>
      </c>
      <c r="M171" s="113"/>
    </row>
    <row r="172" spans="1:13" x14ac:dyDescent="0.2">
      <c r="A172" s="106" t="s">
        <v>4107</v>
      </c>
      <c r="B172" s="105" t="s">
        <v>2338</v>
      </c>
      <c r="C172" s="105" t="s">
        <v>4110</v>
      </c>
      <c r="D172" s="149" t="s">
        <v>2339</v>
      </c>
      <c r="E172" s="105">
        <v>2</v>
      </c>
      <c r="F172" s="133">
        <v>31.6</v>
      </c>
      <c r="G172" s="133">
        <v>36.33</v>
      </c>
      <c r="H172" s="109">
        <f t="shared" si="7"/>
        <v>72.66</v>
      </c>
      <c r="I172" s="119"/>
      <c r="J172" s="119">
        <v>0</v>
      </c>
      <c r="K172" s="119">
        <f t="shared" si="8"/>
        <v>72.66</v>
      </c>
      <c r="L172" s="152">
        <f t="shared" si="9"/>
        <v>63.2</v>
      </c>
      <c r="M172" s="113"/>
    </row>
    <row r="173" spans="1:13" x14ac:dyDescent="0.2">
      <c r="A173" s="106" t="s">
        <v>4107</v>
      </c>
      <c r="B173" s="105" t="s">
        <v>3413</v>
      </c>
      <c r="C173" s="105" t="s">
        <v>4110</v>
      </c>
      <c r="D173" s="149" t="s">
        <v>3414</v>
      </c>
      <c r="E173" s="105">
        <v>1</v>
      </c>
      <c r="F173" s="133">
        <v>33.1</v>
      </c>
      <c r="G173" s="133">
        <v>38.25</v>
      </c>
      <c r="H173" s="109">
        <f t="shared" si="7"/>
        <v>38.25</v>
      </c>
      <c r="I173" s="119"/>
      <c r="J173" s="119">
        <v>0</v>
      </c>
      <c r="K173" s="119">
        <f t="shared" si="8"/>
        <v>38.25</v>
      </c>
      <c r="L173" s="152">
        <f t="shared" si="9"/>
        <v>33.1</v>
      </c>
      <c r="M173" s="113"/>
    </row>
    <row r="174" spans="1:13" x14ac:dyDescent="0.2">
      <c r="A174" s="106" t="s">
        <v>4107</v>
      </c>
      <c r="B174" s="105" t="s">
        <v>2055</v>
      </c>
      <c r="C174" s="105" t="s">
        <v>4110</v>
      </c>
      <c r="D174" s="149" t="s">
        <v>2056</v>
      </c>
      <c r="E174" s="105">
        <v>2</v>
      </c>
      <c r="F174" s="133">
        <v>59.58</v>
      </c>
      <c r="G174" s="133">
        <v>67.5</v>
      </c>
      <c r="H174" s="109">
        <f t="shared" si="7"/>
        <v>135</v>
      </c>
      <c r="I174" s="119"/>
      <c r="J174" s="119">
        <v>0</v>
      </c>
      <c r="K174" s="119">
        <f t="shared" si="8"/>
        <v>135</v>
      </c>
      <c r="L174" s="152">
        <f t="shared" si="9"/>
        <v>119.16</v>
      </c>
      <c r="M174" s="113"/>
    </row>
    <row r="175" spans="1:13" x14ac:dyDescent="0.2">
      <c r="A175" s="106" t="s">
        <v>4107</v>
      </c>
      <c r="B175" s="105" t="s">
        <v>3690</v>
      </c>
      <c r="C175" s="105" t="s">
        <v>4111</v>
      </c>
      <c r="D175" s="149" t="s">
        <v>3691</v>
      </c>
      <c r="E175" s="105">
        <v>1</v>
      </c>
      <c r="F175" s="133">
        <v>53.64</v>
      </c>
      <c r="G175" s="133">
        <v>61.75</v>
      </c>
      <c r="H175" s="109">
        <f t="shared" si="7"/>
        <v>61.75</v>
      </c>
      <c r="I175" s="119"/>
      <c r="J175" s="119">
        <v>0</v>
      </c>
      <c r="K175" s="119">
        <f t="shared" si="8"/>
        <v>61.75</v>
      </c>
      <c r="L175" s="152">
        <f t="shared" si="9"/>
        <v>53.64</v>
      </c>
      <c r="M175" s="113"/>
    </row>
    <row r="176" spans="1:13" x14ac:dyDescent="0.2">
      <c r="A176" s="106" t="s">
        <v>4107</v>
      </c>
      <c r="B176" s="105" t="s">
        <v>4112</v>
      </c>
      <c r="C176" s="105" t="s">
        <v>4111</v>
      </c>
      <c r="D176" s="149" t="s">
        <v>4113</v>
      </c>
      <c r="E176" s="105">
        <v>1</v>
      </c>
      <c r="F176" s="133">
        <v>19.66</v>
      </c>
      <c r="G176" s="133">
        <v>23</v>
      </c>
      <c r="H176" s="109">
        <f t="shared" si="7"/>
        <v>23</v>
      </c>
      <c r="I176" s="119"/>
      <c r="J176" s="119">
        <v>0</v>
      </c>
      <c r="K176" s="119">
        <f t="shared" si="8"/>
        <v>23</v>
      </c>
      <c r="L176" s="152">
        <f t="shared" si="9"/>
        <v>19.66</v>
      </c>
      <c r="M176" s="113"/>
    </row>
    <row r="177" spans="1:13" x14ac:dyDescent="0.2">
      <c r="A177" s="106" t="s">
        <v>4107</v>
      </c>
      <c r="B177" s="105" t="s">
        <v>1802</v>
      </c>
      <c r="C177" s="105" t="s">
        <v>4114</v>
      </c>
      <c r="D177" s="149" t="s">
        <v>1803</v>
      </c>
      <c r="E177" s="105">
        <v>1</v>
      </c>
      <c r="F177" s="133">
        <v>7.51</v>
      </c>
      <c r="G177" s="133">
        <v>8.75</v>
      </c>
      <c r="H177" s="109">
        <f t="shared" si="7"/>
        <v>8.75</v>
      </c>
      <c r="I177" s="119"/>
      <c r="J177" s="119">
        <v>0</v>
      </c>
      <c r="K177" s="119">
        <f t="shared" si="8"/>
        <v>8.75</v>
      </c>
      <c r="L177" s="152">
        <f t="shared" si="9"/>
        <v>7.51</v>
      </c>
      <c r="M177" s="113"/>
    </row>
    <row r="178" spans="1:13" x14ac:dyDescent="0.2">
      <c r="A178" s="106" t="s">
        <v>4107</v>
      </c>
      <c r="B178" s="105" t="s">
        <v>3236</v>
      </c>
      <c r="C178" s="105" t="s">
        <v>4114</v>
      </c>
      <c r="D178" s="149" t="s">
        <v>3237</v>
      </c>
      <c r="E178" s="105">
        <v>1</v>
      </c>
      <c r="F178" s="133">
        <v>22.73</v>
      </c>
      <c r="G178" s="133">
        <v>26.25</v>
      </c>
      <c r="H178" s="109">
        <f t="shared" si="7"/>
        <v>26.25</v>
      </c>
      <c r="I178" s="119"/>
      <c r="J178" s="119">
        <v>0</v>
      </c>
      <c r="K178" s="119">
        <f t="shared" si="8"/>
        <v>26.25</v>
      </c>
      <c r="L178" s="152">
        <f t="shared" si="9"/>
        <v>22.73</v>
      </c>
      <c r="M178" s="113"/>
    </row>
    <row r="179" spans="1:13" x14ac:dyDescent="0.2">
      <c r="A179" s="106" t="s">
        <v>4107</v>
      </c>
      <c r="B179" s="105" t="s">
        <v>2226</v>
      </c>
      <c r="C179" s="105" t="s">
        <v>4115</v>
      </c>
      <c r="D179" s="149" t="s">
        <v>2228</v>
      </c>
      <c r="E179" s="105">
        <v>1</v>
      </c>
      <c r="F179" s="133">
        <v>19.47</v>
      </c>
      <c r="G179" s="133">
        <v>23</v>
      </c>
      <c r="H179" s="109">
        <f t="shared" si="7"/>
        <v>23</v>
      </c>
      <c r="I179" s="119"/>
      <c r="J179" s="119">
        <v>0</v>
      </c>
      <c r="K179" s="119">
        <f t="shared" si="8"/>
        <v>23</v>
      </c>
      <c r="L179" s="152">
        <f t="shared" si="9"/>
        <v>19.47</v>
      </c>
      <c r="M179" s="113"/>
    </row>
    <row r="180" spans="1:13" x14ac:dyDescent="0.2">
      <c r="A180" s="106" t="s">
        <v>4107</v>
      </c>
      <c r="B180" s="105" t="s">
        <v>1920</v>
      </c>
      <c r="C180" s="105" t="s">
        <v>4116</v>
      </c>
      <c r="D180" s="149" t="s">
        <v>1921</v>
      </c>
      <c r="E180" s="105">
        <v>1</v>
      </c>
      <c r="F180" s="133">
        <v>13.32</v>
      </c>
      <c r="G180" s="133">
        <v>15.5</v>
      </c>
      <c r="H180" s="109">
        <f t="shared" si="7"/>
        <v>15.5</v>
      </c>
      <c r="I180" s="119"/>
      <c r="J180" s="119">
        <v>0</v>
      </c>
      <c r="K180" s="119">
        <f t="shared" si="8"/>
        <v>15.5</v>
      </c>
      <c r="L180" s="152">
        <f t="shared" si="9"/>
        <v>13.32</v>
      </c>
      <c r="M180" s="113"/>
    </row>
    <row r="181" spans="1:13" x14ac:dyDescent="0.2">
      <c r="A181" s="106" t="s">
        <v>4107</v>
      </c>
      <c r="B181" s="105" t="s">
        <v>2158</v>
      </c>
      <c r="C181" s="105" t="s">
        <v>4117</v>
      </c>
      <c r="D181" s="149" t="s">
        <v>2160</v>
      </c>
      <c r="E181" s="105">
        <v>2</v>
      </c>
      <c r="F181" s="133">
        <v>58.56</v>
      </c>
      <c r="G181" s="133">
        <v>67.5</v>
      </c>
      <c r="H181" s="109">
        <f t="shared" si="7"/>
        <v>135</v>
      </c>
      <c r="I181" s="119"/>
      <c r="J181" s="119">
        <v>0</v>
      </c>
      <c r="K181" s="119">
        <f t="shared" si="8"/>
        <v>135</v>
      </c>
      <c r="L181" s="152">
        <f t="shared" si="9"/>
        <v>117.12</v>
      </c>
      <c r="M181" s="113"/>
    </row>
    <row r="182" spans="1:13" x14ac:dyDescent="0.2">
      <c r="A182" s="106" t="s">
        <v>4107</v>
      </c>
      <c r="B182" s="105" t="s">
        <v>3180</v>
      </c>
      <c r="C182" s="105" t="s">
        <v>4117</v>
      </c>
      <c r="D182" s="149" t="s">
        <v>3181</v>
      </c>
      <c r="E182" s="105">
        <v>1</v>
      </c>
      <c r="F182" s="133">
        <v>25.8</v>
      </c>
      <c r="G182" s="133">
        <v>29.75</v>
      </c>
      <c r="H182" s="109">
        <f t="shared" si="7"/>
        <v>29.75</v>
      </c>
      <c r="I182" s="119"/>
      <c r="J182" s="119">
        <v>0</v>
      </c>
      <c r="K182" s="119">
        <f t="shared" si="8"/>
        <v>29.75</v>
      </c>
      <c r="L182" s="152">
        <f t="shared" si="9"/>
        <v>25.8</v>
      </c>
      <c r="M182" s="113"/>
    </row>
    <row r="183" spans="1:13" x14ac:dyDescent="0.2">
      <c r="A183" s="106" t="s">
        <v>4107</v>
      </c>
      <c r="B183" s="105" t="s">
        <v>3095</v>
      </c>
      <c r="C183" s="105" t="s">
        <v>4118</v>
      </c>
      <c r="D183" s="149" t="s">
        <v>3097</v>
      </c>
      <c r="E183" s="105">
        <v>1</v>
      </c>
      <c r="F183" s="133">
        <v>9.5</v>
      </c>
      <c r="G183" s="133">
        <v>11</v>
      </c>
      <c r="H183" s="109">
        <f t="shared" si="7"/>
        <v>11</v>
      </c>
      <c r="I183" s="119"/>
      <c r="J183" s="119">
        <v>0</v>
      </c>
      <c r="K183" s="119">
        <f t="shared" si="8"/>
        <v>11</v>
      </c>
      <c r="L183" s="152">
        <f t="shared" si="9"/>
        <v>9.5</v>
      </c>
      <c r="M183" s="113"/>
    </row>
    <row r="184" spans="1:13" x14ac:dyDescent="0.2">
      <c r="A184" s="106" t="s">
        <v>4107</v>
      </c>
      <c r="B184" s="105" t="s">
        <v>1802</v>
      </c>
      <c r="C184" s="105" t="s">
        <v>4119</v>
      </c>
      <c r="D184" s="149" t="s">
        <v>1803</v>
      </c>
      <c r="E184" s="105">
        <v>1</v>
      </c>
      <c r="F184" s="133">
        <v>7.51</v>
      </c>
      <c r="G184" s="133">
        <v>8.75</v>
      </c>
      <c r="H184" s="109">
        <f t="shared" si="7"/>
        <v>8.75</v>
      </c>
      <c r="I184" s="119"/>
      <c r="J184" s="119">
        <v>0</v>
      </c>
      <c r="K184" s="119">
        <f t="shared" si="8"/>
        <v>8.75</v>
      </c>
      <c r="L184" s="152">
        <f t="shared" si="9"/>
        <v>7.51</v>
      </c>
      <c r="M184" s="113"/>
    </row>
    <row r="185" spans="1:13" x14ac:dyDescent="0.2">
      <c r="A185" s="106" t="s">
        <v>4107</v>
      </c>
      <c r="B185" s="105" t="s">
        <v>1861</v>
      </c>
      <c r="C185" s="105" t="s">
        <v>4119</v>
      </c>
      <c r="D185" s="149" t="s">
        <v>1862</v>
      </c>
      <c r="E185" s="105">
        <v>1</v>
      </c>
      <c r="F185" s="133">
        <v>15.65</v>
      </c>
      <c r="G185" s="133">
        <v>18</v>
      </c>
      <c r="H185" s="109">
        <f t="shared" si="7"/>
        <v>18</v>
      </c>
      <c r="I185" s="119"/>
      <c r="J185" s="119">
        <v>0</v>
      </c>
      <c r="K185" s="119">
        <f t="shared" si="8"/>
        <v>18</v>
      </c>
      <c r="L185" s="152">
        <f t="shared" si="9"/>
        <v>15.65</v>
      </c>
      <c r="M185" s="113"/>
    </row>
    <row r="186" spans="1:13" x14ac:dyDescent="0.2">
      <c r="A186" s="106" t="s">
        <v>4107</v>
      </c>
      <c r="B186" s="105" t="s">
        <v>3078</v>
      </c>
      <c r="C186" s="105" t="s">
        <v>4120</v>
      </c>
      <c r="D186" s="149" t="s">
        <v>3080</v>
      </c>
      <c r="E186" s="105">
        <v>1</v>
      </c>
      <c r="F186" s="133">
        <v>58.84</v>
      </c>
      <c r="G186" s="133">
        <v>67.75</v>
      </c>
      <c r="H186" s="109">
        <f t="shared" si="7"/>
        <v>67.75</v>
      </c>
      <c r="I186" s="119"/>
      <c r="J186" s="119">
        <v>0</v>
      </c>
      <c r="K186" s="119">
        <f t="shared" si="8"/>
        <v>67.75</v>
      </c>
      <c r="L186" s="152">
        <f t="shared" si="9"/>
        <v>58.84</v>
      </c>
      <c r="M186" s="113"/>
    </row>
    <row r="187" spans="1:13" x14ac:dyDescent="0.2">
      <c r="A187" s="106" t="s">
        <v>4107</v>
      </c>
      <c r="B187" s="105" t="s">
        <v>1861</v>
      </c>
      <c r="C187" s="105" t="s">
        <v>4120</v>
      </c>
      <c r="D187" s="149" t="s">
        <v>1862</v>
      </c>
      <c r="E187" s="105">
        <v>1</v>
      </c>
      <c r="F187" s="133">
        <v>15.65</v>
      </c>
      <c r="G187" s="133">
        <v>18</v>
      </c>
      <c r="H187" s="109">
        <f t="shared" si="7"/>
        <v>18</v>
      </c>
      <c r="I187" s="119"/>
      <c r="J187" s="119">
        <v>0</v>
      </c>
      <c r="K187" s="119">
        <f t="shared" si="8"/>
        <v>18</v>
      </c>
      <c r="L187" s="152">
        <f t="shared" si="9"/>
        <v>15.65</v>
      </c>
      <c r="M187" s="113"/>
    </row>
    <row r="188" spans="1:13" x14ac:dyDescent="0.2">
      <c r="A188" s="106" t="s">
        <v>4107</v>
      </c>
      <c r="B188" s="105" t="s">
        <v>2226</v>
      </c>
      <c r="C188" s="105" t="s">
        <v>4120</v>
      </c>
      <c r="D188" s="149" t="s">
        <v>2228</v>
      </c>
      <c r="E188" s="105">
        <v>1</v>
      </c>
      <c r="F188" s="133">
        <v>19.47</v>
      </c>
      <c r="G188" s="133">
        <v>23</v>
      </c>
      <c r="H188" s="109">
        <f t="shared" si="7"/>
        <v>23</v>
      </c>
      <c r="I188" s="119"/>
      <c r="J188" s="119">
        <v>0</v>
      </c>
      <c r="K188" s="119">
        <f t="shared" si="8"/>
        <v>23</v>
      </c>
      <c r="L188" s="152">
        <f t="shared" si="9"/>
        <v>19.47</v>
      </c>
      <c r="M188" s="113"/>
    </row>
    <row r="189" spans="1:13" x14ac:dyDescent="0.2">
      <c r="A189" s="106" t="s">
        <v>4107</v>
      </c>
      <c r="B189" s="105" t="s">
        <v>2380</v>
      </c>
      <c r="C189" s="105" t="s">
        <v>4121</v>
      </c>
      <c r="D189" s="149" t="s">
        <v>2381</v>
      </c>
      <c r="E189" s="105">
        <v>2</v>
      </c>
      <c r="F189" s="133">
        <v>22.73</v>
      </c>
      <c r="G189" s="133">
        <v>26.25</v>
      </c>
      <c r="H189" s="109">
        <f t="shared" si="7"/>
        <v>52.5</v>
      </c>
      <c r="I189" s="119"/>
      <c r="J189" s="119">
        <v>0</v>
      </c>
      <c r="K189" s="119">
        <f t="shared" si="8"/>
        <v>52.5</v>
      </c>
      <c r="L189" s="152">
        <f t="shared" si="9"/>
        <v>45.46</v>
      </c>
      <c r="M189" s="113"/>
    </row>
    <row r="190" spans="1:13" x14ac:dyDescent="0.2">
      <c r="A190" s="106" t="s">
        <v>4107</v>
      </c>
      <c r="B190" s="105" t="s">
        <v>2338</v>
      </c>
      <c r="C190" s="105" t="s">
        <v>4122</v>
      </c>
      <c r="D190" s="149" t="s">
        <v>2339</v>
      </c>
      <c r="E190" s="105">
        <v>1</v>
      </c>
      <c r="F190" s="133">
        <v>31.6</v>
      </c>
      <c r="G190" s="133">
        <v>36.33</v>
      </c>
      <c r="H190" s="109">
        <f t="shared" si="7"/>
        <v>36.33</v>
      </c>
      <c r="I190" s="119"/>
      <c r="J190" s="119">
        <v>0</v>
      </c>
      <c r="K190" s="119">
        <f t="shared" si="8"/>
        <v>36.33</v>
      </c>
      <c r="L190" s="152">
        <f t="shared" si="9"/>
        <v>31.6</v>
      </c>
      <c r="M190" s="113"/>
    </row>
    <row r="191" spans="1:13" x14ac:dyDescent="0.2">
      <c r="A191" s="106" t="s">
        <v>4107</v>
      </c>
      <c r="B191" s="105" t="s">
        <v>1802</v>
      </c>
      <c r="C191" s="105" t="s">
        <v>4123</v>
      </c>
      <c r="D191" s="149" t="s">
        <v>1803</v>
      </c>
      <c r="E191" s="105">
        <v>2</v>
      </c>
      <c r="F191" s="133">
        <v>7.51</v>
      </c>
      <c r="G191" s="133">
        <v>8.75</v>
      </c>
      <c r="H191" s="109">
        <f t="shared" si="7"/>
        <v>17.5</v>
      </c>
      <c r="I191" s="119"/>
      <c r="J191" s="119">
        <v>0</v>
      </c>
      <c r="K191" s="119">
        <f t="shared" si="8"/>
        <v>17.5</v>
      </c>
      <c r="L191" s="152">
        <f t="shared" si="9"/>
        <v>15.02</v>
      </c>
      <c r="M191" s="113"/>
    </row>
    <row r="192" spans="1:13" x14ac:dyDescent="0.2">
      <c r="A192" s="106" t="s">
        <v>4107</v>
      </c>
      <c r="B192" s="105" t="s">
        <v>3374</v>
      </c>
      <c r="C192" s="105" t="s">
        <v>4124</v>
      </c>
      <c r="D192" s="149" t="s">
        <v>3376</v>
      </c>
      <c r="E192" s="105">
        <v>1</v>
      </c>
      <c r="F192" s="133">
        <v>49.2</v>
      </c>
      <c r="G192" s="133">
        <v>60</v>
      </c>
      <c r="H192" s="109">
        <f t="shared" si="7"/>
        <v>60</v>
      </c>
      <c r="I192" s="119"/>
      <c r="J192" s="119">
        <v>0</v>
      </c>
      <c r="K192" s="119">
        <f t="shared" si="8"/>
        <v>60</v>
      </c>
      <c r="L192" s="152">
        <f t="shared" si="9"/>
        <v>49.2</v>
      </c>
      <c r="M192" s="113"/>
    </row>
    <row r="193" spans="1:13" x14ac:dyDescent="0.2">
      <c r="A193" s="106" t="s">
        <v>4107</v>
      </c>
      <c r="B193" s="105" t="s">
        <v>2400</v>
      </c>
      <c r="C193" s="105" t="s">
        <v>4124</v>
      </c>
      <c r="D193" s="149" t="s">
        <v>2401</v>
      </c>
      <c r="E193" s="105">
        <v>1</v>
      </c>
      <c r="F193" s="133">
        <v>19.059999999999999</v>
      </c>
      <c r="G193" s="133">
        <v>22</v>
      </c>
      <c r="H193" s="109">
        <f t="shared" si="7"/>
        <v>22</v>
      </c>
      <c r="I193" s="119"/>
      <c r="J193" s="119">
        <v>0</v>
      </c>
      <c r="K193" s="119">
        <f t="shared" si="8"/>
        <v>22</v>
      </c>
      <c r="L193" s="152">
        <f t="shared" si="9"/>
        <v>19.059999999999999</v>
      </c>
      <c r="M193" s="113"/>
    </row>
    <row r="194" spans="1:13" x14ac:dyDescent="0.2">
      <c r="A194" s="106" t="s">
        <v>4125</v>
      </c>
      <c r="B194" s="105" t="s">
        <v>2908</v>
      </c>
      <c r="C194" s="105" t="s">
        <v>4126</v>
      </c>
      <c r="D194" s="149" t="s">
        <v>2910</v>
      </c>
      <c r="E194" s="105">
        <v>2</v>
      </c>
      <c r="F194" s="133">
        <v>0.76</v>
      </c>
      <c r="G194" s="133">
        <v>1</v>
      </c>
      <c r="H194" s="109">
        <f t="shared" si="7"/>
        <v>2</v>
      </c>
      <c r="I194" s="119"/>
      <c r="J194" s="119">
        <v>0</v>
      </c>
      <c r="K194" s="119">
        <f t="shared" si="8"/>
        <v>2</v>
      </c>
      <c r="L194" s="152">
        <f t="shared" si="9"/>
        <v>1.52</v>
      </c>
      <c r="M194" s="113"/>
    </row>
    <row r="195" spans="1:13" x14ac:dyDescent="0.2">
      <c r="A195" s="106" t="s">
        <v>4125</v>
      </c>
      <c r="B195" s="105" t="s">
        <v>3052</v>
      </c>
      <c r="C195" s="105" t="s">
        <v>4127</v>
      </c>
      <c r="D195" s="149" t="s">
        <v>3053</v>
      </c>
      <c r="E195" s="105">
        <v>5</v>
      </c>
      <c r="F195" s="133">
        <v>13.32</v>
      </c>
      <c r="G195" s="133">
        <v>15.5</v>
      </c>
      <c r="H195" s="109">
        <f t="shared" si="7"/>
        <v>77.5</v>
      </c>
      <c r="I195" s="119"/>
      <c r="J195" s="119">
        <v>0</v>
      </c>
      <c r="K195" s="119">
        <f t="shared" si="8"/>
        <v>77.5</v>
      </c>
      <c r="L195" s="152">
        <f t="shared" si="9"/>
        <v>66.599999999999994</v>
      </c>
      <c r="M195" s="113"/>
    </row>
    <row r="196" spans="1:13" x14ac:dyDescent="0.2">
      <c r="A196" s="106" t="s">
        <v>4125</v>
      </c>
      <c r="B196" s="105" t="s">
        <v>3624</v>
      </c>
      <c r="C196" s="105" t="s">
        <v>4128</v>
      </c>
      <c r="D196" s="149" t="s">
        <v>3625</v>
      </c>
      <c r="E196" s="105">
        <v>1</v>
      </c>
      <c r="F196" s="133">
        <v>46.5</v>
      </c>
      <c r="G196" s="133">
        <v>53.5</v>
      </c>
      <c r="H196" s="109">
        <f t="shared" si="7"/>
        <v>53.5</v>
      </c>
      <c r="I196" s="119"/>
      <c r="J196" s="119">
        <v>0</v>
      </c>
      <c r="K196" s="119">
        <f t="shared" si="8"/>
        <v>53.5</v>
      </c>
      <c r="L196" s="152">
        <f t="shared" si="9"/>
        <v>46.5</v>
      </c>
      <c r="M196" s="113"/>
    </row>
    <row r="197" spans="1:13" x14ac:dyDescent="0.2">
      <c r="A197" s="106" t="s">
        <v>4125</v>
      </c>
      <c r="B197" s="105" t="s">
        <v>1839</v>
      </c>
      <c r="C197" s="105" t="s">
        <v>4128</v>
      </c>
      <c r="D197" s="149" t="s">
        <v>1840</v>
      </c>
      <c r="E197" s="105">
        <v>1</v>
      </c>
      <c r="F197" s="133">
        <v>36.840000000000003</v>
      </c>
      <c r="G197" s="133">
        <v>42.5</v>
      </c>
      <c r="H197" s="109">
        <f t="shared" si="7"/>
        <v>42.5</v>
      </c>
      <c r="I197" s="119"/>
      <c r="J197" s="119">
        <v>0</v>
      </c>
      <c r="K197" s="119">
        <f t="shared" si="8"/>
        <v>42.5</v>
      </c>
      <c r="L197" s="152">
        <f t="shared" si="9"/>
        <v>36.840000000000003</v>
      </c>
      <c r="M197" s="113"/>
    </row>
    <row r="198" spans="1:13" x14ac:dyDescent="0.2">
      <c r="A198" s="106" t="s">
        <v>4125</v>
      </c>
      <c r="B198" s="105" t="s">
        <v>4129</v>
      </c>
      <c r="C198" s="105" t="s">
        <v>4128</v>
      </c>
      <c r="D198" s="149" t="s">
        <v>4130</v>
      </c>
      <c r="E198" s="105">
        <v>12</v>
      </c>
      <c r="F198" s="133">
        <v>5.25</v>
      </c>
      <c r="G198" s="133">
        <v>6</v>
      </c>
      <c r="H198" s="109">
        <f t="shared" si="7"/>
        <v>72</v>
      </c>
      <c r="I198" s="119"/>
      <c r="J198" s="119">
        <v>0</v>
      </c>
      <c r="K198" s="119">
        <f t="shared" si="8"/>
        <v>72</v>
      </c>
      <c r="L198" s="152">
        <f t="shared" si="9"/>
        <v>63</v>
      </c>
      <c r="M198" s="113"/>
    </row>
    <row r="199" spans="1:13" x14ac:dyDescent="0.2">
      <c r="A199" s="106" t="s">
        <v>4125</v>
      </c>
      <c r="B199" s="105" t="s">
        <v>3413</v>
      </c>
      <c r="C199" s="105" t="s">
        <v>4131</v>
      </c>
      <c r="D199" s="149" t="s">
        <v>3414</v>
      </c>
      <c r="E199" s="105">
        <v>1</v>
      </c>
      <c r="F199" s="133">
        <v>33.1</v>
      </c>
      <c r="G199" s="133">
        <v>38.25</v>
      </c>
      <c r="H199" s="109">
        <f t="shared" ref="H199:H262" si="10">E199*G199</f>
        <v>38.25</v>
      </c>
      <c r="I199" s="119"/>
      <c r="J199" s="119">
        <v>0</v>
      </c>
      <c r="K199" s="119">
        <f t="shared" ref="K199:K262" si="11">H199+I199-J199</f>
        <v>38.25</v>
      </c>
      <c r="L199" s="152">
        <f t="shared" ref="L199:L262" si="12">E199*F199</f>
        <v>33.1</v>
      </c>
      <c r="M199" s="113"/>
    </row>
    <row r="200" spans="1:13" x14ac:dyDescent="0.2">
      <c r="A200" s="106" t="s">
        <v>4125</v>
      </c>
      <c r="B200" s="105" t="s">
        <v>1911</v>
      </c>
      <c r="C200" s="105" t="s">
        <v>4131</v>
      </c>
      <c r="D200" s="149" t="s">
        <v>1912</v>
      </c>
      <c r="E200" s="105">
        <v>1</v>
      </c>
      <c r="F200" s="133">
        <v>31.6</v>
      </c>
      <c r="G200" s="133">
        <v>36.5</v>
      </c>
      <c r="H200" s="109">
        <f t="shared" si="10"/>
        <v>36.5</v>
      </c>
      <c r="I200" s="119"/>
      <c r="J200" s="119">
        <v>0</v>
      </c>
      <c r="K200" s="119">
        <f t="shared" si="11"/>
        <v>36.5</v>
      </c>
      <c r="L200" s="152">
        <f t="shared" si="12"/>
        <v>31.6</v>
      </c>
      <c r="M200" s="113"/>
    </row>
    <row r="201" spans="1:13" x14ac:dyDescent="0.2">
      <c r="A201" s="106" t="s">
        <v>4125</v>
      </c>
      <c r="B201" s="105" t="s">
        <v>2338</v>
      </c>
      <c r="C201" s="105" t="s">
        <v>4131</v>
      </c>
      <c r="D201" s="149" t="s">
        <v>2339</v>
      </c>
      <c r="E201" s="105">
        <v>1</v>
      </c>
      <c r="F201" s="133">
        <v>31.6</v>
      </c>
      <c r="G201" s="133">
        <v>36.33</v>
      </c>
      <c r="H201" s="109">
        <f t="shared" si="10"/>
        <v>36.33</v>
      </c>
      <c r="I201" s="119"/>
      <c r="J201" s="119">
        <v>0</v>
      </c>
      <c r="K201" s="119">
        <f t="shared" si="11"/>
        <v>36.33</v>
      </c>
      <c r="L201" s="152">
        <f t="shared" si="12"/>
        <v>31.6</v>
      </c>
      <c r="M201" s="113"/>
    </row>
    <row r="202" spans="1:13" x14ac:dyDescent="0.2">
      <c r="A202" s="106" t="s">
        <v>4125</v>
      </c>
      <c r="B202" s="105" t="s">
        <v>2055</v>
      </c>
      <c r="C202" s="105" t="s">
        <v>4131</v>
      </c>
      <c r="D202" s="149" t="s">
        <v>2056</v>
      </c>
      <c r="E202" s="105">
        <v>1</v>
      </c>
      <c r="F202" s="133">
        <v>59.58</v>
      </c>
      <c r="G202" s="133">
        <v>67.5</v>
      </c>
      <c r="H202" s="109">
        <f t="shared" si="10"/>
        <v>67.5</v>
      </c>
      <c r="I202" s="119"/>
      <c r="J202" s="119">
        <v>0</v>
      </c>
      <c r="K202" s="119">
        <f t="shared" si="11"/>
        <v>67.5</v>
      </c>
      <c r="L202" s="152">
        <f t="shared" si="12"/>
        <v>59.58</v>
      </c>
      <c r="M202" s="113"/>
    </row>
    <row r="203" spans="1:13" x14ac:dyDescent="0.2">
      <c r="A203" s="106" t="s">
        <v>4125</v>
      </c>
      <c r="B203" s="105" t="s">
        <v>3986</v>
      </c>
      <c r="C203" s="105" t="s">
        <v>4132</v>
      </c>
      <c r="D203" s="149" t="s">
        <v>3988</v>
      </c>
      <c r="E203" s="105">
        <v>1</v>
      </c>
      <c r="F203" s="133">
        <v>31.04</v>
      </c>
      <c r="G203" s="133">
        <v>37</v>
      </c>
      <c r="H203" s="109">
        <f t="shared" si="10"/>
        <v>37</v>
      </c>
      <c r="I203" s="119"/>
      <c r="J203" s="119">
        <v>0</v>
      </c>
      <c r="K203" s="119">
        <f t="shared" si="11"/>
        <v>37</v>
      </c>
      <c r="L203" s="152">
        <f t="shared" si="12"/>
        <v>31.04</v>
      </c>
      <c r="M203" s="113"/>
    </row>
    <row r="204" spans="1:13" x14ac:dyDescent="0.2">
      <c r="A204" s="106" t="s">
        <v>4125</v>
      </c>
      <c r="B204" s="105" t="s">
        <v>4035</v>
      </c>
      <c r="C204" s="105" t="s">
        <v>4133</v>
      </c>
      <c r="D204" s="149" t="s">
        <v>4036</v>
      </c>
      <c r="E204" s="105">
        <v>2</v>
      </c>
      <c r="F204" s="133">
        <v>62.8</v>
      </c>
      <c r="G204" s="133">
        <v>72.25</v>
      </c>
      <c r="H204" s="109">
        <f t="shared" si="10"/>
        <v>144.5</v>
      </c>
      <c r="I204" s="119"/>
      <c r="J204" s="119">
        <v>0</v>
      </c>
      <c r="K204" s="119">
        <f t="shared" si="11"/>
        <v>144.5</v>
      </c>
      <c r="L204" s="152">
        <f t="shared" si="12"/>
        <v>125.6</v>
      </c>
      <c r="M204" s="113"/>
    </row>
    <row r="205" spans="1:13" x14ac:dyDescent="0.2">
      <c r="A205" s="106" t="s">
        <v>4125</v>
      </c>
      <c r="B205" s="105" t="s">
        <v>2298</v>
      </c>
      <c r="C205" s="105" t="s">
        <v>4133</v>
      </c>
      <c r="D205" s="149" t="s">
        <v>2299</v>
      </c>
      <c r="E205" s="105">
        <v>2</v>
      </c>
      <c r="F205" s="133">
        <v>20.8</v>
      </c>
      <c r="G205" s="133">
        <v>24</v>
      </c>
      <c r="H205" s="109">
        <f t="shared" si="10"/>
        <v>48</v>
      </c>
      <c r="I205" s="119"/>
      <c r="J205" s="119">
        <v>0</v>
      </c>
      <c r="K205" s="119">
        <f t="shared" si="11"/>
        <v>48</v>
      </c>
      <c r="L205" s="152">
        <f t="shared" si="12"/>
        <v>41.6</v>
      </c>
      <c r="M205" s="113"/>
    </row>
    <row r="206" spans="1:13" x14ac:dyDescent="0.2">
      <c r="A206" s="106" t="s">
        <v>4125</v>
      </c>
      <c r="B206" s="105" t="s">
        <v>2495</v>
      </c>
      <c r="C206" s="105" t="s">
        <v>4133</v>
      </c>
      <c r="D206" s="149" t="s">
        <v>2496</v>
      </c>
      <c r="E206" s="105">
        <v>2</v>
      </c>
      <c r="F206" s="133">
        <v>35.75</v>
      </c>
      <c r="G206" s="133">
        <v>41.25</v>
      </c>
      <c r="H206" s="109">
        <f t="shared" si="10"/>
        <v>82.5</v>
      </c>
      <c r="I206" s="119"/>
      <c r="J206" s="119">
        <v>0</v>
      </c>
      <c r="K206" s="119">
        <f t="shared" si="11"/>
        <v>82.5</v>
      </c>
      <c r="L206" s="152">
        <f t="shared" si="12"/>
        <v>71.5</v>
      </c>
      <c r="M206" s="113"/>
    </row>
    <row r="207" spans="1:13" x14ac:dyDescent="0.2">
      <c r="A207" s="106" t="s">
        <v>4125</v>
      </c>
      <c r="B207" s="105" t="s">
        <v>2809</v>
      </c>
      <c r="C207" s="105" t="s">
        <v>4133</v>
      </c>
      <c r="D207" s="149" t="s">
        <v>2810</v>
      </c>
      <c r="E207" s="105">
        <v>3</v>
      </c>
      <c r="F207" s="133">
        <v>53.81</v>
      </c>
      <c r="G207" s="133">
        <v>62</v>
      </c>
      <c r="H207" s="109">
        <f t="shared" si="10"/>
        <v>186</v>
      </c>
      <c r="I207" s="119"/>
      <c r="J207" s="119">
        <v>0</v>
      </c>
      <c r="K207" s="119">
        <f t="shared" si="11"/>
        <v>186</v>
      </c>
      <c r="L207" s="152">
        <f t="shared" si="12"/>
        <v>161.43</v>
      </c>
      <c r="M207" s="113"/>
    </row>
    <row r="208" spans="1:13" x14ac:dyDescent="0.2">
      <c r="A208" s="106" t="s">
        <v>4125</v>
      </c>
      <c r="B208" s="105" t="s">
        <v>3765</v>
      </c>
      <c r="C208" s="105" t="s">
        <v>4133</v>
      </c>
      <c r="D208" s="149" t="s">
        <v>3766</v>
      </c>
      <c r="E208" s="105">
        <v>5</v>
      </c>
      <c r="F208" s="133">
        <v>65.95</v>
      </c>
      <c r="G208" s="133">
        <v>76</v>
      </c>
      <c r="H208" s="109">
        <f t="shared" si="10"/>
        <v>380</v>
      </c>
      <c r="I208" s="119"/>
      <c r="J208" s="119">
        <v>0</v>
      </c>
      <c r="K208" s="119">
        <f t="shared" si="11"/>
        <v>380</v>
      </c>
      <c r="L208" s="152">
        <f t="shared" si="12"/>
        <v>329.75</v>
      </c>
      <c r="M208" s="113"/>
    </row>
    <row r="209" spans="1:13" x14ac:dyDescent="0.2">
      <c r="A209" s="106" t="s">
        <v>4125</v>
      </c>
      <c r="B209" s="105" t="s">
        <v>2590</v>
      </c>
      <c r="C209" s="105" t="s">
        <v>4133</v>
      </c>
      <c r="D209" s="149" t="s">
        <v>2591</v>
      </c>
      <c r="E209" s="105">
        <v>1</v>
      </c>
      <c r="F209" s="133">
        <v>90.24</v>
      </c>
      <c r="G209" s="133">
        <v>103.75</v>
      </c>
      <c r="H209" s="109">
        <f t="shared" si="10"/>
        <v>103.75</v>
      </c>
      <c r="I209" s="119"/>
      <c r="J209" s="119">
        <v>0</v>
      </c>
      <c r="K209" s="119">
        <f t="shared" si="11"/>
        <v>103.75</v>
      </c>
      <c r="L209" s="152">
        <f t="shared" si="12"/>
        <v>90.24</v>
      </c>
      <c r="M209" s="113"/>
    </row>
    <row r="210" spans="1:13" x14ac:dyDescent="0.2">
      <c r="A210" s="106" t="s">
        <v>4125</v>
      </c>
      <c r="B210" s="105" t="s">
        <v>3083</v>
      </c>
      <c r="C210" s="105" t="s">
        <v>4133</v>
      </c>
      <c r="D210" s="149" t="s">
        <v>3085</v>
      </c>
      <c r="E210" s="105">
        <v>4</v>
      </c>
      <c r="F210" s="133">
        <v>29.95</v>
      </c>
      <c r="G210" s="133">
        <v>34.5</v>
      </c>
      <c r="H210" s="109">
        <f t="shared" si="10"/>
        <v>138</v>
      </c>
      <c r="I210" s="119"/>
      <c r="J210" s="119">
        <v>0</v>
      </c>
      <c r="K210" s="119">
        <f t="shared" si="11"/>
        <v>138</v>
      </c>
      <c r="L210" s="152">
        <f t="shared" si="12"/>
        <v>119.8</v>
      </c>
      <c r="M210" s="113"/>
    </row>
    <row r="211" spans="1:13" x14ac:dyDescent="0.2">
      <c r="A211" s="106" t="s">
        <v>4125</v>
      </c>
      <c r="B211" s="105" t="s">
        <v>2245</v>
      </c>
      <c r="C211" s="105" t="s">
        <v>4133</v>
      </c>
      <c r="D211" s="149" t="s">
        <v>2246</v>
      </c>
      <c r="E211" s="105">
        <v>16</v>
      </c>
      <c r="F211" s="133">
        <v>4.74</v>
      </c>
      <c r="G211" s="133">
        <v>5.5</v>
      </c>
      <c r="H211" s="109">
        <f t="shared" si="10"/>
        <v>88</v>
      </c>
      <c r="I211" s="119"/>
      <c r="J211" s="119">
        <v>0</v>
      </c>
      <c r="K211" s="119">
        <f t="shared" si="11"/>
        <v>88</v>
      </c>
      <c r="L211" s="152">
        <f t="shared" si="12"/>
        <v>75.84</v>
      </c>
      <c r="M211" s="113"/>
    </row>
    <row r="212" spans="1:13" x14ac:dyDescent="0.2">
      <c r="A212" s="106" t="s">
        <v>4125</v>
      </c>
      <c r="B212" s="105" t="s">
        <v>2584</v>
      </c>
      <c r="C212" s="105" t="s">
        <v>4133</v>
      </c>
      <c r="D212" s="149" t="s">
        <v>2585</v>
      </c>
      <c r="E212" s="105">
        <v>2</v>
      </c>
      <c r="F212" s="133">
        <v>17.899999999999999</v>
      </c>
      <c r="G212" s="133">
        <v>20.75</v>
      </c>
      <c r="H212" s="109">
        <f t="shared" si="10"/>
        <v>41.5</v>
      </c>
      <c r="I212" s="119"/>
      <c r="J212" s="119">
        <v>0</v>
      </c>
      <c r="K212" s="119">
        <f t="shared" si="11"/>
        <v>41.5</v>
      </c>
      <c r="L212" s="152">
        <f t="shared" si="12"/>
        <v>35.799999999999997</v>
      </c>
      <c r="M212" s="113"/>
    </row>
    <row r="213" spans="1:13" x14ac:dyDescent="0.2">
      <c r="A213" s="106" t="s">
        <v>4125</v>
      </c>
      <c r="B213" s="105" t="s">
        <v>2597</v>
      </c>
      <c r="C213" s="105" t="s">
        <v>4134</v>
      </c>
      <c r="D213" s="149" t="s">
        <v>2598</v>
      </c>
      <c r="E213" s="105">
        <v>6</v>
      </c>
      <c r="F213" s="133">
        <v>29.17</v>
      </c>
      <c r="G213" s="133">
        <v>33.75</v>
      </c>
      <c r="H213" s="109">
        <f t="shared" si="10"/>
        <v>202.5</v>
      </c>
      <c r="I213" s="119"/>
      <c r="J213" s="119">
        <v>0</v>
      </c>
      <c r="K213" s="119">
        <f t="shared" si="11"/>
        <v>202.5</v>
      </c>
      <c r="L213" s="152">
        <f t="shared" si="12"/>
        <v>175.02</v>
      </c>
      <c r="M213" s="113"/>
    </row>
    <row r="214" spans="1:13" x14ac:dyDescent="0.2">
      <c r="A214" s="106" t="s">
        <v>4125</v>
      </c>
      <c r="B214" s="105" t="s">
        <v>2507</v>
      </c>
      <c r="C214" s="105" t="s">
        <v>4134</v>
      </c>
      <c r="D214" s="149" t="s">
        <v>2508</v>
      </c>
      <c r="E214" s="105">
        <v>2</v>
      </c>
      <c r="F214" s="133">
        <v>48.6</v>
      </c>
      <c r="G214" s="133">
        <v>56</v>
      </c>
      <c r="H214" s="109">
        <f t="shared" si="10"/>
        <v>112</v>
      </c>
      <c r="I214" s="119"/>
      <c r="J214" s="119">
        <v>0</v>
      </c>
      <c r="K214" s="119">
        <f t="shared" si="11"/>
        <v>112</v>
      </c>
      <c r="L214" s="152">
        <f t="shared" si="12"/>
        <v>97.2</v>
      </c>
      <c r="M214" s="113"/>
    </row>
    <row r="215" spans="1:13" x14ac:dyDescent="0.2">
      <c r="A215" s="106" t="s">
        <v>4125</v>
      </c>
      <c r="B215" s="105" t="s">
        <v>2809</v>
      </c>
      <c r="C215" s="105" t="s">
        <v>4134</v>
      </c>
      <c r="D215" s="149" t="s">
        <v>2810</v>
      </c>
      <c r="E215" s="105">
        <v>2</v>
      </c>
      <c r="F215" s="133">
        <v>53.81</v>
      </c>
      <c r="G215" s="133">
        <v>62</v>
      </c>
      <c r="H215" s="109">
        <f t="shared" si="10"/>
        <v>124</v>
      </c>
      <c r="I215" s="119"/>
      <c r="J215" s="119">
        <v>0</v>
      </c>
      <c r="K215" s="119">
        <f t="shared" si="11"/>
        <v>124</v>
      </c>
      <c r="L215" s="152">
        <f t="shared" si="12"/>
        <v>107.62</v>
      </c>
      <c r="M215" s="113"/>
    </row>
    <row r="216" spans="1:13" x14ac:dyDescent="0.2">
      <c r="A216" s="106" t="s">
        <v>4125</v>
      </c>
      <c r="B216" s="105" t="s">
        <v>3765</v>
      </c>
      <c r="C216" s="105" t="s">
        <v>4134</v>
      </c>
      <c r="D216" s="149" t="s">
        <v>3766</v>
      </c>
      <c r="E216" s="105">
        <v>2</v>
      </c>
      <c r="F216" s="133">
        <v>65.95</v>
      </c>
      <c r="G216" s="133">
        <v>76</v>
      </c>
      <c r="H216" s="109">
        <f t="shared" si="10"/>
        <v>152</v>
      </c>
      <c r="I216" s="119"/>
      <c r="J216" s="119">
        <v>0</v>
      </c>
      <c r="K216" s="119">
        <f t="shared" si="11"/>
        <v>152</v>
      </c>
      <c r="L216" s="152">
        <f t="shared" si="12"/>
        <v>131.9</v>
      </c>
      <c r="M216" s="113"/>
    </row>
    <row r="217" spans="1:13" x14ac:dyDescent="0.2">
      <c r="A217" s="106" t="s">
        <v>4125</v>
      </c>
      <c r="B217" s="105" t="s">
        <v>4135</v>
      </c>
      <c r="C217" s="105" t="s">
        <v>4136</v>
      </c>
      <c r="D217" s="149" t="s">
        <v>4137</v>
      </c>
      <c r="E217" s="105">
        <v>1</v>
      </c>
      <c r="F217" s="133">
        <v>78.400000000000006</v>
      </c>
      <c r="G217" s="133">
        <v>90.25</v>
      </c>
      <c r="H217" s="109">
        <f t="shared" si="10"/>
        <v>90.25</v>
      </c>
      <c r="I217" s="119"/>
      <c r="J217" s="119">
        <v>0</v>
      </c>
      <c r="K217" s="119">
        <f t="shared" si="11"/>
        <v>90.25</v>
      </c>
      <c r="L217" s="152">
        <f t="shared" si="12"/>
        <v>78.400000000000006</v>
      </c>
      <c r="M217" s="113"/>
    </row>
    <row r="218" spans="1:13" x14ac:dyDescent="0.2">
      <c r="A218" s="106" t="s">
        <v>4125</v>
      </c>
      <c r="B218" s="105" t="s">
        <v>4138</v>
      </c>
      <c r="C218" s="105" t="s">
        <v>4139</v>
      </c>
      <c r="D218" s="149" t="s">
        <v>4140</v>
      </c>
      <c r="E218" s="105">
        <v>1</v>
      </c>
      <c r="F218" s="133">
        <v>36.58</v>
      </c>
      <c r="G218" s="133">
        <v>42.25</v>
      </c>
      <c r="H218" s="109">
        <f t="shared" si="10"/>
        <v>42.25</v>
      </c>
      <c r="I218" s="119"/>
      <c r="J218" s="119">
        <v>0</v>
      </c>
      <c r="K218" s="119">
        <f t="shared" si="11"/>
        <v>42.25</v>
      </c>
      <c r="L218" s="152">
        <f t="shared" si="12"/>
        <v>36.58</v>
      </c>
      <c r="M218" s="113"/>
    </row>
    <row r="219" spans="1:13" x14ac:dyDescent="0.2">
      <c r="A219" s="106" t="s">
        <v>4125</v>
      </c>
      <c r="B219" s="105" t="s">
        <v>4141</v>
      </c>
      <c r="C219" s="105" t="s">
        <v>4142</v>
      </c>
      <c r="D219" s="149" t="s">
        <v>4143</v>
      </c>
      <c r="E219" s="105">
        <v>1</v>
      </c>
      <c r="F219" s="133">
        <v>59.58</v>
      </c>
      <c r="G219" s="133">
        <v>67.5</v>
      </c>
      <c r="H219" s="109">
        <f t="shared" si="10"/>
        <v>67.5</v>
      </c>
      <c r="I219" s="119"/>
      <c r="J219" s="119">
        <v>0</v>
      </c>
      <c r="K219" s="119">
        <f t="shared" si="11"/>
        <v>67.5</v>
      </c>
      <c r="L219" s="152">
        <f t="shared" si="12"/>
        <v>59.58</v>
      </c>
      <c r="M219" s="113"/>
    </row>
    <row r="220" spans="1:13" x14ac:dyDescent="0.2">
      <c r="A220" s="106" t="s">
        <v>4125</v>
      </c>
      <c r="B220" s="105" t="s">
        <v>2264</v>
      </c>
      <c r="C220" s="105" t="s">
        <v>4144</v>
      </c>
      <c r="D220" s="149" t="s">
        <v>2265</v>
      </c>
      <c r="E220" s="105">
        <v>1</v>
      </c>
      <c r="F220" s="133">
        <v>62.45</v>
      </c>
      <c r="G220" s="133">
        <v>72</v>
      </c>
      <c r="H220" s="109">
        <f t="shared" si="10"/>
        <v>72</v>
      </c>
      <c r="I220" s="119"/>
      <c r="J220" s="119">
        <v>0</v>
      </c>
      <c r="K220" s="119">
        <f t="shared" si="11"/>
        <v>72</v>
      </c>
      <c r="L220" s="152">
        <f t="shared" si="12"/>
        <v>62.45</v>
      </c>
      <c r="M220" s="113"/>
    </row>
    <row r="221" spans="1:13" x14ac:dyDescent="0.2">
      <c r="A221" s="106" t="s">
        <v>4125</v>
      </c>
      <c r="B221" s="105" t="s">
        <v>3309</v>
      </c>
      <c r="C221" s="105" t="s">
        <v>4145</v>
      </c>
      <c r="D221" s="149" t="s">
        <v>3310</v>
      </c>
      <c r="E221" s="105">
        <v>6</v>
      </c>
      <c r="F221" s="133">
        <v>50.8</v>
      </c>
      <c r="G221" s="133">
        <v>58.5</v>
      </c>
      <c r="H221" s="109">
        <f t="shared" si="10"/>
        <v>351</v>
      </c>
      <c r="I221" s="119"/>
      <c r="J221" s="119">
        <v>0</v>
      </c>
      <c r="K221" s="119">
        <f t="shared" si="11"/>
        <v>351</v>
      </c>
      <c r="L221" s="152">
        <f t="shared" si="12"/>
        <v>304.79999999999995</v>
      </c>
      <c r="M221" s="113"/>
    </row>
    <row r="222" spans="1:13" x14ac:dyDescent="0.2">
      <c r="A222" s="106" t="s">
        <v>4125</v>
      </c>
      <c r="B222" s="105" t="s">
        <v>2809</v>
      </c>
      <c r="C222" s="105" t="s">
        <v>4145</v>
      </c>
      <c r="D222" s="149" t="s">
        <v>2810</v>
      </c>
      <c r="E222" s="105">
        <v>1</v>
      </c>
      <c r="F222" s="133">
        <v>53.81</v>
      </c>
      <c r="G222" s="133">
        <v>62</v>
      </c>
      <c r="H222" s="109">
        <f t="shared" si="10"/>
        <v>62</v>
      </c>
      <c r="I222" s="119"/>
      <c r="J222" s="119">
        <v>0</v>
      </c>
      <c r="K222" s="119">
        <f t="shared" si="11"/>
        <v>62</v>
      </c>
      <c r="L222" s="152">
        <f t="shared" si="12"/>
        <v>53.81</v>
      </c>
      <c r="M222" s="113"/>
    </row>
    <row r="223" spans="1:13" x14ac:dyDescent="0.2">
      <c r="A223" s="106" t="s">
        <v>4125</v>
      </c>
      <c r="B223" s="105" t="s">
        <v>3457</v>
      </c>
      <c r="C223" s="105" t="s">
        <v>4145</v>
      </c>
      <c r="D223" s="149" t="s">
        <v>3458</v>
      </c>
      <c r="E223" s="105">
        <v>2</v>
      </c>
      <c r="F223" s="133">
        <v>51.97</v>
      </c>
      <c r="G223" s="133">
        <v>60</v>
      </c>
      <c r="H223" s="109">
        <f t="shared" si="10"/>
        <v>120</v>
      </c>
      <c r="I223" s="119"/>
      <c r="J223" s="119">
        <v>0</v>
      </c>
      <c r="K223" s="119">
        <f t="shared" si="11"/>
        <v>120</v>
      </c>
      <c r="L223" s="152">
        <f t="shared" si="12"/>
        <v>103.94</v>
      </c>
      <c r="M223" s="113"/>
    </row>
    <row r="224" spans="1:13" x14ac:dyDescent="0.2">
      <c r="A224" s="106" t="s">
        <v>4125</v>
      </c>
      <c r="B224" s="105" t="s">
        <v>2694</v>
      </c>
      <c r="C224" s="105" t="s">
        <v>4145</v>
      </c>
      <c r="D224" s="149" t="s">
        <v>2695</v>
      </c>
      <c r="E224" s="105">
        <v>1</v>
      </c>
      <c r="F224" s="133">
        <v>64.489999999999995</v>
      </c>
      <c r="G224" s="133">
        <v>74.25</v>
      </c>
      <c r="H224" s="109">
        <f t="shared" si="10"/>
        <v>74.25</v>
      </c>
      <c r="I224" s="119"/>
      <c r="J224" s="119">
        <v>0</v>
      </c>
      <c r="K224" s="119">
        <f t="shared" si="11"/>
        <v>74.25</v>
      </c>
      <c r="L224" s="152">
        <f t="shared" si="12"/>
        <v>64.489999999999995</v>
      </c>
      <c r="M224" s="113"/>
    </row>
    <row r="225" spans="1:13" x14ac:dyDescent="0.2">
      <c r="A225" s="106" t="s">
        <v>4125</v>
      </c>
      <c r="B225" s="105" t="s">
        <v>4146</v>
      </c>
      <c r="C225" s="105" t="s">
        <v>4145</v>
      </c>
      <c r="D225" s="149" t="s">
        <v>4147</v>
      </c>
      <c r="E225" s="105">
        <v>1</v>
      </c>
      <c r="F225" s="133">
        <v>28.5</v>
      </c>
      <c r="G225" s="133">
        <v>33.75</v>
      </c>
      <c r="H225" s="109">
        <f t="shared" si="10"/>
        <v>33.75</v>
      </c>
      <c r="I225" s="119"/>
      <c r="J225" s="119">
        <v>0</v>
      </c>
      <c r="K225" s="119">
        <f t="shared" si="11"/>
        <v>33.75</v>
      </c>
      <c r="L225" s="152">
        <f t="shared" si="12"/>
        <v>28.5</v>
      </c>
      <c r="M225" s="113"/>
    </row>
    <row r="226" spans="1:13" x14ac:dyDescent="0.2">
      <c r="A226" s="106" t="s">
        <v>4125</v>
      </c>
      <c r="B226" s="105" t="s">
        <v>2298</v>
      </c>
      <c r="C226" s="105" t="s">
        <v>4145</v>
      </c>
      <c r="D226" s="149" t="s">
        <v>2299</v>
      </c>
      <c r="E226" s="105">
        <v>2</v>
      </c>
      <c r="F226" s="133">
        <v>20.8</v>
      </c>
      <c r="G226" s="133">
        <v>24</v>
      </c>
      <c r="H226" s="109">
        <f t="shared" si="10"/>
        <v>48</v>
      </c>
      <c r="I226" s="119"/>
      <c r="J226" s="119">
        <v>0</v>
      </c>
      <c r="K226" s="119">
        <f t="shared" si="11"/>
        <v>48</v>
      </c>
      <c r="L226" s="152">
        <f t="shared" si="12"/>
        <v>41.6</v>
      </c>
      <c r="M226" s="113"/>
    </row>
    <row r="227" spans="1:13" x14ac:dyDescent="0.2">
      <c r="A227" s="106" t="s">
        <v>4125</v>
      </c>
      <c r="B227" s="105" t="s">
        <v>3047</v>
      </c>
      <c r="C227" s="105" t="s">
        <v>4145</v>
      </c>
      <c r="D227" s="149" t="s">
        <v>3048</v>
      </c>
      <c r="E227" s="105">
        <v>2</v>
      </c>
      <c r="F227" s="133">
        <v>35.68</v>
      </c>
      <c r="G227" s="133">
        <v>41.25</v>
      </c>
      <c r="H227" s="109">
        <f t="shared" si="10"/>
        <v>82.5</v>
      </c>
      <c r="I227" s="119"/>
      <c r="J227" s="119">
        <v>0</v>
      </c>
      <c r="K227" s="119">
        <f t="shared" si="11"/>
        <v>82.5</v>
      </c>
      <c r="L227" s="152">
        <f t="shared" si="12"/>
        <v>71.36</v>
      </c>
      <c r="M227" s="113"/>
    </row>
    <row r="228" spans="1:13" x14ac:dyDescent="0.2">
      <c r="A228" s="106" t="s">
        <v>4125</v>
      </c>
      <c r="B228" s="105" t="s">
        <v>2597</v>
      </c>
      <c r="C228" s="105" t="s">
        <v>4145</v>
      </c>
      <c r="D228" s="149" t="s">
        <v>2598</v>
      </c>
      <c r="E228" s="105">
        <v>6</v>
      </c>
      <c r="F228" s="133">
        <v>29.17</v>
      </c>
      <c r="G228" s="133">
        <v>33.75</v>
      </c>
      <c r="H228" s="109">
        <f t="shared" si="10"/>
        <v>202.5</v>
      </c>
      <c r="I228" s="119"/>
      <c r="J228" s="119">
        <v>0</v>
      </c>
      <c r="K228" s="119">
        <f t="shared" si="11"/>
        <v>202.5</v>
      </c>
      <c r="L228" s="152">
        <f t="shared" si="12"/>
        <v>175.02</v>
      </c>
      <c r="M228" s="113"/>
    </row>
    <row r="229" spans="1:13" x14ac:dyDescent="0.2">
      <c r="A229" s="106" t="s">
        <v>4125</v>
      </c>
      <c r="B229" s="105" t="s">
        <v>2491</v>
      </c>
      <c r="C229" s="105" t="s">
        <v>4145</v>
      </c>
      <c r="D229" s="149" t="s">
        <v>2492</v>
      </c>
      <c r="E229" s="105">
        <v>2</v>
      </c>
      <c r="F229" s="133">
        <v>61.5</v>
      </c>
      <c r="G229" s="133">
        <v>66.5</v>
      </c>
      <c r="H229" s="109">
        <f t="shared" si="10"/>
        <v>133</v>
      </c>
      <c r="I229" s="119"/>
      <c r="J229" s="119">
        <v>0</v>
      </c>
      <c r="K229" s="119">
        <f t="shared" si="11"/>
        <v>133</v>
      </c>
      <c r="L229" s="152">
        <f t="shared" si="12"/>
        <v>123</v>
      </c>
      <c r="M229" s="113"/>
    </row>
    <row r="230" spans="1:13" x14ac:dyDescent="0.2">
      <c r="A230" s="106" t="s">
        <v>4125</v>
      </c>
      <c r="B230" s="105" t="s">
        <v>2158</v>
      </c>
      <c r="C230" s="105" t="s">
        <v>4145</v>
      </c>
      <c r="D230" s="149" t="s">
        <v>2160</v>
      </c>
      <c r="E230" s="105">
        <v>2</v>
      </c>
      <c r="F230" s="133">
        <v>58.56</v>
      </c>
      <c r="G230" s="133">
        <v>67.5</v>
      </c>
      <c r="H230" s="109">
        <f t="shared" si="10"/>
        <v>135</v>
      </c>
      <c r="I230" s="119"/>
      <c r="J230" s="119">
        <v>0</v>
      </c>
      <c r="K230" s="119">
        <f t="shared" si="11"/>
        <v>135</v>
      </c>
      <c r="L230" s="152">
        <f t="shared" si="12"/>
        <v>117.12</v>
      </c>
      <c r="M230" s="113"/>
    </row>
    <row r="231" spans="1:13" x14ac:dyDescent="0.2">
      <c r="A231" s="106" t="s">
        <v>4125</v>
      </c>
      <c r="B231" s="105" t="s">
        <v>3180</v>
      </c>
      <c r="C231" s="105" t="s">
        <v>4145</v>
      </c>
      <c r="D231" s="149" t="s">
        <v>3181</v>
      </c>
      <c r="E231" s="105">
        <v>2</v>
      </c>
      <c r="F231" s="133">
        <v>25.8</v>
      </c>
      <c r="G231" s="133">
        <v>29.75</v>
      </c>
      <c r="H231" s="109">
        <f t="shared" si="10"/>
        <v>59.5</v>
      </c>
      <c r="I231" s="119"/>
      <c r="J231" s="119">
        <v>0</v>
      </c>
      <c r="K231" s="119">
        <f t="shared" si="11"/>
        <v>59.5</v>
      </c>
      <c r="L231" s="152">
        <f t="shared" si="12"/>
        <v>51.6</v>
      </c>
      <c r="M231" s="113"/>
    </row>
    <row r="232" spans="1:13" x14ac:dyDescent="0.2">
      <c r="A232" s="106" t="s">
        <v>4125</v>
      </c>
      <c r="B232" s="105" t="s">
        <v>2550</v>
      </c>
      <c r="C232" s="105" t="s">
        <v>4145</v>
      </c>
      <c r="D232" s="149" t="s">
        <v>2552</v>
      </c>
      <c r="E232" s="105">
        <v>6</v>
      </c>
      <c r="F232" s="133">
        <v>6.38</v>
      </c>
      <c r="G232" s="133">
        <v>7.5</v>
      </c>
      <c r="H232" s="109">
        <f t="shared" si="10"/>
        <v>45</v>
      </c>
      <c r="I232" s="119"/>
      <c r="J232" s="119">
        <v>0</v>
      </c>
      <c r="K232" s="119">
        <f t="shared" si="11"/>
        <v>45</v>
      </c>
      <c r="L232" s="152">
        <f t="shared" si="12"/>
        <v>38.28</v>
      </c>
      <c r="M232" s="113"/>
    </row>
    <row r="233" spans="1:13" x14ac:dyDescent="0.2">
      <c r="A233" s="106" t="s">
        <v>4125</v>
      </c>
      <c r="B233" s="105" t="s">
        <v>2371</v>
      </c>
      <c r="C233" s="105" t="s">
        <v>4145</v>
      </c>
      <c r="D233" s="149" t="s">
        <v>2372</v>
      </c>
      <c r="E233" s="105">
        <v>1</v>
      </c>
      <c r="F233" s="133">
        <v>39.880000000000003</v>
      </c>
      <c r="G233" s="133">
        <v>46</v>
      </c>
      <c r="H233" s="109">
        <f t="shared" si="10"/>
        <v>46</v>
      </c>
      <c r="I233" s="119"/>
      <c r="J233" s="119">
        <v>0</v>
      </c>
      <c r="K233" s="119">
        <f t="shared" si="11"/>
        <v>46</v>
      </c>
      <c r="L233" s="152">
        <f t="shared" si="12"/>
        <v>39.880000000000003</v>
      </c>
      <c r="M233" s="113"/>
    </row>
    <row r="234" spans="1:13" x14ac:dyDescent="0.2">
      <c r="A234" s="106" t="s">
        <v>4125</v>
      </c>
      <c r="B234" s="105" t="s">
        <v>3169</v>
      </c>
      <c r="C234" s="105" t="s">
        <v>4145</v>
      </c>
      <c r="D234" s="149" t="s">
        <v>3170</v>
      </c>
      <c r="E234" s="105">
        <v>6</v>
      </c>
      <c r="F234" s="133">
        <v>5.41</v>
      </c>
      <c r="G234" s="133">
        <v>6.25</v>
      </c>
      <c r="H234" s="109">
        <f t="shared" si="10"/>
        <v>37.5</v>
      </c>
      <c r="I234" s="119"/>
      <c r="J234" s="119">
        <v>0</v>
      </c>
      <c r="K234" s="119">
        <f t="shared" si="11"/>
        <v>37.5</v>
      </c>
      <c r="L234" s="152">
        <f t="shared" si="12"/>
        <v>32.46</v>
      </c>
      <c r="M234" s="113"/>
    </row>
    <row r="235" spans="1:13" x14ac:dyDescent="0.2">
      <c r="A235" s="106" t="s">
        <v>4125</v>
      </c>
      <c r="B235" s="105" t="s">
        <v>2665</v>
      </c>
      <c r="C235" s="105" t="s">
        <v>4145</v>
      </c>
      <c r="D235" s="149" t="s">
        <v>2667</v>
      </c>
      <c r="E235" s="105">
        <v>3</v>
      </c>
      <c r="F235" s="133">
        <v>18.57</v>
      </c>
      <c r="G235" s="133">
        <v>21.75</v>
      </c>
      <c r="H235" s="109">
        <f t="shared" si="10"/>
        <v>65.25</v>
      </c>
      <c r="I235" s="119"/>
      <c r="J235" s="119">
        <v>0</v>
      </c>
      <c r="K235" s="119">
        <f t="shared" si="11"/>
        <v>65.25</v>
      </c>
      <c r="L235" s="152">
        <f t="shared" si="12"/>
        <v>55.71</v>
      </c>
      <c r="M235" s="113"/>
    </row>
    <row r="236" spans="1:13" x14ac:dyDescent="0.2">
      <c r="A236" s="106" t="s">
        <v>4125</v>
      </c>
      <c r="B236" s="105" t="s">
        <v>3805</v>
      </c>
      <c r="C236" s="105" t="s">
        <v>4145</v>
      </c>
      <c r="D236" s="149" t="s">
        <v>3806</v>
      </c>
      <c r="E236" s="105">
        <v>1</v>
      </c>
      <c r="F236" s="133">
        <v>13.1</v>
      </c>
      <c r="G236" s="133">
        <v>15.25</v>
      </c>
      <c r="H236" s="109">
        <f t="shared" si="10"/>
        <v>15.25</v>
      </c>
      <c r="I236" s="119"/>
      <c r="J236" s="119">
        <v>0</v>
      </c>
      <c r="K236" s="119">
        <f t="shared" si="11"/>
        <v>15.25</v>
      </c>
      <c r="L236" s="152">
        <f t="shared" si="12"/>
        <v>13.1</v>
      </c>
      <c r="M236" s="113"/>
    </row>
    <row r="237" spans="1:13" x14ac:dyDescent="0.2">
      <c r="A237" s="106" t="s">
        <v>4125</v>
      </c>
      <c r="B237" s="105" t="s">
        <v>4148</v>
      </c>
      <c r="C237" s="105" t="s">
        <v>4145</v>
      </c>
      <c r="D237" s="149" t="s">
        <v>4149</v>
      </c>
      <c r="E237" s="105">
        <v>1</v>
      </c>
      <c r="F237" s="133">
        <v>13.1</v>
      </c>
      <c r="G237" s="133">
        <v>15.25</v>
      </c>
      <c r="H237" s="109">
        <f t="shared" si="10"/>
        <v>15.25</v>
      </c>
      <c r="I237" s="119"/>
      <c r="J237" s="119">
        <v>0</v>
      </c>
      <c r="K237" s="119">
        <f t="shared" si="11"/>
        <v>15.25</v>
      </c>
      <c r="L237" s="152">
        <f t="shared" si="12"/>
        <v>13.1</v>
      </c>
      <c r="M237" s="113"/>
    </row>
    <row r="238" spans="1:13" x14ac:dyDescent="0.2">
      <c r="A238" s="106" t="s">
        <v>4125</v>
      </c>
      <c r="B238" s="105" t="s">
        <v>4150</v>
      </c>
      <c r="C238" s="105" t="s">
        <v>4151</v>
      </c>
      <c r="D238" s="149" t="s">
        <v>4152</v>
      </c>
      <c r="E238" s="105">
        <v>1</v>
      </c>
      <c r="F238" s="133">
        <v>14.82</v>
      </c>
      <c r="G238" s="133">
        <v>17.25</v>
      </c>
      <c r="H238" s="109">
        <f t="shared" si="10"/>
        <v>17.25</v>
      </c>
      <c r="I238" s="119"/>
      <c r="J238" s="119">
        <v>0</v>
      </c>
      <c r="K238" s="119">
        <f t="shared" si="11"/>
        <v>17.25</v>
      </c>
      <c r="L238" s="152">
        <f t="shared" si="12"/>
        <v>14.82</v>
      </c>
      <c r="M238" s="113"/>
    </row>
    <row r="239" spans="1:13" x14ac:dyDescent="0.2">
      <c r="A239" s="106" t="s">
        <v>4125</v>
      </c>
      <c r="B239" s="105" t="s">
        <v>1915</v>
      </c>
      <c r="C239" s="105" t="s">
        <v>4151</v>
      </c>
      <c r="D239" s="149" t="s">
        <v>1917</v>
      </c>
      <c r="E239" s="105">
        <v>1</v>
      </c>
      <c r="F239" s="133">
        <v>7.85</v>
      </c>
      <c r="G239" s="133">
        <v>12</v>
      </c>
      <c r="H239" s="109">
        <f t="shared" si="10"/>
        <v>12</v>
      </c>
      <c r="I239" s="119"/>
      <c r="J239" s="119">
        <v>0</v>
      </c>
      <c r="K239" s="119">
        <f t="shared" si="11"/>
        <v>12</v>
      </c>
      <c r="L239" s="152">
        <f t="shared" si="12"/>
        <v>7.85</v>
      </c>
      <c r="M239" s="113"/>
    </row>
    <row r="240" spans="1:13" x14ac:dyDescent="0.2">
      <c r="A240" s="106" t="s">
        <v>4125</v>
      </c>
      <c r="B240" s="105" t="s">
        <v>2110</v>
      </c>
      <c r="C240" s="105" t="s">
        <v>4153</v>
      </c>
      <c r="D240" s="149" t="s">
        <v>2112</v>
      </c>
      <c r="E240" s="105">
        <v>1</v>
      </c>
      <c r="F240" s="133">
        <v>23.13</v>
      </c>
      <c r="G240" s="133">
        <v>30.25</v>
      </c>
      <c r="H240" s="109">
        <f t="shared" si="10"/>
        <v>30.25</v>
      </c>
      <c r="I240" s="119"/>
      <c r="J240" s="119">
        <v>0</v>
      </c>
      <c r="K240" s="119">
        <f t="shared" si="11"/>
        <v>30.25</v>
      </c>
      <c r="L240" s="152">
        <f t="shared" si="12"/>
        <v>23.13</v>
      </c>
      <c r="M240" s="113"/>
    </row>
    <row r="241" spans="1:13" x14ac:dyDescent="0.2">
      <c r="A241" s="106" t="s">
        <v>4125</v>
      </c>
      <c r="B241" s="105" t="s">
        <v>2836</v>
      </c>
      <c r="C241" s="105" t="s">
        <v>4154</v>
      </c>
      <c r="D241" s="149" t="s">
        <v>2837</v>
      </c>
      <c r="E241" s="105">
        <v>1</v>
      </c>
      <c r="F241" s="133">
        <v>14.65</v>
      </c>
      <c r="G241" s="133">
        <v>17</v>
      </c>
      <c r="H241" s="109">
        <f t="shared" si="10"/>
        <v>17</v>
      </c>
      <c r="I241" s="119"/>
      <c r="J241" s="119">
        <v>0</v>
      </c>
      <c r="K241" s="119">
        <f t="shared" si="11"/>
        <v>17</v>
      </c>
      <c r="L241" s="152">
        <f t="shared" si="12"/>
        <v>14.65</v>
      </c>
      <c r="M241" s="113"/>
    </row>
    <row r="242" spans="1:13" x14ac:dyDescent="0.2">
      <c r="A242" s="106" t="s">
        <v>4125</v>
      </c>
      <c r="B242" s="105" t="s">
        <v>2363</v>
      </c>
      <c r="C242" s="105" t="s">
        <v>4155</v>
      </c>
      <c r="D242" s="149" t="s">
        <v>2365</v>
      </c>
      <c r="E242" s="105">
        <v>1</v>
      </c>
      <c r="F242" s="133">
        <v>12.66</v>
      </c>
      <c r="G242" s="133">
        <v>14.25</v>
      </c>
      <c r="H242" s="109">
        <f t="shared" si="10"/>
        <v>14.25</v>
      </c>
      <c r="I242" s="119"/>
      <c r="J242" s="119">
        <v>0</v>
      </c>
      <c r="K242" s="119">
        <f t="shared" si="11"/>
        <v>14.25</v>
      </c>
      <c r="L242" s="152">
        <f t="shared" si="12"/>
        <v>12.66</v>
      </c>
      <c r="M242" s="113"/>
    </row>
    <row r="243" spans="1:13" x14ac:dyDescent="0.2">
      <c r="A243" s="106" t="s">
        <v>4125</v>
      </c>
      <c r="B243" s="105" t="s">
        <v>4156</v>
      </c>
      <c r="C243" s="105" t="s">
        <v>4155</v>
      </c>
      <c r="D243" s="149" t="s">
        <v>4157</v>
      </c>
      <c r="E243" s="105">
        <v>1</v>
      </c>
      <c r="F243" s="133">
        <v>6.03</v>
      </c>
      <c r="G243" s="133">
        <v>7</v>
      </c>
      <c r="H243" s="109">
        <f t="shared" si="10"/>
        <v>7</v>
      </c>
      <c r="I243" s="119"/>
      <c r="J243" s="119">
        <v>0</v>
      </c>
      <c r="K243" s="119">
        <f t="shared" si="11"/>
        <v>7</v>
      </c>
      <c r="L243" s="152">
        <f t="shared" si="12"/>
        <v>6.03</v>
      </c>
      <c r="M243" s="113"/>
    </row>
    <row r="244" spans="1:13" x14ac:dyDescent="0.2">
      <c r="A244" s="106" t="s">
        <v>4125</v>
      </c>
      <c r="B244" s="105" t="s">
        <v>4150</v>
      </c>
      <c r="C244" s="105" t="s">
        <v>4158</v>
      </c>
      <c r="D244" s="149" t="s">
        <v>4152</v>
      </c>
      <c r="E244" s="105">
        <v>1</v>
      </c>
      <c r="F244" s="133">
        <v>14.82</v>
      </c>
      <c r="G244" s="133">
        <v>17.25</v>
      </c>
      <c r="H244" s="109">
        <f t="shared" si="10"/>
        <v>17.25</v>
      </c>
      <c r="I244" s="119"/>
      <c r="J244" s="119">
        <v>0</v>
      </c>
      <c r="K244" s="119">
        <f t="shared" si="11"/>
        <v>17.25</v>
      </c>
      <c r="L244" s="152">
        <f t="shared" si="12"/>
        <v>14.82</v>
      </c>
      <c r="M244" s="113"/>
    </row>
    <row r="245" spans="1:13" x14ac:dyDescent="0.2">
      <c r="A245" s="106" t="s">
        <v>4125</v>
      </c>
      <c r="B245" s="105" t="s">
        <v>3352</v>
      </c>
      <c r="C245" s="105" t="s">
        <v>4159</v>
      </c>
      <c r="D245" s="149" t="s">
        <v>3353</v>
      </c>
      <c r="E245" s="105">
        <v>12</v>
      </c>
      <c r="F245" s="133">
        <v>6.12</v>
      </c>
      <c r="G245" s="133">
        <v>7.5</v>
      </c>
      <c r="H245" s="109">
        <f t="shared" si="10"/>
        <v>90</v>
      </c>
      <c r="I245" s="119"/>
      <c r="J245" s="119">
        <v>0</v>
      </c>
      <c r="K245" s="119">
        <f t="shared" si="11"/>
        <v>90</v>
      </c>
      <c r="L245" s="152">
        <f t="shared" si="12"/>
        <v>73.44</v>
      </c>
      <c r="M245" s="113"/>
    </row>
    <row r="246" spans="1:13" x14ac:dyDescent="0.2">
      <c r="A246" s="106" t="s">
        <v>4125</v>
      </c>
      <c r="B246" s="105" t="s">
        <v>4156</v>
      </c>
      <c r="C246" s="105" t="s">
        <v>4160</v>
      </c>
      <c r="D246" s="149" t="s">
        <v>4157</v>
      </c>
      <c r="E246" s="105">
        <v>1</v>
      </c>
      <c r="F246" s="133">
        <v>6.03</v>
      </c>
      <c r="G246" s="133">
        <v>7</v>
      </c>
      <c r="H246" s="109">
        <f t="shared" si="10"/>
        <v>7</v>
      </c>
      <c r="I246" s="119"/>
      <c r="J246" s="119">
        <v>0</v>
      </c>
      <c r="K246" s="119">
        <f t="shared" si="11"/>
        <v>7</v>
      </c>
      <c r="L246" s="152">
        <f t="shared" si="12"/>
        <v>6.03</v>
      </c>
      <c r="M246" s="113"/>
    </row>
    <row r="247" spans="1:13" x14ac:dyDescent="0.2">
      <c r="A247" s="106" t="s">
        <v>4125</v>
      </c>
      <c r="B247" s="105" t="s">
        <v>1924</v>
      </c>
      <c r="C247" s="105" t="s">
        <v>4161</v>
      </c>
      <c r="D247" s="149" t="s">
        <v>1926</v>
      </c>
      <c r="E247" s="105">
        <v>3</v>
      </c>
      <c r="F247" s="133">
        <v>10.64</v>
      </c>
      <c r="G247" s="133">
        <v>12.25</v>
      </c>
      <c r="H247" s="109">
        <f t="shared" si="10"/>
        <v>36.75</v>
      </c>
      <c r="I247" s="119"/>
      <c r="J247" s="119">
        <v>0</v>
      </c>
      <c r="K247" s="119">
        <f t="shared" si="11"/>
        <v>36.75</v>
      </c>
      <c r="L247" s="152">
        <f t="shared" si="12"/>
        <v>31.92</v>
      </c>
      <c r="M247" s="113"/>
    </row>
    <row r="248" spans="1:13" x14ac:dyDescent="0.2">
      <c r="A248" s="106" t="s">
        <v>4125</v>
      </c>
      <c r="B248" s="105" t="s">
        <v>3909</v>
      </c>
      <c r="C248" s="105" t="s">
        <v>4162</v>
      </c>
      <c r="D248" s="149" t="s">
        <v>3911</v>
      </c>
      <c r="E248" s="105">
        <v>1</v>
      </c>
      <c r="F248" s="133">
        <v>7.06</v>
      </c>
      <c r="G248" s="133">
        <v>8.25</v>
      </c>
      <c r="H248" s="109">
        <f t="shared" si="10"/>
        <v>8.25</v>
      </c>
      <c r="I248" s="119"/>
      <c r="J248" s="119">
        <v>0</v>
      </c>
      <c r="K248" s="119">
        <f t="shared" si="11"/>
        <v>8.25</v>
      </c>
      <c r="L248" s="152">
        <f t="shared" si="12"/>
        <v>7.06</v>
      </c>
      <c r="M248" s="113"/>
    </row>
    <row r="249" spans="1:13" x14ac:dyDescent="0.2">
      <c r="A249" s="106" t="s">
        <v>4125</v>
      </c>
      <c r="B249" s="105" t="s">
        <v>4163</v>
      </c>
      <c r="C249" s="105" t="s">
        <v>4164</v>
      </c>
      <c r="D249" s="149" t="s">
        <v>4165</v>
      </c>
      <c r="E249" s="105">
        <v>1</v>
      </c>
      <c r="F249" s="133">
        <v>9.2799999999999994</v>
      </c>
      <c r="G249" s="133">
        <v>10.75</v>
      </c>
      <c r="H249" s="109">
        <f t="shared" si="10"/>
        <v>10.75</v>
      </c>
      <c r="I249" s="119"/>
      <c r="J249" s="119">
        <v>0</v>
      </c>
      <c r="K249" s="119">
        <f t="shared" si="11"/>
        <v>10.75</v>
      </c>
      <c r="L249" s="152">
        <f t="shared" si="12"/>
        <v>9.2799999999999994</v>
      </c>
      <c r="M249" s="113"/>
    </row>
    <row r="250" spans="1:13" x14ac:dyDescent="0.2">
      <c r="A250" s="106" t="s">
        <v>4125</v>
      </c>
      <c r="B250" s="105" t="s">
        <v>3909</v>
      </c>
      <c r="C250" s="105" t="s">
        <v>4166</v>
      </c>
      <c r="D250" s="149" t="s">
        <v>3911</v>
      </c>
      <c r="E250" s="105">
        <v>1</v>
      </c>
      <c r="F250" s="133">
        <v>7.06</v>
      </c>
      <c r="G250" s="133">
        <v>8.25</v>
      </c>
      <c r="H250" s="109">
        <f t="shared" si="10"/>
        <v>8.25</v>
      </c>
      <c r="I250" s="119"/>
      <c r="J250" s="119">
        <v>0</v>
      </c>
      <c r="K250" s="119">
        <f t="shared" si="11"/>
        <v>8.25</v>
      </c>
      <c r="L250" s="152">
        <f t="shared" si="12"/>
        <v>7.06</v>
      </c>
      <c r="M250" s="113"/>
    </row>
    <row r="251" spans="1:13" x14ac:dyDescent="0.2">
      <c r="A251" s="106" t="s">
        <v>4125</v>
      </c>
      <c r="B251" s="105" t="s">
        <v>4167</v>
      </c>
      <c r="C251" s="105" t="s">
        <v>4168</v>
      </c>
      <c r="D251" s="149" t="s">
        <v>4169</v>
      </c>
      <c r="E251" s="105">
        <v>1</v>
      </c>
      <c r="F251" s="133">
        <v>29</v>
      </c>
      <c r="G251" s="133">
        <v>33.75</v>
      </c>
      <c r="H251" s="109">
        <f t="shared" si="10"/>
        <v>33.75</v>
      </c>
      <c r="I251" s="119"/>
      <c r="J251" s="119">
        <v>0</v>
      </c>
      <c r="K251" s="119">
        <f t="shared" si="11"/>
        <v>33.75</v>
      </c>
      <c r="L251" s="152">
        <f t="shared" si="12"/>
        <v>29</v>
      </c>
      <c r="M251" s="113"/>
    </row>
    <row r="252" spans="1:13" x14ac:dyDescent="0.2">
      <c r="A252" s="106" t="s">
        <v>4125</v>
      </c>
      <c r="B252" s="105" t="s">
        <v>1888</v>
      </c>
      <c r="C252" s="105" t="s">
        <v>4170</v>
      </c>
      <c r="D252" s="149" t="s">
        <v>1890</v>
      </c>
      <c r="E252" s="105">
        <v>1</v>
      </c>
      <c r="F252" s="133">
        <v>20.68</v>
      </c>
      <c r="G252" s="133">
        <v>24</v>
      </c>
      <c r="H252" s="109">
        <f t="shared" si="10"/>
        <v>24</v>
      </c>
      <c r="I252" s="119"/>
      <c r="J252" s="119">
        <v>0</v>
      </c>
      <c r="K252" s="119">
        <f t="shared" si="11"/>
        <v>24</v>
      </c>
      <c r="L252" s="152">
        <f t="shared" si="12"/>
        <v>20.68</v>
      </c>
      <c r="M252" s="113"/>
    </row>
    <row r="253" spans="1:13" x14ac:dyDescent="0.2">
      <c r="A253" s="106" t="s">
        <v>4125</v>
      </c>
      <c r="B253" s="105" t="s">
        <v>1951</v>
      </c>
      <c r="C253" s="105" t="s">
        <v>4171</v>
      </c>
      <c r="D253" s="149" t="s">
        <v>1952</v>
      </c>
      <c r="E253" s="105">
        <v>2</v>
      </c>
      <c r="F253" s="133">
        <v>12.77</v>
      </c>
      <c r="G253" s="133">
        <v>14.75</v>
      </c>
      <c r="H253" s="109">
        <f t="shared" si="10"/>
        <v>29.5</v>
      </c>
      <c r="I253" s="119"/>
      <c r="J253" s="119">
        <v>0</v>
      </c>
      <c r="K253" s="119">
        <f t="shared" si="11"/>
        <v>29.5</v>
      </c>
      <c r="L253" s="152">
        <f t="shared" si="12"/>
        <v>25.54</v>
      </c>
      <c r="M253" s="113"/>
    </row>
    <row r="254" spans="1:13" x14ac:dyDescent="0.2">
      <c r="A254" s="106" t="s">
        <v>4125</v>
      </c>
      <c r="B254" s="105" t="s">
        <v>1798</v>
      </c>
      <c r="C254" s="105" t="s">
        <v>4171</v>
      </c>
      <c r="D254" s="149" t="s">
        <v>1799</v>
      </c>
      <c r="E254" s="105">
        <v>1</v>
      </c>
      <c r="F254" s="133">
        <v>8.1999999999999993</v>
      </c>
      <c r="G254" s="133">
        <v>9.5</v>
      </c>
      <c r="H254" s="109">
        <f t="shared" si="10"/>
        <v>9.5</v>
      </c>
      <c r="I254" s="119"/>
      <c r="J254" s="119">
        <v>0</v>
      </c>
      <c r="K254" s="119">
        <f t="shared" si="11"/>
        <v>9.5</v>
      </c>
      <c r="L254" s="152">
        <f t="shared" si="12"/>
        <v>8.1999999999999993</v>
      </c>
      <c r="M254" s="113"/>
    </row>
    <row r="255" spans="1:13" x14ac:dyDescent="0.2">
      <c r="A255" s="106" t="s">
        <v>4125</v>
      </c>
      <c r="B255" s="105" t="s">
        <v>2377</v>
      </c>
      <c r="C255" s="105" t="s">
        <v>4171</v>
      </c>
      <c r="D255" s="149" t="s">
        <v>2378</v>
      </c>
      <c r="E255" s="105">
        <v>1</v>
      </c>
      <c r="F255" s="133">
        <v>8.1999999999999993</v>
      </c>
      <c r="G255" s="133">
        <v>9.5</v>
      </c>
      <c r="H255" s="109">
        <f t="shared" si="10"/>
        <v>9.5</v>
      </c>
      <c r="I255" s="119"/>
      <c r="J255" s="119">
        <v>0</v>
      </c>
      <c r="K255" s="119">
        <f t="shared" si="11"/>
        <v>9.5</v>
      </c>
      <c r="L255" s="152">
        <f t="shared" si="12"/>
        <v>8.1999999999999993</v>
      </c>
      <c r="M255" s="113"/>
    </row>
    <row r="256" spans="1:13" x14ac:dyDescent="0.2">
      <c r="A256" s="106" t="s">
        <v>4125</v>
      </c>
      <c r="B256" s="105" t="s">
        <v>1951</v>
      </c>
      <c r="C256" s="105" t="s">
        <v>4172</v>
      </c>
      <c r="D256" s="149" t="s">
        <v>1952</v>
      </c>
      <c r="E256" s="105">
        <v>1</v>
      </c>
      <c r="F256" s="133">
        <v>12.77</v>
      </c>
      <c r="G256" s="133">
        <v>14.75</v>
      </c>
      <c r="H256" s="109">
        <f t="shared" si="10"/>
        <v>14.75</v>
      </c>
      <c r="I256" s="119"/>
      <c r="J256" s="119">
        <v>0</v>
      </c>
      <c r="K256" s="119">
        <f t="shared" si="11"/>
        <v>14.75</v>
      </c>
      <c r="L256" s="152">
        <f t="shared" si="12"/>
        <v>12.77</v>
      </c>
      <c r="M256" s="113"/>
    </row>
    <row r="257" spans="1:13" x14ac:dyDescent="0.2">
      <c r="A257" s="106" t="s">
        <v>4125</v>
      </c>
      <c r="B257" s="105" t="s">
        <v>2031</v>
      </c>
      <c r="C257" s="105" t="s">
        <v>4173</v>
      </c>
      <c r="D257" s="149" t="s">
        <v>2033</v>
      </c>
      <c r="E257" s="105">
        <v>2</v>
      </c>
      <c r="F257" s="133">
        <v>20.399999999999999</v>
      </c>
      <c r="G257" s="133">
        <v>24</v>
      </c>
      <c r="H257" s="109">
        <f t="shared" si="10"/>
        <v>48</v>
      </c>
      <c r="I257" s="119"/>
      <c r="J257" s="119">
        <v>0</v>
      </c>
      <c r="K257" s="119">
        <f t="shared" si="11"/>
        <v>48</v>
      </c>
      <c r="L257" s="152">
        <f t="shared" si="12"/>
        <v>40.799999999999997</v>
      </c>
      <c r="M257" s="113"/>
    </row>
    <row r="258" spans="1:13" x14ac:dyDescent="0.2">
      <c r="A258" s="106" t="s">
        <v>4125</v>
      </c>
      <c r="B258" s="105" t="s">
        <v>2035</v>
      </c>
      <c r="C258" s="105" t="s">
        <v>4173</v>
      </c>
      <c r="D258" s="149" t="s">
        <v>2036</v>
      </c>
      <c r="E258" s="105">
        <v>1</v>
      </c>
      <c r="F258" s="133">
        <v>23.15</v>
      </c>
      <c r="G258" s="133">
        <v>26.75</v>
      </c>
      <c r="H258" s="109">
        <f t="shared" si="10"/>
        <v>26.75</v>
      </c>
      <c r="I258" s="119"/>
      <c r="J258" s="119">
        <v>0</v>
      </c>
      <c r="K258" s="119">
        <f t="shared" si="11"/>
        <v>26.75</v>
      </c>
      <c r="L258" s="152">
        <f t="shared" si="12"/>
        <v>23.15</v>
      </c>
      <c r="M258" s="113"/>
    </row>
    <row r="259" spans="1:13" x14ac:dyDescent="0.2">
      <c r="A259" s="106" t="s">
        <v>4125</v>
      </c>
      <c r="B259" s="105" t="s">
        <v>2836</v>
      </c>
      <c r="C259" s="105" t="s">
        <v>4174</v>
      </c>
      <c r="D259" s="149" t="s">
        <v>2837</v>
      </c>
      <c r="E259" s="105">
        <v>1</v>
      </c>
      <c r="F259" s="133">
        <v>14.65</v>
      </c>
      <c r="G259" s="133">
        <v>17</v>
      </c>
      <c r="H259" s="109">
        <f t="shared" si="10"/>
        <v>17</v>
      </c>
      <c r="I259" s="119"/>
      <c r="J259" s="119">
        <v>0</v>
      </c>
      <c r="K259" s="119">
        <f t="shared" si="11"/>
        <v>17</v>
      </c>
      <c r="L259" s="152">
        <f t="shared" si="12"/>
        <v>14.65</v>
      </c>
      <c r="M259" s="113"/>
    </row>
    <row r="260" spans="1:13" x14ac:dyDescent="0.2">
      <c r="A260" s="106" t="s">
        <v>4125</v>
      </c>
      <c r="B260" s="105" t="s">
        <v>3434</v>
      </c>
      <c r="C260" s="105" t="s">
        <v>4174</v>
      </c>
      <c r="D260" s="149" t="s">
        <v>3436</v>
      </c>
      <c r="E260" s="105">
        <v>2</v>
      </c>
      <c r="F260" s="133">
        <v>7.06</v>
      </c>
      <c r="G260" s="133">
        <v>8.25</v>
      </c>
      <c r="H260" s="109">
        <f t="shared" si="10"/>
        <v>16.5</v>
      </c>
      <c r="I260" s="119"/>
      <c r="J260" s="119">
        <v>0</v>
      </c>
      <c r="K260" s="119">
        <f t="shared" si="11"/>
        <v>16.5</v>
      </c>
      <c r="L260" s="152">
        <f t="shared" si="12"/>
        <v>14.12</v>
      </c>
      <c r="M260" s="113"/>
    </row>
    <row r="261" spans="1:13" x14ac:dyDescent="0.2">
      <c r="A261" s="106" t="s">
        <v>4125</v>
      </c>
      <c r="B261" s="105" t="s">
        <v>3634</v>
      </c>
      <c r="C261" s="105" t="s">
        <v>4174</v>
      </c>
      <c r="D261" s="149" t="s">
        <v>3636</v>
      </c>
      <c r="E261" s="105">
        <v>2</v>
      </c>
      <c r="F261" s="133">
        <v>8.5299999999999994</v>
      </c>
      <c r="G261" s="133">
        <v>10</v>
      </c>
      <c r="H261" s="109">
        <f t="shared" si="10"/>
        <v>20</v>
      </c>
      <c r="I261" s="119"/>
      <c r="J261" s="119">
        <v>0</v>
      </c>
      <c r="K261" s="119">
        <f t="shared" si="11"/>
        <v>20</v>
      </c>
      <c r="L261" s="152">
        <f t="shared" si="12"/>
        <v>17.059999999999999</v>
      </c>
      <c r="M261" s="113"/>
    </row>
    <row r="262" spans="1:13" x14ac:dyDescent="0.2">
      <c r="A262" s="106" t="s">
        <v>4175</v>
      </c>
      <c r="B262" s="105" t="s">
        <v>2576</v>
      </c>
      <c r="C262" s="105" t="s">
        <v>4176</v>
      </c>
      <c r="D262" s="149" t="s">
        <v>2578</v>
      </c>
      <c r="E262" s="105">
        <v>1</v>
      </c>
      <c r="F262" s="133">
        <v>49.75</v>
      </c>
      <c r="G262" s="133">
        <v>57.25</v>
      </c>
      <c r="H262" s="109">
        <f t="shared" si="10"/>
        <v>57.25</v>
      </c>
      <c r="I262" s="119"/>
      <c r="J262" s="119">
        <v>0</v>
      </c>
      <c r="K262" s="119">
        <f t="shared" si="11"/>
        <v>57.25</v>
      </c>
      <c r="L262" s="152">
        <f t="shared" si="12"/>
        <v>49.75</v>
      </c>
      <c r="M262" s="113"/>
    </row>
    <row r="263" spans="1:13" x14ac:dyDescent="0.2">
      <c r="A263" s="106" t="s">
        <v>4175</v>
      </c>
      <c r="B263" s="105" t="s">
        <v>1830</v>
      </c>
      <c r="C263" s="105" t="s">
        <v>4176</v>
      </c>
      <c r="D263" s="149" t="s">
        <v>1831</v>
      </c>
      <c r="E263" s="105">
        <v>2</v>
      </c>
      <c r="F263" s="133">
        <v>16.84</v>
      </c>
      <c r="G263" s="133">
        <v>19.5</v>
      </c>
      <c r="H263" s="109">
        <f t="shared" ref="H263:H326" si="13">E263*G263</f>
        <v>39</v>
      </c>
      <c r="I263" s="119"/>
      <c r="J263" s="119">
        <v>0</v>
      </c>
      <c r="K263" s="119">
        <f t="shared" ref="K263:K326" si="14">H263+I263-J263</f>
        <v>39</v>
      </c>
      <c r="L263" s="152">
        <f t="shared" ref="L263:L326" si="15">E263*F263</f>
        <v>33.68</v>
      </c>
      <c r="M263" s="113"/>
    </row>
    <row r="264" spans="1:13" x14ac:dyDescent="0.2">
      <c r="A264" s="106" t="s">
        <v>4175</v>
      </c>
      <c r="B264" s="105" t="s">
        <v>2773</v>
      </c>
      <c r="C264" s="105" t="s">
        <v>4176</v>
      </c>
      <c r="D264" s="149" t="s">
        <v>2774</v>
      </c>
      <c r="E264" s="105">
        <v>1</v>
      </c>
      <c r="F264" s="133">
        <v>26.09</v>
      </c>
      <c r="G264" s="133">
        <v>30</v>
      </c>
      <c r="H264" s="109">
        <f t="shared" si="13"/>
        <v>30</v>
      </c>
      <c r="I264" s="119"/>
      <c r="J264" s="119">
        <v>0</v>
      </c>
      <c r="K264" s="119">
        <f t="shared" si="14"/>
        <v>30</v>
      </c>
      <c r="L264" s="152">
        <f t="shared" si="15"/>
        <v>26.09</v>
      </c>
      <c r="M264" s="113"/>
    </row>
    <row r="265" spans="1:13" x14ac:dyDescent="0.2">
      <c r="A265" s="106" t="s">
        <v>4175</v>
      </c>
      <c r="B265" s="105" t="s">
        <v>2908</v>
      </c>
      <c r="C265" s="105" t="s">
        <v>4177</v>
      </c>
      <c r="D265" s="149" t="s">
        <v>2910</v>
      </c>
      <c r="E265" s="105">
        <v>8</v>
      </c>
      <c r="F265" s="133">
        <v>0.76</v>
      </c>
      <c r="G265" s="133">
        <v>1</v>
      </c>
      <c r="H265" s="109">
        <f t="shared" si="13"/>
        <v>8</v>
      </c>
      <c r="I265" s="119"/>
      <c r="J265" s="119">
        <v>0</v>
      </c>
      <c r="K265" s="119">
        <f t="shared" si="14"/>
        <v>8</v>
      </c>
      <c r="L265" s="152">
        <f t="shared" si="15"/>
        <v>6.08</v>
      </c>
      <c r="M265" s="113"/>
    </row>
    <row r="266" spans="1:13" x14ac:dyDescent="0.2">
      <c r="A266" s="106" t="s">
        <v>4175</v>
      </c>
      <c r="B266" s="105" t="s">
        <v>3185</v>
      </c>
      <c r="C266" s="105" t="s">
        <v>4178</v>
      </c>
      <c r="D266" s="149" t="s">
        <v>3187</v>
      </c>
      <c r="E266" s="105">
        <v>1</v>
      </c>
      <c r="F266" s="133">
        <v>129</v>
      </c>
      <c r="G266" s="133">
        <v>148.5</v>
      </c>
      <c r="H266" s="109">
        <f t="shared" si="13"/>
        <v>148.5</v>
      </c>
      <c r="I266" s="119"/>
      <c r="J266" s="119">
        <v>0</v>
      </c>
      <c r="K266" s="119">
        <f t="shared" si="14"/>
        <v>148.5</v>
      </c>
      <c r="L266" s="152">
        <f t="shared" si="15"/>
        <v>129</v>
      </c>
      <c r="M266" s="113"/>
    </row>
    <row r="267" spans="1:13" x14ac:dyDescent="0.2">
      <c r="A267" s="106" t="s">
        <v>4175</v>
      </c>
      <c r="B267" s="105" t="s">
        <v>2307</v>
      </c>
      <c r="C267" s="105" t="s">
        <v>4179</v>
      </c>
      <c r="D267" s="149" t="s">
        <v>2309</v>
      </c>
      <c r="E267" s="105">
        <v>1</v>
      </c>
      <c r="F267" s="133">
        <v>31.6</v>
      </c>
      <c r="G267" s="133">
        <v>36.5</v>
      </c>
      <c r="H267" s="109">
        <f t="shared" si="13"/>
        <v>36.5</v>
      </c>
      <c r="I267" s="119"/>
      <c r="J267" s="119">
        <v>0</v>
      </c>
      <c r="K267" s="119">
        <f t="shared" si="14"/>
        <v>36.5</v>
      </c>
      <c r="L267" s="152">
        <f t="shared" si="15"/>
        <v>31.6</v>
      </c>
      <c r="M267" s="113"/>
    </row>
    <row r="268" spans="1:13" x14ac:dyDescent="0.2">
      <c r="A268" s="106" t="s">
        <v>4175</v>
      </c>
      <c r="B268" s="105" t="s">
        <v>2380</v>
      </c>
      <c r="C268" s="105" t="s">
        <v>4180</v>
      </c>
      <c r="D268" s="149" t="s">
        <v>2381</v>
      </c>
      <c r="E268" s="105">
        <v>1</v>
      </c>
      <c r="F268" s="133">
        <v>22.73</v>
      </c>
      <c r="G268" s="133">
        <v>26.25</v>
      </c>
      <c r="H268" s="109">
        <f t="shared" si="13"/>
        <v>26.25</v>
      </c>
      <c r="I268" s="119"/>
      <c r="J268" s="119">
        <v>0</v>
      </c>
      <c r="K268" s="119">
        <f t="shared" si="14"/>
        <v>26.25</v>
      </c>
      <c r="L268" s="152">
        <f t="shared" si="15"/>
        <v>22.73</v>
      </c>
      <c r="M268" s="113"/>
    </row>
    <row r="269" spans="1:13" x14ac:dyDescent="0.2">
      <c r="A269" s="106" t="s">
        <v>4175</v>
      </c>
      <c r="B269" s="105" t="s">
        <v>4181</v>
      </c>
      <c r="C269" s="105" t="s">
        <v>4182</v>
      </c>
      <c r="D269" s="149" t="s">
        <v>4183</v>
      </c>
      <c r="E269" s="105">
        <v>3</v>
      </c>
      <c r="F269" s="133">
        <v>13.1</v>
      </c>
      <c r="G269" s="133">
        <v>15</v>
      </c>
      <c r="H269" s="109">
        <f t="shared" si="13"/>
        <v>45</v>
      </c>
      <c r="I269" s="119"/>
      <c r="J269" s="119">
        <v>0</v>
      </c>
      <c r="K269" s="119">
        <f t="shared" si="14"/>
        <v>45</v>
      </c>
      <c r="L269" s="152">
        <f t="shared" si="15"/>
        <v>39.299999999999997</v>
      </c>
      <c r="M269" s="113"/>
    </row>
    <row r="270" spans="1:13" x14ac:dyDescent="0.2">
      <c r="A270" s="106" t="s">
        <v>4175</v>
      </c>
      <c r="B270" s="105" t="s">
        <v>3448</v>
      </c>
      <c r="C270" s="105" t="s">
        <v>4182</v>
      </c>
      <c r="D270" s="149" t="s">
        <v>3450</v>
      </c>
      <c r="E270" s="105">
        <v>3</v>
      </c>
      <c r="F270" s="133">
        <v>15.91</v>
      </c>
      <c r="G270" s="133">
        <v>18.5</v>
      </c>
      <c r="H270" s="109">
        <f t="shared" si="13"/>
        <v>55.5</v>
      </c>
      <c r="I270" s="119"/>
      <c r="J270" s="119">
        <v>0</v>
      </c>
      <c r="K270" s="119">
        <f t="shared" si="14"/>
        <v>55.5</v>
      </c>
      <c r="L270" s="152">
        <f t="shared" si="15"/>
        <v>47.730000000000004</v>
      </c>
      <c r="M270" s="113"/>
    </row>
    <row r="271" spans="1:13" x14ac:dyDescent="0.2">
      <c r="A271" s="106" t="s">
        <v>4175</v>
      </c>
      <c r="B271" s="105" t="s">
        <v>4184</v>
      </c>
      <c r="C271" s="105" t="s">
        <v>4182</v>
      </c>
      <c r="D271" s="149" t="s">
        <v>4185</v>
      </c>
      <c r="E271" s="105">
        <v>1</v>
      </c>
      <c r="F271" s="133">
        <v>57.4</v>
      </c>
      <c r="G271" s="133">
        <v>66</v>
      </c>
      <c r="H271" s="109">
        <f t="shared" si="13"/>
        <v>66</v>
      </c>
      <c r="I271" s="119"/>
      <c r="J271" s="119">
        <v>0</v>
      </c>
      <c r="K271" s="119">
        <f t="shared" si="14"/>
        <v>66</v>
      </c>
      <c r="L271" s="152">
        <f t="shared" si="15"/>
        <v>57.4</v>
      </c>
      <c r="M271" s="113"/>
    </row>
    <row r="272" spans="1:13" x14ac:dyDescent="0.2">
      <c r="A272" s="153" t="s">
        <v>4175</v>
      </c>
      <c r="B272" s="154" t="s">
        <v>1843</v>
      </c>
      <c r="C272" s="154" t="s">
        <v>4182</v>
      </c>
      <c r="D272" s="155" t="s">
        <v>1844</v>
      </c>
      <c r="E272" s="154">
        <v>1</v>
      </c>
      <c r="F272" s="236"/>
      <c r="G272" s="236">
        <v>73.25</v>
      </c>
      <c r="H272" s="237">
        <f t="shared" si="13"/>
        <v>73.25</v>
      </c>
      <c r="I272" s="147"/>
      <c r="J272" s="147">
        <v>0</v>
      </c>
      <c r="K272" s="147">
        <f t="shared" si="14"/>
        <v>73.25</v>
      </c>
      <c r="L272" s="148">
        <f t="shared" si="15"/>
        <v>0</v>
      </c>
      <c r="M272" s="113"/>
    </row>
    <row r="273" spans="1:13" x14ac:dyDescent="0.2">
      <c r="A273" s="106" t="s">
        <v>4175</v>
      </c>
      <c r="B273" s="105" t="s">
        <v>4163</v>
      </c>
      <c r="C273" s="105" t="s">
        <v>4182</v>
      </c>
      <c r="D273" s="149" t="s">
        <v>4165</v>
      </c>
      <c r="E273" s="105">
        <v>1</v>
      </c>
      <c r="F273" s="133">
        <v>9.2799999999999994</v>
      </c>
      <c r="G273" s="133">
        <v>10.75</v>
      </c>
      <c r="H273" s="109">
        <f t="shared" si="13"/>
        <v>10.75</v>
      </c>
      <c r="I273" s="119"/>
      <c r="J273" s="119">
        <v>0</v>
      </c>
      <c r="K273" s="119">
        <f t="shared" si="14"/>
        <v>10.75</v>
      </c>
      <c r="L273" s="152">
        <f t="shared" si="15"/>
        <v>9.2799999999999994</v>
      </c>
      <c r="M273" s="113"/>
    </row>
    <row r="274" spans="1:13" x14ac:dyDescent="0.2">
      <c r="A274" s="106" t="s">
        <v>4175</v>
      </c>
      <c r="B274" s="105" t="s">
        <v>3909</v>
      </c>
      <c r="C274" s="105" t="s">
        <v>4182</v>
      </c>
      <c r="D274" s="149" t="s">
        <v>3911</v>
      </c>
      <c r="E274" s="105">
        <v>2</v>
      </c>
      <c r="F274" s="133">
        <v>7.06</v>
      </c>
      <c r="G274" s="133">
        <v>8.25</v>
      </c>
      <c r="H274" s="109">
        <f t="shared" si="13"/>
        <v>16.5</v>
      </c>
      <c r="I274" s="119"/>
      <c r="J274" s="119">
        <v>0</v>
      </c>
      <c r="K274" s="119">
        <f t="shared" si="14"/>
        <v>16.5</v>
      </c>
      <c r="L274" s="152">
        <f t="shared" si="15"/>
        <v>14.12</v>
      </c>
      <c r="M274" s="113"/>
    </row>
    <row r="275" spans="1:13" x14ac:dyDescent="0.2">
      <c r="A275" s="106" t="s">
        <v>4175</v>
      </c>
      <c r="B275" s="105" t="s">
        <v>2031</v>
      </c>
      <c r="C275" s="105" t="s">
        <v>4182</v>
      </c>
      <c r="D275" s="149" t="s">
        <v>2033</v>
      </c>
      <c r="E275" s="105">
        <v>1</v>
      </c>
      <c r="F275" s="133">
        <v>20.399999999999999</v>
      </c>
      <c r="G275" s="133">
        <v>24</v>
      </c>
      <c r="H275" s="109">
        <f t="shared" si="13"/>
        <v>24</v>
      </c>
      <c r="I275" s="119"/>
      <c r="J275" s="119">
        <v>0</v>
      </c>
      <c r="K275" s="119">
        <f t="shared" si="14"/>
        <v>24</v>
      </c>
      <c r="L275" s="152">
        <f t="shared" si="15"/>
        <v>20.399999999999999</v>
      </c>
      <c r="M275" s="113"/>
    </row>
    <row r="276" spans="1:13" x14ac:dyDescent="0.2">
      <c r="A276" s="106" t="s">
        <v>4175</v>
      </c>
      <c r="B276" s="105" t="s">
        <v>4186</v>
      </c>
      <c r="C276" s="105" t="s">
        <v>4182</v>
      </c>
      <c r="D276" s="149" t="s">
        <v>4187</v>
      </c>
      <c r="E276" s="105">
        <v>1</v>
      </c>
      <c r="F276" s="133">
        <v>18.559999999999999</v>
      </c>
      <c r="G276" s="133">
        <v>21.5</v>
      </c>
      <c r="H276" s="109">
        <f t="shared" si="13"/>
        <v>21.5</v>
      </c>
      <c r="I276" s="119"/>
      <c r="J276" s="119">
        <v>0</v>
      </c>
      <c r="K276" s="119">
        <f t="shared" si="14"/>
        <v>21.5</v>
      </c>
      <c r="L276" s="152">
        <f t="shared" si="15"/>
        <v>18.559999999999999</v>
      </c>
      <c r="M276" s="113"/>
    </row>
    <row r="277" spans="1:13" x14ac:dyDescent="0.2">
      <c r="A277" s="106" t="s">
        <v>4175</v>
      </c>
      <c r="B277" s="105" t="s">
        <v>2742</v>
      </c>
      <c r="C277" s="105" t="s">
        <v>4182</v>
      </c>
      <c r="D277" s="149" t="s">
        <v>2743</v>
      </c>
      <c r="E277" s="105">
        <v>1</v>
      </c>
      <c r="F277" s="133">
        <v>16.03</v>
      </c>
      <c r="G277" s="133">
        <v>18.5</v>
      </c>
      <c r="H277" s="109">
        <f t="shared" si="13"/>
        <v>18.5</v>
      </c>
      <c r="I277" s="119"/>
      <c r="J277" s="119">
        <v>0</v>
      </c>
      <c r="K277" s="119">
        <f t="shared" si="14"/>
        <v>18.5</v>
      </c>
      <c r="L277" s="152">
        <f t="shared" si="15"/>
        <v>16.03</v>
      </c>
      <c r="M277" s="113"/>
    </row>
    <row r="278" spans="1:13" x14ac:dyDescent="0.2">
      <c r="A278" s="106" t="s">
        <v>4175</v>
      </c>
      <c r="B278" s="105" t="s">
        <v>2360</v>
      </c>
      <c r="C278" s="105" t="s">
        <v>4182</v>
      </c>
      <c r="D278" s="149" t="s">
        <v>2361</v>
      </c>
      <c r="E278" s="105">
        <v>1</v>
      </c>
      <c r="F278" s="133">
        <v>17.649999999999999</v>
      </c>
      <c r="G278" s="133">
        <v>20.5</v>
      </c>
      <c r="H278" s="109">
        <f t="shared" si="13"/>
        <v>20.5</v>
      </c>
      <c r="I278" s="119"/>
      <c r="J278" s="119">
        <v>0</v>
      </c>
      <c r="K278" s="119">
        <f t="shared" si="14"/>
        <v>20.5</v>
      </c>
      <c r="L278" s="152">
        <f t="shared" si="15"/>
        <v>17.649999999999999</v>
      </c>
      <c r="M278" s="113"/>
    </row>
    <row r="279" spans="1:13" x14ac:dyDescent="0.2">
      <c r="A279" s="106" t="s">
        <v>4175</v>
      </c>
      <c r="B279" s="105" t="s">
        <v>3428</v>
      </c>
      <c r="C279" s="105" t="s">
        <v>4182</v>
      </c>
      <c r="D279" s="149" t="s">
        <v>3429</v>
      </c>
      <c r="E279" s="105">
        <v>1</v>
      </c>
      <c r="F279" s="133">
        <v>35</v>
      </c>
      <c r="G279" s="133">
        <v>41.25</v>
      </c>
      <c r="H279" s="109">
        <f t="shared" si="13"/>
        <v>41.25</v>
      </c>
      <c r="I279" s="119"/>
      <c r="J279" s="119">
        <v>0</v>
      </c>
      <c r="K279" s="119">
        <f t="shared" si="14"/>
        <v>41.25</v>
      </c>
      <c r="L279" s="152">
        <f t="shared" si="15"/>
        <v>35</v>
      </c>
      <c r="M279" s="113"/>
    </row>
    <row r="280" spans="1:13" x14ac:dyDescent="0.2">
      <c r="A280" s="106" t="s">
        <v>4175</v>
      </c>
      <c r="B280" s="105" t="s">
        <v>4188</v>
      </c>
      <c r="C280" s="105" t="s">
        <v>4182</v>
      </c>
      <c r="D280" s="149" t="s">
        <v>4189</v>
      </c>
      <c r="E280" s="105">
        <v>1</v>
      </c>
      <c r="F280" s="133">
        <v>27.66</v>
      </c>
      <c r="G280" s="133">
        <v>32</v>
      </c>
      <c r="H280" s="109">
        <f t="shared" si="13"/>
        <v>32</v>
      </c>
      <c r="I280" s="119"/>
      <c r="J280" s="119">
        <v>0</v>
      </c>
      <c r="K280" s="119">
        <f t="shared" si="14"/>
        <v>32</v>
      </c>
      <c r="L280" s="152">
        <f t="shared" si="15"/>
        <v>27.66</v>
      </c>
      <c r="M280" s="113"/>
    </row>
    <row r="281" spans="1:13" x14ac:dyDescent="0.2">
      <c r="A281" s="106" t="s">
        <v>4175</v>
      </c>
      <c r="B281" s="105" t="s">
        <v>2435</v>
      </c>
      <c r="C281" s="105" t="s">
        <v>4190</v>
      </c>
      <c r="D281" s="149" t="s">
        <v>2437</v>
      </c>
      <c r="E281" s="105">
        <v>2</v>
      </c>
      <c r="F281" s="133">
        <v>18.2</v>
      </c>
      <c r="G281" s="133">
        <v>21</v>
      </c>
      <c r="H281" s="109">
        <f t="shared" si="13"/>
        <v>42</v>
      </c>
      <c r="I281" s="119"/>
      <c r="J281" s="119">
        <v>0</v>
      </c>
      <c r="K281" s="119">
        <f t="shared" si="14"/>
        <v>42</v>
      </c>
      <c r="L281" s="152">
        <f t="shared" si="15"/>
        <v>36.4</v>
      </c>
      <c r="M281" s="113"/>
    </row>
    <row r="282" spans="1:13" x14ac:dyDescent="0.2">
      <c r="A282" s="106" t="s">
        <v>4175</v>
      </c>
      <c r="B282" s="105" t="s">
        <v>3332</v>
      </c>
      <c r="C282" s="105" t="s">
        <v>4191</v>
      </c>
      <c r="D282" s="149" t="s">
        <v>3334</v>
      </c>
      <c r="E282" s="105">
        <v>1</v>
      </c>
      <c r="F282" s="133">
        <v>71.3</v>
      </c>
      <c r="G282" s="133">
        <v>82</v>
      </c>
      <c r="H282" s="109">
        <f t="shared" si="13"/>
        <v>82</v>
      </c>
      <c r="I282" s="119"/>
      <c r="J282" s="119">
        <v>0</v>
      </c>
      <c r="K282" s="119">
        <f t="shared" si="14"/>
        <v>82</v>
      </c>
      <c r="L282" s="152">
        <f t="shared" si="15"/>
        <v>71.3</v>
      </c>
      <c r="M282" s="113"/>
    </row>
    <row r="283" spans="1:13" x14ac:dyDescent="0.2">
      <c r="A283" s="106" t="s">
        <v>4175</v>
      </c>
      <c r="B283" s="105" t="s">
        <v>2264</v>
      </c>
      <c r="C283" s="105" t="s">
        <v>4191</v>
      </c>
      <c r="D283" s="149" t="s">
        <v>2265</v>
      </c>
      <c r="E283" s="105">
        <v>1</v>
      </c>
      <c r="F283" s="133">
        <v>62.45</v>
      </c>
      <c r="G283" s="133">
        <v>72</v>
      </c>
      <c r="H283" s="109">
        <f t="shared" si="13"/>
        <v>72</v>
      </c>
      <c r="I283" s="119"/>
      <c r="J283" s="119">
        <v>0</v>
      </c>
      <c r="K283" s="119">
        <f t="shared" si="14"/>
        <v>72</v>
      </c>
      <c r="L283" s="152">
        <f t="shared" si="15"/>
        <v>62.45</v>
      </c>
      <c r="M283" s="113"/>
    </row>
    <row r="284" spans="1:13" x14ac:dyDescent="0.2">
      <c r="A284" s="106" t="s">
        <v>4175</v>
      </c>
      <c r="B284" s="105" t="s">
        <v>2908</v>
      </c>
      <c r="C284" s="105" t="s">
        <v>4191</v>
      </c>
      <c r="D284" s="149" t="s">
        <v>2910</v>
      </c>
      <c r="E284" s="105">
        <v>1</v>
      </c>
      <c r="F284" s="133">
        <v>0.76</v>
      </c>
      <c r="G284" s="133">
        <v>1</v>
      </c>
      <c r="H284" s="109">
        <f t="shared" si="13"/>
        <v>1</v>
      </c>
      <c r="I284" s="119"/>
      <c r="J284" s="119">
        <v>0</v>
      </c>
      <c r="K284" s="119">
        <f t="shared" si="14"/>
        <v>1</v>
      </c>
      <c r="L284" s="152">
        <f t="shared" si="15"/>
        <v>0.76</v>
      </c>
      <c r="M284" s="113"/>
    </row>
    <row r="285" spans="1:13" x14ac:dyDescent="0.2">
      <c r="A285" s="106" t="s">
        <v>4175</v>
      </c>
      <c r="B285" s="105" t="s">
        <v>2220</v>
      </c>
      <c r="C285" s="105" t="s">
        <v>4192</v>
      </c>
      <c r="D285" s="149" t="s">
        <v>2222</v>
      </c>
      <c r="E285" s="105">
        <v>1</v>
      </c>
      <c r="F285" s="133">
        <v>35.15</v>
      </c>
      <c r="G285" s="133">
        <v>41</v>
      </c>
      <c r="H285" s="109">
        <f t="shared" si="13"/>
        <v>41</v>
      </c>
      <c r="I285" s="119"/>
      <c r="J285" s="119">
        <v>0</v>
      </c>
      <c r="K285" s="119">
        <f t="shared" si="14"/>
        <v>41</v>
      </c>
      <c r="L285" s="152">
        <f t="shared" si="15"/>
        <v>35.15</v>
      </c>
      <c r="M285" s="113"/>
    </row>
    <row r="286" spans="1:13" x14ac:dyDescent="0.2">
      <c r="A286" s="106" t="s">
        <v>4175</v>
      </c>
      <c r="B286" s="105" t="s">
        <v>1830</v>
      </c>
      <c r="C286" s="105" t="s">
        <v>4193</v>
      </c>
      <c r="D286" s="149" t="s">
        <v>1831</v>
      </c>
      <c r="E286" s="105">
        <v>1</v>
      </c>
      <c r="F286" s="133">
        <v>16.84</v>
      </c>
      <c r="G286" s="133">
        <v>19.5</v>
      </c>
      <c r="H286" s="109">
        <f t="shared" si="13"/>
        <v>19.5</v>
      </c>
      <c r="I286" s="119"/>
      <c r="J286" s="119">
        <v>0</v>
      </c>
      <c r="K286" s="119">
        <f t="shared" si="14"/>
        <v>19.5</v>
      </c>
      <c r="L286" s="152">
        <f t="shared" si="15"/>
        <v>16.84</v>
      </c>
      <c r="M286" s="113"/>
    </row>
    <row r="287" spans="1:13" x14ac:dyDescent="0.2">
      <c r="A287" s="106" t="s">
        <v>4175</v>
      </c>
      <c r="B287" s="105" t="s">
        <v>1905</v>
      </c>
      <c r="C287" s="105" t="s">
        <v>4194</v>
      </c>
      <c r="D287" s="149" t="s">
        <v>1906</v>
      </c>
      <c r="E287" s="105">
        <v>2</v>
      </c>
      <c r="F287" s="133">
        <v>15.12</v>
      </c>
      <c r="G287" s="133">
        <v>17.5</v>
      </c>
      <c r="H287" s="109">
        <f t="shared" si="13"/>
        <v>35</v>
      </c>
      <c r="I287" s="119"/>
      <c r="J287" s="119">
        <v>0</v>
      </c>
      <c r="K287" s="119">
        <f t="shared" si="14"/>
        <v>35</v>
      </c>
      <c r="L287" s="152">
        <f t="shared" si="15"/>
        <v>30.24</v>
      </c>
      <c r="M287" s="113"/>
    </row>
    <row r="288" spans="1:13" x14ac:dyDescent="0.2">
      <c r="A288" s="106" t="s">
        <v>4175</v>
      </c>
      <c r="B288" s="105" t="s">
        <v>4195</v>
      </c>
      <c r="C288" s="105" t="s">
        <v>4194</v>
      </c>
      <c r="D288" s="149" t="s">
        <v>4196</v>
      </c>
      <c r="E288" s="105">
        <v>2</v>
      </c>
      <c r="F288" s="133">
        <v>13.1</v>
      </c>
      <c r="G288" s="133">
        <v>15</v>
      </c>
      <c r="H288" s="109">
        <f t="shared" si="13"/>
        <v>30</v>
      </c>
      <c r="I288" s="119"/>
      <c r="J288" s="119">
        <v>0</v>
      </c>
      <c r="K288" s="119">
        <f t="shared" si="14"/>
        <v>30</v>
      </c>
      <c r="L288" s="152">
        <f t="shared" si="15"/>
        <v>26.2</v>
      </c>
      <c r="M288" s="113"/>
    </row>
    <row r="289" spans="1:13" x14ac:dyDescent="0.2">
      <c r="A289" s="106" t="s">
        <v>4175</v>
      </c>
      <c r="B289" s="105" t="s">
        <v>4197</v>
      </c>
      <c r="C289" s="105" t="s">
        <v>4194</v>
      </c>
      <c r="D289" s="149" t="s">
        <v>4198</v>
      </c>
      <c r="E289" s="105">
        <v>2</v>
      </c>
      <c r="F289" s="133">
        <v>14</v>
      </c>
      <c r="G289" s="133">
        <v>16.25</v>
      </c>
      <c r="H289" s="109">
        <f t="shared" si="13"/>
        <v>32.5</v>
      </c>
      <c r="I289" s="119"/>
      <c r="J289" s="119">
        <v>0</v>
      </c>
      <c r="K289" s="119">
        <f t="shared" si="14"/>
        <v>32.5</v>
      </c>
      <c r="L289" s="152">
        <f t="shared" si="15"/>
        <v>28</v>
      </c>
      <c r="M289" s="113"/>
    </row>
    <row r="290" spans="1:13" x14ac:dyDescent="0.2">
      <c r="A290" s="106" t="s">
        <v>4175</v>
      </c>
      <c r="B290" s="105" t="s">
        <v>3267</v>
      </c>
      <c r="C290" s="105" t="s">
        <v>4194</v>
      </c>
      <c r="D290" s="149" t="s">
        <v>3268</v>
      </c>
      <c r="E290" s="105">
        <v>2</v>
      </c>
      <c r="F290" s="133">
        <v>11.5</v>
      </c>
      <c r="G290" s="133">
        <v>13.5</v>
      </c>
      <c r="H290" s="109">
        <f t="shared" si="13"/>
        <v>27</v>
      </c>
      <c r="I290" s="119"/>
      <c r="J290" s="119">
        <v>0</v>
      </c>
      <c r="K290" s="119">
        <f t="shared" si="14"/>
        <v>27</v>
      </c>
      <c r="L290" s="152">
        <f t="shared" si="15"/>
        <v>23</v>
      </c>
      <c r="M290" s="113"/>
    </row>
    <row r="291" spans="1:13" x14ac:dyDescent="0.2">
      <c r="A291" s="106" t="s">
        <v>4175</v>
      </c>
      <c r="B291" s="105" t="s">
        <v>4088</v>
      </c>
      <c r="C291" s="105" t="s">
        <v>4194</v>
      </c>
      <c r="D291" s="149" t="s">
        <v>4089</v>
      </c>
      <c r="E291" s="105">
        <v>1</v>
      </c>
      <c r="F291" s="133">
        <v>59.5</v>
      </c>
      <c r="G291" s="133">
        <v>68.5</v>
      </c>
      <c r="H291" s="109">
        <f t="shared" si="13"/>
        <v>68.5</v>
      </c>
      <c r="I291" s="119"/>
      <c r="J291" s="119">
        <v>0</v>
      </c>
      <c r="K291" s="119">
        <f t="shared" si="14"/>
        <v>68.5</v>
      </c>
      <c r="L291" s="152">
        <f t="shared" si="15"/>
        <v>59.5</v>
      </c>
      <c r="M291" s="113"/>
    </row>
    <row r="292" spans="1:13" x14ac:dyDescent="0.2">
      <c r="A292" s="106" t="s">
        <v>4175</v>
      </c>
      <c r="B292" s="105" t="s">
        <v>4199</v>
      </c>
      <c r="C292" s="105" t="s">
        <v>4194</v>
      </c>
      <c r="D292" s="149" t="s">
        <v>4200</v>
      </c>
      <c r="E292" s="105">
        <v>2</v>
      </c>
      <c r="F292" s="133">
        <v>24.24</v>
      </c>
      <c r="G292" s="133">
        <v>29.25</v>
      </c>
      <c r="H292" s="109">
        <f t="shared" si="13"/>
        <v>58.5</v>
      </c>
      <c r="I292" s="119"/>
      <c r="J292" s="119">
        <v>0</v>
      </c>
      <c r="K292" s="119">
        <f t="shared" si="14"/>
        <v>58.5</v>
      </c>
      <c r="L292" s="152">
        <f t="shared" si="15"/>
        <v>48.48</v>
      </c>
      <c r="M292" s="113"/>
    </row>
    <row r="293" spans="1:13" x14ac:dyDescent="0.2">
      <c r="A293" s="106" t="s">
        <v>4175</v>
      </c>
      <c r="B293" s="105" t="s">
        <v>2416</v>
      </c>
      <c r="C293" s="105" t="s">
        <v>4194</v>
      </c>
      <c r="D293" s="149" t="s">
        <v>2417</v>
      </c>
      <c r="E293" s="105">
        <v>2</v>
      </c>
      <c r="F293" s="133">
        <v>20.88</v>
      </c>
      <c r="G293" s="133">
        <v>24</v>
      </c>
      <c r="H293" s="109">
        <f t="shared" si="13"/>
        <v>48</v>
      </c>
      <c r="I293" s="119"/>
      <c r="J293" s="119">
        <v>0</v>
      </c>
      <c r="K293" s="119">
        <f t="shared" si="14"/>
        <v>48</v>
      </c>
      <c r="L293" s="152">
        <f t="shared" si="15"/>
        <v>41.76</v>
      </c>
      <c r="M293" s="113"/>
    </row>
    <row r="294" spans="1:13" x14ac:dyDescent="0.2">
      <c r="A294" s="106" t="s">
        <v>4175</v>
      </c>
      <c r="B294" s="105" t="s">
        <v>2606</v>
      </c>
      <c r="C294" s="105" t="s">
        <v>4194</v>
      </c>
      <c r="D294" s="149" t="s">
        <v>2607</v>
      </c>
      <c r="E294" s="105">
        <v>1</v>
      </c>
      <c r="F294" s="133">
        <v>43.34</v>
      </c>
      <c r="G294" s="133">
        <v>50</v>
      </c>
      <c r="H294" s="109">
        <f t="shared" si="13"/>
        <v>50</v>
      </c>
      <c r="I294" s="119"/>
      <c r="J294" s="119">
        <v>0</v>
      </c>
      <c r="K294" s="119">
        <f t="shared" si="14"/>
        <v>50</v>
      </c>
      <c r="L294" s="152">
        <f t="shared" si="15"/>
        <v>43.34</v>
      </c>
      <c r="M294" s="113"/>
    </row>
    <row r="295" spans="1:13" x14ac:dyDescent="0.2">
      <c r="A295" s="106" t="s">
        <v>4175</v>
      </c>
      <c r="B295" s="105" t="s">
        <v>1988</v>
      </c>
      <c r="C295" s="105" t="s">
        <v>4194</v>
      </c>
      <c r="D295" s="149" t="s">
        <v>1989</v>
      </c>
      <c r="E295" s="105">
        <v>1</v>
      </c>
      <c r="F295" s="133">
        <v>104.76</v>
      </c>
      <c r="G295" s="133">
        <v>132</v>
      </c>
      <c r="H295" s="109">
        <f t="shared" si="13"/>
        <v>132</v>
      </c>
      <c r="I295" s="119"/>
      <c r="J295" s="119">
        <v>0</v>
      </c>
      <c r="K295" s="119">
        <f t="shared" si="14"/>
        <v>132</v>
      </c>
      <c r="L295" s="152">
        <f t="shared" si="15"/>
        <v>104.76</v>
      </c>
      <c r="M295" s="113"/>
    </row>
    <row r="296" spans="1:13" x14ac:dyDescent="0.2">
      <c r="A296" s="106" t="s">
        <v>4175</v>
      </c>
      <c r="B296" s="105" t="s">
        <v>4201</v>
      </c>
      <c r="C296" s="105" t="s">
        <v>4194</v>
      </c>
      <c r="D296" s="149" t="s">
        <v>4202</v>
      </c>
      <c r="E296" s="105">
        <v>1</v>
      </c>
      <c r="F296" s="133">
        <v>24.35</v>
      </c>
      <c r="G296" s="133">
        <v>28</v>
      </c>
      <c r="H296" s="109">
        <f t="shared" si="13"/>
        <v>28</v>
      </c>
      <c r="I296" s="119"/>
      <c r="J296" s="119">
        <v>0</v>
      </c>
      <c r="K296" s="119">
        <f t="shared" si="14"/>
        <v>28</v>
      </c>
      <c r="L296" s="152">
        <f t="shared" si="15"/>
        <v>24.35</v>
      </c>
      <c r="M296" s="113"/>
    </row>
    <row r="297" spans="1:13" x14ac:dyDescent="0.2">
      <c r="A297" s="106" t="s">
        <v>4175</v>
      </c>
      <c r="B297" s="105" t="s">
        <v>2471</v>
      </c>
      <c r="C297" s="105" t="s">
        <v>4194</v>
      </c>
      <c r="D297" s="149" t="s">
        <v>2472</v>
      </c>
      <c r="E297" s="105">
        <v>1</v>
      </c>
      <c r="F297" s="133">
        <v>35.549999999999997</v>
      </c>
      <c r="G297" s="133">
        <v>41</v>
      </c>
      <c r="H297" s="109">
        <f t="shared" si="13"/>
        <v>41</v>
      </c>
      <c r="I297" s="119"/>
      <c r="J297" s="119">
        <v>0</v>
      </c>
      <c r="K297" s="119">
        <f t="shared" si="14"/>
        <v>41</v>
      </c>
      <c r="L297" s="152">
        <f t="shared" si="15"/>
        <v>35.549999999999997</v>
      </c>
      <c r="M297" s="113"/>
    </row>
    <row r="298" spans="1:13" x14ac:dyDescent="0.2">
      <c r="A298" s="106" t="s">
        <v>4175</v>
      </c>
      <c r="B298" s="105" t="s">
        <v>4203</v>
      </c>
      <c r="C298" s="105" t="s">
        <v>4194</v>
      </c>
      <c r="D298" s="149" t="s">
        <v>4204</v>
      </c>
      <c r="E298" s="105">
        <v>1</v>
      </c>
      <c r="F298" s="133">
        <v>36.11</v>
      </c>
      <c r="G298" s="133">
        <v>41.75</v>
      </c>
      <c r="H298" s="109">
        <f t="shared" si="13"/>
        <v>41.75</v>
      </c>
      <c r="I298" s="119"/>
      <c r="J298" s="119">
        <v>0</v>
      </c>
      <c r="K298" s="119">
        <f t="shared" si="14"/>
        <v>41.75</v>
      </c>
      <c r="L298" s="152">
        <f t="shared" si="15"/>
        <v>36.11</v>
      </c>
      <c r="M298" s="113"/>
    </row>
    <row r="299" spans="1:13" x14ac:dyDescent="0.2">
      <c r="A299" s="106" t="s">
        <v>4175</v>
      </c>
      <c r="B299" s="105" t="s">
        <v>2550</v>
      </c>
      <c r="C299" s="105" t="s">
        <v>4194</v>
      </c>
      <c r="D299" s="149" t="s">
        <v>2552</v>
      </c>
      <c r="E299" s="105">
        <v>6</v>
      </c>
      <c r="F299" s="133">
        <v>6.38</v>
      </c>
      <c r="G299" s="133">
        <v>7.5</v>
      </c>
      <c r="H299" s="109">
        <f t="shared" si="13"/>
        <v>45</v>
      </c>
      <c r="I299" s="119"/>
      <c r="J299" s="119">
        <v>0</v>
      </c>
      <c r="K299" s="119">
        <f t="shared" si="14"/>
        <v>45</v>
      </c>
      <c r="L299" s="152">
        <f t="shared" si="15"/>
        <v>38.28</v>
      </c>
      <c r="M299" s="113"/>
    </row>
    <row r="300" spans="1:13" x14ac:dyDescent="0.2">
      <c r="A300" s="106" t="s">
        <v>4175</v>
      </c>
      <c r="B300" s="105" t="s">
        <v>4205</v>
      </c>
      <c r="C300" s="105" t="s">
        <v>4194</v>
      </c>
      <c r="D300" s="149" t="s">
        <v>4206</v>
      </c>
      <c r="E300" s="105">
        <v>4</v>
      </c>
      <c r="F300" s="133">
        <v>8.3000000000000007</v>
      </c>
      <c r="G300" s="133">
        <v>9.75</v>
      </c>
      <c r="H300" s="109">
        <f t="shared" si="13"/>
        <v>39</v>
      </c>
      <c r="I300" s="119"/>
      <c r="J300" s="119">
        <v>0</v>
      </c>
      <c r="K300" s="119">
        <f t="shared" si="14"/>
        <v>39</v>
      </c>
      <c r="L300" s="152">
        <f t="shared" si="15"/>
        <v>33.200000000000003</v>
      </c>
      <c r="M300" s="113"/>
    </row>
    <row r="301" spans="1:13" x14ac:dyDescent="0.2">
      <c r="A301" s="106" t="s">
        <v>4175</v>
      </c>
      <c r="B301" s="105" t="s">
        <v>4207</v>
      </c>
      <c r="C301" s="105" t="s">
        <v>4194</v>
      </c>
      <c r="D301" s="149" t="s">
        <v>4208</v>
      </c>
      <c r="E301" s="105">
        <v>1</v>
      </c>
      <c r="F301" s="133">
        <v>67.88</v>
      </c>
      <c r="G301" s="133">
        <v>78.25</v>
      </c>
      <c r="H301" s="109">
        <f t="shared" si="13"/>
        <v>78.25</v>
      </c>
      <c r="I301" s="119"/>
      <c r="J301" s="119">
        <v>0</v>
      </c>
      <c r="K301" s="119">
        <f t="shared" si="14"/>
        <v>78.25</v>
      </c>
      <c r="L301" s="152">
        <f t="shared" si="15"/>
        <v>67.88</v>
      </c>
      <c r="M301" s="113"/>
    </row>
    <row r="302" spans="1:13" x14ac:dyDescent="0.2">
      <c r="A302" s="106" t="s">
        <v>4175</v>
      </c>
      <c r="B302" s="105" t="s">
        <v>4209</v>
      </c>
      <c r="C302" s="105" t="s">
        <v>4210</v>
      </c>
      <c r="D302" s="149" t="s">
        <v>4211</v>
      </c>
      <c r="E302" s="105">
        <v>1</v>
      </c>
      <c r="F302" s="133">
        <v>38</v>
      </c>
      <c r="G302" s="133">
        <v>43.75</v>
      </c>
      <c r="H302" s="109">
        <f t="shared" si="13"/>
        <v>43.75</v>
      </c>
      <c r="I302" s="119"/>
      <c r="J302" s="119">
        <v>0</v>
      </c>
      <c r="K302" s="119">
        <f t="shared" si="14"/>
        <v>43.75</v>
      </c>
      <c r="L302" s="152">
        <f t="shared" si="15"/>
        <v>38</v>
      </c>
      <c r="M302" s="113"/>
    </row>
    <row r="303" spans="1:13" x14ac:dyDescent="0.2">
      <c r="A303" s="106" t="s">
        <v>4175</v>
      </c>
      <c r="B303" s="105" t="s">
        <v>4072</v>
      </c>
      <c r="C303" s="105" t="s">
        <v>4210</v>
      </c>
      <c r="D303" s="149" t="s">
        <v>4074</v>
      </c>
      <c r="E303" s="105">
        <v>1</v>
      </c>
      <c r="F303" s="133">
        <v>57.25</v>
      </c>
      <c r="G303" s="133">
        <v>66</v>
      </c>
      <c r="H303" s="109">
        <f t="shared" si="13"/>
        <v>66</v>
      </c>
      <c r="I303" s="119"/>
      <c r="J303" s="119">
        <v>0</v>
      </c>
      <c r="K303" s="119">
        <f t="shared" si="14"/>
        <v>66</v>
      </c>
      <c r="L303" s="152">
        <f t="shared" si="15"/>
        <v>57.25</v>
      </c>
      <c r="M303" s="113"/>
    </row>
    <row r="304" spans="1:13" x14ac:dyDescent="0.2">
      <c r="A304" s="106" t="s">
        <v>4175</v>
      </c>
      <c r="B304" s="105" t="s">
        <v>2908</v>
      </c>
      <c r="C304" s="105" t="s">
        <v>4212</v>
      </c>
      <c r="D304" s="149" t="s">
        <v>2910</v>
      </c>
      <c r="E304" s="105">
        <v>4</v>
      </c>
      <c r="F304" s="133">
        <v>0.76</v>
      </c>
      <c r="G304" s="133">
        <v>1</v>
      </c>
      <c r="H304" s="109">
        <f t="shared" si="13"/>
        <v>4</v>
      </c>
      <c r="I304" s="119"/>
      <c r="J304" s="119">
        <v>0</v>
      </c>
      <c r="K304" s="119">
        <f t="shared" si="14"/>
        <v>4</v>
      </c>
      <c r="L304" s="152">
        <f t="shared" si="15"/>
        <v>3.04</v>
      </c>
      <c r="M304" s="113"/>
    </row>
    <row r="305" spans="1:13" x14ac:dyDescent="0.2">
      <c r="A305" s="106" t="s">
        <v>4175</v>
      </c>
      <c r="B305" s="105" t="s">
        <v>2742</v>
      </c>
      <c r="C305" s="105" t="s">
        <v>4213</v>
      </c>
      <c r="D305" s="149" t="s">
        <v>2743</v>
      </c>
      <c r="E305" s="105">
        <v>3</v>
      </c>
      <c r="F305" s="133">
        <v>16.03</v>
      </c>
      <c r="G305" s="133">
        <v>18.5</v>
      </c>
      <c r="H305" s="109">
        <f t="shared" si="13"/>
        <v>55.5</v>
      </c>
      <c r="I305" s="119"/>
      <c r="J305" s="119">
        <v>0</v>
      </c>
      <c r="K305" s="119">
        <f t="shared" si="14"/>
        <v>55.5</v>
      </c>
      <c r="L305" s="152">
        <f t="shared" si="15"/>
        <v>48.09</v>
      </c>
      <c r="M305" s="113"/>
    </row>
    <row r="306" spans="1:13" x14ac:dyDescent="0.2">
      <c r="A306" s="106" t="s">
        <v>4175</v>
      </c>
      <c r="B306" s="105" t="s">
        <v>3060</v>
      </c>
      <c r="C306" s="105" t="s">
        <v>4214</v>
      </c>
      <c r="D306" s="149" t="s">
        <v>3062</v>
      </c>
      <c r="E306" s="105">
        <v>1</v>
      </c>
      <c r="F306" s="133">
        <v>44.8</v>
      </c>
      <c r="G306" s="133">
        <v>51.75</v>
      </c>
      <c r="H306" s="109">
        <f t="shared" si="13"/>
        <v>51.75</v>
      </c>
      <c r="I306" s="119"/>
      <c r="J306" s="119">
        <v>0</v>
      </c>
      <c r="K306" s="119">
        <f t="shared" si="14"/>
        <v>51.75</v>
      </c>
      <c r="L306" s="152">
        <f t="shared" si="15"/>
        <v>44.8</v>
      </c>
      <c r="M306" s="113"/>
    </row>
    <row r="307" spans="1:13" x14ac:dyDescent="0.2">
      <c r="A307" s="106" t="s">
        <v>4175</v>
      </c>
      <c r="B307" s="105" t="s">
        <v>4215</v>
      </c>
      <c r="C307" s="105" t="s">
        <v>4214</v>
      </c>
      <c r="D307" s="149" t="s">
        <v>4216</v>
      </c>
      <c r="E307" s="105">
        <v>1</v>
      </c>
      <c r="F307" s="133">
        <v>37.799999999999997</v>
      </c>
      <c r="G307" s="133">
        <v>43.5</v>
      </c>
      <c r="H307" s="109">
        <f t="shared" si="13"/>
        <v>43.5</v>
      </c>
      <c r="I307" s="119"/>
      <c r="J307" s="119">
        <v>0</v>
      </c>
      <c r="K307" s="119">
        <f t="shared" si="14"/>
        <v>43.5</v>
      </c>
      <c r="L307" s="152">
        <f t="shared" si="15"/>
        <v>37.799999999999997</v>
      </c>
      <c r="M307" s="113"/>
    </row>
    <row r="308" spans="1:13" x14ac:dyDescent="0.2">
      <c r="A308" s="106" t="s">
        <v>4217</v>
      </c>
      <c r="B308" s="105" t="s">
        <v>2742</v>
      </c>
      <c r="C308" s="105" t="s">
        <v>4218</v>
      </c>
      <c r="D308" s="149" t="s">
        <v>2743</v>
      </c>
      <c r="E308" s="105">
        <v>1</v>
      </c>
      <c r="F308" s="133">
        <v>16.03</v>
      </c>
      <c r="G308" s="133">
        <v>18.5</v>
      </c>
      <c r="H308" s="109">
        <f t="shared" si="13"/>
        <v>18.5</v>
      </c>
      <c r="I308" s="119"/>
      <c r="J308" s="119">
        <v>0</v>
      </c>
      <c r="K308" s="119">
        <f t="shared" si="14"/>
        <v>18.5</v>
      </c>
      <c r="L308" s="152">
        <f t="shared" si="15"/>
        <v>16.03</v>
      </c>
      <c r="M308" s="113"/>
    </row>
    <row r="309" spans="1:13" x14ac:dyDescent="0.2">
      <c r="A309" s="106" t="s">
        <v>4217</v>
      </c>
      <c r="B309" s="105" t="s">
        <v>2809</v>
      </c>
      <c r="C309" s="105" t="s">
        <v>4219</v>
      </c>
      <c r="D309" s="149" t="s">
        <v>2810</v>
      </c>
      <c r="E309" s="105">
        <v>1</v>
      </c>
      <c r="F309" s="133">
        <v>53.81</v>
      </c>
      <c r="G309" s="133">
        <v>62</v>
      </c>
      <c r="H309" s="109">
        <f t="shared" si="13"/>
        <v>62</v>
      </c>
      <c r="I309" s="119"/>
      <c r="J309" s="119">
        <v>0</v>
      </c>
      <c r="K309" s="119">
        <f t="shared" si="14"/>
        <v>62</v>
      </c>
      <c r="L309" s="152">
        <f t="shared" si="15"/>
        <v>53.81</v>
      </c>
      <c r="M309" s="113"/>
    </row>
    <row r="310" spans="1:13" x14ac:dyDescent="0.2">
      <c r="A310" s="106" t="s">
        <v>4217</v>
      </c>
      <c r="B310" s="105" t="s">
        <v>2908</v>
      </c>
      <c r="C310" s="105" t="s">
        <v>4220</v>
      </c>
      <c r="D310" s="149" t="s">
        <v>2910</v>
      </c>
      <c r="E310" s="105">
        <v>6</v>
      </c>
      <c r="F310" s="133">
        <v>0.76</v>
      </c>
      <c r="G310" s="133">
        <v>1</v>
      </c>
      <c r="H310" s="109">
        <f t="shared" si="13"/>
        <v>6</v>
      </c>
      <c r="I310" s="119"/>
      <c r="J310" s="119">
        <v>0</v>
      </c>
      <c r="K310" s="119">
        <f t="shared" si="14"/>
        <v>6</v>
      </c>
      <c r="L310" s="152">
        <f t="shared" si="15"/>
        <v>4.5600000000000005</v>
      </c>
      <c r="M310" s="113"/>
    </row>
    <row r="311" spans="1:13" x14ac:dyDescent="0.2">
      <c r="A311" s="106" t="s">
        <v>4217</v>
      </c>
      <c r="B311" s="105" t="s">
        <v>2323</v>
      </c>
      <c r="C311" s="105" t="s">
        <v>4220</v>
      </c>
      <c r="D311" s="149" t="s">
        <v>2325</v>
      </c>
      <c r="E311" s="105">
        <v>1</v>
      </c>
      <c r="F311" s="133">
        <v>19.100000000000001</v>
      </c>
      <c r="G311" s="133">
        <v>22</v>
      </c>
      <c r="H311" s="109">
        <f t="shared" si="13"/>
        <v>22</v>
      </c>
      <c r="I311" s="119"/>
      <c r="J311" s="119">
        <v>0</v>
      </c>
      <c r="K311" s="119">
        <f t="shared" si="14"/>
        <v>22</v>
      </c>
      <c r="L311" s="152">
        <f t="shared" si="15"/>
        <v>19.100000000000001</v>
      </c>
      <c r="M311" s="113"/>
    </row>
    <row r="312" spans="1:13" x14ac:dyDescent="0.2">
      <c r="A312" s="106" t="s">
        <v>4217</v>
      </c>
      <c r="B312" s="105" t="s">
        <v>4221</v>
      </c>
      <c r="C312" s="105" t="s">
        <v>4220</v>
      </c>
      <c r="D312" s="149" t="s">
        <v>4222</v>
      </c>
      <c r="E312" s="105">
        <v>2</v>
      </c>
      <c r="F312" s="133">
        <v>7</v>
      </c>
      <c r="G312" s="133">
        <v>9.5</v>
      </c>
      <c r="H312" s="109">
        <f t="shared" si="13"/>
        <v>19</v>
      </c>
      <c r="I312" s="119"/>
      <c r="J312" s="119">
        <v>0</v>
      </c>
      <c r="K312" s="119">
        <f t="shared" si="14"/>
        <v>19</v>
      </c>
      <c r="L312" s="152">
        <f t="shared" si="15"/>
        <v>14</v>
      </c>
      <c r="M312" s="113"/>
    </row>
    <row r="313" spans="1:13" x14ac:dyDescent="0.2">
      <c r="A313" s="106" t="s">
        <v>4217</v>
      </c>
      <c r="B313" s="105" t="s">
        <v>4156</v>
      </c>
      <c r="C313" s="105" t="s">
        <v>4220</v>
      </c>
      <c r="D313" s="149" t="s">
        <v>4157</v>
      </c>
      <c r="E313" s="105">
        <v>2</v>
      </c>
      <c r="F313" s="133">
        <v>6.03</v>
      </c>
      <c r="G313" s="133">
        <v>7</v>
      </c>
      <c r="H313" s="109">
        <f t="shared" si="13"/>
        <v>14</v>
      </c>
      <c r="I313" s="119"/>
      <c r="J313" s="119">
        <v>0</v>
      </c>
      <c r="K313" s="119">
        <f t="shared" si="14"/>
        <v>14</v>
      </c>
      <c r="L313" s="152">
        <f t="shared" si="15"/>
        <v>12.06</v>
      </c>
      <c r="M313" s="113"/>
    </row>
    <row r="314" spans="1:13" x14ac:dyDescent="0.2">
      <c r="A314" s="106" t="s">
        <v>4217</v>
      </c>
      <c r="B314" s="105" t="s">
        <v>2193</v>
      </c>
      <c r="C314" s="105" t="s">
        <v>4220</v>
      </c>
      <c r="D314" s="149" t="s">
        <v>2195</v>
      </c>
      <c r="E314" s="105">
        <v>1</v>
      </c>
      <c r="F314" s="133">
        <v>20.68</v>
      </c>
      <c r="G314" s="133">
        <v>24</v>
      </c>
      <c r="H314" s="109">
        <f t="shared" si="13"/>
        <v>24</v>
      </c>
      <c r="I314" s="119"/>
      <c r="J314" s="119">
        <v>0</v>
      </c>
      <c r="K314" s="119">
        <f t="shared" si="14"/>
        <v>24</v>
      </c>
      <c r="L314" s="152">
        <f t="shared" si="15"/>
        <v>20.68</v>
      </c>
      <c r="M314" s="113"/>
    </row>
    <row r="315" spans="1:13" x14ac:dyDescent="0.2">
      <c r="A315" s="106" t="s">
        <v>4217</v>
      </c>
      <c r="B315" s="105" t="s">
        <v>3634</v>
      </c>
      <c r="C315" s="105" t="s">
        <v>4223</v>
      </c>
      <c r="D315" s="149" t="s">
        <v>3636</v>
      </c>
      <c r="E315" s="105">
        <v>1</v>
      </c>
      <c r="F315" s="133">
        <v>8.5299999999999994</v>
      </c>
      <c r="G315" s="133">
        <v>10</v>
      </c>
      <c r="H315" s="109">
        <f t="shared" si="13"/>
        <v>10</v>
      </c>
      <c r="I315" s="119"/>
      <c r="J315" s="119">
        <v>0</v>
      </c>
      <c r="K315" s="119">
        <f t="shared" si="14"/>
        <v>10</v>
      </c>
      <c r="L315" s="152">
        <f t="shared" si="15"/>
        <v>8.5299999999999994</v>
      </c>
      <c r="M315" s="113"/>
    </row>
    <row r="316" spans="1:13" x14ac:dyDescent="0.2">
      <c r="A316" s="106" t="s">
        <v>4217</v>
      </c>
      <c r="B316" s="105" t="s">
        <v>3078</v>
      </c>
      <c r="C316" s="105" t="s">
        <v>4224</v>
      </c>
      <c r="D316" s="149" t="s">
        <v>3080</v>
      </c>
      <c r="E316" s="105">
        <v>1</v>
      </c>
      <c r="F316" s="133">
        <v>58.84</v>
      </c>
      <c r="G316" s="133">
        <v>67.75</v>
      </c>
      <c r="H316" s="109">
        <f t="shared" si="13"/>
        <v>67.75</v>
      </c>
      <c r="I316" s="119"/>
      <c r="J316" s="119">
        <v>0</v>
      </c>
      <c r="K316" s="119">
        <f t="shared" si="14"/>
        <v>67.75</v>
      </c>
      <c r="L316" s="152">
        <f t="shared" si="15"/>
        <v>58.84</v>
      </c>
      <c r="M316" s="113"/>
    </row>
    <row r="317" spans="1:13" x14ac:dyDescent="0.2">
      <c r="A317" s="106" t="s">
        <v>4217</v>
      </c>
      <c r="B317" s="105" t="s">
        <v>2193</v>
      </c>
      <c r="C317" s="105" t="s">
        <v>4225</v>
      </c>
      <c r="D317" s="149" t="s">
        <v>2195</v>
      </c>
      <c r="E317" s="105">
        <v>1</v>
      </c>
      <c r="F317" s="133">
        <v>20.68</v>
      </c>
      <c r="G317" s="133">
        <v>24</v>
      </c>
      <c r="H317" s="109">
        <f t="shared" si="13"/>
        <v>24</v>
      </c>
      <c r="I317" s="119"/>
      <c r="J317" s="119">
        <v>0</v>
      </c>
      <c r="K317" s="119">
        <f t="shared" si="14"/>
        <v>24</v>
      </c>
      <c r="L317" s="152">
        <f t="shared" si="15"/>
        <v>20.68</v>
      </c>
      <c r="M317" s="113"/>
    </row>
    <row r="318" spans="1:13" x14ac:dyDescent="0.2">
      <c r="A318" s="106" t="s">
        <v>4217</v>
      </c>
      <c r="B318" s="105" t="s">
        <v>3078</v>
      </c>
      <c r="C318" s="105" t="s">
        <v>4226</v>
      </c>
      <c r="D318" s="149" t="s">
        <v>3080</v>
      </c>
      <c r="E318" s="105">
        <v>1</v>
      </c>
      <c r="F318" s="133">
        <v>58.84</v>
      </c>
      <c r="G318" s="133">
        <v>67.75</v>
      </c>
      <c r="H318" s="109">
        <f t="shared" si="13"/>
        <v>67.75</v>
      </c>
      <c r="I318" s="119"/>
      <c r="J318" s="119">
        <v>0</v>
      </c>
      <c r="K318" s="119">
        <f t="shared" si="14"/>
        <v>67.75</v>
      </c>
      <c r="L318" s="152">
        <f t="shared" si="15"/>
        <v>58.84</v>
      </c>
      <c r="M318" s="113"/>
    </row>
    <row r="319" spans="1:13" x14ac:dyDescent="0.2">
      <c r="A319" s="106" t="s">
        <v>4217</v>
      </c>
      <c r="B319" s="105" t="s">
        <v>2022</v>
      </c>
      <c r="C319" s="105" t="s">
        <v>4227</v>
      </c>
      <c r="D319" s="149" t="s">
        <v>2024</v>
      </c>
      <c r="E319" s="105">
        <v>1</v>
      </c>
      <c r="F319" s="133">
        <v>29.9</v>
      </c>
      <c r="G319" s="133">
        <v>34.5</v>
      </c>
      <c r="H319" s="109">
        <f t="shared" si="13"/>
        <v>34.5</v>
      </c>
      <c r="I319" s="119"/>
      <c r="J319" s="119">
        <v>0</v>
      </c>
      <c r="K319" s="119">
        <f t="shared" si="14"/>
        <v>34.5</v>
      </c>
      <c r="L319" s="152">
        <f t="shared" si="15"/>
        <v>29.9</v>
      </c>
      <c r="M319" s="113"/>
    </row>
    <row r="320" spans="1:13" x14ac:dyDescent="0.2">
      <c r="A320" s="106" t="s">
        <v>4217</v>
      </c>
      <c r="B320" s="105" t="s">
        <v>2323</v>
      </c>
      <c r="C320" s="105" t="s">
        <v>4228</v>
      </c>
      <c r="D320" s="149" t="s">
        <v>2325</v>
      </c>
      <c r="E320" s="105">
        <v>1</v>
      </c>
      <c r="F320" s="133">
        <v>19.100000000000001</v>
      </c>
      <c r="G320" s="133">
        <v>22</v>
      </c>
      <c r="H320" s="109">
        <f t="shared" si="13"/>
        <v>22</v>
      </c>
      <c r="I320" s="119"/>
      <c r="J320" s="119">
        <v>0</v>
      </c>
      <c r="K320" s="119">
        <f t="shared" si="14"/>
        <v>22</v>
      </c>
      <c r="L320" s="152">
        <f t="shared" si="15"/>
        <v>19.100000000000001</v>
      </c>
      <c r="M320" s="113"/>
    </row>
    <row r="321" spans="1:13" x14ac:dyDescent="0.2">
      <c r="A321" s="106" t="s">
        <v>4217</v>
      </c>
      <c r="B321" s="105" t="s">
        <v>1958</v>
      </c>
      <c r="C321" s="105" t="s">
        <v>4229</v>
      </c>
      <c r="D321" s="149" t="s">
        <v>1960</v>
      </c>
      <c r="E321" s="105">
        <v>1</v>
      </c>
      <c r="F321" s="133">
        <v>20.399999999999999</v>
      </c>
      <c r="G321" s="133">
        <v>23.5</v>
      </c>
      <c r="H321" s="109">
        <f t="shared" si="13"/>
        <v>23.5</v>
      </c>
      <c r="I321" s="119"/>
      <c r="J321" s="119">
        <v>0</v>
      </c>
      <c r="K321" s="119">
        <f t="shared" si="14"/>
        <v>23.5</v>
      </c>
      <c r="L321" s="152">
        <f t="shared" si="15"/>
        <v>20.399999999999999</v>
      </c>
      <c r="M321" s="113"/>
    </row>
    <row r="322" spans="1:13" x14ac:dyDescent="0.2">
      <c r="A322" s="106" t="s">
        <v>4217</v>
      </c>
      <c r="B322" s="105" t="s">
        <v>1915</v>
      </c>
      <c r="C322" s="105" t="s">
        <v>4230</v>
      </c>
      <c r="D322" s="149" t="s">
        <v>1917</v>
      </c>
      <c r="E322" s="105">
        <v>1</v>
      </c>
      <c r="F322" s="133">
        <v>7.85</v>
      </c>
      <c r="G322" s="133">
        <v>12</v>
      </c>
      <c r="H322" s="109">
        <f t="shared" si="13"/>
        <v>12</v>
      </c>
      <c r="I322" s="119"/>
      <c r="J322" s="119">
        <v>0</v>
      </c>
      <c r="K322" s="119">
        <f t="shared" si="14"/>
        <v>12</v>
      </c>
      <c r="L322" s="152">
        <f t="shared" si="15"/>
        <v>7.85</v>
      </c>
      <c r="M322" s="113"/>
    </row>
    <row r="323" spans="1:13" x14ac:dyDescent="0.2">
      <c r="A323" s="106" t="s">
        <v>4217</v>
      </c>
      <c r="B323" s="105" t="s">
        <v>3314</v>
      </c>
      <c r="C323" s="105" t="s">
        <v>4231</v>
      </c>
      <c r="D323" s="149" t="s">
        <v>3316</v>
      </c>
      <c r="E323" s="105">
        <v>1</v>
      </c>
      <c r="F323" s="133">
        <v>15.68</v>
      </c>
      <c r="G323" s="133">
        <v>18</v>
      </c>
      <c r="H323" s="109">
        <f t="shared" si="13"/>
        <v>18</v>
      </c>
      <c r="I323" s="119"/>
      <c r="J323" s="119">
        <v>0</v>
      </c>
      <c r="K323" s="119">
        <f t="shared" si="14"/>
        <v>18</v>
      </c>
      <c r="L323" s="152">
        <f t="shared" si="15"/>
        <v>15.68</v>
      </c>
      <c r="M323" s="113"/>
    </row>
    <row r="324" spans="1:13" x14ac:dyDescent="0.2">
      <c r="A324" s="106" t="s">
        <v>4217</v>
      </c>
      <c r="B324" s="105" t="s">
        <v>2908</v>
      </c>
      <c r="C324" s="105" t="s">
        <v>4232</v>
      </c>
      <c r="D324" s="149" t="s">
        <v>2910</v>
      </c>
      <c r="E324" s="105">
        <v>5</v>
      </c>
      <c r="F324" s="133">
        <v>0.76</v>
      </c>
      <c r="G324" s="133">
        <v>1</v>
      </c>
      <c r="H324" s="109">
        <f t="shared" si="13"/>
        <v>5</v>
      </c>
      <c r="I324" s="119"/>
      <c r="J324" s="119">
        <v>0</v>
      </c>
      <c r="K324" s="119">
        <f t="shared" si="14"/>
        <v>5</v>
      </c>
      <c r="L324" s="152">
        <f t="shared" si="15"/>
        <v>3.8</v>
      </c>
      <c r="M324" s="113"/>
    </row>
    <row r="325" spans="1:13" x14ac:dyDescent="0.2">
      <c r="A325" s="106" t="s">
        <v>4217</v>
      </c>
      <c r="B325" s="105" t="s">
        <v>4156</v>
      </c>
      <c r="C325" s="105" t="s">
        <v>4233</v>
      </c>
      <c r="D325" s="149" t="s">
        <v>4157</v>
      </c>
      <c r="E325" s="105">
        <v>1</v>
      </c>
      <c r="F325" s="133">
        <v>6.03</v>
      </c>
      <c r="G325" s="133">
        <v>7</v>
      </c>
      <c r="H325" s="109">
        <f t="shared" si="13"/>
        <v>7</v>
      </c>
      <c r="I325" s="119"/>
      <c r="J325" s="119">
        <v>0</v>
      </c>
      <c r="K325" s="119">
        <f t="shared" si="14"/>
        <v>7</v>
      </c>
      <c r="L325" s="152">
        <f t="shared" si="15"/>
        <v>6.03</v>
      </c>
      <c r="M325" s="113"/>
    </row>
    <row r="326" spans="1:13" x14ac:dyDescent="0.2">
      <c r="A326" s="106" t="s">
        <v>4234</v>
      </c>
      <c r="B326" s="105" t="s">
        <v>1861</v>
      </c>
      <c r="C326" s="105" t="s">
        <v>4235</v>
      </c>
      <c r="D326" s="149" t="s">
        <v>1862</v>
      </c>
      <c r="E326" s="105">
        <v>2</v>
      </c>
      <c r="F326" s="133">
        <v>15.65</v>
      </c>
      <c r="G326" s="133">
        <v>18</v>
      </c>
      <c r="H326" s="109">
        <f t="shared" si="13"/>
        <v>36</v>
      </c>
      <c r="I326" s="119"/>
      <c r="J326" s="119">
        <v>0</v>
      </c>
      <c r="K326" s="119">
        <f t="shared" si="14"/>
        <v>36</v>
      </c>
      <c r="L326" s="152">
        <f t="shared" si="15"/>
        <v>31.3</v>
      </c>
      <c r="M326" s="113"/>
    </row>
    <row r="327" spans="1:13" x14ac:dyDescent="0.2">
      <c r="A327" s="106" t="s">
        <v>4234</v>
      </c>
      <c r="B327" s="105" t="s">
        <v>3413</v>
      </c>
      <c r="C327" s="105" t="s">
        <v>4235</v>
      </c>
      <c r="D327" s="149" t="s">
        <v>3414</v>
      </c>
      <c r="E327" s="105">
        <v>1</v>
      </c>
      <c r="F327" s="133">
        <v>33.1</v>
      </c>
      <c r="G327" s="133">
        <v>38.25</v>
      </c>
      <c r="H327" s="109">
        <f t="shared" ref="H327:H390" si="16">E327*G327</f>
        <v>38.25</v>
      </c>
      <c r="I327" s="119"/>
      <c r="J327" s="119">
        <v>0</v>
      </c>
      <c r="K327" s="119">
        <f t="shared" ref="K327:K390" si="17">H327+I327-J327</f>
        <v>38.25</v>
      </c>
      <c r="L327" s="152">
        <f t="shared" ref="L327:L390" si="18">E327*F327</f>
        <v>33.1</v>
      </c>
      <c r="M327" s="113"/>
    </row>
    <row r="328" spans="1:13" x14ac:dyDescent="0.2">
      <c r="A328" s="106" t="s">
        <v>4234</v>
      </c>
      <c r="B328" s="105" t="s">
        <v>1802</v>
      </c>
      <c r="C328" s="105" t="s">
        <v>4235</v>
      </c>
      <c r="D328" s="149" t="s">
        <v>1803</v>
      </c>
      <c r="E328" s="105">
        <v>2</v>
      </c>
      <c r="F328" s="133">
        <v>7.51</v>
      </c>
      <c r="G328" s="133">
        <v>8.75</v>
      </c>
      <c r="H328" s="109">
        <f t="shared" si="16"/>
        <v>17.5</v>
      </c>
      <c r="I328" s="119"/>
      <c r="J328" s="119">
        <v>0</v>
      </c>
      <c r="K328" s="119">
        <f t="shared" si="17"/>
        <v>17.5</v>
      </c>
      <c r="L328" s="152">
        <f t="shared" si="18"/>
        <v>15.02</v>
      </c>
      <c r="M328" s="113"/>
    </row>
    <row r="329" spans="1:13" x14ac:dyDescent="0.2">
      <c r="A329" s="106" t="s">
        <v>4234</v>
      </c>
      <c r="B329" s="105" t="s">
        <v>4068</v>
      </c>
      <c r="C329" s="105" t="s">
        <v>4236</v>
      </c>
      <c r="D329" s="149" t="s">
        <v>4070</v>
      </c>
      <c r="E329" s="105">
        <v>1</v>
      </c>
      <c r="F329" s="133">
        <v>20.57</v>
      </c>
      <c r="G329" s="133">
        <v>23.75</v>
      </c>
      <c r="H329" s="109">
        <f t="shared" si="16"/>
        <v>23.75</v>
      </c>
      <c r="I329" s="119"/>
      <c r="J329" s="119">
        <v>0</v>
      </c>
      <c r="K329" s="119">
        <f t="shared" si="17"/>
        <v>23.75</v>
      </c>
      <c r="L329" s="152">
        <f t="shared" si="18"/>
        <v>20.57</v>
      </c>
      <c r="M329" s="113"/>
    </row>
    <row r="330" spans="1:13" x14ac:dyDescent="0.2">
      <c r="A330" s="106" t="s">
        <v>4234</v>
      </c>
      <c r="B330" s="105" t="s">
        <v>3753</v>
      </c>
      <c r="C330" s="105" t="s">
        <v>4236</v>
      </c>
      <c r="D330" s="149" t="s">
        <v>3755</v>
      </c>
      <c r="E330" s="105">
        <v>3</v>
      </c>
      <c r="F330" s="133">
        <v>18.98</v>
      </c>
      <c r="G330" s="133">
        <v>22</v>
      </c>
      <c r="H330" s="109">
        <f t="shared" si="16"/>
        <v>66</v>
      </c>
      <c r="I330" s="119"/>
      <c r="J330" s="119">
        <v>0</v>
      </c>
      <c r="K330" s="119">
        <f t="shared" si="17"/>
        <v>66</v>
      </c>
      <c r="L330" s="152">
        <f t="shared" si="18"/>
        <v>56.94</v>
      </c>
      <c r="M330" s="113"/>
    </row>
    <row r="331" spans="1:13" x14ac:dyDescent="0.2">
      <c r="A331" s="106" t="s">
        <v>4234</v>
      </c>
      <c r="B331" s="105" t="s">
        <v>4237</v>
      </c>
      <c r="C331" s="105" t="s">
        <v>4236</v>
      </c>
      <c r="D331" s="149" t="s">
        <v>4238</v>
      </c>
      <c r="E331" s="105">
        <v>2</v>
      </c>
      <c r="F331" s="133">
        <v>4.8</v>
      </c>
      <c r="G331" s="133">
        <v>5.75</v>
      </c>
      <c r="H331" s="109">
        <f t="shared" si="16"/>
        <v>11.5</v>
      </c>
      <c r="I331" s="119"/>
      <c r="J331" s="119">
        <v>0</v>
      </c>
      <c r="K331" s="119">
        <f t="shared" si="17"/>
        <v>11.5</v>
      </c>
      <c r="L331" s="152">
        <f t="shared" si="18"/>
        <v>9.6</v>
      </c>
      <c r="M331" s="113"/>
    </row>
    <row r="332" spans="1:13" x14ac:dyDescent="0.2">
      <c r="A332" s="106" t="s">
        <v>4234</v>
      </c>
      <c r="B332" s="105" t="s">
        <v>2367</v>
      </c>
      <c r="C332" s="105" t="s">
        <v>4236</v>
      </c>
      <c r="D332" s="149" t="s">
        <v>2369</v>
      </c>
      <c r="E332" s="105">
        <v>6</v>
      </c>
      <c r="F332" s="133">
        <v>6.38</v>
      </c>
      <c r="G332" s="133">
        <v>7.5</v>
      </c>
      <c r="H332" s="109">
        <f t="shared" si="16"/>
        <v>45</v>
      </c>
      <c r="I332" s="119"/>
      <c r="J332" s="119">
        <v>0</v>
      </c>
      <c r="K332" s="119">
        <f t="shared" si="17"/>
        <v>45</v>
      </c>
      <c r="L332" s="152">
        <f t="shared" si="18"/>
        <v>38.28</v>
      </c>
      <c r="M332" s="113"/>
    </row>
    <row r="333" spans="1:13" x14ac:dyDescent="0.2">
      <c r="A333" s="106" t="s">
        <v>4234</v>
      </c>
      <c r="B333" s="105" t="s">
        <v>4150</v>
      </c>
      <c r="C333" s="105" t="s">
        <v>4239</v>
      </c>
      <c r="D333" s="149" t="s">
        <v>4152</v>
      </c>
      <c r="E333" s="105">
        <v>1</v>
      </c>
      <c r="F333" s="133">
        <v>14.82</v>
      </c>
      <c r="G333" s="133">
        <v>17.25</v>
      </c>
      <c r="H333" s="109">
        <f t="shared" si="16"/>
        <v>17.25</v>
      </c>
      <c r="I333" s="119"/>
      <c r="J333" s="119">
        <v>0</v>
      </c>
      <c r="K333" s="119">
        <f t="shared" si="17"/>
        <v>17.25</v>
      </c>
      <c r="L333" s="152">
        <f t="shared" si="18"/>
        <v>14.82</v>
      </c>
      <c r="M333" s="113"/>
    </row>
    <row r="334" spans="1:13" x14ac:dyDescent="0.2">
      <c r="A334" s="106" t="s">
        <v>4234</v>
      </c>
      <c r="B334" s="105" t="s">
        <v>2115</v>
      </c>
      <c r="C334" s="105" t="s">
        <v>4240</v>
      </c>
      <c r="D334" s="149" t="s">
        <v>2117</v>
      </c>
      <c r="E334" s="105">
        <v>1</v>
      </c>
      <c r="F334" s="133">
        <v>84.85</v>
      </c>
      <c r="G334" s="133">
        <v>94</v>
      </c>
      <c r="H334" s="109">
        <f t="shared" si="16"/>
        <v>94</v>
      </c>
      <c r="I334" s="119"/>
      <c r="J334" s="119">
        <v>0</v>
      </c>
      <c r="K334" s="119">
        <f t="shared" si="17"/>
        <v>94</v>
      </c>
      <c r="L334" s="152">
        <f t="shared" si="18"/>
        <v>84.85</v>
      </c>
      <c r="M334" s="113"/>
    </row>
    <row r="335" spans="1:13" x14ac:dyDescent="0.2">
      <c r="A335" s="106" t="s">
        <v>4234</v>
      </c>
      <c r="B335" s="105" t="s">
        <v>4241</v>
      </c>
      <c r="C335" s="105" t="s">
        <v>4240</v>
      </c>
      <c r="D335" s="149" t="s">
        <v>4242</v>
      </c>
      <c r="E335" s="105">
        <v>2</v>
      </c>
      <c r="F335" s="133">
        <v>18.5</v>
      </c>
      <c r="G335" s="133">
        <v>21.5</v>
      </c>
      <c r="H335" s="109">
        <f t="shared" si="16"/>
        <v>43</v>
      </c>
      <c r="I335" s="119"/>
      <c r="J335" s="119">
        <v>0</v>
      </c>
      <c r="K335" s="119">
        <f t="shared" si="17"/>
        <v>43</v>
      </c>
      <c r="L335" s="152">
        <f t="shared" si="18"/>
        <v>37</v>
      </c>
      <c r="M335" s="113"/>
    </row>
    <row r="336" spans="1:13" x14ac:dyDescent="0.2">
      <c r="A336" s="106" t="s">
        <v>4234</v>
      </c>
      <c r="B336" s="105" t="s">
        <v>1920</v>
      </c>
      <c r="C336" s="105" t="s">
        <v>4243</v>
      </c>
      <c r="D336" s="149" t="s">
        <v>1921</v>
      </c>
      <c r="E336" s="105">
        <v>1</v>
      </c>
      <c r="F336" s="133">
        <v>13.32</v>
      </c>
      <c r="G336" s="133">
        <v>15.5</v>
      </c>
      <c r="H336" s="109">
        <f t="shared" si="16"/>
        <v>15.5</v>
      </c>
      <c r="I336" s="119"/>
      <c r="J336" s="119">
        <v>0</v>
      </c>
      <c r="K336" s="119">
        <f t="shared" si="17"/>
        <v>15.5</v>
      </c>
      <c r="L336" s="152">
        <f t="shared" si="18"/>
        <v>13.32</v>
      </c>
      <c r="M336" s="113"/>
    </row>
    <row r="337" spans="1:13" x14ac:dyDescent="0.2">
      <c r="A337" s="106" t="s">
        <v>4234</v>
      </c>
      <c r="B337" s="105" t="s">
        <v>2298</v>
      </c>
      <c r="C337" s="105" t="s">
        <v>4244</v>
      </c>
      <c r="D337" s="149" t="s">
        <v>2299</v>
      </c>
      <c r="E337" s="105">
        <v>2</v>
      </c>
      <c r="F337" s="133">
        <v>20.8</v>
      </c>
      <c r="G337" s="133">
        <v>24</v>
      </c>
      <c r="H337" s="109">
        <f t="shared" si="16"/>
        <v>48</v>
      </c>
      <c r="I337" s="119"/>
      <c r="J337" s="119">
        <v>0</v>
      </c>
      <c r="K337" s="119">
        <f t="shared" si="17"/>
        <v>48</v>
      </c>
      <c r="L337" s="152">
        <f t="shared" si="18"/>
        <v>41.6</v>
      </c>
      <c r="M337" s="113"/>
    </row>
    <row r="338" spans="1:13" x14ac:dyDescent="0.2">
      <c r="A338" s="106" t="s">
        <v>4234</v>
      </c>
      <c r="B338" s="105" t="s">
        <v>2124</v>
      </c>
      <c r="C338" s="105" t="s">
        <v>4245</v>
      </c>
      <c r="D338" s="149" t="s">
        <v>2126</v>
      </c>
      <c r="E338" s="105">
        <v>1</v>
      </c>
      <c r="F338" s="133">
        <v>15.5</v>
      </c>
      <c r="G338" s="133">
        <v>18</v>
      </c>
      <c r="H338" s="109">
        <f t="shared" si="16"/>
        <v>18</v>
      </c>
      <c r="I338" s="119"/>
      <c r="J338" s="119">
        <v>0</v>
      </c>
      <c r="K338" s="119">
        <f t="shared" si="17"/>
        <v>18</v>
      </c>
      <c r="L338" s="152">
        <f t="shared" si="18"/>
        <v>15.5</v>
      </c>
      <c r="M338" s="113"/>
    </row>
    <row r="339" spans="1:13" x14ac:dyDescent="0.2">
      <c r="A339" s="106" t="s">
        <v>4234</v>
      </c>
      <c r="B339" s="105" t="s">
        <v>2363</v>
      </c>
      <c r="C339" s="105" t="s">
        <v>4246</v>
      </c>
      <c r="D339" s="149" t="s">
        <v>2365</v>
      </c>
      <c r="E339" s="105">
        <v>1</v>
      </c>
      <c r="F339" s="133">
        <v>12.66</v>
      </c>
      <c r="G339" s="133">
        <v>14.25</v>
      </c>
      <c r="H339" s="109">
        <f t="shared" si="16"/>
        <v>14.25</v>
      </c>
      <c r="I339" s="119"/>
      <c r="J339" s="119">
        <v>0</v>
      </c>
      <c r="K339" s="119">
        <f t="shared" si="17"/>
        <v>14.25</v>
      </c>
      <c r="L339" s="152">
        <f t="shared" si="18"/>
        <v>12.66</v>
      </c>
      <c r="M339" s="113"/>
    </row>
    <row r="340" spans="1:13" x14ac:dyDescent="0.2">
      <c r="A340" s="106" t="s">
        <v>4234</v>
      </c>
      <c r="B340" s="105" t="s">
        <v>1798</v>
      </c>
      <c r="C340" s="105" t="s">
        <v>4247</v>
      </c>
      <c r="D340" s="149" t="s">
        <v>1799</v>
      </c>
      <c r="E340" s="105">
        <v>1</v>
      </c>
      <c r="F340" s="133">
        <v>8.1999999999999993</v>
      </c>
      <c r="G340" s="133">
        <v>9.5</v>
      </c>
      <c r="H340" s="109">
        <f t="shared" si="16"/>
        <v>9.5</v>
      </c>
      <c r="I340" s="119"/>
      <c r="J340" s="119">
        <v>0</v>
      </c>
      <c r="K340" s="119">
        <f t="shared" si="17"/>
        <v>9.5</v>
      </c>
      <c r="L340" s="152">
        <f t="shared" si="18"/>
        <v>8.1999999999999993</v>
      </c>
      <c r="M340" s="113"/>
    </row>
    <row r="341" spans="1:13" x14ac:dyDescent="0.2">
      <c r="A341" s="106" t="s">
        <v>4234</v>
      </c>
      <c r="B341" s="105" t="s">
        <v>2550</v>
      </c>
      <c r="C341" s="105" t="s">
        <v>4248</v>
      </c>
      <c r="D341" s="149" t="s">
        <v>2552</v>
      </c>
      <c r="E341" s="105">
        <v>6</v>
      </c>
      <c r="F341" s="133">
        <v>6.38</v>
      </c>
      <c r="G341" s="133">
        <v>7.5</v>
      </c>
      <c r="H341" s="109">
        <f t="shared" si="16"/>
        <v>45</v>
      </c>
      <c r="I341" s="119"/>
      <c r="J341" s="119">
        <v>0</v>
      </c>
      <c r="K341" s="119">
        <f t="shared" si="17"/>
        <v>45</v>
      </c>
      <c r="L341" s="152">
        <f t="shared" si="18"/>
        <v>38.28</v>
      </c>
      <c r="M341" s="113"/>
    </row>
    <row r="342" spans="1:13" x14ac:dyDescent="0.2">
      <c r="A342" s="106" t="s">
        <v>4234</v>
      </c>
      <c r="B342" s="105" t="s">
        <v>2794</v>
      </c>
      <c r="C342" s="105" t="s">
        <v>4248</v>
      </c>
      <c r="D342" s="149" t="s">
        <v>2795</v>
      </c>
      <c r="E342" s="105">
        <v>1</v>
      </c>
      <c r="F342" s="133">
        <v>23.15</v>
      </c>
      <c r="G342" s="133">
        <v>27</v>
      </c>
      <c r="H342" s="109">
        <f t="shared" si="16"/>
        <v>27</v>
      </c>
      <c r="I342" s="119"/>
      <c r="J342" s="119">
        <v>0</v>
      </c>
      <c r="K342" s="119">
        <f t="shared" si="17"/>
        <v>27</v>
      </c>
      <c r="L342" s="152">
        <f t="shared" si="18"/>
        <v>23.15</v>
      </c>
      <c r="M342" s="113"/>
    </row>
    <row r="343" spans="1:13" x14ac:dyDescent="0.2">
      <c r="A343" s="106" t="s">
        <v>4234</v>
      </c>
      <c r="B343" s="105" t="s">
        <v>2429</v>
      </c>
      <c r="C343" s="105" t="s">
        <v>4248</v>
      </c>
      <c r="D343" s="149" t="s">
        <v>2431</v>
      </c>
      <c r="E343" s="105">
        <v>3</v>
      </c>
      <c r="F343" s="133">
        <v>13.77</v>
      </c>
      <c r="G343" s="133">
        <v>16</v>
      </c>
      <c r="H343" s="109">
        <f t="shared" si="16"/>
        <v>48</v>
      </c>
      <c r="I343" s="119"/>
      <c r="J343" s="119">
        <v>0</v>
      </c>
      <c r="K343" s="119">
        <f t="shared" si="17"/>
        <v>48</v>
      </c>
      <c r="L343" s="152">
        <f t="shared" si="18"/>
        <v>41.31</v>
      </c>
      <c r="M343" s="113"/>
    </row>
    <row r="344" spans="1:13" x14ac:dyDescent="0.2">
      <c r="A344" s="106" t="s">
        <v>4234</v>
      </c>
      <c r="B344" s="105" t="s">
        <v>2836</v>
      </c>
      <c r="C344" s="105" t="s">
        <v>4249</v>
      </c>
      <c r="D344" s="149" t="s">
        <v>2837</v>
      </c>
      <c r="E344" s="105">
        <v>2</v>
      </c>
      <c r="F344" s="133">
        <v>14.65</v>
      </c>
      <c r="G344" s="133">
        <v>17</v>
      </c>
      <c r="H344" s="109">
        <f t="shared" si="16"/>
        <v>34</v>
      </c>
      <c r="I344" s="119"/>
      <c r="J344" s="119">
        <v>0</v>
      </c>
      <c r="K344" s="119">
        <f t="shared" si="17"/>
        <v>34</v>
      </c>
      <c r="L344" s="152">
        <f t="shared" si="18"/>
        <v>29.3</v>
      </c>
      <c r="M344" s="113"/>
    </row>
    <row r="345" spans="1:13" x14ac:dyDescent="0.2">
      <c r="A345" s="106" t="s">
        <v>4234</v>
      </c>
      <c r="B345" s="105" t="s">
        <v>4250</v>
      </c>
      <c r="C345" s="105" t="s">
        <v>4251</v>
      </c>
      <c r="D345" s="149" t="s">
        <v>4252</v>
      </c>
      <c r="E345" s="105">
        <v>2</v>
      </c>
      <c r="F345" s="133">
        <v>6.4</v>
      </c>
      <c r="G345" s="133">
        <v>7.5</v>
      </c>
      <c r="H345" s="109">
        <f t="shared" si="16"/>
        <v>15</v>
      </c>
      <c r="I345" s="119"/>
      <c r="J345" s="119">
        <v>0</v>
      </c>
      <c r="K345" s="119">
        <f t="shared" si="17"/>
        <v>15</v>
      </c>
      <c r="L345" s="152">
        <f t="shared" si="18"/>
        <v>12.8</v>
      </c>
      <c r="M345" s="113"/>
    </row>
    <row r="346" spans="1:13" x14ac:dyDescent="0.2">
      <c r="A346" s="106" t="s">
        <v>4234</v>
      </c>
      <c r="B346" s="105" t="s">
        <v>4253</v>
      </c>
      <c r="C346" s="105" t="s">
        <v>4251</v>
      </c>
      <c r="D346" s="149" t="s">
        <v>4254</v>
      </c>
      <c r="E346" s="105">
        <v>2</v>
      </c>
      <c r="F346" s="133">
        <v>6.4</v>
      </c>
      <c r="G346" s="133">
        <v>7.5</v>
      </c>
      <c r="H346" s="109">
        <f t="shared" si="16"/>
        <v>15</v>
      </c>
      <c r="I346" s="119"/>
      <c r="J346" s="119">
        <v>0</v>
      </c>
      <c r="K346" s="119">
        <f t="shared" si="17"/>
        <v>15</v>
      </c>
      <c r="L346" s="152">
        <f t="shared" si="18"/>
        <v>12.8</v>
      </c>
      <c r="M346" s="113"/>
    </row>
    <row r="347" spans="1:13" x14ac:dyDescent="0.2">
      <c r="A347" s="106" t="s">
        <v>4234</v>
      </c>
      <c r="B347" s="105" t="s">
        <v>2498</v>
      </c>
      <c r="C347" s="105" t="s">
        <v>4255</v>
      </c>
      <c r="D347" s="149" t="s">
        <v>2499</v>
      </c>
      <c r="E347" s="105">
        <v>1</v>
      </c>
      <c r="F347" s="133">
        <v>71.75</v>
      </c>
      <c r="G347" s="133">
        <v>84.5</v>
      </c>
      <c r="H347" s="109">
        <f t="shared" si="16"/>
        <v>84.5</v>
      </c>
      <c r="I347" s="119"/>
      <c r="J347" s="119">
        <v>0</v>
      </c>
      <c r="K347" s="119">
        <f t="shared" si="17"/>
        <v>84.5</v>
      </c>
      <c r="L347" s="152">
        <f t="shared" si="18"/>
        <v>71.75</v>
      </c>
      <c r="M347" s="113"/>
    </row>
    <row r="348" spans="1:13" x14ac:dyDescent="0.2">
      <c r="A348" s="106" t="s">
        <v>4234</v>
      </c>
      <c r="B348" s="105" t="s">
        <v>2694</v>
      </c>
      <c r="C348" s="105" t="s">
        <v>4256</v>
      </c>
      <c r="D348" s="149" t="s">
        <v>2695</v>
      </c>
      <c r="E348" s="105">
        <v>2</v>
      </c>
      <c r="F348" s="133">
        <v>64.489999999999995</v>
      </c>
      <c r="G348" s="133">
        <v>74.25</v>
      </c>
      <c r="H348" s="109">
        <f t="shared" si="16"/>
        <v>148.5</v>
      </c>
      <c r="I348" s="119"/>
      <c r="J348" s="119">
        <v>0</v>
      </c>
      <c r="K348" s="119">
        <f t="shared" si="17"/>
        <v>148.5</v>
      </c>
      <c r="L348" s="152">
        <f t="shared" si="18"/>
        <v>128.97999999999999</v>
      </c>
      <c r="M348" s="113"/>
    </row>
    <row r="349" spans="1:13" x14ac:dyDescent="0.2">
      <c r="A349" s="106" t="s">
        <v>4234</v>
      </c>
      <c r="B349" s="105" t="s">
        <v>2809</v>
      </c>
      <c r="C349" s="105" t="s">
        <v>4256</v>
      </c>
      <c r="D349" s="149" t="s">
        <v>2810</v>
      </c>
      <c r="E349" s="105">
        <v>1</v>
      </c>
      <c r="F349" s="133">
        <v>53.81</v>
      </c>
      <c r="G349" s="133">
        <v>62</v>
      </c>
      <c r="H349" s="109">
        <f t="shared" si="16"/>
        <v>62</v>
      </c>
      <c r="I349" s="119"/>
      <c r="J349" s="119">
        <v>0</v>
      </c>
      <c r="K349" s="119">
        <f t="shared" si="17"/>
        <v>62</v>
      </c>
      <c r="L349" s="152">
        <f t="shared" si="18"/>
        <v>53.81</v>
      </c>
      <c r="M349" s="113"/>
    </row>
    <row r="350" spans="1:13" x14ac:dyDescent="0.2">
      <c r="A350" s="106" t="s">
        <v>4234</v>
      </c>
      <c r="B350" s="105" t="s">
        <v>2162</v>
      </c>
      <c r="C350" s="105" t="s">
        <v>4256</v>
      </c>
      <c r="D350" s="149" t="s">
        <v>2163</v>
      </c>
      <c r="E350" s="105">
        <v>1</v>
      </c>
      <c r="F350" s="133">
        <v>67.290000000000006</v>
      </c>
      <c r="G350" s="133">
        <v>77.5</v>
      </c>
      <c r="H350" s="109">
        <f t="shared" si="16"/>
        <v>77.5</v>
      </c>
      <c r="I350" s="119"/>
      <c r="J350" s="119">
        <v>0</v>
      </c>
      <c r="K350" s="119">
        <f t="shared" si="17"/>
        <v>77.5</v>
      </c>
      <c r="L350" s="152">
        <f t="shared" si="18"/>
        <v>67.290000000000006</v>
      </c>
      <c r="M350" s="113"/>
    </row>
    <row r="351" spans="1:13" x14ac:dyDescent="0.2">
      <c r="A351" s="106" t="s">
        <v>4234</v>
      </c>
      <c r="B351" s="105" t="s">
        <v>2698</v>
      </c>
      <c r="C351" s="105" t="s">
        <v>4256</v>
      </c>
      <c r="D351" s="149" t="s">
        <v>2699</v>
      </c>
      <c r="E351" s="105">
        <v>2</v>
      </c>
      <c r="F351" s="133">
        <v>32.75</v>
      </c>
      <c r="G351" s="133">
        <v>38.75</v>
      </c>
      <c r="H351" s="109">
        <f t="shared" si="16"/>
        <v>77.5</v>
      </c>
      <c r="I351" s="119"/>
      <c r="J351" s="119">
        <v>0</v>
      </c>
      <c r="K351" s="119">
        <f t="shared" si="17"/>
        <v>77.5</v>
      </c>
      <c r="L351" s="152">
        <f t="shared" si="18"/>
        <v>65.5</v>
      </c>
      <c r="M351" s="113"/>
    </row>
    <row r="352" spans="1:13" x14ac:dyDescent="0.2">
      <c r="A352" s="106" t="s">
        <v>4234</v>
      </c>
      <c r="B352" s="105" t="s">
        <v>2173</v>
      </c>
      <c r="C352" s="105" t="s">
        <v>4256</v>
      </c>
      <c r="D352" s="149" t="s">
        <v>2175</v>
      </c>
      <c r="E352" s="105">
        <v>3</v>
      </c>
      <c r="F352" s="133">
        <v>140</v>
      </c>
      <c r="G352" s="133">
        <v>161</v>
      </c>
      <c r="H352" s="109">
        <f t="shared" si="16"/>
        <v>483</v>
      </c>
      <c r="I352" s="119"/>
      <c r="J352" s="119">
        <v>0</v>
      </c>
      <c r="K352" s="119">
        <f t="shared" si="17"/>
        <v>483</v>
      </c>
      <c r="L352" s="152">
        <f t="shared" si="18"/>
        <v>420</v>
      </c>
      <c r="M352" s="113"/>
    </row>
    <row r="353" spans="1:13" x14ac:dyDescent="0.2">
      <c r="A353" s="106" t="s">
        <v>4234</v>
      </c>
      <c r="B353" s="105" t="s">
        <v>2584</v>
      </c>
      <c r="C353" s="105" t="s">
        <v>4256</v>
      </c>
      <c r="D353" s="149" t="s">
        <v>2585</v>
      </c>
      <c r="E353" s="105">
        <v>1</v>
      </c>
      <c r="F353" s="133">
        <v>17.899999999999999</v>
      </c>
      <c r="G353" s="133">
        <v>20.75</v>
      </c>
      <c r="H353" s="109">
        <f t="shared" si="16"/>
        <v>20.75</v>
      </c>
      <c r="I353" s="119"/>
      <c r="J353" s="119">
        <v>0</v>
      </c>
      <c r="K353" s="119">
        <f t="shared" si="17"/>
        <v>20.75</v>
      </c>
      <c r="L353" s="152">
        <f t="shared" si="18"/>
        <v>17.899999999999999</v>
      </c>
      <c r="M353" s="113"/>
    </row>
    <row r="354" spans="1:13" x14ac:dyDescent="0.2">
      <c r="A354" s="106" t="s">
        <v>4234</v>
      </c>
      <c r="B354" s="105" t="s">
        <v>1802</v>
      </c>
      <c r="C354" s="105" t="s">
        <v>4257</v>
      </c>
      <c r="D354" s="149" t="s">
        <v>1803</v>
      </c>
      <c r="E354" s="105">
        <v>1</v>
      </c>
      <c r="F354" s="133">
        <v>7.51</v>
      </c>
      <c r="G354" s="133">
        <v>8.75</v>
      </c>
      <c r="H354" s="109">
        <f t="shared" si="16"/>
        <v>8.75</v>
      </c>
      <c r="I354" s="119"/>
      <c r="J354" s="119">
        <v>0</v>
      </c>
      <c r="K354" s="119">
        <f t="shared" si="17"/>
        <v>8.75</v>
      </c>
      <c r="L354" s="152">
        <f t="shared" si="18"/>
        <v>7.51</v>
      </c>
      <c r="M354" s="113"/>
    </row>
    <row r="355" spans="1:13" x14ac:dyDescent="0.2">
      <c r="A355" s="106" t="s">
        <v>4234</v>
      </c>
      <c r="B355" s="105" t="s">
        <v>4258</v>
      </c>
      <c r="C355" s="105" t="s">
        <v>4259</v>
      </c>
      <c r="D355" s="149" t="s">
        <v>4260</v>
      </c>
      <c r="E355" s="105">
        <v>1</v>
      </c>
      <c r="F355" s="133">
        <v>36.58</v>
      </c>
      <c r="G355" s="133">
        <v>42.25</v>
      </c>
      <c r="H355" s="109">
        <f t="shared" si="16"/>
        <v>42.25</v>
      </c>
      <c r="I355" s="119"/>
      <c r="J355" s="119">
        <v>0</v>
      </c>
      <c r="K355" s="119">
        <f t="shared" si="17"/>
        <v>42.25</v>
      </c>
      <c r="L355" s="152">
        <f t="shared" si="18"/>
        <v>36.58</v>
      </c>
      <c r="M355" s="113"/>
    </row>
    <row r="356" spans="1:13" x14ac:dyDescent="0.2">
      <c r="A356" s="106" t="s">
        <v>4234</v>
      </c>
      <c r="B356" s="105" t="s">
        <v>2240</v>
      </c>
      <c r="C356" s="105" t="s">
        <v>4259</v>
      </c>
      <c r="D356" s="149" t="s">
        <v>2241</v>
      </c>
      <c r="E356" s="105">
        <v>1</v>
      </c>
      <c r="F356" s="133">
        <v>18.649999999999999</v>
      </c>
      <c r="G356" s="133">
        <v>21.5</v>
      </c>
      <c r="H356" s="109">
        <f t="shared" si="16"/>
        <v>21.5</v>
      </c>
      <c r="I356" s="119"/>
      <c r="J356" s="119">
        <v>0</v>
      </c>
      <c r="K356" s="119">
        <f t="shared" si="17"/>
        <v>21.5</v>
      </c>
      <c r="L356" s="152">
        <f t="shared" si="18"/>
        <v>18.649999999999999</v>
      </c>
      <c r="M356" s="113"/>
    </row>
    <row r="357" spans="1:13" x14ac:dyDescent="0.2">
      <c r="A357" s="106" t="s">
        <v>4234</v>
      </c>
      <c r="B357" s="105" t="s">
        <v>4068</v>
      </c>
      <c r="C357" s="105" t="s">
        <v>4261</v>
      </c>
      <c r="D357" s="149" t="s">
        <v>4070</v>
      </c>
      <c r="E357" s="105">
        <v>1</v>
      </c>
      <c r="F357" s="133">
        <v>20.57</v>
      </c>
      <c r="G357" s="133">
        <v>23.75</v>
      </c>
      <c r="H357" s="109">
        <f t="shared" si="16"/>
        <v>23.75</v>
      </c>
      <c r="I357" s="119"/>
      <c r="J357" s="119">
        <v>0</v>
      </c>
      <c r="K357" s="119">
        <f t="shared" si="17"/>
        <v>23.75</v>
      </c>
      <c r="L357" s="152">
        <f t="shared" si="18"/>
        <v>20.57</v>
      </c>
      <c r="M357" s="113"/>
    </row>
    <row r="358" spans="1:13" x14ac:dyDescent="0.2">
      <c r="A358" s="106" t="s">
        <v>4234</v>
      </c>
      <c r="B358" s="105" t="s">
        <v>4250</v>
      </c>
      <c r="C358" s="105" t="s">
        <v>4262</v>
      </c>
      <c r="D358" s="149" t="s">
        <v>4252</v>
      </c>
      <c r="E358" s="105">
        <v>2</v>
      </c>
      <c r="F358" s="133">
        <v>6.4</v>
      </c>
      <c r="G358" s="133">
        <v>7.5</v>
      </c>
      <c r="H358" s="109">
        <f t="shared" si="16"/>
        <v>15</v>
      </c>
      <c r="I358" s="119"/>
      <c r="J358" s="119">
        <v>0</v>
      </c>
      <c r="K358" s="119">
        <f t="shared" si="17"/>
        <v>15</v>
      </c>
      <c r="L358" s="152">
        <f t="shared" si="18"/>
        <v>12.8</v>
      </c>
      <c r="M358" s="113"/>
    </row>
    <row r="359" spans="1:13" x14ac:dyDescent="0.2">
      <c r="A359" s="106" t="s">
        <v>4234</v>
      </c>
      <c r="B359" s="105" t="s">
        <v>4263</v>
      </c>
      <c r="C359" s="105" t="s">
        <v>4264</v>
      </c>
      <c r="D359" s="149" t="s">
        <v>4265</v>
      </c>
      <c r="E359" s="105">
        <v>1</v>
      </c>
      <c r="F359" s="133">
        <v>140.66999999999999</v>
      </c>
      <c r="G359" s="133">
        <v>162</v>
      </c>
      <c r="H359" s="109">
        <f t="shared" si="16"/>
        <v>162</v>
      </c>
      <c r="I359" s="119"/>
      <c r="J359" s="119">
        <v>0</v>
      </c>
      <c r="K359" s="119">
        <f t="shared" si="17"/>
        <v>162</v>
      </c>
      <c r="L359" s="152">
        <f t="shared" si="18"/>
        <v>140.66999999999999</v>
      </c>
      <c r="M359" s="113"/>
    </row>
    <row r="360" spans="1:13" x14ac:dyDescent="0.2">
      <c r="A360" s="106" t="s">
        <v>4234</v>
      </c>
      <c r="B360" s="105" t="s">
        <v>3211</v>
      </c>
      <c r="C360" s="105" t="s">
        <v>4266</v>
      </c>
      <c r="D360" s="149" t="s">
        <v>3212</v>
      </c>
      <c r="E360" s="105">
        <v>1</v>
      </c>
      <c r="F360" s="133">
        <v>23.32</v>
      </c>
      <c r="G360" s="133">
        <v>27</v>
      </c>
      <c r="H360" s="109">
        <f t="shared" si="16"/>
        <v>27</v>
      </c>
      <c r="I360" s="119"/>
      <c r="J360" s="119">
        <v>0</v>
      </c>
      <c r="K360" s="119">
        <f t="shared" si="17"/>
        <v>27</v>
      </c>
      <c r="L360" s="152">
        <f t="shared" si="18"/>
        <v>23.32</v>
      </c>
      <c r="M360" s="113"/>
    </row>
    <row r="361" spans="1:13" x14ac:dyDescent="0.2">
      <c r="A361" s="106" t="s">
        <v>4234</v>
      </c>
      <c r="B361" s="105" t="s">
        <v>3569</v>
      </c>
      <c r="C361" s="105" t="s">
        <v>4266</v>
      </c>
      <c r="D361" s="149" t="s">
        <v>3571</v>
      </c>
      <c r="E361" s="105">
        <v>1</v>
      </c>
      <c r="F361" s="133">
        <v>21.17</v>
      </c>
      <c r="G361" s="133">
        <v>24.5</v>
      </c>
      <c r="H361" s="109">
        <f t="shared" si="16"/>
        <v>24.5</v>
      </c>
      <c r="I361" s="119"/>
      <c r="J361" s="119">
        <v>0</v>
      </c>
      <c r="K361" s="119">
        <f t="shared" si="17"/>
        <v>24.5</v>
      </c>
      <c r="L361" s="152">
        <f t="shared" si="18"/>
        <v>21.17</v>
      </c>
      <c r="M361" s="113"/>
    </row>
    <row r="362" spans="1:13" x14ac:dyDescent="0.2">
      <c r="A362" s="106" t="s">
        <v>4234</v>
      </c>
      <c r="B362" s="105" t="s">
        <v>1924</v>
      </c>
      <c r="C362" s="105" t="s">
        <v>4266</v>
      </c>
      <c r="D362" s="149" t="s">
        <v>1926</v>
      </c>
      <c r="E362" s="105">
        <v>1</v>
      </c>
      <c r="F362" s="133">
        <v>10.64</v>
      </c>
      <c r="G362" s="133">
        <v>12.25</v>
      </c>
      <c r="H362" s="109">
        <f t="shared" si="16"/>
        <v>12.25</v>
      </c>
      <c r="I362" s="119"/>
      <c r="J362" s="119">
        <v>0</v>
      </c>
      <c r="K362" s="119">
        <f t="shared" si="17"/>
        <v>12.25</v>
      </c>
      <c r="L362" s="152">
        <f t="shared" si="18"/>
        <v>10.64</v>
      </c>
      <c r="M362" s="113"/>
    </row>
    <row r="363" spans="1:13" x14ac:dyDescent="0.2">
      <c r="A363" s="106" t="s">
        <v>4234</v>
      </c>
      <c r="B363" s="105" t="s">
        <v>1994</v>
      </c>
      <c r="C363" s="105" t="s">
        <v>4266</v>
      </c>
      <c r="D363" s="149" t="s">
        <v>1995</v>
      </c>
      <c r="E363" s="105">
        <v>1</v>
      </c>
      <c r="F363" s="133">
        <v>6.67</v>
      </c>
      <c r="G363" s="133">
        <v>9.5</v>
      </c>
      <c r="H363" s="109">
        <f t="shared" si="16"/>
        <v>9.5</v>
      </c>
      <c r="I363" s="119"/>
      <c r="J363" s="119">
        <v>0</v>
      </c>
      <c r="K363" s="119">
        <f t="shared" si="17"/>
        <v>9.5</v>
      </c>
      <c r="L363" s="152">
        <f t="shared" si="18"/>
        <v>6.67</v>
      </c>
      <c r="M363" s="113"/>
    </row>
    <row r="364" spans="1:13" x14ac:dyDescent="0.2">
      <c r="A364" s="106">
        <v>46183</v>
      </c>
      <c r="B364" s="105" t="s">
        <v>4267</v>
      </c>
      <c r="C364" s="105" t="s">
        <v>4268</v>
      </c>
      <c r="D364" s="149" t="s">
        <v>4269</v>
      </c>
      <c r="E364" s="105">
        <v>5</v>
      </c>
      <c r="F364" s="133">
        <v>137.75</v>
      </c>
      <c r="G364" s="133">
        <v>158.5</v>
      </c>
      <c r="H364" s="109">
        <f t="shared" si="16"/>
        <v>792.5</v>
      </c>
      <c r="I364" s="119"/>
      <c r="J364" s="119">
        <v>0</v>
      </c>
      <c r="K364" s="119">
        <f t="shared" si="17"/>
        <v>792.5</v>
      </c>
      <c r="L364" s="152">
        <f t="shared" si="18"/>
        <v>688.75</v>
      </c>
      <c r="M364" s="113"/>
    </row>
    <row r="365" spans="1:13" x14ac:dyDescent="0.2">
      <c r="A365" s="106">
        <v>46183</v>
      </c>
      <c r="B365" s="105" t="s">
        <v>4270</v>
      </c>
      <c r="C365" s="105" t="s">
        <v>4268</v>
      </c>
      <c r="D365" s="149" t="s">
        <v>4271</v>
      </c>
      <c r="E365" s="105">
        <v>1</v>
      </c>
      <c r="F365" s="133">
        <v>355</v>
      </c>
      <c r="G365" s="133">
        <v>408.25</v>
      </c>
      <c r="H365" s="109">
        <f t="shared" si="16"/>
        <v>408.25</v>
      </c>
      <c r="I365" s="119"/>
      <c r="J365" s="119">
        <v>0</v>
      </c>
      <c r="K365" s="119">
        <f t="shared" si="17"/>
        <v>408.25</v>
      </c>
      <c r="L365" s="152">
        <f t="shared" si="18"/>
        <v>355</v>
      </c>
      <c r="M365" s="113"/>
    </row>
    <row r="366" spans="1:13" x14ac:dyDescent="0.2">
      <c r="A366" s="106">
        <v>46183</v>
      </c>
      <c r="B366" s="105" t="s">
        <v>3459</v>
      </c>
      <c r="C366" s="105" t="s">
        <v>4268</v>
      </c>
      <c r="D366" s="149" t="s">
        <v>3460</v>
      </c>
      <c r="E366" s="105">
        <v>1</v>
      </c>
      <c r="F366" s="133">
        <v>273</v>
      </c>
      <c r="G366" s="133">
        <v>314</v>
      </c>
      <c r="H366" s="109">
        <f t="shared" si="16"/>
        <v>314</v>
      </c>
      <c r="I366" s="119"/>
      <c r="J366" s="119">
        <v>0</v>
      </c>
      <c r="K366" s="119">
        <f t="shared" si="17"/>
        <v>314</v>
      </c>
      <c r="L366" s="152">
        <f t="shared" si="18"/>
        <v>273</v>
      </c>
      <c r="M366" s="113"/>
    </row>
    <row r="367" spans="1:13" x14ac:dyDescent="0.2">
      <c r="A367" s="106">
        <v>46183</v>
      </c>
      <c r="B367" s="105" t="s">
        <v>3476</v>
      </c>
      <c r="C367" s="105" t="s">
        <v>4272</v>
      </c>
      <c r="D367" s="149" t="s">
        <v>3478</v>
      </c>
      <c r="E367" s="105">
        <v>1</v>
      </c>
      <c r="F367" s="133">
        <v>72.95</v>
      </c>
      <c r="G367" s="133">
        <v>80.25</v>
      </c>
      <c r="H367" s="109">
        <f t="shared" si="16"/>
        <v>80.25</v>
      </c>
      <c r="I367" s="119"/>
      <c r="J367" s="119">
        <v>0</v>
      </c>
      <c r="K367" s="119">
        <f t="shared" si="17"/>
        <v>80.25</v>
      </c>
      <c r="L367" s="152">
        <f t="shared" si="18"/>
        <v>72.95</v>
      </c>
      <c r="M367" s="113"/>
    </row>
    <row r="368" spans="1:13" x14ac:dyDescent="0.2">
      <c r="A368" s="106">
        <v>46183</v>
      </c>
      <c r="B368" s="105" t="s">
        <v>2590</v>
      </c>
      <c r="C368" s="105" t="s">
        <v>4273</v>
      </c>
      <c r="D368" s="149" t="s">
        <v>2591</v>
      </c>
      <c r="E368" s="105">
        <v>1</v>
      </c>
      <c r="F368" s="133">
        <v>90.24</v>
      </c>
      <c r="G368" s="133">
        <v>103.75</v>
      </c>
      <c r="H368" s="109">
        <f t="shared" si="16"/>
        <v>103.75</v>
      </c>
      <c r="I368" s="119"/>
      <c r="J368" s="119">
        <v>0</v>
      </c>
      <c r="K368" s="119">
        <f t="shared" si="17"/>
        <v>103.75</v>
      </c>
      <c r="L368" s="152">
        <f t="shared" si="18"/>
        <v>90.24</v>
      </c>
      <c r="M368" s="113"/>
    </row>
    <row r="369" spans="1:13" x14ac:dyDescent="0.2">
      <c r="A369" s="106">
        <v>46183</v>
      </c>
      <c r="B369" s="105" t="s">
        <v>2193</v>
      </c>
      <c r="C369" s="105" t="s">
        <v>4274</v>
      </c>
      <c r="D369" s="149" t="s">
        <v>2195</v>
      </c>
      <c r="E369" s="105">
        <v>1</v>
      </c>
      <c r="F369" s="133">
        <v>20.68</v>
      </c>
      <c r="G369" s="133">
        <v>24</v>
      </c>
      <c r="H369" s="109">
        <f t="shared" si="16"/>
        <v>24</v>
      </c>
      <c r="I369" s="119"/>
      <c r="J369" s="119">
        <v>0</v>
      </c>
      <c r="K369" s="119">
        <f t="shared" si="17"/>
        <v>24</v>
      </c>
      <c r="L369" s="152">
        <f t="shared" si="18"/>
        <v>20.68</v>
      </c>
      <c r="M369" s="113"/>
    </row>
    <row r="370" spans="1:13" x14ac:dyDescent="0.2">
      <c r="A370" s="106">
        <v>46183</v>
      </c>
      <c r="B370" s="105" t="s">
        <v>2908</v>
      </c>
      <c r="C370" s="105" t="s">
        <v>4275</v>
      </c>
      <c r="D370" s="149" t="s">
        <v>2910</v>
      </c>
      <c r="E370" s="105">
        <v>5</v>
      </c>
      <c r="F370" s="133">
        <v>0.76</v>
      </c>
      <c r="G370" s="133">
        <v>1</v>
      </c>
      <c r="H370" s="109">
        <f t="shared" si="16"/>
        <v>5</v>
      </c>
      <c r="I370" s="119"/>
      <c r="J370" s="119">
        <v>0</v>
      </c>
      <c r="K370" s="119">
        <f t="shared" si="17"/>
        <v>5</v>
      </c>
      <c r="L370" s="152">
        <f t="shared" si="18"/>
        <v>3.8</v>
      </c>
      <c r="M370" s="113"/>
    </row>
    <row r="371" spans="1:13" x14ac:dyDescent="0.2">
      <c r="A371" s="106">
        <v>46183</v>
      </c>
      <c r="B371" s="105" t="s">
        <v>3185</v>
      </c>
      <c r="C371" s="105" t="s">
        <v>4276</v>
      </c>
      <c r="D371" s="149" t="s">
        <v>3187</v>
      </c>
      <c r="E371" s="105">
        <v>1</v>
      </c>
      <c r="F371" s="133">
        <v>129</v>
      </c>
      <c r="G371" s="133">
        <v>148.5</v>
      </c>
      <c r="H371" s="109">
        <f t="shared" si="16"/>
        <v>148.5</v>
      </c>
      <c r="I371" s="119"/>
      <c r="J371" s="119">
        <v>0</v>
      </c>
      <c r="K371" s="119">
        <f t="shared" si="17"/>
        <v>148.5</v>
      </c>
      <c r="L371" s="152">
        <f t="shared" si="18"/>
        <v>129</v>
      </c>
      <c r="M371" s="113"/>
    </row>
    <row r="372" spans="1:13" x14ac:dyDescent="0.2">
      <c r="A372" s="106">
        <v>46183</v>
      </c>
      <c r="B372" s="105" t="s">
        <v>4253</v>
      </c>
      <c r="C372" s="105" t="s">
        <v>4277</v>
      </c>
      <c r="D372" s="149" t="s">
        <v>4254</v>
      </c>
      <c r="E372" s="105">
        <v>2</v>
      </c>
      <c r="F372" s="133">
        <v>6.4</v>
      </c>
      <c r="G372" s="133">
        <v>7.5</v>
      </c>
      <c r="H372" s="109">
        <f t="shared" si="16"/>
        <v>15</v>
      </c>
      <c r="I372" s="119"/>
      <c r="J372" s="119">
        <v>0</v>
      </c>
      <c r="K372" s="119">
        <f t="shared" si="17"/>
        <v>15</v>
      </c>
      <c r="L372" s="152">
        <f t="shared" si="18"/>
        <v>12.8</v>
      </c>
      <c r="M372" s="113"/>
    </row>
    <row r="373" spans="1:13" x14ac:dyDescent="0.2">
      <c r="A373" s="106">
        <v>46183</v>
      </c>
      <c r="B373" s="105" t="s">
        <v>1920</v>
      </c>
      <c r="C373" s="105" t="s">
        <v>4277</v>
      </c>
      <c r="D373" s="149" t="s">
        <v>1921</v>
      </c>
      <c r="E373" s="105">
        <v>1</v>
      </c>
      <c r="F373" s="133">
        <v>13.32</v>
      </c>
      <c r="G373" s="133">
        <v>15.5</v>
      </c>
      <c r="H373" s="109">
        <f t="shared" si="16"/>
        <v>15.5</v>
      </c>
      <c r="I373" s="119"/>
      <c r="J373" s="119">
        <v>0</v>
      </c>
      <c r="K373" s="119">
        <f t="shared" si="17"/>
        <v>15.5</v>
      </c>
      <c r="L373" s="152">
        <f t="shared" si="18"/>
        <v>13.32</v>
      </c>
      <c r="M373" s="113"/>
    </row>
    <row r="374" spans="1:13" x14ac:dyDescent="0.2">
      <c r="A374" s="106">
        <v>46183</v>
      </c>
      <c r="B374" s="105" t="s">
        <v>3974</v>
      </c>
      <c r="C374" s="105" t="s">
        <v>4278</v>
      </c>
      <c r="D374" s="149" t="s">
        <v>3975</v>
      </c>
      <c r="E374" s="105">
        <v>1</v>
      </c>
      <c r="F374" s="133">
        <v>59.51</v>
      </c>
      <c r="G374" s="133">
        <v>68.5</v>
      </c>
      <c r="H374" s="109">
        <f t="shared" si="16"/>
        <v>68.5</v>
      </c>
      <c r="I374" s="119"/>
      <c r="J374" s="119">
        <v>0</v>
      </c>
      <c r="K374" s="119">
        <f t="shared" si="17"/>
        <v>68.5</v>
      </c>
      <c r="L374" s="152">
        <f t="shared" si="18"/>
        <v>59.51</v>
      </c>
      <c r="M374" s="113"/>
    </row>
    <row r="375" spans="1:13" x14ac:dyDescent="0.2">
      <c r="A375" s="106">
        <v>46183</v>
      </c>
      <c r="B375" s="105" t="s">
        <v>2317</v>
      </c>
      <c r="C375" s="105" t="s">
        <v>4279</v>
      </c>
      <c r="D375" s="149" t="s">
        <v>2319</v>
      </c>
      <c r="E375" s="105">
        <v>1</v>
      </c>
      <c r="F375" s="133">
        <v>47.5</v>
      </c>
      <c r="G375" s="133">
        <v>54.75</v>
      </c>
      <c r="H375" s="109">
        <f t="shared" si="16"/>
        <v>54.75</v>
      </c>
      <c r="I375" s="119"/>
      <c r="J375" s="119">
        <v>0</v>
      </c>
      <c r="K375" s="119">
        <f t="shared" si="17"/>
        <v>54.75</v>
      </c>
      <c r="L375" s="152">
        <f t="shared" si="18"/>
        <v>47.5</v>
      </c>
      <c r="M375" s="113"/>
    </row>
    <row r="376" spans="1:13" x14ac:dyDescent="0.2">
      <c r="A376" s="106">
        <v>46183</v>
      </c>
      <c r="B376" s="105" t="s">
        <v>3448</v>
      </c>
      <c r="C376" s="105" t="s">
        <v>4280</v>
      </c>
      <c r="D376" s="149" t="s">
        <v>3450</v>
      </c>
      <c r="E376" s="105">
        <v>3</v>
      </c>
      <c r="F376" s="133">
        <v>15.91</v>
      </c>
      <c r="G376" s="133">
        <v>18.5</v>
      </c>
      <c r="H376" s="109">
        <f t="shared" si="16"/>
        <v>55.5</v>
      </c>
      <c r="I376" s="119"/>
      <c r="J376" s="119">
        <v>0</v>
      </c>
      <c r="K376" s="119">
        <f t="shared" si="17"/>
        <v>55.5</v>
      </c>
      <c r="L376" s="152">
        <f t="shared" si="18"/>
        <v>47.730000000000004</v>
      </c>
      <c r="M376" s="113"/>
    </row>
    <row r="377" spans="1:13" x14ac:dyDescent="0.2">
      <c r="A377" s="106">
        <v>46183</v>
      </c>
      <c r="B377" s="105" t="s">
        <v>3356</v>
      </c>
      <c r="C377" s="105" t="s">
        <v>4281</v>
      </c>
      <c r="D377" s="149" t="s">
        <v>3358</v>
      </c>
      <c r="E377" s="105">
        <v>1</v>
      </c>
      <c r="F377" s="133">
        <v>6.03</v>
      </c>
      <c r="G377" s="133">
        <v>7</v>
      </c>
      <c r="H377" s="109">
        <f t="shared" si="16"/>
        <v>7</v>
      </c>
      <c r="I377" s="119"/>
      <c r="J377" s="119">
        <v>0</v>
      </c>
      <c r="K377" s="119">
        <f t="shared" si="17"/>
        <v>7</v>
      </c>
      <c r="L377" s="152">
        <f t="shared" si="18"/>
        <v>6.03</v>
      </c>
      <c r="M377" s="113"/>
    </row>
    <row r="378" spans="1:13" x14ac:dyDescent="0.2">
      <c r="A378" s="106">
        <v>46183</v>
      </c>
      <c r="B378" s="105" t="s">
        <v>4282</v>
      </c>
      <c r="C378" s="105" t="s">
        <v>4283</v>
      </c>
      <c r="D378" s="149" t="s">
        <v>4284</v>
      </c>
      <c r="E378" s="105">
        <v>1</v>
      </c>
      <c r="F378" s="133">
        <v>53.2</v>
      </c>
      <c r="G378" s="133">
        <v>61.25</v>
      </c>
      <c r="H378" s="109">
        <f t="shared" si="16"/>
        <v>61.25</v>
      </c>
      <c r="I378" s="119"/>
      <c r="J378" s="119">
        <v>0</v>
      </c>
      <c r="K378" s="119">
        <f t="shared" si="17"/>
        <v>61.25</v>
      </c>
      <c r="L378" s="152">
        <f t="shared" si="18"/>
        <v>53.2</v>
      </c>
      <c r="M378" s="113"/>
    </row>
    <row r="379" spans="1:13" x14ac:dyDescent="0.2">
      <c r="A379" s="106">
        <v>46183</v>
      </c>
      <c r="B379" s="105" t="s">
        <v>2491</v>
      </c>
      <c r="C379" s="105" t="s">
        <v>4285</v>
      </c>
      <c r="D379" s="149" t="s">
        <v>2492</v>
      </c>
      <c r="E379" s="105">
        <v>1</v>
      </c>
      <c r="F379" s="133">
        <v>61.5</v>
      </c>
      <c r="G379" s="133">
        <v>66.5</v>
      </c>
      <c r="H379" s="109">
        <f t="shared" si="16"/>
        <v>66.5</v>
      </c>
      <c r="I379" s="119"/>
      <c r="J379" s="119">
        <v>0</v>
      </c>
      <c r="K379" s="119">
        <f t="shared" si="17"/>
        <v>66.5</v>
      </c>
      <c r="L379" s="152">
        <f t="shared" si="18"/>
        <v>61.5</v>
      </c>
      <c r="M379" s="113"/>
    </row>
    <row r="380" spans="1:13" x14ac:dyDescent="0.2">
      <c r="A380" s="106">
        <v>46183</v>
      </c>
      <c r="B380" s="105" t="s">
        <v>2293</v>
      </c>
      <c r="C380" s="105" t="s">
        <v>4286</v>
      </c>
      <c r="D380" s="149" t="s">
        <v>2295</v>
      </c>
      <c r="E380" s="105">
        <v>1</v>
      </c>
      <c r="F380" s="133">
        <v>27.84</v>
      </c>
      <c r="G380" s="133">
        <v>45</v>
      </c>
      <c r="H380" s="109">
        <f t="shared" si="16"/>
        <v>45</v>
      </c>
      <c r="I380" s="119"/>
      <c r="J380" s="119">
        <v>0</v>
      </c>
      <c r="K380" s="119">
        <f t="shared" si="17"/>
        <v>45</v>
      </c>
      <c r="L380" s="152">
        <f t="shared" si="18"/>
        <v>27.84</v>
      </c>
      <c r="M380" s="113"/>
    </row>
    <row r="381" spans="1:13" x14ac:dyDescent="0.2">
      <c r="A381" s="106">
        <v>46183</v>
      </c>
      <c r="B381" s="105" t="s">
        <v>1994</v>
      </c>
      <c r="C381" s="105" t="s">
        <v>4287</v>
      </c>
      <c r="D381" s="149" t="s">
        <v>1995</v>
      </c>
      <c r="E381" s="105">
        <v>1</v>
      </c>
      <c r="F381" s="133">
        <v>6.67</v>
      </c>
      <c r="G381" s="133">
        <v>9.5</v>
      </c>
      <c r="H381" s="109">
        <f t="shared" si="16"/>
        <v>9.5</v>
      </c>
      <c r="I381" s="119"/>
      <c r="J381" s="119">
        <v>0</v>
      </c>
      <c r="K381" s="119">
        <f t="shared" si="17"/>
        <v>9.5</v>
      </c>
      <c r="L381" s="152">
        <f t="shared" si="18"/>
        <v>6.67</v>
      </c>
      <c r="M381" s="113"/>
    </row>
    <row r="382" spans="1:13" x14ac:dyDescent="0.2">
      <c r="A382" s="106">
        <v>46183</v>
      </c>
      <c r="B382" s="105" t="s">
        <v>3569</v>
      </c>
      <c r="C382" s="105" t="s">
        <v>4287</v>
      </c>
      <c r="D382" s="149" t="s">
        <v>3571</v>
      </c>
      <c r="E382" s="105">
        <v>1</v>
      </c>
      <c r="F382" s="133">
        <v>21.17</v>
      </c>
      <c r="G382" s="133">
        <v>24.5</v>
      </c>
      <c r="H382" s="109">
        <f t="shared" si="16"/>
        <v>24.5</v>
      </c>
      <c r="I382" s="119"/>
      <c r="J382" s="119">
        <v>0</v>
      </c>
      <c r="K382" s="119">
        <f t="shared" si="17"/>
        <v>24.5</v>
      </c>
      <c r="L382" s="152">
        <f t="shared" si="18"/>
        <v>21.17</v>
      </c>
      <c r="M382" s="113"/>
    </row>
    <row r="383" spans="1:13" x14ac:dyDescent="0.2">
      <c r="A383" s="106">
        <v>46183</v>
      </c>
      <c r="B383" s="105" t="s">
        <v>3211</v>
      </c>
      <c r="C383" s="105" t="s">
        <v>4287</v>
      </c>
      <c r="D383" s="149" t="s">
        <v>3212</v>
      </c>
      <c r="E383" s="105">
        <v>1</v>
      </c>
      <c r="F383" s="133">
        <v>23.32</v>
      </c>
      <c r="G383" s="133">
        <v>27</v>
      </c>
      <c r="H383" s="109">
        <f t="shared" si="16"/>
        <v>27</v>
      </c>
      <c r="I383" s="119"/>
      <c r="J383" s="119">
        <v>0</v>
      </c>
      <c r="K383" s="119">
        <f t="shared" si="17"/>
        <v>27</v>
      </c>
      <c r="L383" s="152">
        <f t="shared" si="18"/>
        <v>23.32</v>
      </c>
      <c r="M383" s="113"/>
    </row>
    <row r="384" spans="1:13" x14ac:dyDescent="0.2">
      <c r="A384" s="106">
        <v>46183</v>
      </c>
      <c r="B384" s="105" t="s">
        <v>2908</v>
      </c>
      <c r="C384" s="105" t="s">
        <v>4287</v>
      </c>
      <c r="D384" s="149" t="s">
        <v>2910</v>
      </c>
      <c r="E384" s="105">
        <v>1</v>
      </c>
      <c r="F384" s="133">
        <v>0.76</v>
      </c>
      <c r="G384" s="133">
        <v>1</v>
      </c>
      <c r="H384" s="109">
        <f t="shared" si="16"/>
        <v>1</v>
      </c>
      <c r="I384" s="119"/>
      <c r="J384" s="119">
        <v>0.5</v>
      </c>
      <c r="K384" s="119">
        <f t="shared" si="17"/>
        <v>0.5</v>
      </c>
      <c r="L384" s="152">
        <f t="shared" si="18"/>
        <v>0.76</v>
      </c>
      <c r="M384" s="113"/>
    </row>
    <row r="385" spans="1:13" x14ac:dyDescent="0.2">
      <c r="A385" s="106">
        <v>46183</v>
      </c>
      <c r="B385" s="105" t="s">
        <v>2253</v>
      </c>
      <c r="C385" s="105" t="s">
        <v>4288</v>
      </c>
      <c r="D385" s="149" t="s">
        <v>2254</v>
      </c>
      <c r="E385" s="105">
        <v>1</v>
      </c>
      <c r="F385" s="133">
        <v>61.5</v>
      </c>
      <c r="G385" s="133">
        <v>70.75</v>
      </c>
      <c r="H385" s="109">
        <f t="shared" si="16"/>
        <v>70.75</v>
      </c>
      <c r="I385" s="119"/>
      <c r="J385" s="119">
        <v>0</v>
      </c>
      <c r="K385" s="119">
        <f t="shared" si="17"/>
        <v>70.75</v>
      </c>
      <c r="L385" s="152">
        <f t="shared" si="18"/>
        <v>61.5</v>
      </c>
      <c r="M385" s="113"/>
    </row>
    <row r="386" spans="1:13" x14ac:dyDescent="0.2">
      <c r="A386" s="106">
        <v>46183</v>
      </c>
      <c r="B386" s="105" t="s">
        <v>4250</v>
      </c>
      <c r="C386" s="105" t="s">
        <v>4289</v>
      </c>
      <c r="D386" s="149" t="s">
        <v>4252</v>
      </c>
      <c r="E386" s="105">
        <v>1</v>
      </c>
      <c r="F386" s="133">
        <v>6.4</v>
      </c>
      <c r="G386" s="133">
        <v>7.5</v>
      </c>
      <c r="H386" s="109">
        <f t="shared" si="16"/>
        <v>7.5</v>
      </c>
      <c r="I386" s="119"/>
      <c r="J386" s="119">
        <v>0</v>
      </c>
      <c r="K386" s="119">
        <f t="shared" si="17"/>
        <v>7.5</v>
      </c>
      <c r="L386" s="152">
        <f t="shared" si="18"/>
        <v>6.4</v>
      </c>
      <c r="M386" s="113"/>
    </row>
    <row r="387" spans="1:13" x14ac:dyDescent="0.2">
      <c r="A387" s="106">
        <v>46183</v>
      </c>
      <c r="B387" s="105" t="s">
        <v>2834</v>
      </c>
      <c r="C387" s="105" t="s">
        <v>4290</v>
      </c>
      <c r="D387" s="149" t="s">
        <v>2835</v>
      </c>
      <c r="E387" s="105">
        <v>1</v>
      </c>
      <c r="F387" s="133">
        <v>6.83</v>
      </c>
      <c r="G387" s="133">
        <v>7.75</v>
      </c>
      <c r="H387" s="109">
        <f t="shared" si="16"/>
        <v>7.75</v>
      </c>
      <c r="I387" s="119"/>
      <c r="J387" s="119">
        <v>0</v>
      </c>
      <c r="K387" s="119">
        <f t="shared" si="17"/>
        <v>7.75</v>
      </c>
      <c r="L387" s="152">
        <f t="shared" si="18"/>
        <v>6.83</v>
      </c>
      <c r="M387" s="113"/>
    </row>
    <row r="388" spans="1:13" x14ac:dyDescent="0.2">
      <c r="A388" s="106">
        <v>46183</v>
      </c>
      <c r="B388" s="105" t="s">
        <v>2831</v>
      </c>
      <c r="C388" s="105" t="s">
        <v>4291</v>
      </c>
      <c r="D388" s="149" t="s">
        <v>2833</v>
      </c>
      <c r="E388" s="105">
        <v>1</v>
      </c>
      <c r="F388" s="133">
        <v>6.83</v>
      </c>
      <c r="G388" s="133">
        <v>7.75</v>
      </c>
      <c r="H388" s="109">
        <f t="shared" si="16"/>
        <v>7.75</v>
      </c>
      <c r="I388" s="119"/>
      <c r="J388" s="119">
        <v>0</v>
      </c>
      <c r="K388" s="119">
        <f t="shared" si="17"/>
        <v>7.75</v>
      </c>
      <c r="L388" s="152">
        <f t="shared" si="18"/>
        <v>6.83</v>
      </c>
      <c r="M388" s="113"/>
    </row>
    <row r="389" spans="1:13" x14ac:dyDescent="0.2">
      <c r="A389" s="106">
        <v>46183</v>
      </c>
      <c r="B389" s="105" t="s">
        <v>3437</v>
      </c>
      <c r="C389" s="105" t="s">
        <v>4292</v>
      </c>
      <c r="D389" s="149" t="s">
        <v>3439</v>
      </c>
      <c r="E389" s="105">
        <v>1</v>
      </c>
      <c r="F389" s="133">
        <v>13.12</v>
      </c>
      <c r="G389" s="133">
        <v>15.25</v>
      </c>
      <c r="H389" s="109">
        <f t="shared" si="16"/>
        <v>15.25</v>
      </c>
      <c r="I389" s="119"/>
      <c r="J389" s="119">
        <v>0</v>
      </c>
      <c r="K389" s="119">
        <f t="shared" si="17"/>
        <v>15.25</v>
      </c>
      <c r="L389" s="152">
        <f t="shared" si="18"/>
        <v>13.12</v>
      </c>
      <c r="M389" s="113"/>
    </row>
    <row r="390" spans="1:13" x14ac:dyDescent="0.2">
      <c r="A390" s="106">
        <v>46183</v>
      </c>
      <c r="B390" s="105" t="s">
        <v>2643</v>
      </c>
      <c r="C390" s="105" t="s">
        <v>4293</v>
      </c>
      <c r="D390" s="149" t="s">
        <v>2645</v>
      </c>
      <c r="E390" s="105">
        <v>6</v>
      </c>
      <c r="F390" s="133">
        <v>14.42</v>
      </c>
      <c r="G390" s="133">
        <v>16.75</v>
      </c>
      <c r="H390" s="109">
        <f t="shared" si="16"/>
        <v>100.5</v>
      </c>
      <c r="I390" s="119"/>
      <c r="J390" s="119">
        <v>0</v>
      </c>
      <c r="K390" s="119">
        <f t="shared" si="17"/>
        <v>100.5</v>
      </c>
      <c r="L390" s="152">
        <f t="shared" si="18"/>
        <v>86.52</v>
      </c>
      <c r="M390" s="113"/>
    </row>
    <row r="391" spans="1:13" x14ac:dyDescent="0.2">
      <c r="A391" s="106">
        <v>46183</v>
      </c>
      <c r="B391" s="105" t="s">
        <v>1826</v>
      </c>
      <c r="C391" s="105" t="s">
        <v>4294</v>
      </c>
      <c r="D391" s="149" t="s">
        <v>1827</v>
      </c>
      <c r="E391" s="105">
        <v>13</v>
      </c>
      <c r="F391" s="133">
        <v>90</v>
      </c>
      <c r="G391" s="133">
        <v>120</v>
      </c>
      <c r="H391" s="109">
        <f t="shared" ref="H391:H454" si="19">E391*G391</f>
        <v>1560</v>
      </c>
      <c r="I391" s="119"/>
      <c r="J391" s="119">
        <v>0</v>
      </c>
      <c r="K391" s="119">
        <f t="shared" ref="K391:K454" si="20">H391+I391-J391</f>
        <v>1560</v>
      </c>
      <c r="L391" s="152">
        <f t="shared" ref="L391:L454" si="21">E391*F391</f>
        <v>1170</v>
      </c>
      <c r="M391" s="113"/>
    </row>
    <row r="392" spans="1:13" x14ac:dyDescent="0.2">
      <c r="A392" s="106">
        <v>46183</v>
      </c>
      <c r="B392" s="105" t="s">
        <v>2690</v>
      </c>
      <c r="C392" s="105" t="s">
        <v>4295</v>
      </c>
      <c r="D392" s="149" t="s">
        <v>2692</v>
      </c>
      <c r="E392" s="105">
        <v>3</v>
      </c>
      <c r="F392" s="133">
        <v>32.86</v>
      </c>
      <c r="G392" s="133">
        <v>38</v>
      </c>
      <c r="H392" s="109">
        <f t="shared" si="19"/>
        <v>114</v>
      </c>
      <c r="I392" s="119"/>
      <c r="J392" s="119">
        <v>0</v>
      </c>
      <c r="K392" s="119">
        <f t="shared" si="20"/>
        <v>114</v>
      </c>
      <c r="L392" s="152">
        <f t="shared" si="21"/>
        <v>98.58</v>
      </c>
      <c r="M392" s="113"/>
    </row>
    <row r="393" spans="1:13" x14ac:dyDescent="0.2">
      <c r="A393" s="106">
        <v>46183</v>
      </c>
      <c r="B393" s="105" t="s">
        <v>2521</v>
      </c>
      <c r="C393" s="105" t="s">
        <v>4295</v>
      </c>
      <c r="D393" s="149" t="s">
        <v>2522</v>
      </c>
      <c r="E393" s="105">
        <v>12</v>
      </c>
      <c r="F393" s="133">
        <v>6.02</v>
      </c>
      <c r="G393" s="133">
        <v>7.25</v>
      </c>
      <c r="H393" s="109">
        <f t="shared" si="19"/>
        <v>87</v>
      </c>
      <c r="I393" s="119"/>
      <c r="J393" s="119">
        <v>0</v>
      </c>
      <c r="K393" s="119">
        <f t="shared" si="20"/>
        <v>87</v>
      </c>
      <c r="L393" s="152">
        <f t="shared" si="21"/>
        <v>72.239999999999995</v>
      </c>
      <c r="M393" s="113"/>
    </row>
    <row r="394" spans="1:13" x14ac:dyDescent="0.2">
      <c r="A394" s="106">
        <v>46183</v>
      </c>
      <c r="B394" s="105" t="s">
        <v>2947</v>
      </c>
      <c r="C394" s="105" t="s">
        <v>4295</v>
      </c>
      <c r="D394" s="149" t="s">
        <v>2948</v>
      </c>
      <c r="E394" s="105">
        <v>1</v>
      </c>
      <c r="F394" s="133">
        <v>65.989999999999995</v>
      </c>
      <c r="G394" s="133">
        <v>76.75</v>
      </c>
      <c r="H394" s="109">
        <f t="shared" si="19"/>
        <v>76.75</v>
      </c>
      <c r="I394" s="119"/>
      <c r="J394" s="119">
        <v>0</v>
      </c>
      <c r="K394" s="119">
        <f t="shared" si="20"/>
        <v>76.75</v>
      </c>
      <c r="L394" s="152">
        <f t="shared" si="21"/>
        <v>65.989999999999995</v>
      </c>
      <c r="M394" s="113"/>
    </row>
    <row r="395" spans="1:13" x14ac:dyDescent="0.2">
      <c r="A395" s="106">
        <v>46183</v>
      </c>
      <c r="B395" s="105" t="s">
        <v>3112</v>
      </c>
      <c r="C395" s="105" t="s">
        <v>4295</v>
      </c>
      <c r="D395" s="149" t="s">
        <v>3113</v>
      </c>
      <c r="E395" s="105">
        <v>2</v>
      </c>
      <c r="F395" s="133">
        <v>109.57</v>
      </c>
      <c r="G395" s="133">
        <v>136.5</v>
      </c>
      <c r="H395" s="109">
        <f t="shared" si="19"/>
        <v>273</v>
      </c>
      <c r="I395" s="119"/>
      <c r="J395" s="119">
        <v>0</v>
      </c>
      <c r="K395" s="119">
        <f t="shared" si="20"/>
        <v>273</v>
      </c>
      <c r="L395" s="152">
        <f t="shared" si="21"/>
        <v>219.14</v>
      </c>
      <c r="M395" s="113"/>
    </row>
    <row r="396" spans="1:13" x14ac:dyDescent="0.2">
      <c r="A396" s="106">
        <v>46183</v>
      </c>
      <c r="B396" s="105" t="s">
        <v>1944</v>
      </c>
      <c r="C396" s="105" t="s">
        <v>4295</v>
      </c>
      <c r="D396" s="149" t="s">
        <v>1946</v>
      </c>
      <c r="E396" s="105">
        <v>6</v>
      </c>
      <c r="F396" s="133">
        <v>14.38</v>
      </c>
      <c r="G396" s="133">
        <v>16.75</v>
      </c>
      <c r="H396" s="109">
        <f t="shared" si="19"/>
        <v>100.5</v>
      </c>
      <c r="I396" s="119"/>
      <c r="J396" s="119">
        <v>0</v>
      </c>
      <c r="K396" s="119">
        <f t="shared" si="20"/>
        <v>100.5</v>
      </c>
      <c r="L396" s="152">
        <f t="shared" si="21"/>
        <v>86.28</v>
      </c>
      <c r="M396" s="113"/>
    </row>
    <row r="397" spans="1:13" x14ac:dyDescent="0.2">
      <c r="A397" s="106">
        <v>46183</v>
      </c>
      <c r="B397" s="105" t="s">
        <v>3119</v>
      </c>
      <c r="C397" s="105" t="s">
        <v>4295</v>
      </c>
      <c r="D397" s="149" t="s">
        <v>3120</v>
      </c>
      <c r="E397" s="105">
        <v>4</v>
      </c>
      <c r="F397" s="133">
        <v>96.67</v>
      </c>
      <c r="G397" s="133">
        <v>111.25</v>
      </c>
      <c r="H397" s="109">
        <f t="shared" si="19"/>
        <v>445</v>
      </c>
      <c r="I397" s="119"/>
      <c r="J397" s="119">
        <v>0</v>
      </c>
      <c r="K397" s="119">
        <f t="shared" si="20"/>
        <v>445</v>
      </c>
      <c r="L397" s="152">
        <f t="shared" si="21"/>
        <v>386.68</v>
      </c>
      <c r="M397" s="113"/>
    </row>
    <row r="398" spans="1:13" x14ac:dyDescent="0.2">
      <c r="A398" s="106">
        <v>46183</v>
      </c>
      <c r="B398" s="105" t="s">
        <v>2293</v>
      </c>
      <c r="C398" s="105" t="s">
        <v>4295</v>
      </c>
      <c r="D398" s="149" t="s">
        <v>2295</v>
      </c>
      <c r="E398" s="105">
        <v>4</v>
      </c>
      <c r="F398" s="133">
        <v>27.84</v>
      </c>
      <c r="G398" s="133">
        <v>45</v>
      </c>
      <c r="H398" s="109">
        <f t="shared" si="19"/>
        <v>180</v>
      </c>
      <c r="I398" s="119"/>
      <c r="J398" s="119">
        <v>0</v>
      </c>
      <c r="K398" s="119">
        <f t="shared" si="20"/>
        <v>180</v>
      </c>
      <c r="L398" s="152">
        <f t="shared" si="21"/>
        <v>111.36</v>
      </c>
      <c r="M398" s="113"/>
    </row>
    <row r="399" spans="1:13" x14ac:dyDescent="0.2">
      <c r="A399" s="106">
        <v>46183</v>
      </c>
      <c r="B399" s="105" t="s">
        <v>2955</v>
      </c>
      <c r="C399" s="105" t="s">
        <v>4295</v>
      </c>
      <c r="D399" s="149" t="s">
        <v>2956</v>
      </c>
      <c r="E399" s="105">
        <v>1</v>
      </c>
      <c r="F399" s="133">
        <v>360.65</v>
      </c>
      <c r="G399" s="133">
        <v>414.75</v>
      </c>
      <c r="H399" s="109">
        <f t="shared" si="19"/>
        <v>414.75</v>
      </c>
      <c r="I399" s="119"/>
      <c r="J399" s="119">
        <v>0</v>
      </c>
      <c r="K399" s="119">
        <f t="shared" si="20"/>
        <v>414.75</v>
      </c>
      <c r="L399" s="152">
        <f t="shared" si="21"/>
        <v>360.65</v>
      </c>
      <c r="M399" s="113"/>
    </row>
    <row r="400" spans="1:13" x14ac:dyDescent="0.2">
      <c r="A400" s="106">
        <v>46183</v>
      </c>
      <c r="B400" s="105" t="s">
        <v>2895</v>
      </c>
      <c r="C400" s="105" t="s">
        <v>4296</v>
      </c>
      <c r="D400" s="149" t="s">
        <v>2897</v>
      </c>
      <c r="E400" s="105">
        <v>1</v>
      </c>
      <c r="F400" s="133">
        <v>9.17</v>
      </c>
      <c r="G400" s="133">
        <v>10.75</v>
      </c>
      <c r="H400" s="109">
        <f t="shared" si="19"/>
        <v>10.75</v>
      </c>
      <c r="I400" s="119"/>
      <c r="J400" s="119">
        <v>0</v>
      </c>
      <c r="K400" s="119">
        <f t="shared" si="20"/>
        <v>10.75</v>
      </c>
      <c r="L400" s="152">
        <f t="shared" si="21"/>
        <v>9.17</v>
      </c>
      <c r="M400" s="113"/>
    </row>
    <row r="401" spans="1:13" x14ac:dyDescent="0.2">
      <c r="A401" s="106">
        <v>46183</v>
      </c>
      <c r="B401" s="105" t="s">
        <v>3457</v>
      </c>
      <c r="C401" s="105" t="s">
        <v>4297</v>
      </c>
      <c r="D401" s="149" t="s">
        <v>3458</v>
      </c>
      <c r="E401" s="105">
        <v>1</v>
      </c>
      <c r="F401" s="133">
        <v>51.97</v>
      </c>
      <c r="G401" s="133">
        <v>60</v>
      </c>
      <c r="H401" s="109">
        <f t="shared" si="19"/>
        <v>60</v>
      </c>
      <c r="I401" s="119"/>
      <c r="J401" s="119">
        <v>0</v>
      </c>
      <c r="K401" s="119">
        <f t="shared" si="20"/>
        <v>60</v>
      </c>
      <c r="L401" s="152">
        <f t="shared" si="21"/>
        <v>51.97</v>
      </c>
      <c r="M401" s="113"/>
    </row>
    <row r="402" spans="1:13" x14ac:dyDescent="0.2">
      <c r="A402" s="106">
        <v>46183</v>
      </c>
      <c r="B402" s="105" t="s">
        <v>4298</v>
      </c>
      <c r="C402" s="105" t="s">
        <v>4299</v>
      </c>
      <c r="D402" s="149" t="s">
        <v>4300</v>
      </c>
      <c r="E402" s="105">
        <v>2</v>
      </c>
      <c r="F402" s="133">
        <v>30.45</v>
      </c>
      <c r="G402" s="133">
        <v>35.25</v>
      </c>
      <c r="H402" s="109">
        <f t="shared" si="19"/>
        <v>70.5</v>
      </c>
      <c r="I402" s="119"/>
      <c r="J402" s="119">
        <v>0</v>
      </c>
      <c r="K402" s="119">
        <f t="shared" si="20"/>
        <v>70.5</v>
      </c>
      <c r="L402" s="152">
        <f t="shared" si="21"/>
        <v>60.9</v>
      </c>
      <c r="M402" s="113"/>
    </row>
    <row r="403" spans="1:13" x14ac:dyDescent="0.2">
      <c r="A403" s="106">
        <v>46183</v>
      </c>
      <c r="B403" s="105" t="s">
        <v>2158</v>
      </c>
      <c r="C403" s="105" t="s">
        <v>4299</v>
      </c>
      <c r="D403" s="149" t="s">
        <v>2160</v>
      </c>
      <c r="E403" s="105">
        <v>3</v>
      </c>
      <c r="F403" s="133">
        <v>58.56</v>
      </c>
      <c r="G403" s="133">
        <v>67.5</v>
      </c>
      <c r="H403" s="109">
        <f t="shared" si="19"/>
        <v>202.5</v>
      </c>
      <c r="I403" s="119"/>
      <c r="J403" s="119">
        <v>0</v>
      </c>
      <c r="K403" s="119">
        <f t="shared" si="20"/>
        <v>202.5</v>
      </c>
      <c r="L403" s="152">
        <f t="shared" si="21"/>
        <v>175.68</v>
      </c>
      <c r="M403" s="113"/>
    </row>
    <row r="404" spans="1:13" x14ac:dyDescent="0.2">
      <c r="A404" s="106">
        <v>46183</v>
      </c>
      <c r="B404" s="105" t="s">
        <v>4301</v>
      </c>
      <c r="C404" s="105" t="s">
        <v>4299</v>
      </c>
      <c r="D404" s="149" t="s">
        <v>4302</v>
      </c>
      <c r="E404" s="105">
        <v>1</v>
      </c>
      <c r="F404" s="133">
        <v>38.75</v>
      </c>
      <c r="G404" s="133">
        <v>44.75</v>
      </c>
      <c r="H404" s="109">
        <f t="shared" si="19"/>
        <v>44.75</v>
      </c>
      <c r="I404" s="119"/>
      <c r="J404" s="119">
        <v>0</v>
      </c>
      <c r="K404" s="119">
        <f t="shared" si="20"/>
        <v>44.75</v>
      </c>
      <c r="L404" s="152">
        <f t="shared" si="21"/>
        <v>38.75</v>
      </c>
      <c r="M404" s="113"/>
    </row>
    <row r="405" spans="1:13" x14ac:dyDescent="0.2">
      <c r="A405" s="106">
        <v>46183</v>
      </c>
      <c r="B405" s="105" t="s">
        <v>2162</v>
      </c>
      <c r="C405" s="105" t="s">
        <v>4299</v>
      </c>
      <c r="D405" s="149" t="s">
        <v>2163</v>
      </c>
      <c r="E405" s="105">
        <v>2</v>
      </c>
      <c r="F405" s="133">
        <v>67.290000000000006</v>
      </c>
      <c r="G405" s="133">
        <v>77.5</v>
      </c>
      <c r="H405" s="109">
        <f t="shared" si="19"/>
        <v>155</v>
      </c>
      <c r="I405" s="119"/>
      <c r="J405" s="119">
        <v>0</v>
      </c>
      <c r="K405" s="119">
        <f t="shared" si="20"/>
        <v>155</v>
      </c>
      <c r="L405" s="152">
        <f t="shared" si="21"/>
        <v>134.58000000000001</v>
      </c>
      <c r="M405" s="113"/>
    </row>
    <row r="406" spans="1:13" x14ac:dyDescent="0.2">
      <c r="A406" s="106">
        <v>46183</v>
      </c>
      <c r="B406" s="105" t="s">
        <v>2521</v>
      </c>
      <c r="C406" s="105" t="s">
        <v>4299</v>
      </c>
      <c r="D406" s="149" t="s">
        <v>2522</v>
      </c>
      <c r="E406" s="105">
        <v>12</v>
      </c>
      <c r="F406" s="133">
        <v>6.02</v>
      </c>
      <c r="G406" s="133">
        <v>7.25</v>
      </c>
      <c r="H406" s="109">
        <f t="shared" si="19"/>
        <v>87</v>
      </c>
      <c r="I406" s="119"/>
      <c r="J406" s="119">
        <v>0</v>
      </c>
      <c r="K406" s="119">
        <f t="shared" si="20"/>
        <v>87</v>
      </c>
      <c r="L406" s="152">
        <f t="shared" si="21"/>
        <v>72.239999999999995</v>
      </c>
      <c r="M406" s="113"/>
    </row>
    <row r="407" spans="1:13" x14ac:dyDescent="0.2">
      <c r="A407" s="106">
        <v>46183</v>
      </c>
      <c r="B407" s="105" t="s">
        <v>2327</v>
      </c>
      <c r="C407" s="105" t="s">
        <v>4303</v>
      </c>
      <c r="D407" s="149" t="s">
        <v>2329</v>
      </c>
      <c r="E407" s="105">
        <v>1</v>
      </c>
      <c r="F407" s="133">
        <v>23.07</v>
      </c>
      <c r="G407" s="133">
        <v>26.75</v>
      </c>
      <c r="H407" s="109">
        <f t="shared" si="19"/>
        <v>26.75</v>
      </c>
      <c r="I407" s="119"/>
      <c r="J407" s="119">
        <v>0</v>
      </c>
      <c r="K407" s="119">
        <f t="shared" si="20"/>
        <v>26.75</v>
      </c>
      <c r="L407" s="152">
        <f t="shared" si="21"/>
        <v>23.07</v>
      </c>
      <c r="M407" s="113"/>
    </row>
    <row r="408" spans="1:13" x14ac:dyDescent="0.2">
      <c r="A408" s="106">
        <v>46183</v>
      </c>
      <c r="B408" s="105" t="s">
        <v>2908</v>
      </c>
      <c r="C408" s="105" t="s">
        <v>4304</v>
      </c>
      <c r="D408" s="149" t="s">
        <v>2910</v>
      </c>
      <c r="E408" s="105">
        <v>8</v>
      </c>
      <c r="F408" s="133">
        <v>0.76</v>
      </c>
      <c r="G408" s="133">
        <v>1</v>
      </c>
      <c r="H408" s="109">
        <f t="shared" si="19"/>
        <v>8</v>
      </c>
      <c r="I408" s="119"/>
      <c r="J408" s="119">
        <v>0</v>
      </c>
      <c r="K408" s="119">
        <f t="shared" si="20"/>
        <v>8</v>
      </c>
      <c r="L408" s="152">
        <f t="shared" si="21"/>
        <v>6.08</v>
      </c>
      <c r="M408" s="113"/>
    </row>
    <row r="409" spans="1:13" x14ac:dyDescent="0.2">
      <c r="A409" s="106">
        <v>46183</v>
      </c>
      <c r="B409" s="105" t="s">
        <v>1977</v>
      </c>
      <c r="C409" s="105" t="s">
        <v>4304</v>
      </c>
      <c r="D409" s="149" t="s">
        <v>1979</v>
      </c>
      <c r="E409" s="105">
        <v>1</v>
      </c>
      <c r="F409" s="133">
        <v>0.76</v>
      </c>
      <c r="G409" s="133">
        <v>1</v>
      </c>
      <c r="H409" s="109">
        <f t="shared" si="19"/>
        <v>1</v>
      </c>
      <c r="I409" s="119"/>
      <c r="J409" s="119">
        <v>0</v>
      </c>
      <c r="K409" s="119">
        <f t="shared" si="20"/>
        <v>1</v>
      </c>
      <c r="L409" s="152">
        <f t="shared" si="21"/>
        <v>0.76</v>
      </c>
      <c r="M409" s="113"/>
    </row>
    <row r="410" spans="1:13" x14ac:dyDescent="0.2">
      <c r="A410" s="106">
        <v>46183</v>
      </c>
      <c r="B410" s="105" t="s">
        <v>1846</v>
      </c>
      <c r="C410" s="105" t="s">
        <v>4305</v>
      </c>
      <c r="D410" s="149" t="s">
        <v>1847</v>
      </c>
      <c r="E410" s="105">
        <v>1</v>
      </c>
      <c r="F410" s="133">
        <v>61.93</v>
      </c>
      <c r="G410" s="133">
        <v>71.25</v>
      </c>
      <c r="H410" s="109">
        <f t="shared" si="19"/>
        <v>71.25</v>
      </c>
      <c r="I410" s="119"/>
      <c r="J410" s="119">
        <v>0</v>
      </c>
      <c r="K410" s="119">
        <f t="shared" si="20"/>
        <v>71.25</v>
      </c>
      <c r="L410" s="152">
        <f t="shared" si="21"/>
        <v>61.93</v>
      </c>
      <c r="M410" s="113"/>
    </row>
    <row r="411" spans="1:13" x14ac:dyDescent="0.2">
      <c r="A411" s="106">
        <v>46183</v>
      </c>
      <c r="B411" s="105" t="s">
        <v>1929</v>
      </c>
      <c r="C411" s="105" t="s">
        <v>4305</v>
      </c>
      <c r="D411" s="149" t="s">
        <v>1930</v>
      </c>
      <c r="E411" s="105">
        <v>4</v>
      </c>
      <c r="F411" s="133">
        <v>13.92</v>
      </c>
      <c r="G411" s="133">
        <v>22</v>
      </c>
      <c r="H411" s="109">
        <f t="shared" si="19"/>
        <v>88</v>
      </c>
      <c r="I411" s="119"/>
      <c r="J411" s="119">
        <v>0</v>
      </c>
      <c r="K411" s="119">
        <f t="shared" si="20"/>
        <v>88</v>
      </c>
      <c r="L411" s="152">
        <f t="shared" si="21"/>
        <v>55.68</v>
      </c>
      <c r="M411" s="113"/>
    </row>
    <row r="412" spans="1:13" x14ac:dyDescent="0.2">
      <c r="A412" s="106">
        <v>46183</v>
      </c>
      <c r="B412" s="105" t="s">
        <v>4083</v>
      </c>
      <c r="C412" s="105" t="s">
        <v>4305</v>
      </c>
      <c r="D412" s="149" t="s">
        <v>4084</v>
      </c>
      <c r="E412" s="105">
        <v>1</v>
      </c>
      <c r="F412" s="133">
        <v>200.03</v>
      </c>
      <c r="G412" s="133">
        <v>230</v>
      </c>
      <c r="H412" s="109">
        <f t="shared" si="19"/>
        <v>230</v>
      </c>
      <c r="I412" s="119"/>
      <c r="J412" s="119">
        <v>0</v>
      </c>
      <c r="K412" s="119">
        <f t="shared" si="20"/>
        <v>230</v>
      </c>
      <c r="L412" s="152">
        <f t="shared" si="21"/>
        <v>200.03</v>
      </c>
      <c r="M412" s="113"/>
    </row>
    <row r="413" spans="1:13" x14ac:dyDescent="0.2">
      <c r="A413" s="106">
        <v>46183</v>
      </c>
      <c r="B413" s="105" t="s">
        <v>4205</v>
      </c>
      <c r="C413" s="105" t="s">
        <v>4306</v>
      </c>
      <c r="D413" s="149" t="s">
        <v>4206</v>
      </c>
      <c r="E413" s="105">
        <v>2</v>
      </c>
      <c r="F413" s="133">
        <v>8.3000000000000007</v>
      </c>
      <c r="G413" s="133">
        <v>9.75</v>
      </c>
      <c r="H413" s="109">
        <f t="shared" si="19"/>
        <v>19.5</v>
      </c>
      <c r="I413" s="119"/>
      <c r="J413" s="119">
        <v>0</v>
      </c>
      <c r="K413" s="119">
        <f t="shared" si="20"/>
        <v>19.5</v>
      </c>
      <c r="L413" s="152">
        <f t="shared" si="21"/>
        <v>16.600000000000001</v>
      </c>
      <c r="M413" s="113"/>
    </row>
    <row r="414" spans="1:13" x14ac:dyDescent="0.2">
      <c r="A414" s="106" t="s">
        <v>4326</v>
      </c>
      <c r="B414" s="105" t="s">
        <v>3507</v>
      </c>
      <c r="C414" s="105" t="s">
        <v>4331</v>
      </c>
      <c r="D414" s="149" t="s">
        <v>3508</v>
      </c>
      <c r="E414" s="105">
        <v>1</v>
      </c>
      <c r="F414" s="133">
        <v>18.2</v>
      </c>
      <c r="G414" s="133">
        <v>21</v>
      </c>
      <c r="H414" s="109">
        <f t="shared" si="19"/>
        <v>21</v>
      </c>
      <c r="I414" s="119"/>
      <c r="J414" s="119">
        <v>0</v>
      </c>
      <c r="K414" s="119">
        <f t="shared" si="20"/>
        <v>21</v>
      </c>
      <c r="L414" s="152">
        <f t="shared" si="21"/>
        <v>18.2</v>
      </c>
      <c r="M414" s="113"/>
    </row>
    <row r="415" spans="1:13" x14ac:dyDescent="0.2">
      <c r="A415" s="106" t="s">
        <v>4326</v>
      </c>
      <c r="B415" s="105" t="s">
        <v>2031</v>
      </c>
      <c r="C415" s="105" t="s">
        <v>4331</v>
      </c>
      <c r="D415" s="149" t="s">
        <v>2033</v>
      </c>
      <c r="E415" s="105">
        <v>1</v>
      </c>
      <c r="F415" s="133">
        <v>20.399999999999999</v>
      </c>
      <c r="G415" s="133">
        <v>24</v>
      </c>
      <c r="H415" s="109">
        <f t="shared" si="19"/>
        <v>24</v>
      </c>
      <c r="I415" s="119"/>
      <c r="J415" s="119">
        <v>0</v>
      </c>
      <c r="K415" s="119">
        <f t="shared" si="20"/>
        <v>24</v>
      </c>
      <c r="L415" s="152">
        <f t="shared" si="21"/>
        <v>20.399999999999999</v>
      </c>
      <c r="M415" s="113"/>
    </row>
    <row r="416" spans="1:13" x14ac:dyDescent="0.2">
      <c r="A416" s="106" t="s">
        <v>4326</v>
      </c>
      <c r="B416" s="105" t="s">
        <v>2947</v>
      </c>
      <c r="C416" s="105" t="s">
        <v>4331</v>
      </c>
      <c r="D416" s="149" t="s">
        <v>2948</v>
      </c>
      <c r="E416" s="105">
        <v>1</v>
      </c>
      <c r="F416" s="133">
        <v>65.989999999999995</v>
      </c>
      <c r="G416" s="133">
        <v>76.75</v>
      </c>
      <c r="H416" s="109">
        <f t="shared" si="19"/>
        <v>76.75</v>
      </c>
      <c r="I416" s="119"/>
      <c r="J416" s="119">
        <v>0</v>
      </c>
      <c r="K416" s="119">
        <f t="shared" si="20"/>
        <v>76.75</v>
      </c>
      <c r="L416" s="152">
        <f t="shared" si="21"/>
        <v>65.989999999999995</v>
      </c>
      <c r="M416" s="113"/>
    </row>
    <row r="417" spans="1:13" x14ac:dyDescent="0.2">
      <c r="A417" s="106" t="s">
        <v>4326</v>
      </c>
      <c r="B417" s="105" t="s">
        <v>3083</v>
      </c>
      <c r="C417" s="105" t="s">
        <v>4332</v>
      </c>
      <c r="D417" s="149" t="s">
        <v>3085</v>
      </c>
      <c r="E417" s="105">
        <v>1</v>
      </c>
      <c r="F417" s="133">
        <v>29.95</v>
      </c>
      <c r="G417" s="133">
        <v>34.5</v>
      </c>
      <c r="H417" s="109">
        <f t="shared" si="19"/>
        <v>34.5</v>
      </c>
      <c r="I417" s="119"/>
      <c r="J417" s="119">
        <v>0</v>
      </c>
      <c r="K417" s="119">
        <f t="shared" si="20"/>
        <v>34.5</v>
      </c>
      <c r="L417" s="152">
        <f t="shared" si="21"/>
        <v>29.95</v>
      </c>
      <c r="M417" s="113"/>
    </row>
    <row r="418" spans="1:13" x14ac:dyDescent="0.2">
      <c r="A418" s="106" t="s">
        <v>4326</v>
      </c>
      <c r="B418" s="105" t="s">
        <v>2317</v>
      </c>
      <c r="C418" s="105" t="s">
        <v>4333</v>
      </c>
      <c r="D418" s="149" t="s">
        <v>2319</v>
      </c>
      <c r="E418" s="105">
        <v>2</v>
      </c>
      <c r="F418" s="133">
        <v>47.5</v>
      </c>
      <c r="G418" s="133">
        <v>54.75</v>
      </c>
      <c r="H418" s="109">
        <f t="shared" si="19"/>
        <v>109.5</v>
      </c>
      <c r="I418" s="119"/>
      <c r="J418" s="119">
        <v>0</v>
      </c>
      <c r="K418" s="119">
        <f t="shared" si="20"/>
        <v>109.5</v>
      </c>
      <c r="L418" s="152">
        <f t="shared" si="21"/>
        <v>95</v>
      </c>
      <c r="M418" s="113"/>
    </row>
    <row r="419" spans="1:13" x14ac:dyDescent="0.2">
      <c r="A419" s="106" t="s">
        <v>4326</v>
      </c>
      <c r="B419" s="105" t="s">
        <v>2115</v>
      </c>
      <c r="C419" s="105" t="s">
        <v>4333</v>
      </c>
      <c r="D419" s="149" t="s">
        <v>2117</v>
      </c>
      <c r="E419" s="105">
        <v>1</v>
      </c>
      <c r="F419" s="133">
        <v>84.8</v>
      </c>
      <c r="G419" s="133">
        <v>94</v>
      </c>
      <c r="H419" s="109">
        <f t="shared" si="19"/>
        <v>94</v>
      </c>
      <c r="I419" s="119"/>
      <c r="J419" s="119">
        <v>0</v>
      </c>
      <c r="K419" s="119">
        <f t="shared" si="20"/>
        <v>94</v>
      </c>
      <c r="L419" s="152">
        <f t="shared" si="21"/>
        <v>84.8</v>
      </c>
      <c r="M419" s="113"/>
    </row>
    <row r="420" spans="1:13" x14ac:dyDescent="0.2">
      <c r="A420" s="106" t="s">
        <v>4326</v>
      </c>
      <c r="B420" s="105" t="s">
        <v>4327</v>
      </c>
      <c r="C420" s="105" t="s">
        <v>4333</v>
      </c>
      <c r="D420" s="149" t="s">
        <v>4357</v>
      </c>
      <c r="E420" s="105">
        <v>1</v>
      </c>
      <c r="F420" s="133">
        <v>145.18</v>
      </c>
      <c r="G420" s="133">
        <v>167</v>
      </c>
      <c r="H420" s="109">
        <f t="shared" si="19"/>
        <v>167</v>
      </c>
      <c r="I420" s="119"/>
      <c r="J420" s="119">
        <v>0</v>
      </c>
      <c r="K420" s="119">
        <f t="shared" si="20"/>
        <v>167</v>
      </c>
      <c r="L420" s="152">
        <f t="shared" si="21"/>
        <v>145.18</v>
      </c>
      <c r="M420" s="113"/>
    </row>
    <row r="421" spans="1:13" x14ac:dyDescent="0.2">
      <c r="A421" s="106" t="s">
        <v>4326</v>
      </c>
      <c r="B421" s="105" t="s">
        <v>2133</v>
      </c>
      <c r="C421" s="105" t="s">
        <v>4334</v>
      </c>
      <c r="D421" s="149" t="s">
        <v>2135</v>
      </c>
      <c r="E421" s="105">
        <v>1</v>
      </c>
      <c r="F421" s="133">
        <v>68</v>
      </c>
      <c r="G421" s="133">
        <v>78.25</v>
      </c>
      <c r="H421" s="109">
        <f t="shared" si="19"/>
        <v>78.25</v>
      </c>
      <c r="I421" s="119"/>
      <c r="J421" s="119">
        <v>0</v>
      </c>
      <c r="K421" s="119">
        <f t="shared" si="20"/>
        <v>78.25</v>
      </c>
      <c r="L421" s="152">
        <f t="shared" si="21"/>
        <v>68</v>
      </c>
      <c r="M421" s="113"/>
    </row>
    <row r="422" spans="1:13" x14ac:dyDescent="0.2">
      <c r="A422" s="106" t="s">
        <v>4326</v>
      </c>
      <c r="B422" s="105" t="s">
        <v>3185</v>
      </c>
      <c r="C422" s="105" t="s">
        <v>4335</v>
      </c>
      <c r="D422" s="149" t="s">
        <v>3187</v>
      </c>
      <c r="E422" s="105">
        <v>1</v>
      </c>
      <c r="F422" s="133">
        <v>129</v>
      </c>
      <c r="G422" s="133">
        <v>148.5</v>
      </c>
      <c r="H422" s="109">
        <f t="shared" si="19"/>
        <v>148.5</v>
      </c>
      <c r="I422" s="119"/>
      <c r="J422" s="119">
        <v>0</v>
      </c>
      <c r="K422" s="119">
        <f t="shared" si="20"/>
        <v>148.5</v>
      </c>
      <c r="L422" s="152">
        <f t="shared" si="21"/>
        <v>129</v>
      </c>
      <c r="M422" s="113"/>
    </row>
    <row r="423" spans="1:13" x14ac:dyDescent="0.2">
      <c r="A423" s="106" t="s">
        <v>4326</v>
      </c>
      <c r="B423" s="105" t="s">
        <v>2245</v>
      </c>
      <c r="C423" s="105" t="s">
        <v>4336</v>
      </c>
      <c r="D423" s="149" t="s">
        <v>2246</v>
      </c>
      <c r="E423" s="105">
        <v>16</v>
      </c>
      <c r="F423" s="133">
        <v>4.74</v>
      </c>
      <c r="G423" s="133">
        <v>5.5</v>
      </c>
      <c r="H423" s="109">
        <f t="shared" si="19"/>
        <v>88</v>
      </c>
      <c r="I423" s="119"/>
      <c r="J423" s="119">
        <v>0</v>
      </c>
      <c r="K423" s="119">
        <f t="shared" si="20"/>
        <v>88</v>
      </c>
      <c r="L423" s="152">
        <f t="shared" si="21"/>
        <v>75.84</v>
      </c>
      <c r="M423" s="113"/>
    </row>
    <row r="424" spans="1:13" x14ac:dyDescent="0.2">
      <c r="A424" s="106" t="s">
        <v>4326</v>
      </c>
      <c r="B424" s="105" t="s">
        <v>4328</v>
      </c>
      <c r="C424" s="105" t="s">
        <v>4337</v>
      </c>
      <c r="D424" s="149" t="s">
        <v>4358</v>
      </c>
      <c r="E424" s="105">
        <v>2</v>
      </c>
      <c r="F424" s="133">
        <v>23.63</v>
      </c>
      <c r="G424" s="133">
        <v>27.25</v>
      </c>
      <c r="H424" s="109">
        <f t="shared" si="19"/>
        <v>54.5</v>
      </c>
      <c r="I424" s="119"/>
      <c r="J424" s="119">
        <v>0</v>
      </c>
      <c r="K424" s="119">
        <f t="shared" si="20"/>
        <v>54.5</v>
      </c>
      <c r="L424" s="152">
        <f t="shared" si="21"/>
        <v>47.26</v>
      </c>
      <c r="M424" s="113"/>
    </row>
    <row r="425" spans="1:13" x14ac:dyDescent="0.2">
      <c r="A425" s="106" t="s">
        <v>4326</v>
      </c>
      <c r="B425" s="105" t="s">
        <v>4253</v>
      </c>
      <c r="C425" s="105" t="s">
        <v>4338</v>
      </c>
      <c r="D425" s="149" t="s">
        <v>4254</v>
      </c>
      <c r="E425" s="105">
        <v>1</v>
      </c>
      <c r="F425" s="133">
        <v>6.4</v>
      </c>
      <c r="G425" s="133">
        <v>7.5</v>
      </c>
      <c r="H425" s="109">
        <f t="shared" si="19"/>
        <v>7.5</v>
      </c>
      <c r="I425" s="119"/>
      <c r="J425" s="119">
        <v>0</v>
      </c>
      <c r="K425" s="119">
        <f t="shared" si="20"/>
        <v>7.5</v>
      </c>
      <c r="L425" s="152">
        <f t="shared" si="21"/>
        <v>6.4</v>
      </c>
      <c r="M425" s="113"/>
    </row>
    <row r="426" spans="1:13" x14ac:dyDescent="0.2">
      <c r="A426" s="106" t="s">
        <v>4326</v>
      </c>
      <c r="B426" s="105" t="s">
        <v>1929</v>
      </c>
      <c r="C426" s="105" t="s">
        <v>4339</v>
      </c>
      <c r="D426" s="149" t="s">
        <v>1930</v>
      </c>
      <c r="E426" s="105">
        <v>1</v>
      </c>
      <c r="F426" s="133">
        <v>13.92</v>
      </c>
      <c r="G426" s="133">
        <v>22</v>
      </c>
      <c r="H426" s="109">
        <f t="shared" si="19"/>
        <v>22</v>
      </c>
      <c r="I426" s="119"/>
      <c r="J426" s="119">
        <v>0</v>
      </c>
      <c r="K426" s="119">
        <f t="shared" si="20"/>
        <v>22</v>
      </c>
      <c r="L426" s="152">
        <f t="shared" si="21"/>
        <v>13.92</v>
      </c>
      <c r="M426" s="113"/>
    </row>
    <row r="427" spans="1:13" x14ac:dyDescent="0.2">
      <c r="A427" s="106" t="s">
        <v>4326</v>
      </c>
      <c r="B427" s="105" t="s">
        <v>3225</v>
      </c>
      <c r="C427" s="105" t="s">
        <v>4340</v>
      </c>
      <c r="D427" s="149" t="s">
        <v>3227</v>
      </c>
      <c r="E427" s="105">
        <v>1</v>
      </c>
      <c r="F427" s="133">
        <v>21.17</v>
      </c>
      <c r="G427" s="133">
        <v>24.5</v>
      </c>
      <c r="H427" s="109">
        <f t="shared" si="19"/>
        <v>24.5</v>
      </c>
      <c r="I427" s="119"/>
      <c r="J427" s="119">
        <v>0</v>
      </c>
      <c r="K427" s="119">
        <f t="shared" si="20"/>
        <v>24.5</v>
      </c>
      <c r="L427" s="152">
        <f t="shared" si="21"/>
        <v>21.17</v>
      </c>
      <c r="M427" s="113"/>
    </row>
    <row r="428" spans="1:13" x14ac:dyDescent="0.2">
      <c r="A428" s="106" t="s">
        <v>4326</v>
      </c>
      <c r="B428" s="105" t="s">
        <v>2694</v>
      </c>
      <c r="C428" s="105" t="s">
        <v>4341</v>
      </c>
      <c r="D428" s="149" t="s">
        <v>2695</v>
      </c>
      <c r="E428" s="105">
        <v>1</v>
      </c>
      <c r="F428" s="133">
        <v>64.489999999999995</v>
      </c>
      <c r="G428" s="133">
        <v>74.25</v>
      </c>
      <c r="H428" s="109">
        <f t="shared" si="19"/>
        <v>74.25</v>
      </c>
      <c r="I428" s="119"/>
      <c r="J428" s="119">
        <v>0</v>
      </c>
      <c r="K428" s="119">
        <f t="shared" si="20"/>
        <v>74.25</v>
      </c>
      <c r="L428" s="152">
        <f t="shared" si="21"/>
        <v>64.489999999999995</v>
      </c>
      <c r="M428" s="113"/>
    </row>
    <row r="429" spans="1:13" x14ac:dyDescent="0.2">
      <c r="A429" s="106" t="s">
        <v>4326</v>
      </c>
      <c r="B429" s="105" t="s">
        <v>2162</v>
      </c>
      <c r="C429" s="105" t="s">
        <v>4341</v>
      </c>
      <c r="D429" s="149" t="s">
        <v>2163</v>
      </c>
      <c r="E429" s="105">
        <v>2</v>
      </c>
      <c r="F429" s="133">
        <v>67.290000000000006</v>
      </c>
      <c r="G429" s="133">
        <v>77.5</v>
      </c>
      <c r="H429" s="109">
        <f t="shared" si="19"/>
        <v>155</v>
      </c>
      <c r="I429" s="119"/>
      <c r="J429" s="119">
        <v>0</v>
      </c>
      <c r="K429" s="119">
        <f t="shared" si="20"/>
        <v>155</v>
      </c>
      <c r="L429" s="152">
        <f t="shared" si="21"/>
        <v>134.58000000000001</v>
      </c>
      <c r="M429" s="113"/>
    </row>
    <row r="430" spans="1:13" x14ac:dyDescent="0.2">
      <c r="A430" s="106" t="s">
        <v>4326</v>
      </c>
      <c r="B430" s="105" t="s">
        <v>2298</v>
      </c>
      <c r="C430" s="105" t="s">
        <v>4342</v>
      </c>
      <c r="D430" s="149" t="s">
        <v>2299</v>
      </c>
      <c r="E430" s="105">
        <v>2</v>
      </c>
      <c r="F430" s="133">
        <v>20.8</v>
      </c>
      <c r="G430" s="133">
        <v>24</v>
      </c>
      <c r="H430" s="109">
        <f t="shared" si="19"/>
        <v>48</v>
      </c>
      <c r="I430" s="119"/>
      <c r="J430" s="119">
        <v>0</v>
      </c>
      <c r="K430" s="119">
        <f t="shared" si="20"/>
        <v>48</v>
      </c>
      <c r="L430" s="152">
        <f t="shared" si="21"/>
        <v>41.6</v>
      </c>
      <c r="M430" s="113"/>
    </row>
    <row r="431" spans="1:13" x14ac:dyDescent="0.2">
      <c r="A431" s="106" t="s">
        <v>4326</v>
      </c>
      <c r="B431" s="105" t="s">
        <v>3457</v>
      </c>
      <c r="C431" s="105" t="s">
        <v>4342</v>
      </c>
      <c r="D431" s="149" t="s">
        <v>3458</v>
      </c>
      <c r="E431" s="105">
        <v>2</v>
      </c>
      <c r="F431" s="133">
        <v>51.97</v>
      </c>
      <c r="G431" s="133">
        <v>60</v>
      </c>
      <c r="H431" s="109">
        <f t="shared" si="19"/>
        <v>120</v>
      </c>
      <c r="I431" s="119"/>
      <c r="J431" s="119">
        <v>0</v>
      </c>
      <c r="K431" s="119">
        <f t="shared" si="20"/>
        <v>120</v>
      </c>
      <c r="L431" s="152">
        <f t="shared" si="21"/>
        <v>103.94</v>
      </c>
      <c r="M431" s="113"/>
    </row>
    <row r="432" spans="1:13" x14ac:dyDescent="0.2">
      <c r="A432" s="106" t="s">
        <v>4326</v>
      </c>
      <c r="B432" s="105" t="s">
        <v>2762</v>
      </c>
      <c r="C432" s="105" t="s">
        <v>4343</v>
      </c>
      <c r="D432" s="149" t="s">
        <v>2764</v>
      </c>
      <c r="E432" s="105">
        <v>4</v>
      </c>
      <c r="F432" s="133">
        <v>18.57</v>
      </c>
      <c r="G432" s="133">
        <v>21.5</v>
      </c>
      <c r="H432" s="109">
        <f t="shared" si="19"/>
        <v>86</v>
      </c>
      <c r="I432" s="119"/>
      <c r="J432" s="119">
        <v>0</v>
      </c>
      <c r="K432" s="119">
        <f t="shared" si="20"/>
        <v>86</v>
      </c>
      <c r="L432" s="152">
        <f t="shared" si="21"/>
        <v>74.28</v>
      </c>
      <c r="M432" s="113"/>
    </row>
    <row r="433" spans="1:13" x14ac:dyDescent="0.2">
      <c r="A433" s="106" t="s">
        <v>4326</v>
      </c>
      <c r="B433" s="105" t="s">
        <v>1944</v>
      </c>
      <c r="C433" s="105" t="s">
        <v>4344</v>
      </c>
      <c r="D433" s="149" t="s">
        <v>1946</v>
      </c>
      <c r="E433" s="105">
        <v>1</v>
      </c>
      <c r="F433" s="133">
        <v>14.38</v>
      </c>
      <c r="G433" s="133">
        <v>16.75</v>
      </c>
      <c r="H433" s="109">
        <f t="shared" si="19"/>
        <v>16.75</v>
      </c>
      <c r="I433" s="119"/>
      <c r="J433" s="119">
        <v>0</v>
      </c>
      <c r="K433" s="119">
        <f t="shared" si="20"/>
        <v>16.75</v>
      </c>
      <c r="L433" s="152">
        <f t="shared" si="21"/>
        <v>14.38</v>
      </c>
      <c r="M433" s="113"/>
    </row>
    <row r="434" spans="1:13" x14ac:dyDescent="0.2">
      <c r="A434" s="106" t="s">
        <v>4326</v>
      </c>
      <c r="B434" s="105" t="s">
        <v>4156</v>
      </c>
      <c r="C434" s="105" t="s">
        <v>4342</v>
      </c>
      <c r="D434" s="149" t="s">
        <v>4157</v>
      </c>
      <c r="E434" s="105">
        <v>1</v>
      </c>
      <c r="F434" s="133">
        <v>6.03</v>
      </c>
      <c r="G434" s="133">
        <v>7</v>
      </c>
      <c r="H434" s="109">
        <f t="shared" si="19"/>
        <v>7</v>
      </c>
      <c r="I434" s="119"/>
      <c r="J434" s="119">
        <v>0</v>
      </c>
      <c r="K434" s="119">
        <f t="shared" si="20"/>
        <v>7</v>
      </c>
      <c r="L434" s="152">
        <f t="shared" si="21"/>
        <v>6.03</v>
      </c>
      <c r="M434" s="113"/>
    </row>
    <row r="435" spans="1:13" x14ac:dyDescent="0.2">
      <c r="A435" s="106" t="s">
        <v>4326</v>
      </c>
      <c r="B435" s="105" t="s">
        <v>1994</v>
      </c>
      <c r="C435" s="105" t="s">
        <v>4342</v>
      </c>
      <c r="D435" s="149" t="s">
        <v>1995</v>
      </c>
      <c r="E435" s="105">
        <v>1</v>
      </c>
      <c r="F435" s="133">
        <v>6.67</v>
      </c>
      <c r="G435" s="133">
        <v>9.5</v>
      </c>
      <c r="H435" s="109">
        <f t="shared" si="19"/>
        <v>9.5</v>
      </c>
      <c r="I435" s="119"/>
      <c r="J435" s="119">
        <v>0</v>
      </c>
      <c r="K435" s="119">
        <f t="shared" si="20"/>
        <v>9.5</v>
      </c>
      <c r="L435" s="152">
        <f t="shared" si="21"/>
        <v>6.67</v>
      </c>
      <c r="M435" s="113"/>
    </row>
    <row r="436" spans="1:13" x14ac:dyDescent="0.2">
      <c r="A436" s="106" t="s">
        <v>4326</v>
      </c>
      <c r="B436" s="105" t="s">
        <v>3507</v>
      </c>
      <c r="C436" s="105" t="s">
        <v>4345</v>
      </c>
      <c r="D436" s="149" t="s">
        <v>3508</v>
      </c>
      <c r="E436" s="105">
        <v>1</v>
      </c>
      <c r="F436" s="133">
        <v>18.2</v>
      </c>
      <c r="G436" s="133">
        <v>21</v>
      </c>
      <c r="H436" s="109">
        <f t="shared" si="19"/>
        <v>21</v>
      </c>
      <c r="I436" s="119"/>
      <c r="J436" s="119">
        <v>0</v>
      </c>
      <c r="K436" s="119">
        <f t="shared" si="20"/>
        <v>21</v>
      </c>
      <c r="L436" s="152">
        <f t="shared" si="21"/>
        <v>18.2</v>
      </c>
      <c r="M436" s="113"/>
    </row>
    <row r="437" spans="1:13" x14ac:dyDescent="0.2">
      <c r="A437" s="106" t="s">
        <v>4326</v>
      </c>
      <c r="B437" s="105" t="s">
        <v>1958</v>
      </c>
      <c r="C437" s="105" t="s">
        <v>4345</v>
      </c>
      <c r="D437" s="149" t="s">
        <v>1960</v>
      </c>
      <c r="E437" s="105">
        <v>1</v>
      </c>
      <c r="F437" s="133">
        <v>20.399999999999999</v>
      </c>
      <c r="G437" s="133">
        <v>23.5</v>
      </c>
      <c r="H437" s="109">
        <f t="shared" si="19"/>
        <v>23.5</v>
      </c>
      <c r="I437" s="119"/>
      <c r="J437" s="119">
        <v>0</v>
      </c>
      <c r="K437" s="119">
        <f t="shared" si="20"/>
        <v>23.5</v>
      </c>
      <c r="L437" s="152">
        <f t="shared" si="21"/>
        <v>20.399999999999999</v>
      </c>
      <c r="M437" s="113"/>
    </row>
    <row r="438" spans="1:13" x14ac:dyDescent="0.2">
      <c r="A438" s="106" t="s">
        <v>4326</v>
      </c>
      <c r="B438" s="105" t="s">
        <v>1781</v>
      </c>
      <c r="C438" s="105" t="s">
        <v>4345</v>
      </c>
      <c r="D438" s="149" t="s">
        <v>1782</v>
      </c>
      <c r="E438" s="105">
        <v>1</v>
      </c>
      <c r="F438" s="133">
        <v>9.3800000000000008</v>
      </c>
      <c r="G438" s="133">
        <v>11</v>
      </c>
      <c r="H438" s="109">
        <f t="shared" si="19"/>
        <v>11</v>
      </c>
      <c r="I438" s="119"/>
      <c r="J438" s="119">
        <v>0</v>
      </c>
      <c r="K438" s="119">
        <f t="shared" si="20"/>
        <v>11</v>
      </c>
      <c r="L438" s="152">
        <f t="shared" si="21"/>
        <v>9.3800000000000008</v>
      </c>
      <c r="M438" s="113"/>
    </row>
    <row r="439" spans="1:13" x14ac:dyDescent="0.2">
      <c r="A439" s="106" t="s">
        <v>4326</v>
      </c>
      <c r="B439" s="105" t="s">
        <v>3996</v>
      </c>
      <c r="C439" s="105" t="s">
        <v>4346</v>
      </c>
      <c r="D439" s="149" t="s">
        <v>3997</v>
      </c>
      <c r="E439" s="105">
        <v>1</v>
      </c>
      <c r="F439" s="133">
        <v>30.9</v>
      </c>
      <c r="G439" s="133">
        <v>35.75</v>
      </c>
      <c r="H439" s="109">
        <f t="shared" si="19"/>
        <v>35.75</v>
      </c>
      <c r="I439" s="119"/>
      <c r="J439" s="119">
        <v>0</v>
      </c>
      <c r="K439" s="119">
        <f t="shared" si="20"/>
        <v>35.75</v>
      </c>
      <c r="L439" s="152">
        <f t="shared" si="21"/>
        <v>30.9</v>
      </c>
      <c r="M439" s="113"/>
    </row>
    <row r="440" spans="1:13" x14ac:dyDescent="0.2">
      <c r="A440" s="106" t="s">
        <v>4326</v>
      </c>
      <c r="B440" s="105" t="s">
        <v>3652</v>
      </c>
      <c r="C440" s="105" t="s">
        <v>4347</v>
      </c>
      <c r="D440" s="149" t="s">
        <v>3653</v>
      </c>
      <c r="E440" s="105">
        <v>1</v>
      </c>
      <c r="F440" s="133">
        <v>75</v>
      </c>
      <c r="G440" s="133">
        <v>83</v>
      </c>
      <c r="H440" s="109">
        <f t="shared" si="19"/>
        <v>83</v>
      </c>
      <c r="I440" s="119"/>
      <c r="J440" s="119">
        <v>0</v>
      </c>
      <c r="K440" s="119">
        <f t="shared" si="20"/>
        <v>83</v>
      </c>
      <c r="L440" s="152">
        <f t="shared" si="21"/>
        <v>75</v>
      </c>
      <c r="M440" s="113"/>
    </row>
    <row r="441" spans="1:13" x14ac:dyDescent="0.2">
      <c r="A441" s="106" t="s">
        <v>4326</v>
      </c>
      <c r="B441" s="105" t="s">
        <v>2530</v>
      </c>
      <c r="C441" s="105" t="s">
        <v>4348</v>
      </c>
      <c r="D441" s="149" t="s">
        <v>2532</v>
      </c>
      <c r="E441" s="105">
        <v>1</v>
      </c>
      <c r="F441" s="133">
        <v>22.59</v>
      </c>
      <c r="G441" s="133">
        <v>26</v>
      </c>
      <c r="H441" s="109">
        <f t="shared" si="19"/>
        <v>26</v>
      </c>
      <c r="I441" s="119"/>
      <c r="J441" s="119">
        <v>0</v>
      </c>
      <c r="K441" s="119">
        <f t="shared" si="20"/>
        <v>26</v>
      </c>
      <c r="L441" s="152">
        <f t="shared" si="21"/>
        <v>22.59</v>
      </c>
      <c r="M441" s="113"/>
    </row>
    <row r="442" spans="1:13" x14ac:dyDescent="0.2">
      <c r="A442" s="106" t="s">
        <v>4326</v>
      </c>
      <c r="B442" s="105" t="s">
        <v>2226</v>
      </c>
      <c r="C442" s="105" t="s">
        <v>4349</v>
      </c>
      <c r="D442" s="149" t="s">
        <v>2228</v>
      </c>
      <c r="E442" s="105">
        <v>1</v>
      </c>
      <c r="F442" s="133">
        <v>19.47</v>
      </c>
      <c r="G442" s="133">
        <v>23</v>
      </c>
      <c r="H442" s="109">
        <f t="shared" si="19"/>
        <v>23</v>
      </c>
      <c r="I442" s="119"/>
      <c r="J442" s="119">
        <v>0</v>
      </c>
      <c r="K442" s="119">
        <f t="shared" si="20"/>
        <v>23</v>
      </c>
      <c r="L442" s="152">
        <f t="shared" si="21"/>
        <v>19.47</v>
      </c>
      <c r="M442" s="113"/>
    </row>
    <row r="443" spans="1:13" x14ac:dyDescent="0.2">
      <c r="A443" s="106" t="s">
        <v>4326</v>
      </c>
      <c r="B443" s="105" t="s">
        <v>2712</v>
      </c>
      <c r="C443" s="105" t="s">
        <v>4350</v>
      </c>
      <c r="D443" s="149" t="s">
        <v>2714</v>
      </c>
      <c r="E443" s="105">
        <v>1</v>
      </c>
      <c r="F443" s="133">
        <v>177.9</v>
      </c>
      <c r="G443" s="133">
        <v>204.75</v>
      </c>
      <c r="H443" s="109">
        <f t="shared" si="19"/>
        <v>204.75</v>
      </c>
      <c r="I443" s="119"/>
      <c r="J443" s="119">
        <v>0</v>
      </c>
      <c r="K443" s="119">
        <f t="shared" si="20"/>
        <v>204.75</v>
      </c>
      <c r="L443" s="152">
        <f t="shared" si="21"/>
        <v>177.9</v>
      </c>
      <c r="M443" s="113"/>
    </row>
    <row r="444" spans="1:13" x14ac:dyDescent="0.2">
      <c r="A444" s="106" t="s">
        <v>4326</v>
      </c>
      <c r="B444" s="105" t="s">
        <v>2363</v>
      </c>
      <c r="C444" s="105" t="s">
        <v>4350</v>
      </c>
      <c r="D444" s="149" t="s">
        <v>2365</v>
      </c>
      <c r="E444" s="105">
        <v>3</v>
      </c>
      <c r="F444" s="133">
        <v>12.66</v>
      </c>
      <c r="G444" s="133">
        <v>14.25</v>
      </c>
      <c r="H444" s="109">
        <f t="shared" si="19"/>
        <v>42.75</v>
      </c>
      <c r="I444" s="119"/>
      <c r="J444" s="119">
        <v>0</v>
      </c>
      <c r="K444" s="119">
        <f t="shared" si="20"/>
        <v>42.75</v>
      </c>
      <c r="L444" s="152">
        <f t="shared" si="21"/>
        <v>37.980000000000004</v>
      </c>
      <c r="M444" s="113"/>
    </row>
    <row r="445" spans="1:13" x14ac:dyDescent="0.2">
      <c r="A445" s="106" t="s">
        <v>4326</v>
      </c>
      <c r="B445" s="105" t="s">
        <v>4329</v>
      </c>
      <c r="C445" s="105" t="s">
        <v>4350</v>
      </c>
      <c r="D445" s="149" t="s">
        <v>4359</v>
      </c>
      <c r="E445" s="105">
        <v>1</v>
      </c>
      <c r="F445" s="133">
        <v>13.21</v>
      </c>
      <c r="G445" s="133">
        <v>15.25</v>
      </c>
      <c r="H445" s="109">
        <f t="shared" si="19"/>
        <v>15.25</v>
      </c>
      <c r="I445" s="119"/>
      <c r="J445" s="119">
        <v>0</v>
      </c>
      <c r="K445" s="119">
        <f t="shared" si="20"/>
        <v>15.25</v>
      </c>
      <c r="L445" s="152">
        <f t="shared" si="21"/>
        <v>13.21</v>
      </c>
      <c r="M445" s="113"/>
    </row>
    <row r="446" spans="1:13" x14ac:dyDescent="0.2">
      <c r="A446" s="106" t="s">
        <v>4326</v>
      </c>
      <c r="B446" s="105" t="s">
        <v>1951</v>
      </c>
      <c r="C446" s="105" t="s">
        <v>4350</v>
      </c>
      <c r="D446" s="149" t="s">
        <v>1952</v>
      </c>
      <c r="E446" s="105">
        <v>1</v>
      </c>
      <c r="F446" s="133">
        <v>12.77</v>
      </c>
      <c r="G446" s="133">
        <v>14.75</v>
      </c>
      <c r="H446" s="109">
        <f t="shared" si="19"/>
        <v>14.75</v>
      </c>
      <c r="I446" s="119"/>
      <c r="J446" s="119">
        <v>0</v>
      </c>
      <c r="K446" s="119">
        <f t="shared" si="20"/>
        <v>14.75</v>
      </c>
      <c r="L446" s="152">
        <f t="shared" si="21"/>
        <v>12.77</v>
      </c>
      <c r="M446" s="113"/>
    </row>
    <row r="447" spans="1:13" x14ac:dyDescent="0.2">
      <c r="A447" s="106" t="s">
        <v>4326</v>
      </c>
      <c r="B447" s="105" t="s">
        <v>2919</v>
      </c>
      <c r="C447" s="105" t="s">
        <v>4350</v>
      </c>
      <c r="D447" s="149" t="s">
        <v>2921</v>
      </c>
      <c r="E447" s="105">
        <v>1</v>
      </c>
      <c r="F447" s="133">
        <v>92.8</v>
      </c>
      <c r="G447" s="133">
        <v>106.75</v>
      </c>
      <c r="H447" s="109">
        <f t="shared" si="19"/>
        <v>106.75</v>
      </c>
      <c r="I447" s="119"/>
      <c r="J447" s="119">
        <v>0</v>
      </c>
      <c r="K447" s="119">
        <f t="shared" si="20"/>
        <v>106.75</v>
      </c>
      <c r="L447" s="152">
        <f t="shared" si="21"/>
        <v>92.8</v>
      </c>
      <c r="M447" s="113"/>
    </row>
    <row r="448" spans="1:13" x14ac:dyDescent="0.2">
      <c r="A448" s="106" t="s">
        <v>4326</v>
      </c>
      <c r="B448" s="105" t="s">
        <v>2659</v>
      </c>
      <c r="C448" s="105" t="s">
        <v>4350</v>
      </c>
      <c r="D448" s="149" t="s">
        <v>2661</v>
      </c>
      <c r="E448" s="105">
        <v>1</v>
      </c>
      <c r="F448" s="133">
        <v>61.5</v>
      </c>
      <c r="G448" s="133">
        <v>70.75</v>
      </c>
      <c r="H448" s="109">
        <f t="shared" si="19"/>
        <v>70.75</v>
      </c>
      <c r="I448" s="119"/>
      <c r="J448" s="119">
        <v>0</v>
      </c>
      <c r="K448" s="119">
        <f t="shared" si="20"/>
        <v>70.75</v>
      </c>
      <c r="L448" s="152">
        <f t="shared" si="21"/>
        <v>61.5</v>
      </c>
      <c r="M448" s="113"/>
    </row>
    <row r="449" spans="1:13" x14ac:dyDescent="0.2">
      <c r="A449" s="106" t="s">
        <v>4326</v>
      </c>
      <c r="B449" s="105" t="s">
        <v>3169</v>
      </c>
      <c r="C449" s="105" t="s">
        <v>4351</v>
      </c>
      <c r="D449" s="149" t="s">
        <v>3170</v>
      </c>
      <c r="E449" s="105">
        <v>6</v>
      </c>
      <c r="F449" s="133">
        <v>5.41</v>
      </c>
      <c r="G449" s="133">
        <v>6.25</v>
      </c>
      <c r="H449" s="109">
        <f t="shared" si="19"/>
        <v>37.5</v>
      </c>
      <c r="I449" s="119"/>
      <c r="J449" s="119">
        <v>0</v>
      </c>
      <c r="K449" s="119">
        <f t="shared" si="20"/>
        <v>37.5</v>
      </c>
      <c r="L449" s="152">
        <f t="shared" si="21"/>
        <v>32.46</v>
      </c>
      <c r="M449" s="113"/>
    </row>
    <row r="450" spans="1:13" x14ac:dyDescent="0.2">
      <c r="A450" s="106" t="s">
        <v>4326</v>
      </c>
      <c r="B450" s="105" t="s">
        <v>3917</v>
      </c>
      <c r="C450" s="105" t="s">
        <v>4351</v>
      </c>
      <c r="D450" s="149" t="s">
        <v>3919</v>
      </c>
      <c r="E450" s="105">
        <v>4</v>
      </c>
      <c r="F450" s="133">
        <v>6.37</v>
      </c>
      <c r="G450" s="133">
        <v>7.5</v>
      </c>
      <c r="H450" s="109">
        <f t="shared" si="19"/>
        <v>30</v>
      </c>
      <c r="I450" s="119"/>
      <c r="J450" s="119">
        <v>0</v>
      </c>
      <c r="K450" s="119">
        <f t="shared" si="20"/>
        <v>30</v>
      </c>
      <c r="L450" s="152">
        <f t="shared" si="21"/>
        <v>25.48</v>
      </c>
      <c r="M450" s="113"/>
    </row>
    <row r="451" spans="1:13" x14ac:dyDescent="0.2">
      <c r="A451" s="106" t="s">
        <v>4326</v>
      </c>
      <c r="B451" s="105" t="s">
        <v>3201</v>
      </c>
      <c r="C451" s="105" t="s">
        <v>4352</v>
      </c>
      <c r="D451" s="149" t="s">
        <v>3202</v>
      </c>
      <c r="E451" s="105">
        <v>1</v>
      </c>
      <c r="F451" s="133">
        <v>61.5</v>
      </c>
      <c r="G451" s="133">
        <v>70.75</v>
      </c>
      <c r="H451" s="109">
        <f t="shared" si="19"/>
        <v>70.75</v>
      </c>
      <c r="I451" s="119"/>
      <c r="J451" s="119">
        <v>0</v>
      </c>
      <c r="K451" s="119">
        <f t="shared" si="20"/>
        <v>70.75</v>
      </c>
      <c r="L451" s="152">
        <f t="shared" si="21"/>
        <v>61.5</v>
      </c>
      <c r="M451" s="113"/>
    </row>
    <row r="452" spans="1:13" x14ac:dyDescent="0.2">
      <c r="A452" s="106" t="s">
        <v>4326</v>
      </c>
      <c r="B452" s="105" t="s">
        <v>1977</v>
      </c>
      <c r="C452" s="105" t="s">
        <v>4353</v>
      </c>
      <c r="D452" s="149" t="s">
        <v>1979</v>
      </c>
      <c r="E452" s="105">
        <v>1</v>
      </c>
      <c r="F452" s="133">
        <v>0.76</v>
      </c>
      <c r="G452" s="133">
        <v>1</v>
      </c>
      <c r="H452" s="109">
        <f t="shared" si="19"/>
        <v>1</v>
      </c>
      <c r="I452" s="119"/>
      <c r="J452" s="119">
        <v>0</v>
      </c>
      <c r="K452" s="119">
        <f t="shared" si="20"/>
        <v>1</v>
      </c>
      <c r="L452" s="152">
        <f t="shared" si="21"/>
        <v>0.76</v>
      </c>
      <c r="M452" s="113"/>
    </row>
    <row r="453" spans="1:13" x14ac:dyDescent="0.2">
      <c r="A453" s="106" t="s">
        <v>4326</v>
      </c>
      <c r="B453" s="105" t="s">
        <v>2089</v>
      </c>
      <c r="C453" s="105" t="s">
        <v>4353</v>
      </c>
      <c r="D453" s="149" t="s">
        <v>2090</v>
      </c>
      <c r="E453" s="105">
        <v>2</v>
      </c>
      <c r="F453" s="133">
        <v>0.76</v>
      </c>
      <c r="G453" s="133">
        <v>1</v>
      </c>
      <c r="H453" s="109">
        <f t="shared" si="19"/>
        <v>2</v>
      </c>
      <c r="I453" s="119"/>
      <c r="J453" s="119">
        <v>0</v>
      </c>
      <c r="K453" s="119">
        <f t="shared" si="20"/>
        <v>2</v>
      </c>
      <c r="L453" s="152">
        <f t="shared" si="21"/>
        <v>1.52</v>
      </c>
      <c r="M453" s="113"/>
    </row>
    <row r="454" spans="1:13" x14ac:dyDescent="0.2">
      <c r="A454" s="106" t="s">
        <v>4326</v>
      </c>
      <c r="B454" s="105" t="s">
        <v>3452</v>
      </c>
      <c r="C454" s="105" t="s">
        <v>4354</v>
      </c>
      <c r="D454" s="149" t="s">
        <v>3453</v>
      </c>
      <c r="E454" s="105">
        <v>6</v>
      </c>
      <c r="F454" s="133">
        <v>44.5</v>
      </c>
      <c r="G454" s="133">
        <v>51.25</v>
      </c>
      <c r="H454" s="109">
        <f t="shared" si="19"/>
        <v>307.5</v>
      </c>
      <c r="I454" s="119"/>
      <c r="J454" s="119">
        <v>0</v>
      </c>
      <c r="K454" s="119">
        <f t="shared" si="20"/>
        <v>307.5</v>
      </c>
      <c r="L454" s="152">
        <f t="shared" si="21"/>
        <v>267</v>
      </c>
      <c r="M454" s="113"/>
    </row>
    <row r="455" spans="1:13" x14ac:dyDescent="0.2">
      <c r="A455" s="106" t="s">
        <v>4326</v>
      </c>
      <c r="B455" s="105" t="s">
        <v>4330</v>
      </c>
      <c r="C455" s="105" t="s">
        <v>4355</v>
      </c>
      <c r="D455" s="149" t="s">
        <v>4360</v>
      </c>
      <c r="E455" s="105">
        <v>1</v>
      </c>
      <c r="F455" s="133">
        <v>69.510000000000005</v>
      </c>
      <c r="G455" s="133">
        <v>80</v>
      </c>
      <c r="H455" s="109">
        <f t="shared" ref="H455:H518" si="22">E455*G455</f>
        <v>80</v>
      </c>
      <c r="I455" s="119"/>
      <c r="J455" s="119">
        <v>0</v>
      </c>
      <c r="K455" s="119">
        <f t="shared" ref="K455:K518" si="23">H455+I455-J455</f>
        <v>80</v>
      </c>
      <c r="L455" s="152">
        <f t="shared" ref="L455:L518" si="24">E455*F455</f>
        <v>69.510000000000005</v>
      </c>
      <c r="M455" s="113"/>
    </row>
    <row r="456" spans="1:13" x14ac:dyDescent="0.2">
      <c r="A456" s="106" t="s">
        <v>4326</v>
      </c>
      <c r="B456" s="105" t="s">
        <v>3996</v>
      </c>
      <c r="C456" s="105" t="s">
        <v>4355</v>
      </c>
      <c r="D456" s="149" t="s">
        <v>3997</v>
      </c>
      <c r="E456" s="105">
        <v>1</v>
      </c>
      <c r="F456" s="133">
        <v>30.9</v>
      </c>
      <c r="G456" s="133">
        <v>35.75</v>
      </c>
      <c r="H456" s="109">
        <f t="shared" si="22"/>
        <v>35.75</v>
      </c>
      <c r="I456" s="119"/>
      <c r="J456" s="119">
        <v>0</v>
      </c>
      <c r="K456" s="119">
        <f t="shared" si="23"/>
        <v>35.75</v>
      </c>
      <c r="L456" s="152">
        <f t="shared" si="24"/>
        <v>30.9</v>
      </c>
      <c r="M456" s="113"/>
    </row>
    <row r="457" spans="1:13" x14ac:dyDescent="0.2">
      <c r="A457" s="106" t="s">
        <v>4326</v>
      </c>
      <c r="B457" s="105" t="s">
        <v>1781</v>
      </c>
      <c r="C457" s="105" t="s">
        <v>4355</v>
      </c>
      <c r="D457" s="149" t="s">
        <v>1782</v>
      </c>
      <c r="E457" s="105">
        <v>2</v>
      </c>
      <c r="F457" s="133">
        <v>9.3800000000000008</v>
      </c>
      <c r="G457" s="133">
        <v>11</v>
      </c>
      <c r="H457" s="109">
        <f t="shared" si="22"/>
        <v>22</v>
      </c>
      <c r="I457" s="119"/>
      <c r="J457" s="119">
        <v>0</v>
      </c>
      <c r="K457" s="119">
        <f t="shared" si="23"/>
        <v>22</v>
      </c>
      <c r="L457" s="152">
        <f t="shared" si="24"/>
        <v>18.760000000000002</v>
      </c>
      <c r="M457" s="113"/>
    </row>
    <row r="458" spans="1:13" x14ac:dyDescent="0.2">
      <c r="A458" s="106" t="s">
        <v>4326</v>
      </c>
      <c r="B458" s="105" t="s">
        <v>1951</v>
      </c>
      <c r="C458" s="105" t="s">
        <v>4356</v>
      </c>
      <c r="D458" s="149" t="s">
        <v>1952</v>
      </c>
      <c r="E458" s="105">
        <v>1</v>
      </c>
      <c r="F458" s="133">
        <v>12.77</v>
      </c>
      <c r="G458" s="133">
        <v>14.75</v>
      </c>
      <c r="H458" s="109">
        <f t="shared" si="22"/>
        <v>14.75</v>
      </c>
      <c r="I458" s="119"/>
      <c r="J458" s="119">
        <v>0</v>
      </c>
      <c r="K458" s="119">
        <f t="shared" si="23"/>
        <v>14.75</v>
      </c>
      <c r="L458" s="152">
        <f t="shared" si="24"/>
        <v>12.77</v>
      </c>
      <c r="M458" s="113"/>
    </row>
    <row r="459" spans="1:13" x14ac:dyDescent="0.2">
      <c r="A459" s="106" t="s">
        <v>4361</v>
      </c>
      <c r="B459" s="105" t="s">
        <v>2380</v>
      </c>
      <c r="C459" s="105" t="s">
        <v>4371</v>
      </c>
      <c r="D459" s="149" t="s">
        <v>2381</v>
      </c>
      <c r="E459" s="105">
        <v>1</v>
      </c>
      <c r="F459" s="133">
        <v>22.73</v>
      </c>
      <c r="G459" s="133">
        <v>26.25</v>
      </c>
      <c r="H459" s="109">
        <f t="shared" si="22"/>
        <v>26.25</v>
      </c>
      <c r="I459" s="119"/>
      <c r="J459" s="119">
        <v>0</v>
      </c>
      <c r="K459" s="119">
        <f t="shared" si="23"/>
        <v>26.25</v>
      </c>
      <c r="L459" s="152">
        <f t="shared" si="24"/>
        <v>22.73</v>
      </c>
      <c r="M459" s="113"/>
    </row>
    <row r="460" spans="1:13" x14ac:dyDescent="0.2">
      <c r="A460" s="106" t="s">
        <v>4361</v>
      </c>
      <c r="B460" s="105" t="s">
        <v>4364</v>
      </c>
      <c r="C460" s="105" t="s">
        <v>4371</v>
      </c>
      <c r="D460" s="149" t="s">
        <v>4428</v>
      </c>
      <c r="E460" s="105">
        <v>1</v>
      </c>
      <c r="F460" s="133">
        <v>72.45</v>
      </c>
      <c r="G460" s="133">
        <v>83.5</v>
      </c>
      <c r="H460" s="109">
        <f t="shared" si="22"/>
        <v>83.5</v>
      </c>
      <c r="I460" s="119"/>
      <c r="J460" s="119">
        <v>0</v>
      </c>
      <c r="K460" s="119">
        <f t="shared" si="23"/>
        <v>83.5</v>
      </c>
      <c r="L460" s="152">
        <f t="shared" si="24"/>
        <v>72.45</v>
      </c>
      <c r="M460" s="113"/>
    </row>
    <row r="461" spans="1:13" x14ac:dyDescent="0.2">
      <c r="A461" s="106" t="s">
        <v>4361</v>
      </c>
      <c r="B461" s="105" t="s">
        <v>3788</v>
      </c>
      <c r="C461" s="105" t="s">
        <v>4371</v>
      </c>
      <c r="D461" s="149" t="s">
        <v>3789</v>
      </c>
      <c r="E461" s="105">
        <v>1</v>
      </c>
      <c r="F461" s="133">
        <v>22.19</v>
      </c>
      <c r="G461" s="133">
        <v>25.5</v>
      </c>
      <c r="H461" s="109">
        <f t="shared" si="22"/>
        <v>25.5</v>
      </c>
      <c r="I461" s="119"/>
      <c r="J461" s="119">
        <v>0</v>
      </c>
      <c r="K461" s="119">
        <f t="shared" si="23"/>
        <v>25.5</v>
      </c>
      <c r="L461" s="152">
        <f t="shared" si="24"/>
        <v>22.19</v>
      </c>
      <c r="M461" s="113"/>
    </row>
    <row r="462" spans="1:13" x14ac:dyDescent="0.2">
      <c r="A462" s="106" t="s">
        <v>4361</v>
      </c>
      <c r="B462" s="105" t="s">
        <v>4250</v>
      </c>
      <c r="C462" s="105" t="s">
        <v>4372</v>
      </c>
      <c r="D462" s="149" t="s">
        <v>4252</v>
      </c>
      <c r="E462" s="105">
        <v>2</v>
      </c>
      <c r="F462" s="133">
        <v>6.4</v>
      </c>
      <c r="G462" s="133">
        <v>7.5</v>
      </c>
      <c r="H462" s="109">
        <f t="shared" si="22"/>
        <v>15</v>
      </c>
      <c r="I462" s="119"/>
      <c r="J462" s="119">
        <v>0</v>
      </c>
      <c r="K462" s="119">
        <f t="shared" si="23"/>
        <v>15</v>
      </c>
      <c r="L462" s="152">
        <f t="shared" si="24"/>
        <v>12.8</v>
      </c>
      <c r="M462" s="113"/>
    </row>
    <row r="463" spans="1:13" x14ac:dyDescent="0.2">
      <c r="A463" s="106" t="s">
        <v>4361</v>
      </c>
      <c r="B463" s="105" t="s">
        <v>3753</v>
      </c>
      <c r="C463" s="105" t="s">
        <v>4373</v>
      </c>
      <c r="D463" s="149" t="s">
        <v>3755</v>
      </c>
      <c r="E463" s="105">
        <v>2</v>
      </c>
      <c r="F463" s="133">
        <v>18.98</v>
      </c>
      <c r="G463" s="133">
        <v>22</v>
      </c>
      <c r="H463" s="109">
        <f t="shared" si="22"/>
        <v>44</v>
      </c>
      <c r="I463" s="119"/>
      <c r="J463" s="119">
        <v>0</v>
      </c>
      <c r="K463" s="119">
        <f t="shared" si="23"/>
        <v>44</v>
      </c>
      <c r="L463" s="152">
        <f t="shared" si="24"/>
        <v>37.96</v>
      </c>
      <c r="M463" s="113"/>
    </row>
    <row r="464" spans="1:13" x14ac:dyDescent="0.2">
      <c r="A464" s="106" t="s">
        <v>4361</v>
      </c>
      <c r="B464" s="105" t="s">
        <v>4253</v>
      </c>
      <c r="C464" s="105" t="s">
        <v>4374</v>
      </c>
      <c r="D464" s="149" t="s">
        <v>4254</v>
      </c>
      <c r="E464" s="105">
        <v>1</v>
      </c>
      <c r="F464" s="133">
        <v>6.4</v>
      </c>
      <c r="G464" s="133">
        <v>7.5</v>
      </c>
      <c r="H464" s="109">
        <f t="shared" si="22"/>
        <v>7.5</v>
      </c>
      <c r="I464" s="119"/>
      <c r="J464" s="119">
        <v>0</v>
      </c>
      <c r="K464" s="119">
        <f t="shared" si="23"/>
        <v>7.5</v>
      </c>
      <c r="L464" s="152">
        <f t="shared" si="24"/>
        <v>6.4</v>
      </c>
      <c r="M464" s="113"/>
    </row>
    <row r="465" spans="1:13" x14ac:dyDescent="0.2">
      <c r="A465" s="106" t="s">
        <v>4361</v>
      </c>
      <c r="B465" s="105" t="s">
        <v>1929</v>
      </c>
      <c r="C465" s="105" t="s">
        <v>4375</v>
      </c>
      <c r="D465" s="149" t="s">
        <v>1930</v>
      </c>
      <c r="E465" s="105">
        <v>1</v>
      </c>
      <c r="F465" s="133">
        <v>13.92</v>
      </c>
      <c r="G465" s="133">
        <v>22</v>
      </c>
      <c r="H465" s="109">
        <f t="shared" si="22"/>
        <v>22</v>
      </c>
      <c r="I465" s="119"/>
      <c r="J465" s="119">
        <v>0</v>
      </c>
      <c r="K465" s="119">
        <f t="shared" si="23"/>
        <v>22</v>
      </c>
      <c r="L465" s="152">
        <f t="shared" si="24"/>
        <v>13.92</v>
      </c>
      <c r="M465" s="113"/>
    </row>
    <row r="466" spans="1:13" x14ac:dyDescent="0.2">
      <c r="A466" s="106" t="s">
        <v>4361</v>
      </c>
      <c r="B466" s="105" t="s">
        <v>2220</v>
      </c>
      <c r="C466" s="105" t="s">
        <v>4375</v>
      </c>
      <c r="D466" s="149" t="s">
        <v>2222</v>
      </c>
      <c r="E466" s="105">
        <v>1</v>
      </c>
      <c r="F466" s="133">
        <v>35.15</v>
      </c>
      <c r="G466" s="133">
        <v>41</v>
      </c>
      <c r="H466" s="109">
        <f t="shared" si="22"/>
        <v>41</v>
      </c>
      <c r="I466" s="119"/>
      <c r="J466" s="119">
        <v>0</v>
      </c>
      <c r="K466" s="119">
        <f t="shared" si="23"/>
        <v>41</v>
      </c>
      <c r="L466" s="152">
        <f t="shared" si="24"/>
        <v>35.15</v>
      </c>
      <c r="M466" s="113"/>
    </row>
    <row r="467" spans="1:13" x14ac:dyDescent="0.2">
      <c r="A467" s="106" t="s">
        <v>4361</v>
      </c>
      <c r="B467" s="105" t="s">
        <v>2220</v>
      </c>
      <c r="C467" s="105" t="s">
        <v>4376</v>
      </c>
      <c r="D467" s="149" t="s">
        <v>2222</v>
      </c>
      <c r="E467" s="105">
        <v>1</v>
      </c>
      <c r="F467" s="133">
        <v>35.15</v>
      </c>
      <c r="G467" s="133">
        <v>41</v>
      </c>
      <c r="H467" s="109">
        <f t="shared" si="22"/>
        <v>41</v>
      </c>
      <c r="I467" s="119"/>
      <c r="J467" s="119">
        <v>0</v>
      </c>
      <c r="K467" s="119">
        <f t="shared" si="23"/>
        <v>41</v>
      </c>
      <c r="L467" s="152">
        <f t="shared" si="24"/>
        <v>35.15</v>
      </c>
      <c r="M467" s="113"/>
    </row>
    <row r="468" spans="1:13" x14ac:dyDescent="0.2">
      <c r="A468" s="106" t="s">
        <v>4361</v>
      </c>
      <c r="B468" s="105" t="s">
        <v>3457</v>
      </c>
      <c r="C468" s="105" t="s">
        <v>4377</v>
      </c>
      <c r="D468" s="149" t="s">
        <v>3458</v>
      </c>
      <c r="E468" s="105">
        <v>5</v>
      </c>
      <c r="F468" s="133">
        <v>51.97</v>
      </c>
      <c r="G468" s="133">
        <v>60</v>
      </c>
      <c r="H468" s="109">
        <f t="shared" si="22"/>
        <v>300</v>
      </c>
      <c r="I468" s="119"/>
      <c r="J468" s="119">
        <v>0</v>
      </c>
      <c r="K468" s="119">
        <f t="shared" si="23"/>
        <v>300</v>
      </c>
      <c r="L468" s="152">
        <f t="shared" si="24"/>
        <v>259.85000000000002</v>
      </c>
      <c r="M468" s="113"/>
    </row>
    <row r="469" spans="1:13" x14ac:dyDescent="0.2">
      <c r="A469" s="106" t="s">
        <v>4361</v>
      </c>
      <c r="B469" s="105" t="s">
        <v>2584</v>
      </c>
      <c r="C469" s="105" t="s">
        <v>4377</v>
      </c>
      <c r="D469" s="149" t="s">
        <v>2585</v>
      </c>
      <c r="E469" s="105">
        <v>2</v>
      </c>
      <c r="F469" s="133">
        <v>17.899999999999999</v>
      </c>
      <c r="G469" s="133">
        <v>20.75</v>
      </c>
      <c r="H469" s="109">
        <f t="shared" si="22"/>
        <v>41.5</v>
      </c>
      <c r="I469" s="119"/>
      <c r="J469" s="119">
        <v>0</v>
      </c>
      <c r="K469" s="119">
        <f t="shared" si="23"/>
        <v>41.5</v>
      </c>
      <c r="L469" s="152">
        <f t="shared" si="24"/>
        <v>35.799999999999997</v>
      </c>
      <c r="M469" s="113"/>
    </row>
    <row r="470" spans="1:13" x14ac:dyDescent="0.2">
      <c r="A470" s="106" t="s">
        <v>4361</v>
      </c>
      <c r="B470" s="105" t="s">
        <v>2002</v>
      </c>
      <c r="C470" s="105" t="s">
        <v>4378</v>
      </c>
      <c r="D470" s="149" t="s">
        <v>2004</v>
      </c>
      <c r="E470" s="105">
        <v>1</v>
      </c>
      <c r="F470" s="133">
        <v>12.56</v>
      </c>
      <c r="G470" s="133">
        <v>14.25</v>
      </c>
      <c r="H470" s="109">
        <f t="shared" si="22"/>
        <v>14.25</v>
      </c>
      <c r="I470" s="119"/>
      <c r="J470" s="119">
        <v>0</v>
      </c>
      <c r="K470" s="119">
        <f t="shared" si="23"/>
        <v>14.25</v>
      </c>
      <c r="L470" s="152">
        <f t="shared" si="24"/>
        <v>12.56</v>
      </c>
      <c r="M470" s="113"/>
    </row>
    <row r="471" spans="1:13" x14ac:dyDescent="0.2">
      <c r="A471" s="106" t="s">
        <v>4361</v>
      </c>
      <c r="B471" s="105" t="s">
        <v>2115</v>
      </c>
      <c r="C471" s="105" t="s">
        <v>4379</v>
      </c>
      <c r="D471" s="149" t="s">
        <v>2117</v>
      </c>
      <c r="E471" s="105">
        <v>1</v>
      </c>
      <c r="F471" s="133">
        <v>84.8</v>
      </c>
      <c r="G471" s="133">
        <v>94</v>
      </c>
      <c r="H471" s="109">
        <f t="shared" si="22"/>
        <v>94</v>
      </c>
      <c r="I471" s="119"/>
      <c r="J471" s="119">
        <v>0</v>
      </c>
      <c r="K471" s="119">
        <f t="shared" si="23"/>
        <v>94</v>
      </c>
      <c r="L471" s="152">
        <f t="shared" si="24"/>
        <v>84.8</v>
      </c>
      <c r="M471" s="113"/>
    </row>
    <row r="472" spans="1:13" x14ac:dyDescent="0.2">
      <c r="A472" s="106" t="s">
        <v>4361</v>
      </c>
      <c r="B472" s="105" t="s">
        <v>2268</v>
      </c>
      <c r="C472" s="105" t="s">
        <v>4379</v>
      </c>
      <c r="D472" s="149" t="s">
        <v>2269</v>
      </c>
      <c r="E472" s="105">
        <v>1</v>
      </c>
      <c r="F472" s="133">
        <v>12.69</v>
      </c>
      <c r="G472" s="133">
        <v>14.75</v>
      </c>
      <c r="H472" s="109">
        <f t="shared" si="22"/>
        <v>14.75</v>
      </c>
      <c r="I472" s="119"/>
      <c r="J472" s="119">
        <v>0</v>
      </c>
      <c r="K472" s="119">
        <f t="shared" si="23"/>
        <v>14.75</v>
      </c>
      <c r="L472" s="152">
        <f t="shared" si="24"/>
        <v>12.69</v>
      </c>
      <c r="M472" s="113"/>
    </row>
    <row r="473" spans="1:13" x14ac:dyDescent="0.2">
      <c r="A473" s="106" t="s">
        <v>4361</v>
      </c>
      <c r="B473" s="105" t="s">
        <v>3360</v>
      </c>
      <c r="C473" s="105" t="s">
        <v>4380</v>
      </c>
      <c r="D473" s="149" t="s">
        <v>3361</v>
      </c>
      <c r="E473" s="105">
        <v>1</v>
      </c>
      <c r="F473" s="133">
        <v>6.03</v>
      </c>
      <c r="G473" s="133">
        <v>7</v>
      </c>
      <c r="H473" s="109">
        <f t="shared" si="22"/>
        <v>7</v>
      </c>
      <c r="I473" s="119"/>
      <c r="J473" s="119">
        <v>0</v>
      </c>
      <c r="K473" s="119">
        <f t="shared" si="23"/>
        <v>7</v>
      </c>
      <c r="L473" s="152">
        <f t="shared" si="24"/>
        <v>6.03</v>
      </c>
      <c r="M473" s="113"/>
    </row>
    <row r="474" spans="1:13" x14ac:dyDescent="0.2">
      <c r="A474" s="106" t="s">
        <v>4361</v>
      </c>
      <c r="B474" s="105" t="s">
        <v>3072</v>
      </c>
      <c r="C474" s="105" t="s">
        <v>4381</v>
      </c>
      <c r="D474" s="149" t="s">
        <v>3074</v>
      </c>
      <c r="E474" s="105">
        <v>1</v>
      </c>
      <c r="F474" s="133">
        <v>16.91</v>
      </c>
      <c r="G474" s="133">
        <v>18.600000000000001</v>
      </c>
      <c r="H474" s="109">
        <f t="shared" si="22"/>
        <v>18.600000000000001</v>
      </c>
      <c r="I474" s="119"/>
      <c r="J474" s="119">
        <v>0</v>
      </c>
      <c r="K474" s="119">
        <f t="shared" si="23"/>
        <v>18.600000000000001</v>
      </c>
      <c r="L474" s="152">
        <f t="shared" si="24"/>
        <v>16.91</v>
      </c>
      <c r="M474" s="113"/>
    </row>
    <row r="475" spans="1:13" x14ac:dyDescent="0.2">
      <c r="A475" s="106" t="s">
        <v>4361</v>
      </c>
      <c r="B475" s="105" t="s">
        <v>1967</v>
      </c>
      <c r="C475" s="105" t="s">
        <v>4381</v>
      </c>
      <c r="D475" s="149" t="s">
        <v>1968</v>
      </c>
      <c r="E475" s="105">
        <v>1</v>
      </c>
      <c r="F475" s="133">
        <v>8.1999999999999993</v>
      </c>
      <c r="G475" s="133">
        <v>10</v>
      </c>
      <c r="H475" s="109">
        <f t="shared" si="22"/>
        <v>10</v>
      </c>
      <c r="I475" s="119"/>
      <c r="J475" s="119">
        <v>0</v>
      </c>
      <c r="K475" s="119">
        <f t="shared" si="23"/>
        <v>10</v>
      </c>
      <c r="L475" s="152">
        <f t="shared" si="24"/>
        <v>8.1999999999999993</v>
      </c>
      <c r="M475" s="113"/>
    </row>
    <row r="476" spans="1:13" x14ac:dyDescent="0.2">
      <c r="A476" s="106" t="s">
        <v>4361</v>
      </c>
      <c r="B476" s="105" t="s">
        <v>1915</v>
      </c>
      <c r="C476" s="105" t="s">
        <v>4381</v>
      </c>
      <c r="D476" s="149" t="s">
        <v>1917</v>
      </c>
      <c r="E476" s="105">
        <v>1</v>
      </c>
      <c r="F476" s="133">
        <v>7.85</v>
      </c>
      <c r="G476" s="133">
        <v>12</v>
      </c>
      <c r="H476" s="109">
        <f t="shared" si="22"/>
        <v>12</v>
      </c>
      <c r="I476" s="119"/>
      <c r="J476" s="119">
        <v>0</v>
      </c>
      <c r="K476" s="119">
        <f t="shared" si="23"/>
        <v>12</v>
      </c>
      <c r="L476" s="152">
        <f t="shared" si="24"/>
        <v>7.85</v>
      </c>
      <c r="M476" s="113"/>
    </row>
    <row r="477" spans="1:13" x14ac:dyDescent="0.2">
      <c r="A477" s="106" t="s">
        <v>4361</v>
      </c>
      <c r="B477" s="105" t="s">
        <v>2794</v>
      </c>
      <c r="C477" s="105" t="s">
        <v>4382</v>
      </c>
      <c r="D477" s="149" t="s">
        <v>2795</v>
      </c>
      <c r="E477" s="105">
        <v>1</v>
      </c>
      <c r="F477" s="133">
        <v>23.15</v>
      </c>
      <c r="G477" s="133">
        <v>27</v>
      </c>
      <c r="H477" s="109">
        <f t="shared" si="22"/>
        <v>27</v>
      </c>
      <c r="I477" s="119"/>
      <c r="J477" s="119">
        <v>0</v>
      </c>
      <c r="K477" s="119">
        <f t="shared" si="23"/>
        <v>27</v>
      </c>
      <c r="L477" s="152">
        <f t="shared" si="24"/>
        <v>23.15</v>
      </c>
      <c r="M477" s="113"/>
    </row>
    <row r="478" spans="1:13" x14ac:dyDescent="0.2">
      <c r="A478" s="106" t="s">
        <v>4361</v>
      </c>
      <c r="B478" s="105" t="s">
        <v>2082</v>
      </c>
      <c r="C478" s="105" t="s">
        <v>4383</v>
      </c>
      <c r="D478" s="149" t="s">
        <v>2083</v>
      </c>
      <c r="E478" s="105">
        <v>1</v>
      </c>
      <c r="F478" s="133">
        <v>10.95</v>
      </c>
      <c r="G478" s="133">
        <v>12.75</v>
      </c>
      <c r="H478" s="109">
        <f t="shared" si="22"/>
        <v>12.75</v>
      </c>
      <c r="I478" s="119"/>
      <c r="J478" s="119">
        <v>0</v>
      </c>
      <c r="K478" s="119">
        <f t="shared" si="23"/>
        <v>12.75</v>
      </c>
      <c r="L478" s="152">
        <f t="shared" si="24"/>
        <v>10.95</v>
      </c>
      <c r="M478" s="113"/>
    </row>
    <row r="479" spans="1:13" x14ac:dyDescent="0.2">
      <c r="A479" s="106" t="s">
        <v>4361</v>
      </c>
      <c r="B479" s="105" t="s">
        <v>2429</v>
      </c>
      <c r="C479" s="105" t="s">
        <v>4383</v>
      </c>
      <c r="D479" s="149" t="s">
        <v>2431</v>
      </c>
      <c r="E479" s="105">
        <v>1</v>
      </c>
      <c r="F479" s="133">
        <v>14.31</v>
      </c>
      <c r="G479" s="133">
        <v>16.5</v>
      </c>
      <c r="H479" s="109">
        <f t="shared" si="22"/>
        <v>16.5</v>
      </c>
      <c r="I479" s="119"/>
      <c r="J479" s="119">
        <v>0</v>
      </c>
      <c r="K479" s="119">
        <f t="shared" si="23"/>
        <v>16.5</v>
      </c>
      <c r="L479" s="152">
        <f t="shared" si="24"/>
        <v>14.31</v>
      </c>
      <c r="M479" s="113"/>
    </row>
    <row r="480" spans="1:13" x14ac:dyDescent="0.2">
      <c r="A480" s="106" t="s">
        <v>4361</v>
      </c>
      <c r="B480" s="105" t="s">
        <v>1781</v>
      </c>
      <c r="C480" s="105" t="s">
        <v>4384</v>
      </c>
      <c r="D480" s="149" t="s">
        <v>1782</v>
      </c>
      <c r="E480" s="105">
        <v>1</v>
      </c>
      <c r="F480" s="133">
        <v>9.3800000000000008</v>
      </c>
      <c r="G480" s="133">
        <v>11</v>
      </c>
      <c r="H480" s="109">
        <f t="shared" si="22"/>
        <v>11</v>
      </c>
      <c r="I480" s="119"/>
      <c r="J480" s="119">
        <v>0</v>
      </c>
      <c r="K480" s="119">
        <f t="shared" si="23"/>
        <v>11</v>
      </c>
      <c r="L480" s="152">
        <f t="shared" si="24"/>
        <v>9.3800000000000008</v>
      </c>
      <c r="M480" s="113"/>
    </row>
    <row r="481" spans="1:13" x14ac:dyDescent="0.2">
      <c r="A481" s="106" t="s">
        <v>4361</v>
      </c>
      <c r="B481" s="105" t="s">
        <v>3225</v>
      </c>
      <c r="C481" s="105" t="s">
        <v>4385</v>
      </c>
      <c r="D481" s="149" t="s">
        <v>3227</v>
      </c>
      <c r="E481" s="105">
        <v>1</v>
      </c>
      <c r="F481" s="133">
        <v>21.17</v>
      </c>
      <c r="G481" s="133">
        <v>24.5</v>
      </c>
      <c r="H481" s="109">
        <f t="shared" si="22"/>
        <v>24.5</v>
      </c>
      <c r="I481" s="119"/>
      <c r="J481" s="119">
        <v>0</v>
      </c>
      <c r="K481" s="119">
        <f t="shared" si="23"/>
        <v>24.5</v>
      </c>
      <c r="L481" s="152">
        <f t="shared" si="24"/>
        <v>21.17</v>
      </c>
      <c r="M481" s="113"/>
    </row>
    <row r="482" spans="1:13" x14ac:dyDescent="0.2">
      <c r="A482" s="106" t="s">
        <v>4361</v>
      </c>
      <c r="B482" s="105" t="s">
        <v>4241</v>
      </c>
      <c r="C482" s="105" t="s">
        <v>4386</v>
      </c>
      <c r="D482" s="149" t="s">
        <v>4242</v>
      </c>
      <c r="E482" s="105">
        <v>1</v>
      </c>
      <c r="F482" s="133">
        <v>18.5</v>
      </c>
      <c r="G482" s="133">
        <v>21.5</v>
      </c>
      <c r="H482" s="109">
        <f t="shared" si="22"/>
        <v>21.5</v>
      </c>
      <c r="I482" s="119"/>
      <c r="J482" s="119">
        <v>0</v>
      </c>
      <c r="K482" s="119">
        <f t="shared" si="23"/>
        <v>21.5</v>
      </c>
      <c r="L482" s="152">
        <f t="shared" si="24"/>
        <v>18.5</v>
      </c>
      <c r="M482" s="113"/>
    </row>
    <row r="483" spans="1:13" x14ac:dyDescent="0.2">
      <c r="A483" s="106" t="s">
        <v>4361</v>
      </c>
      <c r="B483" s="105" t="s">
        <v>2301</v>
      </c>
      <c r="C483" s="105" t="s">
        <v>4387</v>
      </c>
      <c r="D483" s="149" t="s">
        <v>2302</v>
      </c>
      <c r="E483" s="105">
        <v>2</v>
      </c>
      <c r="F483" s="133">
        <v>132.80000000000001</v>
      </c>
      <c r="G483" s="133">
        <v>152.75</v>
      </c>
      <c r="H483" s="109">
        <f t="shared" si="22"/>
        <v>305.5</v>
      </c>
      <c r="I483" s="119"/>
      <c r="J483" s="119">
        <v>0</v>
      </c>
      <c r="K483" s="119">
        <f t="shared" si="23"/>
        <v>305.5</v>
      </c>
      <c r="L483" s="152">
        <f t="shared" si="24"/>
        <v>265.60000000000002</v>
      </c>
      <c r="M483" s="113"/>
    </row>
    <row r="484" spans="1:13" x14ac:dyDescent="0.2">
      <c r="A484" s="106" t="s">
        <v>4361</v>
      </c>
      <c r="B484" s="105" t="s">
        <v>3765</v>
      </c>
      <c r="C484" s="105" t="s">
        <v>4387</v>
      </c>
      <c r="D484" s="149" t="s">
        <v>3766</v>
      </c>
      <c r="E484" s="105">
        <v>3</v>
      </c>
      <c r="F484" s="133">
        <v>65.95</v>
      </c>
      <c r="G484" s="133">
        <v>76</v>
      </c>
      <c r="H484" s="109">
        <f t="shared" si="22"/>
        <v>228</v>
      </c>
      <c r="I484" s="119"/>
      <c r="J484" s="119">
        <v>0</v>
      </c>
      <c r="K484" s="119">
        <f t="shared" si="23"/>
        <v>228</v>
      </c>
      <c r="L484" s="152">
        <f t="shared" si="24"/>
        <v>197.85000000000002</v>
      </c>
      <c r="M484" s="113"/>
    </row>
    <row r="485" spans="1:13" x14ac:dyDescent="0.2">
      <c r="A485" s="106" t="s">
        <v>4361</v>
      </c>
      <c r="B485" s="105" t="s">
        <v>3047</v>
      </c>
      <c r="C485" s="105" t="s">
        <v>4387</v>
      </c>
      <c r="D485" s="149" t="s">
        <v>3048</v>
      </c>
      <c r="E485" s="105">
        <v>2</v>
      </c>
      <c r="F485" s="133">
        <v>35.68</v>
      </c>
      <c r="G485" s="133">
        <v>41.25</v>
      </c>
      <c r="H485" s="109">
        <f t="shared" si="22"/>
        <v>82.5</v>
      </c>
      <c r="I485" s="119"/>
      <c r="J485" s="119">
        <v>0</v>
      </c>
      <c r="K485" s="119">
        <f t="shared" si="23"/>
        <v>82.5</v>
      </c>
      <c r="L485" s="152">
        <f t="shared" si="24"/>
        <v>71.36</v>
      </c>
      <c r="M485" s="113"/>
    </row>
    <row r="486" spans="1:13" x14ac:dyDescent="0.2">
      <c r="A486" s="106" t="s">
        <v>4361</v>
      </c>
      <c r="B486" s="105" t="s">
        <v>2298</v>
      </c>
      <c r="C486" s="105" t="s">
        <v>4387</v>
      </c>
      <c r="D486" s="149" t="s">
        <v>2299</v>
      </c>
      <c r="E486" s="105">
        <v>3</v>
      </c>
      <c r="F486" s="133">
        <v>20.8</v>
      </c>
      <c r="G486" s="133">
        <v>24</v>
      </c>
      <c r="H486" s="109">
        <f t="shared" si="22"/>
        <v>72</v>
      </c>
      <c r="I486" s="119"/>
      <c r="J486" s="119">
        <v>0</v>
      </c>
      <c r="K486" s="119">
        <f t="shared" si="23"/>
        <v>72</v>
      </c>
      <c r="L486" s="152">
        <f t="shared" si="24"/>
        <v>62.400000000000006</v>
      </c>
      <c r="M486" s="113"/>
    </row>
    <row r="487" spans="1:13" x14ac:dyDescent="0.2">
      <c r="A487" s="106" t="s">
        <v>4361</v>
      </c>
      <c r="B487" s="105" t="s">
        <v>1854</v>
      </c>
      <c r="C487" s="105" t="s">
        <v>4388</v>
      </c>
      <c r="D487" s="149" t="s">
        <v>1855</v>
      </c>
      <c r="E487" s="105">
        <v>1</v>
      </c>
      <c r="F487" s="133">
        <v>7.62</v>
      </c>
      <c r="G487" s="133">
        <v>8.75</v>
      </c>
      <c r="H487" s="109">
        <f t="shared" si="22"/>
        <v>8.75</v>
      </c>
      <c r="I487" s="119"/>
      <c r="J487" s="119">
        <v>0</v>
      </c>
      <c r="K487" s="119">
        <f t="shared" si="23"/>
        <v>8.75</v>
      </c>
      <c r="L487" s="152">
        <f t="shared" si="24"/>
        <v>7.62</v>
      </c>
      <c r="M487" s="113"/>
    </row>
    <row r="488" spans="1:13" x14ac:dyDescent="0.2">
      <c r="A488" s="106" t="s">
        <v>4361</v>
      </c>
      <c r="B488" s="105" t="s">
        <v>2082</v>
      </c>
      <c r="C488" s="105" t="s">
        <v>4389</v>
      </c>
      <c r="D488" s="149" t="s">
        <v>2083</v>
      </c>
      <c r="E488" s="105">
        <v>1</v>
      </c>
      <c r="F488" s="133">
        <v>10.95</v>
      </c>
      <c r="G488" s="133">
        <v>12.75</v>
      </c>
      <c r="H488" s="109">
        <f t="shared" si="22"/>
        <v>12.75</v>
      </c>
      <c r="I488" s="119"/>
      <c r="J488" s="119">
        <v>0</v>
      </c>
      <c r="K488" s="119">
        <f t="shared" si="23"/>
        <v>12.75</v>
      </c>
      <c r="L488" s="152">
        <f t="shared" si="24"/>
        <v>10.95</v>
      </c>
      <c r="M488" s="113"/>
    </row>
    <row r="489" spans="1:13" x14ac:dyDescent="0.2">
      <c r="A489" s="106" t="s">
        <v>4361</v>
      </c>
      <c r="B489" s="105" t="s">
        <v>2148</v>
      </c>
      <c r="C489" s="105" t="s">
        <v>4389</v>
      </c>
      <c r="D489" s="149" t="s">
        <v>2149</v>
      </c>
      <c r="E489" s="105">
        <v>1</v>
      </c>
      <c r="F489" s="133">
        <v>31.05</v>
      </c>
      <c r="G489" s="133">
        <v>36</v>
      </c>
      <c r="H489" s="109">
        <f t="shared" si="22"/>
        <v>36</v>
      </c>
      <c r="I489" s="119"/>
      <c r="J489" s="119">
        <v>0</v>
      </c>
      <c r="K489" s="119">
        <f t="shared" si="23"/>
        <v>36</v>
      </c>
      <c r="L489" s="152">
        <f t="shared" si="24"/>
        <v>31.05</v>
      </c>
      <c r="M489" s="113"/>
    </row>
    <row r="490" spans="1:13" x14ac:dyDescent="0.2">
      <c r="A490" s="106" t="s">
        <v>4361</v>
      </c>
      <c r="B490" s="105" t="s">
        <v>4365</v>
      </c>
      <c r="C490" s="105" t="s">
        <v>4389</v>
      </c>
      <c r="D490" s="149" t="s">
        <v>4429</v>
      </c>
      <c r="E490" s="105">
        <v>1</v>
      </c>
      <c r="F490" s="133">
        <v>15.5</v>
      </c>
      <c r="G490" s="133">
        <v>18</v>
      </c>
      <c r="H490" s="109">
        <f t="shared" si="22"/>
        <v>18</v>
      </c>
      <c r="I490" s="119"/>
      <c r="J490" s="119">
        <v>0</v>
      </c>
      <c r="K490" s="119">
        <f t="shared" si="23"/>
        <v>18</v>
      </c>
      <c r="L490" s="152">
        <f t="shared" si="24"/>
        <v>15.5</v>
      </c>
      <c r="M490" s="113"/>
    </row>
    <row r="491" spans="1:13" x14ac:dyDescent="0.2">
      <c r="A491" s="106" t="s">
        <v>4361</v>
      </c>
      <c r="B491" s="105" t="s">
        <v>2429</v>
      </c>
      <c r="C491" s="105" t="s">
        <v>4389</v>
      </c>
      <c r="D491" s="149" t="s">
        <v>2431</v>
      </c>
      <c r="E491" s="105">
        <v>1</v>
      </c>
      <c r="F491" s="133">
        <v>14.31</v>
      </c>
      <c r="G491" s="133">
        <v>16.5</v>
      </c>
      <c r="H491" s="109">
        <f t="shared" si="22"/>
        <v>16.5</v>
      </c>
      <c r="I491" s="119"/>
      <c r="J491" s="119">
        <v>0</v>
      </c>
      <c r="K491" s="119">
        <f t="shared" si="23"/>
        <v>16.5</v>
      </c>
      <c r="L491" s="152">
        <f t="shared" si="24"/>
        <v>14.31</v>
      </c>
      <c r="M491" s="113"/>
    </row>
    <row r="492" spans="1:13" x14ac:dyDescent="0.2">
      <c r="A492" s="106" t="s">
        <v>4362</v>
      </c>
      <c r="B492" s="105" t="s">
        <v>1826</v>
      </c>
      <c r="C492" s="105" t="s">
        <v>4390</v>
      </c>
      <c r="D492" s="149" t="s">
        <v>1827</v>
      </c>
      <c r="E492" s="105">
        <v>1</v>
      </c>
      <c r="F492" s="133">
        <v>90</v>
      </c>
      <c r="G492" s="133">
        <v>120</v>
      </c>
      <c r="H492" s="109">
        <f t="shared" si="22"/>
        <v>120</v>
      </c>
      <c r="I492" s="119"/>
      <c r="J492" s="119">
        <v>20</v>
      </c>
      <c r="K492" s="119">
        <f t="shared" si="23"/>
        <v>100</v>
      </c>
      <c r="L492" s="152">
        <f t="shared" si="24"/>
        <v>90</v>
      </c>
      <c r="M492" s="113"/>
    </row>
    <row r="493" spans="1:13" x14ac:dyDescent="0.2">
      <c r="A493" s="106" t="s">
        <v>4362</v>
      </c>
      <c r="B493" s="105" t="s">
        <v>3753</v>
      </c>
      <c r="C493" s="105" t="s">
        <v>4391</v>
      </c>
      <c r="D493" s="149" t="s">
        <v>3755</v>
      </c>
      <c r="E493" s="105">
        <v>1</v>
      </c>
      <c r="F493" s="133">
        <v>18.98</v>
      </c>
      <c r="G493" s="133">
        <v>22</v>
      </c>
      <c r="H493" s="109">
        <f t="shared" si="22"/>
        <v>22</v>
      </c>
      <c r="I493" s="119"/>
      <c r="J493" s="119">
        <v>0</v>
      </c>
      <c r="K493" s="119">
        <f t="shared" si="23"/>
        <v>22</v>
      </c>
      <c r="L493" s="152">
        <f t="shared" si="24"/>
        <v>18.98</v>
      </c>
      <c r="M493" s="113"/>
    </row>
    <row r="494" spans="1:13" x14ac:dyDescent="0.2">
      <c r="A494" s="106" t="s">
        <v>4362</v>
      </c>
      <c r="B494" s="105" t="s">
        <v>3348</v>
      </c>
      <c r="C494" s="105" t="s">
        <v>4392</v>
      </c>
      <c r="D494" s="149" t="s">
        <v>3349</v>
      </c>
      <c r="E494" s="105">
        <v>5</v>
      </c>
      <c r="F494" s="133">
        <v>14.91</v>
      </c>
      <c r="G494" s="133">
        <v>17.25</v>
      </c>
      <c r="H494" s="109">
        <f t="shared" si="22"/>
        <v>86.25</v>
      </c>
      <c r="I494" s="119"/>
      <c r="J494" s="119">
        <v>0</v>
      </c>
      <c r="K494" s="119">
        <f t="shared" si="23"/>
        <v>86.25</v>
      </c>
      <c r="L494" s="152">
        <f t="shared" si="24"/>
        <v>74.55</v>
      </c>
      <c r="M494" s="113"/>
    </row>
    <row r="495" spans="1:13" x14ac:dyDescent="0.2">
      <c r="A495" s="106" t="s">
        <v>4362</v>
      </c>
      <c r="B495" s="105" t="s">
        <v>1877</v>
      </c>
      <c r="C495" s="105" t="s">
        <v>4393</v>
      </c>
      <c r="D495" s="149" t="s">
        <v>1878</v>
      </c>
      <c r="E495" s="105">
        <v>1</v>
      </c>
      <c r="F495" s="133">
        <v>20.399999999999999</v>
      </c>
      <c r="G495" s="133">
        <v>23.5</v>
      </c>
      <c r="H495" s="109">
        <f t="shared" si="22"/>
        <v>23.5</v>
      </c>
      <c r="I495" s="119"/>
      <c r="J495" s="119">
        <v>0</v>
      </c>
      <c r="K495" s="119">
        <f t="shared" si="23"/>
        <v>23.5</v>
      </c>
      <c r="L495" s="152">
        <f t="shared" si="24"/>
        <v>20.399999999999999</v>
      </c>
      <c r="M495" s="113"/>
    </row>
    <row r="496" spans="1:13" x14ac:dyDescent="0.2">
      <c r="A496" s="106" t="s">
        <v>4362</v>
      </c>
      <c r="B496" s="105" t="s">
        <v>2293</v>
      </c>
      <c r="C496" s="105" t="s">
        <v>4394</v>
      </c>
      <c r="D496" s="149" t="s">
        <v>2295</v>
      </c>
      <c r="E496" s="105">
        <v>2</v>
      </c>
      <c r="F496" s="133">
        <v>27.84</v>
      </c>
      <c r="G496" s="133">
        <v>45</v>
      </c>
      <c r="H496" s="109">
        <f t="shared" si="22"/>
        <v>90</v>
      </c>
      <c r="I496" s="119"/>
      <c r="J496" s="119">
        <v>0</v>
      </c>
      <c r="K496" s="119">
        <f t="shared" si="23"/>
        <v>90</v>
      </c>
      <c r="L496" s="152">
        <f t="shared" si="24"/>
        <v>55.68</v>
      </c>
      <c r="M496" s="113"/>
    </row>
    <row r="497" spans="1:13" x14ac:dyDescent="0.2">
      <c r="A497" s="106" t="s">
        <v>4362</v>
      </c>
      <c r="B497" s="105" t="s">
        <v>1865</v>
      </c>
      <c r="C497" s="105" t="s">
        <v>4394</v>
      </c>
      <c r="D497" s="149" t="s">
        <v>1866</v>
      </c>
      <c r="E497" s="105">
        <v>2</v>
      </c>
      <c r="F497" s="133">
        <v>300</v>
      </c>
      <c r="G497" s="133">
        <v>450</v>
      </c>
      <c r="H497" s="109">
        <f t="shared" si="22"/>
        <v>900</v>
      </c>
      <c r="I497" s="119"/>
      <c r="J497" s="119">
        <v>0</v>
      </c>
      <c r="K497" s="119">
        <f t="shared" si="23"/>
        <v>900</v>
      </c>
      <c r="L497" s="152">
        <f t="shared" si="24"/>
        <v>600</v>
      </c>
      <c r="M497" s="113"/>
    </row>
    <row r="498" spans="1:13" x14ac:dyDescent="0.2">
      <c r="A498" s="106" t="s">
        <v>4362</v>
      </c>
      <c r="B498" s="105" t="s">
        <v>3195</v>
      </c>
      <c r="C498" s="105" t="s">
        <v>4394</v>
      </c>
      <c r="D498" s="149" t="s">
        <v>3196</v>
      </c>
      <c r="E498" s="105">
        <v>1</v>
      </c>
      <c r="F498" s="133">
        <v>64.58</v>
      </c>
      <c r="G498" s="133">
        <v>74.5</v>
      </c>
      <c r="H498" s="109">
        <f t="shared" si="22"/>
        <v>74.5</v>
      </c>
      <c r="I498" s="119"/>
      <c r="J498" s="119">
        <v>0</v>
      </c>
      <c r="K498" s="119">
        <f t="shared" si="23"/>
        <v>74.5</v>
      </c>
      <c r="L498" s="152">
        <f t="shared" si="24"/>
        <v>64.58</v>
      </c>
      <c r="M498" s="113"/>
    </row>
    <row r="499" spans="1:13" x14ac:dyDescent="0.2">
      <c r="A499" s="106" t="s">
        <v>4362</v>
      </c>
      <c r="B499" s="105" t="s">
        <v>2521</v>
      </c>
      <c r="C499" s="105" t="s">
        <v>4394</v>
      </c>
      <c r="D499" s="149" t="s">
        <v>2522</v>
      </c>
      <c r="E499" s="105">
        <v>12</v>
      </c>
      <c r="F499" s="133">
        <v>6.02</v>
      </c>
      <c r="G499" s="133">
        <v>7.25</v>
      </c>
      <c r="H499" s="109">
        <f t="shared" si="22"/>
        <v>87</v>
      </c>
      <c r="I499" s="119"/>
      <c r="J499" s="119">
        <v>0</v>
      </c>
      <c r="K499" s="119">
        <f t="shared" si="23"/>
        <v>87</v>
      </c>
      <c r="L499" s="152">
        <f t="shared" si="24"/>
        <v>72.239999999999995</v>
      </c>
      <c r="M499" s="113"/>
    </row>
    <row r="500" spans="1:13" x14ac:dyDescent="0.2">
      <c r="A500" s="106" t="s">
        <v>4362</v>
      </c>
      <c r="B500" s="105" t="s">
        <v>2162</v>
      </c>
      <c r="C500" s="105" t="s">
        <v>4394</v>
      </c>
      <c r="D500" s="149" t="s">
        <v>2163</v>
      </c>
      <c r="E500" s="105">
        <v>1</v>
      </c>
      <c r="F500" s="133">
        <v>67.290000000000006</v>
      </c>
      <c r="G500" s="133">
        <v>77.5</v>
      </c>
      <c r="H500" s="109">
        <f t="shared" si="22"/>
        <v>77.5</v>
      </c>
      <c r="I500" s="119"/>
      <c r="J500" s="119">
        <v>0</v>
      </c>
      <c r="K500" s="119">
        <f t="shared" si="23"/>
        <v>77.5</v>
      </c>
      <c r="L500" s="152">
        <f t="shared" si="24"/>
        <v>67.290000000000006</v>
      </c>
      <c r="M500" s="113"/>
    </row>
    <row r="501" spans="1:13" x14ac:dyDescent="0.2">
      <c r="A501" s="106" t="s">
        <v>4362</v>
      </c>
      <c r="B501" s="105" t="s">
        <v>2245</v>
      </c>
      <c r="C501" s="105" t="s">
        <v>4394</v>
      </c>
      <c r="D501" s="149" t="s">
        <v>2246</v>
      </c>
      <c r="E501" s="105">
        <v>16</v>
      </c>
      <c r="F501" s="133">
        <v>4.74</v>
      </c>
      <c r="G501" s="133">
        <v>5.5</v>
      </c>
      <c r="H501" s="109">
        <f t="shared" si="22"/>
        <v>88</v>
      </c>
      <c r="I501" s="119"/>
      <c r="J501" s="119">
        <v>0</v>
      </c>
      <c r="K501" s="119">
        <f t="shared" si="23"/>
        <v>88</v>
      </c>
      <c r="L501" s="152">
        <f t="shared" si="24"/>
        <v>75.84</v>
      </c>
      <c r="M501" s="113"/>
    </row>
    <row r="502" spans="1:13" x14ac:dyDescent="0.2">
      <c r="A502" s="106" t="s">
        <v>4362</v>
      </c>
      <c r="B502" s="105" t="s">
        <v>3482</v>
      </c>
      <c r="C502" s="105" t="s">
        <v>4394</v>
      </c>
      <c r="D502" s="149" t="s">
        <v>3484</v>
      </c>
      <c r="E502" s="105">
        <v>2</v>
      </c>
      <c r="F502" s="133">
        <v>57.1</v>
      </c>
      <c r="G502" s="133">
        <v>69</v>
      </c>
      <c r="H502" s="109">
        <f t="shared" si="22"/>
        <v>138</v>
      </c>
      <c r="I502" s="119"/>
      <c r="J502" s="119">
        <v>0</v>
      </c>
      <c r="K502" s="119">
        <f t="shared" si="23"/>
        <v>138</v>
      </c>
      <c r="L502" s="152">
        <f t="shared" si="24"/>
        <v>114.2</v>
      </c>
      <c r="M502" s="113"/>
    </row>
    <row r="503" spans="1:13" x14ac:dyDescent="0.2">
      <c r="A503" s="106" t="s">
        <v>4362</v>
      </c>
      <c r="B503" s="105" t="s">
        <v>2813</v>
      </c>
      <c r="C503" s="105" t="s">
        <v>4394</v>
      </c>
      <c r="D503" s="149" t="s">
        <v>2814</v>
      </c>
      <c r="E503" s="105">
        <v>2</v>
      </c>
      <c r="F503" s="133">
        <v>135.25</v>
      </c>
      <c r="G503" s="133">
        <v>156</v>
      </c>
      <c r="H503" s="109">
        <f t="shared" si="22"/>
        <v>312</v>
      </c>
      <c r="I503" s="119"/>
      <c r="J503" s="119">
        <v>0</v>
      </c>
      <c r="K503" s="119">
        <f t="shared" si="23"/>
        <v>312</v>
      </c>
      <c r="L503" s="152">
        <f t="shared" si="24"/>
        <v>270.5</v>
      </c>
      <c r="M503" s="113"/>
    </row>
    <row r="504" spans="1:13" x14ac:dyDescent="0.2">
      <c r="A504" s="106" t="s">
        <v>4362</v>
      </c>
      <c r="B504" s="105" t="s">
        <v>4366</v>
      </c>
      <c r="C504" s="105" t="s">
        <v>4394</v>
      </c>
      <c r="D504" s="149" t="s">
        <v>4430</v>
      </c>
      <c r="E504" s="105">
        <v>2</v>
      </c>
      <c r="F504" s="133">
        <v>86.58</v>
      </c>
      <c r="G504" s="133">
        <v>99.5</v>
      </c>
      <c r="H504" s="109">
        <f t="shared" si="22"/>
        <v>199</v>
      </c>
      <c r="I504" s="119"/>
      <c r="J504" s="119">
        <v>0</v>
      </c>
      <c r="K504" s="119">
        <f t="shared" si="23"/>
        <v>199</v>
      </c>
      <c r="L504" s="152">
        <f t="shared" si="24"/>
        <v>173.16</v>
      </c>
      <c r="M504" s="113"/>
    </row>
    <row r="505" spans="1:13" x14ac:dyDescent="0.2">
      <c r="A505" s="106" t="s">
        <v>4362</v>
      </c>
      <c r="B505" s="105" t="s">
        <v>3112</v>
      </c>
      <c r="C505" s="105" t="s">
        <v>4394</v>
      </c>
      <c r="D505" s="149" t="s">
        <v>3113</v>
      </c>
      <c r="E505" s="105">
        <v>1</v>
      </c>
      <c r="F505" s="133">
        <v>109.57</v>
      </c>
      <c r="G505" s="133">
        <v>136.5</v>
      </c>
      <c r="H505" s="109">
        <f t="shared" si="22"/>
        <v>136.5</v>
      </c>
      <c r="I505" s="119"/>
      <c r="J505" s="119">
        <v>0</v>
      </c>
      <c r="K505" s="119">
        <f t="shared" si="23"/>
        <v>136.5</v>
      </c>
      <c r="L505" s="152">
        <f t="shared" si="24"/>
        <v>109.57</v>
      </c>
      <c r="M505" s="113"/>
    </row>
    <row r="506" spans="1:13" x14ac:dyDescent="0.2">
      <c r="A506" s="106" t="s">
        <v>4362</v>
      </c>
      <c r="B506" s="105" t="s">
        <v>2133</v>
      </c>
      <c r="C506" s="105" t="s">
        <v>4395</v>
      </c>
      <c r="D506" s="149" t="s">
        <v>2135</v>
      </c>
      <c r="E506" s="105">
        <v>1</v>
      </c>
      <c r="F506" s="133">
        <v>68</v>
      </c>
      <c r="G506" s="133">
        <v>78.25</v>
      </c>
      <c r="H506" s="109">
        <f t="shared" si="22"/>
        <v>78.25</v>
      </c>
      <c r="I506" s="119"/>
      <c r="J506" s="119">
        <v>0</v>
      </c>
      <c r="K506" s="119">
        <f t="shared" si="23"/>
        <v>78.25</v>
      </c>
      <c r="L506" s="152">
        <f t="shared" si="24"/>
        <v>68</v>
      </c>
      <c r="M506" s="113"/>
    </row>
    <row r="507" spans="1:13" x14ac:dyDescent="0.2">
      <c r="A507" s="106" t="s">
        <v>4362</v>
      </c>
      <c r="B507" s="105" t="s">
        <v>1781</v>
      </c>
      <c r="C507" s="105" t="s">
        <v>4396</v>
      </c>
      <c r="D507" s="149" t="s">
        <v>1782</v>
      </c>
      <c r="E507" s="105">
        <v>1</v>
      </c>
      <c r="F507" s="133">
        <v>9.3800000000000008</v>
      </c>
      <c r="G507" s="133">
        <v>11</v>
      </c>
      <c r="H507" s="109">
        <f t="shared" si="22"/>
        <v>11</v>
      </c>
      <c r="I507" s="119"/>
      <c r="J507" s="119">
        <v>0</v>
      </c>
      <c r="K507" s="119">
        <f t="shared" si="23"/>
        <v>11</v>
      </c>
      <c r="L507" s="152">
        <f t="shared" si="24"/>
        <v>9.3800000000000008</v>
      </c>
      <c r="M507" s="113"/>
    </row>
    <row r="508" spans="1:13" x14ac:dyDescent="0.2">
      <c r="A508" s="106" t="s">
        <v>4362</v>
      </c>
      <c r="B508" s="105" t="s">
        <v>1924</v>
      </c>
      <c r="C508" s="105" t="s">
        <v>4397</v>
      </c>
      <c r="D508" s="149" t="s">
        <v>1926</v>
      </c>
      <c r="E508" s="105">
        <v>2</v>
      </c>
      <c r="F508" s="133">
        <v>10.64</v>
      </c>
      <c r="G508" s="133">
        <v>12.25</v>
      </c>
      <c r="H508" s="109">
        <f t="shared" si="22"/>
        <v>24.5</v>
      </c>
      <c r="I508" s="119"/>
      <c r="J508" s="119">
        <v>0</v>
      </c>
      <c r="K508" s="119">
        <f t="shared" si="23"/>
        <v>24.5</v>
      </c>
      <c r="L508" s="152">
        <f t="shared" si="24"/>
        <v>21.28</v>
      </c>
      <c r="M508" s="113"/>
    </row>
    <row r="509" spans="1:13" x14ac:dyDescent="0.2">
      <c r="A509" s="106" t="s">
        <v>4362</v>
      </c>
      <c r="B509" s="105" t="s">
        <v>4253</v>
      </c>
      <c r="C509" s="105" t="s">
        <v>4397</v>
      </c>
      <c r="D509" s="149" t="s">
        <v>4254</v>
      </c>
      <c r="E509" s="105">
        <v>1</v>
      </c>
      <c r="F509" s="133">
        <v>6.4</v>
      </c>
      <c r="G509" s="133">
        <v>7.5</v>
      </c>
      <c r="H509" s="109">
        <f t="shared" si="22"/>
        <v>7.5</v>
      </c>
      <c r="I509" s="119"/>
      <c r="J509" s="119">
        <v>0</v>
      </c>
      <c r="K509" s="119">
        <f t="shared" si="23"/>
        <v>7.5</v>
      </c>
      <c r="L509" s="152">
        <f t="shared" si="24"/>
        <v>6.4</v>
      </c>
      <c r="M509" s="113"/>
    </row>
    <row r="510" spans="1:13" x14ac:dyDescent="0.2">
      <c r="A510" s="106" t="s">
        <v>4362</v>
      </c>
      <c r="B510" s="105" t="s">
        <v>3052</v>
      </c>
      <c r="C510" s="105" t="s">
        <v>4398</v>
      </c>
      <c r="D510" s="149" t="s">
        <v>3053</v>
      </c>
      <c r="E510" s="105">
        <v>1</v>
      </c>
      <c r="F510" s="133">
        <v>13.32</v>
      </c>
      <c r="G510" s="133">
        <v>15.5</v>
      </c>
      <c r="H510" s="109">
        <f t="shared" si="22"/>
        <v>15.5</v>
      </c>
      <c r="I510" s="119"/>
      <c r="J510" s="119">
        <v>0</v>
      </c>
      <c r="K510" s="119">
        <f t="shared" si="23"/>
        <v>15.5</v>
      </c>
      <c r="L510" s="152">
        <f t="shared" si="24"/>
        <v>13.32</v>
      </c>
      <c r="M510" s="113"/>
    </row>
    <row r="511" spans="1:13" x14ac:dyDescent="0.2">
      <c r="A511" s="106" t="s">
        <v>4362</v>
      </c>
      <c r="B511" s="105" t="s">
        <v>4150</v>
      </c>
      <c r="C511" s="105" t="s">
        <v>4398</v>
      </c>
      <c r="D511" s="149" t="s">
        <v>4152</v>
      </c>
      <c r="E511" s="105">
        <v>1</v>
      </c>
      <c r="F511" s="133">
        <v>14.82</v>
      </c>
      <c r="G511" s="133">
        <v>17.25</v>
      </c>
      <c r="H511" s="109">
        <f t="shared" si="22"/>
        <v>17.25</v>
      </c>
      <c r="I511" s="119"/>
      <c r="J511" s="119">
        <v>0</v>
      </c>
      <c r="K511" s="119">
        <f t="shared" si="23"/>
        <v>17.25</v>
      </c>
      <c r="L511" s="152">
        <f t="shared" si="24"/>
        <v>14.82</v>
      </c>
      <c r="M511" s="113"/>
    </row>
    <row r="512" spans="1:13" x14ac:dyDescent="0.2">
      <c r="A512" s="106" t="s">
        <v>4362</v>
      </c>
      <c r="B512" s="105" t="s">
        <v>2115</v>
      </c>
      <c r="C512" s="105" t="s">
        <v>4399</v>
      </c>
      <c r="D512" s="149" t="s">
        <v>2117</v>
      </c>
      <c r="E512" s="105">
        <v>1</v>
      </c>
      <c r="F512" s="133">
        <v>84.8</v>
      </c>
      <c r="G512" s="133">
        <v>94</v>
      </c>
      <c r="H512" s="109">
        <f t="shared" si="22"/>
        <v>94</v>
      </c>
      <c r="I512" s="119"/>
      <c r="J512" s="119">
        <v>0</v>
      </c>
      <c r="K512" s="119">
        <f t="shared" si="23"/>
        <v>94</v>
      </c>
      <c r="L512" s="152">
        <f t="shared" si="24"/>
        <v>84.8</v>
      </c>
      <c r="M512" s="113"/>
    </row>
    <row r="513" spans="1:13" x14ac:dyDescent="0.2">
      <c r="A513" s="106" t="s">
        <v>4362</v>
      </c>
      <c r="B513" s="105" t="s">
        <v>2301</v>
      </c>
      <c r="C513" s="105" t="s">
        <v>4399</v>
      </c>
      <c r="D513" s="149" t="s">
        <v>2302</v>
      </c>
      <c r="E513" s="105">
        <v>1</v>
      </c>
      <c r="F513" s="133">
        <v>132.80000000000001</v>
      </c>
      <c r="G513" s="133">
        <v>152.75</v>
      </c>
      <c r="H513" s="109">
        <f t="shared" si="22"/>
        <v>152.75</v>
      </c>
      <c r="I513" s="119"/>
      <c r="J513" s="119">
        <v>0</v>
      </c>
      <c r="K513" s="119">
        <f t="shared" si="23"/>
        <v>152.75</v>
      </c>
      <c r="L513" s="152">
        <f t="shared" si="24"/>
        <v>132.80000000000001</v>
      </c>
      <c r="M513" s="113"/>
    </row>
    <row r="514" spans="1:13" x14ac:dyDescent="0.2">
      <c r="A514" s="106" t="s">
        <v>4362</v>
      </c>
      <c r="B514" s="105" t="s">
        <v>4068</v>
      </c>
      <c r="C514" s="105" t="s">
        <v>4400</v>
      </c>
      <c r="D514" s="149" t="s">
        <v>4070</v>
      </c>
      <c r="E514" s="105">
        <v>4</v>
      </c>
      <c r="F514" s="133">
        <v>20.57</v>
      </c>
      <c r="G514" s="133">
        <v>23.75</v>
      </c>
      <c r="H514" s="109">
        <f t="shared" si="22"/>
        <v>95</v>
      </c>
      <c r="I514" s="119"/>
      <c r="J514" s="119">
        <v>0</v>
      </c>
      <c r="K514" s="119">
        <f t="shared" si="23"/>
        <v>95</v>
      </c>
      <c r="L514" s="152">
        <f t="shared" si="24"/>
        <v>82.28</v>
      </c>
      <c r="M514" s="113"/>
    </row>
    <row r="515" spans="1:13" x14ac:dyDescent="0.2">
      <c r="A515" s="106" t="s">
        <v>4362</v>
      </c>
      <c r="B515" s="105" t="s">
        <v>4129</v>
      </c>
      <c r="C515" s="105" t="s">
        <v>4400</v>
      </c>
      <c r="D515" s="149" t="s">
        <v>4130</v>
      </c>
      <c r="E515" s="105">
        <v>24</v>
      </c>
      <c r="F515" s="133">
        <v>5.25</v>
      </c>
      <c r="G515" s="133">
        <v>6</v>
      </c>
      <c r="H515" s="109">
        <f t="shared" si="22"/>
        <v>144</v>
      </c>
      <c r="I515" s="119"/>
      <c r="J515" s="119">
        <v>0</v>
      </c>
      <c r="K515" s="119">
        <f t="shared" si="23"/>
        <v>144</v>
      </c>
      <c r="L515" s="152">
        <f t="shared" si="24"/>
        <v>126</v>
      </c>
      <c r="M515" s="113"/>
    </row>
    <row r="516" spans="1:13" x14ac:dyDescent="0.2">
      <c r="A516" s="106" t="s">
        <v>4362</v>
      </c>
      <c r="B516" s="105" t="s">
        <v>2367</v>
      </c>
      <c r="C516" s="105" t="s">
        <v>4401</v>
      </c>
      <c r="D516" s="149" t="s">
        <v>2369</v>
      </c>
      <c r="E516" s="105">
        <v>12</v>
      </c>
      <c r="F516" s="133">
        <v>6.38</v>
      </c>
      <c r="G516" s="133">
        <v>7.5</v>
      </c>
      <c r="H516" s="109">
        <f t="shared" si="22"/>
        <v>90</v>
      </c>
      <c r="I516" s="119"/>
      <c r="J516" s="119">
        <v>0</v>
      </c>
      <c r="K516" s="119">
        <f t="shared" si="23"/>
        <v>90</v>
      </c>
      <c r="L516" s="152">
        <f t="shared" si="24"/>
        <v>76.56</v>
      </c>
      <c r="M516" s="113"/>
    </row>
    <row r="517" spans="1:13" x14ac:dyDescent="0.2">
      <c r="A517" s="106" t="s">
        <v>4362</v>
      </c>
      <c r="B517" s="105" t="s">
        <v>4367</v>
      </c>
      <c r="C517" s="105" t="s">
        <v>4402</v>
      </c>
      <c r="D517" s="149" t="s">
        <v>4431</v>
      </c>
      <c r="E517" s="105">
        <v>2</v>
      </c>
      <c r="F517" s="133">
        <v>20.399999999999999</v>
      </c>
      <c r="G517" s="133">
        <v>23.46</v>
      </c>
      <c r="H517" s="109">
        <f t="shared" si="22"/>
        <v>46.92</v>
      </c>
      <c r="I517" s="119"/>
      <c r="J517" s="119">
        <v>0</v>
      </c>
      <c r="K517" s="119">
        <f t="shared" si="23"/>
        <v>46.92</v>
      </c>
      <c r="L517" s="152">
        <f t="shared" si="24"/>
        <v>40.799999999999997</v>
      </c>
      <c r="M517" s="113"/>
    </row>
    <row r="518" spans="1:13" x14ac:dyDescent="0.2">
      <c r="A518" s="106" t="s">
        <v>4362</v>
      </c>
      <c r="B518" s="105" t="s">
        <v>2467</v>
      </c>
      <c r="C518" s="105" t="s">
        <v>4403</v>
      </c>
      <c r="D518" s="149" t="s">
        <v>2469</v>
      </c>
      <c r="E518" s="105">
        <v>1</v>
      </c>
      <c r="F518" s="133">
        <v>100</v>
      </c>
      <c r="G518" s="133">
        <v>110</v>
      </c>
      <c r="H518" s="109">
        <f t="shared" si="22"/>
        <v>110</v>
      </c>
      <c r="I518" s="119"/>
      <c r="J518" s="119">
        <v>0</v>
      </c>
      <c r="K518" s="119">
        <f t="shared" si="23"/>
        <v>110</v>
      </c>
      <c r="L518" s="152">
        <f t="shared" si="24"/>
        <v>100</v>
      </c>
      <c r="M518" s="113"/>
    </row>
    <row r="519" spans="1:13" x14ac:dyDescent="0.2">
      <c r="A519" s="106" t="s">
        <v>4362</v>
      </c>
      <c r="B519" s="105" t="s">
        <v>2798</v>
      </c>
      <c r="C519" s="105" t="s">
        <v>4404</v>
      </c>
      <c r="D519" s="149" t="s">
        <v>2800</v>
      </c>
      <c r="E519" s="105">
        <v>1</v>
      </c>
      <c r="F519" s="133">
        <v>51.97</v>
      </c>
      <c r="G519" s="133">
        <v>60</v>
      </c>
      <c r="H519" s="109">
        <f t="shared" ref="H519:H582" si="25">E519*G519</f>
        <v>60</v>
      </c>
      <c r="I519" s="119"/>
      <c r="J519" s="119">
        <v>0</v>
      </c>
      <c r="K519" s="119">
        <f t="shared" ref="K519:K582" si="26">H519+I519-J519</f>
        <v>60</v>
      </c>
      <c r="L519" s="152">
        <f t="shared" ref="L519:L582" si="27">E519*F519</f>
        <v>51.97</v>
      </c>
      <c r="M519" s="113"/>
    </row>
    <row r="520" spans="1:13" x14ac:dyDescent="0.2">
      <c r="A520" s="106" t="s">
        <v>4362</v>
      </c>
      <c r="B520" s="105" t="s">
        <v>2690</v>
      </c>
      <c r="C520" s="105" t="s">
        <v>4405</v>
      </c>
      <c r="D520" s="149" t="s">
        <v>2692</v>
      </c>
      <c r="E520" s="105">
        <v>1</v>
      </c>
      <c r="F520" s="133">
        <v>32.86</v>
      </c>
      <c r="G520" s="133">
        <v>38</v>
      </c>
      <c r="H520" s="109">
        <f t="shared" si="25"/>
        <v>38</v>
      </c>
      <c r="I520" s="119"/>
      <c r="J520" s="119">
        <v>0</v>
      </c>
      <c r="K520" s="119">
        <f t="shared" si="26"/>
        <v>38</v>
      </c>
      <c r="L520" s="152">
        <f t="shared" si="27"/>
        <v>32.86</v>
      </c>
      <c r="M520" s="113"/>
    </row>
    <row r="521" spans="1:13" x14ac:dyDescent="0.2">
      <c r="A521" s="106" t="s">
        <v>4362</v>
      </c>
      <c r="B521" s="105" t="s">
        <v>4368</v>
      </c>
      <c r="C521" s="105" t="s">
        <v>4406</v>
      </c>
      <c r="D521" s="149" t="s">
        <v>4432</v>
      </c>
      <c r="E521" s="105">
        <v>1</v>
      </c>
      <c r="F521" s="133">
        <v>9.27</v>
      </c>
      <c r="G521" s="133">
        <v>10.75</v>
      </c>
      <c r="H521" s="109">
        <f t="shared" si="25"/>
        <v>10.75</v>
      </c>
      <c r="I521" s="119"/>
      <c r="J521" s="119">
        <v>0</v>
      </c>
      <c r="K521" s="119">
        <f t="shared" si="26"/>
        <v>10.75</v>
      </c>
      <c r="L521" s="152">
        <f t="shared" si="27"/>
        <v>9.27</v>
      </c>
      <c r="M521" s="113"/>
    </row>
    <row r="522" spans="1:13" x14ac:dyDescent="0.2">
      <c r="A522" s="106" t="s">
        <v>4362</v>
      </c>
      <c r="B522" s="105" t="s">
        <v>2072</v>
      </c>
      <c r="C522" s="105" t="s">
        <v>4406</v>
      </c>
      <c r="D522" s="149" t="s">
        <v>2074</v>
      </c>
      <c r="E522" s="105">
        <v>1</v>
      </c>
      <c r="F522" s="133">
        <v>9.2799999999999994</v>
      </c>
      <c r="G522" s="133">
        <v>10.75</v>
      </c>
      <c r="H522" s="109">
        <f t="shared" si="25"/>
        <v>10.75</v>
      </c>
      <c r="I522" s="119"/>
      <c r="J522" s="119">
        <v>0</v>
      </c>
      <c r="K522" s="119">
        <f t="shared" si="26"/>
        <v>10.75</v>
      </c>
      <c r="L522" s="152">
        <f t="shared" si="27"/>
        <v>9.2799999999999994</v>
      </c>
      <c r="M522" s="113"/>
    </row>
    <row r="523" spans="1:13" x14ac:dyDescent="0.2">
      <c r="A523" s="106" t="s">
        <v>4362</v>
      </c>
      <c r="B523" s="105" t="s">
        <v>3360</v>
      </c>
      <c r="C523" s="105" t="s">
        <v>4407</v>
      </c>
      <c r="D523" s="149" t="s">
        <v>3361</v>
      </c>
      <c r="E523" s="105">
        <v>1</v>
      </c>
      <c r="F523" s="133">
        <v>6.03</v>
      </c>
      <c r="G523" s="133">
        <v>7</v>
      </c>
      <c r="H523" s="109">
        <f t="shared" si="25"/>
        <v>7</v>
      </c>
      <c r="I523" s="119"/>
      <c r="J523" s="119">
        <v>0</v>
      </c>
      <c r="K523" s="119">
        <f t="shared" si="26"/>
        <v>7</v>
      </c>
      <c r="L523" s="152">
        <f t="shared" si="27"/>
        <v>6.03</v>
      </c>
      <c r="M523" s="113"/>
    </row>
    <row r="524" spans="1:13" x14ac:dyDescent="0.2">
      <c r="A524" s="106" t="s">
        <v>4362</v>
      </c>
      <c r="B524" s="105" t="s">
        <v>4129</v>
      </c>
      <c r="C524" s="105" t="s">
        <v>4408</v>
      </c>
      <c r="D524" s="149" t="s">
        <v>4130</v>
      </c>
      <c r="E524" s="105">
        <v>6</v>
      </c>
      <c r="F524" s="133">
        <v>5.25</v>
      </c>
      <c r="G524" s="133">
        <v>6</v>
      </c>
      <c r="H524" s="109">
        <f t="shared" si="25"/>
        <v>36</v>
      </c>
      <c r="I524" s="119"/>
      <c r="J524" s="119">
        <v>0</v>
      </c>
      <c r="K524" s="119">
        <f t="shared" si="26"/>
        <v>36</v>
      </c>
      <c r="L524" s="152">
        <f t="shared" si="27"/>
        <v>31.5</v>
      </c>
      <c r="M524" s="113"/>
    </row>
    <row r="525" spans="1:13" x14ac:dyDescent="0.2">
      <c r="A525" s="106" t="s">
        <v>4362</v>
      </c>
      <c r="B525" s="105" t="s">
        <v>1940</v>
      </c>
      <c r="C525" s="105" t="s">
        <v>4408</v>
      </c>
      <c r="D525" s="149" t="s">
        <v>1941</v>
      </c>
      <c r="E525" s="105">
        <v>6</v>
      </c>
      <c r="F525" s="133">
        <v>6</v>
      </c>
      <c r="G525" s="133">
        <v>7</v>
      </c>
      <c r="H525" s="109">
        <f t="shared" si="25"/>
        <v>42</v>
      </c>
      <c r="I525" s="119"/>
      <c r="J525" s="119">
        <v>0</v>
      </c>
      <c r="K525" s="119">
        <f t="shared" si="26"/>
        <v>42</v>
      </c>
      <c r="L525" s="152">
        <f t="shared" si="27"/>
        <v>36</v>
      </c>
      <c r="M525" s="113"/>
    </row>
    <row r="526" spans="1:13" x14ac:dyDescent="0.2">
      <c r="A526" s="106" t="s">
        <v>4362</v>
      </c>
      <c r="B526" s="105" t="s">
        <v>2789</v>
      </c>
      <c r="C526" s="105" t="s">
        <v>4409</v>
      </c>
      <c r="D526" s="149" t="s">
        <v>2790</v>
      </c>
      <c r="E526" s="105">
        <v>1</v>
      </c>
      <c r="F526" s="133">
        <v>17.5</v>
      </c>
      <c r="G526" s="133">
        <v>20.25</v>
      </c>
      <c r="H526" s="109">
        <f t="shared" si="25"/>
        <v>20.25</v>
      </c>
      <c r="I526" s="119"/>
      <c r="J526" s="119">
        <v>0</v>
      </c>
      <c r="K526" s="119">
        <f t="shared" si="26"/>
        <v>20.25</v>
      </c>
      <c r="L526" s="152">
        <f t="shared" si="27"/>
        <v>17.5</v>
      </c>
      <c r="M526" s="113"/>
    </row>
    <row r="527" spans="1:13" x14ac:dyDescent="0.2">
      <c r="A527" s="106" t="s">
        <v>4362</v>
      </c>
      <c r="B527" s="105" t="s">
        <v>1854</v>
      </c>
      <c r="C527" s="105" t="s">
        <v>4410</v>
      </c>
      <c r="D527" s="149" t="s">
        <v>1855</v>
      </c>
      <c r="E527" s="105">
        <v>1</v>
      </c>
      <c r="F527" s="133">
        <v>7.62</v>
      </c>
      <c r="G527" s="133">
        <v>8.75</v>
      </c>
      <c r="H527" s="109">
        <f t="shared" si="25"/>
        <v>8.75</v>
      </c>
      <c r="I527" s="119"/>
      <c r="J527" s="119">
        <v>0</v>
      </c>
      <c r="K527" s="119">
        <f t="shared" si="26"/>
        <v>8.75</v>
      </c>
      <c r="L527" s="152">
        <f t="shared" si="27"/>
        <v>7.62</v>
      </c>
      <c r="M527" s="113"/>
    </row>
    <row r="528" spans="1:13" x14ac:dyDescent="0.2">
      <c r="A528" s="106" t="s">
        <v>4362</v>
      </c>
      <c r="B528" s="105" t="s">
        <v>2659</v>
      </c>
      <c r="C528" s="105" t="s">
        <v>4410</v>
      </c>
      <c r="D528" s="149" t="s">
        <v>2661</v>
      </c>
      <c r="E528" s="105">
        <v>1</v>
      </c>
      <c r="F528" s="133">
        <v>61.5</v>
      </c>
      <c r="G528" s="133">
        <v>70.75</v>
      </c>
      <c r="H528" s="109">
        <f t="shared" si="25"/>
        <v>70.75</v>
      </c>
      <c r="I528" s="119"/>
      <c r="J528" s="119">
        <v>0</v>
      </c>
      <c r="K528" s="119">
        <f t="shared" si="26"/>
        <v>70.75</v>
      </c>
      <c r="L528" s="152">
        <f t="shared" si="27"/>
        <v>61.5</v>
      </c>
      <c r="M528" s="113"/>
    </row>
    <row r="529" spans="1:13" x14ac:dyDescent="0.2">
      <c r="A529" s="106" t="s">
        <v>4362</v>
      </c>
      <c r="B529" s="105" t="s">
        <v>2240</v>
      </c>
      <c r="C529" s="105" t="s">
        <v>4410</v>
      </c>
      <c r="D529" s="149" t="s">
        <v>2241</v>
      </c>
      <c r="E529" s="105">
        <v>1</v>
      </c>
      <c r="F529" s="133">
        <v>18.649999999999999</v>
      </c>
      <c r="G529" s="133">
        <v>21.5</v>
      </c>
      <c r="H529" s="109">
        <f t="shared" si="25"/>
        <v>21.5</v>
      </c>
      <c r="I529" s="119"/>
      <c r="J529" s="119">
        <v>0</v>
      </c>
      <c r="K529" s="119">
        <f t="shared" si="26"/>
        <v>21.5</v>
      </c>
      <c r="L529" s="152">
        <f t="shared" si="27"/>
        <v>18.649999999999999</v>
      </c>
      <c r="M529" s="113"/>
    </row>
    <row r="530" spans="1:13" x14ac:dyDescent="0.2">
      <c r="A530" s="106" t="s">
        <v>4362</v>
      </c>
      <c r="B530" s="105" t="s">
        <v>1854</v>
      </c>
      <c r="C530" s="105" t="s">
        <v>4411</v>
      </c>
      <c r="D530" s="149" t="s">
        <v>1855</v>
      </c>
      <c r="E530" s="105">
        <v>1</v>
      </c>
      <c r="F530" s="133">
        <v>7.62</v>
      </c>
      <c r="G530" s="133">
        <v>8.75</v>
      </c>
      <c r="H530" s="109">
        <f t="shared" si="25"/>
        <v>8.75</v>
      </c>
      <c r="I530" s="119"/>
      <c r="J530" s="119">
        <v>0</v>
      </c>
      <c r="K530" s="119">
        <f t="shared" si="26"/>
        <v>8.75</v>
      </c>
      <c r="L530" s="152">
        <f t="shared" si="27"/>
        <v>7.62</v>
      </c>
      <c r="M530" s="113"/>
    </row>
    <row r="531" spans="1:13" x14ac:dyDescent="0.2">
      <c r="A531" s="106" t="s">
        <v>4362</v>
      </c>
      <c r="B531" s="105" t="s">
        <v>2072</v>
      </c>
      <c r="C531" s="105" t="s">
        <v>4412</v>
      </c>
      <c r="D531" s="149" t="s">
        <v>2074</v>
      </c>
      <c r="E531" s="105">
        <v>1</v>
      </c>
      <c r="F531" s="133">
        <v>9.2799999999999994</v>
      </c>
      <c r="G531" s="133">
        <v>10.75</v>
      </c>
      <c r="H531" s="109">
        <f t="shared" si="25"/>
        <v>10.75</v>
      </c>
      <c r="I531" s="119"/>
      <c r="J531" s="119">
        <v>0</v>
      </c>
      <c r="K531" s="119">
        <f t="shared" si="26"/>
        <v>10.75</v>
      </c>
      <c r="L531" s="152">
        <f t="shared" si="27"/>
        <v>9.2799999999999994</v>
      </c>
      <c r="M531" s="113"/>
    </row>
    <row r="532" spans="1:13" x14ac:dyDescent="0.2">
      <c r="A532" s="106" t="s">
        <v>4362</v>
      </c>
      <c r="B532" s="105" t="s">
        <v>1854</v>
      </c>
      <c r="C532" s="105" t="s">
        <v>4412</v>
      </c>
      <c r="D532" s="149" t="s">
        <v>1855</v>
      </c>
      <c r="E532" s="105">
        <v>1</v>
      </c>
      <c r="F532" s="133">
        <v>7.62</v>
      </c>
      <c r="G532" s="133">
        <v>8.75</v>
      </c>
      <c r="H532" s="109">
        <f t="shared" si="25"/>
        <v>8.75</v>
      </c>
      <c r="I532" s="119"/>
      <c r="J532" s="119">
        <v>0</v>
      </c>
      <c r="K532" s="119">
        <f t="shared" si="26"/>
        <v>8.75</v>
      </c>
      <c r="L532" s="152">
        <f t="shared" si="27"/>
        <v>7.62</v>
      </c>
      <c r="M532" s="113"/>
    </row>
    <row r="533" spans="1:13" x14ac:dyDescent="0.2">
      <c r="A533" s="106" t="s">
        <v>4362</v>
      </c>
      <c r="B533" s="105" t="s">
        <v>1994</v>
      </c>
      <c r="C533" s="105" t="s">
        <v>4413</v>
      </c>
      <c r="D533" s="149" t="s">
        <v>1995</v>
      </c>
      <c r="E533" s="105">
        <v>1</v>
      </c>
      <c r="F533" s="133">
        <v>6.67</v>
      </c>
      <c r="G533" s="133">
        <v>9.5</v>
      </c>
      <c r="H533" s="109">
        <f t="shared" si="25"/>
        <v>9.5</v>
      </c>
      <c r="I533" s="119"/>
      <c r="J533" s="119">
        <v>0</v>
      </c>
      <c r="K533" s="119">
        <f t="shared" si="26"/>
        <v>9.5</v>
      </c>
      <c r="L533" s="152">
        <f t="shared" si="27"/>
        <v>6.67</v>
      </c>
      <c r="M533" s="113"/>
    </row>
    <row r="534" spans="1:13" x14ac:dyDescent="0.2">
      <c r="A534" s="106" t="s">
        <v>4362</v>
      </c>
      <c r="B534" s="105" t="s">
        <v>3101</v>
      </c>
      <c r="C534" s="105" t="s">
        <v>4414</v>
      </c>
      <c r="D534" s="149" t="s">
        <v>3102</v>
      </c>
      <c r="E534" s="105">
        <v>4</v>
      </c>
      <c r="F534" s="133">
        <v>30.83</v>
      </c>
      <c r="G534" s="133">
        <v>35.5</v>
      </c>
      <c r="H534" s="109">
        <f t="shared" si="25"/>
        <v>142</v>
      </c>
      <c r="I534" s="119"/>
      <c r="J534" s="119">
        <v>0</v>
      </c>
      <c r="K534" s="119">
        <f t="shared" si="26"/>
        <v>142</v>
      </c>
      <c r="L534" s="152">
        <f t="shared" si="27"/>
        <v>123.32</v>
      </c>
      <c r="M534" s="113"/>
    </row>
    <row r="535" spans="1:13" x14ac:dyDescent="0.2">
      <c r="A535" s="106" t="s">
        <v>4363</v>
      </c>
      <c r="B535" s="105" t="s">
        <v>3842</v>
      </c>
      <c r="C535" s="105" t="s">
        <v>4415</v>
      </c>
      <c r="D535" s="149" t="s">
        <v>3844</v>
      </c>
      <c r="E535" s="105">
        <v>1</v>
      </c>
      <c r="F535" s="133">
        <v>41.83</v>
      </c>
      <c r="G535" s="133">
        <v>48.25</v>
      </c>
      <c r="H535" s="109">
        <f t="shared" si="25"/>
        <v>48.25</v>
      </c>
      <c r="I535" s="119"/>
      <c r="J535" s="119">
        <v>0</v>
      </c>
      <c r="K535" s="119">
        <f t="shared" si="26"/>
        <v>48.25</v>
      </c>
      <c r="L535" s="152">
        <f t="shared" si="27"/>
        <v>41.83</v>
      </c>
      <c r="M535" s="113"/>
    </row>
    <row r="536" spans="1:13" x14ac:dyDescent="0.2">
      <c r="A536" s="106" t="s">
        <v>4363</v>
      </c>
      <c r="B536" s="105" t="s">
        <v>4369</v>
      </c>
      <c r="C536" s="105" t="s">
        <v>4415</v>
      </c>
      <c r="D536" s="149" t="s">
        <v>4433</v>
      </c>
      <c r="E536" s="105">
        <v>1</v>
      </c>
      <c r="F536" s="133">
        <v>58.95</v>
      </c>
      <c r="G536" s="133">
        <v>68</v>
      </c>
      <c r="H536" s="109">
        <f t="shared" si="25"/>
        <v>68</v>
      </c>
      <c r="I536" s="119"/>
      <c r="J536" s="119">
        <v>0</v>
      </c>
      <c r="K536" s="119">
        <f t="shared" si="26"/>
        <v>68</v>
      </c>
      <c r="L536" s="152">
        <f t="shared" si="27"/>
        <v>58.95</v>
      </c>
      <c r="M536" s="113"/>
    </row>
    <row r="537" spans="1:13" x14ac:dyDescent="0.2">
      <c r="A537" s="106" t="s">
        <v>4363</v>
      </c>
      <c r="B537" s="105" t="s">
        <v>3836</v>
      </c>
      <c r="C537" s="105" t="s">
        <v>4415</v>
      </c>
      <c r="D537" s="149" t="s">
        <v>3838</v>
      </c>
      <c r="E537" s="105">
        <v>1</v>
      </c>
      <c r="F537" s="133">
        <v>23</v>
      </c>
      <c r="G537" s="133">
        <v>26.5</v>
      </c>
      <c r="H537" s="109">
        <f t="shared" si="25"/>
        <v>26.5</v>
      </c>
      <c r="I537" s="119"/>
      <c r="J537" s="119">
        <v>0</v>
      </c>
      <c r="K537" s="119">
        <f t="shared" si="26"/>
        <v>26.5</v>
      </c>
      <c r="L537" s="152">
        <f t="shared" si="27"/>
        <v>23</v>
      </c>
      <c r="M537" s="113"/>
    </row>
    <row r="538" spans="1:13" x14ac:dyDescent="0.2">
      <c r="A538" s="106" t="s">
        <v>4363</v>
      </c>
      <c r="B538" s="105" t="s">
        <v>3893</v>
      </c>
      <c r="C538" s="105" t="s">
        <v>4416</v>
      </c>
      <c r="D538" s="149" t="s">
        <v>3895</v>
      </c>
      <c r="E538" s="105">
        <v>1</v>
      </c>
      <c r="F538" s="133">
        <v>25.75</v>
      </c>
      <c r="G538" s="133">
        <v>30</v>
      </c>
      <c r="H538" s="109">
        <f t="shared" si="25"/>
        <v>30</v>
      </c>
      <c r="I538" s="119"/>
      <c r="J538" s="119">
        <v>0</v>
      </c>
      <c r="K538" s="119">
        <f t="shared" si="26"/>
        <v>30</v>
      </c>
      <c r="L538" s="152">
        <f t="shared" si="27"/>
        <v>25.75</v>
      </c>
      <c r="M538" s="113"/>
    </row>
    <row r="539" spans="1:13" x14ac:dyDescent="0.2">
      <c r="A539" s="106" t="s">
        <v>4363</v>
      </c>
      <c r="B539" s="105" t="s">
        <v>4367</v>
      </c>
      <c r="C539" s="105" t="s">
        <v>4417</v>
      </c>
      <c r="D539" s="149" t="s">
        <v>4431</v>
      </c>
      <c r="E539" s="105">
        <v>1</v>
      </c>
      <c r="F539" s="133">
        <v>20.399999999999999</v>
      </c>
      <c r="G539" s="133">
        <v>23.46</v>
      </c>
      <c r="H539" s="109">
        <f t="shared" si="25"/>
        <v>23.46</v>
      </c>
      <c r="I539" s="119"/>
      <c r="J539" s="119">
        <v>0</v>
      </c>
      <c r="K539" s="119">
        <f t="shared" si="26"/>
        <v>23.46</v>
      </c>
      <c r="L539" s="152">
        <f t="shared" si="27"/>
        <v>20.399999999999999</v>
      </c>
      <c r="M539" s="113"/>
    </row>
    <row r="540" spans="1:13" x14ac:dyDescent="0.2">
      <c r="A540" s="106" t="s">
        <v>4363</v>
      </c>
      <c r="B540" s="105" t="s">
        <v>3065</v>
      </c>
      <c r="C540" s="105" t="s">
        <v>4418</v>
      </c>
      <c r="D540" s="149" t="s">
        <v>3067</v>
      </c>
      <c r="E540" s="105">
        <v>1</v>
      </c>
      <c r="F540" s="133">
        <v>13.39</v>
      </c>
      <c r="G540" s="133">
        <v>15.5</v>
      </c>
      <c r="H540" s="109">
        <f t="shared" si="25"/>
        <v>15.5</v>
      </c>
      <c r="I540" s="119"/>
      <c r="J540" s="119">
        <v>0</v>
      </c>
      <c r="K540" s="119">
        <f t="shared" si="26"/>
        <v>15.5</v>
      </c>
      <c r="L540" s="152">
        <f t="shared" si="27"/>
        <v>13.39</v>
      </c>
      <c r="M540" s="113"/>
    </row>
    <row r="541" spans="1:13" x14ac:dyDescent="0.2">
      <c r="A541" s="106" t="s">
        <v>4363</v>
      </c>
      <c r="B541" s="105" t="s">
        <v>2809</v>
      </c>
      <c r="C541" s="105" t="s">
        <v>4419</v>
      </c>
      <c r="D541" s="149" t="s">
        <v>2810</v>
      </c>
      <c r="E541" s="105">
        <v>1</v>
      </c>
      <c r="F541" s="133">
        <v>53.81</v>
      </c>
      <c r="G541" s="133">
        <v>62</v>
      </c>
      <c r="H541" s="109">
        <f t="shared" si="25"/>
        <v>62</v>
      </c>
      <c r="I541" s="119"/>
      <c r="J541" s="119">
        <v>0</v>
      </c>
      <c r="K541" s="119">
        <f t="shared" si="26"/>
        <v>62</v>
      </c>
      <c r="L541" s="152">
        <f t="shared" si="27"/>
        <v>53.81</v>
      </c>
      <c r="M541" s="113"/>
    </row>
    <row r="542" spans="1:13" x14ac:dyDescent="0.2">
      <c r="A542" s="106" t="s">
        <v>4363</v>
      </c>
      <c r="B542" s="105" t="s">
        <v>2240</v>
      </c>
      <c r="C542" s="105" t="s">
        <v>4420</v>
      </c>
      <c r="D542" s="149" t="s">
        <v>2241</v>
      </c>
      <c r="E542" s="105">
        <v>1</v>
      </c>
      <c r="F542" s="133">
        <v>18.649999999999999</v>
      </c>
      <c r="G542" s="133">
        <v>21.5</v>
      </c>
      <c r="H542" s="109">
        <f t="shared" si="25"/>
        <v>21.5</v>
      </c>
      <c r="I542" s="119"/>
      <c r="J542" s="119">
        <v>0</v>
      </c>
      <c r="K542" s="119">
        <f t="shared" si="26"/>
        <v>21.5</v>
      </c>
      <c r="L542" s="152">
        <f t="shared" si="27"/>
        <v>18.649999999999999</v>
      </c>
      <c r="M542" s="113"/>
    </row>
    <row r="543" spans="1:13" x14ac:dyDescent="0.2">
      <c r="A543" s="106" t="s">
        <v>4363</v>
      </c>
      <c r="B543" s="105" t="s">
        <v>3356</v>
      </c>
      <c r="C543" s="105" t="s">
        <v>4421</v>
      </c>
      <c r="D543" s="149" t="s">
        <v>3358</v>
      </c>
      <c r="E543" s="105">
        <v>1</v>
      </c>
      <c r="F543" s="133">
        <v>6.03</v>
      </c>
      <c r="G543" s="133">
        <v>7</v>
      </c>
      <c r="H543" s="109">
        <f t="shared" si="25"/>
        <v>7</v>
      </c>
      <c r="I543" s="119"/>
      <c r="J543" s="119">
        <v>0</v>
      </c>
      <c r="K543" s="119">
        <f t="shared" si="26"/>
        <v>7</v>
      </c>
      <c r="L543" s="152">
        <f t="shared" si="27"/>
        <v>6.03</v>
      </c>
      <c r="M543" s="113"/>
    </row>
    <row r="544" spans="1:13" x14ac:dyDescent="0.2">
      <c r="A544" s="106" t="s">
        <v>4363</v>
      </c>
      <c r="B544" s="105" t="s">
        <v>4250</v>
      </c>
      <c r="C544" s="105" t="s">
        <v>4421</v>
      </c>
      <c r="D544" s="149" t="s">
        <v>4252</v>
      </c>
      <c r="E544" s="105">
        <v>1</v>
      </c>
      <c r="F544" s="133">
        <v>6.4</v>
      </c>
      <c r="G544" s="133">
        <v>7.5</v>
      </c>
      <c r="H544" s="109">
        <f t="shared" si="25"/>
        <v>7.5</v>
      </c>
      <c r="I544" s="119"/>
      <c r="J544" s="119">
        <v>0</v>
      </c>
      <c r="K544" s="119">
        <f t="shared" si="26"/>
        <v>7.5</v>
      </c>
      <c r="L544" s="152">
        <f t="shared" si="27"/>
        <v>6.4</v>
      </c>
      <c r="M544" s="113"/>
    </row>
    <row r="545" spans="1:13" x14ac:dyDescent="0.2">
      <c r="A545" s="106" t="s">
        <v>4363</v>
      </c>
      <c r="B545" s="105" t="s">
        <v>2367</v>
      </c>
      <c r="C545" s="105" t="s">
        <v>4422</v>
      </c>
      <c r="D545" s="149" t="s">
        <v>2369</v>
      </c>
      <c r="E545" s="105">
        <v>6</v>
      </c>
      <c r="F545" s="133">
        <v>6.38</v>
      </c>
      <c r="G545" s="133">
        <v>7.5</v>
      </c>
      <c r="H545" s="109">
        <f t="shared" si="25"/>
        <v>45</v>
      </c>
      <c r="I545" s="119"/>
      <c r="J545" s="119">
        <v>0</v>
      </c>
      <c r="K545" s="119">
        <f t="shared" si="26"/>
        <v>45</v>
      </c>
      <c r="L545" s="152">
        <f t="shared" si="27"/>
        <v>38.28</v>
      </c>
      <c r="M545" s="113"/>
    </row>
    <row r="546" spans="1:13" x14ac:dyDescent="0.2">
      <c r="A546" s="106" t="s">
        <v>4363</v>
      </c>
      <c r="B546" s="105" t="s">
        <v>3634</v>
      </c>
      <c r="C546" s="105" t="s">
        <v>4423</v>
      </c>
      <c r="D546" s="149" t="s">
        <v>3636</v>
      </c>
      <c r="E546" s="105">
        <v>3</v>
      </c>
      <c r="F546" s="133">
        <v>8.5299999999999994</v>
      </c>
      <c r="G546" s="133">
        <v>10</v>
      </c>
      <c r="H546" s="109">
        <f t="shared" si="25"/>
        <v>30</v>
      </c>
      <c r="I546" s="119"/>
      <c r="J546" s="119">
        <v>0</v>
      </c>
      <c r="K546" s="119">
        <f t="shared" si="26"/>
        <v>30</v>
      </c>
      <c r="L546" s="152">
        <f t="shared" si="27"/>
        <v>25.589999999999996</v>
      </c>
      <c r="M546" s="113"/>
    </row>
    <row r="547" spans="1:13" x14ac:dyDescent="0.2">
      <c r="A547" s="106" t="s">
        <v>4363</v>
      </c>
      <c r="B547" s="105" t="s">
        <v>3267</v>
      </c>
      <c r="C547" s="105" t="s">
        <v>4423</v>
      </c>
      <c r="D547" s="149" t="s">
        <v>3268</v>
      </c>
      <c r="E547" s="105">
        <v>6</v>
      </c>
      <c r="F547" s="133">
        <v>11.5</v>
      </c>
      <c r="G547" s="133">
        <v>13.5</v>
      </c>
      <c r="H547" s="109">
        <f t="shared" si="25"/>
        <v>81</v>
      </c>
      <c r="I547" s="119"/>
      <c r="J547" s="119">
        <v>0</v>
      </c>
      <c r="K547" s="119">
        <f t="shared" si="26"/>
        <v>81</v>
      </c>
      <c r="L547" s="152">
        <f t="shared" si="27"/>
        <v>69</v>
      </c>
      <c r="M547" s="113"/>
    </row>
    <row r="548" spans="1:13" x14ac:dyDescent="0.2">
      <c r="A548" s="106" t="s">
        <v>4363</v>
      </c>
      <c r="B548" s="105" t="s">
        <v>1967</v>
      </c>
      <c r="C548" s="105" t="s">
        <v>4423</v>
      </c>
      <c r="D548" s="149" t="s">
        <v>1968</v>
      </c>
      <c r="E548" s="105">
        <v>3</v>
      </c>
      <c r="F548" s="133">
        <v>8.1999999999999993</v>
      </c>
      <c r="G548" s="133">
        <v>10</v>
      </c>
      <c r="H548" s="109">
        <f t="shared" si="25"/>
        <v>30</v>
      </c>
      <c r="I548" s="119"/>
      <c r="J548" s="119">
        <v>0</v>
      </c>
      <c r="K548" s="119">
        <f t="shared" si="26"/>
        <v>30</v>
      </c>
      <c r="L548" s="152">
        <f t="shared" si="27"/>
        <v>24.599999999999998</v>
      </c>
      <c r="M548" s="113"/>
    </row>
    <row r="549" spans="1:13" x14ac:dyDescent="0.2">
      <c r="A549" s="106" t="s">
        <v>4363</v>
      </c>
      <c r="B549" s="105" t="s">
        <v>3879</v>
      </c>
      <c r="C549" s="105" t="s">
        <v>4423</v>
      </c>
      <c r="D549" s="149" t="s">
        <v>3881</v>
      </c>
      <c r="E549" s="105">
        <v>1</v>
      </c>
      <c r="F549" s="133">
        <v>29.9</v>
      </c>
      <c r="G549" s="133">
        <v>34.5</v>
      </c>
      <c r="H549" s="109">
        <f t="shared" si="25"/>
        <v>34.5</v>
      </c>
      <c r="I549" s="119"/>
      <c r="J549" s="119">
        <v>0</v>
      </c>
      <c r="K549" s="119">
        <f t="shared" si="26"/>
        <v>34.5</v>
      </c>
      <c r="L549" s="152">
        <f t="shared" si="27"/>
        <v>29.9</v>
      </c>
      <c r="M549" s="113"/>
    </row>
    <row r="550" spans="1:13" x14ac:dyDescent="0.2">
      <c r="A550" s="106" t="s">
        <v>4363</v>
      </c>
      <c r="B550" s="105" t="s">
        <v>4253</v>
      </c>
      <c r="C550" s="105" t="s">
        <v>4424</v>
      </c>
      <c r="D550" s="149" t="s">
        <v>4254</v>
      </c>
      <c r="E550" s="105">
        <v>1</v>
      </c>
      <c r="F550" s="133">
        <v>6.4</v>
      </c>
      <c r="G550" s="133">
        <v>7.5</v>
      </c>
      <c r="H550" s="109">
        <f t="shared" si="25"/>
        <v>7.5</v>
      </c>
      <c r="I550" s="119"/>
      <c r="J550" s="119">
        <v>0</v>
      </c>
      <c r="K550" s="119">
        <f t="shared" si="26"/>
        <v>7.5</v>
      </c>
      <c r="L550" s="152">
        <f t="shared" si="27"/>
        <v>6.4</v>
      </c>
      <c r="M550" s="113"/>
    </row>
    <row r="551" spans="1:13" x14ac:dyDescent="0.2">
      <c r="A551" s="106" t="s">
        <v>4363</v>
      </c>
      <c r="B551" s="105" t="s">
        <v>4370</v>
      </c>
      <c r="C551" s="105" t="s">
        <v>4425</v>
      </c>
      <c r="D551" s="149" t="s">
        <v>4434</v>
      </c>
      <c r="E551" s="105">
        <v>1</v>
      </c>
      <c r="F551" s="133">
        <v>152</v>
      </c>
      <c r="G551" s="133">
        <v>175</v>
      </c>
      <c r="H551" s="109">
        <f t="shared" si="25"/>
        <v>175</v>
      </c>
      <c r="I551" s="119"/>
      <c r="J551" s="119">
        <v>0</v>
      </c>
      <c r="K551" s="119">
        <f t="shared" si="26"/>
        <v>175</v>
      </c>
      <c r="L551" s="152">
        <f t="shared" si="27"/>
        <v>152</v>
      </c>
      <c r="M551" s="113"/>
    </row>
    <row r="552" spans="1:13" x14ac:dyDescent="0.2">
      <c r="A552" s="106" t="s">
        <v>4363</v>
      </c>
      <c r="B552" s="105" t="s">
        <v>2731</v>
      </c>
      <c r="C552" s="105" t="s">
        <v>4425</v>
      </c>
      <c r="D552" s="149" t="s">
        <v>2732</v>
      </c>
      <c r="E552" s="105">
        <v>6</v>
      </c>
      <c r="F552" s="133">
        <v>7.3</v>
      </c>
      <c r="G552" s="133">
        <v>8.5</v>
      </c>
      <c r="H552" s="109">
        <f t="shared" si="25"/>
        <v>51</v>
      </c>
      <c r="I552" s="119"/>
      <c r="J552" s="119">
        <v>0</v>
      </c>
      <c r="K552" s="119">
        <f t="shared" si="26"/>
        <v>51</v>
      </c>
      <c r="L552" s="152">
        <f t="shared" si="27"/>
        <v>43.8</v>
      </c>
      <c r="M552" s="113"/>
    </row>
    <row r="553" spans="1:13" x14ac:dyDescent="0.2">
      <c r="A553" s="106" t="s">
        <v>4363</v>
      </c>
      <c r="B553" s="105" t="s">
        <v>1940</v>
      </c>
      <c r="C553" s="105" t="s">
        <v>4425</v>
      </c>
      <c r="D553" s="149" t="s">
        <v>1941</v>
      </c>
      <c r="E553" s="105">
        <v>6</v>
      </c>
      <c r="F553" s="133">
        <v>6</v>
      </c>
      <c r="G553" s="133">
        <v>7</v>
      </c>
      <c r="H553" s="109">
        <f t="shared" si="25"/>
        <v>42</v>
      </c>
      <c r="I553" s="119"/>
      <c r="J553" s="119">
        <v>0</v>
      </c>
      <c r="K553" s="119">
        <f t="shared" si="26"/>
        <v>42</v>
      </c>
      <c r="L553" s="152">
        <f t="shared" si="27"/>
        <v>36</v>
      </c>
      <c r="M553" s="113"/>
    </row>
    <row r="554" spans="1:13" x14ac:dyDescent="0.2">
      <c r="A554" s="106" t="s">
        <v>4363</v>
      </c>
      <c r="B554" s="105" t="s">
        <v>4253</v>
      </c>
      <c r="C554" s="105" t="s">
        <v>4426</v>
      </c>
      <c r="D554" s="149" t="s">
        <v>4254</v>
      </c>
      <c r="E554" s="105">
        <v>1</v>
      </c>
      <c r="F554" s="133">
        <v>6.4</v>
      </c>
      <c r="G554" s="133">
        <v>7.5</v>
      </c>
      <c r="H554" s="109">
        <f t="shared" si="25"/>
        <v>7.5</v>
      </c>
      <c r="I554" s="119"/>
      <c r="J554" s="119">
        <v>0</v>
      </c>
      <c r="K554" s="119">
        <f t="shared" si="26"/>
        <v>7.5</v>
      </c>
      <c r="L554" s="152">
        <f t="shared" si="27"/>
        <v>6.4</v>
      </c>
      <c r="M554" s="113"/>
    </row>
    <row r="555" spans="1:13" x14ac:dyDescent="0.2">
      <c r="A555" s="106" t="s">
        <v>4363</v>
      </c>
      <c r="B555" s="105" t="s">
        <v>1781</v>
      </c>
      <c r="C555" s="105" t="s">
        <v>4427</v>
      </c>
      <c r="D555" s="149" t="s">
        <v>1782</v>
      </c>
      <c r="E555" s="105">
        <v>1</v>
      </c>
      <c r="F555" s="133">
        <v>9.3800000000000008</v>
      </c>
      <c r="G555" s="133">
        <v>11</v>
      </c>
      <c r="H555" s="109">
        <f t="shared" si="25"/>
        <v>11</v>
      </c>
      <c r="I555" s="119"/>
      <c r="J555" s="119">
        <v>0</v>
      </c>
      <c r="K555" s="119">
        <f t="shared" si="26"/>
        <v>11</v>
      </c>
      <c r="L555" s="152">
        <f t="shared" si="27"/>
        <v>9.3800000000000008</v>
      </c>
      <c r="M555" s="113"/>
    </row>
    <row r="556" spans="1:13" x14ac:dyDescent="0.2">
      <c r="A556" s="106" t="s">
        <v>4440</v>
      </c>
      <c r="B556" s="105" t="s">
        <v>3065</v>
      </c>
      <c r="C556" s="105" t="s">
        <v>4448</v>
      </c>
      <c r="D556" s="149" t="s">
        <v>3067</v>
      </c>
      <c r="E556" s="105">
        <v>4</v>
      </c>
      <c r="F556" s="133">
        <v>13.39</v>
      </c>
      <c r="G556" s="133">
        <v>15.5</v>
      </c>
      <c r="H556" s="109">
        <f t="shared" si="25"/>
        <v>62</v>
      </c>
      <c r="I556" s="119"/>
      <c r="J556" s="119">
        <v>0</v>
      </c>
      <c r="K556" s="119">
        <f t="shared" si="26"/>
        <v>62</v>
      </c>
      <c r="L556" s="152">
        <f t="shared" si="27"/>
        <v>53.56</v>
      </c>
      <c r="M556" s="113"/>
    </row>
    <row r="557" spans="1:13" x14ac:dyDescent="0.2">
      <c r="A557" s="106" t="s">
        <v>4440</v>
      </c>
      <c r="B557" s="105" t="s">
        <v>4441</v>
      </c>
      <c r="C557" s="105" t="s">
        <v>4448</v>
      </c>
      <c r="D557" s="149" t="s">
        <v>4471</v>
      </c>
      <c r="E557" s="105">
        <v>4</v>
      </c>
      <c r="F557" s="133">
        <v>45.03</v>
      </c>
      <c r="G557" s="133">
        <v>54.5</v>
      </c>
      <c r="H557" s="109">
        <f t="shared" si="25"/>
        <v>218</v>
      </c>
      <c r="I557" s="119"/>
      <c r="J557" s="119">
        <v>0</v>
      </c>
      <c r="K557" s="119">
        <f t="shared" si="26"/>
        <v>218</v>
      </c>
      <c r="L557" s="152">
        <f t="shared" si="27"/>
        <v>180.12</v>
      </c>
      <c r="M557" s="113"/>
    </row>
    <row r="558" spans="1:13" x14ac:dyDescent="0.2">
      <c r="A558" s="106" t="s">
        <v>4440</v>
      </c>
      <c r="B558" s="105" t="s">
        <v>4442</v>
      </c>
      <c r="C558" s="105" t="s">
        <v>4448</v>
      </c>
      <c r="D558" s="149" t="s">
        <v>4472</v>
      </c>
      <c r="E558" s="105">
        <v>2</v>
      </c>
      <c r="F558" s="133">
        <v>238.1</v>
      </c>
      <c r="G558" s="133">
        <v>274</v>
      </c>
      <c r="H558" s="109">
        <f t="shared" si="25"/>
        <v>548</v>
      </c>
      <c r="I558" s="119"/>
      <c r="J558" s="119">
        <v>0</v>
      </c>
      <c r="K558" s="119">
        <f t="shared" si="26"/>
        <v>548</v>
      </c>
      <c r="L558" s="152">
        <f t="shared" si="27"/>
        <v>476.2</v>
      </c>
      <c r="M558" s="113"/>
    </row>
    <row r="559" spans="1:13" x14ac:dyDescent="0.2">
      <c r="A559" s="106" t="s">
        <v>4440</v>
      </c>
      <c r="B559" s="105" t="s">
        <v>3112</v>
      </c>
      <c r="C559" s="105" t="s">
        <v>4448</v>
      </c>
      <c r="D559" s="149" t="s">
        <v>3113</v>
      </c>
      <c r="E559" s="105">
        <v>2</v>
      </c>
      <c r="F559" s="133">
        <v>109.57</v>
      </c>
      <c r="G559" s="133">
        <v>136.5</v>
      </c>
      <c r="H559" s="109">
        <f t="shared" si="25"/>
        <v>273</v>
      </c>
      <c r="I559" s="119"/>
      <c r="J559" s="119">
        <v>0</v>
      </c>
      <c r="K559" s="119">
        <f t="shared" si="26"/>
        <v>273</v>
      </c>
      <c r="L559" s="152">
        <f t="shared" si="27"/>
        <v>219.14</v>
      </c>
      <c r="M559" s="113"/>
    </row>
    <row r="560" spans="1:13" x14ac:dyDescent="0.2">
      <c r="A560" s="106" t="s">
        <v>4440</v>
      </c>
      <c r="B560" s="105" t="s">
        <v>2419</v>
      </c>
      <c r="C560" s="105" t="s">
        <v>4448</v>
      </c>
      <c r="D560" s="149" t="s">
        <v>2420</v>
      </c>
      <c r="E560" s="105">
        <v>6</v>
      </c>
      <c r="F560" s="133">
        <v>45.88</v>
      </c>
      <c r="G560" s="133">
        <v>52.75</v>
      </c>
      <c r="H560" s="109">
        <f t="shared" si="25"/>
        <v>316.5</v>
      </c>
      <c r="I560" s="119"/>
      <c r="J560" s="119">
        <v>0</v>
      </c>
      <c r="K560" s="119">
        <f t="shared" si="26"/>
        <v>316.5</v>
      </c>
      <c r="L560" s="152">
        <f t="shared" si="27"/>
        <v>275.28000000000003</v>
      </c>
      <c r="M560" s="113"/>
    </row>
    <row r="561" spans="1:13" x14ac:dyDescent="0.2">
      <c r="A561" s="106" t="s">
        <v>4440</v>
      </c>
      <c r="B561" s="105" t="s">
        <v>3356</v>
      </c>
      <c r="C561" s="105" t="s">
        <v>4448</v>
      </c>
      <c r="D561" s="149" t="s">
        <v>3358</v>
      </c>
      <c r="E561" s="105">
        <v>1</v>
      </c>
      <c r="F561" s="133">
        <v>6.03</v>
      </c>
      <c r="G561" s="133">
        <v>7</v>
      </c>
      <c r="H561" s="109">
        <f t="shared" si="25"/>
        <v>7</v>
      </c>
      <c r="I561" s="119"/>
      <c r="J561" s="119">
        <v>0.5</v>
      </c>
      <c r="K561" s="119">
        <f t="shared" si="26"/>
        <v>6.5</v>
      </c>
      <c r="L561" s="152">
        <f t="shared" si="27"/>
        <v>6.03</v>
      </c>
      <c r="M561" s="113"/>
    </row>
    <row r="562" spans="1:13" x14ac:dyDescent="0.2">
      <c r="A562" s="106" t="s">
        <v>4440</v>
      </c>
      <c r="B562" s="105" t="s">
        <v>3072</v>
      </c>
      <c r="C562" s="105" t="s">
        <v>4449</v>
      </c>
      <c r="D562" s="149" t="s">
        <v>3074</v>
      </c>
      <c r="E562" s="105">
        <v>1</v>
      </c>
      <c r="F562" s="133">
        <v>16.91</v>
      </c>
      <c r="G562" s="133">
        <v>18.600000000000001</v>
      </c>
      <c r="H562" s="109">
        <f t="shared" si="25"/>
        <v>18.600000000000001</v>
      </c>
      <c r="I562" s="119"/>
      <c r="J562" s="119">
        <v>0</v>
      </c>
      <c r="K562" s="119">
        <f t="shared" si="26"/>
        <v>18.600000000000001</v>
      </c>
      <c r="L562" s="152">
        <f t="shared" si="27"/>
        <v>16.91</v>
      </c>
      <c r="M562" s="113"/>
    </row>
    <row r="563" spans="1:13" x14ac:dyDescent="0.2">
      <c r="A563" s="106" t="s">
        <v>4440</v>
      </c>
      <c r="B563" s="105" t="s">
        <v>3185</v>
      </c>
      <c r="C563" s="105" t="s">
        <v>4450</v>
      </c>
      <c r="D563" s="149" t="s">
        <v>3187</v>
      </c>
      <c r="E563" s="105">
        <v>1</v>
      </c>
      <c r="F563" s="133">
        <v>129</v>
      </c>
      <c r="G563" s="133">
        <v>148.5</v>
      </c>
      <c r="H563" s="109">
        <f t="shared" si="25"/>
        <v>148.5</v>
      </c>
      <c r="I563" s="119"/>
      <c r="J563" s="119">
        <v>0</v>
      </c>
      <c r="K563" s="119">
        <f t="shared" si="26"/>
        <v>148.5</v>
      </c>
      <c r="L563" s="152">
        <f t="shared" si="27"/>
        <v>129</v>
      </c>
      <c r="M563" s="113"/>
    </row>
    <row r="564" spans="1:13" x14ac:dyDescent="0.2">
      <c r="A564" s="106" t="s">
        <v>4440</v>
      </c>
      <c r="B564" s="105" t="s">
        <v>3185</v>
      </c>
      <c r="C564" s="105" t="s">
        <v>4451</v>
      </c>
      <c r="D564" s="149" t="s">
        <v>3187</v>
      </c>
      <c r="E564" s="105">
        <v>1</v>
      </c>
      <c r="F564" s="133">
        <v>129</v>
      </c>
      <c r="G564" s="133">
        <v>148.5</v>
      </c>
      <c r="H564" s="109">
        <f t="shared" si="25"/>
        <v>148.5</v>
      </c>
      <c r="I564" s="119"/>
      <c r="J564" s="119">
        <v>0</v>
      </c>
      <c r="K564" s="119">
        <f t="shared" si="26"/>
        <v>148.5</v>
      </c>
      <c r="L564" s="152">
        <f t="shared" si="27"/>
        <v>129</v>
      </c>
      <c r="M564" s="113"/>
    </row>
    <row r="565" spans="1:13" x14ac:dyDescent="0.2">
      <c r="A565" s="106" t="s">
        <v>4440</v>
      </c>
      <c r="B565" s="105" t="s">
        <v>4241</v>
      </c>
      <c r="C565" s="105" t="s">
        <v>4452</v>
      </c>
      <c r="D565" s="149" t="s">
        <v>4242</v>
      </c>
      <c r="E565" s="105">
        <v>1</v>
      </c>
      <c r="F565" s="133">
        <v>18.5</v>
      </c>
      <c r="G565" s="133">
        <v>21.5</v>
      </c>
      <c r="H565" s="109">
        <f t="shared" si="25"/>
        <v>21.5</v>
      </c>
      <c r="I565" s="119"/>
      <c r="J565" s="119">
        <v>0</v>
      </c>
      <c r="K565" s="119">
        <f t="shared" si="26"/>
        <v>21.5</v>
      </c>
      <c r="L565" s="152">
        <f t="shared" si="27"/>
        <v>18.5</v>
      </c>
      <c r="M565" s="113"/>
    </row>
    <row r="566" spans="1:13" x14ac:dyDescent="0.2">
      <c r="A566" s="106" t="s">
        <v>4440</v>
      </c>
      <c r="B566" s="105" t="s">
        <v>2027</v>
      </c>
      <c r="C566" s="105" t="s">
        <v>4452</v>
      </c>
      <c r="D566" s="149" t="s">
        <v>2029</v>
      </c>
      <c r="E566" s="105">
        <v>1</v>
      </c>
      <c r="F566" s="133">
        <v>8.75</v>
      </c>
      <c r="G566" s="133">
        <v>10.25</v>
      </c>
      <c r="H566" s="109">
        <f t="shared" si="25"/>
        <v>10.25</v>
      </c>
      <c r="I566" s="119"/>
      <c r="J566" s="119">
        <v>0</v>
      </c>
      <c r="K566" s="119">
        <f t="shared" si="26"/>
        <v>10.25</v>
      </c>
      <c r="L566" s="152">
        <f t="shared" si="27"/>
        <v>8.75</v>
      </c>
      <c r="M566" s="113"/>
    </row>
    <row r="567" spans="1:13" x14ac:dyDescent="0.2">
      <c r="A567" s="106" t="s">
        <v>4440</v>
      </c>
      <c r="B567" s="105" t="s">
        <v>1972</v>
      </c>
      <c r="C567" s="105" t="s">
        <v>4452</v>
      </c>
      <c r="D567" s="149" t="s">
        <v>1974</v>
      </c>
      <c r="E567" s="105">
        <v>1</v>
      </c>
      <c r="F567" s="133">
        <v>20.55</v>
      </c>
      <c r="G567" s="133">
        <v>23.75</v>
      </c>
      <c r="H567" s="109">
        <f t="shared" si="25"/>
        <v>23.75</v>
      </c>
      <c r="I567" s="119"/>
      <c r="J567" s="119">
        <v>0</v>
      </c>
      <c r="K567" s="119">
        <f t="shared" si="26"/>
        <v>23.75</v>
      </c>
      <c r="L567" s="152">
        <f t="shared" si="27"/>
        <v>20.55</v>
      </c>
      <c r="M567" s="113"/>
    </row>
    <row r="568" spans="1:13" x14ac:dyDescent="0.2">
      <c r="A568" s="106" t="s">
        <v>4440</v>
      </c>
      <c r="B568" s="105" t="s">
        <v>1781</v>
      </c>
      <c r="C568" s="105" t="s">
        <v>4453</v>
      </c>
      <c r="D568" s="149" t="s">
        <v>1782</v>
      </c>
      <c r="E568" s="105">
        <v>1</v>
      </c>
      <c r="F568" s="133">
        <v>9.3800000000000008</v>
      </c>
      <c r="G568" s="133">
        <v>11</v>
      </c>
      <c r="H568" s="109">
        <f t="shared" si="25"/>
        <v>11</v>
      </c>
      <c r="I568" s="119"/>
      <c r="J568" s="119">
        <v>0</v>
      </c>
      <c r="K568" s="119">
        <f t="shared" si="26"/>
        <v>11</v>
      </c>
      <c r="L568" s="152">
        <f t="shared" si="27"/>
        <v>9.3800000000000008</v>
      </c>
      <c r="M568" s="113"/>
    </row>
    <row r="569" spans="1:13" x14ac:dyDescent="0.2">
      <c r="A569" s="106" t="s">
        <v>4440</v>
      </c>
      <c r="B569" s="105" t="s">
        <v>2581</v>
      </c>
      <c r="C569" s="105" t="s">
        <v>4454</v>
      </c>
      <c r="D569" s="149" t="s">
        <v>2583</v>
      </c>
      <c r="E569" s="105">
        <v>2</v>
      </c>
      <c r="F569" s="133">
        <v>6.02</v>
      </c>
      <c r="G569" s="133">
        <v>7.25</v>
      </c>
      <c r="H569" s="109">
        <f t="shared" si="25"/>
        <v>14.5</v>
      </c>
      <c r="I569" s="119"/>
      <c r="J569" s="119">
        <v>0</v>
      </c>
      <c r="K569" s="119">
        <f t="shared" si="26"/>
        <v>14.5</v>
      </c>
      <c r="L569" s="152">
        <f t="shared" si="27"/>
        <v>12.04</v>
      </c>
      <c r="M569" s="113"/>
    </row>
    <row r="570" spans="1:13" x14ac:dyDescent="0.2">
      <c r="A570" s="106" t="s">
        <v>4440</v>
      </c>
      <c r="B570" s="105" t="s">
        <v>2245</v>
      </c>
      <c r="C570" s="105" t="s">
        <v>4454</v>
      </c>
      <c r="D570" s="149" t="s">
        <v>2246</v>
      </c>
      <c r="E570" s="105">
        <v>6</v>
      </c>
      <c r="F570" s="133">
        <v>4.74</v>
      </c>
      <c r="G570" s="133">
        <v>5.5</v>
      </c>
      <c r="H570" s="109">
        <f t="shared" si="25"/>
        <v>33</v>
      </c>
      <c r="I570" s="119"/>
      <c r="J570" s="119">
        <v>0</v>
      </c>
      <c r="K570" s="119">
        <f t="shared" si="26"/>
        <v>33</v>
      </c>
      <c r="L570" s="152">
        <f t="shared" si="27"/>
        <v>28.44</v>
      </c>
      <c r="M570" s="113"/>
    </row>
    <row r="571" spans="1:13" x14ac:dyDescent="0.2">
      <c r="A571" s="106" t="s">
        <v>4440</v>
      </c>
      <c r="B571" s="105" t="s">
        <v>3072</v>
      </c>
      <c r="C571" s="105" t="s">
        <v>4455</v>
      </c>
      <c r="D571" s="149" t="s">
        <v>3074</v>
      </c>
      <c r="E571" s="105">
        <v>1</v>
      </c>
      <c r="F571" s="133">
        <v>16.91</v>
      </c>
      <c r="G571" s="133">
        <v>18.600000000000001</v>
      </c>
      <c r="H571" s="109">
        <f t="shared" si="25"/>
        <v>18.600000000000001</v>
      </c>
      <c r="I571" s="119"/>
      <c r="J571" s="119">
        <v>0</v>
      </c>
      <c r="K571" s="119">
        <f t="shared" si="26"/>
        <v>18.600000000000001</v>
      </c>
      <c r="L571" s="152">
        <f t="shared" si="27"/>
        <v>16.91</v>
      </c>
      <c r="M571" s="113"/>
    </row>
    <row r="572" spans="1:13" x14ac:dyDescent="0.2">
      <c r="A572" s="106" t="s">
        <v>4440</v>
      </c>
      <c r="B572" s="105" t="s">
        <v>1915</v>
      </c>
      <c r="C572" s="105" t="s">
        <v>4455</v>
      </c>
      <c r="D572" s="149" t="s">
        <v>1917</v>
      </c>
      <c r="E572" s="105">
        <v>2</v>
      </c>
      <c r="F572" s="133">
        <v>7.85</v>
      </c>
      <c r="G572" s="133">
        <v>12</v>
      </c>
      <c r="H572" s="109">
        <f t="shared" si="25"/>
        <v>24</v>
      </c>
      <c r="I572" s="119"/>
      <c r="J572" s="119">
        <v>0</v>
      </c>
      <c r="K572" s="119">
        <f t="shared" si="26"/>
        <v>24</v>
      </c>
      <c r="L572" s="152">
        <f t="shared" si="27"/>
        <v>15.7</v>
      </c>
      <c r="M572" s="113"/>
    </row>
    <row r="573" spans="1:13" x14ac:dyDescent="0.2">
      <c r="A573" s="106" t="s">
        <v>4440</v>
      </c>
      <c r="B573" s="105" t="s">
        <v>3072</v>
      </c>
      <c r="C573" s="105" t="s">
        <v>4456</v>
      </c>
      <c r="D573" s="149" t="s">
        <v>3074</v>
      </c>
      <c r="E573" s="105">
        <v>1</v>
      </c>
      <c r="F573" s="133">
        <v>16.91</v>
      </c>
      <c r="G573" s="133">
        <v>18.600000000000001</v>
      </c>
      <c r="H573" s="109">
        <f t="shared" si="25"/>
        <v>18.600000000000001</v>
      </c>
      <c r="I573" s="119"/>
      <c r="J573" s="119">
        <v>0</v>
      </c>
      <c r="K573" s="119">
        <f t="shared" si="26"/>
        <v>18.600000000000001</v>
      </c>
      <c r="L573" s="152">
        <f t="shared" si="27"/>
        <v>16.91</v>
      </c>
      <c r="M573" s="113"/>
    </row>
    <row r="574" spans="1:13" x14ac:dyDescent="0.2">
      <c r="A574" s="106" t="s">
        <v>4440</v>
      </c>
      <c r="B574" s="105" t="s">
        <v>4443</v>
      </c>
      <c r="C574" s="105" t="s">
        <v>4457</v>
      </c>
      <c r="D574" s="149" t="s">
        <v>4473</v>
      </c>
      <c r="E574" s="105">
        <v>1</v>
      </c>
      <c r="F574" s="133">
        <v>64</v>
      </c>
      <c r="G574" s="133">
        <v>73.5</v>
      </c>
      <c r="H574" s="109">
        <f t="shared" si="25"/>
        <v>73.5</v>
      </c>
      <c r="I574" s="119"/>
      <c r="J574" s="119">
        <v>0</v>
      </c>
      <c r="K574" s="119">
        <f t="shared" si="26"/>
        <v>73.5</v>
      </c>
      <c r="L574" s="152">
        <f t="shared" si="27"/>
        <v>64</v>
      </c>
      <c r="M574" s="113"/>
    </row>
    <row r="575" spans="1:13" x14ac:dyDescent="0.2">
      <c r="A575" s="106" t="s">
        <v>4440</v>
      </c>
      <c r="B575" s="105" t="s">
        <v>1798</v>
      </c>
      <c r="C575" s="105" t="s">
        <v>4457</v>
      </c>
      <c r="D575" s="149" t="s">
        <v>1799</v>
      </c>
      <c r="E575" s="105">
        <v>1</v>
      </c>
      <c r="F575" s="133">
        <v>8.1999999999999993</v>
      </c>
      <c r="G575" s="133">
        <v>9.5</v>
      </c>
      <c r="H575" s="109">
        <f t="shared" si="25"/>
        <v>9.5</v>
      </c>
      <c r="I575" s="119"/>
      <c r="J575" s="119">
        <v>0</v>
      </c>
      <c r="K575" s="119">
        <f t="shared" si="26"/>
        <v>9.5</v>
      </c>
      <c r="L575" s="152">
        <f t="shared" si="27"/>
        <v>8.1999999999999993</v>
      </c>
      <c r="M575" s="113"/>
    </row>
    <row r="576" spans="1:13" x14ac:dyDescent="0.2">
      <c r="A576" s="106" t="s">
        <v>4440</v>
      </c>
      <c r="B576" s="105" t="s">
        <v>3169</v>
      </c>
      <c r="C576" s="105" t="s">
        <v>4458</v>
      </c>
      <c r="D576" s="149" t="s">
        <v>3170</v>
      </c>
      <c r="E576" s="105">
        <v>3</v>
      </c>
      <c r="F576" s="133">
        <v>5.41</v>
      </c>
      <c r="G576" s="133">
        <v>6.25</v>
      </c>
      <c r="H576" s="109">
        <f t="shared" si="25"/>
        <v>18.75</v>
      </c>
      <c r="I576" s="119"/>
      <c r="J576" s="119">
        <v>0</v>
      </c>
      <c r="K576" s="119">
        <f t="shared" si="26"/>
        <v>18.75</v>
      </c>
      <c r="L576" s="152">
        <f t="shared" si="27"/>
        <v>16.23</v>
      </c>
      <c r="M576" s="113"/>
    </row>
    <row r="577" spans="1:13" x14ac:dyDescent="0.2">
      <c r="A577" s="106" t="s">
        <v>4440</v>
      </c>
      <c r="B577" s="105" t="s">
        <v>4444</v>
      </c>
      <c r="C577" s="105" t="s">
        <v>4459</v>
      </c>
      <c r="D577" s="149" t="s">
        <v>4474</v>
      </c>
      <c r="E577" s="105">
        <v>1</v>
      </c>
      <c r="F577" s="133">
        <v>23.9</v>
      </c>
      <c r="G577" s="133">
        <v>26.25</v>
      </c>
      <c r="H577" s="109">
        <f t="shared" si="25"/>
        <v>26.25</v>
      </c>
      <c r="I577" s="119"/>
      <c r="J577" s="119">
        <v>0</v>
      </c>
      <c r="K577" s="119">
        <f t="shared" si="26"/>
        <v>26.25</v>
      </c>
      <c r="L577" s="152">
        <f t="shared" si="27"/>
        <v>23.9</v>
      </c>
      <c r="M577" s="113"/>
    </row>
    <row r="578" spans="1:13" x14ac:dyDescent="0.2">
      <c r="A578" s="106" t="s">
        <v>4440</v>
      </c>
      <c r="B578" s="105" t="s">
        <v>1958</v>
      </c>
      <c r="C578" s="105" t="s">
        <v>4460</v>
      </c>
      <c r="D578" s="149" t="s">
        <v>1960</v>
      </c>
      <c r="E578" s="105">
        <v>1</v>
      </c>
      <c r="F578" s="133">
        <v>20.399999999999999</v>
      </c>
      <c r="G578" s="133">
        <v>23.5</v>
      </c>
      <c r="H578" s="109">
        <f t="shared" si="25"/>
        <v>23.5</v>
      </c>
      <c r="I578" s="119"/>
      <c r="J578" s="119">
        <v>0</v>
      </c>
      <c r="K578" s="119">
        <f t="shared" si="26"/>
        <v>23.5</v>
      </c>
      <c r="L578" s="152">
        <f t="shared" si="27"/>
        <v>20.399999999999999</v>
      </c>
      <c r="M578" s="113"/>
    </row>
    <row r="579" spans="1:13" x14ac:dyDescent="0.2">
      <c r="A579" s="106" t="s">
        <v>4440</v>
      </c>
      <c r="B579" s="105" t="s">
        <v>2072</v>
      </c>
      <c r="C579" s="105" t="s">
        <v>4460</v>
      </c>
      <c r="D579" s="149" t="s">
        <v>2074</v>
      </c>
      <c r="E579" s="105">
        <v>1</v>
      </c>
      <c r="F579" s="133">
        <v>9.2799999999999994</v>
      </c>
      <c r="G579" s="133">
        <v>10.75</v>
      </c>
      <c r="H579" s="109">
        <f t="shared" si="25"/>
        <v>10.75</v>
      </c>
      <c r="I579" s="119"/>
      <c r="J579" s="119">
        <v>0</v>
      </c>
      <c r="K579" s="119">
        <f t="shared" si="26"/>
        <v>10.75</v>
      </c>
      <c r="L579" s="152">
        <f t="shared" si="27"/>
        <v>9.2799999999999994</v>
      </c>
      <c r="M579" s="113"/>
    </row>
    <row r="580" spans="1:13" x14ac:dyDescent="0.2">
      <c r="A580" s="106" t="s">
        <v>4440</v>
      </c>
      <c r="B580" s="105" t="s">
        <v>3060</v>
      </c>
      <c r="C580" s="105" t="s">
        <v>4460</v>
      </c>
      <c r="D580" s="149" t="s">
        <v>3062</v>
      </c>
      <c r="E580" s="105">
        <v>1</v>
      </c>
      <c r="F580" s="133">
        <v>44.8</v>
      </c>
      <c r="G580" s="133">
        <v>51.75</v>
      </c>
      <c r="H580" s="109">
        <f t="shared" si="25"/>
        <v>51.75</v>
      </c>
      <c r="I580" s="119"/>
      <c r="J580" s="119">
        <v>0</v>
      </c>
      <c r="K580" s="119">
        <f t="shared" si="26"/>
        <v>51.75</v>
      </c>
      <c r="L580" s="152">
        <f t="shared" si="27"/>
        <v>44.8</v>
      </c>
      <c r="M580" s="113"/>
    </row>
    <row r="581" spans="1:13" x14ac:dyDescent="0.2">
      <c r="A581" s="106" t="s">
        <v>4440</v>
      </c>
      <c r="B581" s="105" t="s">
        <v>4250</v>
      </c>
      <c r="C581" s="105" t="s">
        <v>4460</v>
      </c>
      <c r="D581" s="149" t="s">
        <v>4252</v>
      </c>
      <c r="E581" s="105">
        <v>1</v>
      </c>
      <c r="F581" s="133">
        <v>6.4</v>
      </c>
      <c r="G581" s="133">
        <v>7.5</v>
      </c>
      <c r="H581" s="109">
        <f t="shared" si="25"/>
        <v>7.5</v>
      </c>
      <c r="I581" s="119"/>
      <c r="J581" s="119">
        <v>0</v>
      </c>
      <c r="K581" s="119">
        <f t="shared" si="26"/>
        <v>7.5</v>
      </c>
      <c r="L581" s="152">
        <f t="shared" si="27"/>
        <v>6.4</v>
      </c>
      <c r="M581" s="113"/>
    </row>
    <row r="582" spans="1:13" x14ac:dyDescent="0.2">
      <c r="A582" s="106" t="s">
        <v>4440</v>
      </c>
      <c r="B582" s="105" t="s">
        <v>4253</v>
      </c>
      <c r="C582" s="105" t="s">
        <v>4460</v>
      </c>
      <c r="D582" s="149" t="s">
        <v>4254</v>
      </c>
      <c r="E582" s="105">
        <v>1</v>
      </c>
      <c r="F582" s="133">
        <v>6.4</v>
      </c>
      <c r="G582" s="133">
        <v>7.5</v>
      </c>
      <c r="H582" s="109">
        <f t="shared" si="25"/>
        <v>7.5</v>
      </c>
      <c r="I582" s="119"/>
      <c r="J582" s="119">
        <v>0</v>
      </c>
      <c r="K582" s="119">
        <f t="shared" si="26"/>
        <v>7.5</v>
      </c>
      <c r="L582" s="152">
        <f t="shared" si="27"/>
        <v>6.4</v>
      </c>
      <c r="M582" s="113"/>
    </row>
    <row r="583" spans="1:13" x14ac:dyDescent="0.2">
      <c r="A583" s="106" t="s">
        <v>4440</v>
      </c>
      <c r="B583" s="105" t="s">
        <v>2512</v>
      </c>
      <c r="C583" s="105" t="s">
        <v>4461</v>
      </c>
      <c r="D583" s="149" t="s">
        <v>2514</v>
      </c>
      <c r="E583" s="105">
        <v>1</v>
      </c>
      <c r="F583" s="133">
        <v>58</v>
      </c>
      <c r="G583" s="133">
        <v>67</v>
      </c>
      <c r="H583" s="109">
        <f t="shared" ref="H583:H646" si="28">E583*G583</f>
        <v>67</v>
      </c>
      <c r="I583" s="119"/>
      <c r="J583" s="119">
        <v>0</v>
      </c>
      <c r="K583" s="119">
        <f t="shared" ref="K583:K646" si="29">H583+I583-J583</f>
        <v>67</v>
      </c>
      <c r="L583" s="152">
        <f t="shared" ref="L583:L646" si="30">E583*F583</f>
        <v>58</v>
      </c>
      <c r="M583" s="113"/>
    </row>
    <row r="584" spans="1:13" x14ac:dyDescent="0.2">
      <c r="A584" s="106" t="s">
        <v>4440</v>
      </c>
      <c r="B584" s="105" t="s">
        <v>1781</v>
      </c>
      <c r="C584" s="105" t="s">
        <v>4461</v>
      </c>
      <c r="D584" s="149" t="s">
        <v>1782</v>
      </c>
      <c r="E584" s="105">
        <v>1</v>
      </c>
      <c r="F584" s="133">
        <v>9.3800000000000008</v>
      </c>
      <c r="G584" s="133">
        <v>11</v>
      </c>
      <c r="H584" s="109">
        <f t="shared" si="28"/>
        <v>11</v>
      </c>
      <c r="I584" s="119"/>
      <c r="J584" s="119">
        <v>0</v>
      </c>
      <c r="K584" s="119">
        <f t="shared" si="29"/>
        <v>11</v>
      </c>
      <c r="L584" s="152">
        <f t="shared" si="30"/>
        <v>9.3800000000000008</v>
      </c>
      <c r="M584" s="113"/>
    </row>
    <row r="585" spans="1:13" x14ac:dyDescent="0.2">
      <c r="A585" s="106" t="s">
        <v>4440</v>
      </c>
      <c r="B585" s="105" t="s">
        <v>1994</v>
      </c>
      <c r="C585" s="105" t="s">
        <v>4462</v>
      </c>
      <c r="D585" s="149" t="s">
        <v>1995</v>
      </c>
      <c r="E585" s="105">
        <v>1</v>
      </c>
      <c r="F585" s="133">
        <v>6.67</v>
      </c>
      <c r="G585" s="133">
        <v>9.5</v>
      </c>
      <c r="H585" s="109">
        <f t="shared" si="28"/>
        <v>9.5</v>
      </c>
      <c r="I585" s="119"/>
      <c r="J585" s="119">
        <v>0</v>
      </c>
      <c r="K585" s="119">
        <f t="shared" si="29"/>
        <v>9.5</v>
      </c>
      <c r="L585" s="152">
        <f t="shared" si="30"/>
        <v>6.67</v>
      </c>
      <c r="M585" s="113"/>
    </row>
    <row r="586" spans="1:13" x14ac:dyDescent="0.2">
      <c r="A586" s="106" t="s">
        <v>4440</v>
      </c>
      <c r="B586" s="105" t="s">
        <v>4156</v>
      </c>
      <c r="C586" s="105" t="s">
        <v>4462</v>
      </c>
      <c r="D586" s="149" t="s">
        <v>4157</v>
      </c>
      <c r="E586" s="105">
        <v>1</v>
      </c>
      <c r="F586" s="133">
        <v>6.03</v>
      </c>
      <c r="G586" s="133">
        <v>7</v>
      </c>
      <c r="H586" s="109">
        <f t="shared" si="28"/>
        <v>7</v>
      </c>
      <c r="I586" s="119"/>
      <c r="J586" s="119">
        <v>0</v>
      </c>
      <c r="K586" s="119">
        <f t="shared" si="29"/>
        <v>7</v>
      </c>
      <c r="L586" s="152">
        <f t="shared" si="30"/>
        <v>6.03</v>
      </c>
      <c r="M586" s="113"/>
    </row>
    <row r="587" spans="1:13" x14ac:dyDescent="0.2">
      <c r="A587" s="106" t="s">
        <v>4440</v>
      </c>
      <c r="B587" s="105" t="s">
        <v>3360</v>
      </c>
      <c r="C587" s="105" t="s">
        <v>4463</v>
      </c>
      <c r="D587" s="149" t="s">
        <v>3361</v>
      </c>
      <c r="E587" s="105">
        <v>1</v>
      </c>
      <c r="F587" s="133">
        <v>6.03</v>
      </c>
      <c r="G587" s="133">
        <v>7</v>
      </c>
      <c r="H587" s="109">
        <f t="shared" si="28"/>
        <v>7</v>
      </c>
      <c r="I587" s="119"/>
      <c r="J587" s="119">
        <v>0</v>
      </c>
      <c r="K587" s="119">
        <f t="shared" si="29"/>
        <v>7</v>
      </c>
      <c r="L587" s="152">
        <f t="shared" si="30"/>
        <v>6.03</v>
      </c>
      <c r="M587" s="113"/>
    </row>
    <row r="588" spans="1:13" x14ac:dyDescent="0.2">
      <c r="A588" s="106" t="s">
        <v>4440</v>
      </c>
      <c r="B588" s="105" t="s">
        <v>4445</v>
      </c>
      <c r="C588" s="105" t="s">
        <v>4464</v>
      </c>
      <c r="D588" s="149" t="s">
        <v>4475</v>
      </c>
      <c r="E588" s="105">
        <v>1</v>
      </c>
      <c r="F588" s="133">
        <v>37.409999999999997</v>
      </c>
      <c r="G588" s="133">
        <v>43.25</v>
      </c>
      <c r="H588" s="109">
        <f t="shared" si="28"/>
        <v>43.25</v>
      </c>
      <c r="I588" s="119"/>
      <c r="J588" s="119">
        <v>0</v>
      </c>
      <c r="K588" s="119">
        <f t="shared" si="29"/>
        <v>43.25</v>
      </c>
      <c r="L588" s="152">
        <f t="shared" si="30"/>
        <v>37.409999999999997</v>
      </c>
      <c r="M588" s="113"/>
    </row>
    <row r="589" spans="1:13" x14ac:dyDescent="0.2">
      <c r="A589" s="106" t="s">
        <v>4440</v>
      </c>
      <c r="B589" s="105" t="s">
        <v>1911</v>
      </c>
      <c r="C589" s="105" t="s">
        <v>4465</v>
      </c>
      <c r="D589" s="149" t="s">
        <v>1912</v>
      </c>
      <c r="E589" s="105">
        <v>1</v>
      </c>
      <c r="F589" s="133">
        <v>31.6</v>
      </c>
      <c r="G589" s="133">
        <v>36.5</v>
      </c>
      <c r="H589" s="109">
        <f t="shared" si="28"/>
        <v>36.5</v>
      </c>
      <c r="I589" s="119"/>
      <c r="J589" s="119">
        <v>0</v>
      </c>
      <c r="K589" s="119">
        <f t="shared" si="29"/>
        <v>36.5</v>
      </c>
      <c r="L589" s="152">
        <f t="shared" si="30"/>
        <v>31.6</v>
      </c>
      <c r="M589" s="113"/>
    </row>
    <row r="590" spans="1:13" x14ac:dyDescent="0.2">
      <c r="A590" s="106" t="s">
        <v>4440</v>
      </c>
      <c r="B590" s="105" t="s">
        <v>4282</v>
      </c>
      <c r="C590" s="105" t="s">
        <v>4466</v>
      </c>
      <c r="D590" s="149" t="s">
        <v>4284</v>
      </c>
      <c r="E590" s="105">
        <v>1</v>
      </c>
      <c r="F590" s="133">
        <v>53.2</v>
      </c>
      <c r="G590" s="133">
        <v>61.25</v>
      </c>
      <c r="H590" s="109">
        <f t="shared" si="28"/>
        <v>61.25</v>
      </c>
      <c r="I590" s="119"/>
      <c r="J590" s="119">
        <v>0</v>
      </c>
      <c r="K590" s="119">
        <f t="shared" si="29"/>
        <v>61.25</v>
      </c>
      <c r="L590" s="152">
        <f t="shared" si="30"/>
        <v>53.2</v>
      </c>
      <c r="M590" s="113"/>
    </row>
    <row r="591" spans="1:13" x14ac:dyDescent="0.2">
      <c r="A591" s="106" t="s">
        <v>4440</v>
      </c>
      <c r="B591" s="105" t="s">
        <v>2581</v>
      </c>
      <c r="C591" s="105" t="s">
        <v>4466</v>
      </c>
      <c r="D591" s="149" t="s">
        <v>2583</v>
      </c>
      <c r="E591" s="105">
        <v>1</v>
      </c>
      <c r="F591" s="133">
        <v>6.02</v>
      </c>
      <c r="G591" s="133">
        <v>7.25</v>
      </c>
      <c r="H591" s="109">
        <f t="shared" si="28"/>
        <v>7.25</v>
      </c>
      <c r="I591" s="119"/>
      <c r="J591" s="119">
        <v>0</v>
      </c>
      <c r="K591" s="119">
        <f t="shared" si="29"/>
        <v>7.25</v>
      </c>
      <c r="L591" s="152">
        <f t="shared" si="30"/>
        <v>6.02</v>
      </c>
      <c r="M591" s="113"/>
    </row>
    <row r="592" spans="1:13" x14ac:dyDescent="0.2">
      <c r="A592" s="106" t="s">
        <v>4440</v>
      </c>
      <c r="B592" s="105" t="s">
        <v>3065</v>
      </c>
      <c r="C592" s="105" t="s">
        <v>4466</v>
      </c>
      <c r="D592" s="149" t="s">
        <v>3067</v>
      </c>
      <c r="E592" s="105">
        <v>1</v>
      </c>
      <c r="F592" s="133">
        <v>13.39</v>
      </c>
      <c r="G592" s="133">
        <v>15.5</v>
      </c>
      <c r="H592" s="109">
        <f t="shared" si="28"/>
        <v>15.5</v>
      </c>
      <c r="I592" s="119"/>
      <c r="J592" s="119">
        <v>0</v>
      </c>
      <c r="K592" s="119">
        <f t="shared" si="29"/>
        <v>15.5</v>
      </c>
      <c r="L592" s="152">
        <f t="shared" si="30"/>
        <v>13.39</v>
      </c>
      <c r="M592" s="113"/>
    </row>
    <row r="593" spans="1:13" x14ac:dyDescent="0.2">
      <c r="A593" s="106" t="s">
        <v>4440</v>
      </c>
      <c r="B593" s="105" t="s">
        <v>4156</v>
      </c>
      <c r="C593" s="105" t="s">
        <v>4467</v>
      </c>
      <c r="D593" s="149" t="s">
        <v>4157</v>
      </c>
      <c r="E593" s="105">
        <v>1</v>
      </c>
      <c r="F593" s="133">
        <v>6.03</v>
      </c>
      <c r="G593" s="133">
        <v>7</v>
      </c>
      <c r="H593" s="109">
        <f t="shared" si="28"/>
        <v>7</v>
      </c>
      <c r="I593" s="119"/>
      <c r="J593" s="119">
        <v>0</v>
      </c>
      <c r="K593" s="119">
        <f t="shared" si="29"/>
        <v>7</v>
      </c>
      <c r="L593" s="152">
        <f t="shared" si="30"/>
        <v>6.03</v>
      </c>
      <c r="M593" s="113"/>
    </row>
    <row r="594" spans="1:13" x14ac:dyDescent="0.2">
      <c r="A594" s="106" t="s">
        <v>4440</v>
      </c>
      <c r="B594" s="105" t="s">
        <v>2959</v>
      </c>
      <c r="C594" s="105" t="s">
        <v>4468</v>
      </c>
      <c r="D594" s="149" t="s">
        <v>2960</v>
      </c>
      <c r="E594" s="105">
        <v>1</v>
      </c>
      <c r="F594" s="133">
        <v>529.58000000000004</v>
      </c>
      <c r="G594" s="133">
        <v>615</v>
      </c>
      <c r="H594" s="109">
        <f t="shared" si="28"/>
        <v>615</v>
      </c>
      <c r="I594" s="119"/>
      <c r="J594" s="119">
        <v>0</v>
      </c>
      <c r="K594" s="119">
        <f t="shared" si="29"/>
        <v>615</v>
      </c>
      <c r="L594" s="152">
        <f t="shared" si="30"/>
        <v>529.58000000000004</v>
      </c>
      <c r="M594" s="113"/>
    </row>
    <row r="595" spans="1:13" x14ac:dyDescent="0.2">
      <c r="A595" s="106" t="s">
        <v>4440</v>
      </c>
      <c r="B595" s="105" t="s">
        <v>2884</v>
      </c>
      <c r="C595" s="105" t="s">
        <v>4468</v>
      </c>
      <c r="D595" s="149" t="s">
        <v>2886</v>
      </c>
      <c r="E595" s="105">
        <v>1</v>
      </c>
      <c r="F595" s="133">
        <v>302.13</v>
      </c>
      <c r="G595" s="133">
        <v>362.75</v>
      </c>
      <c r="H595" s="109">
        <f t="shared" si="28"/>
        <v>362.75</v>
      </c>
      <c r="I595" s="119"/>
      <c r="J595" s="119">
        <v>0</v>
      </c>
      <c r="K595" s="119">
        <f t="shared" si="29"/>
        <v>362.75</v>
      </c>
      <c r="L595" s="152">
        <f t="shared" si="30"/>
        <v>302.13</v>
      </c>
      <c r="M595" s="113"/>
    </row>
    <row r="596" spans="1:13" x14ac:dyDescent="0.2">
      <c r="A596" s="106" t="s">
        <v>4440</v>
      </c>
      <c r="B596" s="105" t="s">
        <v>2550</v>
      </c>
      <c r="C596" s="105" t="s">
        <v>4468</v>
      </c>
      <c r="D596" s="149" t="s">
        <v>2552</v>
      </c>
      <c r="E596" s="105">
        <v>24</v>
      </c>
      <c r="F596" s="133">
        <v>6.38</v>
      </c>
      <c r="G596" s="133">
        <v>7.5</v>
      </c>
      <c r="H596" s="109">
        <f t="shared" si="28"/>
        <v>180</v>
      </c>
      <c r="I596" s="119"/>
      <c r="J596" s="119">
        <v>0</v>
      </c>
      <c r="K596" s="119">
        <f t="shared" si="29"/>
        <v>180</v>
      </c>
      <c r="L596" s="152">
        <f t="shared" si="30"/>
        <v>153.12</v>
      </c>
      <c r="M596" s="113"/>
    </row>
    <row r="597" spans="1:13" x14ac:dyDescent="0.2">
      <c r="A597" s="106" t="s">
        <v>4440</v>
      </c>
      <c r="B597" s="105" t="s">
        <v>3352</v>
      </c>
      <c r="C597" s="105" t="s">
        <v>4468</v>
      </c>
      <c r="D597" s="149" t="s">
        <v>3353</v>
      </c>
      <c r="E597" s="105">
        <v>12</v>
      </c>
      <c r="F597" s="133">
        <v>6.12</v>
      </c>
      <c r="G597" s="133">
        <v>7.5</v>
      </c>
      <c r="H597" s="109">
        <f t="shared" si="28"/>
        <v>90</v>
      </c>
      <c r="I597" s="119"/>
      <c r="J597" s="119">
        <v>0</v>
      </c>
      <c r="K597" s="119">
        <f t="shared" si="29"/>
        <v>90</v>
      </c>
      <c r="L597" s="152">
        <f t="shared" si="30"/>
        <v>73.44</v>
      </c>
      <c r="M597" s="113"/>
    </row>
    <row r="598" spans="1:13" x14ac:dyDescent="0.2">
      <c r="A598" s="106" t="s">
        <v>4440</v>
      </c>
      <c r="B598" s="105" t="s">
        <v>4446</v>
      </c>
      <c r="C598" s="105" t="s">
        <v>4468</v>
      </c>
      <c r="D598" s="149" t="s">
        <v>4476</v>
      </c>
      <c r="E598" s="105">
        <v>5</v>
      </c>
      <c r="F598" s="133">
        <v>65</v>
      </c>
      <c r="G598" s="133">
        <v>75</v>
      </c>
      <c r="H598" s="109">
        <f t="shared" si="28"/>
        <v>375</v>
      </c>
      <c r="I598" s="119"/>
      <c r="J598" s="119">
        <v>0</v>
      </c>
      <c r="K598" s="119">
        <f t="shared" si="29"/>
        <v>375</v>
      </c>
      <c r="L598" s="152">
        <f t="shared" si="30"/>
        <v>325</v>
      </c>
      <c r="M598" s="113"/>
    </row>
    <row r="599" spans="1:13" x14ac:dyDescent="0.2">
      <c r="A599" s="106" t="s">
        <v>4440</v>
      </c>
      <c r="B599" s="105" t="s">
        <v>2094</v>
      </c>
      <c r="C599" s="105" t="s">
        <v>4468</v>
      </c>
      <c r="D599" s="149" t="s">
        <v>2096</v>
      </c>
      <c r="E599" s="105">
        <v>12</v>
      </c>
      <c r="F599" s="133">
        <v>12.56</v>
      </c>
      <c r="G599" s="133">
        <v>14.5</v>
      </c>
      <c r="H599" s="109">
        <f t="shared" si="28"/>
        <v>174</v>
      </c>
      <c r="I599" s="119"/>
      <c r="J599" s="119">
        <v>0</v>
      </c>
      <c r="K599" s="119">
        <f t="shared" si="29"/>
        <v>174</v>
      </c>
      <c r="L599" s="152">
        <f t="shared" si="30"/>
        <v>150.72</v>
      </c>
      <c r="M599" s="113"/>
    </row>
    <row r="600" spans="1:13" x14ac:dyDescent="0.2">
      <c r="A600" s="106" t="s">
        <v>4440</v>
      </c>
      <c r="B600" s="105" t="s">
        <v>3112</v>
      </c>
      <c r="C600" s="105" t="s">
        <v>4468</v>
      </c>
      <c r="D600" s="149" t="s">
        <v>3113</v>
      </c>
      <c r="E600" s="105">
        <v>1</v>
      </c>
      <c r="F600" s="133">
        <v>109.57</v>
      </c>
      <c r="G600" s="133">
        <v>136.5</v>
      </c>
      <c r="H600" s="109">
        <f t="shared" si="28"/>
        <v>136.5</v>
      </c>
      <c r="I600" s="119"/>
      <c r="J600" s="119">
        <v>0</v>
      </c>
      <c r="K600" s="119">
        <f t="shared" si="29"/>
        <v>136.5</v>
      </c>
      <c r="L600" s="152">
        <f t="shared" si="30"/>
        <v>109.57</v>
      </c>
      <c r="M600" s="113"/>
    </row>
    <row r="601" spans="1:13" x14ac:dyDescent="0.2">
      <c r="A601" s="106" t="s">
        <v>4440</v>
      </c>
      <c r="B601" s="105" t="s">
        <v>4447</v>
      </c>
      <c r="C601" s="105" t="s">
        <v>4468</v>
      </c>
      <c r="D601" s="149" t="s">
        <v>4477</v>
      </c>
      <c r="E601" s="105">
        <v>2</v>
      </c>
      <c r="F601" s="133">
        <v>118.16</v>
      </c>
      <c r="G601" s="133">
        <v>136</v>
      </c>
      <c r="H601" s="109">
        <f t="shared" si="28"/>
        <v>272</v>
      </c>
      <c r="I601" s="119"/>
      <c r="J601" s="119">
        <v>0</v>
      </c>
      <c r="K601" s="119">
        <f t="shared" si="29"/>
        <v>272</v>
      </c>
      <c r="L601" s="152">
        <f t="shared" si="30"/>
        <v>236.32</v>
      </c>
      <c r="M601" s="113"/>
    </row>
    <row r="602" spans="1:13" x14ac:dyDescent="0.2">
      <c r="A602" s="106" t="s">
        <v>4440</v>
      </c>
      <c r="B602" s="105" t="s">
        <v>3052</v>
      </c>
      <c r="C602" s="105" t="s">
        <v>4469</v>
      </c>
      <c r="D602" s="149" t="s">
        <v>3053</v>
      </c>
      <c r="E602" s="105">
        <v>1</v>
      </c>
      <c r="F602" s="133">
        <v>13.32</v>
      </c>
      <c r="G602" s="133">
        <v>15.5</v>
      </c>
      <c r="H602" s="109">
        <f t="shared" si="28"/>
        <v>15.5</v>
      </c>
      <c r="I602" s="119"/>
      <c r="J602" s="119">
        <v>0</v>
      </c>
      <c r="K602" s="119">
        <f t="shared" si="29"/>
        <v>15.5</v>
      </c>
      <c r="L602" s="152">
        <f t="shared" si="30"/>
        <v>13.32</v>
      </c>
      <c r="M602" s="113"/>
    </row>
    <row r="603" spans="1:13" x14ac:dyDescent="0.2">
      <c r="A603" s="106" t="s">
        <v>4440</v>
      </c>
      <c r="B603" s="105" t="s">
        <v>3043</v>
      </c>
      <c r="C603" s="105" t="s">
        <v>4470</v>
      </c>
      <c r="D603" s="149" t="s">
        <v>3044</v>
      </c>
      <c r="E603" s="105">
        <v>1</v>
      </c>
      <c r="F603" s="133">
        <v>301.87</v>
      </c>
      <c r="G603" s="133">
        <v>347.25</v>
      </c>
      <c r="H603" s="109">
        <f t="shared" si="28"/>
        <v>347.25</v>
      </c>
      <c r="I603" s="119"/>
      <c r="J603" s="119">
        <v>0</v>
      </c>
      <c r="K603" s="119">
        <f t="shared" si="29"/>
        <v>347.25</v>
      </c>
      <c r="L603" s="152">
        <f t="shared" si="30"/>
        <v>301.87</v>
      </c>
      <c r="M603" s="113"/>
    </row>
    <row r="604" spans="1:13" x14ac:dyDescent="0.2">
      <c r="A604" s="106" t="s">
        <v>4440</v>
      </c>
      <c r="B604" s="105" t="s">
        <v>2245</v>
      </c>
      <c r="C604" s="105" t="s">
        <v>4470</v>
      </c>
      <c r="D604" s="149" t="s">
        <v>2246</v>
      </c>
      <c r="E604" s="105">
        <v>16</v>
      </c>
      <c r="F604" s="133">
        <v>4.74</v>
      </c>
      <c r="G604" s="133">
        <v>5.5</v>
      </c>
      <c r="H604" s="109">
        <f t="shared" si="28"/>
        <v>88</v>
      </c>
      <c r="I604" s="119"/>
      <c r="J604" s="119">
        <v>0</v>
      </c>
      <c r="K604" s="119">
        <f t="shared" si="29"/>
        <v>88</v>
      </c>
      <c r="L604" s="152">
        <f t="shared" si="30"/>
        <v>75.84</v>
      </c>
      <c r="M604" s="113"/>
    </row>
    <row r="605" spans="1:13" x14ac:dyDescent="0.2">
      <c r="A605" s="106" t="s">
        <v>4440</v>
      </c>
      <c r="B605" s="105" t="s">
        <v>2301</v>
      </c>
      <c r="C605" s="105" t="s">
        <v>4470</v>
      </c>
      <c r="D605" s="149" t="s">
        <v>2302</v>
      </c>
      <c r="E605" s="105">
        <v>1</v>
      </c>
      <c r="F605" s="133">
        <v>132.80000000000001</v>
      </c>
      <c r="G605" s="133">
        <v>152.75</v>
      </c>
      <c r="H605" s="109">
        <f t="shared" si="28"/>
        <v>152.75</v>
      </c>
      <c r="I605" s="119"/>
      <c r="J605" s="119">
        <v>0</v>
      </c>
      <c r="K605" s="119">
        <f t="shared" si="29"/>
        <v>152.75</v>
      </c>
      <c r="L605" s="152">
        <f t="shared" si="30"/>
        <v>132.80000000000001</v>
      </c>
      <c r="M605" s="113"/>
    </row>
    <row r="606" spans="1:13" x14ac:dyDescent="0.2">
      <c r="A606" s="106" t="s">
        <v>4440</v>
      </c>
      <c r="B606" s="105" t="s">
        <v>2878</v>
      </c>
      <c r="C606" s="105" t="s">
        <v>4470</v>
      </c>
      <c r="D606" s="149" t="s">
        <v>2880</v>
      </c>
      <c r="E606" s="105">
        <v>1</v>
      </c>
      <c r="F606" s="133">
        <v>60.4</v>
      </c>
      <c r="G606" s="133">
        <v>70</v>
      </c>
      <c r="H606" s="109">
        <f t="shared" si="28"/>
        <v>70</v>
      </c>
      <c r="I606" s="119"/>
      <c r="J606" s="119">
        <v>0</v>
      </c>
      <c r="K606" s="119">
        <f t="shared" si="29"/>
        <v>70</v>
      </c>
      <c r="L606" s="152">
        <f t="shared" si="30"/>
        <v>60.4</v>
      </c>
      <c r="M606" s="113"/>
    </row>
    <row r="607" spans="1:13" x14ac:dyDescent="0.2">
      <c r="A607" s="106" t="s">
        <v>4440</v>
      </c>
      <c r="B607" s="105" t="s">
        <v>2162</v>
      </c>
      <c r="C607" s="105" t="s">
        <v>4470</v>
      </c>
      <c r="D607" s="149" t="s">
        <v>2163</v>
      </c>
      <c r="E607" s="105">
        <v>1</v>
      </c>
      <c r="F607" s="133">
        <v>67.290000000000006</v>
      </c>
      <c r="G607" s="133">
        <v>77.5</v>
      </c>
      <c r="H607" s="109">
        <f t="shared" si="28"/>
        <v>77.5</v>
      </c>
      <c r="I607" s="119"/>
      <c r="J607" s="119">
        <v>0</v>
      </c>
      <c r="K607" s="119">
        <f t="shared" si="29"/>
        <v>77.5</v>
      </c>
      <c r="L607" s="152">
        <f t="shared" si="30"/>
        <v>67.290000000000006</v>
      </c>
      <c r="M607" s="113"/>
    </row>
    <row r="608" spans="1:13" x14ac:dyDescent="0.2">
      <c r="A608" s="106" t="s">
        <v>4440</v>
      </c>
      <c r="B608" s="105" t="s">
        <v>2694</v>
      </c>
      <c r="C608" s="105" t="s">
        <v>4470</v>
      </c>
      <c r="D608" s="149" t="s">
        <v>2695</v>
      </c>
      <c r="E608" s="105">
        <v>1</v>
      </c>
      <c r="F608" s="133">
        <v>64.489999999999995</v>
      </c>
      <c r="G608" s="133">
        <v>74.25</v>
      </c>
      <c r="H608" s="109">
        <f t="shared" si="28"/>
        <v>74.25</v>
      </c>
      <c r="I608" s="119"/>
      <c r="J608" s="119">
        <v>0</v>
      </c>
      <c r="K608" s="119">
        <f t="shared" si="29"/>
        <v>74.25</v>
      </c>
      <c r="L608" s="152">
        <f t="shared" si="30"/>
        <v>64.489999999999995</v>
      </c>
      <c r="M608" s="113"/>
    </row>
    <row r="609" spans="1:13" x14ac:dyDescent="0.2">
      <c r="A609" s="106" t="s">
        <v>4440</v>
      </c>
      <c r="B609" s="105" t="s">
        <v>2173</v>
      </c>
      <c r="C609" s="105" t="s">
        <v>4470</v>
      </c>
      <c r="D609" s="149" t="s">
        <v>2175</v>
      </c>
      <c r="E609" s="105">
        <v>1</v>
      </c>
      <c r="F609" s="133">
        <v>140</v>
      </c>
      <c r="G609" s="133">
        <v>161</v>
      </c>
      <c r="H609" s="109">
        <f t="shared" si="28"/>
        <v>161</v>
      </c>
      <c r="I609" s="119"/>
      <c r="J609" s="119">
        <v>0</v>
      </c>
      <c r="K609" s="119">
        <f t="shared" si="29"/>
        <v>161</v>
      </c>
      <c r="L609" s="152">
        <f t="shared" si="30"/>
        <v>140</v>
      </c>
      <c r="M609" s="113"/>
    </row>
    <row r="610" spans="1:13" x14ac:dyDescent="0.2">
      <c r="A610" s="106" t="s">
        <v>4440</v>
      </c>
      <c r="B610" s="105" t="s">
        <v>3457</v>
      </c>
      <c r="C610" s="105" t="s">
        <v>4470</v>
      </c>
      <c r="D610" s="149" t="s">
        <v>3458</v>
      </c>
      <c r="E610" s="105">
        <v>3</v>
      </c>
      <c r="F610" s="133">
        <v>51.97</v>
      </c>
      <c r="G610" s="133">
        <v>60</v>
      </c>
      <c r="H610" s="109">
        <f t="shared" si="28"/>
        <v>180</v>
      </c>
      <c r="I610" s="119"/>
      <c r="J610" s="119">
        <v>0</v>
      </c>
      <c r="K610" s="119">
        <f t="shared" si="29"/>
        <v>180</v>
      </c>
      <c r="L610" s="152">
        <f t="shared" si="30"/>
        <v>155.91</v>
      </c>
      <c r="M610" s="113"/>
    </row>
    <row r="611" spans="1:13" x14ac:dyDescent="0.2">
      <c r="A611" s="106" t="s">
        <v>4440</v>
      </c>
      <c r="B611" s="105" t="s">
        <v>2584</v>
      </c>
      <c r="C611" s="105" t="s">
        <v>4470</v>
      </c>
      <c r="D611" s="149" t="s">
        <v>2585</v>
      </c>
      <c r="E611" s="105">
        <v>1</v>
      </c>
      <c r="F611" s="133">
        <v>17.899999999999999</v>
      </c>
      <c r="G611" s="133">
        <v>20.75</v>
      </c>
      <c r="H611" s="109">
        <f t="shared" si="28"/>
        <v>20.75</v>
      </c>
      <c r="I611" s="119"/>
      <c r="J611" s="119">
        <v>0</v>
      </c>
      <c r="K611" s="119">
        <f t="shared" si="29"/>
        <v>20.75</v>
      </c>
      <c r="L611" s="152">
        <f t="shared" si="30"/>
        <v>17.899999999999999</v>
      </c>
      <c r="M611" s="113"/>
    </row>
    <row r="612" spans="1:13" x14ac:dyDescent="0.2">
      <c r="A612" s="106" t="s">
        <v>4440</v>
      </c>
      <c r="B612" s="105" t="s">
        <v>2809</v>
      </c>
      <c r="C612" s="105" t="s">
        <v>4470</v>
      </c>
      <c r="D612" s="149" t="s">
        <v>2810</v>
      </c>
      <c r="E612" s="105">
        <v>1</v>
      </c>
      <c r="F612" s="133">
        <v>53.81</v>
      </c>
      <c r="G612" s="133">
        <v>62</v>
      </c>
      <c r="H612" s="109">
        <f t="shared" si="28"/>
        <v>62</v>
      </c>
      <c r="I612" s="119"/>
      <c r="J612" s="119">
        <v>0</v>
      </c>
      <c r="K612" s="119">
        <f t="shared" si="29"/>
        <v>62</v>
      </c>
      <c r="L612" s="152">
        <f t="shared" si="30"/>
        <v>53.81</v>
      </c>
      <c r="M612" s="113"/>
    </row>
    <row r="613" spans="1:13" x14ac:dyDescent="0.2">
      <c r="A613" s="106" t="s">
        <v>4440</v>
      </c>
      <c r="B613" s="105" t="s">
        <v>3326</v>
      </c>
      <c r="C613" s="105" t="s">
        <v>4470</v>
      </c>
      <c r="D613" s="149" t="s">
        <v>3327</v>
      </c>
      <c r="E613" s="105">
        <v>24</v>
      </c>
      <c r="F613" s="133">
        <v>6.02</v>
      </c>
      <c r="G613" s="133">
        <v>7.25</v>
      </c>
      <c r="H613" s="109">
        <f t="shared" si="28"/>
        <v>174</v>
      </c>
      <c r="I613" s="119"/>
      <c r="J613" s="119">
        <v>0</v>
      </c>
      <c r="K613" s="119">
        <f t="shared" si="29"/>
        <v>174</v>
      </c>
      <c r="L613" s="152">
        <f t="shared" si="30"/>
        <v>144.47999999999999</v>
      </c>
      <c r="M613" s="113"/>
    </row>
    <row r="614" spans="1:13" x14ac:dyDescent="0.2">
      <c r="A614" s="106" t="s">
        <v>4440</v>
      </c>
      <c r="B614" s="105" t="s">
        <v>2521</v>
      </c>
      <c r="C614" s="105" t="s">
        <v>4470</v>
      </c>
      <c r="D614" s="149" t="s">
        <v>2522</v>
      </c>
      <c r="E614" s="105">
        <v>24</v>
      </c>
      <c r="F614" s="133">
        <v>6.02</v>
      </c>
      <c r="G614" s="133">
        <v>7.25</v>
      </c>
      <c r="H614" s="109">
        <f t="shared" si="28"/>
        <v>174</v>
      </c>
      <c r="I614" s="119"/>
      <c r="J614" s="119">
        <v>0</v>
      </c>
      <c r="K614" s="119">
        <f t="shared" si="29"/>
        <v>174</v>
      </c>
      <c r="L614" s="152">
        <f t="shared" si="30"/>
        <v>144.47999999999999</v>
      </c>
      <c r="M614" s="113"/>
    </row>
    <row r="615" spans="1:13" x14ac:dyDescent="0.2">
      <c r="A615" s="106" t="s">
        <v>4440</v>
      </c>
      <c r="B615" s="105" t="s">
        <v>2581</v>
      </c>
      <c r="C615" s="105" t="s">
        <v>4470</v>
      </c>
      <c r="D615" s="149" t="s">
        <v>2583</v>
      </c>
      <c r="E615" s="105">
        <v>24</v>
      </c>
      <c r="F615" s="133">
        <v>6.02</v>
      </c>
      <c r="G615" s="133">
        <v>7.25</v>
      </c>
      <c r="H615" s="109">
        <f t="shared" si="28"/>
        <v>174</v>
      </c>
      <c r="I615" s="119"/>
      <c r="J615" s="119">
        <v>0</v>
      </c>
      <c r="K615" s="119">
        <f t="shared" si="29"/>
        <v>174</v>
      </c>
      <c r="L615" s="152">
        <f t="shared" si="30"/>
        <v>144.47999999999999</v>
      </c>
      <c r="M615" s="113"/>
    </row>
    <row r="616" spans="1:13" x14ac:dyDescent="0.2">
      <c r="A616" s="106">
        <v>46189</v>
      </c>
      <c r="B616" s="105" t="s">
        <v>2363</v>
      </c>
      <c r="C616" s="105" t="s">
        <v>4484</v>
      </c>
      <c r="D616" s="149" t="s">
        <v>2365</v>
      </c>
      <c r="E616" s="105">
        <v>5</v>
      </c>
      <c r="F616" s="133">
        <v>12.66</v>
      </c>
      <c r="G616" s="133">
        <v>14.25</v>
      </c>
      <c r="H616" s="109">
        <f t="shared" si="28"/>
        <v>71.25</v>
      </c>
      <c r="I616" s="119"/>
      <c r="J616" s="119">
        <v>0</v>
      </c>
      <c r="K616" s="119">
        <f t="shared" si="29"/>
        <v>71.25</v>
      </c>
      <c r="L616" s="152">
        <f t="shared" si="30"/>
        <v>63.3</v>
      </c>
      <c r="M616" s="113"/>
    </row>
    <row r="617" spans="1:13" x14ac:dyDescent="0.2">
      <c r="A617" s="106">
        <v>46189</v>
      </c>
      <c r="B617" s="105" t="s">
        <v>2762</v>
      </c>
      <c r="C617" s="105" t="s">
        <v>4484</v>
      </c>
      <c r="D617" s="149" t="s">
        <v>2764</v>
      </c>
      <c r="E617" s="105">
        <v>2</v>
      </c>
      <c r="F617" s="133">
        <v>18.57</v>
      </c>
      <c r="G617" s="133">
        <v>21.5</v>
      </c>
      <c r="H617" s="109">
        <f t="shared" si="28"/>
        <v>43</v>
      </c>
      <c r="I617" s="119"/>
      <c r="J617" s="119">
        <v>0</v>
      </c>
      <c r="K617" s="119">
        <f t="shared" si="29"/>
        <v>43</v>
      </c>
      <c r="L617" s="152">
        <f t="shared" si="30"/>
        <v>37.14</v>
      </c>
      <c r="M617" s="113"/>
    </row>
    <row r="618" spans="1:13" x14ac:dyDescent="0.2">
      <c r="A618" s="106">
        <v>46189</v>
      </c>
      <c r="B618" s="105" t="s">
        <v>2539</v>
      </c>
      <c r="C618" s="105" t="s">
        <v>4484</v>
      </c>
      <c r="D618" s="149" t="s">
        <v>2540</v>
      </c>
      <c r="E618" s="105">
        <v>2</v>
      </c>
      <c r="F618" s="133">
        <v>24.86</v>
      </c>
      <c r="G618" s="133">
        <v>28.75</v>
      </c>
      <c r="H618" s="109">
        <f t="shared" si="28"/>
        <v>57.5</v>
      </c>
      <c r="I618" s="119"/>
      <c r="J618" s="119">
        <v>0</v>
      </c>
      <c r="K618" s="119">
        <f t="shared" si="29"/>
        <v>57.5</v>
      </c>
      <c r="L618" s="152">
        <f t="shared" si="30"/>
        <v>49.72</v>
      </c>
      <c r="M618" s="113"/>
    </row>
    <row r="619" spans="1:13" x14ac:dyDescent="0.2">
      <c r="A619" s="106">
        <v>46189</v>
      </c>
      <c r="B619" s="105" t="s">
        <v>4478</v>
      </c>
      <c r="C619" s="105" t="s">
        <v>4484</v>
      </c>
      <c r="D619" s="149" t="s">
        <v>4510</v>
      </c>
      <c r="E619" s="105">
        <v>2</v>
      </c>
      <c r="F619" s="133">
        <v>14.25</v>
      </c>
      <c r="G619" s="133">
        <v>16.5</v>
      </c>
      <c r="H619" s="109">
        <f t="shared" si="28"/>
        <v>33</v>
      </c>
      <c r="I619" s="119"/>
      <c r="J619" s="119">
        <v>0</v>
      </c>
      <c r="K619" s="119">
        <f t="shared" si="29"/>
        <v>33</v>
      </c>
      <c r="L619" s="152">
        <f t="shared" si="30"/>
        <v>28.5</v>
      </c>
      <c r="M619" s="113"/>
    </row>
    <row r="620" spans="1:13" x14ac:dyDescent="0.2">
      <c r="A620" s="106">
        <v>46189</v>
      </c>
      <c r="B620" s="105" t="s">
        <v>1826</v>
      </c>
      <c r="C620" s="105" t="s">
        <v>4485</v>
      </c>
      <c r="D620" s="149" t="s">
        <v>1827</v>
      </c>
      <c r="E620" s="105">
        <v>1</v>
      </c>
      <c r="F620" s="133">
        <v>90</v>
      </c>
      <c r="G620" s="133">
        <v>120</v>
      </c>
      <c r="H620" s="109">
        <f t="shared" si="28"/>
        <v>120</v>
      </c>
      <c r="I620" s="119"/>
      <c r="J620" s="119">
        <v>20</v>
      </c>
      <c r="K620" s="119">
        <f t="shared" si="29"/>
        <v>100</v>
      </c>
      <c r="L620" s="152">
        <f t="shared" si="30"/>
        <v>90</v>
      </c>
      <c r="M620" s="113"/>
    </row>
    <row r="621" spans="1:13" x14ac:dyDescent="0.2">
      <c r="A621" s="106">
        <v>46189</v>
      </c>
      <c r="B621" s="105" t="s">
        <v>3356</v>
      </c>
      <c r="C621" s="105" t="s">
        <v>4486</v>
      </c>
      <c r="D621" s="149" t="s">
        <v>3358</v>
      </c>
      <c r="E621" s="105">
        <v>1</v>
      </c>
      <c r="F621" s="133">
        <v>6.03</v>
      </c>
      <c r="G621" s="133">
        <v>7</v>
      </c>
      <c r="H621" s="109">
        <f t="shared" si="28"/>
        <v>7</v>
      </c>
      <c r="I621" s="119"/>
      <c r="J621" s="119">
        <v>0</v>
      </c>
      <c r="K621" s="119">
        <f t="shared" si="29"/>
        <v>7</v>
      </c>
      <c r="L621" s="152">
        <f t="shared" si="30"/>
        <v>6.03</v>
      </c>
      <c r="M621" s="113"/>
    </row>
    <row r="622" spans="1:13" x14ac:dyDescent="0.2">
      <c r="A622" s="106">
        <v>46189</v>
      </c>
      <c r="B622" s="105" t="s">
        <v>3348</v>
      </c>
      <c r="C622" s="105" t="s">
        <v>4487</v>
      </c>
      <c r="D622" s="149" t="s">
        <v>3349</v>
      </c>
      <c r="E622" s="105">
        <v>6</v>
      </c>
      <c r="F622" s="133">
        <v>14.91</v>
      </c>
      <c r="G622" s="133">
        <v>17.25</v>
      </c>
      <c r="H622" s="109">
        <f t="shared" si="28"/>
        <v>103.5</v>
      </c>
      <c r="I622" s="119"/>
      <c r="J622" s="119">
        <v>0</v>
      </c>
      <c r="K622" s="119">
        <f t="shared" si="29"/>
        <v>103.5</v>
      </c>
      <c r="L622" s="152">
        <f t="shared" si="30"/>
        <v>89.460000000000008</v>
      </c>
      <c r="M622" s="113"/>
    </row>
    <row r="623" spans="1:13" x14ac:dyDescent="0.2">
      <c r="A623" s="106">
        <v>46189</v>
      </c>
      <c r="B623" s="105" t="s">
        <v>4479</v>
      </c>
      <c r="C623" s="105" t="s">
        <v>4487</v>
      </c>
      <c r="D623" s="149" t="s">
        <v>4511</v>
      </c>
      <c r="E623" s="105">
        <v>6</v>
      </c>
      <c r="F623" s="133">
        <v>5.92</v>
      </c>
      <c r="G623" s="133">
        <v>6.75</v>
      </c>
      <c r="H623" s="109">
        <f t="shared" si="28"/>
        <v>40.5</v>
      </c>
      <c r="I623" s="119"/>
      <c r="J623" s="119">
        <v>0</v>
      </c>
      <c r="K623" s="119">
        <f t="shared" si="29"/>
        <v>40.5</v>
      </c>
      <c r="L623" s="152">
        <f t="shared" si="30"/>
        <v>35.519999999999996</v>
      </c>
      <c r="M623" s="113"/>
    </row>
    <row r="624" spans="1:13" x14ac:dyDescent="0.2">
      <c r="A624" s="106">
        <v>46189</v>
      </c>
      <c r="B624" s="105" t="s">
        <v>3101</v>
      </c>
      <c r="C624" s="105" t="s">
        <v>4488</v>
      </c>
      <c r="D624" s="149" t="s">
        <v>3102</v>
      </c>
      <c r="E624" s="105">
        <v>8</v>
      </c>
      <c r="F624" s="133">
        <v>30.83</v>
      </c>
      <c r="G624" s="133">
        <v>35.5</v>
      </c>
      <c r="H624" s="109">
        <f t="shared" si="28"/>
        <v>284</v>
      </c>
      <c r="I624" s="119"/>
      <c r="J624" s="119">
        <v>0</v>
      </c>
      <c r="K624" s="119">
        <f t="shared" si="29"/>
        <v>284</v>
      </c>
      <c r="L624" s="152">
        <f t="shared" si="30"/>
        <v>246.64</v>
      </c>
      <c r="M624" s="113"/>
    </row>
    <row r="625" spans="1:13" x14ac:dyDescent="0.2">
      <c r="A625" s="106">
        <v>46189</v>
      </c>
      <c r="B625" s="105" t="s">
        <v>2809</v>
      </c>
      <c r="C625" s="105" t="s">
        <v>4488</v>
      </c>
      <c r="D625" s="149" t="s">
        <v>2810</v>
      </c>
      <c r="E625" s="105">
        <v>2</v>
      </c>
      <c r="F625" s="133">
        <v>53.81</v>
      </c>
      <c r="G625" s="133">
        <v>62</v>
      </c>
      <c r="H625" s="109">
        <f t="shared" si="28"/>
        <v>124</v>
      </c>
      <c r="I625" s="119"/>
      <c r="J625" s="119">
        <v>0</v>
      </c>
      <c r="K625" s="119">
        <f t="shared" si="29"/>
        <v>124</v>
      </c>
      <c r="L625" s="152">
        <f t="shared" si="30"/>
        <v>107.62</v>
      </c>
      <c r="M625" s="113"/>
    </row>
    <row r="626" spans="1:13" x14ac:dyDescent="0.2">
      <c r="A626" s="106">
        <v>46189</v>
      </c>
      <c r="B626" s="105" t="s">
        <v>2507</v>
      </c>
      <c r="C626" s="105" t="s">
        <v>4488</v>
      </c>
      <c r="D626" s="149" t="s">
        <v>2508</v>
      </c>
      <c r="E626" s="105">
        <v>5</v>
      </c>
      <c r="F626" s="133">
        <v>48.6</v>
      </c>
      <c r="G626" s="133">
        <v>56</v>
      </c>
      <c r="H626" s="109">
        <f t="shared" si="28"/>
        <v>280</v>
      </c>
      <c r="I626" s="119"/>
      <c r="J626" s="119">
        <v>0</v>
      </c>
      <c r="K626" s="119">
        <f t="shared" si="29"/>
        <v>280</v>
      </c>
      <c r="L626" s="152">
        <f t="shared" si="30"/>
        <v>243</v>
      </c>
      <c r="M626" s="113"/>
    </row>
    <row r="627" spans="1:13" x14ac:dyDescent="0.2">
      <c r="A627" s="106">
        <v>46189</v>
      </c>
      <c r="B627" s="105" t="s">
        <v>3065</v>
      </c>
      <c r="C627" s="105" t="s">
        <v>4488</v>
      </c>
      <c r="D627" s="149" t="s">
        <v>3067</v>
      </c>
      <c r="E627" s="105">
        <v>12</v>
      </c>
      <c r="F627" s="133">
        <v>13.39</v>
      </c>
      <c r="G627" s="133">
        <v>15.5</v>
      </c>
      <c r="H627" s="109">
        <f t="shared" si="28"/>
        <v>186</v>
      </c>
      <c r="I627" s="119"/>
      <c r="J627" s="119">
        <v>0</v>
      </c>
      <c r="K627" s="119">
        <f t="shared" si="29"/>
        <v>186</v>
      </c>
      <c r="L627" s="152">
        <f t="shared" si="30"/>
        <v>160.68</v>
      </c>
      <c r="M627" s="113"/>
    </row>
    <row r="628" spans="1:13" x14ac:dyDescent="0.2">
      <c r="A628" s="106">
        <v>46189</v>
      </c>
      <c r="B628" s="105" t="s">
        <v>2298</v>
      </c>
      <c r="C628" s="105" t="s">
        <v>4488</v>
      </c>
      <c r="D628" s="149" t="s">
        <v>2299</v>
      </c>
      <c r="E628" s="105">
        <v>2</v>
      </c>
      <c r="F628" s="133">
        <v>20.8</v>
      </c>
      <c r="G628" s="133">
        <v>24</v>
      </c>
      <c r="H628" s="109">
        <f t="shared" si="28"/>
        <v>48</v>
      </c>
      <c r="I628" s="119"/>
      <c r="J628" s="119">
        <v>0</v>
      </c>
      <c r="K628" s="119">
        <f t="shared" si="29"/>
        <v>48</v>
      </c>
      <c r="L628" s="152">
        <f t="shared" si="30"/>
        <v>41.6</v>
      </c>
      <c r="M628" s="113"/>
    </row>
    <row r="629" spans="1:13" x14ac:dyDescent="0.2">
      <c r="A629" s="106">
        <v>46189</v>
      </c>
      <c r="B629" s="105" t="s">
        <v>3050</v>
      </c>
      <c r="C629" s="105" t="s">
        <v>4488</v>
      </c>
      <c r="D629" s="149" t="s">
        <v>3051</v>
      </c>
      <c r="E629" s="105">
        <v>6</v>
      </c>
      <c r="F629" s="133">
        <v>6.02</v>
      </c>
      <c r="G629" s="133">
        <v>7.25</v>
      </c>
      <c r="H629" s="109">
        <f t="shared" si="28"/>
        <v>43.5</v>
      </c>
      <c r="I629" s="119"/>
      <c r="J629" s="119">
        <v>0</v>
      </c>
      <c r="K629" s="119">
        <f t="shared" si="29"/>
        <v>43.5</v>
      </c>
      <c r="L629" s="152">
        <f t="shared" si="30"/>
        <v>36.119999999999997</v>
      </c>
      <c r="M629" s="113"/>
    </row>
    <row r="630" spans="1:13" x14ac:dyDescent="0.2">
      <c r="A630" s="106">
        <v>46189</v>
      </c>
      <c r="B630" s="105" t="s">
        <v>4282</v>
      </c>
      <c r="C630" s="105" t="s">
        <v>4488</v>
      </c>
      <c r="D630" s="149" t="s">
        <v>4284</v>
      </c>
      <c r="E630" s="105">
        <v>1</v>
      </c>
      <c r="F630" s="133">
        <v>53.2</v>
      </c>
      <c r="G630" s="133">
        <v>61.25</v>
      </c>
      <c r="H630" s="109">
        <f t="shared" si="28"/>
        <v>61.25</v>
      </c>
      <c r="I630" s="119"/>
      <c r="J630" s="119">
        <v>0</v>
      </c>
      <c r="K630" s="119">
        <f t="shared" si="29"/>
        <v>61.25</v>
      </c>
      <c r="L630" s="152">
        <f t="shared" si="30"/>
        <v>53.2</v>
      </c>
      <c r="M630" s="113"/>
    </row>
    <row r="631" spans="1:13" x14ac:dyDescent="0.2">
      <c r="A631" s="106">
        <v>46189</v>
      </c>
      <c r="B631" s="105" t="s">
        <v>3356</v>
      </c>
      <c r="C631" s="105" t="s">
        <v>4489</v>
      </c>
      <c r="D631" s="149" t="s">
        <v>3358</v>
      </c>
      <c r="E631" s="105">
        <v>1</v>
      </c>
      <c r="F631" s="133">
        <v>6.03</v>
      </c>
      <c r="G631" s="133">
        <v>7</v>
      </c>
      <c r="H631" s="109">
        <f t="shared" si="28"/>
        <v>7</v>
      </c>
      <c r="I631" s="119"/>
      <c r="J631" s="119">
        <v>0</v>
      </c>
      <c r="K631" s="119">
        <f t="shared" si="29"/>
        <v>7</v>
      </c>
      <c r="L631" s="152">
        <f t="shared" si="30"/>
        <v>6.03</v>
      </c>
      <c r="M631" s="113"/>
    </row>
    <row r="632" spans="1:13" x14ac:dyDescent="0.2">
      <c r="A632" s="106">
        <v>46189</v>
      </c>
      <c r="B632" s="105" t="s">
        <v>2550</v>
      </c>
      <c r="C632" s="105" t="s">
        <v>4490</v>
      </c>
      <c r="D632" s="149" t="s">
        <v>2552</v>
      </c>
      <c r="E632" s="105">
        <v>6</v>
      </c>
      <c r="F632" s="133">
        <v>6.38</v>
      </c>
      <c r="G632" s="133">
        <v>7.5</v>
      </c>
      <c r="H632" s="109">
        <f t="shared" si="28"/>
        <v>45</v>
      </c>
      <c r="I632" s="119"/>
      <c r="J632" s="119">
        <v>0</v>
      </c>
      <c r="K632" s="119">
        <f t="shared" si="29"/>
        <v>45</v>
      </c>
      <c r="L632" s="152">
        <f t="shared" si="30"/>
        <v>38.28</v>
      </c>
      <c r="M632" s="113"/>
    </row>
    <row r="633" spans="1:13" x14ac:dyDescent="0.2">
      <c r="A633" s="106">
        <v>46189</v>
      </c>
      <c r="B633" s="105" t="s">
        <v>2794</v>
      </c>
      <c r="C633" s="105" t="s">
        <v>4490</v>
      </c>
      <c r="D633" s="149" t="s">
        <v>2795</v>
      </c>
      <c r="E633" s="105">
        <v>1</v>
      </c>
      <c r="F633" s="133">
        <v>23.15</v>
      </c>
      <c r="G633" s="133">
        <v>27</v>
      </c>
      <c r="H633" s="109">
        <f t="shared" si="28"/>
        <v>27</v>
      </c>
      <c r="I633" s="119"/>
      <c r="J633" s="119">
        <v>0</v>
      </c>
      <c r="K633" s="119">
        <f t="shared" si="29"/>
        <v>27</v>
      </c>
      <c r="L633" s="152">
        <f t="shared" si="30"/>
        <v>23.15</v>
      </c>
      <c r="M633" s="113"/>
    </row>
    <row r="634" spans="1:13" x14ac:dyDescent="0.2">
      <c r="A634" s="106">
        <v>46189</v>
      </c>
      <c r="B634" s="105" t="s">
        <v>1924</v>
      </c>
      <c r="C634" s="105" t="s">
        <v>4491</v>
      </c>
      <c r="D634" s="149" t="s">
        <v>1926</v>
      </c>
      <c r="E634" s="105">
        <v>2</v>
      </c>
      <c r="F634" s="133">
        <v>10.64</v>
      </c>
      <c r="G634" s="133">
        <v>12.25</v>
      </c>
      <c r="H634" s="109">
        <f t="shared" si="28"/>
        <v>24.5</v>
      </c>
      <c r="I634" s="119"/>
      <c r="J634" s="119">
        <v>0</v>
      </c>
      <c r="K634" s="119">
        <f t="shared" si="29"/>
        <v>24.5</v>
      </c>
      <c r="L634" s="152">
        <f t="shared" si="30"/>
        <v>21.28</v>
      </c>
      <c r="M634" s="113"/>
    </row>
    <row r="635" spans="1:13" x14ac:dyDescent="0.2">
      <c r="A635" s="106">
        <v>46189</v>
      </c>
      <c r="B635" s="105" t="s">
        <v>3437</v>
      </c>
      <c r="C635" s="105" t="s">
        <v>4492</v>
      </c>
      <c r="D635" s="149" t="s">
        <v>3439</v>
      </c>
      <c r="E635" s="105">
        <v>1</v>
      </c>
      <c r="F635" s="133">
        <v>13.12</v>
      </c>
      <c r="G635" s="133">
        <v>15.25</v>
      </c>
      <c r="H635" s="109">
        <f t="shared" si="28"/>
        <v>15.25</v>
      </c>
      <c r="I635" s="119"/>
      <c r="J635" s="119">
        <v>0</v>
      </c>
      <c r="K635" s="119">
        <f t="shared" si="29"/>
        <v>15.25</v>
      </c>
      <c r="L635" s="152">
        <f t="shared" si="30"/>
        <v>13.12</v>
      </c>
      <c r="M635" s="113"/>
    </row>
    <row r="636" spans="1:13" x14ac:dyDescent="0.2">
      <c r="A636" s="106">
        <v>46189</v>
      </c>
      <c r="B636" s="105" t="s">
        <v>3072</v>
      </c>
      <c r="C636" s="105" t="s">
        <v>4492</v>
      </c>
      <c r="D636" s="149" t="s">
        <v>3074</v>
      </c>
      <c r="E636" s="105">
        <v>1</v>
      </c>
      <c r="F636" s="133">
        <v>16.91</v>
      </c>
      <c r="G636" s="133">
        <v>18.600000000000001</v>
      </c>
      <c r="H636" s="109">
        <f t="shared" si="28"/>
        <v>18.600000000000001</v>
      </c>
      <c r="I636" s="119"/>
      <c r="J636" s="119">
        <v>0</v>
      </c>
      <c r="K636" s="119">
        <f t="shared" si="29"/>
        <v>18.600000000000001</v>
      </c>
      <c r="L636" s="152">
        <f t="shared" si="30"/>
        <v>16.91</v>
      </c>
      <c r="M636" s="113"/>
    </row>
    <row r="637" spans="1:13" x14ac:dyDescent="0.2">
      <c r="A637" s="106">
        <v>46189</v>
      </c>
      <c r="B637" s="105" t="s">
        <v>3909</v>
      </c>
      <c r="C637" s="105" t="s">
        <v>4493</v>
      </c>
      <c r="D637" s="149" t="s">
        <v>3911</v>
      </c>
      <c r="E637" s="105">
        <v>1</v>
      </c>
      <c r="F637" s="133">
        <v>7.06</v>
      </c>
      <c r="G637" s="133">
        <v>8.25</v>
      </c>
      <c r="H637" s="109">
        <f t="shared" si="28"/>
        <v>8.25</v>
      </c>
      <c r="I637" s="119"/>
      <c r="J637" s="119">
        <v>0</v>
      </c>
      <c r="K637" s="119">
        <f t="shared" si="29"/>
        <v>8.25</v>
      </c>
      <c r="L637" s="152">
        <f t="shared" si="30"/>
        <v>7.06</v>
      </c>
      <c r="M637" s="113"/>
    </row>
    <row r="638" spans="1:13" x14ac:dyDescent="0.2">
      <c r="A638" s="106">
        <v>46189</v>
      </c>
      <c r="B638" s="105" t="s">
        <v>3101</v>
      </c>
      <c r="C638" s="105" t="s">
        <v>4494</v>
      </c>
      <c r="D638" s="149" t="s">
        <v>3102</v>
      </c>
      <c r="E638" s="105">
        <v>2</v>
      </c>
      <c r="F638" s="133">
        <v>30.83</v>
      </c>
      <c r="G638" s="133">
        <v>35.5</v>
      </c>
      <c r="H638" s="109">
        <f t="shared" si="28"/>
        <v>71</v>
      </c>
      <c r="I638" s="119"/>
      <c r="J638" s="119">
        <v>0</v>
      </c>
      <c r="K638" s="119">
        <f t="shared" si="29"/>
        <v>71</v>
      </c>
      <c r="L638" s="152">
        <f t="shared" si="30"/>
        <v>61.66</v>
      </c>
      <c r="M638" s="113"/>
    </row>
    <row r="639" spans="1:13" x14ac:dyDescent="0.2">
      <c r="A639" s="106">
        <v>46189</v>
      </c>
      <c r="B639" s="105" t="s">
        <v>3437</v>
      </c>
      <c r="C639" s="105" t="s">
        <v>4495</v>
      </c>
      <c r="D639" s="149" t="s">
        <v>3439</v>
      </c>
      <c r="E639" s="105">
        <v>1</v>
      </c>
      <c r="F639" s="133">
        <v>13.12</v>
      </c>
      <c r="G639" s="133">
        <v>15.25</v>
      </c>
      <c r="H639" s="109">
        <f t="shared" si="28"/>
        <v>15.25</v>
      </c>
      <c r="I639" s="119"/>
      <c r="J639" s="119">
        <v>0</v>
      </c>
      <c r="K639" s="119">
        <f t="shared" si="29"/>
        <v>15.25</v>
      </c>
      <c r="L639" s="152">
        <f t="shared" si="30"/>
        <v>13.12</v>
      </c>
      <c r="M639" s="113"/>
    </row>
    <row r="640" spans="1:13" x14ac:dyDescent="0.2">
      <c r="A640" s="106">
        <v>46189</v>
      </c>
      <c r="B640" s="105" t="s">
        <v>2323</v>
      </c>
      <c r="C640" s="105" t="s">
        <v>4495</v>
      </c>
      <c r="D640" s="149" t="s">
        <v>2325</v>
      </c>
      <c r="E640" s="105">
        <v>1</v>
      </c>
      <c r="F640" s="133">
        <v>19.100000000000001</v>
      </c>
      <c r="G640" s="133">
        <v>22</v>
      </c>
      <c r="H640" s="109">
        <f t="shared" si="28"/>
        <v>22</v>
      </c>
      <c r="I640" s="119"/>
      <c r="J640" s="119">
        <v>0</v>
      </c>
      <c r="K640" s="119">
        <f t="shared" si="29"/>
        <v>22</v>
      </c>
      <c r="L640" s="152">
        <f t="shared" si="30"/>
        <v>19.100000000000001</v>
      </c>
      <c r="M640" s="113"/>
    </row>
    <row r="641" spans="1:13" x14ac:dyDescent="0.2">
      <c r="A641" s="106">
        <v>46189</v>
      </c>
      <c r="B641" s="105" t="s">
        <v>2467</v>
      </c>
      <c r="C641" s="105" t="s">
        <v>4496</v>
      </c>
      <c r="D641" s="149" t="s">
        <v>2469</v>
      </c>
      <c r="E641" s="105">
        <v>1</v>
      </c>
      <c r="F641" s="133">
        <v>100</v>
      </c>
      <c r="G641" s="133">
        <v>110</v>
      </c>
      <c r="H641" s="109">
        <f t="shared" si="28"/>
        <v>110</v>
      </c>
      <c r="I641" s="119"/>
      <c r="J641" s="119">
        <v>0</v>
      </c>
      <c r="K641" s="119">
        <f t="shared" si="29"/>
        <v>110</v>
      </c>
      <c r="L641" s="152">
        <f t="shared" si="30"/>
        <v>100</v>
      </c>
      <c r="M641" s="113"/>
    </row>
    <row r="642" spans="1:13" x14ac:dyDescent="0.2">
      <c r="A642" s="106">
        <v>46189</v>
      </c>
      <c r="B642" s="105" t="s">
        <v>2530</v>
      </c>
      <c r="C642" s="105" t="s">
        <v>4497</v>
      </c>
      <c r="D642" s="149" t="s">
        <v>2532</v>
      </c>
      <c r="E642" s="105">
        <v>2</v>
      </c>
      <c r="F642" s="133">
        <v>22.59</v>
      </c>
      <c r="G642" s="133">
        <v>26</v>
      </c>
      <c r="H642" s="109">
        <f t="shared" si="28"/>
        <v>52</v>
      </c>
      <c r="I642" s="119"/>
      <c r="J642" s="119">
        <v>0</v>
      </c>
      <c r="K642" s="119">
        <f t="shared" si="29"/>
        <v>52</v>
      </c>
      <c r="L642" s="152">
        <f t="shared" si="30"/>
        <v>45.18</v>
      </c>
      <c r="M642" s="113"/>
    </row>
    <row r="643" spans="1:13" x14ac:dyDescent="0.2">
      <c r="A643" s="106">
        <v>46189</v>
      </c>
      <c r="B643" s="105" t="s">
        <v>4328</v>
      </c>
      <c r="C643" s="105" t="s">
        <v>4498</v>
      </c>
      <c r="D643" s="149" t="s">
        <v>4358</v>
      </c>
      <c r="E643" s="105">
        <v>2</v>
      </c>
      <c r="F643" s="133">
        <v>23.63</v>
      </c>
      <c r="G643" s="133">
        <v>27.25</v>
      </c>
      <c r="H643" s="109">
        <f t="shared" si="28"/>
        <v>54.5</v>
      </c>
      <c r="I643" s="119"/>
      <c r="J643" s="119">
        <v>0</v>
      </c>
      <c r="K643" s="119">
        <f t="shared" si="29"/>
        <v>54.5</v>
      </c>
      <c r="L643" s="152">
        <f t="shared" si="30"/>
        <v>47.26</v>
      </c>
      <c r="M643" s="113"/>
    </row>
    <row r="644" spans="1:13" x14ac:dyDescent="0.2">
      <c r="A644" s="106">
        <v>46189</v>
      </c>
      <c r="B644" s="105" t="s">
        <v>4480</v>
      </c>
      <c r="C644" s="105" t="s">
        <v>4499</v>
      </c>
      <c r="D644" s="149" t="s">
        <v>4512</v>
      </c>
      <c r="E644" s="105">
        <v>1</v>
      </c>
      <c r="F644" s="133">
        <v>84</v>
      </c>
      <c r="G644" s="133">
        <v>150</v>
      </c>
      <c r="H644" s="109">
        <f t="shared" si="28"/>
        <v>150</v>
      </c>
      <c r="I644" s="119"/>
      <c r="J644" s="119">
        <v>0</v>
      </c>
      <c r="K644" s="119">
        <f t="shared" si="29"/>
        <v>150</v>
      </c>
      <c r="L644" s="152">
        <f t="shared" si="30"/>
        <v>84</v>
      </c>
      <c r="M644" s="113"/>
    </row>
    <row r="645" spans="1:13" x14ac:dyDescent="0.2">
      <c r="A645" s="106">
        <v>46189</v>
      </c>
      <c r="B645" s="105" t="s">
        <v>4328</v>
      </c>
      <c r="C645" s="105" t="s">
        <v>4500</v>
      </c>
      <c r="D645" s="149" t="s">
        <v>4358</v>
      </c>
      <c r="E645" s="105">
        <v>1</v>
      </c>
      <c r="F645" s="133">
        <v>23.63</v>
      </c>
      <c r="G645" s="133">
        <v>27.25</v>
      </c>
      <c r="H645" s="109">
        <f t="shared" si="28"/>
        <v>27.25</v>
      </c>
      <c r="I645" s="119"/>
      <c r="J645" s="119">
        <v>0</v>
      </c>
      <c r="K645" s="119">
        <f t="shared" si="29"/>
        <v>27.25</v>
      </c>
      <c r="L645" s="152">
        <f t="shared" si="30"/>
        <v>23.63</v>
      </c>
      <c r="M645" s="113"/>
    </row>
    <row r="646" spans="1:13" x14ac:dyDescent="0.2">
      <c r="A646" s="106">
        <v>46189</v>
      </c>
      <c r="B646" s="105" t="s">
        <v>4481</v>
      </c>
      <c r="C646" s="105" t="s">
        <v>4500</v>
      </c>
      <c r="D646" s="149" t="s">
        <v>4513</v>
      </c>
      <c r="E646" s="105">
        <v>1</v>
      </c>
      <c r="F646" s="133">
        <v>22.19</v>
      </c>
      <c r="G646" s="133">
        <v>25.75</v>
      </c>
      <c r="H646" s="109">
        <f t="shared" si="28"/>
        <v>25.75</v>
      </c>
      <c r="I646" s="119"/>
      <c r="J646" s="119">
        <v>0</v>
      </c>
      <c r="K646" s="119">
        <f t="shared" si="29"/>
        <v>25.75</v>
      </c>
      <c r="L646" s="152">
        <f t="shared" si="30"/>
        <v>22.19</v>
      </c>
      <c r="M646" s="113"/>
    </row>
    <row r="647" spans="1:13" x14ac:dyDescent="0.2">
      <c r="A647" s="106">
        <v>46189</v>
      </c>
      <c r="B647" s="105" t="s">
        <v>2031</v>
      </c>
      <c r="C647" s="105" t="s">
        <v>4501</v>
      </c>
      <c r="D647" s="149" t="s">
        <v>2033</v>
      </c>
      <c r="E647" s="105">
        <v>1</v>
      </c>
      <c r="F647" s="133">
        <v>20.399999999999999</v>
      </c>
      <c r="G647" s="133">
        <v>24</v>
      </c>
      <c r="H647" s="109">
        <f t="shared" ref="H647:H707" si="31">E647*G647</f>
        <v>24</v>
      </c>
      <c r="I647" s="119"/>
      <c r="J647" s="119">
        <v>0</v>
      </c>
      <c r="K647" s="119">
        <f t="shared" ref="K647:K710" si="32">H647+I647-J647</f>
        <v>24</v>
      </c>
      <c r="L647" s="152">
        <f t="shared" ref="L647:L710" si="33">E647*F647</f>
        <v>20.399999999999999</v>
      </c>
      <c r="M647" s="113"/>
    </row>
    <row r="648" spans="1:13" x14ac:dyDescent="0.2">
      <c r="A648" s="106">
        <v>46189</v>
      </c>
      <c r="B648" s="105" t="s">
        <v>1830</v>
      </c>
      <c r="C648" s="105" t="s">
        <v>4501</v>
      </c>
      <c r="D648" s="149" t="s">
        <v>1831</v>
      </c>
      <c r="E648" s="105">
        <v>1</v>
      </c>
      <c r="F648" s="133">
        <v>16.84</v>
      </c>
      <c r="G648" s="133">
        <v>19.5</v>
      </c>
      <c r="H648" s="109">
        <f t="shared" si="31"/>
        <v>19.5</v>
      </c>
      <c r="I648" s="119"/>
      <c r="J648" s="119">
        <v>0</v>
      </c>
      <c r="K648" s="119">
        <f t="shared" si="32"/>
        <v>19.5</v>
      </c>
      <c r="L648" s="152">
        <f t="shared" si="33"/>
        <v>16.84</v>
      </c>
      <c r="M648" s="113"/>
    </row>
    <row r="649" spans="1:13" x14ac:dyDescent="0.2">
      <c r="A649" s="106">
        <v>46189</v>
      </c>
      <c r="B649" s="105" t="s">
        <v>4482</v>
      </c>
      <c r="C649" s="105" t="s">
        <v>4502</v>
      </c>
      <c r="D649" s="149" t="s">
        <v>4514</v>
      </c>
      <c r="E649" s="105">
        <v>1</v>
      </c>
      <c r="F649" s="133">
        <v>90.42</v>
      </c>
      <c r="G649" s="133">
        <v>104</v>
      </c>
      <c r="H649" s="109">
        <f t="shared" si="31"/>
        <v>104</v>
      </c>
      <c r="I649" s="119"/>
      <c r="J649" s="119">
        <v>0</v>
      </c>
      <c r="K649" s="119">
        <f t="shared" si="32"/>
        <v>104</v>
      </c>
      <c r="L649" s="152">
        <f t="shared" si="33"/>
        <v>90.42</v>
      </c>
      <c r="M649" s="113"/>
    </row>
    <row r="650" spans="1:13" x14ac:dyDescent="0.2">
      <c r="A650" s="106">
        <v>46189</v>
      </c>
      <c r="B650" s="105" t="s">
        <v>4483</v>
      </c>
      <c r="C650" s="105" t="s">
        <v>4503</v>
      </c>
      <c r="D650" s="149" t="s">
        <v>4515</v>
      </c>
      <c r="E650" s="105">
        <v>1</v>
      </c>
      <c r="F650" s="133">
        <v>5</v>
      </c>
      <c r="G650" s="133">
        <v>6</v>
      </c>
      <c r="H650" s="109">
        <f t="shared" si="31"/>
        <v>6</v>
      </c>
      <c r="I650" s="119"/>
      <c r="J650" s="119">
        <v>0</v>
      </c>
      <c r="K650" s="119">
        <f t="shared" si="32"/>
        <v>6</v>
      </c>
      <c r="L650" s="152">
        <f t="shared" si="33"/>
        <v>5</v>
      </c>
      <c r="M650" s="113"/>
    </row>
    <row r="651" spans="1:13" x14ac:dyDescent="0.2">
      <c r="A651" s="106">
        <v>46189</v>
      </c>
      <c r="B651" s="105" t="s">
        <v>2884</v>
      </c>
      <c r="C651" s="105" t="s">
        <v>4504</v>
      </c>
      <c r="D651" s="149" t="s">
        <v>2886</v>
      </c>
      <c r="E651" s="105">
        <v>2</v>
      </c>
      <c r="F651" s="133">
        <v>302.13</v>
      </c>
      <c r="G651" s="133">
        <v>362.75</v>
      </c>
      <c r="H651" s="109">
        <f t="shared" si="31"/>
        <v>725.5</v>
      </c>
      <c r="I651" s="119"/>
      <c r="J651" s="119">
        <v>0</v>
      </c>
      <c r="K651" s="119">
        <f t="shared" si="32"/>
        <v>725.5</v>
      </c>
      <c r="L651" s="152">
        <f t="shared" si="33"/>
        <v>604.26</v>
      </c>
      <c r="M651" s="113"/>
    </row>
    <row r="652" spans="1:13" x14ac:dyDescent="0.2">
      <c r="A652" s="106">
        <v>46189</v>
      </c>
      <c r="B652" s="105" t="s">
        <v>3060</v>
      </c>
      <c r="C652" s="105" t="s">
        <v>4505</v>
      </c>
      <c r="D652" s="149" t="s">
        <v>3062</v>
      </c>
      <c r="E652" s="105">
        <v>1</v>
      </c>
      <c r="F652" s="133">
        <v>44.8</v>
      </c>
      <c r="G652" s="133">
        <v>51.75</v>
      </c>
      <c r="H652" s="109">
        <f t="shared" si="31"/>
        <v>51.75</v>
      </c>
      <c r="I652" s="119"/>
      <c r="J652" s="119">
        <v>0</v>
      </c>
      <c r="K652" s="119">
        <f t="shared" si="32"/>
        <v>51.75</v>
      </c>
      <c r="L652" s="152">
        <f t="shared" si="33"/>
        <v>44.8</v>
      </c>
      <c r="M652" s="113"/>
    </row>
    <row r="653" spans="1:13" x14ac:dyDescent="0.2">
      <c r="A653" s="106">
        <v>46189</v>
      </c>
      <c r="B653" s="105" t="s">
        <v>3842</v>
      </c>
      <c r="C653" s="105" t="s">
        <v>4506</v>
      </c>
      <c r="D653" s="149" t="s">
        <v>3844</v>
      </c>
      <c r="E653" s="105">
        <v>2</v>
      </c>
      <c r="F653" s="133">
        <v>41.83</v>
      </c>
      <c r="G653" s="133">
        <v>48.25</v>
      </c>
      <c r="H653" s="109">
        <f t="shared" si="31"/>
        <v>96.5</v>
      </c>
      <c r="I653" s="119"/>
      <c r="J653" s="119">
        <v>0</v>
      </c>
      <c r="K653" s="119">
        <f t="shared" si="32"/>
        <v>96.5</v>
      </c>
      <c r="L653" s="152">
        <f t="shared" si="33"/>
        <v>83.66</v>
      </c>
      <c r="M653" s="113"/>
    </row>
    <row r="654" spans="1:13" x14ac:dyDescent="0.2">
      <c r="A654" s="106">
        <v>46189</v>
      </c>
      <c r="B654" s="105" t="s">
        <v>3413</v>
      </c>
      <c r="C654" s="105" t="s">
        <v>4507</v>
      </c>
      <c r="D654" s="149" t="s">
        <v>3414</v>
      </c>
      <c r="E654" s="105">
        <v>1</v>
      </c>
      <c r="F654" s="133">
        <v>33.1</v>
      </c>
      <c r="G654" s="133">
        <v>38.25</v>
      </c>
      <c r="H654" s="109">
        <f t="shared" si="31"/>
        <v>38.25</v>
      </c>
      <c r="I654" s="119"/>
      <c r="J654" s="119">
        <v>0</v>
      </c>
      <c r="K654" s="119">
        <f t="shared" si="32"/>
        <v>38.25</v>
      </c>
      <c r="L654" s="152">
        <f t="shared" si="33"/>
        <v>33.1</v>
      </c>
      <c r="M654" s="113"/>
    </row>
    <row r="655" spans="1:13" x14ac:dyDescent="0.2">
      <c r="A655" s="106">
        <v>46189</v>
      </c>
      <c r="B655" s="105" t="s">
        <v>2226</v>
      </c>
      <c r="C655" s="105" t="s">
        <v>4507</v>
      </c>
      <c r="D655" s="149" t="s">
        <v>2228</v>
      </c>
      <c r="E655" s="105">
        <v>1</v>
      </c>
      <c r="F655" s="133">
        <v>19.47</v>
      </c>
      <c r="G655" s="133">
        <v>23</v>
      </c>
      <c r="H655" s="109">
        <f t="shared" si="31"/>
        <v>23</v>
      </c>
      <c r="I655" s="119"/>
      <c r="J655" s="119">
        <v>0</v>
      </c>
      <c r="K655" s="119">
        <f t="shared" si="32"/>
        <v>23</v>
      </c>
      <c r="L655" s="152">
        <f t="shared" si="33"/>
        <v>19.47</v>
      </c>
      <c r="M655" s="113"/>
    </row>
    <row r="656" spans="1:13" x14ac:dyDescent="0.2">
      <c r="A656" s="106">
        <v>46189</v>
      </c>
      <c r="B656" s="105" t="s">
        <v>3842</v>
      </c>
      <c r="C656" s="105" t="s">
        <v>4508</v>
      </c>
      <c r="D656" s="149" t="s">
        <v>3844</v>
      </c>
      <c r="E656" s="105">
        <v>1</v>
      </c>
      <c r="F656" s="133">
        <v>41.83</v>
      </c>
      <c r="G656" s="133">
        <v>48.25</v>
      </c>
      <c r="H656" s="109">
        <f t="shared" si="31"/>
        <v>48.25</v>
      </c>
      <c r="I656" s="119"/>
      <c r="J656" s="119">
        <v>0</v>
      </c>
      <c r="K656" s="119">
        <f t="shared" si="32"/>
        <v>48.25</v>
      </c>
      <c r="L656" s="152">
        <f t="shared" si="33"/>
        <v>41.83</v>
      </c>
      <c r="M656" s="113"/>
    </row>
    <row r="657" spans="1:13" x14ac:dyDescent="0.2">
      <c r="A657" s="106">
        <v>46189</v>
      </c>
      <c r="B657" s="105" t="s">
        <v>2363</v>
      </c>
      <c r="C657" s="105" t="s">
        <v>4509</v>
      </c>
      <c r="D657" s="149" t="s">
        <v>2365</v>
      </c>
      <c r="E657" s="105">
        <v>1</v>
      </c>
      <c r="F657" s="133">
        <v>12.66</v>
      </c>
      <c r="G657" s="133">
        <v>14.25</v>
      </c>
      <c r="H657" s="109">
        <f t="shared" si="31"/>
        <v>14.25</v>
      </c>
      <c r="I657" s="119"/>
      <c r="J657" s="119">
        <v>0</v>
      </c>
      <c r="K657" s="119">
        <f t="shared" si="32"/>
        <v>14.25</v>
      </c>
      <c r="L657" s="152">
        <f t="shared" si="33"/>
        <v>12.66</v>
      </c>
      <c r="M657" s="113"/>
    </row>
    <row r="658" spans="1:13" x14ac:dyDescent="0.2">
      <c r="A658" s="106">
        <v>46190</v>
      </c>
      <c r="B658" s="105" t="s">
        <v>1798</v>
      </c>
      <c r="C658" s="105" t="s">
        <v>4593</v>
      </c>
      <c r="D658" s="149" t="s">
        <v>1799</v>
      </c>
      <c r="E658" s="105">
        <v>2</v>
      </c>
      <c r="F658" s="133">
        <v>8.1999999999999993</v>
      </c>
      <c r="G658" s="133">
        <v>9.5</v>
      </c>
      <c r="H658" s="109">
        <f t="shared" si="31"/>
        <v>19</v>
      </c>
      <c r="I658" s="119"/>
      <c r="J658" s="119">
        <v>0</v>
      </c>
      <c r="K658" s="119">
        <f t="shared" si="32"/>
        <v>19</v>
      </c>
      <c r="L658" s="152">
        <f t="shared" si="33"/>
        <v>16.399999999999999</v>
      </c>
      <c r="M658" s="113"/>
    </row>
    <row r="659" spans="1:13" x14ac:dyDescent="0.2">
      <c r="A659" s="106">
        <v>46190</v>
      </c>
      <c r="B659" s="105" t="s">
        <v>2581</v>
      </c>
      <c r="C659" s="105" t="s">
        <v>4593</v>
      </c>
      <c r="D659" s="149" t="s">
        <v>2583</v>
      </c>
      <c r="E659" s="105">
        <v>3</v>
      </c>
      <c r="F659" s="133">
        <v>6.02</v>
      </c>
      <c r="G659" s="133">
        <v>7.25</v>
      </c>
      <c r="H659" s="109">
        <f t="shared" si="31"/>
        <v>21.75</v>
      </c>
      <c r="I659" s="119"/>
      <c r="J659" s="119">
        <v>0</v>
      </c>
      <c r="K659" s="119">
        <f t="shared" si="32"/>
        <v>21.75</v>
      </c>
      <c r="L659" s="152">
        <f t="shared" si="33"/>
        <v>18.059999999999999</v>
      </c>
      <c r="M659" s="113"/>
    </row>
    <row r="660" spans="1:13" x14ac:dyDescent="0.2">
      <c r="A660" s="106">
        <v>46190</v>
      </c>
      <c r="B660" s="105" t="s">
        <v>2643</v>
      </c>
      <c r="C660" s="105" t="s">
        <v>4594</v>
      </c>
      <c r="D660" s="149" t="s">
        <v>2645</v>
      </c>
      <c r="E660" s="105">
        <v>2</v>
      </c>
      <c r="F660" s="133">
        <v>14.42</v>
      </c>
      <c r="G660" s="133">
        <v>16.75</v>
      </c>
      <c r="H660" s="109">
        <f t="shared" si="31"/>
        <v>33.5</v>
      </c>
      <c r="I660" s="119"/>
      <c r="J660" s="119">
        <v>0</v>
      </c>
      <c r="K660" s="119">
        <f t="shared" si="32"/>
        <v>33.5</v>
      </c>
      <c r="L660" s="152">
        <f t="shared" si="33"/>
        <v>28.84</v>
      </c>
      <c r="M660" s="113"/>
    </row>
    <row r="661" spans="1:13" x14ac:dyDescent="0.2">
      <c r="A661" s="106">
        <v>46190</v>
      </c>
      <c r="B661" s="105" t="s">
        <v>3935</v>
      </c>
      <c r="C661" s="105" t="s">
        <v>4595</v>
      </c>
      <c r="D661" s="149" t="s">
        <v>3937</v>
      </c>
      <c r="E661" s="105">
        <v>1</v>
      </c>
      <c r="F661" s="133">
        <v>85.25</v>
      </c>
      <c r="G661" s="133">
        <v>98.25</v>
      </c>
      <c r="H661" s="109">
        <f t="shared" si="31"/>
        <v>98.25</v>
      </c>
      <c r="I661" s="119"/>
      <c r="J661" s="119">
        <v>0</v>
      </c>
      <c r="K661" s="119">
        <f t="shared" si="32"/>
        <v>98.25</v>
      </c>
      <c r="L661" s="152">
        <f t="shared" si="33"/>
        <v>85.25</v>
      </c>
      <c r="M661" s="113"/>
    </row>
    <row r="662" spans="1:13" x14ac:dyDescent="0.2">
      <c r="A662" s="106">
        <v>46190</v>
      </c>
      <c r="B662" s="105" t="s">
        <v>4519</v>
      </c>
      <c r="C662" s="105" t="s">
        <v>4595</v>
      </c>
      <c r="D662" s="149" t="s">
        <v>4624</v>
      </c>
      <c r="E662" s="105">
        <v>1</v>
      </c>
      <c r="F662" s="133">
        <v>91.4</v>
      </c>
      <c r="G662" s="133">
        <v>105.25</v>
      </c>
      <c r="H662" s="109">
        <f t="shared" si="31"/>
        <v>105.25</v>
      </c>
      <c r="I662" s="119"/>
      <c r="J662" s="119">
        <v>0</v>
      </c>
      <c r="K662" s="119">
        <f t="shared" si="32"/>
        <v>105.25</v>
      </c>
      <c r="L662" s="152">
        <f t="shared" si="33"/>
        <v>91.4</v>
      </c>
      <c r="M662" s="113"/>
    </row>
    <row r="663" spans="1:13" x14ac:dyDescent="0.2">
      <c r="A663" s="106">
        <v>46190</v>
      </c>
      <c r="B663" s="105" t="s">
        <v>3124</v>
      </c>
      <c r="C663" s="105" t="s">
        <v>4596</v>
      </c>
      <c r="D663" s="149" t="s">
        <v>3126</v>
      </c>
      <c r="E663" s="105">
        <v>1</v>
      </c>
      <c r="F663" s="133">
        <v>81.849999999999994</v>
      </c>
      <c r="G663" s="133">
        <v>90</v>
      </c>
      <c r="H663" s="109">
        <f t="shared" si="31"/>
        <v>90</v>
      </c>
      <c r="I663" s="119"/>
      <c r="J663" s="119">
        <v>0</v>
      </c>
      <c r="K663" s="119">
        <f t="shared" si="32"/>
        <v>90</v>
      </c>
      <c r="L663" s="152">
        <f t="shared" si="33"/>
        <v>81.849999999999994</v>
      </c>
      <c r="M663" s="113"/>
    </row>
    <row r="664" spans="1:13" x14ac:dyDescent="0.2">
      <c r="A664" s="106">
        <v>46190</v>
      </c>
      <c r="B664" s="105" t="s">
        <v>2757</v>
      </c>
      <c r="C664" s="105" t="s">
        <v>4597</v>
      </c>
      <c r="D664" s="149" t="s">
        <v>2759</v>
      </c>
      <c r="E664" s="105">
        <v>3</v>
      </c>
      <c r="F664" s="133">
        <v>18.5</v>
      </c>
      <c r="G664" s="133">
        <v>21.5</v>
      </c>
      <c r="H664" s="109">
        <f t="shared" si="31"/>
        <v>64.5</v>
      </c>
      <c r="I664" s="119"/>
      <c r="J664" s="119">
        <v>0</v>
      </c>
      <c r="K664" s="119">
        <f t="shared" si="32"/>
        <v>64.5</v>
      </c>
      <c r="L664" s="152">
        <f t="shared" si="33"/>
        <v>55.5</v>
      </c>
      <c r="M664" s="113"/>
    </row>
    <row r="665" spans="1:13" x14ac:dyDescent="0.2">
      <c r="A665" s="106">
        <v>46190</v>
      </c>
      <c r="B665" s="105" t="s">
        <v>4201</v>
      </c>
      <c r="C665" s="105" t="s">
        <v>4598</v>
      </c>
      <c r="D665" s="149" t="s">
        <v>4202</v>
      </c>
      <c r="E665" s="105">
        <v>1</v>
      </c>
      <c r="F665" s="133">
        <v>24.35</v>
      </c>
      <c r="G665" s="133">
        <v>28</v>
      </c>
      <c r="H665" s="109">
        <f t="shared" si="31"/>
        <v>28</v>
      </c>
      <c r="I665" s="119"/>
      <c r="J665" s="119">
        <v>0</v>
      </c>
      <c r="K665" s="119">
        <f t="shared" si="32"/>
        <v>28</v>
      </c>
      <c r="L665" s="152">
        <f t="shared" si="33"/>
        <v>24.35</v>
      </c>
      <c r="M665" s="113"/>
    </row>
    <row r="666" spans="1:13" x14ac:dyDescent="0.2">
      <c r="A666" s="106">
        <v>46190</v>
      </c>
      <c r="B666" s="105" t="s">
        <v>2363</v>
      </c>
      <c r="C666" s="105" t="s">
        <v>4598</v>
      </c>
      <c r="D666" s="149" t="s">
        <v>2365</v>
      </c>
      <c r="E666" s="105">
        <v>4</v>
      </c>
      <c r="F666" s="133">
        <v>12.66</v>
      </c>
      <c r="G666" s="133">
        <v>14.25</v>
      </c>
      <c r="H666" s="109">
        <f t="shared" si="31"/>
        <v>57</v>
      </c>
      <c r="I666" s="119"/>
      <c r="J666" s="119">
        <v>0</v>
      </c>
      <c r="K666" s="119">
        <f t="shared" si="32"/>
        <v>57</v>
      </c>
      <c r="L666" s="152">
        <f t="shared" si="33"/>
        <v>50.64</v>
      </c>
      <c r="M666" s="113"/>
    </row>
    <row r="667" spans="1:13" x14ac:dyDescent="0.2">
      <c r="A667" s="106">
        <v>46190</v>
      </c>
      <c r="B667" s="105" t="s">
        <v>3072</v>
      </c>
      <c r="C667" s="105" t="s">
        <v>4599</v>
      </c>
      <c r="D667" s="149" t="s">
        <v>3074</v>
      </c>
      <c r="E667" s="105">
        <v>1</v>
      </c>
      <c r="F667" s="133">
        <v>16.91</v>
      </c>
      <c r="G667" s="133">
        <v>18.600000000000001</v>
      </c>
      <c r="H667" s="109">
        <f t="shared" si="31"/>
        <v>18.600000000000001</v>
      </c>
      <c r="I667" s="119"/>
      <c r="J667" s="119">
        <v>0</v>
      </c>
      <c r="K667" s="119">
        <f t="shared" si="32"/>
        <v>18.600000000000001</v>
      </c>
      <c r="L667" s="152">
        <f t="shared" si="33"/>
        <v>16.91</v>
      </c>
      <c r="M667" s="113"/>
    </row>
    <row r="668" spans="1:13" x14ac:dyDescent="0.2">
      <c r="A668" s="106">
        <v>46190</v>
      </c>
      <c r="B668" s="105" t="s">
        <v>4520</v>
      </c>
      <c r="C668" s="105" t="s">
        <v>4600</v>
      </c>
      <c r="D668" s="149" t="s">
        <v>4625</v>
      </c>
      <c r="E668" s="105">
        <v>5</v>
      </c>
      <c r="F668" s="133">
        <v>60</v>
      </c>
      <c r="G668" s="133">
        <v>75</v>
      </c>
      <c r="H668" s="109">
        <f t="shared" si="31"/>
        <v>375</v>
      </c>
      <c r="I668" s="119"/>
      <c r="J668" s="119">
        <v>0</v>
      </c>
      <c r="K668" s="119">
        <f t="shared" si="32"/>
        <v>375</v>
      </c>
      <c r="L668" s="152">
        <f t="shared" si="33"/>
        <v>300</v>
      </c>
      <c r="M668" s="113"/>
    </row>
    <row r="669" spans="1:13" x14ac:dyDescent="0.2">
      <c r="A669" s="106">
        <v>46190</v>
      </c>
      <c r="B669" s="105" t="s">
        <v>1826</v>
      </c>
      <c r="C669" s="105" t="s">
        <v>4600</v>
      </c>
      <c r="D669" s="149" t="s">
        <v>1827</v>
      </c>
      <c r="E669" s="105">
        <v>5</v>
      </c>
      <c r="F669" s="133">
        <v>90</v>
      </c>
      <c r="G669" s="133">
        <v>120</v>
      </c>
      <c r="H669" s="109">
        <f t="shared" si="31"/>
        <v>600</v>
      </c>
      <c r="I669" s="119"/>
      <c r="J669" s="119">
        <v>0</v>
      </c>
      <c r="K669" s="119">
        <f t="shared" si="32"/>
        <v>600</v>
      </c>
      <c r="L669" s="152">
        <f t="shared" si="33"/>
        <v>450</v>
      </c>
      <c r="M669" s="113"/>
    </row>
    <row r="670" spans="1:13" x14ac:dyDescent="0.2">
      <c r="A670" s="106">
        <v>46190</v>
      </c>
      <c r="B670" s="105" t="s">
        <v>1865</v>
      </c>
      <c r="C670" s="105" t="s">
        <v>4600</v>
      </c>
      <c r="D670" s="149" t="s">
        <v>1866</v>
      </c>
      <c r="E670" s="105">
        <v>1</v>
      </c>
      <c r="F670" s="133">
        <v>300</v>
      </c>
      <c r="G670" s="133">
        <v>450</v>
      </c>
      <c r="H670" s="109">
        <f t="shared" si="31"/>
        <v>450</v>
      </c>
      <c r="I670" s="119"/>
      <c r="J670" s="119">
        <v>0</v>
      </c>
      <c r="K670" s="119">
        <f t="shared" si="32"/>
        <v>450</v>
      </c>
      <c r="L670" s="152">
        <f t="shared" si="33"/>
        <v>300</v>
      </c>
      <c r="M670" s="113"/>
    </row>
    <row r="671" spans="1:13" x14ac:dyDescent="0.2">
      <c r="A671" s="106">
        <v>46190</v>
      </c>
      <c r="B671" s="105" t="s">
        <v>3192</v>
      </c>
      <c r="C671" s="105" t="s">
        <v>4600</v>
      </c>
      <c r="D671" s="149" t="s">
        <v>3193</v>
      </c>
      <c r="E671" s="105">
        <v>1</v>
      </c>
      <c r="F671" s="133">
        <v>250</v>
      </c>
      <c r="G671" s="133">
        <v>320</v>
      </c>
      <c r="H671" s="109">
        <f t="shared" si="31"/>
        <v>320</v>
      </c>
      <c r="I671" s="119"/>
      <c r="J671" s="119">
        <v>0</v>
      </c>
      <c r="K671" s="119">
        <f t="shared" si="32"/>
        <v>320</v>
      </c>
      <c r="L671" s="152">
        <f t="shared" si="33"/>
        <v>250</v>
      </c>
      <c r="M671" s="113"/>
    </row>
    <row r="672" spans="1:13" x14ac:dyDescent="0.2">
      <c r="A672" s="106">
        <v>46190</v>
      </c>
      <c r="B672" s="105" t="s">
        <v>3169</v>
      </c>
      <c r="C672" s="105" t="s">
        <v>4601</v>
      </c>
      <c r="D672" s="149" t="s">
        <v>3170</v>
      </c>
      <c r="E672" s="105">
        <v>6</v>
      </c>
      <c r="F672" s="133">
        <v>5.41</v>
      </c>
      <c r="G672" s="133">
        <v>6.25</v>
      </c>
      <c r="H672" s="109">
        <f t="shared" si="31"/>
        <v>37.5</v>
      </c>
      <c r="I672" s="119"/>
      <c r="J672" s="119">
        <v>0</v>
      </c>
      <c r="K672" s="119">
        <f t="shared" si="32"/>
        <v>37.5</v>
      </c>
      <c r="L672" s="152">
        <f t="shared" si="33"/>
        <v>32.46</v>
      </c>
      <c r="M672" s="113"/>
    </row>
    <row r="673" spans="1:13" x14ac:dyDescent="0.2">
      <c r="A673" s="106">
        <v>46190</v>
      </c>
      <c r="B673" s="105" t="s">
        <v>2643</v>
      </c>
      <c r="C673" s="105" t="s">
        <v>4601</v>
      </c>
      <c r="D673" s="149" t="s">
        <v>2645</v>
      </c>
      <c r="E673" s="105">
        <v>4</v>
      </c>
      <c r="F673" s="133">
        <v>14.42</v>
      </c>
      <c r="G673" s="133">
        <v>16.75</v>
      </c>
      <c r="H673" s="109">
        <f t="shared" si="31"/>
        <v>67</v>
      </c>
      <c r="I673" s="119"/>
      <c r="J673" s="119">
        <v>0</v>
      </c>
      <c r="K673" s="119">
        <f t="shared" si="32"/>
        <v>67</v>
      </c>
      <c r="L673" s="152">
        <f t="shared" si="33"/>
        <v>57.68</v>
      </c>
      <c r="M673" s="113"/>
    </row>
    <row r="674" spans="1:13" x14ac:dyDescent="0.2">
      <c r="A674" s="106">
        <v>46190</v>
      </c>
      <c r="B674" s="105" t="s">
        <v>2371</v>
      </c>
      <c r="C674" s="105" t="s">
        <v>4601</v>
      </c>
      <c r="D674" s="149" t="s">
        <v>2372</v>
      </c>
      <c r="E674" s="105">
        <v>1</v>
      </c>
      <c r="F674" s="133">
        <v>39.880000000000003</v>
      </c>
      <c r="G674" s="133">
        <v>46</v>
      </c>
      <c r="H674" s="109">
        <f t="shared" si="31"/>
        <v>46</v>
      </c>
      <c r="I674" s="119"/>
      <c r="J674" s="119">
        <v>0</v>
      </c>
      <c r="K674" s="119">
        <f t="shared" si="32"/>
        <v>46</v>
      </c>
      <c r="L674" s="152">
        <f t="shared" si="33"/>
        <v>39.880000000000003</v>
      </c>
      <c r="M674" s="113"/>
    </row>
    <row r="675" spans="1:13" x14ac:dyDescent="0.2">
      <c r="A675" s="106">
        <v>46190</v>
      </c>
      <c r="B675" s="105" t="s">
        <v>1967</v>
      </c>
      <c r="C675" s="105" t="s">
        <v>4602</v>
      </c>
      <c r="D675" s="149" t="s">
        <v>1968</v>
      </c>
      <c r="E675" s="105">
        <v>1</v>
      </c>
      <c r="F675" s="133">
        <v>8.1999999999999993</v>
      </c>
      <c r="G675" s="133">
        <v>10</v>
      </c>
      <c r="H675" s="109">
        <f t="shared" si="31"/>
        <v>10</v>
      </c>
      <c r="I675" s="119"/>
      <c r="J675" s="119">
        <v>0</v>
      </c>
      <c r="K675" s="119">
        <f t="shared" si="32"/>
        <v>10</v>
      </c>
      <c r="L675" s="152">
        <f t="shared" si="33"/>
        <v>8.1999999999999993</v>
      </c>
      <c r="M675" s="113"/>
    </row>
    <row r="676" spans="1:13" x14ac:dyDescent="0.2">
      <c r="A676" s="106">
        <v>46190</v>
      </c>
      <c r="B676" s="105" t="s">
        <v>1781</v>
      </c>
      <c r="C676" s="105" t="s">
        <v>4602</v>
      </c>
      <c r="D676" s="149" t="s">
        <v>1782</v>
      </c>
      <c r="E676" s="105">
        <v>1</v>
      </c>
      <c r="F676" s="133">
        <v>9.3800000000000008</v>
      </c>
      <c r="G676" s="133">
        <v>11</v>
      </c>
      <c r="H676" s="109">
        <f t="shared" si="31"/>
        <v>11</v>
      </c>
      <c r="I676" s="119"/>
      <c r="J676" s="119">
        <v>0</v>
      </c>
      <c r="K676" s="119">
        <f t="shared" si="32"/>
        <v>11</v>
      </c>
      <c r="L676" s="152">
        <f t="shared" si="33"/>
        <v>9.3800000000000008</v>
      </c>
      <c r="M676" s="113"/>
    </row>
    <row r="677" spans="1:13" x14ac:dyDescent="0.2">
      <c r="A677" s="106">
        <v>46190</v>
      </c>
      <c r="B677" s="105" t="s">
        <v>2947</v>
      </c>
      <c r="C677" s="105" t="s">
        <v>4603</v>
      </c>
      <c r="D677" s="149" t="s">
        <v>2948</v>
      </c>
      <c r="E677" s="105">
        <v>1</v>
      </c>
      <c r="F677" s="133">
        <v>65.989999999999995</v>
      </c>
      <c r="G677" s="133">
        <v>76.75</v>
      </c>
      <c r="H677" s="109">
        <f t="shared" si="31"/>
        <v>76.75</v>
      </c>
      <c r="I677" s="119"/>
      <c r="J677" s="119">
        <v>0</v>
      </c>
      <c r="K677" s="119">
        <f t="shared" si="32"/>
        <v>76.75</v>
      </c>
      <c r="L677" s="152">
        <f t="shared" si="33"/>
        <v>65.989999999999995</v>
      </c>
      <c r="M677" s="113"/>
    </row>
    <row r="678" spans="1:13" x14ac:dyDescent="0.2">
      <c r="A678" s="106">
        <v>46190</v>
      </c>
      <c r="B678" s="105" t="s">
        <v>2371</v>
      </c>
      <c r="C678" s="105" t="s">
        <v>4603</v>
      </c>
      <c r="D678" s="149" t="s">
        <v>2372</v>
      </c>
      <c r="E678" s="105">
        <v>1</v>
      </c>
      <c r="F678" s="133">
        <v>39.880000000000003</v>
      </c>
      <c r="G678" s="133">
        <v>46</v>
      </c>
      <c r="H678" s="109">
        <f t="shared" si="31"/>
        <v>46</v>
      </c>
      <c r="I678" s="119"/>
      <c r="J678" s="119">
        <v>0</v>
      </c>
      <c r="K678" s="119">
        <f t="shared" si="32"/>
        <v>46</v>
      </c>
      <c r="L678" s="152">
        <f t="shared" si="33"/>
        <v>39.880000000000003</v>
      </c>
      <c r="M678" s="113"/>
    </row>
    <row r="679" spans="1:13" x14ac:dyDescent="0.2">
      <c r="A679" s="106">
        <v>46190</v>
      </c>
      <c r="B679" s="105" t="s">
        <v>2951</v>
      </c>
      <c r="C679" s="105" t="s">
        <v>4603</v>
      </c>
      <c r="D679" s="149" t="s">
        <v>2952</v>
      </c>
      <c r="E679" s="105">
        <v>1</v>
      </c>
      <c r="F679" s="133">
        <v>216.58</v>
      </c>
      <c r="G679" s="133">
        <v>249</v>
      </c>
      <c r="H679" s="109">
        <f t="shared" si="31"/>
        <v>249</v>
      </c>
      <c r="I679" s="119"/>
      <c r="J679" s="119">
        <v>0</v>
      </c>
      <c r="K679" s="119">
        <f t="shared" si="32"/>
        <v>249</v>
      </c>
      <c r="L679" s="152">
        <f t="shared" si="33"/>
        <v>216.58</v>
      </c>
      <c r="M679" s="113"/>
    </row>
    <row r="680" spans="1:13" x14ac:dyDescent="0.2">
      <c r="A680" s="106">
        <v>46190</v>
      </c>
      <c r="B680" s="105" t="s">
        <v>3510</v>
      </c>
      <c r="C680" s="105" t="s">
        <v>4604</v>
      </c>
      <c r="D680" s="149" t="s">
        <v>3511</v>
      </c>
      <c r="E680" s="105">
        <v>2</v>
      </c>
      <c r="F680" s="133">
        <v>18.64</v>
      </c>
      <c r="G680" s="133">
        <v>21.5</v>
      </c>
      <c r="H680" s="109">
        <f t="shared" si="31"/>
        <v>43</v>
      </c>
      <c r="I680" s="119"/>
      <c r="J680" s="119">
        <v>0</v>
      </c>
      <c r="K680" s="119">
        <f t="shared" si="32"/>
        <v>43</v>
      </c>
      <c r="L680" s="152">
        <f t="shared" si="33"/>
        <v>37.28</v>
      </c>
      <c r="M680" s="113"/>
    </row>
    <row r="681" spans="1:13" x14ac:dyDescent="0.2">
      <c r="A681" s="106">
        <v>46190</v>
      </c>
      <c r="B681" s="105" t="s">
        <v>2283</v>
      </c>
      <c r="C681" s="105" t="s">
        <v>4604</v>
      </c>
      <c r="D681" s="149" t="s">
        <v>2285</v>
      </c>
      <c r="E681" s="105">
        <v>1</v>
      </c>
      <c r="F681" s="133">
        <v>155.63999999999999</v>
      </c>
      <c r="G681" s="133">
        <v>179</v>
      </c>
      <c r="H681" s="109">
        <f t="shared" si="31"/>
        <v>179</v>
      </c>
      <c r="I681" s="119"/>
      <c r="J681" s="119">
        <v>0</v>
      </c>
      <c r="K681" s="119">
        <f t="shared" si="32"/>
        <v>179</v>
      </c>
      <c r="L681" s="152">
        <f t="shared" si="33"/>
        <v>155.63999999999999</v>
      </c>
      <c r="M681" s="113"/>
    </row>
    <row r="682" spans="1:13" x14ac:dyDescent="0.2">
      <c r="A682" s="106">
        <v>46190</v>
      </c>
      <c r="B682" s="105" t="s">
        <v>2963</v>
      </c>
      <c r="C682" s="105" t="s">
        <v>4604</v>
      </c>
      <c r="D682" s="149" t="s">
        <v>2964</v>
      </c>
      <c r="E682" s="105">
        <v>1</v>
      </c>
      <c r="F682" s="133">
        <v>160.51</v>
      </c>
      <c r="G682" s="133">
        <v>184.75</v>
      </c>
      <c r="H682" s="109">
        <f t="shared" si="31"/>
        <v>184.75</v>
      </c>
      <c r="I682" s="119"/>
      <c r="J682" s="119">
        <v>0</v>
      </c>
      <c r="K682" s="119">
        <f t="shared" si="32"/>
        <v>184.75</v>
      </c>
      <c r="L682" s="152">
        <f t="shared" si="33"/>
        <v>160.51</v>
      </c>
      <c r="M682" s="113"/>
    </row>
    <row r="683" spans="1:13" x14ac:dyDescent="0.2">
      <c r="A683" s="106">
        <v>46190</v>
      </c>
      <c r="B683" s="105" t="s">
        <v>2446</v>
      </c>
      <c r="C683" s="105" t="s">
        <v>4605</v>
      </c>
      <c r="D683" s="149" t="s">
        <v>2448</v>
      </c>
      <c r="E683" s="105">
        <v>1</v>
      </c>
      <c r="F683" s="133">
        <v>56.5</v>
      </c>
      <c r="G683" s="133">
        <v>63</v>
      </c>
      <c r="H683" s="109">
        <f t="shared" si="31"/>
        <v>63</v>
      </c>
      <c r="I683" s="119"/>
      <c r="J683" s="119">
        <v>0</v>
      </c>
      <c r="K683" s="119">
        <f t="shared" si="32"/>
        <v>63</v>
      </c>
      <c r="L683" s="152">
        <f t="shared" si="33"/>
        <v>56.5</v>
      </c>
      <c r="M683" s="113"/>
    </row>
    <row r="684" spans="1:13" x14ac:dyDescent="0.2">
      <c r="A684" s="153">
        <v>46190</v>
      </c>
      <c r="B684" s="154" t="s">
        <v>1777</v>
      </c>
      <c r="C684" s="154" t="s">
        <v>4605</v>
      </c>
      <c r="D684" s="155" t="s">
        <v>1779</v>
      </c>
      <c r="E684" s="154">
        <v>1</v>
      </c>
      <c r="F684" s="236"/>
      <c r="G684" s="236">
        <v>58</v>
      </c>
      <c r="H684" s="237">
        <f t="shared" si="31"/>
        <v>58</v>
      </c>
      <c r="I684" s="147"/>
      <c r="J684" s="147">
        <v>0</v>
      </c>
      <c r="K684" s="147">
        <f t="shared" si="32"/>
        <v>58</v>
      </c>
      <c r="L684" s="148">
        <f t="shared" si="33"/>
        <v>0</v>
      </c>
      <c r="M684" s="113"/>
    </row>
    <row r="685" spans="1:13" x14ac:dyDescent="0.2">
      <c r="A685" s="106">
        <v>46190</v>
      </c>
      <c r="B685" s="105" t="s">
        <v>1929</v>
      </c>
      <c r="C685" s="105" t="s">
        <v>4605</v>
      </c>
      <c r="D685" s="149" t="s">
        <v>1930</v>
      </c>
      <c r="E685" s="105">
        <v>1</v>
      </c>
      <c r="F685" s="133">
        <v>13.92</v>
      </c>
      <c r="G685" s="133">
        <v>22</v>
      </c>
      <c r="H685" s="109">
        <f t="shared" si="31"/>
        <v>22</v>
      </c>
      <c r="I685" s="119"/>
      <c r="J685" s="119">
        <v>0</v>
      </c>
      <c r="K685" s="119">
        <f t="shared" si="32"/>
        <v>22</v>
      </c>
      <c r="L685" s="152">
        <f t="shared" si="33"/>
        <v>13.92</v>
      </c>
      <c r="M685" s="113"/>
    </row>
    <row r="686" spans="1:13" x14ac:dyDescent="0.2">
      <c r="A686" s="106">
        <v>46190</v>
      </c>
      <c r="B686" s="105" t="s">
        <v>2082</v>
      </c>
      <c r="C686" s="105" t="s">
        <v>4605</v>
      </c>
      <c r="D686" s="149" t="s">
        <v>2083</v>
      </c>
      <c r="E686" s="105">
        <v>1</v>
      </c>
      <c r="F686" s="133">
        <v>10.95</v>
      </c>
      <c r="G686" s="133">
        <v>12.75</v>
      </c>
      <c r="H686" s="109">
        <f t="shared" si="31"/>
        <v>12.75</v>
      </c>
      <c r="I686" s="119"/>
      <c r="J686" s="119">
        <v>0</v>
      </c>
      <c r="K686" s="119">
        <f t="shared" si="32"/>
        <v>12.75</v>
      </c>
      <c r="L686" s="152">
        <f t="shared" si="33"/>
        <v>10.95</v>
      </c>
      <c r="M686" s="113"/>
    </row>
    <row r="687" spans="1:13" x14ac:dyDescent="0.2">
      <c r="A687" s="106">
        <v>46190</v>
      </c>
      <c r="B687" s="105" t="s">
        <v>1854</v>
      </c>
      <c r="C687" s="105" t="s">
        <v>4606</v>
      </c>
      <c r="D687" s="149" t="s">
        <v>1855</v>
      </c>
      <c r="E687" s="105">
        <v>1</v>
      </c>
      <c r="F687" s="133">
        <v>7.62</v>
      </c>
      <c r="G687" s="133">
        <v>8.75</v>
      </c>
      <c r="H687" s="109">
        <f t="shared" si="31"/>
        <v>8.75</v>
      </c>
      <c r="I687" s="119"/>
      <c r="J687" s="119">
        <v>0</v>
      </c>
      <c r="K687" s="119">
        <f t="shared" si="32"/>
        <v>8.75</v>
      </c>
      <c r="L687" s="152">
        <f t="shared" si="33"/>
        <v>7.62</v>
      </c>
      <c r="M687" s="113"/>
    </row>
    <row r="688" spans="1:13" x14ac:dyDescent="0.2">
      <c r="A688" s="106">
        <v>46190</v>
      </c>
      <c r="B688" s="105" t="s">
        <v>3374</v>
      </c>
      <c r="C688" s="105" t="s">
        <v>4607</v>
      </c>
      <c r="D688" s="149" t="s">
        <v>3376</v>
      </c>
      <c r="E688" s="105">
        <v>2</v>
      </c>
      <c r="F688" s="133">
        <v>49.2</v>
      </c>
      <c r="G688" s="133">
        <v>60</v>
      </c>
      <c r="H688" s="109">
        <f t="shared" si="31"/>
        <v>120</v>
      </c>
      <c r="I688" s="119"/>
      <c r="J688" s="119">
        <v>0</v>
      </c>
      <c r="K688" s="119">
        <f t="shared" si="32"/>
        <v>120</v>
      </c>
      <c r="L688" s="152">
        <f t="shared" si="33"/>
        <v>98.4</v>
      </c>
      <c r="M688" s="113"/>
    </row>
    <row r="689" spans="1:13" x14ac:dyDescent="0.2">
      <c r="A689" s="106">
        <v>46190</v>
      </c>
      <c r="B689" s="105" t="s">
        <v>3360</v>
      </c>
      <c r="C689" s="105" t="s">
        <v>4608</v>
      </c>
      <c r="D689" s="149" t="s">
        <v>3361</v>
      </c>
      <c r="E689" s="105">
        <v>1</v>
      </c>
      <c r="F689" s="133">
        <v>6.03</v>
      </c>
      <c r="G689" s="133">
        <v>7</v>
      </c>
      <c r="H689" s="109">
        <f t="shared" si="31"/>
        <v>7</v>
      </c>
      <c r="I689" s="119"/>
      <c r="J689" s="119">
        <v>0</v>
      </c>
      <c r="K689" s="119">
        <f t="shared" si="32"/>
        <v>7</v>
      </c>
      <c r="L689" s="152">
        <f t="shared" si="33"/>
        <v>6.03</v>
      </c>
      <c r="M689" s="113"/>
    </row>
    <row r="690" spans="1:13" x14ac:dyDescent="0.2">
      <c r="A690" s="106">
        <v>46190</v>
      </c>
      <c r="B690" s="105" t="s">
        <v>3356</v>
      </c>
      <c r="C690" s="105" t="s">
        <v>4609</v>
      </c>
      <c r="D690" s="149" t="s">
        <v>3358</v>
      </c>
      <c r="E690" s="105">
        <v>2</v>
      </c>
      <c r="F690" s="133">
        <v>6.03</v>
      </c>
      <c r="G690" s="133">
        <v>7</v>
      </c>
      <c r="H690" s="109">
        <f t="shared" si="31"/>
        <v>14</v>
      </c>
      <c r="I690" s="119"/>
      <c r="J690" s="119">
        <v>0</v>
      </c>
      <c r="K690" s="119">
        <f t="shared" si="32"/>
        <v>14</v>
      </c>
      <c r="L690" s="152">
        <f t="shared" si="33"/>
        <v>12.06</v>
      </c>
      <c r="M690" s="113"/>
    </row>
    <row r="691" spans="1:13" x14ac:dyDescent="0.2">
      <c r="A691" s="106">
        <v>46190</v>
      </c>
      <c r="B691" s="105" t="s">
        <v>1798</v>
      </c>
      <c r="C691" s="105" t="s">
        <v>4610</v>
      </c>
      <c r="D691" s="149" t="s">
        <v>1799</v>
      </c>
      <c r="E691" s="105">
        <v>1</v>
      </c>
      <c r="F691" s="133">
        <v>8.1999999999999993</v>
      </c>
      <c r="G691" s="133">
        <v>9.5</v>
      </c>
      <c r="H691" s="109">
        <f t="shared" si="31"/>
        <v>9.5</v>
      </c>
      <c r="I691" s="119"/>
      <c r="J691" s="119">
        <v>0</v>
      </c>
      <c r="K691" s="119">
        <f t="shared" si="32"/>
        <v>9.5</v>
      </c>
      <c r="L691" s="152">
        <f t="shared" si="33"/>
        <v>8.1999999999999993</v>
      </c>
      <c r="M691" s="113"/>
    </row>
    <row r="692" spans="1:13" x14ac:dyDescent="0.2">
      <c r="A692" s="106">
        <v>46190</v>
      </c>
      <c r="B692" s="105" t="s">
        <v>2162</v>
      </c>
      <c r="C692" s="105" t="s">
        <v>4611</v>
      </c>
      <c r="D692" s="149" t="s">
        <v>2163</v>
      </c>
      <c r="E692" s="105">
        <v>1</v>
      </c>
      <c r="F692" s="133">
        <v>67.290000000000006</v>
      </c>
      <c r="G692" s="133">
        <v>77.5</v>
      </c>
      <c r="H692" s="109">
        <f t="shared" si="31"/>
        <v>77.5</v>
      </c>
      <c r="I692" s="119"/>
      <c r="J692" s="119">
        <v>0</v>
      </c>
      <c r="K692" s="119">
        <f t="shared" si="32"/>
        <v>77.5</v>
      </c>
      <c r="L692" s="152">
        <f t="shared" si="33"/>
        <v>67.290000000000006</v>
      </c>
      <c r="M692" s="113"/>
    </row>
    <row r="693" spans="1:13" x14ac:dyDescent="0.2">
      <c r="A693" s="106">
        <v>46190</v>
      </c>
      <c r="B693" s="105" t="s">
        <v>2462</v>
      </c>
      <c r="C693" s="105" t="s">
        <v>4612</v>
      </c>
      <c r="D693" s="149" t="s">
        <v>2464</v>
      </c>
      <c r="E693" s="105">
        <v>1</v>
      </c>
      <c r="F693" s="133">
        <v>97.35</v>
      </c>
      <c r="G693" s="133">
        <v>112</v>
      </c>
      <c r="H693" s="109">
        <f t="shared" si="31"/>
        <v>112</v>
      </c>
      <c r="I693" s="119"/>
      <c r="J693" s="119">
        <v>0</v>
      </c>
      <c r="K693" s="119">
        <f t="shared" si="32"/>
        <v>112</v>
      </c>
      <c r="L693" s="152">
        <f t="shared" si="33"/>
        <v>97.35</v>
      </c>
      <c r="M693" s="113"/>
    </row>
    <row r="694" spans="1:13" x14ac:dyDescent="0.2">
      <c r="A694" s="106">
        <v>46190</v>
      </c>
      <c r="B694" s="105" t="s">
        <v>2423</v>
      </c>
      <c r="C694" s="105" t="s">
        <v>4613</v>
      </c>
      <c r="D694" s="149" t="s">
        <v>2425</v>
      </c>
      <c r="E694" s="105">
        <v>2</v>
      </c>
      <c r="F694" s="133">
        <v>18.53</v>
      </c>
      <c r="G694" s="133">
        <v>21.5</v>
      </c>
      <c r="H694" s="109">
        <f t="shared" si="31"/>
        <v>43</v>
      </c>
      <c r="I694" s="119"/>
      <c r="J694" s="119">
        <v>0</v>
      </c>
      <c r="K694" s="119">
        <f t="shared" si="32"/>
        <v>43</v>
      </c>
      <c r="L694" s="152">
        <f t="shared" si="33"/>
        <v>37.06</v>
      </c>
      <c r="M694" s="113"/>
    </row>
    <row r="695" spans="1:13" x14ac:dyDescent="0.2">
      <c r="A695" s="106">
        <v>46190</v>
      </c>
      <c r="B695" s="105" t="s">
        <v>2836</v>
      </c>
      <c r="C695" s="105" t="s">
        <v>4614</v>
      </c>
      <c r="D695" s="149" t="s">
        <v>2837</v>
      </c>
      <c r="E695" s="105">
        <v>1</v>
      </c>
      <c r="F695" s="133">
        <v>14.65</v>
      </c>
      <c r="G695" s="133">
        <v>17</v>
      </c>
      <c r="H695" s="109">
        <f t="shared" si="31"/>
        <v>17</v>
      </c>
      <c r="I695" s="119"/>
      <c r="J695" s="119">
        <v>0</v>
      </c>
      <c r="K695" s="119">
        <f t="shared" si="32"/>
        <v>17</v>
      </c>
      <c r="L695" s="152">
        <f t="shared" si="33"/>
        <v>14.65</v>
      </c>
      <c r="M695" s="113"/>
    </row>
    <row r="696" spans="1:13" x14ac:dyDescent="0.2">
      <c r="A696" s="106">
        <v>46190</v>
      </c>
      <c r="B696" s="105" t="s">
        <v>2459</v>
      </c>
      <c r="C696" s="105" t="s">
        <v>4615</v>
      </c>
      <c r="D696" s="149" t="s">
        <v>2460</v>
      </c>
      <c r="E696" s="105">
        <v>1</v>
      </c>
      <c r="F696" s="133">
        <v>17.95</v>
      </c>
      <c r="G696" s="133">
        <v>20.75</v>
      </c>
      <c r="H696" s="109">
        <f t="shared" si="31"/>
        <v>20.75</v>
      </c>
      <c r="I696" s="119"/>
      <c r="J696" s="119">
        <v>0</v>
      </c>
      <c r="K696" s="119">
        <f t="shared" si="32"/>
        <v>20.75</v>
      </c>
      <c r="L696" s="152">
        <f t="shared" si="33"/>
        <v>17.95</v>
      </c>
      <c r="M696" s="113"/>
    </row>
    <row r="697" spans="1:13" x14ac:dyDescent="0.2">
      <c r="A697" s="106">
        <v>46190</v>
      </c>
      <c r="B697" s="105" t="s">
        <v>1781</v>
      </c>
      <c r="C697" s="105" t="s">
        <v>4616</v>
      </c>
      <c r="D697" s="149" t="s">
        <v>1782</v>
      </c>
      <c r="E697" s="105">
        <v>1</v>
      </c>
      <c r="F697" s="133">
        <v>9.3800000000000008</v>
      </c>
      <c r="G697" s="133">
        <v>11</v>
      </c>
      <c r="H697" s="109">
        <f t="shared" si="31"/>
        <v>11</v>
      </c>
      <c r="I697" s="119"/>
      <c r="J697" s="119">
        <v>0</v>
      </c>
      <c r="K697" s="119">
        <f t="shared" si="32"/>
        <v>11</v>
      </c>
      <c r="L697" s="152">
        <f t="shared" si="33"/>
        <v>9.3800000000000008</v>
      </c>
      <c r="M697" s="113"/>
    </row>
    <row r="698" spans="1:13" x14ac:dyDescent="0.2">
      <c r="A698" s="106">
        <v>46190</v>
      </c>
      <c r="B698" s="105" t="s">
        <v>4521</v>
      </c>
      <c r="C698" s="105" t="s">
        <v>4617</v>
      </c>
      <c r="D698" s="149" t="s">
        <v>4626</v>
      </c>
      <c r="E698" s="105">
        <v>1</v>
      </c>
      <c r="F698" s="133">
        <v>8.6</v>
      </c>
      <c r="G698" s="133">
        <v>10</v>
      </c>
      <c r="H698" s="109">
        <f t="shared" si="31"/>
        <v>10</v>
      </c>
      <c r="I698" s="119"/>
      <c r="J698" s="119">
        <v>0</v>
      </c>
      <c r="K698" s="119">
        <f t="shared" si="32"/>
        <v>10</v>
      </c>
      <c r="L698" s="152">
        <f t="shared" si="33"/>
        <v>8.6</v>
      </c>
      <c r="M698" s="113"/>
    </row>
    <row r="699" spans="1:13" x14ac:dyDescent="0.2">
      <c r="A699" s="106">
        <v>46190</v>
      </c>
      <c r="B699" s="105" t="s">
        <v>2959</v>
      </c>
      <c r="C699" s="105" t="s">
        <v>4618</v>
      </c>
      <c r="D699" s="149" t="s">
        <v>2960</v>
      </c>
      <c r="E699" s="105">
        <v>3</v>
      </c>
      <c r="F699" s="133">
        <v>529.58000000000004</v>
      </c>
      <c r="G699" s="133">
        <v>615</v>
      </c>
      <c r="H699" s="109">
        <f t="shared" si="31"/>
        <v>1845</v>
      </c>
      <c r="I699" s="119"/>
      <c r="J699" s="119">
        <v>0</v>
      </c>
      <c r="K699" s="119">
        <f t="shared" si="32"/>
        <v>1845</v>
      </c>
      <c r="L699" s="152">
        <f t="shared" si="33"/>
        <v>1588.7400000000002</v>
      </c>
      <c r="M699" s="113"/>
    </row>
    <row r="700" spans="1:13" x14ac:dyDescent="0.2">
      <c r="A700" s="106">
        <v>46190</v>
      </c>
      <c r="B700" s="105" t="s">
        <v>2293</v>
      </c>
      <c r="C700" s="105" t="s">
        <v>4618</v>
      </c>
      <c r="D700" s="149" t="s">
        <v>2295</v>
      </c>
      <c r="E700" s="105">
        <v>4</v>
      </c>
      <c r="F700" s="133">
        <v>27.84</v>
      </c>
      <c r="G700" s="133">
        <v>45</v>
      </c>
      <c r="H700" s="109">
        <f t="shared" si="31"/>
        <v>180</v>
      </c>
      <c r="I700" s="119"/>
      <c r="J700" s="119">
        <v>0</v>
      </c>
      <c r="K700" s="119">
        <f t="shared" si="32"/>
        <v>180</v>
      </c>
      <c r="L700" s="152">
        <f t="shared" si="33"/>
        <v>111.36</v>
      </c>
      <c r="M700" s="113"/>
    </row>
    <row r="701" spans="1:13" x14ac:dyDescent="0.2">
      <c r="A701" s="106">
        <v>46190</v>
      </c>
      <c r="B701" s="105" t="s">
        <v>4083</v>
      </c>
      <c r="C701" s="105" t="s">
        <v>4618</v>
      </c>
      <c r="D701" s="149" t="s">
        <v>4084</v>
      </c>
      <c r="E701" s="105">
        <v>1</v>
      </c>
      <c r="F701" s="133">
        <v>200.03</v>
      </c>
      <c r="G701" s="133">
        <v>230</v>
      </c>
      <c r="H701" s="109">
        <f t="shared" si="31"/>
        <v>230</v>
      </c>
      <c r="I701" s="119"/>
      <c r="J701" s="119">
        <v>0</v>
      </c>
      <c r="K701" s="119">
        <f t="shared" si="32"/>
        <v>230</v>
      </c>
      <c r="L701" s="152">
        <f t="shared" si="33"/>
        <v>200.03</v>
      </c>
      <c r="M701" s="113"/>
    </row>
    <row r="702" spans="1:13" x14ac:dyDescent="0.2">
      <c r="A702" s="106">
        <v>46190</v>
      </c>
      <c r="B702" s="105" t="s">
        <v>3112</v>
      </c>
      <c r="C702" s="105" t="s">
        <v>4618</v>
      </c>
      <c r="D702" s="149" t="s">
        <v>3113</v>
      </c>
      <c r="E702" s="105">
        <v>1</v>
      </c>
      <c r="F702" s="133">
        <v>109.57</v>
      </c>
      <c r="G702" s="133">
        <v>136.5</v>
      </c>
      <c r="H702" s="109">
        <f t="shared" si="31"/>
        <v>136.5</v>
      </c>
      <c r="I702" s="119"/>
      <c r="J702" s="119">
        <v>0</v>
      </c>
      <c r="K702" s="119">
        <f t="shared" si="32"/>
        <v>136.5</v>
      </c>
      <c r="L702" s="152">
        <f t="shared" si="33"/>
        <v>109.57</v>
      </c>
      <c r="M702" s="113"/>
    </row>
    <row r="703" spans="1:13" x14ac:dyDescent="0.2">
      <c r="A703" s="106">
        <v>46190</v>
      </c>
      <c r="B703" s="105" t="s">
        <v>2884</v>
      </c>
      <c r="C703" s="105" t="s">
        <v>4618</v>
      </c>
      <c r="D703" s="149" t="s">
        <v>2886</v>
      </c>
      <c r="E703" s="105">
        <v>4</v>
      </c>
      <c r="F703" s="133">
        <v>302.13</v>
      </c>
      <c r="G703" s="133">
        <v>362.75</v>
      </c>
      <c r="H703" s="109">
        <f t="shared" si="31"/>
        <v>1451</v>
      </c>
      <c r="I703" s="119"/>
      <c r="J703" s="119">
        <v>0</v>
      </c>
      <c r="K703" s="119">
        <f t="shared" si="32"/>
        <v>1451</v>
      </c>
      <c r="L703" s="152">
        <f t="shared" si="33"/>
        <v>1208.52</v>
      </c>
      <c r="M703" s="113"/>
    </row>
    <row r="704" spans="1:13" x14ac:dyDescent="0.2">
      <c r="A704" s="106">
        <v>46190</v>
      </c>
      <c r="B704" s="105" t="s">
        <v>2317</v>
      </c>
      <c r="C704" s="105" t="s">
        <v>4619</v>
      </c>
      <c r="D704" s="149" t="s">
        <v>2319</v>
      </c>
      <c r="E704" s="105">
        <v>1</v>
      </c>
      <c r="F704" s="133">
        <v>47.5</v>
      </c>
      <c r="G704" s="133">
        <v>54.75</v>
      </c>
      <c r="H704" s="109">
        <f t="shared" si="31"/>
        <v>54.75</v>
      </c>
      <c r="I704" s="119"/>
      <c r="J704" s="119">
        <v>0</v>
      </c>
      <c r="K704" s="119">
        <f t="shared" si="32"/>
        <v>54.75</v>
      </c>
      <c r="L704" s="152">
        <f t="shared" si="33"/>
        <v>47.5</v>
      </c>
      <c r="M704" s="113"/>
    </row>
    <row r="705" spans="1:13" x14ac:dyDescent="0.2">
      <c r="A705" s="106">
        <v>46190</v>
      </c>
      <c r="B705" s="105" t="s">
        <v>4522</v>
      </c>
      <c r="C705" s="105" t="s">
        <v>4620</v>
      </c>
      <c r="D705" s="149" t="s">
        <v>4627</v>
      </c>
      <c r="E705" s="105">
        <v>1</v>
      </c>
      <c r="F705" s="133">
        <v>6.15</v>
      </c>
      <c r="G705" s="133">
        <v>7.25</v>
      </c>
      <c r="H705" s="109">
        <f t="shared" si="31"/>
        <v>7.25</v>
      </c>
      <c r="I705" s="119"/>
      <c r="J705" s="119">
        <v>0</v>
      </c>
      <c r="K705" s="119">
        <f t="shared" si="32"/>
        <v>7.25</v>
      </c>
      <c r="L705" s="152">
        <f t="shared" si="33"/>
        <v>6.15</v>
      </c>
      <c r="M705" s="113"/>
    </row>
    <row r="706" spans="1:13" x14ac:dyDescent="0.2">
      <c r="A706" s="106">
        <v>46190</v>
      </c>
      <c r="B706" s="105" t="s">
        <v>1958</v>
      </c>
      <c r="C706" s="105" t="s">
        <v>4621</v>
      </c>
      <c r="D706" s="149" t="s">
        <v>1960</v>
      </c>
      <c r="E706" s="105">
        <v>1</v>
      </c>
      <c r="F706" s="133">
        <v>20.399999999999999</v>
      </c>
      <c r="G706" s="133">
        <v>23.5</v>
      </c>
      <c r="H706" s="109">
        <f t="shared" si="31"/>
        <v>23.5</v>
      </c>
      <c r="I706" s="119"/>
      <c r="J706" s="119">
        <v>0</v>
      </c>
      <c r="K706" s="119">
        <f t="shared" si="32"/>
        <v>23.5</v>
      </c>
      <c r="L706" s="152">
        <f t="shared" si="33"/>
        <v>20.399999999999999</v>
      </c>
      <c r="M706" s="113"/>
    </row>
    <row r="707" spans="1:13" x14ac:dyDescent="0.2">
      <c r="A707" s="106">
        <v>46190</v>
      </c>
      <c r="B707" s="105" t="s">
        <v>2031</v>
      </c>
      <c r="C707" s="105" t="s">
        <v>4621</v>
      </c>
      <c r="D707" s="149" t="s">
        <v>2033</v>
      </c>
      <c r="E707" s="105">
        <v>1</v>
      </c>
      <c r="F707" s="133">
        <v>20.399999999999999</v>
      </c>
      <c r="G707" s="133">
        <v>24</v>
      </c>
      <c r="H707" s="109">
        <f t="shared" si="31"/>
        <v>24</v>
      </c>
      <c r="I707" s="119"/>
      <c r="J707" s="119">
        <v>0</v>
      </c>
      <c r="K707" s="119">
        <f t="shared" si="32"/>
        <v>24</v>
      </c>
      <c r="L707" s="152">
        <f t="shared" si="33"/>
        <v>20.399999999999999</v>
      </c>
      <c r="M707" s="113"/>
    </row>
    <row r="708" spans="1:13" x14ac:dyDescent="0.2">
      <c r="A708" s="106">
        <v>46190</v>
      </c>
      <c r="B708" s="105" t="s">
        <v>2932</v>
      </c>
      <c r="C708" s="105" t="s">
        <v>4622</v>
      </c>
      <c r="D708" s="149" t="s">
        <v>2933</v>
      </c>
      <c r="E708" s="105">
        <v>10</v>
      </c>
      <c r="F708" s="133">
        <v>47.73</v>
      </c>
      <c r="G708" s="133">
        <v>55</v>
      </c>
      <c r="H708" s="109"/>
      <c r="I708" s="119">
        <v>550</v>
      </c>
      <c r="J708" s="119">
        <v>0</v>
      </c>
      <c r="K708" s="119">
        <f t="shared" si="32"/>
        <v>550</v>
      </c>
      <c r="L708" s="152">
        <f t="shared" si="33"/>
        <v>477.29999999999995</v>
      </c>
      <c r="M708" s="113"/>
    </row>
    <row r="709" spans="1:13" x14ac:dyDescent="0.2">
      <c r="A709" s="106">
        <v>46190</v>
      </c>
      <c r="B709" s="105" t="s">
        <v>4523</v>
      </c>
      <c r="C709" s="105" t="s">
        <v>4622</v>
      </c>
      <c r="D709" s="149" t="s">
        <v>4628</v>
      </c>
      <c r="E709" s="105">
        <v>15</v>
      </c>
      <c r="F709" s="133">
        <v>10</v>
      </c>
      <c r="G709" s="133">
        <v>12.5</v>
      </c>
      <c r="H709" s="109"/>
      <c r="I709" s="119">
        <v>187.5</v>
      </c>
      <c r="J709" s="119">
        <v>0</v>
      </c>
      <c r="K709" s="119">
        <f t="shared" si="32"/>
        <v>187.5</v>
      </c>
      <c r="L709" s="152">
        <f t="shared" si="33"/>
        <v>150</v>
      </c>
      <c r="M709" s="113"/>
    </row>
    <row r="710" spans="1:13" x14ac:dyDescent="0.2">
      <c r="A710" s="106">
        <v>46190</v>
      </c>
      <c r="B710" s="105" t="s">
        <v>4524</v>
      </c>
      <c r="C710" s="105" t="s">
        <v>4622</v>
      </c>
      <c r="D710" s="149" t="s">
        <v>4629</v>
      </c>
      <c r="E710" s="105">
        <v>3</v>
      </c>
      <c r="F710" s="133">
        <v>34.880000000000003</v>
      </c>
      <c r="G710" s="133">
        <v>40.25</v>
      </c>
      <c r="H710" s="109"/>
      <c r="I710" s="119">
        <v>120.75</v>
      </c>
      <c r="J710" s="119">
        <v>0</v>
      </c>
      <c r="K710" s="119">
        <f t="shared" si="32"/>
        <v>120.75</v>
      </c>
      <c r="L710" s="152">
        <f t="shared" si="33"/>
        <v>104.64000000000001</v>
      </c>
      <c r="M710" s="113"/>
    </row>
    <row r="711" spans="1:13" x14ac:dyDescent="0.2">
      <c r="A711" s="106">
        <v>46190</v>
      </c>
      <c r="B711" s="105" t="s">
        <v>3326</v>
      </c>
      <c r="C711" s="105" t="s">
        <v>4622</v>
      </c>
      <c r="D711" s="149" t="s">
        <v>3327</v>
      </c>
      <c r="E711" s="105">
        <v>24</v>
      </c>
      <c r="F711" s="133">
        <v>6.02</v>
      </c>
      <c r="G711" s="133">
        <v>7.25</v>
      </c>
      <c r="H711" s="109"/>
      <c r="I711" s="119">
        <v>174</v>
      </c>
      <c r="J711" s="119">
        <v>0</v>
      </c>
      <c r="K711" s="119">
        <f t="shared" ref="K711:K774" si="34">H711+I711-J711</f>
        <v>174</v>
      </c>
      <c r="L711" s="152">
        <f t="shared" ref="L711:L774" si="35">E711*F711</f>
        <v>144.47999999999999</v>
      </c>
      <c r="M711" s="113"/>
    </row>
    <row r="712" spans="1:13" x14ac:dyDescent="0.2">
      <c r="A712" s="106">
        <v>46190</v>
      </c>
      <c r="B712" s="105" t="s">
        <v>2581</v>
      </c>
      <c r="C712" s="105" t="s">
        <v>4622</v>
      </c>
      <c r="D712" s="149" t="s">
        <v>2583</v>
      </c>
      <c r="E712" s="105">
        <v>24</v>
      </c>
      <c r="F712" s="133">
        <v>6.02</v>
      </c>
      <c r="G712" s="133">
        <v>7.25</v>
      </c>
      <c r="H712" s="109"/>
      <c r="I712" s="119">
        <v>174</v>
      </c>
      <c r="J712" s="119">
        <v>0</v>
      </c>
      <c r="K712" s="119">
        <f t="shared" si="34"/>
        <v>174</v>
      </c>
      <c r="L712" s="152">
        <f t="shared" si="35"/>
        <v>144.47999999999999</v>
      </c>
      <c r="M712" s="113"/>
    </row>
    <row r="713" spans="1:13" x14ac:dyDescent="0.2">
      <c r="A713" s="106">
        <v>46190</v>
      </c>
      <c r="B713" s="105" t="s">
        <v>3050</v>
      </c>
      <c r="C713" s="105" t="s">
        <v>4622</v>
      </c>
      <c r="D713" s="149" t="s">
        <v>3051</v>
      </c>
      <c r="E713" s="105">
        <v>24</v>
      </c>
      <c r="F713" s="133">
        <v>6.02</v>
      </c>
      <c r="G713" s="133">
        <v>7.25</v>
      </c>
      <c r="H713" s="109"/>
      <c r="I713" s="119">
        <v>174</v>
      </c>
      <c r="J713" s="119">
        <v>0</v>
      </c>
      <c r="K713" s="119">
        <f t="shared" si="34"/>
        <v>174</v>
      </c>
      <c r="L713" s="152">
        <f t="shared" si="35"/>
        <v>144.47999999999999</v>
      </c>
      <c r="M713" s="113"/>
    </row>
    <row r="714" spans="1:13" x14ac:dyDescent="0.2">
      <c r="A714" s="106">
        <v>46190</v>
      </c>
      <c r="B714" s="105" t="s">
        <v>2690</v>
      </c>
      <c r="C714" s="105" t="s">
        <v>4622</v>
      </c>
      <c r="D714" s="149" t="s">
        <v>2692</v>
      </c>
      <c r="E714" s="105">
        <v>10</v>
      </c>
      <c r="F714" s="133">
        <v>32.86</v>
      </c>
      <c r="G714" s="133">
        <v>38</v>
      </c>
      <c r="H714" s="109"/>
      <c r="I714" s="119">
        <v>380</v>
      </c>
      <c r="J714" s="119">
        <v>0</v>
      </c>
      <c r="K714" s="119">
        <f t="shared" si="34"/>
        <v>380</v>
      </c>
      <c r="L714" s="152">
        <f t="shared" si="35"/>
        <v>328.6</v>
      </c>
      <c r="M714" s="113"/>
    </row>
    <row r="715" spans="1:13" x14ac:dyDescent="0.2">
      <c r="A715" s="106">
        <v>46190</v>
      </c>
      <c r="B715" s="105" t="s">
        <v>3765</v>
      </c>
      <c r="C715" s="105" t="s">
        <v>4622</v>
      </c>
      <c r="D715" s="149" t="s">
        <v>3766</v>
      </c>
      <c r="E715" s="105">
        <v>6</v>
      </c>
      <c r="F715" s="133">
        <v>65.95</v>
      </c>
      <c r="G715" s="133">
        <v>76</v>
      </c>
      <c r="H715" s="109"/>
      <c r="I715" s="119">
        <v>456</v>
      </c>
      <c r="J715" s="119">
        <v>0</v>
      </c>
      <c r="K715" s="119">
        <f t="shared" si="34"/>
        <v>456</v>
      </c>
      <c r="L715" s="152">
        <f t="shared" si="35"/>
        <v>395.70000000000005</v>
      </c>
      <c r="M715" s="113"/>
    </row>
    <row r="716" spans="1:13" x14ac:dyDescent="0.2">
      <c r="A716" s="106">
        <v>46190</v>
      </c>
      <c r="B716" s="105" t="s">
        <v>3180</v>
      </c>
      <c r="C716" s="105" t="s">
        <v>4622</v>
      </c>
      <c r="D716" s="149" t="s">
        <v>3181</v>
      </c>
      <c r="E716" s="105">
        <v>10</v>
      </c>
      <c r="F716" s="133">
        <v>25.8</v>
      </c>
      <c r="G716" s="133">
        <v>29.75</v>
      </c>
      <c r="H716" s="109"/>
      <c r="I716" s="119">
        <v>297.5</v>
      </c>
      <c r="J716" s="119">
        <v>0</v>
      </c>
      <c r="K716" s="119">
        <f t="shared" si="34"/>
        <v>297.5</v>
      </c>
      <c r="L716" s="152">
        <f t="shared" si="35"/>
        <v>258</v>
      </c>
      <c r="M716" s="113"/>
    </row>
    <row r="717" spans="1:13" x14ac:dyDescent="0.2">
      <c r="A717" s="106">
        <v>46190</v>
      </c>
      <c r="B717" s="105" t="s">
        <v>2536</v>
      </c>
      <c r="C717" s="105" t="s">
        <v>4622</v>
      </c>
      <c r="D717" s="149" t="s">
        <v>2537</v>
      </c>
      <c r="E717" s="105">
        <v>5</v>
      </c>
      <c r="F717" s="133">
        <v>63.95</v>
      </c>
      <c r="G717" s="133">
        <v>73.75</v>
      </c>
      <c r="H717" s="109"/>
      <c r="I717" s="119">
        <v>368.75</v>
      </c>
      <c r="J717" s="119">
        <v>0</v>
      </c>
      <c r="K717" s="119">
        <f t="shared" si="34"/>
        <v>368.75</v>
      </c>
      <c r="L717" s="152">
        <f t="shared" si="35"/>
        <v>319.75</v>
      </c>
      <c r="M717" s="113"/>
    </row>
    <row r="718" spans="1:13" x14ac:dyDescent="0.2">
      <c r="A718" s="106">
        <v>46190</v>
      </c>
      <c r="B718" s="105" t="s">
        <v>4525</v>
      </c>
      <c r="C718" s="105" t="s">
        <v>4622</v>
      </c>
      <c r="D718" s="149" t="s">
        <v>4630</v>
      </c>
      <c r="E718" s="105">
        <v>10</v>
      </c>
      <c r="F718" s="133">
        <v>63.95</v>
      </c>
      <c r="G718" s="133">
        <v>73.75</v>
      </c>
      <c r="H718" s="109"/>
      <c r="I718" s="119">
        <v>737.5</v>
      </c>
      <c r="J718" s="119">
        <v>0</v>
      </c>
      <c r="K718" s="119">
        <f t="shared" si="34"/>
        <v>737.5</v>
      </c>
      <c r="L718" s="152">
        <f t="shared" si="35"/>
        <v>639.5</v>
      </c>
      <c r="M718" s="113"/>
    </row>
    <row r="719" spans="1:13" x14ac:dyDescent="0.2">
      <c r="A719" s="106">
        <v>46190</v>
      </c>
      <c r="B719" s="105" t="s">
        <v>2597</v>
      </c>
      <c r="C719" s="105" t="s">
        <v>4622</v>
      </c>
      <c r="D719" s="149" t="s">
        <v>2598</v>
      </c>
      <c r="E719" s="105">
        <v>12</v>
      </c>
      <c r="F719" s="133">
        <v>29.17</v>
      </c>
      <c r="G719" s="133">
        <v>33.75</v>
      </c>
      <c r="H719" s="109"/>
      <c r="I719" s="119">
        <v>405</v>
      </c>
      <c r="J719" s="119">
        <v>0</v>
      </c>
      <c r="K719" s="119">
        <f t="shared" si="34"/>
        <v>405</v>
      </c>
      <c r="L719" s="152">
        <f t="shared" si="35"/>
        <v>350.04</v>
      </c>
      <c r="M719" s="113"/>
    </row>
    <row r="720" spans="1:13" x14ac:dyDescent="0.2">
      <c r="A720" s="106">
        <v>46190</v>
      </c>
      <c r="B720" s="105" t="s">
        <v>2731</v>
      </c>
      <c r="C720" s="105" t="s">
        <v>4622</v>
      </c>
      <c r="D720" s="149" t="s">
        <v>2732</v>
      </c>
      <c r="E720" s="105">
        <v>6</v>
      </c>
      <c r="F720" s="133">
        <v>7.3</v>
      </c>
      <c r="G720" s="133">
        <v>8.5</v>
      </c>
      <c r="H720" s="109"/>
      <c r="I720" s="119">
        <v>51</v>
      </c>
      <c r="J720" s="119">
        <v>0</v>
      </c>
      <c r="K720" s="119">
        <f t="shared" si="34"/>
        <v>51</v>
      </c>
      <c r="L720" s="152">
        <f t="shared" si="35"/>
        <v>43.8</v>
      </c>
      <c r="M720" s="113"/>
    </row>
    <row r="721" spans="1:13" x14ac:dyDescent="0.2">
      <c r="A721" s="106">
        <v>46190</v>
      </c>
      <c r="B721" s="105" t="s">
        <v>2043</v>
      </c>
      <c r="C721" s="105" t="s">
        <v>4622</v>
      </c>
      <c r="D721" s="149" t="s">
        <v>2044</v>
      </c>
      <c r="E721" s="105">
        <v>4</v>
      </c>
      <c r="F721" s="133">
        <v>6.92</v>
      </c>
      <c r="G721" s="133">
        <v>7.75</v>
      </c>
      <c r="H721" s="109"/>
      <c r="I721" s="119">
        <v>31</v>
      </c>
      <c r="J721" s="119">
        <v>0</v>
      </c>
      <c r="K721" s="119">
        <f t="shared" si="34"/>
        <v>31</v>
      </c>
      <c r="L721" s="152">
        <f t="shared" si="35"/>
        <v>27.68</v>
      </c>
      <c r="M721" s="113"/>
    </row>
    <row r="722" spans="1:13" x14ac:dyDescent="0.2">
      <c r="A722" s="106">
        <v>46190</v>
      </c>
      <c r="B722" s="105" t="s">
        <v>2639</v>
      </c>
      <c r="C722" s="105" t="s">
        <v>4622</v>
      </c>
      <c r="D722" s="149" t="s">
        <v>2640</v>
      </c>
      <c r="E722" s="105">
        <v>17</v>
      </c>
      <c r="F722" s="133">
        <v>17.059999999999999</v>
      </c>
      <c r="G722" s="133">
        <v>19.75</v>
      </c>
      <c r="H722" s="109"/>
      <c r="I722" s="119">
        <v>335.75</v>
      </c>
      <c r="J722" s="119">
        <v>0</v>
      </c>
      <c r="K722" s="119">
        <f t="shared" si="34"/>
        <v>335.75</v>
      </c>
      <c r="L722" s="152">
        <f t="shared" si="35"/>
        <v>290.02</v>
      </c>
      <c r="M722" s="113"/>
    </row>
    <row r="723" spans="1:13" x14ac:dyDescent="0.2">
      <c r="A723" s="106">
        <v>46190</v>
      </c>
      <c r="B723" s="105" t="s">
        <v>2233</v>
      </c>
      <c r="C723" s="105" t="s">
        <v>4622</v>
      </c>
      <c r="D723" s="149" t="s">
        <v>2235</v>
      </c>
      <c r="E723" s="105">
        <v>10</v>
      </c>
      <c r="F723" s="133">
        <v>11.17</v>
      </c>
      <c r="G723" s="133">
        <v>13</v>
      </c>
      <c r="H723" s="109"/>
      <c r="I723" s="119">
        <v>130</v>
      </c>
      <c r="J723" s="119">
        <v>0</v>
      </c>
      <c r="K723" s="119">
        <f t="shared" si="34"/>
        <v>130</v>
      </c>
      <c r="L723" s="152">
        <f t="shared" si="35"/>
        <v>111.7</v>
      </c>
      <c r="M723" s="113"/>
    </row>
    <row r="724" spans="1:13" x14ac:dyDescent="0.2">
      <c r="A724" s="106">
        <v>46190</v>
      </c>
      <c r="B724" s="105" t="s">
        <v>4526</v>
      </c>
      <c r="C724" s="105" t="s">
        <v>4622</v>
      </c>
      <c r="D724" s="149" t="s">
        <v>4631</v>
      </c>
      <c r="E724" s="105">
        <v>3</v>
      </c>
      <c r="F724" s="133">
        <v>37.5</v>
      </c>
      <c r="G724" s="133">
        <v>43.25</v>
      </c>
      <c r="H724" s="109"/>
      <c r="I724" s="119">
        <v>129.75</v>
      </c>
      <c r="J724" s="119">
        <v>0</v>
      </c>
      <c r="K724" s="119">
        <f t="shared" si="34"/>
        <v>129.75</v>
      </c>
      <c r="L724" s="152">
        <f t="shared" si="35"/>
        <v>112.5</v>
      </c>
      <c r="M724" s="113"/>
    </row>
    <row r="725" spans="1:13" x14ac:dyDescent="0.2">
      <c r="A725" s="106">
        <v>46190</v>
      </c>
      <c r="B725" s="105" t="s">
        <v>3027</v>
      </c>
      <c r="C725" s="105" t="s">
        <v>4622</v>
      </c>
      <c r="D725" s="149" t="s">
        <v>3028</v>
      </c>
      <c r="E725" s="105">
        <v>60</v>
      </c>
      <c r="F725" s="133">
        <v>6.37</v>
      </c>
      <c r="G725" s="133">
        <v>7.5</v>
      </c>
      <c r="H725" s="109"/>
      <c r="I725" s="119">
        <v>450</v>
      </c>
      <c r="J725" s="119">
        <v>0</v>
      </c>
      <c r="K725" s="119">
        <f t="shared" si="34"/>
        <v>450</v>
      </c>
      <c r="L725" s="152">
        <f t="shared" si="35"/>
        <v>382.2</v>
      </c>
      <c r="M725" s="113"/>
    </row>
    <row r="726" spans="1:13" x14ac:dyDescent="0.2">
      <c r="A726" s="106">
        <v>46190</v>
      </c>
      <c r="B726" s="105" t="s">
        <v>4527</v>
      </c>
      <c r="C726" s="105" t="s">
        <v>4622</v>
      </c>
      <c r="D726" s="149" t="s">
        <v>4632</v>
      </c>
      <c r="E726" s="105">
        <v>22</v>
      </c>
      <c r="F726" s="133">
        <v>6.37</v>
      </c>
      <c r="G726" s="133">
        <v>7.5</v>
      </c>
      <c r="H726" s="109"/>
      <c r="I726" s="119">
        <v>165</v>
      </c>
      <c r="J726" s="119">
        <v>0</v>
      </c>
      <c r="K726" s="119">
        <f t="shared" si="34"/>
        <v>165</v>
      </c>
      <c r="L726" s="152">
        <f t="shared" si="35"/>
        <v>140.14000000000001</v>
      </c>
      <c r="M726" s="113"/>
    </row>
    <row r="727" spans="1:13" x14ac:dyDescent="0.2">
      <c r="A727" s="106">
        <v>46190</v>
      </c>
      <c r="B727" s="105" t="s">
        <v>1854</v>
      </c>
      <c r="C727" s="105" t="s">
        <v>4622</v>
      </c>
      <c r="D727" s="149" t="s">
        <v>1855</v>
      </c>
      <c r="E727" s="105">
        <v>15</v>
      </c>
      <c r="F727" s="133">
        <v>7.62</v>
      </c>
      <c r="G727" s="133">
        <v>8.75</v>
      </c>
      <c r="H727" s="109"/>
      <c r="I727" s="119">
        <v>131.25</v>
      </c>
      <c r="J727" s="119">
        <v>0</v>
      </c>
      <c r="K727" s="119">
        <f t="shared" si="34"/>
        <v>131.25</v>
      </c>
      <c r="L727" s="152">
        <f t="shared" si="35"/>
        <v>114.3</v>
      </c>
      <c r="M727" s="113"/>
    </row>
    <row r="728" spans="1:13" x14ac:dyDescent="0.2">
      <c r="A728" s="106">
        <v>46190</v>
      </c>
      <c r="B728" s="105" t="s">
        <v>4528</v>
      </c>
      <c r="C728" s="105" t="s">
        <v>4622</v>
      </c>
      <c r="D728" s="149" t="s">
        <v>4633</v>
      </c>
      <c r="E728" s="105">
        <v>2</v>
      </c>
      <c r="F728" s="133">
        <v>227.85</v>
      </c>
      <c r="G728" s="133">
        <v>262.25</v>
      </c>
      <c r="H728" s="109"/>
      <c r="I728" s="119">
        <v>524.5</v>
      </c>
      <c r="J728" s="119">
        <v>0</v>
      </c>
      <c r="K728" s="119">
        <f t="shared" si="34"/>
        <v>524.5</v>
      </c>
      <c r="L728" s="152">
        <f t="shared" si="35"/>
        <v>455.7</v>
      </c>
      <c r="M728" s="113"/>
    </row>
    <row r="729" spans="1:13" x14ac:dyDescent="0.2">
      <c r="A729" s="106">
        <v>46190</v>
      </c>
      <c r="B729" s="105" t="s">
        <v>4529</v>
      </c>
      <c r="C729" s="105" t="s">
        <v>4622</v>
      </c>
      <c r="D729" s="149" t="s">
        <v>4634</v>
      </c>
      <c r="E729" s="105">
        <v>2</v>
      </c>
      <c r="F729" s="133">
        <v>209.3</v>
      </c>
      <c r="G729" s="133">
        <v>257.25</v>
      </c>
      <c r="H729" s="109"/>
      <c r="I729" s="119">
        <v>514.5</v>
      </c>
      <c r="J729" s="119">
        <v>0</v>
      </c>
      <c r="K729" s="119">
        <f t="shared" si="34"/>
        <v>514.5</v>
      </c>
      <c r="L729" s="152">
        <f t="shared" si="35"/>
        <v>418.6</v>
      </c>
      <c r="M729" s="113"/>
    </row>
    <row r="730" spans="1:13" x14ac:dyDescent="0.2">
      <c r="A730" s="106">
        <v>46190</v>
      </c>
      <c r="B730" s="105" t="s">
        <v>4530</v>
      </c>
      <c r="C730" s="105" t="s">
        <v>4622</v>
      </c>
      <c r="D730" s="149" t="s">
        <v>4635</v>
      </c>
      <c r="E730" s="105">
        <v>2</v>
      </c>
      <c r="F730" s="133">
        <v>190.8</v>
      </c>
      <c r="G730" s="133">
        <v>234.5</v>
      </c>
      <c r="H730" s="109"/>
      <c r="I730" s="119">
        <v>469</v>
      </c>
      <c r="J730" s="119">
        <v>0</v>
      </c>
      <c r="K730" s="119">
        <f t="shared" si="34"/>
        <v>469</v>
      </c>
      <c r="L730" s="152">
        <f t="shared" si="35"/>
        <v>381.6</v>
      </c>
      <c r="M730" s="113"/>
    </row>
    <row r="731" spans="1:13" x14ac:dyDescent="0.2">
      <c r="A731" s="106">
        <v>46190</v>
      </c>
      <c r="B731" s="105" t="s">
        <v>4531</v>
      </c>
      <c r="C731" s="105" t="s">
        <v>4622</v>
      </c>
      <c r="D731" s="149" t="s">
        <v>4636</v>
      </c>
      <c r="E731" s="105">
        <v>3</v>
      </c>
      <c r="F731" s="133">
        <v>246.35</v>
      </c>
      <c r="G731" s="133">
        <v>283</v>
      </c>
      <c r="H731" s="109"/>
      <c r="I731" s="119">
        <v>849</v>
      </c>
      <c r="J731" s="119">
        <v>0</v>
      </c>
      <c r="K731" s="119">
        <f t="shared" si="34"/>
        <v>849</v>
      </c>
      <c r="L731" s="152">
        <f t="shared" si="35"/>
        <v>739.05</v>
      </c>
      <c r="M731" s="113"/>
    </row>
    <row r="732" spans="1:13" x14ac:dyDescent="0.2">
      <c r="A732" s="106">
        <v>46190</v>
      </c>
      <c r="B732" s="105" t="s">
        <v>4532</v>
      </c>
      <c r="C732" s="105" t="s">
        <v>4622</v>
      </c>
      <c r="D732" s="149" t="s">
        <v>4637</v>
      </c>
      <c r="E732" s="105">
        <v>2</v>
      </c>
      <c r="F732" s="133">
        <v>82.1</v>
      </c>
      <c r="G732" s="133">
        <v>94.5</v>
      </c>
      <c r="H732" s="109"/>
      <c r="I732" s="119">
        <v>189</v>
      </c>
      <c r="J732" s="119">
        <v>0</v>
      </c>
      <c r="K732" s="119">
        <f t="shared" si="34"/>
        <v>189</v>
      </c>
      <c r="L732" s="152">
        <f t="shared" si="35"/>
        <v>164.2</v>
      </c>
      <c r="M732" s="113"/>
    </row>
    <row r="733" spans="1:13" x14ac:dyDescent="0.2">
      <c r="A733" s="106">
        <v>46190</v>
      </c>
      <c r="B733" s="105" t="s">
        <v>4533</v>
      </c>
      <c r="C733" s="105" t="s">
        <v>4622</v>
      </c>
      <c r="D733" s="149" t="s">
        <v>4638</v>
      </c>
      <c r="E733" s="105">
        <v>6</v>
      </c>
      <c r="F733" s="133">
        <v>53.55</v>
      </c>
      <c r="G733" s="133">
        <v>61.75</v>
      </c>
      <c r="H733" s="109"/>
      <c r="I733" s="119">
        <v>370.5</v>
      </c>
      <c r="J733" s="119">
        <v>0</v>
      </c>
      <c r="K733" s="119">
        <f t="shared" si="34"/>
        <v>370.5</v>
      </c>
      <c r="L733" s="152">
        <f t="shared" si="35"/>
        <v>321.29999999999995</v>
      </c>
      <c r="M733" s="113"/>
    </row>
    <row r="734" spans="1:13" x14ac:dyDescent="0.2">
      <c r="A734" s="106">
        <v>46190</v>
      </c>
      <c r="B734" s="105" t="s">
        <v>3624</v>
      </c>
      <c r="C734" s="105" t="s">
        <v>4622</v>
      </c>
      <c r="D734" s="149" t="s">
        <v>3625</v>
      </c>
      <c r="E734" s="105">
        <v>6</v>
      </c>
      <c r="F734" s="133">
        <v>46.5</v>
      </c>
      <c r="G734" s="133">
        <v>53.5</v>
      </c>
      <c r="H734" s="109"/>
      <c r="I734" s="119">
        <v>321</v>
      </c>
      <c r="J734" s="119">
        <v>0</v>
      </c>
      <c r="K734" s="119">
        <f t="shared" si="34"/>
        <v>321</v>
      </c>
      <c r="L734" s="152">
        <f t="shared" si="35"/>
        <v>279</v>
      </c>
      <c r="M734" s="113"/>
    </row>
    <row r="735" spans="1:13" x14ac:dyDescent="0.2">
      <c r="A735" s="106">
        <v>46190</v>
      </c>
      <c r="B735" s="105" t="s">
        <v>4534</v>
      </c>
      <c r="C735" s="105" t="s">
        <v>4622</v>
      </c>
      <c r="D735" s="149" t="s">
        <v>4639</v>
      </c>
      <c r="E735" s="105">
        <v>6</v>
      </c>
      <c r="F735" s="133">
        <v>45.36</v>
      </c>
      <c r="G735" s="133">
        <v>53.25</v>
      </c>
      <c r="H735" s="109"/>
      <c r="I735" s="119">
        <v>319.5</v>
      </c>
      <c r="J735" s="119">
        <v>0</v>
      </c>
      <c r="K735" s="119">
        <f t="shared" si="34"/>
        <v>319.5</v>
      </c>
      <c r="L735" s="152">
        <f t="shared" si="35"/>
        <v>272.15999999999997</v>
      </c>
      <c r="M735" s="113"/>
    </row>
    <row r="736" spans="1:13" x14ac:dyDescent="0.2">
      <c r="A736" s="106">
        <v>46190</v>
      </c>
      <c r="B736" s="105" t="s">
        <v>4535</v>
      </c>
      <c r="C736" s="105" t="s">
        <v>4622</v>
      </c>
      <c r="D736" s="149" t="s">
        <v>4640</v>
      </c>
      <c r="E736" s="105">
        <v>6</v>
      </c>
      <c r="F736" s="133">
        <v>31.15</v>
      </c>
      <c r="G736" s="133">
        <v>36</v>
      </c>
      <c r="H736" s="109"/>
      <c r="I736" s="119">
        <v>216</v>
      </c>
      <c r="J736" s="119">
        <v>0</v>
      </c>
      <c r="K736" s="119">
        <f t="shared" si="34"/>
        <v>216</v>
      </c>
      <c r="L736" s="152">
        <f t="shared" si="35"/>
        <v>186.89999999999998</v>
      </c>
      <c r="M736" s="113"/>
    </row>
    <row r="737" spans="1:13" x14ac:dyDescent="0.2">
      <c r="A737" s="106">
        <v>46190</v>
      </c>
      <c r="B737" s="105" t="s">
        <v>4536</v>
      </c>
      <c r="C737" s="105" t="s">
        <v>4622</v>
      </c>
      <c r="D737" s="149" t="s">
        <v>4641</v>
      </c>
      <c r="E737" s="105">
        <v>6</v>
      </c>
      <c r="F737" s="133">
        <v>57.1</v>
      </c>
      <c r="G737" s="133">
        <v>65.75</v>
      </c>
      <c r="H737" s="109"/>
      <c r="I737" s="119">
        <v>394.5</v>
      </c>
      <c r="J737" s="119">
        <v>0</v>
      </c>
      <c r="K737" s="119">
        <f t="shared" si="34"/>
        <v>394.5</v>
      </c>
      <c r="L737" s="152">
        <f t="shared" si="35"/>
        <v>342.6</v>
      </c>
      <c r="M737" s="113"/>
    </row>
    <row r="738" spans="1:13" x14ac:dyDescent="0.2">
      <c r="A738" s="106">
        <v>46190</v>
      </c>
      <c r="B738" s="105" t="s">
        <v>4537</v>
      </c>
      <c r="C738" s="105" t="s">
        <v>4622</v>
      </c>
      <c r="D738" s="149" t="s">
        <v>4642</v>
      </c>
      <c r="E738" s="105">
        <v>7</v>
      </c>
      <c r="F738" s="133">
        <v>56.66</v>
      </c>
      <c r="G738" s="133">
        <v>65.25</v>
      </c>
      <c r="H738" s="109"/>
      <c r="I738" s="119">
        <v>456.75</v>
      </c>
      <c r="J738" s="119">
        <v>0</v>
      </c>
      <c r="K738" s="119">
        <f t="shared" si="34"/>
        <v>456.75</v>
      </c>
      <c r="L738" s="152">
        <f t="shared" si="35"/>
        <v>396.62</v>
      </c>
      <c r="M738" s="113"/>
    </row>
    <row r="739" spans="1:13" x14ac:dyDescent="0.2">
      <c r="A739" s="106">
        <v>46190</v>
      </c>
      <c r="B739" s="105" t="s">
        <v>2786</v>
      </c>
      <c r="C739" s="105" t="s">
        <v>4622</v>
      </c>
      <c r="D739" s="149" t="s">
        <v>2787</v>
      </c>
      <c r="E739" s="105">
        <v>4</v>
      </c>
      <c r="F739" s="133">
        <v>67.88</v>
      </c>
      <c r="G739" s="133">
        <v>78.25</v>
      </c>
      <c r="H739" s="109"/>
      <c r="I739" s="119">
        <v>313</v>
      </c>
      <c r="J739" s="119">
        <v>0</v>
      </c>
      <c r="K739" s="119">
        <f t="shared" si="34"/>
        <v>313</v>
      </c>
      <c r="L739" s="152">
        <f t="shared" si="35"/>
        <v>271.52</v>
      </c>
      <c r="M739" s="113"/>
    </row>
    <row r="740" spans="1:13" x14ac:dyDescent="0.2">
      <c r="A740" s="106">
        <v>46190</v>
      </c>
      <c r="B740" s="105" t="s">
        <v>4207</v>
      </c>
      <c r="C740" s="105" t="s">
        <v>4622</v>
      </c>
      <c r="D740" s="149" t="s">
        <v>4208</v>
      </c>
      <c r="E740" s="105">
        <v>6</v>
      </c>
      <c r="F740" s="133">
        <v>67.88</v>
      </c>
      <c r="G740" s="133">
        <v>78.25</v>
      </c>
      <c r="H740" s="109"/>
      <c r="I740" s="119">
        <v>469.5</v>
      </c>
      <c r="J740" s="119">
        <v>0</v>
      </c>
      <c r="K740" s="119">
        <f t="shared" si="34"/>
        <v>469.5</v>
      </c>
      <c r="L740" s="152">
        <f t="shared" si="35"/>
        <v>407.28</v>
      </c>
      <c r="M740" s="113"/>
    </row>
    <row r="741" spans="1:13" x14ac:dyDescent="0.2">
      <c r="A741" s="106">
        <v>46190</v>
      </c>
      <c r="B741" s="105" t="s">
        <v>4003</v>
      </c>
      <c r="C741" s="105" t="s">
        <v>4622</v>
      </c>
      <c r="D741" s="149" t="s">
        <v>4005</v>
      </c>
      <c r="E741" s="105">
        <v>84</v>
      </c>
      <c r="F741" s="133">
        <v>8.77</v>
      </c>
      <c r="G741" s="133">
        <v>10.25</v>
      </c>
      <c r="H741" s="109"/>
      <c r="I741" s="119">
        <v>861</v>
      </c>
      <c r="J741" s="119">
        <v>0</v>
      </c>
      <c r="K741" s="119">
        <f t="shared" si="34"/>
        <v>861</v>
      </c>
      <c r="L741" s="152">
        <f t="shared" si="35"/>
        <v>736.68</v>
      </c>
      <c r="M741" s="113"/>
    </row>
    <row r="742" spans="1:13" x14ac:dyDescent="0.2">
      <c r="A742" s="106">
        <v>46190</v>
      </c>
      <c r="B742" s="105" t="s">
        <v>2039</v>
      </c>
      <c r="C742" s="105" t="s">
        <v>4622</v>
      </c>
      <c r="D742" s="149" t="s">
        <v>2041</v>
      </c>
      <c r="E742" s="105">
        <v>48</v>
      </c>
      <c r="F742" s="133">
        <v>6.17</v>
      </c>
      <c r="G742" s="133">
        <v>7.25</v>
      </c>
      <c r="H742" s="109"/>
      <c r="I742" s="119">
        <v>348</v>
      </c>
      <c r="J742" s="119">
        <v>0</v>
      </c>
      <c r="K742" s="119">
        <f t="shared" si="34"/>
        <v>348</v>
      </c>
      <c r="L742" s="152">
        <f t="shared" si="35"/>
        <v>296.15999999999997</v>
      </c>
      <c r="M742" s="113"/>
    </row>
    <row r="743" spans="1:13" x14ac:dyDescent="0.2">
      <c r="A743" s="106">
        <v>46190</v>
      </c>
      <c r="B743" s="105" t="s">
        <v>4538</v>
      </c>
      <c r="C743" s="105" t="s">
        <v>4622</v>
      </c>
      <c r="D743" s="149" t="s">
        <v>4643</v>
      </c>
      <c r="E743" s="105">
        <v>64</v>
      </c>
      <c r="F743" s="133">
        <v>4.5</v>
      </c>
      <c r="G743" s="133">
        <v>6</v>
      </c>
      <c r="H743" s="109"/>
      <c r="I743" s="119">
        <v>384</v>
      </c>
      <c r="J743" s="119">
        <v>0</v>
      </c>
      <c r="K743" s="119">
        <f t="shared" si="34"/>
        <v>384</v>
      </c>
      <c r="L743" s="152">
        <f t="shared" si="35"/>
        <v>288</v>
      </c>
      <c r="M743" s="113"/>
    </row>
    <row r="744" spans="1:13" x14ac:dyDescent="0.2">
      <c r="A744" s="106">
        <v>46190</v>
      </c>
      <c r="B744" s="105" t="s">
        <v>3203</v>
      </c>
      <c r="C744" s="105" t="s">
        <v>4622</v>
      </c>
      <c r="D744" s="149" t="s">
        <v>3204</v>
      </c>
      <c r="E744" s="105">
        <v>12</v>
      </c>
      <c r="F744" s="133">
        <v>20.48</v>
      </c>
      <c r="G744" s="133">
        <v>23.75</v>
      </c>
      <c r="H744" s="109"/>
      <c r="I744" s="119">
        <v>285</v>
      </c>
      <c r="J744" s="119">
        <v>0</v>
      </c>
      <c r="K744" s="119">
        <f t="shared" si="34"/>
        <v>285</v>
      </c>
      <c r="L744" s="152">
        <f t="shared" si="35"/>
        <v>245.76</v>
      </c>
      <c r="M744" s="113"/>
    </row>
    <row r="745" spans="1:13" x14ac:dyDescent="0.2">
      <c r="A745" s="106">
        <v>46190</v>
      </c>
      <c r="B745" s="105" t="s">
        <v>2082</v>
      </c>
      <c r="C745" s="105" t="s">
        <v>4622</v>
      </c>
      <c r="D745" s="149" t="s">
        <v>2083</v>
      </c>
      <c r="E745" s="105">
        <v>12</v>
      </c>
      <c r="F745" s="133">
        <v>10.95</v>
      </c>
      <c r="G745" s="133">
        <v>12.75</v>
      </c>
      <c r="H745" s="109"/>
      <c r="I745" s="119">
        <v>153</v>
      </c>
      <c r="J745" s="119">
        <v>0</v>
      </c>
      <c r="K745" s="119">
        <f t="shared" si="34"/>
        <v>153</v>
      </c>
      <c r="L745" s="152">
        <f t="shared" si="35"/>
        <v>131.39999999999998</v>
      </c>
      <c r="M745" s="113"/>
    </row>
    <row r="746" spans="1:13" x14ac:dyDescent="0.2">
      <c r="A746" s="106">
        <v>46190</v>
      </c>
      <c r="B746" s="105" t="s">
        <v>4539</v>
      </c>
      <c r="C746" s="105" t="s">
        <v>4622</v>
      </c>
      <c r="D746" s="149" t="s">
        <v>4644</v>
      </c>
      <c r="E746" s="105">
        <v>12</v>
      </c>
      <c r="F746" s="133">
        <v>16.32</v>
      </c>
      <c r="G746" s="133">
        <v>19</v>
      </c>
      <c r="H746" s="109"/>
      <c r="I746" s="119">
        <v>228</v>
      </c>
      <c r="J746" s="119">
        <v>0</v>
      </c>
      <c r="K746" s="119">
        <f t="shared" si="34"/>
        <v>228</v>
      </c>
      <c r="L746" s="152">
        <f t="shared" si="35"/>
        <v>195.84</v>
      </c>
      <c r="M746" s="113"/>
    </row>
    <row r="747" spans="1:13" x14ac:dyDescent="0.2">
      <c r="A747" s="106">
        <v>46190</v>
      </c>
      <c r="B747" s="105" t="s">
        <v>4205</v>
      </c>
      <c r="C747" s="105" t="s">
        <v>4622</v>
      </c>
      <c r="D747" s="149" t="s">
        <v>4206</v>
      </c>
      <c r="E747" s="105">
        <v>36</v>
      </c>
      <c r="F747" s="133">
        <v>8.3000000000000007</v>
      </c>
      <c r="G747" s="133">
        <v>9.75</v>
      </c>
      <c r="H747" s="109"/>
      <c r="I747" s="119">
        <v>351</v>
      </c>
      <c r="J747" s="119">
        <v>0</v>
      </c>
      <c r="K747" s="119">
        <f t="shared" si="34"/>
        <v>351</v>
      </c>
      <c r="L747" s="152">
        <f t="shared" si="35"/>
        <v>298.8</v>
      </c>
      <c r="M747" s="113"/>
    </row>
    <row r="748" spans="1:13" x14ac:dyDescent="0.2">
      <c r="A748" s="106">
        <v>46190</v>
      </c>
      <c r="B748" s="105" t="s">
        <v>2323</v>
      </c>
      <c r="C748" s="105" t="s">
        <v>4622</v>
      </c>
      <c r="D748" s="149" t="s">
        <v>2325</v>
      </c>
      <c r="E748" s="105">
        <v>20</v>
      </c>
      <c r="F748" s="133">
        <v>19.100000000000001</v>
      </c>
      <c r="G748" s="133">
        <v>22</v>
      </c>
      <c r="H748" s="109"/>
      <c r="I748" s="119">
        <v>440</v>
      </c>
      <c r="J748" s="119">
        <v>0</v>
      </c>
      <c r="K748" s="119">
        <f t="shared" si="34"/>
        <v>440</v>
      </c>
      <c r="L748" s="152">
        <f t="shared" si="35"/>
        <v>382</v>
      </c>
      <c r="M748" s="113"/>
    </row>
    <row r="749" spans="1:13" x14ac:dyDescent="0.2">
      <c r="A749" s="106">
        <v>46190</v>
      </c>
      <c r="B749" s="105" t="s">
        <v>4540</v>
      </c>
      <c r="C749" s="105" t="s">
        <v>4622</v>
      </c>
      <c r="D749" s="149" t="s">
        <v>4645</v>
      </c>
      <c r="E749" s="105">
        <v>15</v>
      </c>
      <c r="F749" s="133">
        <v>13.1</v>
      </c>
      <c r="G749" s="133">
        <v>15</v>
      </c>
      <c r="H749" s="109"/>
      <c r="I749" s="119">
        <v>225</v>
      </c>
      <c r="J749" s="119">
        <v>0</v>
      </c>
      <c r="K749" s="119">
        <f t="shared" si="34"/>
        <v>225</v>
      </c>
      <c r="L749" s="152">
        <f t="shared" si="35"/>
        <v>196.5</v>
      </c>
      <c r="M749" s="113"/>
    </row>
    <row r="750" spans="1:13" x14ac:dyDescent="0.2">
      <c r="A750" s="106">
        <v>46190</v>
      </c>
      <c r="B750" s="105" t="s">
        <v>4181</v>
      </c>
      <c r="C750" s="105" t="s">
        <v>4622</v>
      </c>
      <c r="D750" s="149" t="s">
        <v>4183</v>
      </c>
      <c r="E750" s="105">
        <v>15</v>
      </c>
      <c r="F750" s="133">
        <v>13.1</v>
      </c>
      <c r="G750" s="133">
        <v>15</v>
      </c>
      <c r="H750" s="109"/>
      <c r="I750" s="119">
        <v>225</v>
      </c>
      <c r="J750" s="119">
        <v>0</v>
      </c>
      <c r="K750" s="119">
        <f t="shared" si="34"/>
        <v>225</v>
      </c>
      <c r="L750" s="152">
        <f t="shared" si="35"/>
        <v>196.5</v>
      </c>
      <c r="M750" s="113"/>
    </row>
    <row r="751" spans="1:13" x14ac:dyDescent="0.2">
      <c r="A751" s="106">
        <v>46190</v>
      </c>
      <c r="B751" s="105" t="s">
        <v>4541</v>
      </c>
      <c r="C751" s="105" t="s">
        <v>4622</v>
      </c>
      <c r="D751" s="149" t="s">
        <v>4646</v>
      </c>
      <c r="E751" s="105">
        <v>15</v>
      </c>
      <c r="F751" s="133">
        <v>10.15</v>
      </c>
      <c r="G751" s="133">
        <v>11.75</v>
      </c>
      <c r="H751" s="109"/>
      <c r="I751" s="119">
        <v>176.25</v>
      </c>
      <c r="J751" s="119">
        <v>0</v>
      </c>
      <c r="K751" s="119">
        <f t="shared" si="34"/>
        <v>176.25</v>
      </c>
      <c r="L751" s="152">
        <f t="shared" si="35"/>
        <v>152.25</v>
      </c>
      <c r="M751" s="113"/>
    </row>
    <row r="752" spans="1:13" x14ac:dyDescent="0.2">
      <c r="A752" s="106">
        <v>46190</v>
      </c>
      <c r="B752" s="105" t="s">
        <v>4241</v>
      </c>
      <c r="C752" s="105" t="s">
        <v>4622</v>
      </c>
      <c r="D752" s="149" t="s">
        <v>4242</v>
      </c>
      <c r="E752" s="105">
        <v>15</v>
      </c>
      <c r="F752" s="133">
        <v>18.5</v>
      </c>
      <c r="G752" s="133">
        <v>21.5</v>
      </c>
      <c r="H752" s="109"/>
      <c r="I752" s="119">
        <v>322.5</v>
      </c>
      <c r="J752" s="119">
        <v>0</v>
      </c>
      <c r="K752" s="119">
        <f t="shared" si="34"/>
        <v>322.5</v>
      </c>
      <c r="L752" s="152">
        <f t="shared" si="35"/>
        <v>277.5</v>
      </c>
      <c r="M752" s="113"/>
    </row>
    <row r="753" spans="1:13" x14ac:dyDescent="0.2">
      <c r="A753" s="106">
        <v>46190</v>
      </c>
      <c r="B753" s="105" t="s">
        <v>4542</v>
      </c>
      <c r="C753" s="105" t="s">
        <v>4622</v>
      </c>
      <c r="D753" s="149" t="s">
        <v>4647</v>
      </c>
      <c r="E753" s="105">
        <v>3</v>
      </c>
      <c r="F753" s="133">
        <v>85.9</v>
      </c>
      <c r="G753" s="133">
        <v>99</v>
      </c>
      <c r="H753" s="109"/>
      <c r="I753" s="119">
        <v>297</v>
      </c>
      <c r="J753" s="119">
        <v>0</v>
      </c>
      <c r="K753" s="119">
        <f t="shared" si="34"/>
        <v>297</v>
      </c>
      <c r="L753" s="152">
        <f t="shared" si="35"/>
        <v>257.70000000000005</v>
      </c>
      <c r="M753" s="113"/>
    </row>
    <row r="754" spans="1:13" x14ac:dyDescent="0.2">
      <c r="A754" s="106">
        <v>46190</v>
      </c>
      <c r="B754" s="105" t="s">
        <v>4543</v>
      </c>
      <c r="C754" s="105" t="s">
        <v>4622</v>
      </c>
      <c r="D754" s="149" t="s">
        <v>4648</v>
      </c>
      <c r="E754" s="105">
        <v>3</v>
      </c>
      <c r="F754" s="133">
        <v>56.71</v>
      </c>
      <c r="G754" s="133">
        <v>65.25</v>
      </c>
      <c r="H754" s="109"/>
      <c r="I754" s="119">
        <v>195.75</v>
      </c>
      <c r="J754" s="119">
        <v>0</v>
      </c>
      <c r="K754" s="119">
        <f t="shared" si="34"/>
        <v>195.75</v>
      </c>
      <c r="L754" s="152">
        <f t="shared" si="35"/>
        <v>170.13</v>
      </c>
      <c r="M754" s="113"/>
    </row>
    <row r="755" spans="1:13" x14ac:dyDescent="0.2">
      <c r="A755" s="106">
        <v>46190</v>
      </c>
      <c r="B755" s="105" t="s">
        <v>3974</v>
      </c>
      <c r="C755" s="105" t="s">
        <v>4622</v>
      </c>
      <c r="D755" s="149" t="s">
        <v>3975</v>
      </c>
      <c r="E755" s="105">
        <v>3</v>
      </c>
      <c r="F755" s="133">
        <v>59.51</v>
      </c>
      <c r="G755" s="133">
        <v>68.5</v>
      </c>
      <c r="H755" s="109"/>
      <c r="I755" s="119">
        <v>205.5</v>
      </c>
      <c r="J755" s="119">
        <v>0</v>
      </c>
      <c r="K755" s="119">
        <f t="shared" si="34"/>
        <v>205.5</v>
      </c>
      <c r="L755" s="152">
        <f t="shared" si="35"/>
        <v>178.53</v>
      </c>
      <c r="M755" s="113"/>
    </row>
    <row r="756" spans="1:13" x14ac:dyDescent="0.2">
      <c r="A756" s="106">
        <v>46190</v>
      </c>
      <c r="B756" s="105" t="s">
        <v>4544</v>
      </c>
      <c r="C756" s="105" t="s">
        <v>4622</v>
      </c>
      <c r="D756" s="149" t="s">
        <v>4649</v>
      </c>
      <c r="E756" s="105">
        <v>1</v>
      </c>
      <c r="F756" s="133">
        <v>59.51</v>
      </c>
      <c r="G756" s="133">
        <v>68.5</v>
      </c>
      <c r="H756" s="109"/>
      <c r="I756" s="119">
        <v>68.5</v>
      </c>
      <c r="J756" s="119">
        <v>0</v>
      </c>
      <c r="K756" s="119">
        <f t="shared" si="34"/>
        <v>68.5</v>
      </c>
      <c r="L756" s="152">
        <f t="shared" si="35"/>
        <v>59.51</v>
      </c>
      <c r="M756" s="113"/>
    </row>
    <row r="757" spans="1:13" x14ac:dyDescent="0.2">
      <c r="A757" s="106">
        <v>46190</v>
      </c>
      <c r="B757" s="105" t="s">
        <v>4545</v>
      </c>
      <c r="C757" s="105" t="s">
        <v>4622</v>
      </c>
      <c r="D757" s="149" t="s">
        <v>4650</v>
      </c>
      <c r="E757" s="105">
        <v>1</v>
      </c>
      <c r="F757" s="133">
        <v>80.150000000000006</v>
      </c>
      <c r="G757" s="133">
        <v>92.25</v>
      </c>
      <c r="H757" s="109"/>
      <c r="I757" s="119">
        <v>92.25</v>
      </c>
      <c r="J757" s="119">
        <v>0</v>
      </c>
      <c r="K757" s="119">
        <f t="shared" si="34"/>
        <v>92.25</v>
      </c>
      <c r="L757" s="152">
        <f t="shared" si="35"/>
        <v>80.150000000000006</v>
      </c>
      <c r="M757" s="113"/>
    </row>
    <row r="758" spans="1:13" x14ac:dyDescent="0.2">
      <c r="A758" s="106">
        <v>46190</v>
      </c>
      <c r="B758" s="105" t="s">
        <v>2253</v>
      </c>
      <c r="C758" s="105" t="s">
        <v>4622</v>
      </c>
      <c r="D758" s="149" t="s">
        <v>2254</v>
      </c>
      <c r="E758" s="105">
        <v>2</v>
      </c>
      <c r="F758" s="133">
        <v>61.5</v>
      </c>
      <c r="G758" s="133">
        <v>70.75</v>
      </c>
      <c r="H758" s="109"/>
      <c r="I758" s="119">
        <v>141.5</v>
      </c>
      <c r="J758" s="119">
        <v>0</v>
      </c>
      <c r="K758" s="119">
        <f t="shared" si="34"/>
        <v>141.5</v>
      </c>
      <c r="L758" s="152">
        <f t="shared" si="35"/>
        <v>123</v>
      </c>
      <c r="M758" s="113"/>
    </row>
    <row r="759" spans="1:13" x14ac:dyDescent="0.2">
      <c r="A759" s="106">
        <v>46190</v>
      </c>
      <c r="B759" s="105" t="s">
        <v>2446</v>
      </c>
      <c r="C759" s="105" t="s">
        <v>4622</v>
      </c>
      <c r="D759" s="149" t="s">
        <v>2448</v>
      </c>
      <c r="E759" s="105">
        <v>5</v>
      </c>
      <c r="F759" s="133">
        <v>56.5</v>
      </c>
      <c r="G759" s="133">
        <v>63</v>
      </c>
      <c r="H759" s="109"/>
      <c r="I759" s="119">
        <v>315</v>
      </c>
      <c r="J759" s="119">
        <v>0</v>
      </c>
      <c r="K759" s="119">
        <f t="shared" si="34"/>
        <v>315</v>
      </c>
      <c r="L759" s="152">
        <f t="shared" si="35"/>
        <v>282.5</v>
      </c>
      <c r="M759" s="113"/>
    </row>
    <row r="760" spans="1:13" x14ac:dyDescent="0.2">
      <c r="A760" s="153">
        <v>46190</v>
      </c>
      <c r="B760" s="154" t="s">
        <v>1843</v>
      </c>
      <c r="C760" s="154" t="s">
        <v>4622</v>
      </c>
      <c r="D760" s="155" t="s">
        <v>1844</v>
      </c>
      <c r="E760" s="154">
        <v>5</v>
      </c>
      <c r="F760" s="236"/>
      <c r="G760" s="236">
        <v>73.25</v>
      </c>
      <c r="H760" s="237"/>
      <c r="I760" s="147">
        <v>366.25</v>
      </c>
      <c r="J760" s="147">
        <v>0</v>
      </c>
      <c r="K760" s="147">
        <f t="shared" si="34"/>
        <v>366.25</v>
      </c>
      <c r="L760" s="148">
        <f t="shared" si="35"/>
        <v>0</v>
      </c>
      <c r="M760" s="113"/>
    </row>
    <row r="761" spans="1:13" x14ac:dyDescent="0.2">
      <c r="A761" s="106">
        <v>46190</v>
      </c>
      <c r="B761" s="105" t="s">
        <v>4546</v>
      </c>
      <c r="C761" s="105" t="s">
        <v>4622</v>
      </c>
      <c r="D761" s="149" t="s">
        <v>4651</v>
      </c>
      <c r="E761" s="105">
        <v>3</v>
      </c>
      <c r="F761" s="133">
        <v>34.270000000000003</v>
      </c>
      <c r="G761" s="133">
        <v>39.5</v>
      </c>
      <c r="H761" s="109"/>
      <c r="I761" s="119">
        <v>118.5</v>
      </c>
      <c r="J761" s="119">
        <v>0</v>
      </c>
      <c r="K761" s="119">
        <f t="shared" si="34"/>
        <v>118.5</v>
      </c>
      <c r="L761" s="152">
        <f t="shared" si="35"/>
        <v>102.81</v>
      </c>
      <c r="M761" s="113"/>
    </row>
    <row r="762" spans="1:13" x14ac:dyDescent="0.2">
      <c r="A762" s="106">
        <v>46190</v>
      </c>
      <c r="B762" s="105" t="s">
        <v>4547</v>
      </c>
      <c r="C762" s="105" t="s">
        <v>4622</v>
      </c>
      <c r="D762" s="149" t="s">
        <v>4652</v>
      </c>
      <c r="E762" s="105">
        <v>2</v>
      </c>
      <c r="F762" s="133">
        <v>34.270000000000003</v>
      </c>
      <c r="G762" s="133">
        <v>39.5</v>
      </c>
      <c r="H762" s="109"/>
      <c r="I762" s="119">
        <v>79</v>
      </c>
      <c r="J762" s="119">
        <v>0</v>
      </c>
      <c r="K762" s="119">
        <f t="shared" si="34"/>
        <v>79</v>
      </c>
      <c r="L762" s="152">
        <f t="shared" si="35"/>
        <v>68.540000000000006</v>
      </c>
      <c r="M762" s="113"/>
    </row>
    <row r="763" spans="1:13" x14ac:dyDescent="0.2">
      <c r="A763" s="106">
        <v>46190</v>
      </c>
      <c r="B763" s="105" t="s">
        <v>4548</v>
      </c>
      <c r="C763" s="105" t="s">
        <v>4622</v>
      </c>
      <c r="D763" s="149" t="s">
        <v>4653</v>
      </c>
      <c r="E763" s="105">
        <v>1</v>
      </c>
      <c r="F763" s="133">
        <v>34.270000000000003</v>
      </c>
      <c r="G763" s="133">
        <v>39.5</v>
      </c>
      <c r="H763" s="109"/>
      <c r="I763" s="119">
        <v>39.5</v>
      </c>
      <c r="J763" s="119">
        <v>0</v>
      </c>
      <c r="K763" s="119">
        <f t="shared" si="34"/>
        <v>39.5</v>
      </c>
      <c r="L763" s="152">
        <f t="shared" si="35"/>
        <v>34.270000000000003</v>
      </c>
      <c r="M763" s="113"/>
    </row>
    <row r="764" spans="1:13" x14ac:dyDescent="0.2">
      <c r="A764" s="106">
        <v>46190</v>
      </c>
      <c r="B764" s="105" t="s">
        <v>4203</v>
      </c>
      <c r="C764" s="105" t="s">
        <v>4622</v>
      </c>
      <c r="D764" s="149" t="s">
        <v>4204</v>
      </c>
      <c r="E764" s="105">
        <v>3</v>
      </c>
      <c r="F764" s="133">
        <v>36.11</v>
      </c>
      <c r="G764" s="133">
        <v>41.75</v>
      </c>
      <c r="H764" s="109"/>
      <c r="I764" s="119">
        <v>125.25</v>
      </c>
      <c r="J764" s="119">
        <v>0</v>
      </c>
      <c r="K764" s="119">
        <f t="shared" si="34"/>
        <v>125.25</v>
      </c>
      <c r="L764" s="152">
        <f t="shared" si="35"/>
        <v>108.33</v>
      </c>
      <c r="M764" s="113"/>
    </row>
    <row r="765" spans="1:13" x14ac:dyDescent="0.2">
      <c r="A765" s="106">
        <v>46190</v>
      </c>
      <c r="B765" s="105" t="s">
        <v>4549</v>
      </c>
      <c r="C765" s="105" t="s">
        <v>4622</v>
      </c>
      <c r="D765" s="149" t="s">
        <v>4654</v>
      </c>
      <c r="E765" s="105">
        <v>3</v>
      </c>
      <c r="F765" s="133">
        <v>38</v>
      </c>
      <c r="G765" s="133">
        <v>43.75</v>
      </c>
      <c r="H765" s="109"/>
      <c r="I765" s="119">
        <v>131.25</v>
      </c>
      <c r="J765" s="119">
        <v>0</v>
      </c>
      <c r="K765" s="119">
        <f t="shared" si="34"/>
        <v>131.25</v>
      </c>
      <c r="L765" s="152">
        <f t="shared" si="35"/>
        <v>114</v>
      </c>
      <c r="M765" s="113"/>
    </row>
    <row r="766" spans="1:13" x14ac:dyDescent="0.2">
      <c r="A766" s="106">
        <v>46190</v>
      </c>
      <c r="B766" s="105" t="s">
        <v>2068</v>
      </c>
      <c r="C766" s="105" t="s">
        <v>4622</v>
      </c>
      <c r="D766" s="149" t="s">
        <v>2069</v>
      </c>
      <c r="E766" s="105">
        <v>2</v>
      </c>
      <c r="F766" s="133">
        <v>38</v>
      </c>
      <c r="G766" s="133">
        <v>43.75</v>
      </c>
      <c r="H766" s="109"/>
      <c r="I766" s="119">
        <v>87.5</v>
      </c>
      <c r="J766" s="119">
        <v>0</v>
      </c>
      <c r="K766" s="119">
        <f t="shared" si="34"/>
        <v>87.5</v>
      </c>
      <c r="L766" s="152">
        <f t="shared" si="35"/>
        <v>76</v>
      </c>
      <c r="M766" s="113"/>
    </row>
    <row r="767" spans="1:13" x14ac:dyDescent="0.2">
      <c r="A767" s="106">
        <v>46190</v>
      </c>
      <c r="B767" s="105" t="s">
        <v>4550</v>
      </c>
      <c r="C767" s="105" t="s">
        <v>4622</v>
      </c>
      <c r="D767" s="149" t="s">
        <v>4655</v>
      </c>
      <c r="E767" s="105">
        <v>2</v>
      </c>
      <c r="F767" s="133">
        <v>38</v>
      </c>
      <c r="G767" s="133">
        <v>43.75</v>
      </c>
      <c r="H767" s="109"/>
      <c r="I767" s="119">
        <v>87.5</v>
      </c>
      <c r="J767" s="119">
        <v>0</v>
      </c>
      <c r="K767" s="119">
        <f t="shared" si="34"/>
        <v>87.5</v>
      </c>
      <c r="L767" s="152">
        <f t="shared" si="35"/>
        <v>76</v>
      </c>
      <c r="M767" s="113"/>
    </row>
    <row r="768" spans="1:13" x14ac:dyDescent="0.2">
      <c r="A768" s="106">
        <v>46190</v>
      </c>
      <c r="B768" s="105" t="s">
        <v>4551</v>
      </c>
      <c r="C768" s="105" t="s">
        <v>4622</v>
      </c>
      <c r="D768" s="149" t="s">
        <v>4656</v>
      </c>
      <c r="E768" s="105">
        <v>1</v>
      </c>
      <c r="F768" s="133">
        <v>58.14</v>
      </c>
      <c r="G768" s="133">
        <v>67</v>
      </c>
      <c r="H768" s="109"/>
      <c r="I768" s="119">
        <v>67</v>
      </c>
      <c r="J768" s="119">
        <v>0</v>
      </c>
      <c r="K768" s="119">
        <f t="shared" si="34"/>
        <v>67</v>
      </c>
      <c r="L768" s="152">
        <f t="shared" si="35"/>
        <v>58.14</v>
      </c>
      <c r="M768" s="113"/>
    </row>
    <row r="769" spans="1:13" x14ac:dyDescent="0.2">
      <c r="A769" s="106">
        <v>46190</v>
      </c>
      <c r="B769" s="105" t="s">
        <v>4552</v>
      </c>
      <c r="C769" s="105" t="s">
        <v>4622</v>
      </c>
      <c r="D769" s="149" t="s">
        <v>4657</v>
      </c>
      <c r="E769" s="105">
        <v>2</v>
      </c>
      <c r="F769" s="133">
        <v>34.270000000000003</v>
      </c>
      <c r="G769" s="133">
        <v>39.5</v>
      </c>
      <c r="H769" s="109"/>
      <c r="I769" s="119">
        <v>79</v>
      </c>
      <c r="J769" s="119">
        <v>0</v>
      </c>
      <c r="K769" s="119">
        <f t="shared" si="34"/>
        <v>79</v>
      </c>
      <c r="L769" s="152">
        <f t="shared" si="35"/>
        <v>68.540000000000006</v>
      </c>
      <c r="M769" s="113"/>
    </row>
    <row r="770" spans="1:13" x14ac:dyDescent="0.2">
      <c r="A770" s="106">
        <v>46190</v>
      </c>
      <c r="B770" s="105" t="s">
        <v>2363</v>
      </c>
      <c r="C770" s="105" t="s">
        <v>4622</v>
      </c>
      <c r="D770" s="149" t="s">
        <v>2365</v>
      </c>
      <c r="E770" s="105">
        <v>61</v>
      </c>
      <c r="F770" s="133">
        <v>12.66</v>
      </c>
      <c r="G770" s="133">
        <v>14.25</v>
      </c>
      <c r="H770" s="109"/>
      <c r="I770" s="119">
        <v>869.25</v>
      </c>
      <c r="J770" s="119">
        <v>0</v>
      </c>
      <c r="K770" s="119">
        <f t="shared" si="34"/>
        <v>869.25</v>
      </c>
      <c r="L770" s="152">
        <f t="shared" si="35"/>
        <v>772.26</v>
      </c>
      <c r="M770" s="113"/>
    </row>
    <row r="771" spans="1:13" x14ac:dyDescent="0.2">
      <c r="A771" s="106">
        <v>46190</v>
      </c>
      <c r="B771" s="105" t="s">
        <v>1915</v>
      </c>
      <c r="C771" s="105" t="s">
        <v>4622</v>
      </c>
      <c r="D771" s="149" t="s">
        <v>1917</v>
      </c>
      <c r="E771" s="105">
        <v>28</v>
      </c>
      <c r="F771" s="133">
        <v>7.85</v>
      </c>
      <c r="G771" s="133">
        <v>12</v>
      </c>
      <c r="H771" s="109"/>
      <c r="I771" s="119">
        <v>336</v>
      </c>
      <c r="J771" s="119">
        <v>0</v>
      </c>
      <c r="K771" s="119">
        <f t="shared" si="34"/>
        <v>336</v>
      </c>
      <c r="L771" s="152">
        <f t="shared" si="35"/>
        <v>219.79999999999998</v>
      </c>
      <c r="M771" s="113"/>
    </row>
    <row r="772" spans="1:13" x14ac:dyDescent="0.2">
      <c r="A772" s="106">
        <v>46190</v>
      </c>
      <c r="B772" s="105" t="s">
        <v>3993</v>
      </c>
      <c r="C772" s="105" t="s">
        <v>4622</v>
      </c>
      <c r="D772" s="149" t="s">
        <v>3995</v>
      </c>
      <c r="E772" s="105">
        <v>10</v>
      </c>
      <c r="F772" s="133">
        <v>17.649999999999999</v>
      </c>
      <c r="G772" s="133">
        <v>18.75</v>
      </c>
      <c r="H772" s="109"/>
      <c r="I772" s="119">
        <v>187.5</v>
      </c>
      <c r="J772" s="119">
        <v>0</v>
      </c>
      <c r="K772" s="119">
        <f t="shared" si="34"/>
        <v>187.5</v>
      </c>
      <c r="L772" s="152">
        <f t="shared" si="35"/>
        <v>176.5</v>
      </c>
      <c r="M772" s="113"/>
    </row>
    <row r="773" spans="1:13" x14ac:dyDescent="0.2">
      <c r="A773" s="106">
        <v>46190</v>
      </c>
      <c r="B773" s="105" t="s">
        <v>3143</v>
      </c>
      <c r="C773" s="105" t="s">
        <v>4622</v>
      </c>
      <c r="D773" s="149" t="s">
        <v>3145</v>
      </c>
      <c r="E773" s="105">
        <v>10</v>
      </c>
      <c r="F773" s="133">
        <v>17.649999999999999</v>
      </c>
      <c r="G773" s="133">
        <v>18.75</v>
      </c>
      <c r="H773" s="109"/>
      <c r="I773" s="119">
        <v>187.5</v>
      </c>
      <c r="J773" s="119">
        <v>0</v>
      </c>
      <c r="K773" s="119">
        <f t="shared" si="34"/>
        <v>187.5</v>
      </c>
      <c r="L773" s="152">
        <f t="shared" si="35"/>
        <v>176.5</v>
      </c>
      <c r="M773" s="113"/>
    </row>
    <row r="774" spans="1:13" x14ac:dyDescent="0.2">
      <c r="A774" s="106">
        <v>46190</v>
      </c>
      <c r="B774" s="105" t="s">
        <v>4076</v>
      </c>
      <c r="C774" s="105" t="s">
        <v>4622</v>
      </c>
      <c r="D774" s="149" t="s">
        <v>4078</v>
      </c>
      <c r="E774" s="105">
        <v>25</v>
      </c>
      <c r="F774" s="133">
        <v>8.75</v>
      </c>
      <c r="G774" s="133">
        <v>10.25</v>
      </c>
      <c r="H774" s="109"/>
      <c r="I774" s="119">
        <v>256.25</v>
      </c>
      <c r="J774" s="119">
        <v>0</v>
      </c>
      <c r="K774" s="119">
        <f t="shared" si="34"/>
        <v>256.25</v>
      </c>
      <c r="L774" s="152">
        <f t="shared" si="35"/>
        <v>218.75</v>
      </c>
      <c r="M774" s="113"/>
    </row>
    <row r="775" spans="1:13" x14ac:dyDescent="0.2">
      <c r="A775" s="106">
        <v>46190</v>
      </c>
      <c r="B775" s="105" t="s">
        <v>4553</v>
      </c>
      <c r="C775" s="105" t="s">
        <v>4622</v>
      </c>
      <c r="D775" s="149" t="s">
        <v>4658</v>
      </c>
      <c r="E775" s="105">
        <v>10</v>
      </c>
      <c r="F775" s="133">
        <v>22.68</v>
      </c>
      <c r="G775" s="133">
        <v>26.25</v>
      </c>
      <c r="H775" s="109"/>
      <c r="I775" s="119">
        <v>262.5</v>
      </c>
      <c r="J775" s="119">
        <v>0</v>
      </c>
      <c r="K775" s="119">
        <f t="shared" ref="K775:K839" si="36">H775+I775-J775</f>
        <v>262.5</v>
      </c>
      <c r="L775" s="152">
        <f t="shared" ref="L775:L839" si="37">E775*F775</f>
        <v>226.8</v>
      </c>
      <c r="M775" s="113"/>
    </row>
    <row r="776" spans="1:13" x14ac:dyDescent="0.2">
      <c r="A776" s="106">
        <v>46190</v>
      </c>
      <c r="B776" s="105" t="s">
        <v>4554</v>
      </c>
      <c r="C776" s="105" t="s">
        <v>4622</v>
      </c>
      <c r="D776" s="149" t="s">
        <v>4659</v>
      </c>
      <c r="E776" s="105">
        <v>6</v>
      </c>
      <c r="F776" s="133">
        <v>37.950000000000003</v>
      </c>
      <c r="G776" s="133">
        <v>43.75</v>
      </c>
      <c r="H776" s="109"/>
      <c r="I776" s="119">
        <v>262.5</v>
      </c>
      <c r="J776" s="119">
        <v>0</v>
      </c>
      <c r="K776" s="119">
        <f t="shared" si="36"/>
        <v>262.5</v>
      </c>
      <c r="L776" s="152">
        <f t="shared" si="37"/>
        <v>227.70000000000002</v>
      </c>
      <c r="M776" s="113"/>
    </row>
    <row r="777" spans="1:13" x14ac:dyDescent="0.2">
      <c r="A777" s="106">
        <v>46190</v>
      </c>
      <c r="B777" s="105" t="s">
        <v>4555</v>
      </c>
      <c r="C777" s="105" t="s">
        <v>4622</v>
      </c>
      <c r="D777" s="149" t="s">
        <v>4660</v>
      </c>
      <c r="E777" s="105">
        <v>6</v>
      </c>
      <c r="F777" s="133">
        <v>37.950000000000003</v>
      </c>
      <c r="G777" s="133">
        <v>43.75</v>
      </c>
      <c r="H777" s="109"/>
      <c r="I777" s="119">
        <v>262.5</v>
      </c>
      <c r="J777" s="119">
        <v>0</v>
      </c>
      <c r="K777" s="119">
        <f t="shared" si="36"/>
        <v>262.5</v>
      </c>
      <c r="L777" s="152">
        <f t="shared" si="37"/>
        <v>227.70000000000002</v>
      </c>
      <c r="M777" s="113"/>
    </row>
    <row r="778" spans="1:13" x14ac:dyDescent="0.2">
      <c r="A778" s="106">
        <v>46190</v>
      </c>
      <c r="B778" s="105" t="s">
        <v>2760</v>
      </c>
      <c r="C778" s="105" t="s">
        <v>4622</v>
      </c>
      <c r="D778" s="149" t="s">
        <v>2761</v>
      </c>
      <c r="E778" s="105">
        <v>15</v>
      </c>
      <c r="F778" s="133">
        <v>18.5</v>
      </c>
      <c r="G778" s="133">
        <v>21.5</v>
      </c>
      <c r="H778" s="109"/>
      <c r="I778" s="119">
        <v>322.5</v>
      </c>
      <c r="J778" s="119">
        <v>0</v>
      </c>
      <c r="K778" s="119">
        <f t="shared" si="36"/>
        <v>322.5</v>
      </c>
      <c r="L778" s="152">
        <f t="shared" si="37"/>
        <v>277.5</v>
      </c>
      <c r="M778" s="113"/>
    </row>
    <row r="779" spans="1:13" x14ac:dyDescent="0.2">
      <c r="A779" s="106">
        <v>46190</v>
      </c>
      <c r="B779" s="105" t="s">
        <v>4556</v>
      </c>
      <c r="C779" s="105" t="s">
        <v>4622</v>
      </c>
      <c r="D779" s="149" t="s">
        <v>4661</v>
      </c>
      <c r="E779" s="105">
        <v>4</v>
      </c>
      <c r="F779" s="133">
        <v>35.549999999999997</v>
      </c>
      <c r="G779" s="133">
        <v>41</v>
      </c>
      <c r="H779" s="109"/>
      <c r="I779" s="119">
        <v>164</v>
      </c>
      <c r="J779" s="119">
        <v>0</v>
      </c>
      <c r="K779" s="119">
        <f t="shared" si="36"/>
        <v>164</v>
      </c>
      <c r="L779" s="152">
        <f t="shared" si="37"/>
        <v>142.19999999999999</v>
      </c>
      <c r="M779" s="113"/>
    </row>
    <row r="780" spans="1:13" x14ac:dyDescent="0.2">
      <c r="A780" s="106">
        <v>46190</v>
      </c>
      <c r="B780" s="105" t="s">
        <v>4557</v>
      </c>
      <c r="C780" s="105" t="s">
        <v>4622</v>
      </c>
      <c r="D780" s="149" t="s">
        <v>4662</v>
      </c>
      <c r="E780" s="105">
        <v>10</v>
      </c>
      <c r="F780" s="133">
        <v>32.840000000000003</v>
      </c>
      <c r="G780" s="133">
        <v>38</v>
      </c>
      <c r="H780" s="109"/>
      <c r="I780" s="119">
        <v>380</v>
      </c>
      <c r="J780" s="119">
        <v>0</v>
      </c>
      <c r="K780" s="119">
        <f t="shared" si="36"/>
        <v>380</v>
      </c>
      <c r="L780" s="152">
        <f t="shared" si="37"/>
        <v>328.40000000000003</v>
      </c>
      <c r="M780" s="113"/>
    </row>
    <row r="781" spans="1:13" x14ac:dyDescent="0.2">
      <c r="A781" s="106">
        <v>46190</v>
      </c>
      <c r="B781" s="105" t="s">
        <v>3443</v>
      </c>
      <c r="C781" s="105" t="s">
        <v>4622</v>
      </c>
      <c r="D781" s="149" t="s">
        <v>3444</v>
      </c>
      <c r="E781" s="105">
        <v>2</v>
      </c>
      <c r="F781" s="133">
        <v>89.91</v>
      </c>
      <c r="G781" s="133">
        <v>103.5</v>
      </c>
      <c r="H781" s="109"/>
      <c r="I781" s="119">
        <v>207</v>
      </c>
      <c r="J781" s="119">
        <v>0</v>
      </c>
      <c r="K781" s="119">
        <f t="shared" si="36"/>
        <v>207</v>
      </c>
      <c r="L781" s="152">
        <f t="shared" si="37"/>
        <v>179.82</v>
      </c>
      <c r="M781" s="113"/>
    </row>
    <row r="782" spans="1:13" x14ac:dyDescent="0.2">
      <c r="A782" s="106">
        <v>46190</v>
      </c>
      <c r="B782" s="105" t="s">
        <v>4558</v>
      </c>
      <c r="C782" s="105" t="s">
        <v>4622</v>
      </c>
      <c r="D782" s="149" t="s">
        <v>4663</v>
      </c>
      <c r="E782" s="105">
        <v>20</v>
      </c>
      <c r="F782" s="133">
        <v>12.39</v>
      </c>
      <c r="G782" s="133">
        <v>14.25</v>
      </c>
      <c r="H782" s="109"/>
      <c r="I782" s="119">
        <v>285</v>
      </c>
      <c r="J782" s="119">
        <v>0</v>
      </c>
      <c r="K782" s="119">
        <f t="shared" si="36"/>
        <v>285</v>
      </c>
      <c r="L782" s="152">
        <f t="shared" si="37"/>
        <v>247.8</v>
      </c>
      <c r="M782" s="113"/>
    </row>
    <row r="783" spans="1:13" x14ac:dyDescent="0.2">
      <c r="A783" s="106">
        <v>46190</v>
      </c>
      <c r="B783" s="105" t="s">
        <v>3641</v>
      </c>
      <c r="C783" s="105" t="s">
        <v>4622</v>
      </c>
      <c r="D783" s="149" t="s">
        <v>3642</v>
      </c>
      <c r="E783" s="105">
        <v>6</v>
      </c>
      <c r="F783" s="133">
        <v>12.39</v>
      </c>
      <c r="G783" s="133">
        <v>14.5</v>
      </c>
      <c r="H783" s="109"/>
      <c r="I783" s="119">
        <v>87</v>
      </c>
      <c r="J783" s="119">
        <v>0</v>
      </c>
      <c r="K783" s="119">
        <f t="shared" si="36"/>
        <v>87</v>
      </c>
      <c r="L783" s="152">
        <f t="shared" si="37"/>
        <v>74.34</v>
      </c>
      <c r="M783" s="113"/>
    </row>
    <row r="784" spans="1:13" x14ac:dyDescent="0.2">
      <c r="A784" s="106">
        <v>46190</v>
      </c>
      <c r="B784" s="105" t="s">
        <v>2274</v>
      </c>
      <c r="C784" s="105" t="s">
        <v>4622</v>
      </c>
      <c r="D784" s="149" t="s">
        <v>2276</v>
      </c>
      <c r="E784" s="105">
        <v>6</v>
      </c>
      <c r="F784" s="133">
        <v>12.39</v>
      </c>
      <c r="G784" s="133">
        <v>14.5</v>
      </c>
      <c r="H784" s="109"/>
      <c r="I784" s="119">
        <v>87</v>
      </c>
      <c r="J784" s="119">
        <v>0</v>
      </c>
      <c r="K784" s="119">
        <f t="shared" si="36"/>
        <v>87</v>
      </c>
      <c r="L784" s="152">
        <f t="shared" si="37"/>
        <v>74.34</v>
      </c>
      <c r="M784" s="113"/>
    </row>
    <row r="785" spans="1:13" x14ac:dyDescent="0.2">
      <c r="A785" s="106">
        <v>46190</v>
      </c>
      <c r="B785" s="105" t="s">
        <v>3753</v>
      </c>
      <c r="C785" s="105" t="s">
        <v>4622</v>
      </c>
      <c r="D785" s="149" t="s">
        <v>3755</v>
      </c>
      <c r="E785" s="105">
        <v>24</v>
      </c>
      <c r="F785" s="133">
        <v>18.98</v>
      </c>
      <c r="G785" s="133">
        <v>22</v>
      </c>
      <c r="H785" s="109"/>
      <c r="I785" s="119">
        <v>528</v>
      </c>
      <c r="J785" s="119">
        <v>0</v>
      </c>
      <c r="K785" s="119">
        <f t="shared" si="36"/>
        <v>528</v>
      </c>
      <c r="L785" s="152">
        <f t="shared" si="37"/>
        <v>455.52</v>
      </c>
      <c r="M785" s="113"/>
    </row>
    <row r="786" spans="1:13" x14ac:dyDescent="0.2">
      <c r="A786" s="106">
        <v>46190</v>
      </c>
      <c r="B786" s="105" t="s">
        <v>4559</v>
      </c>
      <c r="C786" s="105" t="s">
        <v>4622</v>
      </c>
      <c r="D786" s="149" t="s">
        <v>4664</v>
      </c>
      <c r="E786" s="105">
        <v>12</v>
      </c>
      <c r="F786" s="133">
        <v>86.29</v>
      </c>
      <c r="G786" s="133">
        <v>99.25</v>
      </c>
      <c r="H786" s="109"/>
      <c r="I786" s="119">
        <v>1191</v>
      </c>
      <c r="J786" s="119">
        <v>0</v>
      </c>
      <c r="K786" s="119">
        <f t="shared" si="36"/>
        <v>1191</v>
      </c>
      <c r="L786" s="152">
        <f t="shared" si="37"/>
        <v>1035.48</v>
      </c>
      <c r="M786" s="113"/>
    </row>
    <row r="787" spans="1:13" x14ac:dyDescent="0.2">
      <c r="A787" s="106">
        <v>46190</v>
      </c>
      <c r="B787" s="105" t="s">
        <v>2371</v>
      </c>
      <c r="C787" s="105" t="s">
        <v>4622</v>
      </c>
      <c r="D787" s="149" t="s">
        <v>2372</v>
      </c>
      <c r="E787" s="105">
        <v>6</v>
      </c>
      <c r="F787" s="133">
        <v>39.880000000000003</v>
      </c>
      <c r="G787" s="133">
        <v>46</v>
      </c>
      <c r="H787" s="109"/>
      <c r="I787" s="119">
        <v>276</v>
      </c>
      <c r="J787" s="119">
        <v>0</v>
      </c>
      <c r="K787" s="119">
        <f t="shared" si="36"/>
        <v>276</v>
      </c>
      <c r="L787" s="152">
        <f t="shared" si="37"/>
        <v>239.28000000000003</v>
      </c>
      <c r="M787" s="113"/>
    </row>
    <row r="788" spans="1:13" x14ac:dyDescent="0.2">
      <c r="A788" s="106">
        <v>46190</v>
      </c>
      <c r="B788" s="105" t="s">
        <v>2794</v>
      </c>
      <c r="C788" s="105" t="s">
        <v>4622</v>
      </c>
      <c r="D788" s="149" t="s">
        <v>2795</v>
      </c>
      <c r="E788" s="105">
        <v>15</v>
      </c>
      <c r="F788" s="133">
        <v>23.15</v>
      </c>
      <c r="G788" s="133">
        <v>27</v>
      </c>
      <c r="H788" s="109"/>
      <c r="I788" s="119">
        <v>405</v>
      </c>
      <c r="J788" s="119">
        <v>0</v>
      </c>
      <c r="K788" s="119">
        <f t="shared" si="36"/>
        <v>405</v>
      </c>
      <c r="L788" s="152">
        <f t="shared" si="37"/>
        <v>347.25</v>
      </c>
      <c r="M788" s="113"/>
    </row>
    <row r="789" spans="1:13" x14ac:dyDescent="0.2">
      <c r="A789" s="106">
        <v>46190</v>
      </c>
      <c r="B789" s="105" t="s">
        <v>4560</v>
      </c>
      <c r="C789" s="105" t="s">
        <v>4622</v>
      </c>
      <c r="D789" s="149" t="s">
        <v>4665</v>
      </c>
      <c r="E789" s="105">
        <v>20</v>
      </c>
      <c r="F789" s="133">
        <v>15.2</v>
      </c>
      <c r="G789" s="133">
        <v>17.5</v>
      </c>
      <c r="H789" s="109"/>
      <c r="I789" s="119">
        <v>350</v>
      </c>
      <c r="J789" s="119">
        <v>0</v>
      </c>
      <c r="K789" s="119">
        <f t="shared" si="36"/>
        <v>350</v>
      </c>
      <c r="L789" s="152">
        <f t="shared" si="37"/>
        <v>304</v>
      </c>
      <c r="M789" s="113"/>
    </row>
    <row r="790" spans="1:13" x14ac:dyDescent="0.2">
      <c r="A790" s="106">
        <v>46190</v>
      </c>
      <c r="B790" s="105" t="s">
        <v>2947</v>
      </c>
      <c r="C790" s="105" t="s">
        <v>4622</v>
      </c>
      <c r="D790" s="149" t="s">
        <v>2948</v>
      </c>
      <c r="E790" s="105">
        <v>6</v>
      </c>
      <c r="F790" s="133">
        <v>65.989999999999995</v>
      </c>
      <c r="G790" s="133">
        <v>76.75</v>
      </c>
      <c r="H790" s="109"/>
      <c r="I790" s="119">
        <v>460.5</v>
      </c>
      <c r="J790" s="119">
        <v>0</v>
      </c>
      <c r="K790" s="119">
        <f t="shared" si="36"/>
        <v>460.5</v>
      </c>
      <c r="L790" s="152">
        <f t="shared" si="37"/>
        <v>395.93999999999994</v>
      </c>
      <c r="M790" s="113"/>
    </row>
    <row r="791" spans="1:13" x14ac:dyDescent="0.2">
      <c r="A791" s="106">
        <v>46190</v>
      </c>
      <c r="B791" s="105" t="s">
        <v>4561</v>
      </c>
      <c r="C791" s="105" t="s">
        <v>4622</v>
      </c>
      <c r="D791" s="149" t="s">
        <v>4666</v>
      </c>
      <c r="E791" s="105">
        <v>10</v>
      </c>
      <c r="F791" s="133">
        <v>37.64</v>
      </c>
      <c r="G791" s="133">
        <v>43.75</v>
      </c>
      <c r="H791" s="109"/>
      <c r="I791" s="119">
        <v>437.5</v>
      </c>
      <c r="J791" s="119">
        <v>0</v>
      </c>
      <c r="K791" s="119">
        <f t="shared" si="36"/>
        <v>437.5</v>
      </c>
      <c r="L791" s="152">
        <f t="shared" si="37"/>
        <v>376.4</v>
      </c>
      <c r="M791" s="113"/>
    </row>
    <row r="792" spans="1:13" x14ac:dyDescent="0.2">
      <c r="A792" s="106">
        <v>46190</v>
      </c>
      <c r="B792" s="105" t="s">
        <v>4562</v>
      </c>
      <c r="C792" s="105" t="s">
        <v>4622</v>
      </c>
      <c r="D792" s="149" t="s">
        <v>4667</v>
      </c>
      <c r="E792" s="105">
        <v>15</v>
      </c>
      <c r="F792" s="133">
        <v>9.0299999999999994</v>
      </c>
      <c r="G792" s="133">
        <v>10.38</v>
      </c>
      <c r="H792" s="109"/>
      <c r="I792" s="119">
        <v>155.70000000000002</v>
      </c>
      <c r="J792" s="119">
        <v>0</v>
      </c>
      <c r="K792" s="119">
        <f t="shared" si="36"/>
        <v>155.70000000000002</v>
      </c>
      <c r="L792" s="152">
        <f t="shared" si="37"/>
        <v>135.44999999999999</v>
      </c>
      <c r="M792" s="113"/>
    </row>
    <row r="793" spans="1:13" x14ac:dyDescent="0.2">
      <c r="A793" s="106">
        <v>46190</v>
      </c>
      <c r="B793" s="105" t="s">
        <v>2550</v>
      </c>
      <c r="C793" s="105" t="s">
        <v>4622</v>
      </c>
      <c r="D793" s="149" t="s">
        <v>2552</v>
      </c>
      <c r="E793" s="105">
        <v>107</v>
      </c>
      <c r="F793" s="133">
        <v>6.38</v>
      </c>
      <c r="G793" s="133">
        <v>7.5</v>
      </c>
      <c r="H793" s="109"/>
      <c r="I793" s="119">
        <v>802.5</v>
      </c>
      <c r="J793" s="119">
        <v>0</v>
      </c>
      <c r="K793" s="119">
        <f t="shared" si="36"/>
        <v>802.5</v>
      </c>
      <c r="L793" s="152">
        <f t="shared" si="37"/>
        <v>682.66</v>
      </c>
      <c r="M793" s="113"/>
    </row>
    <row r="794" spans="1:13" x14ac:dyDescent="0.2">
      <c r="A794" s="106">
        <v>46190</v>
      </c>
      <c r="B794" s="105" t="s">
        <v>2367</v>
      </c>
      <c r="C794" s="105" t="s">
        <v>4622</v>
      </c>
      <c r="D794" s="149" t="s">
        <v>2369</v>
      </c>
      <c r="E794" s="105">
        <v>30</v>
      </c>
      <c r="F794" s="133">
        <v>6.38</v>
      </c>
      <c r="G794" s="133">
        <v>7.5</v>
      </c>
      <c r="H794" s="109"/>
      <c r="I794" s="119">
        <v>225</v>
      </c>
      <c r="J794" s="119">
        <v>0</v>
      </c>
      <c r="K794" s="119">
        <f t="shared" si="36"/>
        <v>225</v>
      </c>
      <c r="L794" s="152">
        <f t="shared" si="37"/>
        <v>191.4</v>
      </c>
      <c r="M794" s="113"/>
    </row>
    <row r="795" spans="1:13" x14ac:dyDescent="0.2">
      <c r="A795" s="106">
        <v>46190</v>
      </c>
      <c r="B795" s="105" t="s">
        <v>3917</v>
      </c>
      <c r="C795" s="105" t="s">
        <v>4622</v>
      </c>
      <c r="D795" s="149" t="s">
        <v>3919</v>
      </c>
      <c r="E795" s="105">
        <v>102</v>
      </c>
      <c r="F795" s="133">
        <v>6.37</v>
      </c>
      <c r="G795" s="133">
        <v>7.5</v>
      </c>
      <c r="H795" s="109"/>
      <c r="I795" s="119">
        <v>765</v>
      </c>
      <c r="J795" s="119">
        <v>0</v>
      </c>
      <c r="K795" s="119">
        <f t="shared" si="36"/>
        <v>765</v>
      </c>
      <c r="L795" s="152">
        <f t="shared" si="37"/>
        <v>649.74</v>
      </c>
      <c r="M795" s="113"/>
    </row>
    <row r="796" spans="1:13" x14ac:dyDescent="0.2">
      <c r="A796" s="106">
        <v>46190</v>
      </c>
      <c r="B796" s="105" t="s">
        <v>3848</v>
      </c>
      <c r="C796" s="105" t="s">
        <v>4622</v>
      </c>
      <c r="D796" s="149" t="s">
        <v>3849</v>
      </c>
      <c r="E796" s="105">
        <v>30</v>
      </c>
      <c r="F796" s="133">
        <v>6.37</v>
      </c>
      <c r="G796" s="133">
        <v>7.5</v>
      </c>
      <c r="H796" s="109"/>
      <c r="I796" s="119">
        <v>225</v>
      </c>
      <c r="J796" s="119">
        <v>0</v>
      </c>
      <c r="K796" s="119">
        <f t="shared" si="36"/>
        <v>225</v>
      </c>
      <c r="L796" s="152">
        <f t="shared" si="37"/>
        <v>191.1</v>
      </c>
      <c r="M796" s="113"/>
    </row>
    <row r="797" spans="1:13" x14ac:dyDescent="0.2">
      <c r="A797" s="106">
        <v>46190</v>
      </c>
      <c r="B797" s="105" t="s">
        <v>2079</v>
      </c>
      <c r="C797" s="105" t="s">
        <v>4622</v>
      </c>
      <c r="D797" s="149" t="s">
        <v>2081</v>
      </c>
      <c r="E797" s="105">
        <v>30</v>
      </c>
      <c r="F797" s="133">
        <v>14.43</v>
      </c>
      <c r="G797" s="133">
        <v>16.75</v>
      </c>
      <c r="H797" s="109"/>
      <c r="I797" s="119">
        <v>502.5</v>
      </c>
      <c r="J797" s="119">
        <v>0</v>
      </c>
      <c r="K797" s="119">
        <f t="shared" si="36"/>
        <v>502.5</v>
      </c>
      <c r="L797" s="152">
        <f t="shared" si="37"/>
        <v>432.9</v>
      </c>
      <c r="M797" s="113"/>
    </row>
    <row r="798" spans="1:13" x14ac:dyDescent="0.2">
      <c r="A798" s="106">
        <v>46190</v>
      </c>
      <c r="B798" s="105" t="s">
        <v>2636</v>
      </c>
      <c r="C798" s="105" t="s">
        <v>4622</v>
      </c>
      <c r="D798" s="149" t="s">
        <v>2637</v>
      </c>
      <c r="E798" s="105">
        <v>30</v>
      </c>
      <c r="F798" s="133">
        <v>14.42</v>
      </c>
      <c r="G798" s="133">
        <v>16.75</v>
      </c>
      <c r="H798" s="109"/>
      <c r="I798" s="119">
        <v>502.5</v>
      </c>
      <c r="J798" s="119">
        <v>0</v>
      </c>
      <c r="K798" s="119">
        <f t="shared" si="36"/>
        <v>502.5</v>
      </c>
      <c r="L798" s="152">
        <f t="shared" si="37"/>
        <v>432.6</v>
      </c>
      <c r="M798" s="113"/>
    </row>
    <row r="799" spans="1:13" x14ac:dyDescent="0.2">
      <c r="A799" s="106">
        <v>46190</v>
      </c>
      <c r="B799" s="105" t="s">
        <v>3583</v>
      </c>
      <c r="C799" s="105" t="s">
        <v>4622</v>
      </c>
      <c r="D799" s="149" t="s">
        <v>3585</v>
      </c>
      <c r="E799" s="105">
        <v>10</v>
      </c>
      <c r="F799" s="133">
        <v>11.32</v>
      </c>
      <c r="G799" s="133">
        <v>13.25</v>
      </c>
      <c r="H799" s="109"/>
      <c r="I799" s="119">
        <v>132.5</v>
      </c>
      <c r="J799" s="119">
        <v>0</v>
      </c>
      <c r="K799" s="119">
        <f t="shared" si="36"/>
        <v>132.5</v>
      </c>
      <c r="L799" s="152">
        <f t="shared" si="37"/>
        <v>113.2</v>
      </c>
      <c r="M799" s="113"/>
    </row>
    <row r="800" spans="1:13" x14ac:dyDescent="0.2">
      <c r="A800" s="106">
        <v>46190</v>
      </c>
      <c r="B800" s="105" t="s">
        <v>4563</v>
      </c>
      <c r="C800" s="105" t="s">
        <v>4622</v>
      </c>
      <c r="D800" s="149" t="s">
        <v>4668</v>
      </c>
      <c r="E800" s="105">
        <v>60</v>
      </c>
      <c r="F800" s="133">
        <v>6.38</v>
      </c>
      <c r="G800" s="133">
        <v>7.5</v>
      </c>
      <c r="H800" s="109"/>
      <c r="I800" s="119">
        <v>450</v>
      </c>
      <c r="J800" s="119">
        <v>0</v>
      </c>
      <c r="K800" s="119">
        <f t="shared" si="36"/>
        <v>450</v>
      </c>
      <c r="L800" s="152">
        <f t="shared" si="37"/>
        <v>382.8</v>
      </c>
      <c r="M800" s="113"/>
    </row>
    <row r="801" spans="1:13" x14ac:dyDescent="0.2">
      <c r="A801" s="106">
        <v>46190</v>
      </c>
      <c r="B801" s="105" t="s">
        <v>1863</v>
      </c>
      <c r="C801" s="105" t="s">
        <v>4622</v>
      </c>
      <c r="D801" s="149" t="s">
        <v>1864</v>
      </c>
      <c r="E801" s="105">
        <v>30</v>
      </c>
      <c r="F801" s="133">
        <v>6.18</v>
      </c>
      <c r="G801" s="133">
        <v>7.5</v>
      </c>
      <c r="H801" s="109"/>
      <c r="I801" s="119">
        <v>225</v>
      </c>
      <c r="J801" s="119">
        <v>0</v>
      </c>
      <c r="K801" s="119">
        <f t="shared" si="36"/>
        <v>225</v>
      </c>
      <c r="L801" s="152">
        <f t="shared" si="37"/>
        <v>185.39999999999998</v>
      </c>
      <c r="M801" s="113"/>
    </row>
    <row r="802" spans="1:13" x14ac:dyDescent="0.2">
      <c r="A802" s="106">
        <v>46190</v>
      </c>
      <c r="B802" s="105" t="s">
        <v>4564</v>
      </c>
      <c r="C802" s="105" t="s">
        <v>4622</v>
      </c>
      <c r="D802" s="149" t="s">
        <v>4669</v>
      </c>
      <c r="E802" s="105">
        <v>16</v>
      </c>
      <c r="F802" s="133">
        <v>6.31</v>
      </c>
      <c r="G802" s="133">
        <v>7.5</v>
      </c>
      <c r="H802" s="109"/>
      <c r="I802" s="119">
        <v>120</v>
      </c>
      <c r="J802" s="119">
        <v>0</v>
      </c>
      <c r="K802" s="119">
        <f t="shared" si="36"/>
        <v>120</v>
      </c>
      <c r="L802" s="152">
        <f t="shared" si="37"/>
        <v>100.96</v>
      </c>
      <c r="M802" s="113"/>
    </row>
    <row r="803" spans="1:13" x14ac:dyDescent="0.2">
      <c r="A803" s="106">
        <v>46190</v>
      </c>
      <c r="B803" s="105" t="s">
        <v>1905</v>
      </c>
      <c r="C803" s="105" t="s">
        <v>4622</v>
      </c>
      <c r="D803" s="149" t="s">
        <v>1906</v>
      </c>
      <c r="E803" s="105">
        <v>15</v>
      </c>
      <c r="F803" s="133">
        <v>15.12</v>
      </c>
      <c r="G803" s="133">
        <v>17.5</v>
      </c>
      <c r="H803" s="109"/>
      <c r="I803" s="119">
        <v>262.5</v>
      </c>
      <c r="J803" s="119">
        <v>0</v>
      </c>
      <c r="K803" s="119">
        <f t="shared" si="36"/>
        <v>262.5</v>
      </c>
      <c r="L803" s="152">
        <f t="shared" si="37"/>
        <v>226.79999999999998</v>
      </c>
      <c r="M803" s="113"/>
    </row>
    <row r="804" spans="1:13" x14ac:dyDescent="0.2">
      <c r="A804" s="106">
        <v>46190</v>
      </c>
      <c r="B804" s="105" t="s">
        <v>1937</v>
      </c>
      <c r="C804" s="105" t="s">
        <v>4622</v>
      </c>
      <c r="D804" s="149" t="s">
        <v>1938</v>
      </c>
      <c r="E804" s="105">
        <v>35</v>
      </c>
      <c r="F804" s="133">
        <v>6.18</v>
      </c>
      <c r="G804" s="133">
        <v>7.25</v>
      </c>
      <c r="H804" s="109"/>
      <c r="I804" s="119">
        <v>253.75</v>
      </c>
      <c r="J804" s="119">
        <v>0</v>
      </c>
      <c r="K804" s="119">
        <f t="shared" si="36"/>
        <v>253.75</v>
      </c>
      <c r="L804" s="152">
        <f t="shared" si="37"/>
        <v>216.29999999999998</v>
      </c>
      <c r="M804" s="113"/>
    </row>
    <row r="805" spans="1:13" x14ac:dyDescent="0.2">
      <c r="A805" s="106">
        <v>46190</v>
      </c>
      <c r="B805" s="105" t="s">
        <v>3413</v>
      </c>
      <c r="C805" s="105" t="s">
        <v>4622</v>
      </c>
      <c r="D805" s="149" t="s">
        <v>3414</v>
      </c>
      <c r="E805" s="105">
        <v>8</v>
      </c>
      <c r="F805" s="133">
        <v>33.1</v>
      </c>
      <c r="G805" s="133">
        <v>38.25</v>
      </c>
      <c r="H805" s="109"/>
      <c r="I805" s="119">
        <v>306</v>
      </c>
      <c r="J805" s="119">
        <v>0</v>
      </c>
      <c r="K805" s="119">
        <f t="shared" si="36"/>
        <v>306</v>
      </c>
      <c r="L805" s="152">
        <f t="shared" si="37"/>
        <v>264.8</v>
      </c>
      <c r="M805" s="113"/>
    </row>
    <row r="806" spans="1:13" x14ac:dyDescent="0.2">
      <c r="A806" s="106">
        <v>46190</v>
      </c>
      <c r="B806" s="105" t="s">
        <v>2307</v>
      </c>
      <c r="C806" s="105" t="s">
        <v>4622</v>
      </c>
      <c r="D806" s="149" t="s">
        <v>2309</v>
      </c>
      <c r="E806" s="105">
        <v>10</v>
      </c>
      <c r="F806" s="133">
        <v>31.6</v>
      </c>
      <c r="G806" s="133">
        <v>36.5</v>
      </c>
      <c r="H806" s="109"/>
      <c r="I806" s="119">
        <v>365</v>
      </c>
      <c r="J806" s="119">
        <v>0</v>
      </c>
      <c r="K806" s="119">
        <f t="shared" si="36"/>
        <v>365</v>
      </c>
      <c r="L806" s="152">
        <f t="shared" si="37"/>
        <v>316</v>
      </c>
      <c r="M806" s="113"/>
    </row>
    <row r="807" spans="1:13" x14ac:dyDescent="0.2">
      <c r="A807" s="106">
        <v>46190</v>
      </c>
      <c r="B807" s="105" t="s">
        <v>1861</v>
      </c>
      <c r="C807" s="105" t="s">
        <v>4622</v>
      </c>
      <c r="D807" s="149" t="s">
        <v>1862</v>
      </c>
      <c r="E807" s="105">
        <v>15</v>
      </c>
      <c r="F807" s="133">
        <v>15.65</v>
      </c>
      <c r="G807" s="133">
        <v>18</v>
      </c>
      <c r="H807" s="109"/>
      <c r="I807" s="119">
        <v>270</v>
      </c>
      <c r="J807" s="119">
        <v>0</v>
      </c>
      <c r="K807" s="119">
        <f t="shared" si="36"/>
        <v>270</v>
      </c>
      <c r="L807" s="152">
        <f t="shared" si="37"/>
        <v>234.75</v>
      </c>
      <c r="M807" s="113"/>
    </row>
    <row r="808" spans="1:13" x14ac:dyDescent="0.2">
      <c r="A808" s="106">
        <v>46190</v>
      </c>
      <c r="B808" s="105" t="s">
        <v>4565</v>
      </c>
      <c r="C808" s="105" t="s">
        <v>4622</v>
      </c>
      <c r="D808" s="149" t="s">
        <v>4670</v>
      </c>
      <c r="E808" s="105">
        <v>15</v>
      </c>
      <c r="F808" s="133">
        <v>15.35</v>
      </c>
      <c r="G808" s="133">
        <v>17.75</v>
      </c>
      <c r="H808" s="109"/>
      <c r="I808" s="119">
        <v>266.25</v>
      </c>
      <c r="J808" s="119">
        <v>0</v>
      </c>
      <c r="K808" s="119">
        <f t="shared" si="36"/>
        <v>266.25</v>
      </c>
      <c r="L808" s="152">
        <f t="shared" si="37"/>
        <v>230.25</v>
      </c>
      <c r="M808" s="113"/>
    </row>
    <row r="809" spans="1:13" x14ac:dyDescent="0.2">
      <c r="A809" s="106">
        <v>46190</v>
      </c>
      <c r="B809" s="105" t="s">
        <v>2438</v>
      </c>
      <c r="C809" s="105" t="s">
        <v>4622</v>
      </c>
      <c r="D809" s="149" t="s">
        <v>2440</v>
      </c>
      <c r="E809" s="105">
        <v>15</v>
      </c>
      <c r="F809" s="133">
        <v>15.12</v>
      </c>
      <c r="G809" s="133">
        <v>17.5</v>
      </c>
      <c r="H809" s="109"/>
      <c r="I809" s="119">
        <v>262.5</v>
      </c>
      <c r="J809" s="119">
        <v>0</v>
      </c>
      <c r="K809" s="119">
        <f t="shared" si="36"/>
        <v>262.5</v>
      </c>
      <c r="L809" s="152">
        <f t="shared" si="37"/>
        <v>226.79999999999998</v>
      </c>
      <c r="M809" s="113"/>
    </row>
    <row r="810" spans="1:13" x14ac:dyDescent="0.2">
      <c r="A810" s="106">
        <v>46190</v>
      </c>
      <c r="B810" s="105" t="s">
        <v>4566</v>
      </c>
      <c r="C810" s="105" t="s">
        <v>4622</v>
      </c>
      <c r="D810" s="149" t="s">
        <v>4671</v>
      </c>
      <c r="E810" s="105">
        <v>5</v>
      </c>
      <c r="F810" s="133">
        <v>22.19</v>
      </c>
      <c r="G810" s="133">
        <v>25.75</v>
      </c>
      <c r="H810" s="109"/>
      <c r="I810" s="119">
        <v>128.75</v>
      </c>
      <c r="J810" s="119">
        <v>0</v>
      </c>
      <c r="K810" s="119">
        <f t="shared" si="36"/>
        <v>128.75</v>
      </c>
      <c r="L810" s="152">
        <f t="shared" si="37"/>
        <v>110.95</v>
      </c>
      <c r="M810" s="113"/>
    </row>
    <row r="811" spans="1:13" x14ac:dyDescent="0.2">
      <c r="A811" s="106">
        <v>46190</v>
      </c>
      <c r="B811" s="105" t="s">
        <v>4567</v>
      </c>
      <c r="C811" s="105" t="s">
        <v>4622</v>
      </c>
      <c r="D811" s="149" t="s">
        <v>4672</v>
      </c>
      <c r="E811" s="105">
        <v>35</v>
      </c>
      <c r="F811" s="133">
        <v>6.71</v>
      </c>
      <c r="G811" s="133">
        <v>7.75</v>
      </c>
      <c r="H811" s="109"/>
      <c r="I811" s="119">
        <v>271.25</v>
      </c>
      <c r="J811" s="119">
        <v>0</v>
      </c>
      <c r="K811" s="119">
        <f t="shared" si="36"/>
        <v>271.25</v>
      </c>
      <c r="L811" s="152">
        <f t="shared" si="37"/>
        <v>234.85</v>
      </c>
      <c r="M811" s="113"/>
    </row>
    <row r="812" spans="1:13" x14ac:dyDescent="0.2">
      <c r="A812" s="106">
        <v>46190</v>
      </c>
      <c r="B812" s="105" t="s">
        <v>4568</v>
      </c>
      <c r="C812" s="105" t="s">
        <v>4622</v>
      </c>
      <c r="D812" s="149" t="s">
        <v>4673</v>
      </c>
      <c r="E812" s="105">
        <v>10</v>
      </c>
      <c r="F812" s="133">
        <v>34.47</v>
      </c>
      <c r="G812" s="133">
        <v>39.75</v>
      </c>
      <c r="H812" s="109"/>
      <c r="I812" s="119">
        <v>397.5</v>
      </c>
      <c r="J812" s="119">
        <v>0</v>
      </c>
      <c r="K812" s="119">
        <f t="shared" si="36"/>
        <v>397.5</v>
      </c>
      <c r="L812" s="152">
        <f t="shared" si="37"/>
        <v>344.7</v>
      </c>
      <c r="M812" s="113"/>
    </row>
    <row r="813" spans="1:13" x14ac:dyDescent="0.2">
      <c r="A813" s="106">
        <v>46190</v>
      </c>
      <c r="B813" s="105" t="s">
        <v>1911</v>
      </c>
      <c r="C813" s="105" t="s">
        <v>4622</v>
      </c>
      <c r="D813" s="149" t="s">
        <v>1912</v>
      </c>
      <c r="E813" s="105">
        <v>20</v>
      </c>
      <c r="F813" s="133">
        <v>31.6</v>
      </c>
      <c r="G813" s="133">
        <v>36.5</v>
      </c>
      <c r="H813" s="109"/>
      <c r="I813" s="119">
        <v>730</v>
      </c>
      <c r="J813" s="119">
        <v>0</v>
      </c>
      <c r="K813" s="119">
        <f t="shared" si="36"/>
        <v>730</v>
      </c>
      <c r="L813" s="152">
        <f t="shared" si="37"/>
        <v>632</v>
      </c>
      <c r="M813" s="113"/>
    </row>
    <row r="814" spans="1:13" x14ac:dyDescent="0.2">
      <c r="A814" s="106">
        <v>46190</v>
      </c>
      <c r="B814" s="105" t="s">
        <v>2831</v>
      </c>
      <c r="C814" s="105" t="s">
        <v>4622</v>
      </c>
      <c r="D814" s="149" t="s">
        <v>2833</v>
      </c>
      <c r="E814" s="105">
        <v>20</v>
      </c>
      <c r="F814" s="133">
        <v>6.83</v>
      </c>
      <c r="G814" s="133">
        <v>7.75</v>
      </c>
      <c r="H814" s="109"/>
      <c r="I814" s="119">
        <v>155</v>
      </c>
      <c r="J814" s="119">
        <v>0</v>
      </c>
      <c r="K814" s="119">
        <f t="shared" si="36"/>
        <v>155</v>
      </c>
      <c r="L814" s="152">
        <f t="shared" si="37"/>
        <v>136.6</v>
      </c>
      <c r="M814" s="113"/>
    </row>
    <row r="815" spans="1:13" x14ac:dyDescent="0.2">
      <c r="A815" s="106">
        <v>46190</v>
      </c>
      <c r="B815" s="105" t="s">
        <v>4569</v>
      </c>
      <c r="C815" s="105" t="s">
        <v>4622</v>
      </c>
      <c r="D815" s="149" t="s">
        <v>4674</v>
      </c>
      <c r="E815" s="105">
        <v>13</v>
      </c>
      <c r="F815" s="133">
        <v>6.8</v>
      </c>
      <c r="G815" s="133">
        <v>8</v>
      </c>
      <c r="H815" s="109"/>
      <c r="I815" s="119">
        <v>104</v>
      </c>
      <c r="J815" s="119">
        <v>0</v>
      </c>
      <c r="K815" s="119">
        <f t="shared" si="36"/>
        <v>104</v>
      </c>
      <c r="L815" s="152">
        <f t="shared" si="37"/>
        <v>88.399999999999991</v>
      </c>
      <c r="M815" s="113"/>
    </row>
    <row r="816" spans="1:13" x14ac:dyDescent="0.2">
      <c r="A816" s="106">
        <v>46190</v>
      </c>
      <c r="B816" s="105" t="s">
        <v>2240</v>
      </c>
      <c r="C816" s="105" t="s">
        <v>4622</v>
      </c>
      <c r="D816" s="149" t="s">
        <v>2241</v>
      </c>
      <c r="E816" s="105">
        <v>10</v>
      </c>
      <c r="F816" s="133">
        <v>18.649999999999999</v>
      </c>
      <c r="G816" s="133">
        <v>21.5</v>
      </c>
      <c r="H816" s="109"/>
      <c r="I816" s="119">
        <v>215</v>
      </c>
      <c r="J816" s="119">
        <v>0</v>
      </c>
      <c r="K816" s="119">
        <f t="shared" si="36"/>
        <v>215</v>
      </c>
      <c r="L816" s="152">
        <f t="shared" si="37"/>
        <v>186.5</v>
      </c>
      <c r="M816" s="113"/>
    </row>
    <row r="817" spans="1:13" x14ac:dyDescent="0.2">
      <c r="A817" s="106">
        <v>46190</v>
      </c>
      <c r="B817" s="105" t="s">
        <v>4570</v>
      </c>
      <c r="C817" s="105" t="s">
        <v>4622</v>
      </c>
      <c r="D817" s="149" t="s">
        <v>4675</v>
      </c>
      <c r="E817" s="105">
        <v>20</v>
      </c>
      <c r="F817" s="133">
        <v>6.8</v>
      </c>
      <c r="G817" s="133">
        <v>8</v>
      </c>
      <c r="H817" s="109"/>
      <c r="I817" s="119">
        <v>160</v>
      </c>
      <c r="J817" s="119">
        <v>0</v>
      </c>
      <c r="K817" s="119">
        <f t="shared" si="36"/>
        <v>160</v>
      </c>
      <c r="L817" s="152">
        <f t="shared" si="37"/>
        <v>136</v>
      </c>
      <c r="M817" s="113"/>
    </row>
    <row r="818" spans="1:13" x14ac:dyDescent="0.2">
      <c r="A818" s="106">
        <v>46190</v>
      </c>
      <c r="B818" s="105" t="s">
        <v>3408</v>
      </c>
      <c r="C818" s="105" t="s">
        <v>4622</v>
      </c>
      <c r="D818" s="149" t="s">
        <v>3410</v>
      </c>
      <c r="E818" s="105">
        <v>24</v>
      </c>
      <c r="F818" s="133">
        <v>5.47</v>
      </c>
      <c r="G818" s="133">
        <v>6.5</v>
      </c>
      <c r="H818" s="109"/>
      <c r="I818" s="119">
        <v>156</v>
      </c>
      <c r="J818" s="119">
        <v>0</v>
      </c>
      <c r="K818" s="119">
        <f t="shared" si="36"/>
        <v>156</v>
      </c>
      <c r="L818" s="152">
        <f t="shared" si="37"/>
        <v>131.28</v>
      </c>
      <c r="M818" s="113"/>
    </row>
    <row r="819" spans="1:13" x14ac:dyDescent="0.2">
      <c r="A819" s="106">
        <v>46190</v>
      </c>
      <c r="B819" s="105" t="s">
        <v>4201</v>
      </c>
      <c r="C819" s="105" t="s">
        <v>4622</v>
      </c>
      <c r="D819" s="149" t="s">
        <v>4202</v>
      </c>
      <c r="E819" s="105">
        <v>48</v>
      </c>
      <c r="F819" s="133">
        <v>24.35</v>
      </c>
      <c r="G819" s="133">
        <v>28</v>
      </c>
      <c r="H819" s="109"/>
      <c r="I819" s="119">
        <v>1344</v>
      </c>
      <c r="J819" s="119">
        <v>0</v>
      </c>
      <c r="K819" s="119">
        <f t="shared" si="36"/>
        <v>1344</v>
      </c>
      <c r="L819" s="152">
        <f t="shared" si="37"/>
        <v>1168.8000000000002</v>
      </c>
      <c r="M819" s="113"/>
    </row>
    <row r="820" spans="1:13" x14ac:dyDescent="0.2">
      <c r="A820" s="153">
        <v>46190</v>
      </c>
      <c r="B820" s="154" t="s">
        <v>3137</v>
      </c>
      <c r="C820" s="154" t="s">
        <v>4622</v>
      </c>
      <c r="D820" s="155" t="s">
        <v>3138</v>
      </c>
      <c r="E820" s="154">
        <v>2</v>
      </c>
      <c r="F820" s="236"/>
      <c r="G820" s="236">
        <v>56.25</v>
      </c>
      <c r="H820" s="237"/>
      <c r="I820" s="147">
        <f>E820*G820</f>
        <v>112.5</v>
      </c>
      <c r="J820" s="147">
        <v>0</v>
      </c>
      <c r="K820" s="147">
        <f t="shared" ref="K820" si="38">H820+I820-J820</f>
        <v>112.5</v>
      </c>
      <c r="L820" s="148">
        <f>E820*F820</f>
        <v>0</v>
      </c>
      <c r="M820" s="113"/>
    </row>
    <row r="821" spans="1:13" x14ac:dyDescent="0.2">
      <c r="A821" s="106">
        <v>46190</v>
      </c>
      <c r="B821" s="105" t="s">
        <v>3137</v>
      </c>
      <c r="C821" s="105" t="s">
        <v>4622</v>
      </c>
      <c r="D821" s="149" t="s">
        <v>3138</v>
      </c>
      <c r="E821" s="105">
        <v>4</v>
      </c>
      <c r="F821" s="133">
        <v>48.8</v>
      </c>
      <c r="G821" s="133">
        <v>56.25</v>
      </c>
      <c r="H821" s="109"/>
      <c r="I821" s="119">
        <f>E821*G821</f>
        <v>225</v>
      </c>
      <c r="J821" s="119">
        <v>0</v>
      </c>
      <c r="K821" s="119">
        <f t="shared" si="36"/>
        <v>225</v>
      </c>
      <c r="L821" s="152">
        <f t="shared" si="37"/>
        <v>195.2</v>
      </c>
      <c r="M821" s="113"/>
    </row>
    <row r="822" spans="1:13" x14ac:dyDescent="0.2">
      <c r="A822" s="106">
        <v>46190</v>
      </c>
      <c r="B822" s="105" t="s">
        <v>2407</v>
      </c>
      <c r="C822" s="105" t="s">
        <v>4622</v>
      </c>
      <c r="D822" s="149" t="s">
        <v>2409</v>
      </c>
      <c r="E822" s="105">
        <v>10</v>
      </c>
      <c r="F822" s="133">
        <v>94.58</v>
      </c>
      <c r="G822" s="133">
        <v>109</v>
      </c>
      <c r="H822" s="109"/>
      <c r="I822" s="119">
        <v>1090</v>
      </c>
      <c r="J822" s="119">
        <v>0</v>
      </c>
      <c r="K822" s="119">
        <f t="shared" si="36"/>
        <v>1090</v>
      </c>
      <c r="L822" s="152">
        <f t="shared" si="37"/>
        <v>945.8</v>
      </c>
      <c r="M822" s="113"/>
    </row>
    <row r="823" spans="1:13" x14ac:dyDescent="0.2">
      <c r="A823" s="106">
        <v>46190</v>
      </c>
      <c r="B823" s="105" t="s">
        <v>3119</v>
      </c>
      <c r="C823" s="105" t="s">
        <v>4622</v>
      </c>
      <c r="D823" s="149" t="s">
        <v>3120</v>
      </c>
      <c r="E823" s="105">
        <v>6</v>
      </c>
      <c r="F823" s="133">
        <v>96.67</v>
      </c>
      <c r="G823" s="133">
        <v>111.25</v>
      </c>
      <c r="H823" s="109"/>
      <c r="I823" s="119">
        <v>667.5</v>
      </c>
      <c r="J823" s="119">
        <v>0</v>
      </c>
      <c r="K823" s="119">
        <f t="shared" si="36"/>
        <v>667.5</v>
      </c>
      <c r="L823" s="152">
        <f t="shared" si="37"/>
        <v>580.02</v>
      </c>
      <c r="M823" s="113"/>
    </row>
    <row r="824" spans="1:13" x14ac:dyDescent="0.2">
      <c r="A824" s="106">
        <v>46190</v>
      </c>
      <c r="B824" s="105" t="s">
        <v>4571</v>
      </c>
      <c r="C824" s="105" t="s">
        <v>4622</v>
      </c>
      <c r="D824" s="149" t="s">
        <v>4676</v>
      </c>
      <c r="E824" s="105">
        <v>3</v>
      </c>
      <c r="F824" s="133">
        <v>21.5</v>
      </c>
      <c r="G824" s="133">
        <v>24.75</v>
      </c>
      <c r="H824" s="109"/>
      <c r="I824" s="119">
        <v>74.25</v>
      </c>
      <c r="J824" s="119">
        <v>0</v>
      </c>
      <c r="K824" s="119">
        <f t="shared" si="36"/>
        <v>74.25</v>
      </c>
      <c r="L824" s="152">
        <f t="shared" si="37"/>
        <v>64.5</v>
      </c>
      <c r="M824" s="113"/>
    </row>
    <row r="825" spans="1:13" x14ac:dyDescent="0.2">
      <c r="A825" s="106">
        <v>46190</v>
      </c>
      <c r="B825" s="105" t="s">
        <v>4572</v>
      </c>
      <c r="C825" s="105" t="s">
        <v>4622</v>
      </c>
      <c r="D825" s="149" t="s">
        <v>4677</v>
      </c>
      <c r="E825" s="105">
        <v>2</v>
      </c>
      <c r="F825" s="133">
        <v>21.5</v>
      </c>
      <c r="G825" s="133">
        <v>24.75</v>
      </c>
      <c r="H825" s="109"/>
      <c r="I825" s="119">
        <v>49.5</v>
      </c>
      <c r="J825" s="119">
        <v>0</v>
      </c>
      <c r="K825" s="119">
        <f t="shared" si="36"/>
        <v>49.5</v>
      </c>
      <c r="L825" s="152">
        <f t="shared" si="37"/>
        <v>43</v>
      </c>
      <c r="M825" s="113"/>
    </row>
    <row r="826" spans="1:13" x14ac:dyDescent="0.2">
      <c r="A826" s="106">
        <v>46190</v>
      </c>
      <c r="B826" s="105" t="s">
        <v>4573</v>
      </c>
      <c r="C826" s="105" t="s">
        <v>4622</v>
      </c>
      <c r="D826" s="149" t="s">
        <v>4678</v>
      </c>
      <c r="E826" s="105">
        <v>3</v>
      </c>
      <c r="F826" s="133">
        <v>21.5</v>
      </c>
      <c r="G826" s="133">
        <v>24.75</v>
      </c>
      <c r="H826" s="109"/>
      <c r="I826" s="119">
        <v>74.25</v>
      </c>
      <c r="J826" s="119">
        <v>0</v>
      </c>
      <c r="K826" s="119">
        <f t="shared" si="36"/>
        <v>74.25</v>
      </c>
      <c r="L826" s="152">
        <f t="shared" si="37"/>
        <v>64.5</v>
      </c>
      <c r="M826" s="113"/>
    </row>
    <row r="827" spans="1:13" x14ac:dyDescent="0.2">
      <c r="A827" s="106">
        <v>46190</v>
      </c>
      <c r="B827" s="105" t="s">
        <v>4574</v>
      </c>
      <c r="C827" s="105" t="s">
        <v>4622</v>
      </c>
      <c r="D827" s="149" t="s">
        <v>4679</v>
      </c>
      <c r="E827" s="105">
        <v>3</v>
      </c>
      <c r="F827" s="133">
        <v>21.5</v>
      </c>
      <c r="G827" s="133">
        <v>24.75</v>
      </c>
      <c r="H827" s="109"/>
      <c r="I827" s="119">
        <v>74.25</v>
      </c>
      <c r="J827" s="119">
        <v>0</v>
      </c>
      <c r="K827" s="119">
        <f t="shared" si="36"/>
        <v>74.25</v>
      </c>
      <c r="L827" s="152">
        <f t="shared" si="37"/>
        <v>64.5</v>
      </c>
      <c r="M827" s="113"/>
    </row>
    <row r="828" spans="1:13" x14ac:dyDescent="0.2">
      <c r="A828" s="106">
        <v>46190</v>
      </c>
      <c r="B828" s="105" t="s">
        <v>3211</v>
      </c>
      <c r="C828" s="105" t="s">
        <v>4622</v>
      </c>
      <c r="D828" s="149" t="s">
        <v>3212</v>
      </c>
      <c r="E828" s="105">
        <v>6</v>
      </c>
      <c r="F828" s="133">
        <v>23.32</v>
      </c>
      <c r="G828" s="133">
        <v>27</v>
      </c>
      <c r="H828" s="109"/>
      <c r="I828" s="119">
        <v>162</v>
      </c>
      <c r="J828" s="119">
        <v>0</v>
      </c>
      <c r="K828" s="119">
        <f t="shared" si="36"/>
        <v>162</v>
      </c>
      <c r="L828" s="152">
        <f t="shared" si="37"/>
        <v>139.92000000000002</v>
      </c>
      <c r="M828" s="113"/>
    </row>
    <row r="829" spans="1:13" x14ac:dyDescent="0.2">
      <c r="A829" s="106">
        <v>46190</v>
      </c>
      <c r="B829" s="105" t="s">
        <v>1972</v>
      </c>
      <c r="C829" s="105" t="s">
        <v>4622</v>
      </c>
      <c r="D829" s="149" t="s">
        <v>1974</v>
      </c>
      <c r="E829" s="105">
        <v>6</v>
      </c>
      <c r="F829" s="133">
        <v>20.55</v>
      </c>
      <c r="G829" s="133">
        <v>23.75</v>
      </c>
      <c r="H829" s="109"/>
      <c r="I829" s="119">
        <v>142.5</v>
      </c>
      <c r="J829" s="119">
        <v>0</v>
      </c>
      <c r="K829" s="119">
        <f t="shared" si="36"/>
        <v>142.5</v>
      </c>
      <c r="L829" s="152">
        <f t="shared" si="37"/>
        <v>123.30000000000001</v>
      </c>
      <c r="M829" s="113"/>
    </row>
    <row r="830" spans="1:13" x14ac:dyDescent="0.2">
      <c r="A830" s="106">
        <v>46190</v>
      </c>
      <c r="B830" s="105" t="s">
        <v>3225</v>
      </c>
      <c r="C830" s="105" t="s">
        <v>4622</v>
      </c>
      <c r="D830" s="149" t="s">
        <v>3227</v>
      </c>
      <c r="E830" s="105">
        <v>6</v>
      </c>
      <c r="F830" s="133">
        <v>21.17</v>
      </c>
      <c r="G830" s="133">
        <v>24.5</v>
      </c>
      <c r="H830" s="109"/>
      <c r="I830" s="119">
        <v>147</v>
      </c>
      <c r="J830" s="119">
        <v>0</v>
      </c>
      <c r="K830" s="119">
        <f t="shared" si="36"/>
        <v>147</v>
      </c>
      <c r="L830" s="152">
        <f t="shared" si="37"/>
        <v>127.02000000000001</v>
      </c>
      <c r="M830" s="113"/>
    </row>
    <row r="831" spans="1:13" x14ac:dyDescent="0.2">
      <c r="A831" s="106">
        <v>46190</v>
      </c>
      <c r="B831" s="105" t="s">
        <v>3569</v>
      </c>
      <c r="C831" s="105" t="s">
        <v>4622</v>
      </c>
      <c r="D831" s="149" t="s">
        <v>3571</v>
      </c>
      <c r="E831" s="105">
        <v>6</v>
      </c>
      <c r="F831" s="133">
        <v>21.17</v>
      </c>
      <c r="G831" s="133">
        <v>24.5</v>
      </c>
      <c r="H831" s="109"/>
      <c r="I831" s="119">
        <v>147</v>
      </c>
      <c r="J831" s="119">
        <v>0</v>
      </c>
      <c r="K831" s="119">
        <f t="shared" si="36"/>
        <v>147</v>
      </c>
      <c r="L831" s="152">
        <f t="shared" si="37"/>
        <v>127.02000000000001</v>
      </c>
      <c r="M831" s="113"/>
    </row>
    <row r="832" spans="1:13" x14ac:dyDescent="0.2">
      <c r="A832" s="106">
        <v>46190</v>
      </c>
      <c r="B832" s="105" t="s">
        <v>4575</v>
      </c>
      <c r="C832" s="105" t="s">
        <v>4622</v>
      </c>
      <c r="D832" s="149" t="s">
        <v>4680</v>
      </c>
      <c r="E832" s="105">
        <v>6</v>
      </c>
      <c r="F832" s="133">
        <v>20.55</v>
      </c>
      <c r="G832" s="133">
        <v>23.75</v>
      </c>
      <c r="H832" s="109"/>
      <c r="I832" s="119">
        <v>142.5</v>
      </c>
      <c r="J832" s="119">
        <v>0</v>
      </c>
      <c r="K832" s="119">
        <f t="shared" si="36"/>
        <v>142.5</v>
      </c>
      <c r="L832" s="152">
        <f t="shared" si="37"/>
        <v>123.30000000000001</v>
      </c>
      <c r="M832" s="113"/>
    </row>
    <row r="833" spans="1:13" x14ac:dyDescent="0.2">
      <c r="A833" s="106">
        <v>46190</v>
      </c>
      <c r="B833" s="105" t="s">
        <v>2491</v>
      </c>
      <c r="C833" s="105" t="s">
        <v>4622</v>
      </c>
      <c r="D833" s="149" t="s">
        <v>2492</v>
      </c>
      <c r="E833" s="105">
        <v>5</v>
      </c>
      <c r="F833" s="133">
        <v>61.5</v>
      </c>
      <c r="G833" s="133">
        <v>66.5</v>
      </c>
      <c r="H833" s="109"/>
      <c r="I833" s="119">
        <v>332.5</v>
      </c>
      <c r="J833" s="119">
        <v>0</v>
      </c>
      <c r="K833" s="119">
        <f t="shared" si="36"/>
        <v>332.5</v>
      </c>
      <c r="L833" s="152">
        <f t="shared" si="37"/>
        <v>307.5</v>
      </c>
      <c r="M833" s="113"/>
    </row>
    <row r="834" spans="1:13" x14ac:dyDescent="0.2">
      <c r="A834" s="106">
        <v>46190</v>
      </c>
      <c r="B834" s="105" t="s">
        <v>3083</v>
      </c>
      <c r="C834" s="105" t="s">
        <v>4622</v>
      </c>
      <c r="D834" s="149" t="s">
        <v>3085</v>
      </c>
      <c r="E834" s="105">
        <v>10</v>
      </c>
      <c r="F834" s="133">
        <v>29.95</v>
      </c>
      <c r="G834" s="133">
        <v>34.5</v>
      </c>
      <c r="H834" s="109"/>
      <c r="I834" s="119">
        <v>345</v>
      </c>
      <c r="J834" s="119">
        <v>0</v>
      </c>
      <c r="K834" s="119">
        <f t="shared" si="36"/>
        <v>345</v>
      </c>
      <c r="L834" s="152">
        <f t="shared" si="37"/>
        <v>299.5</v>
      </c>
      <c r="M834" s="113"/>
    </row>
    <row r="835" spans="1:13" x14ac:dyDescent="0.2">
      <c r="A835" s="106">
        <v>46190</v>
      </c>
      <c r="B835" s="105" t="s">
        <v>4576</v>
      </c>
      <c r="C835" s="105" t="s">
        <v>4622</v>
      </c>
      <c r="D835" s="149" t="s">
        <v>4681</v>
      </c>
      <c r="E835" s="105">
        <v>6</v>
      </c>
      <c r="F835" s="133">
        <v>60.45</v>
      </c>
      <c r="G835" s="133">
        <v>69.75</v>
      </c>
      <c r="H835" s="109"/>
      <c r="I835" s="119">
        <v>418.5</v>
      </c>
      <c r="J835" s="119">
        <v>0</v>
      </c>
      <c r="K835" s="119">
        <f t="shared" si="36"/>
        <v>418.5</v>
      </c>
      <c r="L835" s="152">
        <f t="shared" si="37"/>
        <v>362.70000000000005</v>
      </c>
      <c r="M835" s="113"/>
    </row>
    <row r="836" spans="1:13" x14ac:dyDescent="0.2">
      <c r="A836" s="106">
        <v>46190</v>
      </c>
      <c r="B836" s="105" t="s">
        <v>4577</v>
      </c>
      <c r="C836" s="105" t="s">
        <v>4622</v>
      </c>
      <c r="D836" s="149" t="s">
        <v>4682</v>
      </c>
      <c r="E836" s="105">
        <v>4</v>
      </c>
      <c r="F836" s="133">
        <v>58.57</v>
      </c>
      <c r="G836" s="133">
        <v>67.5</v>
      </c>
      <c r="H836" s="109"/>
      <c r="I836" s="119">
        <v>270</v>
      </c>
      <c r="J836" s="119">
        <v>0</v>
      </c>
      <c r="K836" s="119">
        <f t="shared" si="36"/>
        <v>270</v>
      </c>
      <c r="L836" s="152">
        <f t="shared" si="37"/>
        <v>234.28</v>
      </c>
      <c r="M836" s="113"/>
    </row>
    <row r="837" spans="1:13" x14ac:dyDescent="0.2">
      <c r="A837" s="106">
        <v>46190</v>
      </c>
      <c r="B837" s="105" t="s">
        <v>4578</v>
      </c>
      <c r="C837" s="105" t="s">
        <v>4622</v>
      </c>
      <c r="D837" s="149" t="s">
        <v>4683</v>
      </c>
      <c r="E837" s="105">
        <v>6</v>
      </c>
      <c r="F837" s="133">
        <v>35.39</v>
      </c>
      <c r="G837" s="133">
        <v>40.75</v>
      </c>
      <c r="H837" s="109"/>
      <c r="I837" s="119">
        <v>244.5</v>
      </c>
      <c r="J837" s="119">
        <v>0</v>
      </c>
      <c r="K837" s="119">
        <f t="shared" si="36"/>
        <v>244.5</v>
      </c>
      <c r="L837" s="152">
        <f t="shared" si="37"/>
        <v>212.34</v>
      </c>
      <c r="M837" s="113"/>
    </row>
    <row r="838" spans="1:13" x14ac:dyDescent="0.2">
      <c r="A838" s="106">
        <v>46190</v>
      </c>
      <c r="B838" s="105" t="s">
        <v>4579</v>
      </c>
      <c r="C838" s="105" t="s">
        <v>4622</v>
      </c>
      <c r="D838" s="149" t="s">
        <v>4684</v>
      </c>
      <c r="E838" s="105">
        <v>4</v>
      </c>
      <c r="F838" s="133">
        <v>23.92</v>
      </c>
      <c r="G838" s="133">
        <v>27.75</v>
      </c>
      <c r="H838" s="109"/>
      <c r="I838" s="119">
        <v>111</v>
      </c>
      <c r="J838" s="119">
        <v>0</v>
      </c>
      <c r="K838" s="119">
        <f t="shared" si="36"/>
        <v>111</v>
      </c>
      <c r="L838" s="152">
        <f t="shared" si="37"/>
        <v>95.68</v>
      </c>
      <c r="M838" s="113"/>
    </row>
    <row r="839" spans="1:13" x14ac:dyDescent="0.2">
      <c r="A839" s="106">
        <v>46190</v>
      </c>
      <c r="B839" s="105" t="s">
        <v>4580</v>
      </c>
      <c r="C839" s="105" t="s">
        <v>4622</v>
      </c>
      <c r="D839" s="149" t="s">
        <v>4685</v>
      </c>
      <c r="E839" s="105">
        <v>5</v>
      </c>
      <c r="F839" s="133">
        <v>60.9</v>
      </c>
      <c r="G839" s="133">
        <v>70.25</v>
      </c>
      <c r="H839" s="109"/>
      <c r="I839" s="119">
        <v>351.25</v>
      </c>
      <c r="J839" s="119">
        <v>0</v>
      </c>
      <c r="K839" s="119">
        <f t="shared" si="36"/>
        <v>351.25</v>
      </c>
      <c r="L839" s="152">
        <f t="shared" si="37"/>
        <v>304.5</v>
      </c>
      <c r="M839" s="113"/>
    </row>
    <row r="840" spans="1:13" x14ac:dyDescent="0.2">
      <c r="A840" s="106">
        <v>46190</v>
      </c>
      <c r="B840" s="105" t="s">
        <v>4581</v>
      </c>
      <c r="C840" s="105" t="s">
        <v>4622</v>
      </c>
      <c r="D840" s="149" t="s">
        <v>4686</v>
      </c>
      <c r="E840" s="105">
        <v>24</v>
      </c>
      <c r="F840" s="133">
        <v>5.61</v>
      </c>
      <c r="G840" s="133">
        <v>6.5</v>
      </c>
      <c r="H840" s="109"/>
      <c r="I840" s="119">
        <v>156</v>
      </c>
      <c r="J840" s="119">
        <v>0</v>
      </c>
      <c r="K840" s="119">
        <f t="shared" ref="K840:K903" si="39">H840+I840-J840</f>
        <v>156</v>
      </c>
      <c r="L840" s="152">
        <f t="shared" ref="L840:L903" si="40">E840*F840</f>
        <v>134.64000000000001</v>
      </c>
      <c r="M840" s="113"/>
    </row>
    <row r="841" spans="1:13" x14ac:dyDescent="0.2">
      <c r="A841" s="106">
        <v>46190</v>
      </c>
      <c r="B841" s="105" t="s">
        <v>4582</v>
      </c>
      <c r="C841" s="105" t="s">
        <v>4622</v>
      </c>
      <c r="D841" s="149" t="s">
        <v>4687</v>
      </c>
      <c r="E841" s="105">
        <v>3</v>
      </c>
      <c r="F841" s="133">
        <v>129.1</v>
      </c>
      <c r="G841" s="133">
        <v>148.5</v>
      </c>
      <c r="H841" s="109"/>
      <c r="I841" s="119">
        <v>445.5</v>
      </c>
      <c r="J841" s="119">
        <v>0</v>
      </c>
      <c r="K841" s="119">
        <f t="shared" si="39"/>
        <v>445.5</v>
      </c>
      <c r="L841" s="152">
        <f t="shared" si="40"/>
        <v>387.29999999999995</v>
      </c>
      <c r="M841" s="113"/>
    </row>
    <row r="842" spans="1:13" x14ac:dyDescent="0.2">
      <c r="A842" s="106">
        <v>46190</v>
      </c>
      <c r="B842" s="105" t="s">
        <v>4524</v>
      </c>
      <c r="C842" s="105" t="s">
        <v>4622</v>
      </c>
      <c r="D842" s="149" t="s">
        <v>4629</v>
      </c>
      <c r="E842" s="105">
        <v>3</v>
      </c>
      <c r="F842" s="133">
        <v>34.880000000000003</v>
      </c>
      <c r="G842" s="133">
        <v>40.25</v>
      </c>
      <c r="H842" s="109"/>
      <c r="I842" s="119">
        <v>120.75</v>
      </c>
      <c r="J842" s="119">
        <v>0</v>
      </c>
      <c r="K842" s="119">
        <f t="shared" si="39"/>
        <v>120.75</v>
      </c>
      <c r="L842" s="152">
        <f t="shared" si="40"/>
        <v>104.64000000000001</v>
      </c>
      <c r="M842" s="113"/>
    </row>
    <row r="843" spans="1:13" x14ac:dyDescent="0.2">
      <c r="A843" s="106">
        <v>46190</v>
      </c>
      <c r="B843" s="105" t="s">
        <v>2690</v>
      </c>
      <c r="C843" s="105" t="s">
        <v>4622</v>
      </c>
      <c r="D843" s="149" t="s">
        <v>2692</v>
      </c>
      <c r="E843" s="105">
        <v>5</v>
      </c>
      <c r="F843" s="133">
        <v>32.86</v>
      </c>
      <c r="G843" s="133">
        <v>38</v>
      </c>
      <c r="H843" s="109"/>
      <c r="I843" s="119">
        <v>190</v>
      </c>
      <c r="J843" s="119">
        <v>0</v>
      </c>
      <c r="K843" s="119">
        <f t="shared" si="39"/>
        <v>190</v>
      </c>
      <c r="L843" s="152">
        <f t="shared" si="40"/>
        <v>164.3</v>
      </c>
      <c r="M843" s="113"/>
    </row>
    <row r="844" spans="1:13" x14ac:dyDescent="0.2">
      <c r="A844" s="106">
        <v>46190</v>
      </c>
      <c r="B844" s="105" t="s">
        <v>3765</v>
      </c>
      <c r="C844" s="105" t="s">
        <v>4622</v>
      </c>
      <c r="D844" s="149" t="s">
        <v>3766</v>
      </c>
      <c r="E844" s="105">
        <v>6</v>
      </c>
      <c r="F844" s="133">
        <v>65.95</v>
      </c>
      <c r="G844" s="133">
        <v>76</v>
      </c>
      <c r="H844" s="109"/>
      <c r="I844" s="119">
        <v>456</v>
      </c>
      <c r="J844" s="119">
        <v>0</v>
      </c>
      <c r="K844" s="119">
        <f t="shared" si="39"/>
        <v>456</v>
      </c>
      <c r="L844" s="152">
        <f t="shared" si="40"/>
        <v>395.70000000000005</v>
      </c>
      <c r="M844" s="113"/>
    </row>
    <row r="845" spans="1:13" x14ac:dyDescent="0.2">
      <c r="A845" s="106">
        <v>46190</v>
      </c>
      <c r="B845" s="105" t="s">
        <v>4583</v>
      </c>
      <c r="C845" s="105" t="s">
        <v>4622</v>
      </c>
      <c r="D845" s="149" t="s">
        <v>4688</v>
      </c>
      <c r="E845" s="105">
        <v>2</v>
      </c>
      <c r="F845" s="133">
        <v>29.25</v>
      </c>
      <c r="G845" s="133">
        <v>33.75</v>
      </c>
      <c r="H845" s="109"/>
      <c r="I845" s="119">
        <v>67.5</v>
      </c>
      <c r="J845" s="119">
        <v>0</v>
      </c>
      <c r="K845" s="119">
        <f t="shared" si="39"/>
        <v>67.5</v>
      </c>
      <c r="L845" s="152">
        <f t="shared" si="40"/>
        <v>58.5</v>
      </c>
      <c r="M845" s="113"/>
    </row>
    <row r="846" spans="1:13" x14ac:dyDescent="0.2">
      <c r="A846" s="106">
        <v>46190</v>
      </c>
      <c r="B846" s="105" t="s">
        <v>3761</v>
      </c>
      <c r="C846" s="105" t="s">
        <v>4622</v>
      </c>
      <c r="D846" s="149" t="s">
        <v>3763</v>
      </c>
      <c r="E846" s="105">
        <v>4</v>
      </c>
      <c r="F846" s="133">
        <v>26</v>
      </c>
      <c r="G846" s="133">
        <v>30.5</v>
      </c>
      <c r="H846" s="109"/>
      <c r="I846" s="119">
        <v>122</v>
      </c>
      <c r="J846" s="119">
        <v>0</v>
      </c>
      <c r="K846" s="119">
        <f t="shared" si="39"/>
        <v>122</v>
      </c>
      <c r="L846" s="152">
        <f t="shared" si="40"/>
        <v>104</v>
      </c>
      <c r="M846" s="113"/>
    </row>
    <row r="847" spans="1:13" x14ac:dyDescent="0.2">
      <c r="A847" s="106">
        <v>46190</v>
      </c>
      <c r="B847" s="105" t="s">
        <v>4584</v>
      </c>
      <c r="C847" s="105" t="s">
        <v>4622</v>
      </c>
      <c r="D847" s="149" t="s">
        <v>4689</v>
      </c>
      <c r="E847" s="105">
        <v>15</v>
      </c>
      <c r="F847" s="133">
        <v>20.75</v>
      </c>
      <c r="G847" s="133">
        <v>24.25</v>
      </c>
      <c r="H847" s="109"/>
      <c r="I847" s="119">
        <v>363.75</v>
      </c>
      <c r="J847" s="119">
        <v>0</v>
      </c>
      <c r="K847" s="119">
        <f t="shared" si="39"/>
        <v>363.75</v>
      </c>
      <c r="L847" s="152">
        <f t="shared" si="40"/>
        <v>311.25</v>
      </c>
      <c r="M847" s="113"/>
    </row>
    <row r="848" spans="1:13" x14ac:dyDescent="0.2">
      <c r="A848" s="106">
        <v>46190</v>
      </c>
      <c r="B848" s="105" t="s">
        <v>4585</v>
      </c>
      <c r="C848" s="105" t="s">
        <v>4622</v>
      </c>
      <c r="D848" s="149" t="s">
        <v>4690</v>
      </c>
      <c r="E848" s="105">
        <v>3</v>
      </c>
      <c r="F848" s="133">
        <v>39.5</v>
      </c>
      <c r="G848" s="133">
        <v>45.5</v>
      </c>
      <c r="H848" s="109"/>
      <c r="I848" s="119">
        <v>136.5</v>
      </c>
      <c r="J848" s="119">
        <v>0</v>
      </c>
      <c r="K848" s="119">
        <f t="shared" si="39"/>
        <v>136.5</v>
      </c>
      <c r="L848" s="152">
        <f t="shared" si="40"/>
        <v>118.5</v>
      </c>
      <c r="M848" s="113"/>
    </row>
    <row r="849" spans="1:13" x14ac:dyDescent="0.2">
      <c r="A849" s="106">
        <v>46190</v>
      </c>
      <c r="B849" s="105" t="s">
        <v>4301</v>
      </c>
      <c r="C849" s="105" t="s">
        <v>4622</v>
      </c>
      <c r="D849" s="149" t="s">
        <v>4302</v>
      </c>
      <c r="E849" s="105">
        <v>4</v>
      </c>
      <c r="F849" s="133">
        <v>38.75</v>
      </c>
      <c r="G849" s="133">
        <v>44.75</v>
      </c>
      <c r="H849" s="109"/>
      <c r="I849" s="119">
        <v>179</v>
      </c>
      <c r="J849" s="119">
        <v>0</v>
      </c>
      <c r="K849" s="119">
        <f t="shared" si="39"/>
        <v>179</v>
      </c>
      <c r="L849" s="152">
        <f t="shared" si="40"/>
        <v>155</v>
      </c>
      <c r="M849" s="113"/>
    </row>
    <row r="850" spans="1:13" x14ac:dyDescent="0.2">
      <c r="A850" s="106">
        <v>46190</v>
      </c>
      <c r="B850" s="105" t="s">
        <v>2702</v>
      </c>
      <c r="C850" s="105" t="s">
        <v>4622</v>
      </c>
      <c r="D850" s="149" t="s">
        <v>2703</v>
      </c>
      <c r="E850" s="105">
        <v>3</v>
      </c>
      <c r="F850" s="133">
        <v>51.5</v>
      </c>
      <c r="G850" s="133">
        <v>59.25</v>
      </c>
      <c r="H850" s="109"/>
      <c r="I850" s="119">
        <v>177.75</v>
      </c>
      <c r="J850" s="119">
        <v>0</v>
      </c>
      <c r="K850" s="119">
        <f t="shared" si="39"/>
        <v>177.75</v>
      </c>
      <c r="L850" s="152">
        <f t="shared" si="40"/>
        <v>154.5</v>
      </c>
      <c r="M850" s="113"/>
    </row>
    <row r="851" spans="1:13" x14ac:dyDescent="0.2">
      <c r="A851" s="106">
        <v>46190</v>
      </c>
      <c r="B851" s="105" t="s">
        <v>3397</v>
      </c>
      <c r="C851" s="105" t="s">
        <v>4622</v>
      </c>
      <c r="D851" s="149" t="s">
        <v>3399</v>
      </c>
      <c r="E851" s="105">
        <v>15</v>
      </c>
      <c r="F851" s="133">
        <v>13.56</v>
      </c>
      <c r="G851" s="133">
        <v>15.75</v>
      </c>
      <c r="H851" s="109"/>
      <c r="I851" s="119">
        <v>236.25</v>
      </c>
      <c r="J851" s="119">
        <v>0</v>
      </c>
      <c r="K851" s="119">
        <f t="shared" si="39"/>
        <v>236.25</v>
      </c>
      <c r="L851" s="152">
        <f t="shared" si="40"/>
        <v>203.4</v>
      </c>
      <c r="M851" s="113"/>
    </row>
    <row r="852" spans="1:13" x14ac:dyDescent="0.2">
      <c r="A852" s="106">
        <v>46190</v>
      </c>
      <c r="B852" s="105" t="s">
        <v>4523</v>
      </c>
      <c r="C852" s="105" t="s">
        <v>4622</v>
      </c>
      <c r="D852" s="149" t="s">
        <v>4628</v>
      </c>
      <c r="E852" s="105">
        <v>5</v>
      </c>
      <c r="F852" s="133">
        <v>10</v>
      </c>
      <c r="G852" s="133">
        <v>12.5</v>
      </c>
      <c r="H852" s="109"/>
      <c r="I852" s="119">
        <v>62.5</v>
      </c>
      <c r="J852" s="119">
        <v>0</v>
      </c>
      <c r="K852" s="119">
        <f t="shared" si="39"/>
        <v>62.5</v>
      </c>
      <c r="L852" s="152">
        <f t="shared" si="40"/>
        <v>50</v>
      </c>
      <c r="M852" s="113"/>
    </row>
    <row r="853" spans="1:13" x14ac:dyDescent="0.2">
      <c r="A853" s="106">
        <v>46190</v>
      </c>
      <c r="B853" s="105" t="s">
        <v>2507</v>
      </c>
      <c r="C853" s="105" t="s">
        <v>4622</v>
      </c>
      <c r="D853" s="149" t="s">
        <v>2508</v>
      </c>
      <c r="E853" s="105">
        <v>4</v>
      </c>
      <c r="F853" s="133">
        <v>48.6</v>
      </c>
      <c r="G853" s="133">
        <v>56</v>
      </c>
      <c r="H853" s="109"/>
      <c r="I853" s="119">
        <v>224</v>
      </c>
      <c r="J853" s="119">
        <v>0</v>
      </c>
      <c r="K853" s="119">
        <f t="shared" si="39"/>
        <v>224</v>
      </c>
      <c r="L853" s="152">
        <f t="shared" si="40"/>
        <v>194.4</v>
      </c>
      <c r="M853" s="113"/>
    </row>
    <row r="854" spans="1:13" x14ac:dyDescent="0.2">
      <c r="A854" s="106">
        <v>46190</v>
      </c>
      <c r="B854" s="105" t="s">
        <v>4199</v>
      </c>
      <c r="C854" s="105" t="s">
        <v>4622</v>
      </c>
      <c r="D854" s="149" t="s">
        <v>4200</v>
      </c>
      <c r="E854" s="105">
        <v>20</v>
      </c>
      <c r="F854" s="133">
        <v>24.24</v>
      </c>
      <c r="G854" s="133">
        <v>29.25</v>
      </c>
      <c r="H854" s="109"/>
      <c r="I854" s="119">
        <v>585</v>
      </c>
      <c r="J854" s="119">
        <v>0</v>
      </c>
      <c r="K854" s="119">
        <f t="shared" si="39"/>
        <v>585</v>
      </c>
      <c r="L854" s="152">
        <f t="shared" si="40"/>
        <v>484.79999999999995</v>
      </c>
      <c r="M854" s="113"/>
    </row>
    <row r="855" spans="1:13" x14ac:dyDescent="0.2">
      <c r="A855" s="106">
        <v>46190</v>
      </c>
      <c r="B855" s="105" t="s">
        <v>4586</v>
      </c>
      <c r="C855" s="105" t="s">
        <v>4622</v>
      </c>
      <c r="D855" s="149" t="s">
        <v>4691</v>
      </c>
      <c r="E855" s="105">
        <v>5</v>
      </c>
      <c r="F855" s="133">
        <v>70.7</v>
      </c>
      <c r="G855" s="133">
        <v>81.5</v>
      </c>
      <c r="H855" s="109"/>
      <c r="I855" s="119">
        <v>407.5</v>
      </c>
      <c r="J855" s="119">
        <v>0</v>
      </c>
      <c r="K855" s="119">
        <f t="shared" si="39"/>
        <v>407.5</v>
      </c>
      <c r="L855" s="152">
        <f t="shared" si="40"/>
        <v>353.5</v>
      </c>
      <c r="M855" s="113"/>
    </row>
    <row r="856" spans="1:13" x14ac:dyDescent="0.2">
      <c r="A856" s="106">
        <v>46190</v>
      </c>
      <c r="B856" s="105" t="s">
        <v>4587</v>
      </c>
      <c r="C856" s="105" t="s">
        <v>4622</v>
      </c>
      <c r="D856" s="149" t="s">
        <v>4692</v>
      </c>
      <c r="E856" s="105">
        <v>6</v>
      </c>
      <c r="F856" s="133">
        <v>45</v>
      </c>
      <c r="G856" s="133">
        <v>51.75</v>
      </c>
      <c r="H856" s="109"/>
      <c r="I856" s="119">
        <v>310.5</v>
      </c>
      <c r="J856" s="119">
        <v>0</v>
      </c>
      <c r="K856" s="119">
        <f t="shared" si="39"/>
        <v>310.5</v>
      </c>
      <c r="L856" s="152">
        <f t="shared" si="40"/>
        <v>270</v>
      </c>
      <c r="M856" s="113"/>
    </row>
    <row r="857" spans="1:13" x14ac:dyDescent="0.2">
      <c r="A857" s="106">
        <v>46190</v>
      </c>
      <c r="B857" s="105" t="s">
        <v>4588</v>
      </c>
      <c r="C857" s="105" t="s">
        <v>4622</v>
      </c>
      <c r="D857" s="149" t="s">
        <v>4693</v>
      </c>
      <c r="E857" s="105">
        <v>5</v>
      </c>
      <c r="F857" s="133">
        <v>27.9</v>
      </c>
      <c r="G857" s="133">
        <v>32.25</v>
      </c>
      <c r="H857" s="109"/>
      <c r="I857" s="119">
        <v>161.25</v>
      </c>
      <c r="J857" s="119">
        <v>0</v>
      </c>
      <c r="K857" s="119">
        <f t="shared" si="39"/>
        <v>161.25</v>
      </c>
      <c r="L857" s="152">
        <f t="shared" si="40"/>
        <v>139.5</v>
      </c>
      <c r="M857" s="113"/>
    </row>
    <row r="858" spans="1:13" x14ac:dyDescent="0.2">
      <c r="A858" s="106">
        <v>46190</v>
      </c>
      <c r="B858" s="105" t="s">
        <v>4589</v>
      </c>
      <c r="C858" s="105" t="s">
        <v>4622</v>
      </c>
      <c r="D858" s="149" t="s">
        <v>4694</v>
      </c>
      <c r="E858" s="105">
        <v>15</v>
      </c>
      <c r="F858" s="133">
        <v>35.43</v>
      </c>
      <c r="G858" s="133">
        <v>42.75</v>
      </c>
      <c r="H858" s="109"/>
      <c r="I858" s="119">
        <v>641.25</v>
      </c>
      <c r="J858" s="119">
        <v>0</v>
      </c>
      <c r="K858" s="119">
        <f t="shared" si="39"/>
        <v>641.25</v>
      </c>
      <c r="L858" s="152">
        <f t="shared" si="40"/>
        <v>531.45000000000005</v>
      </c>
      <c r="M858" s="113"/>
    </row>
    <row r="859" spans="1:13" x14ac:dyDescent="0.2">
      <c r="A859" s="106">
        <v>46190</v>
      </c>
      <c r="B859" s="105" t="s">
        <v>4590</v>
      </c>
      <c r="C859" s="105" t="s">
        <v>4622</v>
      </c>
      <c r="D859" s="149" t="s">
        <v>4695</v>
      </c>
      <c r="E859" s="105">
        <v>20</v>
      </c>
      <c r="F859" s="133">
        <v>7.28</v>
      </c>
      <c r="G859" s="133">
        <v>8.5</v>
      </c>
      <c r="H859" s="109"/>
      <c r="I859" s="119">
        <v>170</v>
      </c>
      <c r="J859" s="119">
        <v>0</v>
      </c>
      <c r="K859" s="119">
        <f t="shared" si="39"/>
        <v>170</v>
      </c>
      <c r="L859" s="152">
        <f t="shared" si="40"/>
        <v>145.6</v>
      </c>
      <c r="M859" s="113"/>
    </row>
    <row r="860" spans="1:13" x14ac:dyDescent="0.2">
      <c r="A860" s="106">
        <v>46190</v>
      </c>
      <c r="B860" s="105" t="s">
        <v>4591</v>
      </c>
      <c r="C860" s="105" t="s">
        <v>4622</v>
      </c>
      <c r="D860" s="149" t="s">
        <v>4696</v>
      </c>
      <c r="E860" s="105">
        <v>5</v>
      </c>
      <c r="F860" s="133">
        <v>35.549999999999997</v>
      </c>
      <c r="G860" s="133">
        <v>41</v>
      </c>
      <c r="H860" s="109"/>
      <c r="I860" s="119">
        <v>205</v>
      </c>
      <c r="J860" s="119">
        <v>0</v>
      </c>
      <c r="K860" s="119">
        <f t="shared" si="39"/>
        <v>205</v>
      </c>
      <c r="L860" s="152">
        <f t="shared" si="40"/>
        <v>177.75</v>
      </c>
      <c r="M860" s="113"/>
    </row>
    <row r="861" spans="1:13" x14ac:dyDescent="0.2">
      <c r="A861" s="106">
        <v>46190</v>
      </c>
      <c r="B861" s="105" t="s">
        <v>4592</v>
      </c>
      <c r="C861" s="105" t="s">
        <v>4622</v>
      </c>
      <c r="D861" s="149" t="s">
        <v>4697</v>
      </c>
      <c r="E861" s="105">
        <v>6</v>
      </c>
      <c r="F861" s="133">
        <v>32.18</v>
      </c>
      <c r="G861" s="133">
        <v>41</v>
      </c>
      <c r="H861" s="109"/>
      <c r="I861" s="119">
        <v>246</v>
      </c>
      <c r="J861" s="119">
        <v>4362.01</v>
      </c>
      <c r="K861" s="119">
        <f t="shared" si="39"/>
        <v>-4116.01</v>
      </c>
      <c r="L861" s="152">
        <f t="shared" si="40"/>
        <v>193.07999999999998</v>
      </c>
      <c r="M861" s="113"/>
    </row>
    <row r="862" spans="1:13" x14ac:dyDescent="0.2">
      <c r="A862" s="106">
        <v>46190</v>
      </c>
      <c r="B862" s="105" t="s">
        <v>3054</v>
      </c>
      <c r="C862" s="105" t="s">
        <v>4623</v>
      </c>
      <c r="D862" s="149" t="s">
        <v>3056</v>
      </c>
      <c r="E862" s="105">
        <v>4</v>
      </c>
      <c r="F862" s="133">
        <v>3500</v>
      </c>
      <c r="G862" s="133">
        <v>4000</v>
      </c>
      <c r="H862" s="109">
        <f t="shared" ref="H862:H903" si="41">E862*G862</f>
        <v>16000</v>
      </c>
      <c r="I862" s="119"/>
      <c r="J862" s="119">
        <v>0</v>
      </c>
      <c r="K862" s="119">
        <f t="shared" si="39"/>
        <v>16000</v>
      </c>
      <c r="L862" s="152">
        <f t="shared" si="40"/>
        <v>14000</v>
      </c>
      <c r="M862" s="113"/>
    </row>
    <row r="863" spans="1:13" x14ac:dyDescent="0.2">
      <c r="A863" s="106">
        <v>46191</v>
      </c>
      <c r="B863" s="105" t="s">
        <v>3101</v>
      </c>
      <c r="C863" s="105" t="s">
        <v>4721</v>
      </c>
      <c r="D863" s="149" t="s">
        <v>3102</v>
      </c>
      <c r="E863" s="105">
        <v>2</v>
      </c>
      <c r="F863" s="133">
        <v>30.83</v>
      </c>
      <c r="G863" s="133">
        <v>35.5</v>
      </c>
      <c r="H863" s="109">
        <f t="shared" si="41"/>
        <v>71</v>
      </c>
      <c r="I863" s="119"/>
      <c r="J863" s="119">
        <v>0</v>
      </c>
      <c r="K863" s="119">
        <f t="shared" si="39"/>
        <v>71</v>
      </c>
      <c r="L863" s="152">
        <f t="shared" si="40"/>
        <v>61.66</v>
      </c>
      <c r="M863" s="113"/>
    </row>
    <row r="864" spans="1:13" x14ac:dyDescent="0.2">
      <c r="A864" s="106">
        <v>46191</v>
      </c>
      <c r="B864" s="105" t="s">
        <v>2031</v>
      </c>
      <c r="C864" s="105" t="s">
        <v>4722</v>
      </c>
      <c r="D864" s="149" t="s">
        <v>2033</v>
      </c>
      <c r="E864" s="105">
        <v>1</v>
      </c>
      <c r="F864" s="133">
        <v>20.399999999999999</v>
      </c>
      <c r="G864" s="133">
        <v>24</v>
      </c>
      <c r="H864" s="109">
        <f t="shared" si="41"/>
        <v>24</v>
      </c>
      <c r="I864" s="119"/>
      <c r="J864" s="119">
        <v>0</v>
      </c>
      <c r="K864" s="119">
        <f t="shared" si="39"/>
        <v>24</v>
      </c>
      <c r="L864" s="152">
        <f t="shared" si="40"/>
        <v>20.399999999999999</v>
      </c>
      <c r="M864" s="113"/>
    </row>
    <row r="865" spans="1:13" x14ac:dyDescent="0.2">
      <c r="A865" s="106">
        <v>46191</v>
      </c>
      <c r="B865" s="105" t="s">
        <v>4714</v>
      </c>
      <c r="C865" s="105" t="s">
        <v>4723</v>
      </c>
      <c r="D865" s="149" t="s">
        <v>4749</v>
      </c>
      <c r="E865" s="105">
        <v>1</v>
      </c>
      <c r="F865" s="133">
        <v>213.74</v>
      </c>
      <c r="G865" s="133">
        <v>246</v>
      </c>
      <c r="H865" s="109">
        <f t="shared" si="41"/>
        <v>246</v>
      </c>
      <c r="I865" s="119"/>
      <c r="J865" s="119">
        <v>0</v>
      </c>
      <c r="K865" s="119">
        <f t="shared" si="39"/>
        <v>246</v>
      </c>
      <c r="L865" s="152">
        <f t="shared" si="40"/>
        <v>213.74</v>
      </c>
      <c r="M865" s="113"/>
    </row>
    <row r="866" spans="1:13" x14ac:dyDescent="0.2">
      <c r="A866" s="106">
        <v>46191</v>
      </c>
      <c r="B866" s="105" t="s">
        <v>1857</v>
      </c>
      <c r="C866" s="105" t="s">
        <v>4724</v>
      </c>
      <c r="D866" s="149" t="s">
        <v>1858</v>
      </c>
      <c r="E866" s="105">
        <v>1</v>
      </c>
      <c r="F866" s="133">
        <v>15.12</v>
      </c>
      <c r="G866" s="133">
        <v>17.5</v>
      </c>
      <c r="H866" s="109">
        <f t="shared" si="41"/>
        <v>17.5</v>
      </c>
      <c r="I866" s="119"/>
      <c r="J866" s="119">
        <v>0</v>
      </c>
      <c r="K866" s="119">
        <f t="shared" si="39"/>
        <v>17.5</v>
      </c>
      <c r="L866" s="152">
        <f t="shared" si="40"/>
        <v>15.12</v>
      </c>
      <c r="M866" s="113"/>
    </row>
    <row r="867" spans="1:13" x14ac:dyDescent="0.2">
      <c r="A867" s="106">
        <v>46191</v>
      </c>
      <c r="B867" s="105" t="s">
        <v>4715</v>
      </c>
      <c r="C867" s="105" t="s">
        <v>4725</v>
      </c>
      <c r="D867" s="149" t="s">
        <v>4750</v>
      </c>
      <c r="E867" s="105">
        <v>1</v>
      </c>
      <c r="F867" s="133">
        <v>6.15</v>
      </c>
      <c r="G867" s="133">
        <v>7.25</v>
      </c>
      <c r="H867" s="109">
        <f t="shared" si="41"/>
        <v>7.25</v>
      </c>
      <c r="I867" s="119"/>
      <c r="J867" s="119">
        <v>0</v>
      </c>
      <c r="K867" s="119">
        <f t="shared" si="39"/>
        <v>7.25</v>
      </c>
      <c r="L867" s="152">
        <f t="shared" si="40"/>
        <v>6.15</v>
      </c>
      <c r="M867" s="113"/>
    </row>
    <row r="868" spans="1:13" x14ac:dyDescent="0.2">
      <c r="A868" s="106">
        <v>46191</v>
      </c>
      <c r="B868" s="105" t="s">
        <v>2317</v>
      </c>
      <c r="C868" s="105" t="s">
        <v>4726</v>
      </c>
      <c r="D868" s="149" t="s">
        <v>2319</v>
      </c>
      <c r="E868" s="105">
        <v>1</v>
      </c>
      <c r="F868" s="133">
        <v>47.5</v>
      </c>
      <c r="G868" s="133">
        <v>54.75</v>
      </c>
      <c r="H868" s="109">
        <f t="shared" si="41"/>
        <v>54.75</v>
      </c>
      <c r="I868" s="119"/>
      <c r="J868" s="119">
        <v>0</v>
      </c>
      <c r="K868" s="119">
        <f t="shared" si="39"/>
        <v>54.75</v>
      </c>
      <c r="L868" s="152">
        <f t="shared" si="40"/>
        <v>47.5</v>
      </c>
      <c r="M868" s="113"/>
    </row>
    <row r="869" spans="1:13" x14ac:dyDescent="0.2">
      <c r="A869" s="106">
        <v>46191</v>
      </c>
      <c r="B869" s="105" t="s">
        <v>4716</v>
      </c>
      <c r="C869" s="105" t="s">
        <v>4727</v>
      </c>
      <c r="D869" s="149" t="s">
        <v>4751</v>
      </c>
      <c r="E869" s="105">
        <v>5</v>
      </c>
      <c r="F869" s="133">
        <v>0.81</v>
      </c>
      <c r="G869" s="133">
        <v>1</v>
      </c>
      <c r="H869" s="109">
        <f t="shared" si="41"/>
        <v>5</v>
      </c>
      <c r="I869" s="119"/>
      <c r="J869" s="119">
        <v>0</v>
      </c>
      <c r="K869" s="119">
        <f t="shared" si="39"/>
        <v>5</v>
      </c>
      <c r="L869" s="152">
        <f t="shared" si="40"/>
        <v>4.0500000000000007</v>
      </c>
      <c r="M869" s="113"/>
    </row>
    <row r="870" spans="1:13" x14ac:dyDescent="0.2">
      <c r="A870" s="106">
        <v>46191</v>
      </c>
      <c r="B870" s="105" t="s">
        <v>2226</v>
      </c>
      <c r="C870" s="105" t="s">
        <v>4728</v>
      </c>
      <c r="D870" s="149" t="s">
        <v>2228</v>
      </c>
      <c r="E870" s="105">
        <v>6</v>
      </c>
      <c r="F870" s="133">
        <v>19.47</v>
      </c>
      <c r="G870" s="133">
        <v>23</v>
      </c>
      <c r="H870" s="109">
        <f t="shared" si="41"/>
        <v>138</v>
      </c>
      <c r="I870" s="119"/>
      <c r="J870" s="119">
        <v>0</v>
      </c>
      <c r="K870" s="119">
        <f t="shared" si="39"/>
        <v>138</v>
      </c>
      <c r="L870" s="152">
        <f t="shared" si="40"/>
        <v>116.82</v>
      </c>
      <c r="M870" s="113"/>
    </row>
    <row r="871" spans="1:13" x14ac:dyDescent="0.2">
      <c r="A871" s="106">
        <v>46191</v>
      </c>
      <c r="B871" s="105" t="s">
        <v>2890</v>
      </c>
      <c r="C871" s="105" t="s">
        <v>4728</v>
      </c>
      <c r="D871" s="149" t="s">
        <v>2892</v>
      </c>
      <c r="E871" s="105">
        <v>1</v>
      </c>
      <c r="F871" s="133">
        <v>54.38</v>
      </c>
      <c r="G871" s="133">
        <v>62.75</v>
      </c>
      <c r="H871" s="109">
        <f t="shared" si="41"/>
        <v>62.75</v>
      </c>
      <c r="I871" s="119"/>
      <c r="J871" s="119">
        <v>0</v>
      </c>
      <c r="K871" s="119">
        <f t="shared" si="39"/>
        <v>62.75</v>
      </c>
      <c r="L871" s="152">
        <f t="shared" si="40"/>
        <v>54.38</v>
      </c>
      <c r="M871" s="113"/>
    </row>
    <row r="872" spans="1:13" x14ac:dyDescent="0.2">
      <c r="A872" s="106">
        <v>46191</v>
      </c>
      <c r="B872" s="105" t="s">
        <v>4717</v>
      </c>
      <c r="C872" s="105" t="s">
        <v>4728</v>
      </c>
      <c r="D872" s="149" t="s">
        <v>4752</v>
      </c>
      <c r="E872" s="105">
        <v>1</v>
      </c>
      <c r="F872" s="133">
        <v>27</v>
      </c>
      <c r="G872" s="133">
        <v>31.25</v>
      </c>
      <c r="H872" s="109">
        <f t="shared" si="41"/>
        <v>31.25</v>
      </c>
      <c r="I872" s="119"/>
      <c r="J872" s="119">
        <v>0</v>
      </c>
      <c r="K872" s="119">
        <f t="shared" si="39"/>
        <v>31.25</v>
      </c>
      <c r="L872" s="152">
        <f t="shared" si="40"/>
        <v>27</v>
      </c>
      <c r="M872" s="113"/>
    </row>
    <row r="873" spans="1:13" x14ac:dyDescent="0.2">
      <c r="A873" s="106">
        <v>46191</v>
      </c>
      <c r="B873" s="105" t="s">
        <v>3072</v>
      </c>
      <c r="C873" s="105" t="s">
        <v>4729</v>
      </c>
      <c r="D873" s="149" t="s">
        <v>3074</v>
      </c>
      <c r="E873" s="105">
        <v>2</v>
      </c>
      <c r="F873" s="133">
        <v>16.91</v>
      </c>
      <c r="G873" s="133">
        <v>18.600000000000001</v>
      </c>
      <c r="H873" s="109">
        <f t="shared" si="41"/>
        <v>37.200000000000003</v>
      </c>
      <c r="I873" s="119"/>
      <c r="J873" s="119">
        <v>0</v>
      </c>
      <c r="K873" s="119">
        <f t="shared" si="39"/>
        <v>37.200000000000003</v>
      </c>
      <c r="L873" s="152">
        <f t="shared" si="40"/>
        <v>33.82</v>
      </c>
      <c r="M873" s="113"/>
    </row>
    <row r="874" spans="1:13" x14ac:dyDescent="0.2">
      <c r="A874" s="106">
        <v>46191</v>
      </c>
      <c r="B874" s="105" t="s">
        <v>1924</v>
      </c>
      <c r="C874" s="105" t="s">
        <v>4729</v>
      </c>
      <c r="D874" s="149" t="s">
        <v>1926</v>
      </c>
      <c r="E874" s="105">
        <v>1</v>
      </c>
      <c r="F874" s="133">
        <v>10.64</v>
      </c>
      <c r="G874" s="133">
        <v>12.25</v>
      </c>
      <c r="H874" s="109">
        <f t="shared" si="41"/>
        <v>12.25</v>
      </c>
      <c r="I874" s="119"/>
      <c r="J874" s="119">
        <v>0</v>
      </c>
      <c r="K874" s="119">
        <f t="shared" si="39"/>
        <v>12.25</v>
      </c>
      <c r="L874" s="152">
        <f t="shared" si="40"/>
        <v>10.64</v>
      </c>
      <c r="M874" s="113"/>
    </row>
    <row r="875" spans="1:13" x14ac:dyDescent="0.2">
      <c r="A875" s="106">
        <v>46191</v>
      </c>
      <c r="B875" s="105" t="s">
        <v>2971</v>
      </c>
      <c r="C875" s="105" t="s">
        <v>4729</v>
      </c>
      <c r="D875" s="149" t="s">
        <v>2973</v>
      </c>
      <c r="E875" s="105">
        <v>1</v>
      </c>
      <c r="F875" s="133">
        <v>29</v>
      </c>
      <c r="G875" s="133">
        <v>33.75</v>
      </c>
      <c r="H875" s="109">
        <f t="shared" si="41"/>
        <v>33.75</v>
      </c>
      <c r="I875" s="119"/>
      <c r="J875" s="119">
        <v>0</v>
      </c>
      <c r="K875" s="119">
        <f t="shared" si="39"/>
        <v>33.75</v>
      </c>
      <c r="L875" s="152">
        <f t="shared" si="40"/>
        <v>29</v>
      </c>
      <c r="M875" s="113"/>
    </row>
    <row r="876" spans="1:13" x14ac:dyDescent="0.2">
      <c r="A876" s="106">
        <v>46191</v>
      </c>
      <c r="B876" s="105" t="s">
        <v>1924</v>
      </c>
      <c r="C876" s="105" t="s">
        <v>4730</v>
      </c>
      <c r="D876" s="149" t="s">
        <v>1926</v>
      </c>
      <c r="E876" s="105">
        <v>2</v>
      </c>
      <c r="F876" s="133">
        <v>10.64</v>
      </c>
      <c r="G876" s="133">
        <v>12.25</v>
      </c>
      <c r="H876" s="109">
        <f t="shared" si="41"/>
        <v>24.5</v>
      </c>
      <c r="I876" s="119"/>
      <c r="J876" s="119">
        <v>0</v>
      </c>
      <c r="K876" s="119">
        <f t="shared" si="39"/>
        <v>24.5</v>
      </c>
      <c r="L876" s="152">
        <f t="shared" si="40"/>
        <v>21.28</v>
      </c>
      <c r="M876" s="113"/>
    </row>
    <row r="877" spans="1:13" x14ac:dyDescent="0.2">
      <c r="A877" s="106">
        <v>46191</v>
      </c>
      <c r="B877" s="105" t="s">
        <v>1915</v>
      </c>
      <c r="C877" s="105" t="s">
        <v>4730</v>
      </c>
      <c r="D877" s="149" t="s">
        <v>1917</v>
      </c>
      <c r="E877" s="105">
        <v>1</v>
      </c>
      <c r="F877" s="133">
        <v>7.85</v>
      </c>
      <c r="G877" s="133">
        <v>12</v>
      </c>
      <c r="H877" s="109">
        <f t="shared" si="41"/>
        <v>12</v>
      </c>
      <c r="I877" s="119"/>
      <c r="J877" s="119">
        <v>0</v>
      </c>
      <c r="K877" s="119">
        <f t="shared" si="39"/>
        <v>12</v>
      </c>
      <c r="L877" s="152">
        <f t="shared" si="40"/>
        <v>7.85</v>
      </c>
      <c r="M877" s="113"/>
    </row>
    <row r="878" spans="1:13" x14ac:dyDescent="0.2">
      <c r="A878" s="106">
        <v>46191</v>
      </c>
      <c r="B878" s="105" t="s">
        <v>3072</v>
      </c>
      <c r="C878" s="105" t="s">
        <v>4730</v>
      </c>
      <c r="D878" s="149" t="s">
        <v>3074</v>
      </c>
      <c r="E878" s="105">
        <v>1</v>
      </c>
      <c r="F878" s="133">
        <v>16.91</v>
      </c>
      <c r="G878" s="133">
        <v>18.600000000000001</v>
      </c>
      <c r="H878" s="109">
        <f t="shared" si="41"/>
        <v>18.600000000000001</v>
      </c>
      <c r="I878" s="119"/>
      <c r="J878" s="119">
        <v>0</v>
      </c>
      <c r="K878" s="119">
        <f t="shared" si="39"/>
        <v>18.600000000000001</v>
      </c>
      <c r="L878" s="152">
        <f t="shared" si="40"/>
        <v>16.91</v>
      </c>
      <c r="M878" s="113"/>
    </row>
    <row r="879" spans="1:13" x14ac:dyDescent="0.2">
      <c r="A879" s="106">
        <v>46191</v>
      </c>
      <c r="B879" s="105" t="s">
        <v>1962</v>
      </c>
      <c r="C879" s="105" t="s">
        <v>4731</v>
      </c>
      <c r="D879" s="149" t="s">
        <v>1964</v>
      </c>
      <c r="E879" s="105">
        <v>1</v>
      </c>
      <c r="F879" s="133">
        <v>7.06</v>
      </c>
      <c r="G879" s="133">
        <v>8.25</v>
      </c>
      <c r="H879" s="109">
        <f t="shared" si="41"/>
        <v>8.25</v>
      </c>
      <c r="I879" s="119"/>
      <c r="J879" s="119">
        <v>0</v>
      </c>
      <c r="K879" s="119">
        <f t="shared" si="39"/>
        <v>8.25</v>
      </c>
      <c r="L879" s="152">
        <f t="shared" si="40"/>
        <v>7.06</v>
      </c>
      <c r="M879" s="113"/>
    </row>
    <row r="880" spans="1:13" x14ac:dyDescent="0.2">
      <c r="A880" s="106">
        <v>46191</v>
      </c>
      <c r="B880" s="105" t="s">
        <v>3092</v>
      </c>
      <c r="C880" s="105" t="s">
        <v>4731</v>
      </c>
      <c r="D880" s="149" t="s">
        <v>3093</v>
      </c>
      <c r="E880" s="105">
        <v>1</v>
      </c>
      <c r="F880" s="133">
        <v>7.06</v>
      </c>
      <c r="G880" s="133">
        <v>8.25</v>
      </c>
      <c r="H880" s="109">
        <f t="shared" si="41"/>
        <v>8.25</v>
      </c>
      <c r="I880" s="119"/>
      <c r="J880" s="119">
        <v>0</v>
      </c>
      <c r="K880" s="119">
        <f t="shared" si="39"/>
        <v>8.25</v>
      </c>
      <c r="L880" s="152">
        <f t="shared" si="40"/>
        <v>7.06</v>
      </c>
      <c r="M880" s="113"/>
    </row>
    <row r="881" spans="1:13" x14ac:dyDescent="0.2">
      <c r="A881" s="106">
        <v>46191</v>
      </c>
      <c r="B881" s="105" t="s">
        <v>2226</v>
      </c>
      <c r="C881" s="105" t="s">
        <v>4731</v>
      </c>
      <c r="D881" s="149" t="s">
        <v>2228</v>
      </c>
      <c r="E881" s="105">
        <v>1</v>
      </c>
      <c r="F881" s="133">
        <v>19.47</v>
      </c>
      <c r="G881" s="133">
        <v>23</v>
      </c>
      <c r="H881" s="109">
        <f t="shared" si="41"/>
        <v>23</v>
      </c>
      <c r="I881" s="119"/>
      <c r="J881" s="119">
        <v>0</v>
      </c>
      <c r="K881" s="119">
        <f t="shared" si="39"/>
        <v>23</v>
      </c>
      <c r="L881" s="152">
        <f t="shared" si="40"/>
        <v>19.47</v>
      </c>
      <c r="M881" s="113"/>
    </row>
    <row r="882" spans="1:13" x14ac:dyDescent="0.2">
      <c r="A882" s="106">
        <v>46191</v>
      </c>
      <c r="B882" s="105" t="s">
        <v>2018</v>
      </c>
      <c r="C882" s="105" t="s">
        <v>4732</v>
      </c>
      <c r="D882" s="149" t="s">
        <v>2019</v>
      </c>
      <c r="E882" s="105">
        <v>1</v>
      </c>
      <c r="F882" s="133">
        <v>30.79</v>
      </c>
      <c r="G882" s="133">
        <v>36.75</v>
      </c>
      <c r="H882" s="109">
        <f t="shared" si="41"/>
        <v>36.75</v>
      </c>
      <c r="I882" s="119"/>
      <c r="J882" s="119">
        <v>0</v>
      </c>
      <c r="K882" s="119">
        <f t="shared" si="39"/>
        <v>36.75</v>
      </c>
      <c r="L882" s="152">
        <f t="shared" si="40"/>
        <v>30.79</v>
      </c>
      <c r="M882" s="113"/>
    </row>
    <row r="883" spans="1:13" x14ac:dyDescent="0.2">
      <c r="A883" s="106">
        <v>46191</v>
      </c>
      <c r="B883" s="105" t="s">
        <v>1888</v>
      </c>
      <c r="C883" s="105" t="s">
        <v>4732</v>
      </c>
      <c r="D883" s="149" t="s">
        <v>1890</v>
      </c>
      <c r="E883" s="105">
        <v>1</v>
      </c>
      <c r="F883" s="133">
        <v>20.68</v>
      </c>
      <c r="G883" s="133">
        <v>24</v>
      </c>
      <c r="H883" s="109">
        <f t="shared" si="41"/>
        <v>24</v>
      </c>
      <c r="I883" s="119"/>
      <c r="J883" s="119">
        <v>0</v>
      </c>
      <c r="K883" s="119">
        <f t="shared" si="39"/>
        <v>24</v>
      </c>
      <c r="L883" s="152">
        <f t="shared" si="40"/>
        <v>20.68</v>
      </c>
      <c r="M883" s="113"/>
    </row>
    <row r="884" spans="1:13" x14ac:dyDescent="0.2">
      <c r="A884" s="106">
        <v>46191</v>
      </c>
      <c r="B884" s="105" t="s">
        <v>2441</v>
      </c>
      <c r="C884" s="105" t="s">
        <v>4732</v>
      </c>
      <c r="D884" s="149" t="s">
        <v>2443</v>
      </c>
      <c r="E884" s="105">
        <v>5</v>
      </c>
      <c r="F884" s="133">
        <v>0.81</v>
      </c>
      <c r="G884" s="133">
        <v>1</v>
      </c>
      <c r="H884" s="109">
        <f t="shared" si="41"/>
        <v>5</v>
      </c>
      <c r="I884" s="119"/>
      <c r="J884" s="119">
        <v>0</v>
      </c>
      <c r="K884" s="119">
        <f t="shared" si="39"/>
        <v>5</v>
      </c>
      <c r="L884" s="152">
        <f t="shared" si="40"/>
        <v>4.0500000000000007</v>
      </c>
      <c r="M884" s="113"/>
    </row>
    <row r="885" spans="1:13" x14ac:dyDescent="0.2">
      <c r="A885" s="106">
        <v>46191</v>
      </c>
      <c r="B885" s="105" t="s">
        <v>2890</v>
      </c>
      <c r="C885" s="105" t="s">
        <v>4733</v>
      </c>
      <c r="D885" s="149" t="s">
        <v>2892</v>
      </c>
      <c r="E885" s="105">
        <v>1</v>
      </c>
      <c r="F885" s="133">
        <v>54.38</v>
      </c>
      <c r="G885" s="133">
        <v>62.75</v>
      </c>
      <c r="H885" s="109">
        <f t="shared" si="41"/>
        <v>62.75</v>
      </c>
      <c r="I885" s="119"/>
      <c r="J885" s="119">
        <v>0</v>
      </c>
      <c r="K885" s="119">
        <f t="shared" si="39"/>
        <v>62.75</v>
      </c>
      <c r="L885" s="152">
        <f t="shared" si="40"/>
        <v>54.38</v>
      </c>
      <c r="M885" s="113"/>
    </row>
    <row r="886" spans="1:13" x14ac:dyDescent="0.2">
      <c r="A886" s="106">
        <v>46191</v>
      </c>
      <c r="B886" s="105" t="s">
        <v>2245</v>
      </c>
      <c r="C886" s="105" t="s">
        <v>4734</v>
      </c>
      <c r="D886" s="149" t="s">
        <v>2246</v>
      </c>
      <c r="E886" s="105">
        <v>16</v>
      </c>
      <c r="F886" s="133">
        <v>4.74</v>
      </c>
      <c r="G886" s="133">
        <v>5.5</v>
      </c>
      <c r="H886" s="109">
        <f t="shared" si="41"/>
        <v>88</v>
      </c>
      <c r="I886" s="119"/>
      <c r="J886" s="119">
        <v>0</v>
      </c>
      <c r="K886" s="119">
        <f t="shared" si="39"/>
        <v>88</v>
      </c>
      <c r="L886" s="152">
        <f t="shared" si="40"/>
        <v>75.84</v>
      </c>
      <c r="M886" s="113"/>
    </row>
    <row r="887" spans="1:13" x14ac:dyDescent="0.2">
      <c r="A887" s="106">
        <v>46191</v>
      </c>
      <c r="B887" s="105" t="s">
        <v>3437</v>
      </c>
      <c r="C887" s="105" t="s">
        <v>4735</v>
      </c>
      <c r="D887" s="149" t="s">
        <v>3439</v>
      </c>
      <c r="E887" s="105">
        <v>1</v>
      </c>
      <c r="F887" s="133">
        <v>13.12</v>
      </c>
      <c r="G887" s="133">
        <v>15.25</v>
      </c>
      <c r="H887" s="109">
        <f t="shared" si="41"/>
        <v>15.25</v>
      </c>
      <c r="I887" s="119"/>
      <c r="J887" s="119">
        <v>0</v>
      </c>
      <c r="K887" s="119">
        <f t="shared" si="39"/>
        <v>15.25</v>
      </c>
      <c r="L887" s="152">
        <f t="shared" si="40"/>
        <v>13.12</v>
      </c>
      <c r="M887" s="113"/>
    </row>
    <row r="888" spans="1:13" x14ac:dyDescent="0.2">
      <c r="A888" s="106">
        <v>46191</v>
      </c>
      <c r="B888" s="105" t="s">
        <v>4718</v>
      </c>
      <c r="C888" s="105" t="s">
        <v>4735</v>
      </c>
      <c r="D888" s="149" t="s">
        <v>4753</v>
      </c>
      <c r="E888" s="105">
        <v>1</v>
      </c>
      <c r="F888" s="133">
        <v>14.5</v>
      </c>
      <c r="G888" s="133">
        <v>16.75</v>
      </c>
      <c r="H888" s="109">
        <f t="shared" si="41"/>
        <v>16.75</v>
      </c>
      <c r="I888" s="119"/>
      <c r="J888" s="119">
        <v>0</v>
      </c>
      <c r="K888" s="119">
        <f t="shared" si="39"/>
        <v>16.75</v>
      </c>
      <c r="L888" s="152">
        <f t="shared" si="40"/>
        <v>14.5</v>
      </c>
      <c r="M888" s="113"/>
    </row>
    <row r="889" spans="1:13" x14ac:dyDescent="0.2">
      <c r="A889" s="106">
        <v>46191</v>
      </c>
      <c r="B889" s="105" t="s">
        <v>3195</v>
      </c>
      <c r="C889" s="105" t="s">
        <v>4736</v>
      </c>
      <c r="D889" s="149" t="s">
        <v>3196</v>
      </c>
      <c r="E889" s="105">
        <v>1</v>
      </c>
      <c r="F889" s="133">
        <v>64.58</v>
      </c>
      <c r="G889" s="133">
        <v>74.5</v>
      </c>
      <c r="H889" s="109">
        <f t="shared" si="41"/>
        <v>74.5</v>
      </c>
      <c r="I889" s="119"/>
      <c r="J889" s="119">
        <v>0</v>
      </c>
      <c r="K889" s="119">
        <f t="shared" si="39"/>
        <v>74.5</v>
      </c>
      <c r="L889" s="152">
        <f t="shared" si="40"/>
        <v>64.58</v>
      </c>
      <c r="M889" s="113"/>
    </row>
    <row r="890" spans="1:13" x14ac:dyDescent="0.2">
      <c r="A890" s="106">
        <v>46191</v>
      </c>
      <c r="B890" s="105" t="s">
        <v>2237</v>
      </c>
      <c r="C890" s="105" t="s">
        <v>4737</v>
      </c>
      <c r="D890" s="149" t="s">
        <v>2239</v>
      </c>
      <c r="E890" s="105">
        <v>1</v>
      </c>
      <c r="F890" s="133">
        <v>13.32</v>
      </c>
      <c r="G890" s="133">
        <v>15.5</v>
      </c>
      <c r="H890" s="109">
        <f t="shared" si="41"/>
        <v>15.5</v>
      </c>
      <c r="I890" s="119"/>
      <c r="J890" s="119">
        <v>0</v>
      </c>
      <c r="K890" s="119">
        <f t="shared" si="39"/>
        <v>15.5</v>
      </c>
      <c r="L890" s="152">
        <f t="shared" si="40"/>
        <v>13.32</v>
      </c>
      <c r="M890" s="113"/>
    </row>
    <row r="891" spans="1:13" x14ac:dyDescent="0.2">
      <c r="A891" s="106">
        <v>46191</v>
      </c>
      <c r="B891" s="105" t="s">
        <v>2002</v>
      </c>
      <c r="C891" s="105" t="s">
        <v>4737</v>
      </c>
      <c r="D891" s="149" t="s">
        <v>2004</v>
      </c>
      <c r="E891" s="105">
        <v>1</v>
      </c>
      <c r="F891" s="133">
        <v>12.56</v>
      </c>
      <c r="G891" s="133">
        <v>14.25</v>
      </c>
      <c r="H891" s="109">
        <f t="shared" si="41"/>
        <v>14.25</v>
      </c>
      <c r="I891" s="119"/>
      <c r="J891" s="119">
        <v>0</v>
      </c>
      <c r="K891" s="119">
        <f t="shared" si="39"/>
        <v>14.25</v>
      </c>
      <c r="L891" s="152">
        <f t="shared" si="40"/>
        <v>12.56</v>
      </c>
      <c r="M891" s="113"/>
    </row>
    <row r="892" spans="1:13" x14ac:dyDescent="0.2">
      <c r="A892" s="106">
        <v>46191</v>
      </c>
      <c r="B892" s="105" t="s">
        <v>1924</v>
      </c>
      <c r="C892" s="105" t="s">
        <v>4737</v>
      </c>
      <c r="D892" s="149" t="s">
        <v>1926</v>
      </c>
      <c r="E892" s="105">
        <v>1</v>
      </c>
      <c r="F892" s="133">
        <v>10.64</v>
      </c>
      <c r="G892" s="133">
        <v>12.25</v>
      </c>
      <c r="H892" s="109">
        <f t="shared" si="41"/>
        <v>12.25</v>
      </c>
      <c r="I892" s="119"/>
      <c r="J892" s="119">
        <v>0</v>
      </c>
      <c r="K892" s="119">
        <f t="shared" si="39"/>
        <v>12.25</v>
      </c>
      <c r="L892" s="152">
        <f t="shared" si="40"/>
        <v>10.64</v>
      </c>
      <c r="M892" s="113"/>
    </row>
    <row r="893" spans="1:13" x14ac:dyDescent="0.2">
      <c r="A893" s="106">
        <v>46191</v>
      </c>
      <c r="B893" s="105" t="s">
        <v>1798</v>
      </c>
      <c r="C893" s="105" t="s">
        <v>4737</v>
      </c>
      <c r="D893" s="149" t="s">
        <v>1799</v>
      </c>
      <c r="E893" s="105">
        <v>1</v>
      </c>
      <c r="F893" s="133">
        <v>8.1999999999999993</v>
      </c>
      <c r="G893" s="133">
        <v>9.5</v>
      </c>
      <c r="H893" s="109">
        <f t="shared" si="41"/>
        <v>9.5</v>
      </c>
      <c r="I893" s="119"/>
      <c r="J893" s="119">
        <v>0</v>
      </c>
      <c r="K893" s="119">
        <f t="shared" si="39"/>
        <v>9.5</v>
      </c>
      <c r="L893" s="152">
        <f t="shared" si="40"/>
        <v>8.1999999999999993</v>
      </c>
      <c r="M893" s="113"/>
    </row>
    <row r="894" spans="1:13" x14ac:dyDescent="0.2">
      <c r="A894" s="106">
        <v>46191</v>
      </c>
      <c r="B894" s="105" t="s">
        <v>1806</v>
      </c>
      <c r="C894" s="105" t="s">
        <v>4738</v>
      </c>
      <c r="D894" s="149" t="s">
        <v>1807</v>
      </c>
      <c r="E894" s="105">
        <v>1</v>
      </c>
      <c r="F894" s="133">
        <v>15.65</v>
      </c>
      <c r="G894" s="133">
        <v>18</v>
      </c>
      <c r="H894" s="109">
        <f t="shared" si="41"/>
        <v>18</v>
      </c>
      <c r="I894" s="119"/>
      <c r="J894" s="119">
        <v>0</v>
      </c>
      <c r="K894" s="119">
        <f t="shared" si="39"/>
        <v>18</v>
      </c>
      <c r="L894" s="152">
        <f t="shared" si="40"/>
        <v>15.65</v>
      </c>
      <c r="M894" s="113"/>
    </row>
    <row r="895" spans="1:13" x14ac:dyDescent="0.2">
      <c r="A895" s="106">
        <v>46191</v>
      </c>
      <c r="B895" s="105" t="s">
        <v>3314</v>
      </c>
      <c r="C895" s="105" t="s">
        <v>4738</v>
      </c>
      <c r="D895" s="149" t="s">
        <v>3316</v>
      </c>
      <c r="E895" s="105">
        <v>1</v>
      </c>
      <c r="F895" s="133">
        <v>15.68</v>
      </c>
      <c r="G895" s="133">
        <v>18</v>
      </c>
      <c r="H895" s="109">
        <f t="shared" si="41"/>
        <v>18</v>
      </c>
      <c r="I895" s="119"/>
      <c r="J895" s="119">
        <v>0</v>
      </c>
      <c r="K895" s="119">
        <f t="shared" si="39"/>
        <v>18</v>
      </c>
      <c r="L895" s="152">
        <f t="shared" si="40"/>
        <v>15.68</v>
      </c>
      <c r="M895" s="113"/>
    </row>
    <row r="896" spans="1:13" x14ac:dyDescent="0.2">
      <c r="A896" s="106">
        <v>46191</v>
      </c>
      <c r="B896" s="105" t="s">
        <v>4522</v>
      </c>
      <c r="C896" s="105" t="s">
        <v>4739</v>
      </c>
      <c r="D896" s="149" t="s">
        <v>4627</v>
      </c>
      <c r="E896" s="105">
        <v>1</v>
      </c>
      <c r="F896" s="133">
        <v>6.15</v>
      </c>
      <c r="G896" s="133">
        <v>7.25</v>
      </c>
      <c r="H896" s="109">
        <f t="shared" si="41"/>
        <v>7.25</v>
      </c>
      <c r="I896" s="119"/>
      <c r="J896" s="119">
        <v>0</v>
      </c>
      <c r="K896" s="119">
        <f t="shared" si="39"/>
        <v>7.25</v>
      </c>
      <c r="L896" s="152">
        <f t="shared" si="40"/>
        <v>6.15</v>
      </c>
      <c r="M896" s="113"/>
    </row>
    <row r="897" spans="1:13" x14ac:dyDescent="0.2">
      <c r="A897" s="106">
        <v>46191</v>
      </c>
      <c r="B897" s="105" t="s">
        <v>2620</v>
      </c>
      <c r="C897" s="105" t="s">
        <v>4740</v>
      </c>
      <c r="D897" s="149" t="s">
        <v>2621</v>
      </c>
      <c r="E897" s="105">
        <v>1</v>
      </c>
      <c r="F897" s="133">
        <v>37</v>
      </c>
      <c r="G897" s="133">
        <v>42.75</v>
      </c>
      <c r="H897" s="109">
        <f t="shared" si="41"/>
        <v>42.75</v>
      </c>
      <c r="I897" s="119"/>
      <c r="J897" s="119">
        <v>0</v>
      </c>
      <c r="K897" s="119">
        <f t="shared" si="39"/>
        <v>42.75</v>
      </c>
      <c r="L897" s="152">
        <f t="shared" si="40"/>
        <v>37</v>
      </c>
      <c r="M897" s="113"/>
    </row>
    <row r="898" spans="1:13" x14ac:dyDescent="0.2">
      <c r="A898" s="106">
        <v>46191</v>
      </c>
      <c r="B898" s="105" t="s">
        <v>4719</v>
      </c>
      <c r="C898" s="105" t="s">
        <v>4740</v>
      </c>
      <c r="D898" s="149" t="s">
        <v>4754</v>
      </c>
      <c r="E898" s="105">
        <v>1</v>
      </c>
      <c r="F898" s="133">
        <v>115.88</v>
      </c>
      <c r="G898" s="133">
        <v>133.5</v>
      </c>
      <c r="H898" s="109">
        <f t="shared" si="41"/>
        <v>133.5</v>
      </c>
      <c r="I898" s="119"/>
      <c r="J898" s="119">
        <v>0</v>
      </c>
      <c r="K898" s="119">
        <f t="shared" si="39"/>
        <v>133.5</v>
      </c>
      <c r="L898" s="152">
        <f t="shared" si="40"/>
        <v>115.88</v>
      </c>
      <c r="M898" s="113"/>
    </row>
    <row r="899" spans="1:13" x14ac:dyDescent="0.2">
      <c r="A899" s="106">
        <v>46191</v>
      </c>
      <c r="B899" s="105" t="s">
        <v>3078</v>
      </c>
      <c r="C899" s="105" t="s">
        <v>4740</v>
      </c>
      <c r="D899" s="149" t="s">
        <v>3080</v>
      </c>
      <c r="E899" s="105">
        <v>2</v>
      </c>
      <c r="F899" s="133">
        <v>58.84</v>
      </c>
      <c r="G899" s="133">
        <v>67.75</v>
      </c>
      <c r="H899" s="109">
        <f t="shared" si="41"/>
        <v>135.5</v>
      </c>
      <c r="I899" s="119"/>
      <c r="J899" s="119">
        <v>0</v>
      </c>
      <c r="K899" s="119">
        <f t="shared" si="39"/>
        <v>135.5</v>
      </c>
      <c r="L899" s="152">
        <f t="shared" si="40"/>
        <v>117.68</v>
      </c>
      <c r="M899" s="113"/>
    </row>
    <row r="900" spans="1:13" x14ac:dyDescent="0.2">
      <c r="A900" s="106">
        <v>46191</v>
      </c>
      <c r="B900" s="105" t="s">
        <v>1798</v>
      </c>
      <c r="C900" s="105" t="s">
        <v>4740</v>
      </c>
      <c r="D900" s="149" t="s">
        <v>1799</v>
      </c>
      <c r="E900" s="105">
        <v>1</v>
      </c>
      <c r="F900" s="133">
        <v>8.1999999999999993</v>
      </c>
      <c r="G900" s="133">
        <v>9.5</v>
      </c>
      <c r="H900" s="109">
        <f t="shared" si="41"/>
        <v>9.5</v>
      </c>
      <c r="I900" s="119"/>
      <c r="J900" s="119">
        <v>0</v>
      </c>
      <c r="K900" s="119">
        <f t="shared" si="39"/>
        <v>9.5</v>
      </c>
      <c r="L900" s="152">
        <f t="shared" si="40"/>
        <v>8.1999999999999993</v>
      </c>
      <c r="M900" s="113"/>
    </row>
    <row r="901" spans="1:13" x14ac:dyDescent="0.2">
      <c r="A901" s="106">
        <v>46191</v>
      </c>
      <c r="B901" s="105" t="s">
        <v>3569</v>
      </c>
      <c r="C901" s="105" t="s">
        <v>4740</v>
      </c>
      <c r="D901" s="149" t="s">
        <v>3571</v>
      </c>
      <c r="E901" s="105">
        <v>1</v>
      </c>
      <c r="F901" s="133">
        <v>21.17</v>
      </c>
      <c r="G901" s="133">
        <v>24.5</v>
      </c>
      <c r="H901" s="109">
        <f t="shared" si="41"/>
        <v>24.5</v>
      </c>
      <c r="I901" s="119"/>
      <c r="J901" s="119">
        <v>0</v>
      </c>
      <c r="K901" s="119">
        <f t="shared" si="39"/>
        <v>24.5</v>
      </c>
      <c r="L901" s="152">
        <f t="shared" si="40"/>
        <v>21.17</v>
      </c>
      <c r="M901" s="113"/>
    </row>
    <row r="902" spans="1:13" x14ac:dyDescent="0.2">
      <c r="A902" s="106">
        <v>46191</v>
      </c>
      <c r="B902" s="105" t="s">
        <v>4720</v>
      </c>
      <c r="C902" s="105" t="s">
        <v>4741</v>
      </c>
      <c r="D902" s="149" t="s">
        <v>4755</v>
      </c>
      <c r="E902" s="105">
        <v>1</v>
      </c>
      <c r="F902" s="133">
        <v>25.03</v>
      </c>
      <c r="G902" s="133">
        <v>29</v>
      </c>
      <c r="H902" s="109">
        <f t="shared" si="41"/>
        <v>29</v>
      </c>
      <c r="I902" s="119"/>
      <c r="J902" s="119">
        <v>0</v>
      </c>
      <c r="K902" s="119">
        <f t="shared" si="39"/>
        <v>29</v>
      </c>
      <c r="L902" s="152">
        <f t="shared" si="40"/>
        <v>25.03</v>
      </c>
      <c r="M902" s="113"/>
    </row>
    <row r="903" spans="1:13" x14ac:dyDescent="0.2">
      <c r="A903" s="106">
        <v>46191</v>
      </c>
      <c r="B903" s="105" t="s">
        <v>3434</v>
      </c>
      <c r="C903" s="105" t="s">
        <v>4741</v>
      </c>
      <c r="D903" s="149" t="s">
        <v>3436</v>
      </c>
      <c r="E903" s="105">
        <v>2</v>
      </c>
      <c r="F903" s="133">
        <v>7.06</v>
      </c>
      <c r="G903" s="133">
        <v>8.25</v>
      </c>
      <c r="H903" s="109">
        <f t="shared" si="41"/>
        <v>16.5</v>
      </c>
      <c r="I903" s="119"/>
      <c r="J903" s="119">
        <v>1.5</v>
      </c>
      <c r="K903" s="119">
        <f t="shared" si="39"/>
        <v>15</v>
      </c>
      <c r="L903" s="152">
        <f t="shared" si="40"/>
        <v>14.12</v>
      </c>
      <c r="M903" s="113"/>
    </row>
    <row r="904" spans="1:13" x14ac:dyDescent="0.2">
      <c r="A904" s="106">
        <v>46191</v>
      </c>
      <c r="B904" s="105" t="s">
        <v>2323</v>
      </c>
      <c r="C904" s="105" t="s">
        <v>4742</v>
      </c>
      <c r="D904" s="149" t="s">
        <v>2325</v>
      </c>
      <c r="E904" s="105">
        <v>1</v>
      </c>
      <c r="F904" s="133">
        <v>19.100000000000001</v>
      </c>
      <c r="G904" s="133">
        <v>22</v>
      </c>
      <c r="H904" s="109">
        <f t="shared" ref="H904:H967" si="42">E904*G904</f>
        <v>22</v>
      </c>
      <c r="I904" s="119"/>
      <c r="J904" s="119">
        <v>0</v>
      </c>
      <c r="K904" s="119">
        <f t="shared" ref="K904:K967" si="43">H904+I904-J904</f>
        <v>22</v>
      </c>
      <c r="L904" s="152">
        <f t="shared" ref="L904:L967" si="44">E904*F904</f>
        <v>19.100000000000001</v>
      </c>
      <c r="M904" s="113"/>
    </row>
    <row r="905" spans="1:13" x14ac:dyDescent="0.2">
      <c r="A905" s="106">
        <v>46191</v>
      </c>
      <c r="B905" s="105" t="s">
        <v>3641</v>
      </c>
      <c r="C905" s="105" t="s">
        <v>4743</v>
      </c>
      <c r="D905" s="149" t="s">
        <v>3642</v>
      </c>
      <c r="E905" s="105">
        <v>2</v>
      </c>
      <c r="F905" s="133">
        <v>12.39</v>
      </c>
      <c r="G905" s="133">
        <v>14.5</v>
      </c>
      <c r="H905" s="109">
        <f t="shared" si="42"/>
        <v>29</v>
      </c>
      <c r="I905" s="119"/>
      <c r="J905" s="119">
        <v>0</v>
      </c>
      <c r="K905" s="119">
        <f t="shared" si="43"/>
        <v>29</v>
      </c>
      <c r="L905" s="152">
        <f t="shared" si="44"/>
        <v>24.78</v>
      </c>
      <c r="M905" s="113"/>
    </row>
    <row r="906" spans="1:13" x14ac:dyDescent="0.2">
      <c r="A906" s="106">
        <v>46191</v>
      </c>
      <c r="B906" s="105" t="s">
        <v>2680</v>
      </c>
      <c r="C906" s="105" t="s">
        <v>4743</v>
      </c>
      <c r="D906" s="149" t="s">
        <v>2681</v>
      </c>
      <c r="E906" s="105">
        <v>1</v>
      </c>
      <c r="F906" s="133">
        <v>18.2</v>
      </c>
      <c r="G906" s="133">
        <v>21</v>
      </c>
      <c r="H906" s="109">
        <f t="shared" si="42"/>
        <v>21</v>
      </c>
      <c r="I906" s="119"/>
      <c r="J906" s="119">
        <v>0</v>
      </c>
      <c r="K906" s="119">
        <f t="shared" si="43"/>
        <v>21</v>
      </c>
      <c r="L906" s="152">
        <f t="shared" si="44"/>
        <v>18.2</v>
      </c>
      <c r="M906" s="113"/>
    </row>
    <row r="907" spans="1:13" x14ac:dyDescent="0.2">
      <c r="A907" s="106">
        <v>46191</v>
      </c>
      <c r="B907" s="105" t="s">
        <v>2834</v>
      </c>
      <c r="C907" s="105" t="s">
        <v>4744</v>
      </c>
      <c r="D907" s="149" t="s">
        <v>2835</v>
      </c>
      <c r="E907" s="105">
        <v>1</v>
      </c>
      <c r="F907" s="133">
        <v>6.83</v>
      </c>
      <c r="G907" s="133">
        <v>7.75</v>
      </c>
      <c r="H907" s="109">
        <f t="shared" si="42"/>
        <v>7.75</v>
      </c>
      <c r="I907" s="119"/>
      <c r="J907" s="119">
        <v>0</v>
      </c>
      <c r="K907" s="119">
        <f t="shared" si="43"/>
        <v>7.75</v>
      </c>
      <c r="L907" s="152">
        <f t="shared" si="44"/>
        <v>6.83</v>
      </c>
      <c r="M907" s="113"/>
    </row>
    <row r="908" spans="1:13" x14ac:dyDescent="0.2">
      <c r="A908" s="106">
        <v>46191</v>
      </c>
      <c r="B908" s="105" t="s">
        <v>3842</v>
      </c>
      <c r="C908" s="105" t="s">
        <v>4745</v>
      </c>
      <c r="D908" s="149" t="s">
        <v>3844</v>
      </c>
      <c r="E908" s="105">
        <v>1</v>
      </c>
      <c r="F908" s="133">
        <v>41.83</v>
      </c>
      <c r="G908" s="133">
        <v>48.25</v>
      </c>
      <c r="H908" s="109">
        <f t="shared" si="42"/>
        <v>48.25</v>
      </c>
      <c r="I908" s="119"/>
      <c r="J908" s="119">
        <v>0</v>
      </c>
      <c r="K908" s="119">
        <f t="shared" si="43"/>
        <v>48.25</v>
      </c>
      <c r="L908" s="152">
        <f t="shared" si="44"/>
        <v>41.83</v>
      </c>
      <c r="M908" s="113"/>
    </row>
    <row r="909" spans="1:13" x14ac:dyDescent="0.2">
      <c r="A909" s="106">
        <v>46191</v>
      </c>
      <c r="B909" s="105" t="s">
        <v>2801</v>
      </c>
      <c r="C909" s="105" t="s">
        <v>4746</v>
      </c>
      <c r="D909" s="149" t="s">
        <v>2802</v>
      </c>
      <c r="E909" s="105">
        <v>1</v>
      </c>
      <c r="F909" s="133">
        <v>5.41</v>
      </c>
      <c r="G909" s="133">
        <v>6.25</v>
      </c>
      <c r="H909" s="109">
        <f t="shared" si="42"/>
        <v>6.25</v>
      </c>
      <c r="I909" s="119"/>
      <c r="J909" s="119">
        <v>0</v>
      </c>
      <c r="K909" s="119">
        <f t="shared" si="43"/>
        <v>6.25</v>
      </c>
      <c r="L909" s="152">
        <f t="shared" si="44"/>
        <v>5.41</v>
      </c>
      <c r="M909" s="113"/>
    </row>
    <row r="910" spans="1:13" x14ac:dyDescent="0.2">
      <c r="A910" s="106">
        <v>46191</v>
      </c>
      <c r="B910" s="105" t="s">
        <v>3101</v>
      </c>
      <c r="C910" s="105" t="s">
        <v>4747</v>
      </c>
      <c r="D910" s="149" t="s">
        <v>3102</v>
      </c>
      <c r="E910" s="105">
        <v>4</v>
      </c>
      <c r="F910" s="133">
        <v>30.83</v>
      </c>
      <c r="G910" s="133">
        <v>35.5</v>
      </c>
      <c r="H910" s="109">
        <f t="shared" si="42"/>
        <v>142</v>
      </c>
      <c r="I910" s="119"/>
      <c r="J910" s="119">
        <v>0</v>
      </c>
      <c r="K910" s="119">
        <f t="shared" si="43"/>
        <v>142</v>
      </c>
      <c r="L910" s="152">
        <f t="shared" si="44"/>
        <v>123.32</v>
      </c>
      <c r="M910" s="113"/>
    </row>
    <row r="911" spans="1:13" x14ac:dyDescent="0.2">
      <c r="A911" s="106">
        <v>46191</v>
      </c>
      <c r="B911" s="105" t="s">
        <v>2507</v>
      </c>
      <c r="C911" s="105" t="s">
        <v>4747</v>
      </c>
      <c r="D911" s="149" t="s">
        <v>2508</v>
      </c>
      <c r="E911" s="105">
        <v>2</v>
      </c>
      <c r="F911" s="133">
        <v>48.6</v>
      </c>
      <c r="G911" s="133">
        <v>56</v>
      </c>
      <c r="H911" s="109">
        <f t="shared" si="42"/>
        <v>112</v>
      </c>
      <c r="I911" s="119"/>
      <c r="J911" s="119">
        <v>0</v>
      </c>
      <c r="K911" s="119">
        <f t="shared" si="43"/>
        <v>112</v>
      </c>
      <c r="L911" s="152">
        <f t="shared" si="44"/>
        <v>97.2</v>
      </c>
      <c r="M911" s="113"/>
    </row>
    <row r="912" spans="1:13" x14ac:dyDescent="0.2">
      <c r="A912" s="106">
        <v>46191</v>
      </c>
      <c r="B912" s="105" t="s">
        <v>2298</v>
      </c>
      <c r="C912" s="105" t="s">
        <v>4747</v>
      </c>
      <c r="D912" s="149" t="s">
        <v>2299</v>
      </c>
      <c r="E912" s="105">
        <v>2</v>
      </c>
      <c r="F912" s="133">
        <v>20.8</v>
      </c>
      <c r="G912" s="133">
        <v>24</v>
      </c>
      <c r="H912" s="109">
        <f t="shared" si="42"/>
        <v>48</v>
      </c>
      <c r="I912" s="119"/>
      <c r="J912" s="119">
        <v>0</v>
      </c>
      <c r="K912" s="119">
        <f t="shared" si="43"/>
        <v>48</v>
      </c>
      <c r="L912" s="152">
        <f t="shared" si="44"/>
        <v>41.6</v>
      </c>
      <c r="M912" s="113"/>
    </row>
    <row r="913" spans="1:13" x14ac:dyDescent="0.2">
      <c r="A913" s="106">
        <v>46191</v>
      </c>
      <c r="B913" s="105" t="s">
        <v>3065</v>
      </c>
      <c r="C913" s="105" t="s">
        <v>4747</v>
      </c>
      <c r="D913" s="149" t="s">
        <v>3067</v>
      </c>
      <c r="E913" s="105">
        <v>3</v>
      </c>
      <c r="F913" s="133">
        <v>13.39</v>
      </c>
      <c r="G913" s="133">
        <v>15.5</v>
      </c>
      <c r="H913" s="109">
        <f t="shared" si="42"/>
        <v>46.5</v>
      </c>
      <c r="I913" s="119"/>
      <c r="J913" s="119">
        <v>0</v>
      </c>
      <c r="K913" s="119">
        <f t="shared" si="43"/>
        <v>46.5</v>
      </c>
      <c r="L913" s="152">
        <f t="shared" si="44"/>
        <v>40.17</v>
      </c>
      <c r="M913" s="113"/>
    </row>
    <row r="914" spans="1:13" x14ac:dyDescent="0.2">
      <c r="A914" s="106">
        <v>46191</v>
      </c>
      <c r="B914" s="105" t="s">
        <v>2521</v>
      </c>
      <c r="C914" s="105" t="s">
        <v>4747</v>
      </c>
      <c r="D914" s="149" t="s">
        <v>2522</v>
      </c>
      <c r="E914" s="105">
        <v>5</v>
      </c>
      <c r="F914" s="133">
        <v>6.02</v>
      </c>
      <c r="G914" s="133">
        <v>7.25</v>
      </c>
      <c r="H914" s="109">
        <f t="shared" si="42"/>
        <v>36.25</v>
      </c>
      <c r="I914" s="119"/>
      <c r="J914" s="119">
        <v>0</v>
      </c>
      <c r="K914" s="119">
        <f t="shared" si="43"/>
        <v>36.25</v>
      </c>
      <c r="L914" s="152">
        <f t="shared" si="44"/>
        <v>30.099999999999998</v>
      </c>
      <c r="M914" s="113"/>
    </row>
    <row r="915" spans="1:13" x14ac:dyDescent="0.2">
      <c r="A915" s="106">
        <v>46191</v>
      </c>
      <c r="B915" s="105" t="s">
        <v>3974</v>
      </c>
      <c r="C915" s="105" t="s">
        <v>4748</v>
      </c>
      <c r="D915" s="149" t="s">
        <v>3975</v>
      </c>
      <c r="E915" s="105">
        <v>1</v>
      </c>
      <c r="F915" s="133">
        <v>59.51</v>
      </c>
      <c r="G915" s="133">
        <v>68.5</v>
      </c>
      <c r="H915" s="109">
        <f t="shared" si="42"/>
        <v>68.5</v>
      </c>
      <c r="I915" s="119"/>
      <c r="J915" s="119">
        <v>0</v>
      </c>
      <c r="K915" s="119">
        <f t="shared" si="43"/>
        <v>68.5</v>
      </c>
      <c r="L915" s="152">
        <f t="shared" si="44"/>
        <v>59.51</v>
      </c>
      <c r="M915" s="113"/>
    </row>
    <row r="916" spans="1:13" x14ac:dyDescent="0.2">
      <c r="A916" s="106">
        <v>46191</v>
      </c>
      <c r="B916" s="105" t="s">
        <v>2380</v>
      </c>
      <c r="C916" s="105" t="s">
        <v>4748</v>
      </c>
      <c r="D916" s="149" t="s">
        <v>2381</v>
      </c>
      <c r="E916" s="105">
        <v>2</v>
      </c>
      <c r="F916" s="133">
        <v>22.73</v>
      </c>
      <c r="G916" s="133">
        <v>26.25</v>
      </c>
      <c r="H916" s="109">
        <f t="shared" si="42"/>
        <v>52.5</v>
      </c>
      <c r="I916" s="119"/>
      <c r="J916" s="119">
        <v>0</v>
      </c>
      <c r="K916" s="119">
        <f t="shared" si="43"/>
        <v>52.5</v>
      </c>
      <c r="L916" s="152">
        <f t="shared" si="44"/>
        <v>45.46</v>
      </c>
      <c r="M916" s="113"/>
    </row>
    <row r="917" spans="1:13" x14ac:dyDescent="0.2">
      <c r="A917" s="106">
        <v>46191</v>
      </c>
      <c r="B917" s="105" t="s">
        <v>4150</v>
      </c>
      <c r="C917" s="105" t="s">
        <v>4748</v>
      </c>
      <c r="D917" s="149" t="s">
        <v>4152</v>
      </c>
      <c r="E917" s="105">
        <v>2</v>
      </c>
      <c r="F917" s="133">
        <v>14.82</v>
      </c>
      <c r="G917" s="133">
        <v>17.25</v>
      </c>
      <c r="H917" s="109">
        <f t="shared" si="42"/>
        <v>34.5</v>
      </c>
      <c r="I917" s="119"/>
      <c r="J917" s="119">
        <v>0</v>
      </c>
      <c r="K917" s="119">
        <f t="shared" si="43"/>
        <v>34.5</v>
      </c>
      <c r="L917" s="152">
        <f t="shared" si="44"/>
        <v>29.64</v>
      </c>
      <c r="M917" s="113"/>
    </row>
    <row r="918" spans="1:13" x14ac:dyDescent="0.2">
      <c r="A918" s="106">
        <v>46192</v>
      </c>
      <c r="B918" s="105" t="s">
        <v>4250</v>
      </c>
      <c r="C918" s="105" t="s">
        <v>4764</v>
      </c>
      <c r="D918" s="149" t="s">
        <v>4252</v>
      </c>
      <c r="E918" s="105">
        <v>1</v>
      </c>
      <c r="F918" s="133">
        <v>6.4</v>
      </c>
      <c r="G918" s="133">
        <v>7.5</v>
      </c>
      <c r="H918" s="109">
        <f t="shared" si="42"/>
        <v>7.5</v>
      </c>
      <c r="I918" s="119"/>
      <c r="J918" s="119">
        <v>0</v>
      </c>
      <c r="K918" s="119">
        <f t="shared" si="43"/>
        <v>7.5</v>
      </c>
      <c r="L918" s="152">
        <f t="shared" si="44"/>
        <v>6.4</v>
      </c>
      <c r="M918" s="113"/>
    </row>
    <row r="919" spans="1:13" x14ac:dyDescent="0.2">
      <c r="A919" s="106">
        <v>46192</v>
      </c>
      <c r="B919" s="105" t="s">
        <v>3356</v>
      </c>
      <c r="C919" s="105" t="s">
        <v>4764</v>
      </c>
      <c r="D919" s="149" t="s">
        <v>3358</v>
      </c>
      <c r="E919" s="105">
        <v>1</v>
      </c>
      <c r="F919" s="133">
        <v>6.03</v>
      </c>
      <c r="G919" s="133">
        <v>7</v>
      </c>
      <c r="H919" s="109">
        <f t="shared" si="42"/>
        <v>7</v>
      </c>
      <c r="I919" s="119"/>
      <c r="J919" s="119">
        <v>0</v>
      </c>
      <c r="K919" s="119">
        <f t="shared" si="43"/>
        <v>7</v>
      </c>
      <c r="L919" s="152">
        <f t="shared" si="44"/>
        <v>6.03</v>
      </c>
      <c r="M919" s="113"/>
    </row>
    <row r="920" spans="1:13" x14ac:dyDescent="0.2">
      <c r="A920" s="106">
        <v>46192</v>
      </c>
      <c r="B920" s="105" t="s">
        <v>2377</v>
      </c>
      <c r="C920" s="105" t="s">
        <v>4765</v>
      </c>
      <c r="D920" s="149" t="s">
        <v>2378</v>
      </c>
      <c r="E920" s="105">
        <v>2</v>
      </c>
      <c r="F920" s="133">
        <v>8.1999999999999993</v>
      </c>
      <c r="G920" s="133">
        <v>9.5</v>
      </c>
      <c r="H920" s="109">
        <f t="shared" si="42"/>
        <v>19</v>
      </c>
      <c r="I920" s="119"/>
      <c r="J920" s="119">
        <v>0</v>
      </c>
      <c r="K920" s="119">
        <f t="shared" si="43"/>
        <v>19</v>
      </c>
      <c r="L920" s="152">
        <f t="shared" si="44"/>
        <v>16.399999999999999</v>
      </c>
      <c r="M920" s="113"/>
    </row>
    <row r="921" spans="1:13" x14ac:dyDescent="0.2">
      <c r="A921" s="106">
        <v>46192</v>
      </c>
      <c r="B921" s="105" t="s">
        <v>1798</v>
      </c>
      <c r="C921" s="105" t="s">
        <v>4765</v>
      </c>
      <c r="D921" s="149" t="s">
        <v>1799</v>
      </c>
      <c r="E921" s="105">
        <v>1</v>
      </c>
      <c r="F921" s="133">
        <v>8.1999999999999993</v>
      </c>
      <c r="G921" s="133">
        <v>9.5</v>
      </c>
      <c r="H921" s="109">
        <f t="shared" si="42"/>
        <v>9.5</v>
      </c>
      <c r="I921" s="119"/>
      <c r="J921" s="119">
        <v>0</v>
      </c>
      <c r="K921" s="119">
        <f t="shared" si="43"/>
        <v>9.5</v>
      </c>
      <c r="L921" s="152">
        <f t="shared" si="44"/>
        <v>8.1999999999999993</v>
      </c>
      <c r="M921" s="113"/>
    </row>
    <row r="922" spans="1:13" x14ac:dyDescent="0.2">
      <c r="A922" s="106">
        <v>46192</v>
      </c>
      <c r="B922" s="105" t="s">
        <v>4715</v>
      </c>
      <c r="C922" s="105" t="s">
        <v>4766</v>
      </c>
      <c r="D922" s="149" t="s">
        <v>4750</v>
      </c>
      <c r="E922" s="105">
        <v>2</v>
      </c>
      <c r="F922" s="133">
        <v>6.15</v>
      </c>
      <c r="G922" s="133">
        <v>7.25</v>
      </c>
      <c r="H922" s="109">
        <f t="shared" si="42"/>
        <v>14.5</v>
      </c>
      <c r="I922" s="119"/>
      <c r="J922" s="119">
        <v>0</v>
      </c>
      <c r="K922" s="119">
        <f t="shared" si="43"/>
        <v>14.5</v>
      </c>
      <c r="L922" s="152">
        <f t="shared" si="44"/>
        <v>12.3</v>
      </c>
      <c r="M922" s="113"/>
    </row>
    <row r="923" spans="1:13" x14ac:dyDescent="0.2">
      <c r="A923" s="106">
        <v>46192</v>
      </c>
      <c r="B923" s="105" t="s">
        <v>3348</v>
      </c>
      <c r="C923" s="105" t="s">
        <v>4767</v>
      </c>
      <c r="D923" s="149" t="s">
        <v>3349</v>
      </c>
      <c r="E923" s="105">
        <v>3</v>
      </c>
      <c r="F923" s="133">
        <v>14.91</v>
      </c>
      <c r="G923" s="133">
        <v>17.25</v>
      </c>
      <c r="H923" s="109">
        <f t="shared" si="42"/>
        <v>51.75</v>
      </c>
      <c r="I923" s="119"/>
      <c r="J923" s="119">
        <v>0</v>
      </c>
      <c r="K923" s="119">
        <f t="shared" si="43"/>
        <v>51.75</v>
      </c>
      <c r="L923" s="152">
        <f t="shared" si="44"/>
        <v>44.730000000000004</v>
      </c>
      <c r="M923" s="113"/>
    </row>
    <row r="924" spans="1:13" x14ac:dyDescent="0.2">
      <c r="A924" s="106">
        <v>46192</v>
      </c>
      <c r="B924" s="105" t="s">
        <v>4759</v>
      </c>
      <c r="C924" s="105" t="s">
        <v>4767</v>
      </c>
      <c r="D924" s="149" t="s">
        <v>4786</v>
      </c>
      <c r="E924" s="105">
        <v>3</v>
      </c>
      <c r="F924" s="133">
        <v>6.12</v>
      </c>
      <c r="G924" s="133">
        <v>7.25</v>
      </c>
      <c r="H924" s="109">
        <f t="shared" si="42"/>
        <v>21.75</v>
      </c>
      <c r="I924" s="119"/>
      <c r="J924" s="119">
        <v>0</v>
      </c>
      <c r="K924" s="119">
        <f t="shared" si="43"/>
        <v>21.75</v>
      </c>
      <c r="L924" s="152">
        <f t="shared" si="44"/>
        <v>18.36</v>
      </c>
      <c r="M924" s="113"/>
    </row>
    <row r="925" spans="1:13" x14ac:dyDescent="0.2">
      <c r="A925" s="106">
        <v>46192</v>
      </c>
      <c r="B925" s="105" t="s">
        <v>1802</v>
      </c>
      <c r="C925" s="105" t="s">
        <v>4768</v>
      </c>
      <c r="D925" s="149" t="s">
        <v>1803</v>
      </c>
      <c r="E925" s="105">
        <v>1</v>
      </c>
      <c r="F925" s="133">
        <v>7.51</v>
      </c>
      <c r="G925" s="133">
        <v>8.75</v>
      </c>
      <c r="H925" s="109">
        <f t="shared" si="42"/>
        <v>8.75</v>
      </c>
      <c r="I925" s="119"/>
      <c r="J925" s="119">
        <v>0</v>
      </c>
      <c r="K925" s="119">
        <f t="shared" si="43"/>
        <v>8.75</v>
      </c>
      <c r="L925" s="152">
        <f t="shared" si="44"/>
        <v>7.51</v>
      </c>
      <c r="M925" s="113"/>
    </row>
    <row r="926" spans="1:13" x14ac:dyDescent="0.2">
      <c r="A926" s="106">
        <v>46192</v>
      </c>
      <c r="B926" s="105" t="s">
        <v>4760</v>
      </c>
      <c r="C926" s="105" t="s">
        <v>4769</v>
      </c>
      <c r="D926" s="149" t="s">
        <v>4787</v>
      </c>
      <c r="E926" s="105">
        <v>1</v>
      </c>
      <c r="F926" s="133">
        <v>30.35</v>
      </c>
      <c r="G926" s="133">
        <v>35</v>
      </c>
      <c r="H926" s="109">
        <f t="shared" si="42"/>
        <v>35</v>
      </c>
      <c r="I926" s="119"/>
      <c r="J926" s="119">
        <v>0</v>
      </c>
      <c r="K926" s="119">
        <f t="shared" si="43"/>
        <v>35</v>
      </c>
      <c r="L926" s="152">
        <f t="shared" si="44"/>
        <v>30.35</v>
      </c>
      <c r="M926" s="113"/>
    </row>
    <row r="927" spans="1:13" x14ac:dyDescent="0.2">
      <c r="A927" s="106">
        <v>46192</v>
      </c>
      <c r="B927" s="105" t="s">
        <v>4015</v>
      </c>
      <c r="C927" s="105" t="s">
        <v>4770</v>
      </c>
      <c r="D927" s="149" t="s">
        <v>4017</v>
      </c>
      <c r="E927" s="105">
        <v>1</v>
      </c>
      <c r="F927" s="133">
        <v>88</v>
      </c>
      <c r="G927" s="133">
        <v>101.25</v>
      </c>
      <c r="H927" s="109">
        <f t="shared" si="42"/>
        <v>101.25</v>
      </c>
      <c r="I927" s="119"/>
      <c r="J927" s="119">
        <v>0</v>
      </c>
      <c r="K927" s="119">
        <f t="shared" si="43"/>
        <v>101.25</v>
      </c>
      <c r="L927" s="152">
        <f t="shared" si="44"/>
        <v>88</v>
      </c>
      <c r="M927" s="113"/>
    </row>
    <row r="928" spans="1:13" x14ac:dyDescent="0.2">
      <c r="A928" s="106">
        <v>46192</v>
      </c>
      <c r="B928" s="105" t="s">
        <v>4761</v>
      </c>
      <c r="C928" s="105" t="s">
        <v>4770</v>
      </c>
      <c r="D928" s="149" t="s">
        <v>4788</v>
      </c>
      <c r="E928" s="105">
        <v>1</v>
      </c>
      <c r="F928" s="133">
        <v>88.1</v>
      </c>
      <c r="G928" s="133">
        <v>101.5</v>
      </c>
      <c r="H928" s="109">
        <f t="shared" si="42"/>
        <v>101.5</v>
      </c>
      <c r="I928" s="119"/>
      <c r="J928" s="119">
        <v>0</v>
      </c>
      <c r="K928" s="119">
        <f t="shared" si="43"/>
        <v>101.5</v>
      </c>
      <c r="L928" s="152">
        <f t="shared" si="44"/>
        <v>88.1</v>
      </c>
      <c r="M928" s="113"/>
    </row>
    <row r="929" spans="1:13" x14ac:dyDescent="0.2">
      <c r="A929" s="106">
        <v>46192</v>
      </c>
      <c r="B929" s="105" t="s">
        <v>3793</v>
      </c>
      <c r="C929" s="105" t="s">
        <v>4771</v>
      </c>
      <c r="D929" s="149" t="s">
        <v>3795</v>
      </c>
      <c r="E929" s="105">
        <v>1</v>
      </c>
      <c r="F929" s="133">
        <v>8.3800000000000008</v>
      </c>
      <c r="G929" s="133">
        <v>9.75</v>
      </c>
      <c r="H929" s="109">
        <f t="shared" si="42"/>
        <v>9.75</v>
      </c>
      <c r="I929" s="119"/>
      <c r="J929" s="119">
        <v>0</v>
      </c>
      <c r="K929" s="119">
        <f t="shared" si="43"/>
        <v>9.75</v>
      </c>
      <c r="L929" s="152">
        <f t="shared" si="44"/>
        <v>8.3800000000000008</v>
      </c>
      <c r="M929" s="113"/>
    </row>
    <row r="930" spans="1:13" x14ac:dyDescent="0.2">
      <c r="A930" s="106">
        <v>46192</v>
      </c>
      <c r="B930" s="105" t="s">
        <v>4522</v>
      </c>
      <c r="C930" s="105" t="s">
        <v>4772</v>
      </c>
      <c r="D930" s="149" t="s">
        <v>4627</v>
      </c>
      <c r="E930" s="105">
        <v>1</v>
      </c>
      <c r="F930" s="133">
        <v>6.15</v>
      </c>
      <c r="G930" s="133">
        <v>7.25</v>
      </c>
      <c r="H930" s="109">
        <f t="shared" si="42"/>
        <v>7.25</v>
      </c>
      <c r="I930" s="119"/>
      <c r="J930" s="119">
        <v>0</v>
      </c>
      <c r="K930" s="119">
        <f t="shared" si="43"/>
        <v>7.25</v>
      </c>
      <c r="L930" s="152">
        <f t="shared" si="44"/>
        <v>6.15</v>
      </c>
      <c r="M930" s="113"/>
    </row>
    <row r="931" spans="1:13" x14ac:dyDescent="0.2">
      <c r="A931" s="106">
        <v>46192</v>
      </c>
      <c r="B931" s="105" t="s">
        <v>2590</v>
      </c>
      <c r="C931" s="105" t="s">
        <v>4773</v>
      </c>
      <c r="D931" s="149" t="s">
        <v>2591</v>
      </c>
      <c r="E931" s="105">
        <v>1</v>
      </c>
      <c r="F931" s="133">
        <v>90.24</v>
      </c>
      <c r="G931" s="133">
        <v>103.75</v>
      </c>
      <c r="H931" s="109">
        <f t="shared" si="42"/>
        <v>103.75</v>
      </c>
      <c r="I931" s="119"/>
      <c r="J931" s="119">
        <v>0</v>
      </c>
      <c r="K931" s="119">
        <f t="shared" si="43"/>
        <v>103.75</v>
      </c>
      <c r="L931" s="152">
        <f t="shared" si="44"/>
        <v>90.24</v>
      </c>
      <c r="M931" s="113"/>
    </row>
    <row r="932" spans="1:13" x14ac:dyDescent="0.2">
      <c r="A932" s="106">
        <v>46192</v>
      </c>
      <c r="B932" s="105" t="s">
        <v>2491</v>
      </c>
      <c r="C932" s="105" t="s">
        <v>4773</v>
      </c>
      <c r="D932" s="149" t="s">
        <v>2492</v>
      </c>
      <c r="E932" s="105">
        <v>2</v>
      </c>
      <c r="F932" s="133">
        <v>61.5</v>
      </c>
      <c r="G932" s="133">
        <v>66.5</v>
      </c>
      <c r="H932" s="109">
        <f t="shared" si="42"/>
        <v>133</v>
      </c>
      <c r="I932" s="119"/>
      <c r="J932" s="119">
        <v>0</v>
      </c>
      <c r="K932" s="119">
        <f t="shared" si="43"/>
        <v>133</v>
      </c>
      <c r="L932" s="152">
        <f t="shared" si="44"/>
        <v>123</v>
      </c>
      <c r="M932" s="113"/>
    </row>
    <row r="933" spans="1:13" x14ac:dyDescent="0.2">
      <c r="A933" s="106">
        <v>46192</v>
      </c>
      <c r="B933" s="105" t="s">
        <v>3043</v>
      </c>
      <c r="C933" s="105" t="s">
        <v>4773</v>
      </c>
      <c r="D933" s="149" t="s">
        <v>3044</v>
      </c>
      <c r="E933" s="105">
        <v>1</v>
      </c>
      <c r="F933" s="133">
        <v>301.87</v>
      </c>
      <c r="G933" s="133">
        <v>347.25</v>
      </c>
      <c r="H933" s="109">
        <f t="shared" si="42"/>
        <v>347.25</v>
      </c>
      <c r="I933" s="119"/>
      <c r="J933" s="119">
        <v>0</v>
      </c>
      <c r="K933" s="119">
        <f t="shared" si="43"/>
        <v>347.25</v>
      </c>
      <c r="L933" s="152">
        <f t="shared" si="44"/>
        <v>301.87</v>
      </c>
      <c r="M933" s="113"/>
    </row>
    <row r="934" spans="1:13" x14ac:dyDescent="0.2">
      <c r="A934" s="106">
        <v>46192</v>
      </c>
      <c r="B934" s="105" t="s">
        <v>2488</v>
      </c>
      <c r="C934" s="105" t="s">
        <v>4773</v>
      </c>
      <c r="D934" s="149" t="s">
        <v>2489</v>
      </c>
      <c r="E934" s="105">
        <v>1</v>
      </c>
      <c r="F934" s="133">
        <v>31.19</v>
      </c>
      <c r="G934" s="133">
        <v>36</v>
      </c>
      <c r="H934" s="109">
        <f t="shared" si="42"/>
        <v>36</v>
      </c>
      <c r="I934" s="119"/>
      <c r="J934" s="119">
        <v>0</v>
      </c>
      <c r="K934" s="119">
        <f t="shared" si="43"/>
        <v>36</v>
      </c>
      <c r="L934" s="152">
        <f t="shared" si="44"/>
        <v>31.19</v>
      </c>
      <c r="M934" s="113"/>
    </row>
    <row r="935" spans="1:13" x14ac:dyDescent="0.2">
      <c r="A935" s="106">
        <v>46192</v>
      </c>
      <c r="B935" s="105" t="s">
        <v>2584</v>
      </c>
      <c r="C935" s="105" t="s">
        <v>4773</v>
      </c>
      <c r="D935" s="149" t="s">
        <v>2585</v>
      </c>
      <c r="E935" s="105">
        <v>1</v>
      </c>
      <c r="F935" s="133">
        <v>17.899999999999999</v>
      </c>
      <c r="G935" s="133">
        <v>20.75</v>
      </c>
      <c r="H935" s="109">
        <f t="shared" si="42"/>
        <v>20.75</v>
      </c>
      <c r="I935" s="119"/>
      <c r="J935" s="119">
        <v>0</v>
      </c>
      <c r="K935" s="119">
        <f t="shared" si="43"/>
        <v>20.75</v>
      </c>
      <c r="L935" s="152">
        <f t="shared" si="44"/>
        <v>17.899999999999999</v>
      </c>
      <c r="M935" s="113"/>
    </row>
    <row r="936" spans="1:13" x14ac:dyDescent="0.2">
      <c r="A936" s="106">
        <v>46192</v>
      </c>
      <c r="B936" s="105" t="s">
        <v>2298</v>
      </c>
      <c r="C936" s="105" t="s">
        <v>4773</v>
      </c>
      <c r="D936" s="149" t="s">
        <v>2299</v>
      </c>
      <c r="E936" s="105">
        <v>2</v>
      </c>
      <c r="F936" s="133">
        <v>20.8</v>
      </c>
      <c r="G936" s="133">
        <v>24</v>
      </c>
      <c r="H936" s="109">
        <f t="shared" si="42"/>
        <v>48</v>
      </c>
      <c r="I936" s="119"/>
      <c r="J936" s="119">
        <v>0</v>
      </c>
      <c r="K936" s="119">
        <f t="shared" si="43"/>
        <v>48</v>
      </c>
      <c r="L936" s="152">
        <f t="shared" si="44"/>
        <v>41.6</v>
      </c>
      <c r="M936" s="113"/>
    </row>
    <row r="937" spans="1:13" x14ac:dyDescent="0.2">
      <c r="A937" s="106">
        <v>46192</v>
      </c>
      <c r="B937" s="105" t="s">
        <v>2581</v>
      </c>
      <c r="C937" s="105" t="s">
        <v>4773</v>
      </c>
      <c r="D937" s="149" t="s">
        <v>2583</v>
      </c>
      <c r="E937" s="105">
        <v>10</v>
      </c>
      <c r="F937" s="133">
        <v>6.02</v>
      </c>
      <c r="G937" s="133">
        <v>7.25</v>
      </c>
      <c r="H937" s="109">
        <f t="shared" si="42"/>
        <v>72.5</v>
      </c>
      <c r="I937" s="119"/>
      <c r="J937" s="119">
        <v>0</v>
      </c>
      <c r="K937" s="119">
        <f t="shared" si="43"/>
        <v>72.5</v>
      </c>
      <c r="L937" s="152">
        <f t="shared" si="44"/>
        <v>60.199999999999996</v>
      </c>
      <c r="M937" s="113"/>
    </row>
    <row r="938" spans="1:13" x14ac:dyDescent="0.2">
      <c r="A938" s="106">
        <v>46192</v>
      </c>
      <c r="B938" s="105" t="s">
        <v>2495</v>
      </c>
      <c r="C938" s="105" t="s">
        <v>4773</v>
      </c>
      <c r="D938" s="149" t="s">
        <v>2496</v>
      </c>
      <c r="E938" s="105">
        <v>2</v>
      </c>
      <c r="F938" s="133">
        <v>35.75</v>
      </c>
      <c r="G938" s="133">
        <v>41.25</v>
      </c>
      <c r="H938" s="109">
        <f t="shared" si="42"/>
        <v>82.5</v>
      </c>
      <c r="I938" s="119"/>
      <c r="J938" s="119">
        <v>0</v>
      </c>
      <c r="K938" s="119">
        <f t="shared" si="43"/>
        <v>82.5</v>
      </c>
      <c r="L938" s="152">
        <f t="shared" si="44"/>
        <v>71.5</v>
      </c>
      <c r="M938" s="113"/>
    </row>
    <row r="939" spans="1:13" x14ac:dyDescent="0.2">
      <c r="A939" s="106">
        <v>46192</v>
      </c>
      <c r="B939" s="105" t="s">
        <v>4762</v>
      </c>
      <c r="C939" s="105" t="s">
        <v>4774</v>
      </c>
      <c r="D939" s="149" t="s">
        <v>4789</v>
      </c>
      <c r="E939" s="105">
        <v>1</v>
      </c>
      <c r="F939" s="133">
        <v>249.83</v>
      </c>
      <c r="G939" s="133">
        <v>287.5</v>
      </c>
      <c r="H939" s="109">
        <f t="shared" si="42"/>
        <v>287.5</v>
      </c>
      <c r="I939" s="119"/>
      <c r="J939" s="119">
        <v>0</v>
      </c>
      <c r="K939" s="119">
        <f t="shared" si="43"/>
        <v>287.5</v>
      </c>
      <c r="L939" s="152">
        <f t="shared" si="44"/>
        <v>249.83</v>
      </c>
      <c r="M939" s="113"/>
    </row>
    <row r="940" spans="1:13" x14ac:dyDescent="0.2">
      <c r="A940" s="106">
        <v>46192</v>
      </c>
      <c r="B940" s="105" t="s">
        <v>4443</v>
      </c>
      <c r="C940" s="105" t="s">
        <v>4775</v>
      </c>
      <c r="D940" s="149" t="s">
        <v>4473</v>
      </c>
      <c r="E940" s="105">
        <v>1</v>
      </c>
      <c r="F940" s="133">
        <v>64</v>
      </c>
      <c r="G940" s="133">
        <v>73.5</v>
      </c>
      <c r="H940" s="109">
        <f t="shared" si="42"/>
        <v>73.5</v>
      </c>
      <c r="I940" s="119"/>
      <c r="J940" s="119">
        <v>0</v>
      </c>
      <c r="K940" s="119">
        <f t="shared" si="43"/>
        <v>73.5</v>
      </c>
      <c r="L940" s="152">
        <f t="shared" si="44"/>
        <v>64</v>
      </c>
      <c r="M940" s="113"/>
    </row>
    <row r="941" spans="1:13" x14ac:dyDescent="0.2">
      <c r="A941" s="106">
        <v>46192</v>
      </c>
      <c r="B941" s="105" t="s">
        <v>1924</v>
      </c>
      <c r="C941" s="105" t="s">
        <v>4776</v>
      </c>
      <c r="D941" s="149" t="s">
        <v>1926</v>
      </c>
      <c r="E941" s="105">
        <v>1</v>
      </c>
      <c r="F941" s="133">
        <v>10.64</v>
      </c>
      <c r="G941" s="133">
        <v>12.25</v>
      </c>
      <c r="H941" s="109">
        <f t="shared" si="42"/>
        <v>12.25</v>
      </c>
      <c r="I941" s="119"/>
      <c r="J941" s="119">
        <v>0</v>
      </c>
      <c r="K941" s="119">
        <f t="shared" si="43"/>
        <v>12.25</v>
      </c>
      <c r="L941" s="152">
        <f t="shared" si="44"/>
        <v>10.64</v>
      </c>
      <c r="M941" s="113"/>
    </row>
    <row r="942" spans="1:13" x14ac:dyDescent="0.2">
      <c r="A942" s="106">
        <v>46192</v>
      </c>
      <c r="B942" s="105" t="s">
        <v>4715</v>
      </c>
      <c r="C942" s="105" t="s">
        <v>4776</v>
      </c>
      <c r="D942" s="149" t="s">
        <v>4750</v>
      </c>
      <c r="E942" s="105">
        <v>1</v>
      </c>
      <c r="F942" s="133">
        <v>6.15</v>
      </c>
      <c r="G942" s="133">
        <v>7.25</v>
      </c>
      <c r="H942" s="109">
        <f t="shared" si="42"/>
        <v>7.25</v>
      </c>
      <c r="I942" s="119"/>
      <c r="J942" s="119">
        <v>0</v>
      </c>
      <c r="K942" s="119">
        <f t="shared" si="43"/>
        <v>7.25</v>
      </c>
      <c r="L942" s="152">
        <f t="shared" si="44"/>
        <v>6.15</v>
      </c>
      <c r="M942" s="113"/>
    </row>
    <row r="943" spans="1:13" x14ac:dyDescent="0.2">
      <c r="A943" s="106">
        <v>46192</v>
      </c>
      <c r="B943" s="105" t="s">
        <v>2013</v>
      </c>
      <c r="C943" s="105" t="s">
        <v>4777</v>
      </c>
      <c r="D943" s="149" t="s">
        <v>2015</v>
      </c>
      <c r="E943" s="105">
        <v>1</v>
      </c>
      <c r="F943" s="133">
        <v>28.89</v>
      </c>
      <c r="G943" s="133">
        <v>33.25</v>
      </c>
      <c r="H943" s="109">
        <f t="shared" si="42"/>
        <v>33.25</v>
      </c>
      <c r="I943" s="119"/>
      <c r="J943" s="119">
        <v>0</v>
      </c>
      <c r="K943" s="119">
        <f t="shared" si="43"/>
        <v>33.25</v>
      </c>
      <c r="L943" s="152">
        <f t="shared" si="44"/>
        <v>28.89</v>
      </c>
      <c r="M943" s="113"/>
    </row>
    <row r="944" spans="1:13" x14ac:dyDescent="0.2">
      <c r="A944" s="106">
        <v>46192</v>
      </c>
      <c r="B944" s="105" t="s">
        <v>3457</v>
      </c>
      <c r="C944" s="105" t="s">
        <v>4778</v>
      </c>
      <c r="D944" s="149" t="s">
        <v>3458</v>
      </c>
      <c r="E944" s="105">
        <v>2</v>
      </c>
      <c r="F944" s="133">
        <v>51.97</v>
      </c>
      <c r="G944" s="133">
        <v>60</v>
      </c>
      <c r="H944" s="109">
        <f t="shared" si="42"/>
        <v>120</v>
      </c>
      <c r="I944" s="119"/>
      <c r="J944" s="119">
        <v>0</v>
      </c>
      <c r="K944" s="119">
        <f t="shared" si="43"/>
        <v>120</v>
      </c>
      <c r="L944" s="152">
        <f t="shared" si="44"/>
        <v>103.94</v>
      </c>
      <c r="M944" s="113"/>
    </row>
    <row r="945" spans="1:13" x14ac:dyDescent="0.2">
      <c r="A945" s="106">
        <v>46192</v>
      </c>
      <c r="B945" s="105" t="s">
        <v>4163</v>
      </c>
      <c r="C945" s="105" t="s">
        <v>4779</v>
      </c>
      <c r="D945" s="149" t="s">
        <v>4165</v>
      </c>
      <c r="E945" s="105">
        <v>3</v>
      </c>
      <c r="F945" s="133">
        <v>9.2799999999999994</v>
      </c>
      <c r="G945" s="133">
        <v>10.75</v>
      </c>
      <c r="H945" s="109">
        <f t="shared" si="42"/>
        <v>32.25</v>
      </c>
      <c r="I945" s="119"/>
      <c r="J945" s="119">
        <v>0</v>
      </c>
      <c r="K945" s="119">
        <f t="shared" si="43"/>
        <v>32.25</v>
      </c>
      <c r="L945" s="152">
        <f t="shared" si="44"/>
        <v>27.839999999999996</v>
      </c>
      <c r="M945" s="113"/>
    </row>
    <row r="946" spans="1:13" x14ac:dyDescent="0.2">
      <c r="A946" s="106">
        <v>46192</v>
      </c>
      <c r="B946" s="105" t="s">
        <v>4715</v>
      </c>
      <c r="C946" s="105" t="s">
        <v>4779</v>
      </c>
      <c r="D946" s="149" t="s">
        <v>4750</v>
      </c>
      <c r="E946" s="105">
        <v>1</v>
      </c>
      <c r="F946" s="133">
        <v>6.15</v>
      </c>
      <c r="G946" s="133">
        <v>7.25</v>
      </c>
      <c r="H946" s="109">
        <f t="shared" si="42"/>
        <v>7.25</v>
      </c>
      <c r="I946" s="119"/>
      <c r="J946" s="119">
        <v>0</v>
      </c>
      <c r="K946" s="119">
        <f t="shared" si="43"/>
        <v>7.25</v>
      </c>
      <c r="L946" s="152">
        <f t="shared" si="44"/>
        <v>6.15</v>
      </c>
      <c r="M946" s="113"/>
    </row>
    <row r="947" spans="1:13" x14ac:dyDescent="0.2">
      <c r="A947" s="106">
        <v>46192</v>
      </c>
      <c r="B947" s="105" t="s">
        <v>2380</v>
      </c>
      <c r="C947" s="105" t="s">
        <v>4780</v>
      </c>
      <c r="D947" s="149" t="s">
        <v>2381</v>
      </c>
      <c r="E947" s="105">
        <v>1</v>
      </c>
      <c r="F947" s="133">
        <v>22.73</v>
      </c>
      <c r="G947" s="133">
        <v>26.25</v>
      </c>
      <c r="H947" s="109">
        <f t="shared" si="42"/>
        <v>26.25</v>
      </c>
      <c r="I947" s="119"/>
      <c r="J947" s="119">
        <v>0</v>
      </c>
      <c r="K947" s="119">
        <f t="shared" si="43"/>
        <v>26.25</v>
      </c>
      <c r="L947" s="152">
        <f t="shared" si="44"/>
        <v>22.73</v>
      </c>
      <c r="M947" s="113"/>
    </row>
    <row r="948" spans="1:13" x14ac:dyDescent="0.2">
      <c r="A948" s="106">
        <v>46192</v>
      </c>
      <c r="B948" s="105" t="s">
        <v>3236</v>
      </c>
      <c r="C948" s="105" t="s">
        <v>4780</v>
      </c>
      <c r="D948" s="149" t="s">
        <v>3237</v>
      </c>
      <c r="E948" s="105">
        <v>1</v>
      </c>
      <c r="F948" s="133">
        <v>22.73</v>
      </c>
      <c r="G948" s="133">
        <v>26.25</v>
      </c>
      <c r="H948" s="109">
        <f t="shared" si="42"/>
        <v>26.25</v>
      </c>
      <c r="I948" s="119"/>
      <c r="J948" s="119">
        <v>0</v>
      </c>
      <c r="K948" s="119">
        <f t="shared" si="43"/>
        <v>26.25</v>
      </c>
      <c r="L948" s="152">
        <f t="shared" si="44"/>
        <v>22.73</v>
      </c>
      <c r="M948" s="113"/>
    </row>
    <row r="949" spans="1:13" x14ac:dyDescent="0.2">
      <c r="A949" s="106">
        <v>46192</v>
      </c>
      <c r="B949" s="105" t="s">
        <v>3072</v>
      </c>
      <c r="C949" s="105" t="s">
        <v>4781</v>
      </c>
      <c r="D949" s="149" t="s">
        <v>3074</v>
      </c>
      <c r="E949" s="105">
        <v>3</v>
      </c>
      <c r="F949" s="133">
        <v>16.91</v>
      </c>
      <c r="G949" s="133">
        <v>18.600000000000001</v>
      </c>
      <c r="H949" s="109">
        <f t="shared" si="42"/>
        <v>55.800000000000004</v>
      </c>
      <c r="I949" s="119"/>
      <c r="J949" s="119">
        <v>0</v>
      </c>
      <c r="K949" s="119">
        <f t="shared" si="43"/>
        <v>55.800000000000004</v>
      </c>
      <c r="L949" s="152">
        <f t="shared" si="44"/>
        <v>50.730000000000004</v>
      </c>
      <c r="M949" s="113"/>
    </row>
    <row r="950" spans="1:13" x14ac:dyDescent="0.2">
      <c r="A950" s="106">
        <v>46192</v>
      </c>
      <c r="B950" s="105" t="s">
        <v>3983</v>
      </c>
      <c r="C950" s="105" t="s">
        <v>4782</v>
      </c>
      <c r="D950" s="149" t="s">
        <v>3984</v>
      </c>
      <c r="E950" s="105">
        <v>3</v>
      </c>
      <c r="F950" s="133">
        <v>13.87</v>
      </c>
      <c r="G950" s="133">
        <v>17.75</v>
      </c>
      <c r="H950" s="109">
        <f t="shared" si="42"/>
        <v>53.25</v>
      </c>
      <c r="I950" s="119"/>
      <c r="J950" s="119">
        <v>0</v>
      </c>
      <c r="K950" s="119">
        <f t="shared" si="43"/>
        <v>53.25</v>
      </c>
      <c r="L950" s="152">
        <f t="shared" si="44"/>
        <v>41.61</v>
      </c>
      <c r="M950" s="113"/>
    </row>
    <row r="951" spans="1:13" x14ac:dyDescent="0.2">
      <c r="A951" s="106">
        <v>46192</v>
      </c>
      <c r="B951" s="105" t="s">
        <v>4715</v>
      </c>
      <c r="C951" s="105" t="s">
        <v>4783</v>
      </c>
      <c r="D951" s="149" t="s">
        <v>4750</v>
      </c>
      <c r="E951" s="105">
        <v>1</v>
      </c>
      <c r="F951" s="133">
        <v>6.15</v>
      </c>
      <c r="G951" s="133">
        <v>7.25</v>
      </c>
      <c r="H951" s="109">
        <f t="shared" si="42"/>
        <v>7.25</v>
      </c>
      <c r="I951" s="119"/>
      <c r="J951" s="119">
        <v>0</v>
      </c>
      <c r="K951" s="119">
        <f t="shared" si="43"/>
        <v>7.25</v>
      </c>
      <c r="L951" s="152">
        <f t="shared" si="44"/>
        <v>6.15</v>
      </c>
      <c r="M951" s="113"/>
    </row>
    <row r="952" spans="1:13" x14ac:dyDescent="0.2">
      <c r="A952" s="106">
        <v>46192</v>
      </c>
      <c r="B952" s="105" t="s">
        <v>2240</v>
      </c>
      <c r="C952" s="105" t="s">
        <v>4784</v>
      </c>
      <c r="D952" s="149" t="s">
        <v>2241</v>
      </c>
      <c r="E952" s="105">
        <v>1</v>
      </c>
      <c r="F952" s="133">
        <v>18.649999999999999</v>
      </c>
      <c r="G952" s="133">
        <v>21.5</v>
      </c>
      <c r="H952" s="109">
        <f t="shared" si="42"/>
        <v>21.5</v>
      </c>
      <c r="I952" s="119"/>
      <c r="J952" s="119">
        <v>0</v>
      </c>
      <c r="K952" s="119">
        <f t="shared" si="43"/>
        <v>21.5</v>
      </c>
      <c r="L952" s="152">
        <f t="shared" si="44"/>
        <v>18.649999999999999</v>
      </c>
      <c r="M952" s="113"/>
    </row>
    <row r="953" spans="1:13" x14ac:dyDescent="0.2">
      <c r="A953" s="106">
        <v>46192</v>
      </c>
      <c r="B953" s="105" t="s">
        <v>2717</v>
      </c>
      <c r="C953" s="105" t="s">
        <v>4785</v>
      </c>
      <c r="D953" s="149" t="s">
        <v>2718</v>
      </c>
      <c r="E953" s="105">
        <v>1</v>
      </c>
      <c r="F953" s="133">
        <v>50.5</v>
      </c>
      <c r="G953" s="133">
        <v>58.25</v>
      </c>
      <c r="H953" s="109">
        <f t="shared" si="42"/>
        <v>58.25</v>
      </c>
      <c r="I953" s="119"/>
      <c r="J953" s="119">
        <v>0</v>
      </c>
      <c r="K953" s="119">
        <f t="shared" si="43"/>
        <v>58.25</v>
      </c>
      <c r="L953" s="152">
        <f t="shared" si="44"/>
        <v>50.5</v>
      </c>
      <c r="M953" s="113"/>
    </row>
    <row r="954" spans="1:13" x14ac:dyDescent="0.2">
      <c r="A954" s="106">
        <v>46192</v>
      </c>
      <c r="B954" s="105" t="s">
        <v>3370</v>
      </c>
      <c r="C954" s="105" t="s">
        <v>4785</v>
      </c>
      <c r="D954" s="149" t="s">
        <v>3372</v>
      </c>
      <c r="E954" s="105">
        <v>1</v>
      </c>
      <c r="F954" s="133">
        <v>50.5</v>
      </c>
      <c r="G954" s="133">
        <v>58.25</v>
      </c>
      <c r="H954" s="109">
        <f t="shared" si="42"/>
        <v>58.25</v>
      </c>
      <c r="I954" s="119"/>
      <c r="J954" s="119">
        <v>0</v>
      </c>
      <c r="K954" s="119">
        <f t="shared" si="43"/>
        <v>58.25</v>
      </c>
      <c r="L954" s="152">
        <f t="shared" si="44"/>
        <v>50.5</v>
      </c>
      <c r="M954" s="113"/>
    </row>
    <row r="955" spans="1:13" x14ac:dyDescent="0.2">
      <c r="A955" s="106">
        <v>46192</v>
      </c>
      <c r="B955" s="105" t="s">
        <v>4763</v>
      </c>
      <c r="C955" s="105" t="s">
        <v>4785</v>
      </c>
      <c r="D955" s="149" t="s">
        <v>4790</v>
      </c>
      <c r="E955" s="105">
        <v>1</v>
      </c>
      <c r="F955" s="133">
        <v>125.7</v>
      </c>
      <c r="G955" s="133">
        <v>144.75</v>
      </c>
      <c r="H955" s="109">
        <f t="shared" si="42"/>
        <v>144.75</v>
      </c>
      <c r="I955" s="119"/>
      <c r="J955" s="119">
        <v>0</v>
      </c>
      <c r="K955" s="119">
        <f t="shared" si="43"/>
        <v>144.75</v>
      </c>
      <c r="L955" s="152">
        <f t="shared" si="44"/>
        <v>125.7</v>
      </c>
      <c r="M955" s="113"/>
    </row>
    <row r="956" spans="1:13" x14ac:dyDescent="0.2">
      <c r="A956" s="106">
        <v>46192</v>
      </c>
      <c r="B956" s="105" t="s">
        <v>2680</v>
      </c>
      <c r="C956" s="105" t="s">
        <v>4785</v>
      </c>
      <c r="D956" s="149" t="s">
        <v>2681</v>
      </c>
      <c r="E956" s="105">
        <v>2</v>
      </c>
      <c r="F956" s="133">
        <v>18.2</v>
      </c>
      <c r="G956" s="133">
        <v>21</v>
      </c>
      <c r="H956" s="109">
        <f t="shared" si="42"/>
        <v>42</v>
      </c>
      <c r="I956" s="119"/>
      <c r="J956" s="119">
        <v>0</v>
      </c>
      <c r="K956" s="119">
        <f t="shared" si="43"/>
        <v>42</v>
      </c>
      <c r="L956" s="152">
        <f t="shared" si="44"/>
        <v>36.4</v>
      </c>
      <c r="M956" s="113"/>
    </row>
    <row r="957" spans="1:13" x14ac:dyDescent="0.2">
      <c r="A957" s="106">
        <v>46192</v>
      </c>
      <c r="B957" s="105" t="s">
        <v>2762</v>
      </c>
      <c r="C957" s="105" t="s">
        <v>4785</v>
      </c>
      <c r="D957" s="149" t="s">
        <v>2764</v>
      </c>
      <c r="E957" s="105">
        <v>2</v>
      </c>
      <c r="F957" s="133">
        <v>18.57</v>
      </c>
      <c r="G957" s="133">
        <v>21.5</v>
      </c>
      <c r="H957" s="109">
        <f t="shared" si="42"/>
        <v>43</v>
      </c>
      <c r="I957" s="119"/>
      <c r="J957" s="119">
        <v>0</v>
      </c>
      <c r="K957" s="119">
        <f t="shared" si="43"/>
        <v>43</v>
      </c>
      <c r="L957" s="152">
        <f t="shared" si="44"/>
        <v>37.14</v>
      </c>
      <c r="M957" s="113"/>
    </row>
    <row r="958" spans="1:13" x14ac:dyDescent="0.2">
      <c r="A958" s="106" t="s">
        <v>4793</v>
      </c>
      <c r="B958" s="105" t="s">
        <v>1810</v>
      </c>
      <c r="C958" s="105" t="s">
        <v>4807</v>
      </c>
      <c r="D958" s="149" t="s">
        <v>1811</v>
      </c>
      <c r="E958" s="105">
        <v>2</v>
      </c>
      <c r="F958" s="133">
        <v>38.39</v>
      </c>
      <c r="G958" s="133">
        <v>44.25</v>
      </c>
      <c r="H958" s="109">
        <f t="shared" si="42"/>
        <v>88.5</v>
      </c>
      <c r="I958" s="119"/>
      <c r="J958" s="119">
        <v>0</v>
      </c>
      <c r="K958" s="119">
        <f t="shared" si="43"/>
        <v>88.5</v>
      </c>
      <c r="L958" s="152">
        <f t="shared" si="44"/>
        <v>76.78</v>
      </c>
      <c r="M958" s="113"/>
    </row>
    <row r="959" spans="1:13" x14ac:dyDescent="0.2">
      <c r="A959" s="106" t="s">
        <v>4793</v>
      </c>
      <c r="B959" s="105" t="s">
        <v>2639</v>
      </c>
      <c r="C959" s="105" t="s">
        <v>4807</v>
      </c>
      <c r="D959" s="149" t="s">
        <v>2640</v>
      </c>
      <c r="E959" s="105">
        <v>6</v>
      </c>
      <c r="F959" s="133">
        <v>17.059999999999999</v>
      </c>
      <c r="G959" s="133">
        <v>19.75</v>
      </c>
      <c r="H959" s="109">
        <f t="shared" si="42"/>
        <v>118.5</v>
      </c>
      <c r="I959" s="119"/>
      <c r="J959" s="119">
        <v>0</v>
      </c>
      <c r="K959" s="119">
        <f t="shared" si="43"/>
        <v>118.5</v>
      </c>
      <c r="L959" s="152">
        <f t="shared" si="44"/>
        <v>102.35999999999999</v>
      </c>
      <c r="M959" s="113"/>
    </row>
    <row r="960" spans="1:13" x14ac:dyDescent="0.2">
      <c r="A960" s="106" t="s">
        <v>4793</v>
      </c>
      <c r="B960" s="105" t="s">
        <v>3517</v>
      </c>
      <c r="C960" s="105" t="s">
        <v>4807</v>
      </c>
      <c r="D960" s="149" t="s">
        <v>3518</v>
      </c>
      <c r="E960" s="105">
        <v>1</v>
      </c>
      <c r="F960" s="133">
        <v>61.5</v>
      </c>
      <c r="G960" s="133">
        <v>70.75</v>
      </c>
      <c r="H960" s="109">
        <f t="shared" si="42"/>
        <v>70.75</v>
      </c>
      <c r="I960" s="119"/>
      <c r="J960" s="119">
        <v>0</v>
      </c>
      <c r="K960" s="119">
        <f t="shared" si="43"/>
        <v>70.75</v>
      </c>
      <c r="L960" s="152">
        <f t="shared" si="44"/>
        <v>61.5</v>
      </c>
      <c r="M960" s="113"/>
    </row>
    <row r="961" spans="1:13" x14ac:dyDescent="0.2">
      <c r="A961" s="106" t="s">
        <v>4793</v>
      </c>
      <c r="B961" s="105" t="s">
        <v>2786</v>
      </c>
      <c r="C961" s="105" t="s">
        <v>4807</v>
      </c>
      <c r="D961" s="149" t="s">
        <v>2787</v>
      </c>
      <c r="E961" s="105">
        <v>1</v>
      </c>
      <c r="F961" s="133">
        <v>67.88</v>
      </c>
      <c r="G961" s="133">
        <v>78.25</v>
      </c>
      <c r="H961" s="109">
        <f t="shared" si="42"/>
        <v>78.25</v>
      </c>
      <c r="I961" s="119"/>
      <c r="J961" s="119">
        <v>0</v>
      </c>
      <c r="K961" s="119">
        <f t="shared" si="43"/>
        <v>78.25</v>
      </c>
      <c r="L961" s="152">
        <f t="shared" si="44"/>
        <v>67.88</v>
      </c>
      <c r="M961" s="113"/>
    </row>
    <row r="962" spans="1:13" x14ac:dyDescent="0.2">
      <c r="A962" s="106" t="s">
        <v>4793</v>
      </c>
      <c r="B962" s="105" t="s">
        <v>4715</v>
      </c>
      <c r="C962" s="105" t="s">
        <v>4808</v>
      </c>
      <c r="D962" s="149" t="s">
        <v>4750</v>
      </c>
      <c r="E962" s="105">
        <v>1</v>
      </c>
      <c r="F962" s="133">
        <v>6.15</v>
      </c>
      <c r="G962" s="133">
        <v>7.25</v>
      </c>
      <c r="H962" s="109">
        <f t="shared" si="42"/>
        <v>7.25</v>
      </c>
      <c r="I962" s="119"/>
      <c r="J962" s="119">
        <v>0</v>
      </c>
      <c r="K962" s="119">
        <f t="shared" si="43"/>
        <v>7.25</v>
      </c>
      <c r="L962" s="152">
        <f t="shared" si="44"/>
        <v>6.15</v>
      </c>
      <c r="M962" s="113"/>
    </row>
    <row r="963" spans="1:13" x14ac:dyDescent="0.2">
      <c r="A963" s="106" t="s">
        <v>4793</v>
      </c>
      <c r="B963" s="105" t="s">
        <v>3457</v>
      </c>
      <c r="C963" s="105" t="s">
        <v>4809</v>
      </c>
      <c r="D963" s="149" t="s">
        <v>3458</v>
      </c>
      <c r="E963" s="105">
        <v>2</v>
      </c>
      <c r="F963" s="133">
        <v>51.97</v>
      </c>
      <c r="G963" s="133">
        <v>60</v>
      </c>
      <c r="H963" s="109">
        <f t="shared" si="42"/>
        <v>120</v>
      </c>
      <c r="I963" s="119"/>
      <c r="J963" s="119">
        <v>0</v>
      </c>
      <c r="K963" s="119">
        <f t="shared" si="43"/>
        <v>120</v>
      </c>
      <c r="L963" s="152">
        <f t="shared" si="44"/>
        <v>103.94</v>
      </c>
      <c r="M963" s="113"/>
    </row>
    <row r="964" spans="1:13" x14ac:dyDescent="0.2">
      <c r="A964" s="106" t="s">
        <v>4793</v>
      </c>
      <c r="B964" s="105" t="s">
        <v>4795</v>
      </c>
      <c r="C964" s="105" t="s">
        <v>4809</v>
      </c>
      <c r="D964" s="149" t="s">
        <v>4864</v>
      </c>
      <c r="E964" s="105">
        <v>3</v>
      </c>
      <c r="F964" s="133">
        <v>202</v>
      </c>
      <c r="G964" s="133">
        <v>232.5</v>
      </c>
      <c r="H964" s="109">
        <f t="shared" si="42"/>
        <v>697.5</v>
      </c>
      <c r="I964" s="119"/>
      <c r="J964" s="119">
        <v>0</v>
      </c>
      <c r="K964" s="119">
        <f t="shared" si="43"/>
        <v>697.5</v>
      </c>
      <c r="L964" s="152">
        <f t="shared" si="44"/>
        <v>606</v>
      </c>
      <c r="M964" s="113"/>
    </row>
    <row r="965" spans="1:13" x14ac:dyDescent="0.2">
      <c r="A965" s="106" t="s">
        <v>4793</v>
      </c>
      <c r="B965" s="105" t="s">
        <v>2941</v>
      </c>
      <c r="C965" s="105" t="s">
        <v>4809</v>
      </c>
      <c r="D965" s="149" t="s">
        <v>2943</v>
      </c>
      <c r="E965" s="105">
        <v>6</v>
      </c>
      <c r="F965" s="133">
        <v>7.14</v>
      </c>
      <c r="G965" s="133">
        <v>8.25</v>
      </c>
      <c r="H965" s="109">
        <f t="shared" si="42"/>
        <v>49.5</v>
      </c>
      <c r="I965" s="119"/>
      <c r="J965" s="119">
        <v>0</v>
      </c>
      <c r="K965" s="119">
        <f t="shared" si="43"/>
        <v>49.5</v>
      </c>
      <c r="L965" s="152">
        <f t="shared" si="44"/>
        <v>42.839999999999996</v>
      </c>
      <c r="M965" s="113"/>
    </row>
    <row r="966" spans="1:13" x14ac:dyDescent="0.2">
      <c r="A966" s="106" t="s">
        <v>4793</v>
      </c>
      <c r="B966" s="105" t="s">
        <v>2301</v>
      </c>
      <c r="C966" s="105" t="s">
        <v>4809</v>
      </c>
      <c r="D966" s="149" t="s">
        <v>2302</v>
      </c>
      <c r="E966" s="105">
        <v>1</v>
      </c>
      <c r="F966" s="133">
        <v>132.80000000000001</v>
      </c>
      <c r="G966" s="133">
        <v>152.75</v>
      </c>
      <c r="H966" s="109">
        <f t="shared" si="42"/>
        <v>152.75</v>
      </c>
      <c r="I966" s="119"/>
      <c r="J966" s="119">
        <v>0</v>
      </c>
      <c r="K966" s="119">
        <f t="shared" si="43"/>
        <v>152.75</v>
      </c>
      <c r="L966" s="152">
        <f t="shared" si="44"/>
        <v>132.80000000000001</v>
      </c>
      <c r="M966" s="113"/>
    </row>
    <row r="967" spans="1:13" x14ac:dyDescent="0.2">
      <c r="A967" s="106" t="s">
        <v>4793</v>
      </c>
      <c r="B967" s="105" t="s">
        <v>3765</v>
      </c>
      <c r="C967" s="105" t="s">
        <v>4809</v>
      </c>
      <c r="D967" s="149" t="s">
        <v>3766</v>
      </c>
      <c r="E967" s="105">
        <v>1</v>
      </c>
      <c r="F967" s="133">
        <v>65.95</v>
      </c>
      <c r="G967" s="133">
        <v>76</v>
      </c>
      <c r="H967" s="109">
        <f t="shared" si="42"/>
        <v>76</v>
      </c>
      <c r="I967" s="119"/>
      <c r="J967" s="119">
        <v>0</v>
      </c>
      <c r="K967" s="119">
        <f t="shared" si="43"/>
        <v>76</v>
      </c>
      <c r="L967" s="152">
        <f t="shared" si="44"/>
        <v>65.95</v>
      </c>
      <c r="M967" s="113"/>
    </row>
    <row r="968" spans="1:13" x14ac:dyDescent="0.2">
      <c r="A968" s="106" t="s">
        <v>4793</v>
      </c>
      <c r="B968" s="105" t="s">
        <v>3101</v>
      </c>
      <c r="C968" s="105" t="s">
        <v>4809</v>
      </c>
      <c r="D968" s="149" t="s">
        <v>3102</v>
      </c>
      <c r="E968" s="105">
        <v>2</v>
      </c>
      <c r="F968" s="133">
        <v>30.83</v>
      </c>
      <c r="G968" s="133">
        <v>35.5</v>
      </c>
      <c r="H968" s="109">
        <f t="shared" ref="H968:H1031" si="45">E968*G968</f>
        <v>71</v>
      </c>
      <c r="I968" s="119"/>
      <c r="J968" s="119">
        <v>0</v>
      </c>
      <c r="K968" s="119">
        <f t="shared" ref="K968:K1031" si="46">H968+I968-J968</f>
        <v>71</v>
      </c>
      <c r="L968" s="152">
        <f t="shared" ref="L968:L1031" si="47">E968*F968</f>
        <v>61.66</v>
      </c>
      <c r="M968" s="113"/>
    </row>
    <row r="969" spans="1:13" x14ac:dyDescent="0.2">
      <c r="A969" s="106" t="s">
        <v>4793</v>
      </c>
      <c r="B969" s="105" t="s">
        <v>2597</v>
      </c>
      <c r="C969" s="105" t="s">
        <v>4809</v>
      </c>
      <c r="D969" s="149" t="s">
        <v>2598</v>
      </c>
      <c r="E969" s="105">
        <v>2</v>
      </c>
      <c r="F969" s="133">
        <v>29.17</v>
      </c>
      <c r="G969" s="133">
        <v>33.75</v>
      </c>
      <c r="H969" s="109">
        <f t="shared" si="45"/>
        <v>67.5</v>
      </c>
      <c r="I969" s="119"/>
      <c r="J969" s="119">
        <v>0</v>
      </c>
      <c r="K969" s="119">
        <f t="shared" si="46"/>
        <v>67.5</v>
      </c>
      <c r="L969" s="152">
        <f t="shared" si="47"/>
        <v>58.34</v>
      </c>
      <c r="M969" s="113"/>
    </row>
    <row r="970" spans="1:13" x14ac:dyDescent="0.2">
      <c r="A970" s="106" t="s">
        <v>4793</v>
      </c>
      <c r="B970" s="105" t="s">
        <v>2481</v>
      </c>
      <c r="C970" s="105" t="s">
        <v>4809</v>
      </c>
      <c r="D970" s="149" t="s">
        <v>2482</v>
      </c>
      <c r="E970" s="105">
        <v>1</v>
      </c>
      <c r="F970" s="133">
        <v>723.8</v>
      </c>
      <c r="G970" s="133">
        <v>832.5</v>
      </c>
      <c r="H970" s="109">
        <f t="shared" si="45"/>
        <v>832.5</v>
      </c>
      <c r="I970" s="119"/>
      <c r="J970" s="119">
        <v>0</v>
      </c>
      <c r="K970" s="119">
        <f t="shared" si="46"/>
        <v>832.5</v>
      </c>
      <c r="L970" s="152">
        <f t="shared" si="47"/>
        <v>723.8</v>
      </c>
      <c r="M970" s="113"/>
    </row>
    <row r="971" spans="1:13" x14ac:dyDescent="0.2">
      <c r="A971" s="106" t="s">
        <v>4793</v>
      </c>
      <c r="B971" s="105" t="s">
        <v>2778</v>
      </c>
      <c r="C971" s="105" t="s">
        <v>4809</v>
      </c>
      <c r="D971" s="149" t="s">
        <v>2779</v>
      </c>
      <c r="E971" s="105">
        <v>1</v>
      </c>
      <c r="F971" s="133">
        <v>116</v>
      </c>
      <c r="G971" s="133">
        <v>133.5</v>
      </c>
      <c r="H971" s="109">
        <f t="shared" si="45"/>
        <v>133.5</v>
      </c>
      <c r="I971" s="119"/>
      <c r="J971" s="119">
        <v>0</v>
      </c>
      <c r="K971" s="119">
        <f t="shared" si="46"/>
        <v>133.5</v>
      </c>
      <c r="L971" s="152">
        <f t="shared" si="47"/>
        <v>116</v>
      </c>
      <c r="M971" s="113"/>
    </row>
    <row r="972" spans="1:13" x14ac:dyDescent="0.2">
      <c r="A972" s="106" t="s">
        <v>4793</v>
      </c>
      <c r="B972" s="105" t="s">
        <v>2371</v>
      </c>
      <c r="C972" s="105" t="s">
        <v>4809</v>
      </c>
      <c r="D972" s="149" t="s">
        <v>2372</v>
      </c>
      <c r="E972" s="105">
        <v>1</v>
      </c>
      <c r="F972" s="133">
        <v>39.880000000000003</v>
      </c>
      <c r="G972" s="133">
        <v>46</v>
      </c>
      <c r="H972" s="109">
        <f t="shared" si="45"/>
        <v>46</v>
      </c>
      <c r="I972" s="119"/>
      <c r="J972" s="119">
        <v>0</v>
      </c>
      <c r="K972" s="119">
        <f t="shared" si="46"/>
        <v>46</v>
      </c>
      <c r="L972" s="152">
        <f t="shared" si="47"/>
        <v>39.880000000000003</v>
      </c>
      <c r="M972" s="113"/>
    </row>
    <row r="973" spans="1:13" x14ac:dyDescent="0.2">
      <c r="A973" s="106" t="s">
        <v>4793</v>
      </c>
      <c r="B973" s="105" t="s">
        <v>2813</v>
      </c>
      <c r="C973" s="105" t="s">
        <v>4809</v>
      </c>
      <c r="D973" s="149" t="s">
        <v>2814</v>
      </c>
      <c r="E973" s="105">
        <v>2</v>
      </c>
      <c r="F973" s="133">
        <v>135.25</v>
      </c>
      <c r="G973" s="133">
        <v>156</v>
      </c>
      <c r="H973" s="109">
        <f t="shared" si="45"/>
        <v>312</v>
      </c>
      <c r="I973" s="119"/>
      <c r="J973" s="119">
        <v>0</v>
      </c>
      <c r="K973" s="119">
        <f t="shared" si="46"/>
        <v>312</v>
      </c>
      <c r="L973" s="152">
        <f t="shared" si="47"/>
        <v>270.5</v>
      </c>
      <c r="M973" s="113"/>
    </row>
    <row r="974" spans="1:13" x14ac:dyDescent="0.2">
      <c r="A974" s="106" t="s">
        <v>4793</v>
      </c>
      <c r="B974" s="105" t="s">
        <v>2394</v>
      </c>
      <c r="C974" s="105" t="s">
        <v>4809</v>
      </c>
      <c r="D974" s="149" t="s">
        <v>2395</v>
      </c>
      <c r="E974" s="105">
        <v>1</v>
      </c>
      <c r="F974" s="133">
        <v>58.45</v>
      </c>
      <c r="G974" s="133">
        <v>65</v>
      </c>
      <c r="H974" s="109">
        <f t="shared" si="45"/>
        <v>65</v>
      </c>
      <c r="I974" s="119"/>
      <c r="J974" s="119">
        <v>0</v>
      </c>
      <c r="K974" s="119">
        <f t="shared" si="46"/>
        <v>65</v>
      </c>
      <c r="L974" s="152">
        <f t="shared" si="47"/>
        <v>58.45</v>
      </c>
      <c r="M974" s="113"/>
    </row>
    <row r="975" spans="1:13" x14ac:dyDescent="0.2">
      <c r="A975" s="106" t="s">
        <v>4793</v>
      </c>
      <c r="B975" s="105" t="s">
        <v>3446</v>
      </c>
      <c r="C975" s="105" t="s">
        <v>4810</v>
      </c>
      <c r="D975" s="149" t="s">
        <v>3447</v>
      </c>
      <c r="E975" s="105">
        <v>1</v>
      </c>
      <c r="F975" s="133">
        <v>33.75</v>
      </c>
      <c r="G975" s="133">
        <v>39</v>
      </c>
      <c r="H975" s="109">
        <f t="shared" si="45"/>
        <v>39</v>
      </c>
      <c r="I975" s="119"/>
      <c r="J975" s="119">
        <v>0</v>
      </c>
      <c r="K975" s="119">
        <f t="shared" si="46"/>
        <v>39</v>
      </c>
      <c r="L975" s="152">
        <f t="shared" si="47"/>
        <v>33.75</v>
      </c>
      <c r="M975" s="113"/>
    </row>
    <row r="976" spans="1:13" x14ac:dyDescent="0.2">
      <c r="A976" s="106" t="s">
        <v>4793</v>
      </c>
      <c r="B976" s="105" t="s">
        <v>2371</v>
      </c>
      <c r="C976" s="105" t="s">
        <v>4811</v>
      </c>
      <c r="D976" s="149" t="s">
        <v>2372</v>
      </c>
      <c r="E976" s="105">
        <v>1</v>
      </c>
      <c r="F976" s="133">
        <v>39.880000000000003</v>
      </c>
      <c r="G976" s="133">
        <v>46</v>
      </c>
      <c r="H976" s="109">
        <f t="shared" si="45"/>
        <v>46</v>
      </c>
      <c r="I976" s="119"/>
      <c r="J976" s="119">
        <v>0</v>
      </c>
      <c r="K976" s="119">
        <f t="shared" si="46"/>
        <v>46</v>
      </c>
      <c r="L976" s="152">
        <f t="shared" si="47"/>
        <v>39.880000000000003</v>
      </c>
      <c r="M976" s="113"/>
    </row>
    <row r="977" spans="1:13" x14ac:dyDescent="0.2">
      <c r="A977" s="106" t="s">
        <v>4793</v>
      </c>
      <c r="B977" s="105" t="s">
        <v>4796</v>
      </c>
      <c r="C977" s="105" t="s">
        <v>4812</v>
      </c>
      <c r="D977" s="149" t="s">
        <v>4865</v>
      </c>
      <c r="E977" s="105">
        <v>1</v>
      </c>
      <c r="F977" s="133">
        <v>23.21</v>
      </c>
      <c r="G977" s="133">
        <v>26.75</v>
      </c>
      <c r="H977" s="109">
        <f t="shared" si="45"/>
        <v>26.75</v>
      </c>
      <c r="I977" s="119"/>
      <c r="J977" s="119">
        <v>0</v>
      </c>
      <c r="K977" s="119">
        <f t="shared" si="46"/>
        <v>26.75</v>
      </c>
      <c r="L977" s="152">
        <f t="shared" si="47"/>
        <v>23.21</v>
      </c>
      <c r="M977" s="113"/>
    </row>
    <row r="978" spans="1:13" x14ac:dyDescent="0.2">
      <c r="A978" s="106" t="s">
        <v>4793</v>
      </c>
      <c r="B978" s="105" t="s">
        <v>2031</v>
      </c>
      <c r="C978" s="105" t="s">
        <v>4812</v>
      </c>
      <c r="D978" s="149" t="s">
        <v>2033</v>
      </c>
      <c r="E978" s="105">
        <v>1</v>
      </c>
      <c r="F978" s="133">
        <v>20.399999999999999</v>
      </c>
      <c r="G978" s="133">
        <v>24</v>
      </c>
      <c r="H978" s="109">
        <f t="shared" si="45"/>
        <v>24</v>
      </c>
      <c r="I978" s="119"/>
      <c r="J978" s="119">
        <v>0</v>
      </c>
      <c r="K978" s="119">
        <f t="shared" si="46"/>
        <v>24</v>
      </c>
      <c r="L978" s="152">
        <f t="shared" si="47"/>
        <v>20.399999999999999</v>
      </c>
      <c r="M978" s="113"/>
    </row>
    <row r="979" spans="1:13" x14ac:dyDescent="0.2">
      <c r="A979" s="106" t="s">
        <v>4793</v>
      </c>
      <c r="B979" s="105" t="s">
        <v>2013</v>
      </c>
      <c r="C979" s="105" t="s">
        <v>4813</v>
      </c>
      <c r="D979" s="149" t="s">
        <v>2015</v>
      </c>
      <c r="E979" s="105">
        <v>2</v>
      </c>
      <c r="F979" s="133">
        <v>28.89</v>
      </c>
      <c r="G979" s="133">
        <v>33.25</v>
      </c>
      <c r="H979" s="109">
        <f t="shared" si="45"/>
        <v>66.5</v>
      </c>
      <c r="I979" s="119"/>
      <c r="J979" s="119">
        <v>0</v>
      </c>
      <c r="K979" s="119">
        <f t="shared" si="46"/>
        <v>66.5</v>
      </c>
      <c r="L979" s="152">
        <f t="shared" si="47"/>
        <v>57.78</v>
      </c>
      <c r="M979" s="113"/>
    </row>
    <row r="980" spans="1:13" x14ac:dyDescent="0.2">
      <c r="A980" s="106" t="s">
        <v>4793</v>
      </c>
      <c r="B980" s="105" t="s">
        <v>2226</v>
      </c>
      <c r="C980" s="105" t="s">
        <v>4813</v>
      </c>
      <c r="D980" s="149" t="s">
        <v>2228</v>
      </c>
      <c r="E980" s="105">
        <v>2</v>
      </c>
      <c r="F980" s="133">
        <v>19.47</v>
      </c>
      <c r="G980" s="133">
        <v>23</v>
      </c>
      <c r="H980" s="109">
        <f t="shared" si="45"/>
        <v>46</v>
      </c>
      <c r="I980" s="119"/>
      <c r="J980" s="119">
        <v>0</v>
      </c>
      <c r="K980" s="119">
        <f t="shared" si="46"/>
        <v>46</v>
      </c>
      <c r="L980" s="152">
        <f t="shared" si="47"/>
        <v>38.94</v>
      </c>
      <c r="M980" s="113"/>
    </row>
    <row r="981" spans="1:13" x14ac:dyDescent="0.2">
      <c r="A981" s="106" t="s">
        <v>4793</v>
      </c>
      <c r="B981" s="105" t="s">
        <v>4797</v>
      </c>
      <c r="C981" s="105" t="s">
        <v>4813</v>
      </c>
      <c r="D981" s="149" t="s">
        <v>4866</v>
      </c>
      <c r="E981" s="105">
        <v>1</v>
      </c>
      <c r="F981" s="133">
        <v>50.88</v>
      </c>
      <c r="G981" s="133">
        <v>58.75</v>
      </c>
      <c r="H981" s="109">
        <f t="shared" si="45"/>
        <v>58.75</v>
      </c>
      <c r="I981" s="119"/>
      <c r="J981" s="119">
        <v>0</v>
      </c>
      <c r="K981" s="119">
        <f t="shared" si="46"/>
        <v>58.75</v>
      </c>
      <c r="L981" s="152">
        <f t="shared" si="47"/>
        <v>50.88</v>
      </c>
      <c r="M981" s="113"/>
    </row>
    <row r="982" spans="1:13" ht="13.5" customHeight="1" x14ac:dyDescent="0.2">
      <c r="A982" s="106" t="s">
        <v>4793</v>
      </c>
      <c r="B982" s="105" t="s">
        <v>3942</v>
      </c>
      <c r="C982" s="105" t="s">
        <v>4813</v>
      </c>
      <c r="D982" s="149" t="s">
        <v>3943</v>
      </c>
      <c r="E982" s="157">
        <v>1</v>
      </c>
      <c r="F982" s="134">
        <v>30.04</v>
      </c>
      <c r="G982" s="134">
        <v>34.75</v>
      </c>
      <c r="H982" s="109">
        <f t="shared" si="45"/>
        <v>34.75</v>
      </c>
      <c r="I982" s="119"/>
      <c r="J982" s="119">
        <v>0</v>
      </c>
      <c r="K982" s="119">
        <f t="shared" si="46"/>
        <v>34.75</v>
      </c>
      <c r="L982" s="152">
        <f t="shared" si="47"/>
        <v>30.04</v>
      </c>
      <c r="M982" s="113"/>
    </row>
    <row r="983" spans="1:13" ht="13.5" customHeight="1" x14ac:dyDescent="0.2">
      <c r="A983" s="106" t="s">
        <v>4793</v>
      </c>
      <c r="B983" s="105" t="s">
        <v>3072</v>
      </c>
      <c r="C983" s="105" t="s">
        <v>4813</v>
      </c>
      <c r="D983" s="149" t="s">
        <v>3074</v>
      </c>
      <c r="E983" s="157">
        <v>1</v>
      </c>
      <c r="F983" s="134">
        <v>16.91</v>
      </c>
      <c r="G983" s="134">
        <v>18.600000000000001</v>
      </c>
      <c r="H983" s="109">
        <f t="shared" si="45"/>
        <v>18.600000000000001</v>
      </c>
      <c r="I983" s="119"/>
      <c r="J983" s="119">
        <v>0</v>
      </c>
      <c r="K983" s="119">
        <f t="shared" si="46"/>
        <v>18.600000000000001</v>
      </c>
      <c r="L983" s="152">
        <f t="shared" si="47"/>
        <v>16.91</v>
      </c>
      <c r="M983" s="113"/>
    </row>
    <row r="984" spans="1:13" ht="13.5" customHeight="1" x14ac:dyDescent="0.2">
      <c r="A984" s="106" t="s">
        <v>4793</v>
      </c>
      <c r="B984" s="105" t="s">
        <v>1854</v>
      </c>
      <c r="C984" s="105" t="s">
        <v>4814</v>
      </c>
      <c r="D984" s="149" t="s">
        <v>1855</v>
      </c>
      <c r="E984" s="157">
        <v>1</v>
      </c>
      <c r="F984" s="134">
        <v>7.62</v>
      </c>
      <c r="G984" s="134">
        <v>8.75</v>
      </c>
      <c r="H984" s="109">
        <f t="shared" si="45"/>
        <v>8.75</v>
      </c>
      <c r="I984" s="119"/>
      <c r="J984" s="119">
        <v>0</v>
      </c>
      <c r="K984" s="119">
        <f t="shared" si="46"/>
        <v>8.75</v>
      </c>
      <c r="L984" s="152">
        <f t="shared" si="47"/>
        <v>7.62</v>
      </c>
      <c r="M984" s="113"/>
    </row>
    <row r="985" spans="1:13" ht="13.5" customHeight="1" x14ac:dyDescent="0.2">
      <c r="A985" s="106" t="s">
        <v>4793</v>
      </c>
      <c r="B985" s="105" t="s">
        <v>1888</v>
      </c>
      <c r="C985" s="105" t="s">
        <v>4815</v>
      </c>
      <c r="D985" s="149" t="s">
        <v>1890</v>
      </c>
      <c r="E985" s="157">
        <v>1</v>
      </c>
      <c r="F985" s="134">
        <v>20.68</v>
      </c>
      <c r="G985" s="134">
        <v>24</v>
      </c>
      <c r="H985" s="109">
        <f t="shared" si="45"/>
        <v>24</v>
      </c>
      <c r="I985" s="119"/>
      <c r="J985" s="119">
        <v>0</v>
      </c>
      <c r="K985" s="119">
        <f t="shared" si="46"/>
        <v>24</v>
      </c>
      <c r="L985" s="152">
        <f t="shared" si="47"/>
        <v>20.68</v>
      </c>
      <c r="M985" s="113"/>
    </row>
    <row r="986" spans="1:13" ht="13.5" customHeight="1" x14ac:dyDescent="0.2">
      <c r="A986" s="106" t="s">
        <v>4793</v>
      </c>
      <c r="B986" s="105" t="s">
        <v>2377</v>
      </c>
      <c r="C986" s="105" t="s">
        <v>4815</v>
      </c>
      <c r="D986" s="149" t="s">
        <v>2378</v>
      </c>
      <c r="E986" s="157">
        <v>1</v>
      </c>
      <c r="F986" s="134">
        <v>8.1999999999999993</v>
      </c>
      <c r="G986" s="134">
        <v>9.5</v>
      </c>
      <c r="H986" s="109">
        <f t="shared" si="45"/>
        <v>9.5</v>
      </c>
      <c r="I986" s="119"/>
      <c r="J986" s="119">
        <v>0</v>
      </c>
      <c r="K986" s="119">
        <f t="shared" si="46"/>
        <v>9.5</v>
      </c>
      <c r="L986" s="152">
        <f t="shared" si="47"/>
        <v>8.1999999999999993</v>
      </c>
      <c r="M986" s="113"/>
    </row>
    <row r="987" spans="1:13" ht="13.5" customHeight="1" x14ac:dyDescent="0.2">
      <c r="A987" s="106" t="s">
        <v>4793</v>
      </c>
      <c r="B987" s="105" t="s">
        <v>4716</v>
      </c>
      <c r="C987" s="105" t="s">
        <v>4815</v>
      </c>
      <c r="D987" s="149" t="s">
        <v>4751</v>
      </c>
      <c r="E987" s="157">
        <v>1</v>
      </c>
      <c r="F987" s="134">
        <v>0.81</v>
      </c>
      <c r="G987" s="134">
        <v>1</v>
      </c>
      <c r="H987" s="109">
        <f t="shared" si="45"/>
        <v>1</v>
      </c>
      <c r="I987" s="119"/>
      <c r="J987" s="119">
        <v>0</v>
      </c>
      <c r="K987" s="119">
        <f t="shared" si="46"/>
        <v>1</v>
      </c>
      <c r="L987" s="152">
        <f t="shared" si="47"/>
        <v>0.81</v>
      </c>
      <c r="M987" s="113"/>
    </row>
    <row r="988" spans="1:13" ht="13.5" customHeight="1" x14ac:dyDescent="0.2">
      <c r="A988" s="106" t="s">
        <v>4793</v>
      </c>
      <c r="B988" s="105" t="s">
        <v>3356</v>
      </c>
      <c r="C988" s="105" t="s">
        <v>4816</v>
      </c>
      <c r="D988" s="149" t="s">
        <v>3358</v>
      </c>
      <c r="E988" s="157">
        <v>1</v>
      </c>
      <c r="F988" s="134">
        <v>6.03</v>
      </c>
      <c r="G988" s="134">
        <v>7</v>
      </c>
      <c r="H988" s="109">
        <f t="shared" si="45"/>
        <v>7</v>
      </c>
      <c r="I988" s="119"/>
      <c r="J988" s="119">
        <v>0</v>
      </c>
      <c r="K988" s="119">
        <f t="shared" si="46"/>
        <v>7</v>
      </c>
      <c r="L988" s="152">
        <f t="shared" si="47"/>
        <v>6.03</v>
      </c>
      <c r="M988" s="113"/>
    </row>
    <row r="989" spans="1:13" ht="13.5" customHeight="1" x14ac:dyDescent="0.2">
      <c r="A989" s="106" t="s">
        <v>4793</v>
      </c>
      <c r="B989" s="105" t="s">
        <v>1854</v>
      </c>
      <c r="C989" s="105" t="s">
        <v>4817</v>
      </c>
      <c r="D989" s="149" t="s">
        <v>1855</v>
      </c>
      <c r="E989" s="157">
        <v>1</v>
      </c>
      <c r="F989" s="134">
        <v>7.62</v>
      </c>
      <c r="G989" s="134">
        <v>8.75</v>
      </c>
      <c r="H989" s="109">
        <f t="shared" si="45"/>
        <v>8.75</v>
      </c>
      <c r="I989" s="119"/>
      <c r="J989" s="119">
        <v>0</v>
      </c>
      <c r="K989" s="119">
        <f t="shared" si="46"/>
        <v>8.75</v>
      </c>
      <c r="L989" s="152">
        <f t="shared" si="47"/>
        <v>7.62</v>
      </c>
      <c r="M989" s="113"/>
    </row>
    <row r="990" spans="1:13" ht="13.5" customHeight="1" x14ac:dyDescent="0.2">
      <c r="A990" s="106" t="s">
        <v>4793</v>
      </c>
      <c r="B990" s="105" t="s">
        <v>4716</v>
      </c>
      <c r="C990" s="105" t="s">
        <v>4818</v>
      </c>
      <c r="D990" s="149" t="s">
        <v>4751</v>
      </c>
      <c r="E990" s="157">
        <v>5</v>
      </c>
      <c r="F990" s="134">
        <v>0.81</v>
      </c>
      <c r="G990" s="134">
        <v>1</v>
      </c>
      <c r="H990" s="109">
        <f t="shared" si="45"/>
        <v>5</v>
      </c>
      <c r="I990" s="119"/>
      <c r="J990" s="119">
        <v>0</v>
      </c>
      <c r="K990" s="119">
        <f t="shared" si="46"/>
        <v>5</v>
      </c>
      <c r="L990" s="152">
        <f t="shared" si="47"/>
        <v>4.0500000000000007</v>
      </c>
      <c r="M990" s="113"/>
    </row>
    <row r="991" spans="1:13" ht="13.5" customHeight="1" x14ac:dyDescent="0.2">
      <c r="A991" s="106" t="s">
        <v>4793</v>
      </c>
      <c r="B991" s="105" t="s">
        <v>2584</v>
      </c>
      <c r="C991" s="105" t="s">
        <v>4819</v>
      </c>
      <c r="D991" s="149" t="s">
        <v>2585</v>
      </c>
      <c r="E991" s="157">
        <v>1</v>
      </c>
      <c r="F991" s="134">
        <v>17.899999999999999</v>
      </c>
      <c r="G991" s="134">
        <v>20.75</v>
      </c>
      <c r="H991" s="109">
        <f t="shared" si="45"/>
        <v>20.75</v>
      </c>
      <c r="I991" s="119"/>
      <c r="J991" s="119">
        <v>0</v>
      </c>
      <c r="K991" s="119">
        <f t="shared" si="46"/>
        <v>20.75</v>
      </c>
      <c r="L991" s="152">
        <f t="shared" si="47"/>
        <v>17.899999999999999</v>
      </c>
      <c r="M991" s="113"/>
    </row>
    <row r="992" spans="1:13" ht="13.5" customHeight="1" x14ac:dyDescent="0.2">
      <c r="A992" s="106" t="s">
        <v>4793</v>
      </c>
      <c r="B992" s="105" t="s">
        <v>1944</v>
      </c>
      <c r="C992" s="105" t="s">
        <v>4819</v>
      </c>
      <c r="D992" s="149" t="s">
        <v>1946</v>
      </c>
      <c r="E992" s="157">
        <v>12</v>
      </c>
      <c r="F992" s="134">
        <v>14.38</v>
      </c>
      <c r="G992" s="134">
        <v>16.75</v>
      </c>
      <c r="H992" s="109">
        <f t="shared" si="45"/>
        <v>201</v>
      </c>
      <c r="I992" s="119"/>
      <c r="J992" s="119">
        <v>0</v>
      </c>
      <c r="K992" s="119">
        <f t="shared" si="46"/>
        <v>201</v>
      </c>
      <c r="L992" s="152">
        <f t="shared" si="47"/>
        <v>172.56</v>
      </c>
      <c r="M992" s="113"/>
    </row>
    <row r="993" spans="1:13" ht="13.5" customHeight="1" x14ac:dyDescent="0.2">
      <c r="A993" s="106" t="s">
        <v>4793</v>
      </c>
      <c r="B993" s="105" t="s">
        <v>2941</v>
      </c>
      <c r="C993" s="105" t="s">
        <v>4819</v>
      </c>
      <c r="D993" s="149" t="s">
        <v>2943</v>
      </c>
      <c r="E993" s="157">
        <v>12</v>
      </c>
      <c r="F993" s="134">
        <v>7.14</v>
      </c>
      <c r="G993" s="134">
        <v>8.25</v>
      </c>
      <c r="H993" s="109">
        <f t="shared" si="45"/>
        <v>99</v>
      </c>
      <c r="I993" s="119"/>
      <c r="J993" s="119">
        <v>0</v>
      </c>
      <c r="K993" s="119">
        <f t="shared" si="46"/>
        <v>99</v>
      </c>
      <c r="L993" s="152">
        <f t="shared" si="47"/>
        <v>85.679999999999993</v>
      </c>
      <c r="M993" s="113"/>
    </row>
    <row r="994" spans="1:13" ht="13.5" customHeight="1" x14ac:dyDescent="0.2">
      <c r="A994" s="106" t="s">
        <v>4793</v>
      </c>
      <c r="B994" s="105" t="s">
        <v>2878</v>
      </c>
      <c r="C994" s="105" t="s">
        <v>4819</v>
      </c>
      <c r="D994" s="149" t="s">
        <v>2880</v>
      </c>
      <c r="E994" s="157">
        <v>1</v>
      </c>
      <c r="F994" s="134">
        <v>60.4</v>
      </c>
      <c r="G994" s="134">
        <v>70</v>
      </c>
      <c r="H994" s="109">
        <f t="shared" si="45"/>
        <v>70</v>
      </c>
      <c r="I994" s="119"/>
      <c r="J994" s="119">
        <v>0</v>
      </c>
      <c r="K994" s="119">
        <f t="shared" si="46"/>
        <v>70</v>
      </c>
      <c r="L994" s="152">
        <f t="shared" si="47"/>
        <v>60.4</v>
      </c>
      <c r="M994" s="113"/>
    </row>
    <row r="995" spans="1:13" ht="13.5" customHeight="1" x14ac:dyDescent="0.2">
      <c r="A995" s="106" t="s">
        <v>4793</v>
      </c>
      <c r="B995" s="105" t="s">
        <v>2581</v>
      </c>
      <c r="C995" s="105" t="s">
        <v>4819</v>
      </c>
      <c r="D995" s="149" t="s">
        <v>2583</v>
      </c>
      <c r="E995" s="157">
        <v>12</v>
      </c>
      <c r="F995" s="134">
        <v>6.02</v>
      </c>
      <c r="G995" s="134">
        <v>7.25</v>
      </c>
      <c r="H995" s="109">
        <f t="shared" si="45"/>
        <v>87</v>
      </c>
      <c r="I995" s="119"/>
      <c r="J995" s="119">
        <v>0</v>
      </c>
      <c r="K995" s="119">
        <f t="shared" si="46"/>
        <v>87</v>
      </c>
      <c r="L995" s="152">
        <f t="shared" si="47"/>
        <v>72.239999999999995</v>
      </c>
      <c r="M995" s="113"/>
    </row>
    <row r="996" spans="1:13" x14ac:dyDescent="0.2">
      <c r="A996" s="106" t="s">
        <v>4793</v>
      </c>
      <c r="B996" s="105" t="s">
        <v>2521</v>
      </c>
      <c r="C996" s="105" t="s">
        <v>4819</v>
      </c>
      <c r="D996" s="149" t="s">
        <v>2522</v>
      </c>
      <c r="E996" s="157">
        <v>12</v>
      </c>
      <c r="F996" s="134">
        <v>6.02</v>
      </c>
      <c r="G996" s="134">
        <v>7.25</v>
      </c>
      <c r="H996" s="109">
        <f t="shared" si="45"/>
        <v>87</v>
      </c>
      <c r="I996" s="119"/>
      <c r="J996" s="119">
        <v>0</v>
      </c>
      <c r="K996" s="119">
        <f t="shared" si="46"/>
        <v>87</v>
      </c>
      <c r="L996" s="152">
        <f t="shared" si="47"/>
        <v>72.239999999999995</v>
      </c>
      <c r="M996" s="113"/>
    </row>
    <row r="997" spans="1:13" ht="13.5" customHeight="1" x14ac:dyDescent="0.2">
      <c r="A997" s="106" t="s">
        <v>4793</v>
      </c>
      <c r="B997" s="105" t="s">
        <v>2690</v>
      </c>
      <c r="C997" s="105" t="s">
        <v>4819</v>
      </c>
      <c r="D997" s="149" t="s">
        <v>2692</v>
      </c>
      <c r="E997" s="157">
        <v>2</v>
      </c>
      <c r="F997" s="134">
        <v>32.86</v>
      </c>
      <c r="G997" s="134">
        <v>38</v>
      </c>
      <c r="H997" s="109">
        <f t="shared" si="45"/>
        <v>76</v>
      </c>
      <c r="I997" s="119"/>
      <c r="J997" s="119">
        <v>0</v>
      </c>
      <c r="K997" s="119">
        <f t="shared" si="46"/>
        <v>76</v>
      </c>
      <c r="L997" s="152">
        <f t="shared" si="47"/>
        <v>65.72</v>
      </c>
      <c r="M997" s="113"/>
    </row>
    <row r="998" spans="1:13" ht="13.5" customHeight="1" x14ac:dyDescent="0.2">
      <c r="A998" s="106" t="s">
        <v>4793</v>
      </c>
      <c r="B998" s="105" t="s">
        <v>3457</v>
      </c>
      <c r="C998" s="105" t="s">
        <v>4819</v>
      </c>
      <c r="D998" s="149" t="s">
        <v>3458</v>
      </c>
      <c r="E998" s="157">
        <v>4</v>
      </c>
      <c r="F998" s="134">
        <v>51.97</v>
      </c>
      <c r="G998" s="134">
        <v>60</v>
      </c>
      <c r="H998" s="109">
        <f t="shared" si="45"/>
        <v>240</v>
      </c>
      <c r="I998" s="119"/>
      <c r="J998" s="119">
        <v>0</v>
      </c>
      <c r="K998" s="119">
        <f t="shared" si="46"/>
        <v>240</v>
      </c>
      <c r="L998" s="152">
        <f t="shared" si="47"/>
        <v>207.88</v>
      </c>
      <c r="M998" s="113"/>
    </row>
    <row r="999" spans="1:13" ht="13.5" customHeight="1" x14ac:dyDescent="0.2">
      <c r="A999" s="106" t="s">
        <v>4793</v>
      </c>
      <c r="B999" s="105" t="s">
        <v>2298</v>
      </c>
      <c r="C999" s="105" t="s">
        <v>4819</v>
      </c>
      <c r="D999" s="149" t="s">
        <v>2299</v>
      </c>
      <c r="E999" s="157">
        <v>4</v>
      </c>
      <c r="F999" s="134">
        <v>20.8</v>
      </c>
      <c r="G999" s="134">
        <v>24</v>
      </c>
      <c r="H999" s="109">
        <f t="shared" si="45"/>
        <v>96</v>
      </c>
      <c r="I999" s="119"/>
      <c r="J999" s="119">
        <v>0</v>
      </c>
      <c r="K999" s="119">
        <f t="shared" si="46"/>
        <v>96</v>
      </c>
      <c r="L999" s="152">
        <f t="shared" si="47"/>
        <v>83.2</v>
      </c>
      <c r="M999" s="113"/>
    </row>
    <row r="1000" spans="1:13" ht="13.5" customHeight="1" x14ac:dyDescent="0.2">
      <c r="A1000" s="106" t="s">
        <v>4793</v>
      </c>
      <c r="B1000" s="105" t="s">
        <v>2245</v>
      </c>
      <c r="C1000" s="105" t="s">
        <v>4819</v>
      </c>
      <c r="D1000" s="149" t="s">
        <v>2246</v>
      </c>
      <c r="E1000" s="157">
        <v>32</v>
      </c>
      <c r="F1000" s="134">
        <v>4.74</v>
      </c>
      <c r="G1000" s="134">
        <v>5.5</v>
      </c>
      <c r="H1000" s="109">
        <f t="shared" si="45"/>
        <v>176</v>
      </c>
      <c r="I1000" s="119"/>
      <c r="J1000" s="119">
        <v>0</v>
      </c>
      <c r="K1000" s="119">
        <f t="shared" si="46"/>
        <v>176</v>
      </c>
      <c r="L1000" s="152">
        <f t="shared" si="47"/>
        <v>151.68</v>
      </c>
      <c r="M1000" s="113"/>
    </row>
    <row r="1001" spans="1:13" ht="13.5" customHeight="1" x14ac:dyDescent="0.2">
      <c r="A1001" s="106" t="s">
        <v>4793</v>
      </c>
      <c r="B1001" s="105" t="s">
        <v>4282</v>
      </c>
      <c r="C1001" s="105" t="s">
        <v>4819</v>
      </c>
      <c r="D1001" s="149" t="s">
        <v>4284</v>
      </c>
      <c r="E1001" s="157">
        <v>1</v>
      </c>
      <c r="F1001" s="134">
        <v>53.2</v>
      </c>
      <c r="G1001" s="134">
        <v>61.25</v>
      </c>
      <c r="H1001" s="109">
        <f t="shared" si="45"/>
        <v>61.25</v>
      </c>
      <c r="I1001" s="119"/>
      <c r="J1001" s="119">
        <v>0</v>
      </c>
      <c r="K1001" s="119">
        <f t="shared" si="46"/>
        <v>61.25</v>
      </c>
      <c r="L1001" s="152">
        <f t="shared" si="47"/>
        <v>53.2</v>
      </c>
      <c r="M1001" s="113"/>
    </row>
    <row r="1002" spans="1:13" ht="13.5" customHeight="1" x14ac:dyDescent="0.2">
      <c r="A1002" s="106" t="s">
        <v>4793</v>
      </c>
      <c r="B1002" s="105" t="s">
        <v>3047</v>
      </c>
      <c r="C1002" s="105" t="s">
        <v>4819</v>
      </c>
      <c r="D1002" s="149" t="s">
        <v>3048</v>
      </c>
      <c r="E1002" s="157">
        <v>2</v>
      </c>
      <c r="F1002" s="134">
        <v>35.68</v>
      </c>
      <c r="G1002" s="134">
        <v>41.25</v>
      </c>
      <c r="H1002" s="109">
        <f t="shared" si="45"/>
        <v>82.5</v>
      </c>
      <c r="I1002" s="119"/>
      <c r="J1002" s="119">
        <v>0</v>
      </c>
      <c r="K1002" s="119">
        <f t="shared" si="46"/>
        <v>82.5</v>
      </c>
      <c r="L1002" s="152">
        <f t="shared" si="47"/>
        <v>71.36</v>
      </c>
      <c r="M1002" s="113"/>
    </row>
    <row r="1003" spans="1:13" ht="13.5" customHeight="1" x14ac:dyDescent="0.2">
      <c r="A1003" s="153" t="s">
        <v>4793</v>
      </c>
      <c r="B1003" s="154" t="s">
        <v>4798</v>
      </c>
      <c r="C1003" s="154" t="s">
        <v>4820</v>
      </c>
      <c r="D1003" s="155" t="s">
        <v>3957</v>
      </c>
      <c r="E1003" s="159">
        <v>1</v>
      </c>
      <c r="F1003" s="238"/>
      <c r="G1003" s="238">
        <v>38.25</v>
      </c>
      <c r="H1003" s="237">
        <f t="shared" si="45"/>
        <v>38.25</v>
      </c>
      <c r="I1003" s="147"/>
      <c r="J1003" s="147">
        <v>0</v>
      </c>
      <c r="K1003" s="147">
        <f t="shared" si="46"/>
        <v>38.25</v>
      </c>
      <c r="L1003" s="148">
        <f t="shared" si="47"/>
        <v>0</v>
      </c>
      <c r="M1003" s="113"/>
    </row>
    <row r="1004" spans="1:13" ht="13.5" customHeight="1" x14ac:dyDescent="0.2">
      <c r="A1004" s="106" t="s">
        <v>4793</v>
      </c>
      <c r="B1004" s="105" t="s">
        <v>3225</v>
      </c>
      <c r="C1004" s="105" t="s">
        <v>4821</v>
      </c>
      <c r="D1004" s="149" t="s">
        <v>3227</v>
      </c>
      <c r="E1004" s="157">
        <v>1</v>
      </c>
      <c r="F1004" s="134">
        <v>21.17</v>
      </c>
      <c r="G1004" s="134">
        <v>24.5</v>
      </c>
      <c r="H1004" s="109">
        <f t="shared" si="45"/>
        <v>24.5</v>
      </c>
      <c r="I1004" s="119"/>
      <c r="J1004" s="119">
        <v>0</v>
      </c>
      <c r="K1004" s="119">
        <f t="shared" si="46"/>
        <v>24.5</v>
      </c>
      <c r="L1004" s="152">
        <f t="shared" si="47"/>
        <v>21.17</v>
      </c>
      <c r="M1004" s="113"/>
    </row>
    <row r="1005" spans="1:13" ht="13.5" customHeight="1" x14ac:dyDescent="0.2">
      <c r="A1005" s="106" t="s">
        <v>4793</v>
      </c>
      <c r="B1005" s="105" t="s">
        <v>2834</v>
      </c>
      <c r="C1005" s="105" t="s">
        <v>4822</v>
      </c>
      <c r="D1005" s="149" t="s">
        <v>2835</v>
      </c>
      <c r="E1005" s="157">
        <v>1</v>
      </c>
      <c r="F1005" s="134">
        <v>6.83</v>
      </c>
      <c r="G1005" s="134">
        <v>7.75</v>
      </c>
      <c r="H1005" s="109">
        <f t="shared" si="45"/>
        <v>7.75</v>
      </c>
      <c r="I1005" s="119"/>
      <c r="J1005" s="119">
        <v>0</v>
      </c>
      <c r="K1005" s="119">
        <f t="shared" si="46"/>
        <v>7.75</v>
      </c>
      <c r="L1005" s="152">
        <f t="shared" si="47"/>
        <v>6.83</v>
      </c>
      <c r="M1005" s="113"/>
    </row>
    <row r="1006" spans="1:13" ht="13.5" customHeight="1" x14ac:dyDescent="0.2">
      <c r="A1006" s="106" t="s">
        <v>4793</v>
      </c>
      <c r="B1006" s="105" t="s">
        <v>2742</v>
      </c>
      <c r="C1006" s="105" t="s">
        <v>4823</v>
      </c>
      <c r="D1006" s="149" t="s">
        <v>2743</v>
      </c>
      <c r="E1006" s="157">
        <v>1</v>
      </c>
      <c r="F1006" s="134">
        <v>16.03</v>
      </c>
      <c r="G1006" s="134">
        <v>18.5</v>
      </c>
      <c r="H1006" s="109">
        <f t="shared" si="45"/>
        <v>18.5</v>
      </c>
      <c r="I1006" s="119"/>
      <c r="J1006" s="119">
        <v>0</v>
      </c>
      <c r="K1006" s="119">
        <f t="shared" si="46"/>
        <v>18.5</v>
      </c>
      <c r="L1006" s="152">
        <f t="shared" si="47"/>
        <v>16.03</v>
      </c>
      <c r="M1006" s="113"/>
    </row>
    <row r="1007" spans="1:13" ht="13.5" customHeight="1" x14ac:dyDescent="0.2">
      <c r="A1007" s="106" t="s">
        <v>4793</v>
      </c>
      <c r="B1007" s="105" t="s">
        <v>4799</v>
      </c>
      <c r="C1007" s="105" t="s">
        <v>4824</v>
      </c>
      <c r="D1007" s="149" t="s">
        <v>4867</v>
      </c>
      <c r="E1007" s="157">
        <v>1</v>
      </c>
      <c r="F1007" s="134">
        <v>31.83</v>
      </c>
      <c r="G1007" s="134">
        <v>39.75</v>
      </c>
      <c r="H1007" s="109">
        <f t="shared" si="45"/>
        <v>39.75</v>
      </c>
      <c r="I1007" s="119"/>
      <c r="J1007" s="119">
        <v>0</v>
      </c>
      <c r="K1007" s="119">
        <f t="shared" si="46"/>
        <v>39.75</v>
      </c>
      <c r="L1007" s="152">
        <f t="shared" si="47"/>
        <v>31.83</v>
      </c>
      <c r="M1007" s="113"/>
    </row>
    <row r="1008" spans="1:13" ht="13.5" customHeight="1" x14ac:dyDescent="0.2">
      <c r="A1008" s="106" t="s">
        <v>4793</v>
      </c>
      <c r="B1008" s="105" t="s">
        <v>2836</v>
      </c>
      <c r="C1008" s="105" t="s">
        <v>4825</v>
      </c>
      <c r="D1008" s="149" t="s">
        <v>2837</v>
      </c>
      <c r="E1008" s="157">
        <v>1</v>
      </c>
      <c r="F1008" s="134">
        <v>14.65</v>
      </c>
      <c r="G1008" s="134">
        <v>17</v>
      </c>
      <c r="H1008" s="109">
        <f t="shared" si="45"/>
        <v>17</v>
      </c>
      <c r="I1008" s="119"/>
      <c r="J1008" s="119">
        <v>0</v>
      </c>
      <c r="K1008" s="119">
        <f t="shared" si="46"/>
        <v>17</v>
      </c>
      <c r="L1008" s="152">
        <f t="shared" si="47"/>
        <v>14.65</v>
      </c>
      <c r="M1008" s="113"/>
    </row>
    <row r="1009" spans="1:13" ht="13.5" customHeight="1" x14ac:dyDescent="0.2">
      <c r="A1009" s="106" t="s">
        <v>4793</v>
      </c>
      <c r="B1009" s="105" t="s">
        <v>2193</v>
      </c>
      <c r="C1009" s="105" t="s">
        <v>4826</v>
      </c>
      <c r="D1009" s="149" t="s">
        <v>2195</v>
      </c>
      <c r="E1009" s="157">
        <v>1</v>
      </c>
      <c r="F1009" s="134">
        <v>20.68</v>
      </c>
      <c r="G1009" s="134">
        <v>24</v>
      </c>
      <c r="H1009" s="109">
        <f t="shared" si="45"/>
        <v>24</v>
      </c>
      <c r="I1009" s="119"/>
      <c r="J1009" s="119">
        <v>0</v>
      </c>
      <c r="K1009" s="119">
        <f t="shared" si="46"/>
        <v>24</v>
      </c>
      <c r="L1009" s="152">
        <f t="shared" si="47"/>
        <v>20.68</v>
      </c>
      <c r="M1009" s="113"/>
    </row>
    <row r="1010" spans="1:13" ht="13.5" customHeight="1" x14ac:dyDescent="0.2">
      <c r="A1010" s="106" t="s">
        <v>4793</v>
      </c>
      <c r="B1010" s="105" t="s">
        <v>4800</v>
      </c>
      <c r="C1010" s="105" t="s">
        <v>4826</v>
      </c>
      <c r="D1010" s="149" t="s">
        <v>4868</v>
      </c>
      <c r="E1010" s="157">
        <v>1</v>
      </c>
      <c r="F1010" s="134">
        <v>50.88</v>
      </c>
      <c r="G1010" s="134">
        <v>58.75</v>
      </c>
      <c r="H1010" s="109">
        <f t="shared" si="45"/>
        <v>58.75</v>
      </c>
      <c r="I1010" s="119"/>
      <c r="J1010" s="119">
        <v>0</v>
      </c>
      <c r="K1010" s="119">
        <f t="shared" si="46"/>
        <v>58.75</v>
      </c>
      <c r="L1010" s="152">
        <f t="shared" si="47"/>
        <v>50.88</v>
      </c>
      <c r="M1010" s="113"/>
    </row>
    <row r="1011" spans="1:13" ht="13.5" customHeight="1" x14ac:dyDescent="0.2">
      <c r="A1011" s="106" t="s">
        <v>4793</v>
      </c>
      <c r="B1011" s="105" t="s">
        <v>1951</v>
      </c>
      <c r="C1011" s="105" t="s">
        <v>4827</v>
      </c>
      <c r="D1011" s="149" t="s">
        <v>1952</v>
      </c>
      <c r="E1011" s="157">
        <v>1</v>
      </c>
      <c r="F1011" s="134">
        <v>12.77</v>
      </c>
      <c r="G1011" s="134">
        <v>14.75</v>
      </c>
      <c r="H1011" s="109">
        <f t="shared" si="45"/>
        <v>14.75</v>
      </c>
      <c r="I1011" s="119"/>
      <c r="J1011" s="119">
        <v>0</v>
      </c>
      <c r="K1011" s="119">
        <f t="shared" si="46"/>
        <v>14.75</v>
      </c>
      <c r="L1011" s="152">
        <f t="shared" si="47"/>
        <v>12.77</v>
      </c>
      <c r="M1011" s="113"/>
    </row>
    <row r="1012" spans="1:13" ht="13.5" customHeight="1" x14ac:dyDescent="0.2">
      <c r="A1012" s="106" t="s">
        <v>4793</v>
      </c>
      <c r="B1012" s="105" t="s">
        <v>3360</v>
      </c>
      <c r="C1012" s="105" t="s">
        <v>4828</v>
      </c>
      <c r="D1012" s="149" t="s">
        <v>3361</v>
      </c>
      <c r="E1012" s="157">
        <v>1</v>
      </c>
      <c r="F1012" s="134">
        <v>6.03</v>
      </c>
      <c r="G1012" s="134">
        <v>7</v>
      </c>
      <c r="H1012" s="109">
        <f t="shared" si="45"/>
        <v>7</v>
      </c>
      <c r="I1012" s="119"/>
      <c r="J1012" s="119">
        <v>0</v>
      </c>
      <c r="K1012" s="119">
        <f t="shared" si="46"/>
        <v>7</v>
      </c>
      <c r="L1012" s="152">
        <f t="shared" si="47"/>
        <v>6.03</v>
      </c>
      <c r="M1012" s="113"/>
    </row>
    <row r="1013" spans="1:13" ht="13.5" customHeight="1" x14ac:dyDescent="0.2">
      <c r="A1013" s="106" t="s">
        <v>4793</v>
      </c>
      <c r="B1013" s="105" t="s">
        <v>4801</v>
      </c>
      <c r="C1013" s="105" t="s">
        <v>4829</v>
      </c>
      <c r="D1013" s="149" t="s">
        <v>4869</v>
      </c>
      <c r="E1013" s="157">
        <v>1</v>
      </c>
      <c r="F1013" s="134">
        <v>37</v>
      </c>
      <c r="G1013" s="134">
        <v>42.75</v>
      </c>
      <c r="H1013" s="109">
        <f t="shared" si="45"/>
        <v>42.75</v>
      </c>
      <c r="I1013" s="119"/>
      <c r="J1013" s="119">
        <v>0</v>
      </c>
      <c r="K1013" s="119">
        <f t="shared" si="46"/>
        <v>42.75</v>
      </c>
      <c r="L1013" s="152">
        <f t="shared" si="47"/>
        <v>37</v>
      </c>
      <c r="M1013" s="113"/>
    </row>
    <row r="1014" spans="1:13" ht="13.5" customHeight="1" x14ac:dyDescent="0.2">
      <c r="A1014" s="106" t="s">
        <v>4793</v>
      </c>
      <c r="B1014" s="105" t="s">
        <v>3634</v>
      </c>
      <c r="C1014" s="105" t="s">
        <v>4830</v>
      </c>
      <c r="D1014" s="149" t="s">
        <v>3636</v>
      </c>
      <c r="E1014" s="157">
        <v>2</v>
      </c>
      <c r="F1014" s="134">
        <v>8.5299999999999994</v>
      </c>
      <c r="G1014" s="134">
        <v>10</v>
      </c>
      <c r="H1014" s="109">
        <f t="shared" si="45"/>
        <v>20</v>
      </c>
      <c r="I1014" s="119"/>
      <c r="J1014" s="119">
        <v>0</v>
      </c>
      <c r="K1014" s="119">
        <f t="shared" si="46"/>
        <v>20</v>
      </c>
      <c r="L1014" s="152">
        <f t="shared" si="47"/>
        <v>17.059999999999999</v>
      </c>
      <c r="M1014" s="113"/>
    </row>
    <row r="1015" spans="1:13" ht="13.5" customHeight="1" x14ac:dyDescent="0.2">
      <c r="A1015" s="106" t="s">
        <v>4793</v>
      </c>
      <c r="B1015" s="105" t="s">
        <v>3092</v>
      </c>
      <c r="C1015" s="105" t="s">
        <v>4830</v>
      </c>
      <c r="D1015" s="149" t="s">
        <v>3093</v>
      </c>
      <c r="E1015" s="157">
        <v>2</v>
      </c>
      <c r="F1015" s="134">
        <v>7.06</v>
      </c>
      <c r="G1015" s="134">
        <v>8.25</v>
      </c>
      <c r="H1015" s="109">
        <f t="shared" si="45"/>
        <v>16.5</v>
      </c>
      <c r="I1015" s="119"/>
      <c r="J1015" s="119">
        <v>0</v>
      </c>
      <c r="K1015" s="119">
        <f t="shared" si="46"/>
        <v>16.5</v>
      </c>
      <c r="L1015" s="152">
        <f t="shared" si="47"/>
        <v>14.12</v>
      </c>
      <c r="M1015" s="113"/>
    </row>
    <row r="1016" spans="1:13" ht="13.5" customHeight="1" x14ac:dyDescent="0.2">
      <c r="A1016" s="106" t="s">
        <v>4793</v>
      </c>
      <c r="B1016" s="105" t="s">
        <v>1857</v>
      </c>
      <c r="C1016" s="105" t="s">
        <v>4831</v>
      </c>
      <c r="D1016" s="149" t="s">
        <v>1858</v>
      </c>
      <c r="E1016" s="157">
        <v>1</v>
      </c>
      <c r="F1016" s="134">
        <v>15.12</v>
      </c>
      <c r="G1016" s="134">
        <v>17.5</v>
      </c>
      <c r="H1016" s="109">
        <f t="shared" si="45"/>
        <v>17.5</v>
      </c>
      <c r="I1016" s="119"/>
      <c r="J1016" s="119">
        <v>0</v>
      </c>
      <c r="K1016" s="119">
        <f t="shared" si="46"/>
        <v>17.5</v>
      </c>
      <c r="L1016" s="152">
        <f t="shared" si="47"/>
        <v>15.12</v>
      </c>
      <c r="M1016" s="113"/>
    </row>
    <row r="1017" spans="1:13" ht="13.5" customHeight="1" x14ac:dyDescent="0.2">
      <c r="A1017" s="106" t="s">
        <v>4794</v>
      </c>
      <c r="B1017" s="105" t="s">
        <v>2809</v>
      </c>
      <c r="C1017" s="105" t="s">
        <v>4832</v>
      </c>
      <c r="D1017" s="149" t="s">
        <v>2810</v>
      </c>
      <c r="E1017" s="157">
        <v>1</v>
      </c>
      <c r="F1017" s="134">
        <v>53.81</v>
      </c>
      <c r="G1017" s="134">
        <v>62</v>
      </c>
      <c r="H1017" s="109">
        <f t="shared" si="45"/>
        <v>62</v>
      </c>
      <c r="I1017" s="119"/>
      <c r="J1017" s="119">
        <v>0</v>
      </c>
      <c r="K1017" s="119">
        <f t="shared" si="46"/>
        <v>62</v>
      </c>
      <c r="L1017" s="152">
        <f t="shared" si="47"/>
        <v>53.81</v>
      </c>
      <c r="M1017" s="113"/>
    </row>
    <row r="1018" spans="1:13" ht="13.5" customHeight="1" x14ac:dyDescent="0.2">
      <c r="A1018" s="106" t="s">
        <v>4794</v>
      </c>
      <c r="B1018" s="105" t="s">
        <v>4796</v>
      </c>
      <c r="C1018" s="105" t="s">
        <v>4833</v>
      </c>
      <c r="D1018" s="149" t="s">
        <v>4865</v>
      </c>
      <c r="E1018" s="157">
        <v>3</v>
      </c>
      <c r="F1018" s="134">
        <v>23.21</v>
      </c>
      <c r="G1018" s="134">
        <v>26.75</v>
      </c>
      <c r="H1018" s="109">
        <f t="shared" si="45"/>
        <v>80.25</v>
      </c>
      <c r="I1018" s="119"/>
      <c r="J1018" s="119">
        <v>0</v>
      </c>
      <c r="K1018" s="119">
        <f t="shared" si="46"/>
        <v>80.25</v>
      </c>
      <c r="L1018" s="152">
        <f t="shared" si="47"/>
        <v>69.63</v>
      </c>
      <c r="M1018" s="113"/>
    </row>
    <row r="1019" spans="1:13" ht="13.5" customHeight="1" x14ac:dyDescent="0.2">
      <c r="A1019" s="106" t="s">
        <v>4794</v>
      </c>
      <c r="B1019" s="105" t="s">
        <v>4716</v>
      </c>
      <c r="C1019" s="105" t="s">
        <v>4834</v>
      </c>
      <c r="D1019" s="149" t="s">
        <v>4751</v>
      </c>
      <c r="E1019" s="157">
        <v>5</v>
      </c>
      <c r="F1019" s="134">
        <v>0.81</v>
      </c>
      <c r="G1019" s="134">
        <v>1</v>
      </c>
      <c r="H1019" s="109">
        <f t="shared" si="45"/>
        <v>5</v>
      </c>
      <c r="I1019" s="119"/>
      <c r="J1019" s="119">
        <v>0</v>
      </c>
      <c r="K1019" s="119">
        <f t="shared" si="46"/>
        <v>5</v>
      </c>
      <c r="L1019" s="152">
        <f t="shared" si="47"/>
        <v>4.0500000000000007</v>
      </c>
      <c r="M1019" s="113"/>
    </row>
    <row r="1020" spans="1:13" ht="13.5" customHeight="1" x14ac:dyDescent="0.2">
      <c r="A1020" s="106" t="s">
        <v>4794</v>
      </c>
      <c r="B1020" s="105" t="s">
        <v>3345</v>
      </c>
      <c r="C1020" s="105" t="s">
        <v>4835</v>
      </c>
      <c r="D1020" s="149" t="s">
        <v>3347</v>
      </c>
      <c r="E1020" s="157">
        <v>1</v>
      </c>
      <c r="F1020" s="134">
        <v>12.39</v>
      </c>
      <c r="G1020" s="134">
        <v>14.25</v>
      </c>
      <c r="H1020" s="109">
        <f t="shared" si="45"/>
        <v>14.25</v>
      </c>
      <c r="I1020" s="119"/>
      <c r="J1020" s="119">
        <v>0</v>
      </c>
      <c r="K1020" s="119">
        <f t="shared" si="46"/>
        <v>14.25</v>
      </c>
      <c r="L1020" s="152">
        <f t="shared" si="47"/>
        <v>12.39</v>
      </c>
      <c r="M1020" s="113"/>
    </row>
    <row r="1021" spans="1:13" ht="13.5" customHeight="1" x14ac:dyDescent="0.2">
      <c r="A1021" s="106" t="s">
        <v>4794</v>
      </c>
      <c r="B1021" s="105" t="s">
        <v>2363</v>
      </c>
      <c r="C1021" s="105" t="s">
        <v>4835</v>
      </c>
      <c r="D1021" s="149" t="s">
        <v>2365</v>
      </c>
      <c r="E1021" s="157">
        <v>1</v>
      </c>
      <c r="F1021" s="134">
        <v>12.66</v>
      </c>
      <c r="G1021" s="134">
        <v>14.25</v>
      </c>
      <c r="H1021" s="109">
        <f t="shared" si="45"/>
        <v>14.25</v>
      </c>
      <c r="I1021" s="119"/>
      <c r="J1021" s="119">
        <v>0</v>
      </c>
      <c r="K1021" s="119">
        <f t="shared" si="46"/>
        <v>14.25</v>
      </c>
      <c r="L1021" s="152">
        <f t="shared" si="47"/>
        <v>12.66</v>
      </c>
      <c r="M1021" s="113"/>
    </row>
    <row r="1022" spans="1:13" ht="13.5" customHeight="1" x14ac:dyDescent="0.2">
      <c r="A1022" s="106" t="s">
        <v>4794</v>
      </c>
      <c r="B1022" s="105" t="s">
        <v>4715</v>
      </c>
      <c r="C1022" s="105" t="s">
        <v>4836</v>
      </c>
      <c r="D1022" s="149" t="s">
        <v>4750</v>
      </c>
      <c r="E1022" s="157">
        <v>2</v>
      </c>
      <c r="F1022" s="134">
        <v>6.15</v>
      </c>
      <c r="G1022" s="134">
        <v>7.25</v>
      </c>
      <c r="H1022" s="109">
        <f t="shared" si="45"/>
        <v>14.5</v>
      </c>
      <c r="I1022" s="119"/>
      <c r="J1022" s="119">
        <v>0</v>
      </c>
      <c r="K1022" s="119">
        <f t="shared" si="46"/>
        <v>14.5</v>
      </c>
      <c r="L1022" s="152">
        <f t="shared" si="47"/>
        <v>12.3</v>
      </c>
      <c r="M1022" s="113"/>
    </row>
    <row r="1023" spans="1:13" ht="13.5" customHeight="1" x14ac:dyDescent="0.2">
      <c r="A1023" s="106" t="s">
        <v>4794</v>
      </c>
      <c r="B1023" s="105" t="s">
        <v>2798</v>
      </c>
      <c r="C1023" s="105" t="s">
        <v>4837</v>
      </c>
      <c r="D1023" s="149" t="s">
        <v>2800</v>
      </c>
      <c r="E1023" s="157">
        <v>1</v>
      </c>
      <c r="F1023" s="134">
        <v>51.97</v>
      </c>
      <c r="G1023" s="134">
        <v>60</v>
      </c>
      <c r="H1023" s="109">
        <f t="shared" si="45"/>
        <v>60</v>
      </c>
      <c r="I1023" s="119"/>
      <c r="J1023" s="119">
        <v>0</v>
      </c>
      <c r="K1023" s="119">
        <f t="shared" si="46"/>
        <v>60</v>
      </c>
      <c r="L1023" s="152">
        <f t="shared" si="47"/>
        <v>51.97</v>
      </c>
      <c r="M1023" s="113"/>
    </row>
    <row r="1024" spans="1:13" ht="13.5" customHeight="1" x14ac:dyDescent="0.2">
      <c r="A1024" s="106" t="s">
        <v>4794</v>
      </c>
      <c r="B1024" s="105" t="s">
        <v>1877</v>
      </c>
      <c r="C1024" s="105" t="s">
        <v>4838</v>
      </c>
      <c r="D1024" s="149" t="s">
        <v>1878</v>
      </c>
      <c r="E1024" s="157">
        <v>3</v>
      </c>
      <c r="F1024" s="134">
        <v>20.399999999999999</v>
      </c>
      <c r="G1024" s="134">
        <v>23.5</v>
      </c>
      <c r="H1024" s="109">
        <f t="shared" si="45"/>
        <v>70.5</v>
      </c>
      <c r="I1024" s="119"/>
      <c r="J1024" s="119">
        <v>0</v>
      </c>
      <c r="K1024" s="119">
        <f t="shared" si="46"/>
        <v>70.5</v>
      </c>
      <c r="L1024" s="152">
        <f t="shared" si="47"/>
        <v>61.199999999999996</v>
      </c>
      <c r="M1024" s="113"/>
    </row>
    <row r="1025" spans="1:13" ht="13.5" customHeight="1" x14ac:dyDescent="0.2">
      <c r="A1025" s="106" t="s">
        <v>4794</v>
      </c>
      <c r="B1025" s="105" t="s">
        <v>1958</v>
      </c>
      <c r="C1025" s="105" t="s">
        <v>4838</v>
      </c>
      <c r="D1025" s="149" t="s">
        <v>1960</v>
      </c>
      <c r="E1025" s="157">
        <v>2</v>
      </c>
      <c r="F1025" s="134">
        <v>20.399999999999999</v>
      </c>
      <c r="G1025" s="134">
        <v>23.5</v>
      </c>
      <c r="H1025" s="109">
        <f t="shared" si="45"/>
        <v>47</v>
      </c>
      <c r="I1025" s="119"/>
      <c r="J1025" s="119">
        <v>0</v>
      </c>
      <c r="K1025" s="119">
        <f t="shared" si="46"/>
        <v>47</v>
      </c>
      <c r="L1025" s="152">
        <f t="shared" si="47"/>
        <v>40.799999999999997</v>
      </c>
      <c r="M1025" s="113"/>
    </row>
    <row r="1026" spans="1:13" ht="13.5" customHeight="1" x14ac:dyDescent="0.2">
      <c r="A1026" s="106" t="s">
        <v>4794</v>
      </c>
      <c r="B1026" s="105" t="s">
        <v>4037</v>
      </c>
      <c r="C1026" s="105" t="s">
        <v>4839</v>
      </c>
      <c r="D1026" s="149" t="s">
        <v>4039</v>
      </c>
      <c r="E1026" s="157">
        <v>1</v>
      </c>
      <c r="F1026" s="134">
        <v>148.25</v>
      </c>
      <c r="G1026" s="134">
        <v>170.5</v>
      </c>
      <c r="H1026" s="109">
        <f t="shared" si="45"/>
        <v>170.5</v>
      </c>
      <c r="I1026" s="119"/>
      <c r="J1026" s="119">
        <v>0</v>
      </c>
      <c r="K1026" s="119">
        <f t="shared" si="46"/>
        <v>170.5</v>
      </c>
      <c r="L1026" s="152">
        <f t="shared" si="47"/>
        <v>148.25</v>
      </c>
      <c r="M1026" s="113"/>
    </row>
    <row r="1027" spans="1:13" ht="13.5" customHeight="1" x14ac:dyDescent="0.2">
      <c r="A1027" s="106" t="s">
        <v>4794</v>
      </c>
      <c r="B1027" s="105" t="s">
        <v>3169</v>
      </c>
      <c r="C1027" s="105" t="s">
        <v>4839</v>
      </c>
      <c r="D1027" s="149" t="s">
        <v>3170</v>
      </c>
      <c r="E1027" s="157">
        <v>6</v>
      </c>
      <c r="F1027" s="134">
        <v>5.41</v>
      </c>
      <c r="G1027" s="134">
        <v>6.25</v>
      </c>
      <c r="H1027" s="109">
        <f t="shared" si="45"/>
        <v>37.5</v>
      </c>
      <c r="I1027" s="119"/>
      <c r="J1027" s="119">
        <v>0</v>
      </c>
      <c r="K1027" s="119">
        <f t="shared" si="46"/>
        <v>37.5</v>
      </c>
      <c r="L1027" s="152">
        <f t="shared" si="47"/>
        <v>32.46</v>
      </c>
      <c r="M1027" s="113"/>
    </row>
    <row r="1028" spans="1:13" ht="13.5" customHeight="1" x14ac:dyDescent="0.2">
      <c r="A1028" s="106" t="s">
        <v>4794</v>
      </c>
      <c r="B1028" s="105" t="s">
        <v>2367</v>
      </c>
      <c r="C1028" s="105" t="s">
        <v>4839</v>
      </c>
      <c r="D1028" s="149" t="s">
        <v>2369</v>
      </c>
      <c r="E1028" s="157">
        <v>6</v>
      </c>
      <c r="F1028" s="134">
        <v>6.38</v>
      </c>
      <c r="G1028" s="134">
        <v>7.5</v>
      </c>
      <c r="H1028" s="109">
        <f t="shared" si="45"/>
        <v>45</v>
      </c>
      <c r="I1028" s="119"/>
      <c r="J1028" s="119">
        <v>0</v>
      </c>
      <c r="K1028" s="119">
        <f t="shared" si="46"/>
        <v>45</v>
      </c>
      <c r="L1028" s="152">
        <f t="shared" si="47"/>
        <v>38.28</v>
      </c>
      <c r="M1028" s="113"/>
    </row>
    <row r="1029" spans="1:13" ht="13.5" customHeight="1" x14ac:dyDescent="0.2">
      <c r="A1029" s="106" t="s">
        <v>4794</v>
      </c>
      <c r="B1029" s="105" t="s">
        <v>3101</v>
      </c>
      <c r="C1029" s="105" t="s">
        <v>4839</v>
      </c>
      <c r="D1029" s="149" t="s">
        <v>3102</v>
      </c>
      <c r="E1029" s="157">
        <v>12</v>
      </c>
      <c r="F1029" s="134">
        <v>30.83</v>
      </c>
      <c r="G1029" s="134">
        <v>35.5</v>
      </c>
      <c r="H1029" s="109">
        <f t="shared" si="45"/>
        <v>426</v>
      </c>
      <c r="I1029" s="119"/>
      <c r="J1029" s="119">
        <v>0</v>
      </c>
      <c r="K1029" s="119">
        <f t="shared" si="46"/>
        <v>426</v>
      </c>
      <c r="L1029" s="152">
        <f t="shared" si="47"/>
        <v>369.96</v>
      </c>
      <c r="M1029" s="113"/>
    </row>
    <row r="1030" spans="1:13" ht="13.5" customHeight="1" x14ac:dyDescent="0.2">
      <c r="A1030" s="106" t="s">
        <v>4794</v>
      </c>
      <c r="B1030" s="105" t="s">
        <v>2507</v>
      </c>
      <c r="C1030" s="105" t="s">
        <v>4839</v>
      </c>
      <c r="D1030" s="149" t="s">
        <v>2508</v>
      </c>
      <c r="E1030" s="157">
        <v>5</v>
      </c>
      <c r="F1030" s="134">
        <v>48.6</v>
      </c>
      <c r="G1030" s="134">
        <v>56</v>
      </c>
      <c r="H1030" s="109">
        <f t="shared" si="45"/>
        <v>280</v>
      </c>
      <c r="I1030" s="119"/>
      <c r="J1030" s="119">
        <v>0</v>
      </c>
      <c r="K1030" s="119">
        <f t="shared" si="46"/>
        <v>280</v>
      </c>
      <c r="L1030" s="152">
        <f t="shared" si="47"/>
        <v>243</v>
      </c>
      <c r="M1030" s="113"/>
    </row>
    <row r="1031" spans="1:13" ht="13.5" customHeight="1" x14ac:dyDescent="0.2">
      <c r="A1031" s="106" t="s">
        <v>4794</v>
      </c>
      <c r="B1031" s="105" t="s">
        <v>2809</v>
      </c>
      <c r="C1031" s="105" t="s">
        <v>4839</v>
      </c>
      <c r="D1031" s="149" t="s">
        <v>2810</v>
      </c>
      <c r="E1031" s="157">
        <v>1</v>
      </c>
      <c r="F1031" s="134">
        <v>53.81</v>
      </c>
      <c r="G1031" s="134">
        <v>62</v>
      </c>
      <c r="H1031" s="109">
        <f t="shared" si="45"/>
        <v>62</v>
      </c>
      <c r="I1031" s="119"/>
      <c r="J1031" s="119">
        <v>0</v>
      </c>
      <c r="K1031" s="119">
        <f t="shared" si="46"/>
        <v>62</v>
      </c>
      <c r="L1031" s="152">
        <f t="shared" si="47"/>
        <v>53.81</v>
      </c>
      <c r="M1031" s="113"/>
    </row>
    <row r="1032" spans="1:13" ht="13.5" customHeight="1" x14ac:dyDescent="0.2">
      <c r="A1032" s="106" t="s">
        <v>4794</v>
      </c>
      <c r="B1032" s="105" t="s">
        <v>2162</v>
      </c>
      <c r="C1032" s="105" t="s">
        <v>4839</v>
      </c>
      <c r="D1032" s="149" t="s">
        <v>2163</v>
      </c>
      <c r="E1032" s="157">
        <v>1</v>
      </c>
      <c r="F1032" s="134">
        <v>67.290000000000006</v>
      </c>
      <c r="G1032" s="134">
        <v>77.5</v>
      </c>
      <c r="H1032" s="109">
        <f t="shared" ref="H1032:H1095" si="48">E1032*G1032</f>
        <v>77.5</v>
      </c>
      <c r="I1032" s="119"/>
      <c r="J1032" s="119">
        <v>0</v>
      </c>
      <c r="K1032" s="119">
        <f t="shared" ref="K1032:K1095" si="49">H1032+I1032-J1032</f>
        <v>77.5</v>
      </c>
      <c r="L1032" s="152">
        <f t="shared" ref="L1032:L1095" si="50">E1032*F1032</f>
        <v>67.290000000000006</v>
      </c>
      <c r="M1032" s="113"/>
    </row>
    <row r="1033" spans="1:13" ht="13.5" customHeight="1" x14ac:dyDescent="0.2">
      <c r="A1033" s="106" t="s">
        <v>4794</v>
      </c>
      <c r="B1033" s="105" t="s">
        <v>2205</v>
      </c>
      <c r="C1033" s="105" t="s">
        <v>4839</v>
      </c>
      <c r="D1033" s="149" t="s">
        <v>2207</v>
      </c>
      <c r="E1033" s="157">
        <v>1</v>
      </c>
      <c r="F1033" s="134">
        <v>41.86</v>
      </c>
      <c r="G1033" s="134">
        <v>48.25</v>
      </c>
      <c r="H1033" s="109">
        <f t="shared" si="48"/>
        <v>48.25</v>
      </c>
      <c r="I1033" s="119"/>
      <c r="J1033" s="119">
        <v>0</v>
      </c>
      <c r="K1033" s="119">
        <f t="shared" si="49"/>
        <v>48.25</v>
      </c>
      <c r="L1033" s="152">
        <f t="shared" si="50"/>
        <v>41.86</v>
      </c>
      <c r="M1033" s="113"/>
    </row>
    <row r="1034" spans="1:13" ht="13.5" customHeight="1" x14ac:dyDescent="0.2">
      <c r="A1034" s="106" t="s">
        <v>4794</v>
      </c>
      <c r="B1034" s="105" t="s">
        <v>2220</v>
      </c>
      <c r="C1034" s="105" t="s">
        <v>4839</v>
      </c>
      <c r="D1034" s="149" t="s">
        <v>2222</v>
      </c>
      <c r="E1034" s="157">
        <v>1</v>
      </c>
      <c r="F1034" s="134">
        <v>35.15</v>
      </c>
      <c r="G1034" s="134">
        <v>41</v>
      </c>
      <c r="H1034" s="109">
        <f t="shared" si="48"/>
        <v>41</v>
      </c>
      <c r="I1034" s="119"/>
      <c r="J1034" s="119">
        <v>0</v>
      </c>
      <c r="K1034" s="119">
        <f t="shared" si="49"/>
        <v>41</v>
      </c>
      <c r="L1034" s="152">
        <f t="shared" si="50"/>
        <v>35.15</v>
      </c>
      <c r="M1034" s="113"/>
    </row>
    <row r="1035" spans="1:13" ht="13.5" customHeight="1" x14ac:dyDescent="0.2">
      <c r="A1035" s="106" t="s">
        <v>4794</v>
      </c>
      <c r="B1035" s="105" t="s">
        <v>2173</v>
      </c>
      <c r="C1035" s="105" t="s">
        <v>4839</v>
      </c>
      <c r="D1035" s="149" t="s">
        <v>2175</v>
      </c>
      <c r="E1035" s="157">
        <v>1</v>
      </c>
      <c r="F1035" s="134">
        <v>140</v>
      </c>
      <c r="G1035" s="134">
        <v>161</v>
      </c>
      <c r="H1035" s="109">
        <f t="shared" si="48"/>
        <v>161</v>
      </c>
      <c r="I1035" s="119"/>
      <c r="J1035" s="119">
        <v>0</v>
      </c>
      <c r="K1035" s="119">
        <f t="shared" si="49"/>
        <v>161</v>
      </c>
      <c r="L1035" s="152">
        <f t="shared" si="50"/>
        <v>140</v>
      </c>
      <c r="M1035" s="113"/>
    </row>
    <row r="1036" spans="1:13" ht="13.5" customHeight="1" x14ac:dyDescent="0.2">
      <c r="A1036" s="106" t="s">
        <v>4794</v>
      </c>
      <c r="B1036" s="105" t="s">
        <v>2438</v>
      </c>
      <c r="C1036" s="105" t="s">
        <v>4840</v>
      </c>
      <c r="D1036" s="149" t="s">
        <v>2440</v>
      </c>
      <c r="E1036" s="157">
        <v>1</v>
      </c>
      <c r="F1036" s="134">
        <v>15.12</v>
      </c>
      <c r="G1036" s="134">
        <v>17.5</v>
      </c>
      <c r="H1036" s="109">
        <f t="shared" si="48"/>
        <v>17.5</v>
      </c>
      <c r="I1036" s="119"/>
      <c r="J1036" s="119">
        <v>0</v>
      </c>
      <c r="K1036" s="119">
        <f t="shared" si="49"/>
        <v>17.5</v>
      </c>
      <c r="L1036" s="152">
        <f t="shared" si="50"/>
        <v>15.12</v>
      </c>
      <c r="M1036" s="113"/>
    </row>
    <row r="1037" spans="1:13" ht="13.5" customHeight="1" x14ac:dyDescent="0.2">
      <c r="A1037" s="106" t="s">
        <v>4794</v>
      </c>
      <c r="B1037" s="105" t="s">
        <v>4802</v>
      </c>
      <c r="C1037" s="105" t="s">
        <v>4841</v>
      </c>
      <c r="D1037" s="149" t="s">
        <v>4870</v>
      </c>
      <c r="E1037" s="157">
        <v>1</v>
      </c>
      <c r="F1037" s="134">
        <v>127.18</v>
      </c>
      <c r="G1037" s="134">
        <v>146.5</v>
      </c>
      <c r="H1037" s="109">
        <f t="shared" si="48"/>
        <v>146.5</v>
      </c>
      <c r="I1037" s="119"/>
      <c r="J1037" s="119">
        <v>0</v>
      </c>
      <c r="K1037" s="119">
        <f t="shared" si="49"/>
        <v>146.5</v>
      </c>
      <c r="L1037" s="152">
        <f t="shared" si="50"/>
        <v>127.18</v>
      </c>
      <c r="M1037" s="113"/>
    </row>
    <row r="1038" spans="1:13" ht="13.5" customHeight="1" x14ac:dyDescent="0.2">
      <c r="A1038" s="106" t="s">
        <v>4794</v>
      </c>
      <c r="B1038" s="105" t="s">
        <v>1888</v>
      </c>
      <c r="C1038" s="105" t="s">
        <v>4842</v>
      </c>
      <c r="D1038" s="149" t="s">
        <v>1890</v>
      </c>
      <c r="E1038" s="157">
        <v>2</v>
      </c>
      <c r="F1038" s="134">
        <v>20.68</v>
      </c>
      <c r="G1038" s="134">
        <v>24</v>
      </c>
      <c r="H1038" s="109">
        <f t="shared" si="48"/>
        <v>48</v>
      </c>
      <c r="I1038" s="119"/>
      <c r="J1038" s="119">
        <v>0</v>
      </c>
      <c r="K1038" s="119">
        <f t="shared" si="49"/>
        <v>48</v>
      </c>
      <c r="L1038" s="152">
        <f t="shared" si="50"/>
        <v>41.36</v>
      </c>
      <c r="M1038" s="113"/>
    </row>
    <row r="1039" spans="1:13" ht="13.5" customHeight="1" x14ac:dyDescent="0.2">
      <c r="A1039" s="106" t="s">
        <v>4794</v>
      </c>
      <c r="B1039" s="105" t="s">
        <v>2193</v>
      </c>
      <c r="C1039" s="105" t="s">
        <v>4842</v>
      </c>
      <c r="D1039" s="149" t="s">
        <v>2195</v>
      </c>
      <c r="E1039" s="157">
        <v>1</v>
      </c>
      <c r="F1039" s="134">
        <v>20.68</v>
      </c>
      <c r="G1039" s="134">
        <v>24</v>
      </c>
      <c r="H1039" s="109">
        <f t="shared" si="48"/>
        <v>24</v>
      </c>
      <c r="I1039" s="119"/>
      <c r="J1039" s="119">
        <v>0</v>
      </c>
      <c r="K1039" s="119">
        <f t="shared" si="49"/>
        <v>24</v>
      </c>
      <c r="L1039" s="152">
        <f t="shared" si="50"/>
        <v>20.68</v>
      </c>
      <c r="M1039" s="113"/>
    </row>
    <row r="1040" spans="1:13" ht="13.5" customHeight="1" x14ac:dyDescent="0.2">
      <c r="A1040" s="106" t="s">
        <v>4794</v>
      </c>
      <c r="B1040" s="105" t="s">
        <v>4086</v>
      </c>
      <c r="C1040" s="105" t="s">
        <v>4843</v>
      </c>
      <c r="D1040" s="149" t="s">
        <v>4087</v>
      </c>
      <c r="E1040" s="157">
        <v>1</v>
      </c>
      <c r="F1040" s="134">
        <v>60.25</v>
      </c>
      <c r="G1040" s="134">
        <v>69.5</v>
      </c>
      <c r="H1040" s="109">
        <f t="shared" si="48"/>
        <v>69.5</v>
      </c>
      <c r="I1040" s="119"/>
      <c r="J1040" s="119">
        <v>0</v>
      </c>
      <c r="K1040" s="119">
        <f t="shared" si="49"/>
        <v>69.5</v>
      </c>
      <c r="L1040" s="152">
        <f t="shared" si="50"/>
        <v>60.25</v>
      </c>
      <c r="M1040" s="113"/>
    </row>
    <row r="1041" spans="1:13" ht="13.5" customHeight="1" x14ac:dyDescent="0.2">
      <c r="A1041" s="106" t="s">
        <v>4794</v>
      </c>
      <c r="B1041" s="105" t="s">
        <v>4022</v>
      </c>
      <c r="C1041" s="105" t="s">
        <v>4844</v>
      </c>
      <c r="D1041" s="149" t="s">
        <v>4024</v>
      </c>
      <c r="E1041" s="157">
        <v>3</v>
      </c>
      <c r="F1041" s="134">
        <v>7.71</v>
      </c>
      <c r="G1041" s="134">
        <v>9</v>
      </c>
      <c r="H1041" s="109">
        <f t="shared" si="48"/>
        <v>27</v>
      </c>
      <c r="I1041" s="119"/>
      <c r="J1041" s="119">
        <v>0</v>
      </c>
      <c r="K1041" s="119">
        <f t="shared" si="49"/>
        <v>27</v>
      </c>
      <c r="L1041" s="152">
        <f t="shared" si="50"/>
        <v>23.13</v>
      </c>
      <c r="M1041" s="113"/>
    </row>
    <row r="1042" spans="1:13" ht="13.5" customHeight="1" x14ac:dyDescent="0.2">
      <c r="A1042" s="106" t="s">
        <v>4794</v>
      </c>
      <c r="B1042" s="105" t="s">
        <v>1905</v>
      </c>
      <c r="C1042" s="105" t="s">
        <v>4845</v>
      </c>
      <c r="D1042" s="149" t="s">
        <v>1906</v>
      </c>
      <c r="E1042" s="157">
        <v>1</v>
      </c>
      <c r="F1042" s="134">
        <v>15.12</v>
      </c>
      <c r="G1042" s="134">
        <v>17.5</v>
      </c>
      <c r="H1042" s="109">
        <f t="shared" si="48"/>
        <v>17.5</v>
      </c>
      <c r="I1042" s="119"/>
      <c r="J1042" s="119">
        <v>0</v>
      </c>
      <c r="K1042" s="119">
        <f t="shared" si="49"/>
        <v>17.5</v>
      </c>
      <c r="L1042" s="152">
        <f t="shared" si="50"/>
        <v>15.12</v>
      </c>
      <c r="M1042" s="113"/>
    </row>
    <row r="1043" spans="1:13" ht="13.5" customHeight="1" x14ac:dyDescent="0.2">
      <c r="A1043" s="106" t="s">
        <v>4794</v>
      </c>
      <c r="B1043" s="105" t="s">
        <v>4760</v>
      </c>
      <c r="C1043" s="105" t="s">
        <v>4846</v>
      </c>
      <c r="D1043" s="149" t="s">
        <v>4787</v>
      </c>
      <c r="E1043" s="157">
        <v>2</v>
      </c>
      <c r="F1043" s="134">
        <v>30.35</v>
      </c>
      <c r="G1043" s="134">
        <v>35</v>
      </c>
      <c r="H1043" s="109">
        <f t="shared" si="48"/>
        <v>70</v>
      </c>
      <c r="I1043" s="119"/>
      <c r="J1043" s="119">
        <v>0</v>
      </c>
      <c r="K1043" s="119">
        <f t="shared" si="49"/>
        <v>70</v>
      </c>
      <c r="L1043" s="152">
        <f t="shared" si="50"/>
        <v>60.7</v>
      </c>
      <c r="M1043" s="113"/>
    </row>
    <row r="1044" spans="1:13" x14ac:dyDescent="0.2">
      <c r="A1044" s="106" t="s">
        <v>4794</v>
      </c>
      <c r="B1044" s="105" t="s">
        <v>3996</v>
      </c>
      <c r="C1044" s="105" t="s">
        <v>4846</v>
      </c>
      <c r="D1044" s="149" t="s">
        <v>3997</v>
      </c>
      <c r="E1044" s="157">
        <v>1</v>
      </c>
      <c r="F1044" s="134">
        <v>30.9</v>
      </c>
      <c r="G1044" s="134">
        <v>35.75</v>
      </c>
      <c r="H1044" s="109">
        <f t="shared" si="48"/>
        <v>35.75</v>
      </c>
      <c r="I1044" s="119"/>
      <c r="J1044" s="119">
        <v>0</v>
      </c>
      <c r="K1044" s="119">
        <f t="shared" si="49"/>
        <v>35.75</v>
      </c>
      <c r="L1044" s="152">
        <f t="shared" si="50"/>
        <v>30.9</v>
      </c>
      <c r="M1044" s="113"/>
    </row>
    <row r="1045" spans="1:13" ht="13.5" customHeight="1" x14ac:dyDescent="0.2">
      <c r="A1045" s="106" t="s">
        <v>4791</v>
      </c>
      <c r="B1045" s="105" t="s">
        <v>4803</v>
      </c>
      <c r="C1045" s="105" t="s">
        <v>4847</v>
      </c>
      <c r="D1045" s="149" t="s">
        <v>4871</v>
      </c>
      <c r="E1045" s="157">
        <v>6</v>
      </c>
      <c r="F1045" s="134">
        <v>3.94</v>
      </c>
      <c r="G1045" s="134">
        <v>5</v>
      </c>
      <c r="H1045" s="109">
        <f t="shared" si="48"/>
        <v>30</v>
      </c>
      <c r="I1045" s="119"/>
      <c r="J1045" s="119">
        <v>0</v>
      </c>
      <c r="K1045" s="119">
        <f t="shared" si="49"/>
        <v>30</v>
      </c>
      <c r="L1045" s="152">
        <f t="shared" si="50"/>
        <v>23.64</v>
      </c>
      <c r="M1045" s="113"/>
    </row>
    <row r="1046" spans="1:13" ht="13.5" customHeight="1" x14ac:dyDescent="0.2">
      <c r="A1046" s="106" t="s">
        <v>4791</v>
      </c>
      <c r="B1046" s="105" t="s">
        <v>3267</v>
      </c>
      <c r="C1046" s="105" t="s">
        <v>4848</v>
      </c>
      <c r="D1046" s="149" t="s">
        <v>3268</v>
      </c>
      <c r="E1046" s="157">
        <v>1</v>
      </c>
      <c r="F1046" s="134">
        <v>11.5</v>
      </c>
      <c r="G1046" s="134">
        <v>13.5</v>
      </c>
      <c r="H1046" s="109">
        <f t="shared" si="48"/>
        <v>13.5</v>
      </c>
      <c r="I1046" s="119"/>
      <c r="J1046" s="119">
        <v>0</v>
      </c>
      <c r="K1046" s="119">
        <f t="shared" si="49"/>
        <v>13.5</v>
      </c>
      <c r="L1046" s="152">
        <f t="shared" si="50"/>
        <v>11.5</v>
      </c>
      <c r="M1046" s="113"/>
    </row>
    <row r="1047" spans="1:13" ht="13.5" customHeight="1" x14ac:dyDescent="0.2">
      <c r="A1047" s="106" t="s">
        <v>4791</v>
      </c>
      <c r="B1047" s="105" t="s">
        <v>4522</v>
      </c>
      <c r="C1047" s="105" t="s">
        <v>4849</v>
      </c>
      <c r="D1047" s="149" t="s">
        <v>4627</v>
      </c>
      <c r="E1047" s="157">
        <v>2</v>
      </c>
      <c r="F1047" s="134">
        <v>6.15</v>
      </c>
      <c r="G1047" s="134">
        <v>7.25</v>
      </c>
      <c r="H1047" s="109">
        <f t="shared" si="48"/>
        <v>14.5</v>
      </c>
      <c r="I1047" s="119"/>
      <c r="J1047" s="119">
        <v>0</v>
      </c>
      <c r="K1047" s="119">
        <f t="shared" si="49"/>
        <v>14.5</v>
      </c>
      <c r="L1047" s="152">
        <f t="shared" si="50"/>
        <v>12.3</v>
      </c>
      <c r="M1047" s="113"/>
    </row>
    <row r="1048" spans="1:13" ht="13.5" customHeight="1" x14ac:dyDescent="0.2">
      <c r="A1048" s="106" t="s">
        <v>4791</v>
      </c>
      <c r="B1048" s="105" t="s">
        <v>3072</v>
      </c>
      <c r="C1048" s="105" t="s">
        <v>4850</v>
      </c>
      <c r="D1048" s="149" t="s">
        <v>3074</v>
      </c>
      <c r="E1048" s="157">
        <v>1</v>
      </c>
      <c r="F1048" s="134">
        <v>16.91</v>
      </c>
      <c r="G1048" s="134">
        <v>18.600000000000001</v>
      </c>
      <c r="H1048" s="109">
        <f t="shared" si="48"/>
        <v>18.600000000000001</v>
      </c>
      <c r="I1048" s="119"/>
      <c r="J1048" s="119">
        <v>0</v>
      </c>
      <c r="K1048" s="119">
        <f t="shared" si="49"/>
        <v>18.600000000000001</v>
      </c>
      <c r="L1048" s="152">
        <f t="shared" si="50"/>
        <v>16.91</v>
      </c>
      <c r="M1048" s="113"/>
    </row>
    <row r="1049" spans="1:13" ht="13.5" customHeight="1" x14ac:dyDescent="0.2">
      <c r="A1049" s="106" t="s">
        <v>4791</v>
      </c>
      <c r="B1049" s="105" t="s">
        <v>1915</v>
      </c>
      <c r="C1049" s="105" t="s">
        <v>4850</v>
      </c>
      <c r="D1049" s="149" t="s">
        <v>1917</v>
      </c>
      <c r="E1049" s="157">
        <v>1</v>
      </c>
      <c r="F1049" s="134">
        <v>7.85</v>
      </c>
      <c r="G1049" s="134">
        <v>12</v>
      </c>
      <c r="H1049" s="109">
        <f t="shared" si="48"/>
        <v>12</v>
      </c>
      <c r="I1049" s="119"/>
      <c r="J1049" s="119">
        <v>0</v>
      </c>
      <c r="K1049" s="119">
        <f t="shared" si="49"/>
        <v>12</v>
      </c>
      <c r="L1049" s="152">
        <f t="shared" si="50"/>
        <v>7.85</v>
      </c>
      <c r="M1049" s="113"/>
    </row>
    <row r="1050" spans="1:13" ht="13.5" customHeight="1" x14ac:dyDescent="0.2">
      <c r="A1050" s="106" t="s">
        <v>4791</v>
      </c>
      <c r="B1050" s="105" t="s">
        <v>1924</v>
      </c>
      <c r="C1050" s="105" t="s">
        <v>4850</v>
      </c>
      <c r="D1050" s="149" t="s">
        <v>1926</v>
      </c>
      <c r="E1050" s="157">
        <v>2</v>
      </c>
      <c r="F1050" s="134">
        <v>10.64</v>
      </c>
      <c r="G1050" s="134">
        <v>12.25</v>
      </c>
      <c r="H1050" s="109">
        <f t="shared" si="48"/>
        <v>24.5</v>
      </c>
      <c r="I1050" s="119"/>
      <c r="J1050" s="119">
        <v>0</v>
      </c>
      <c r="K1050" s="119">
        <f t="shared" si="49"/>
        <v>24.5</v>
      </c>
      <c r="L1050" s="152">
        <f t="shared" si="50"/>
        <v>21.28</v>
      </c>
      <c r="M1050" s="113"/>
    </row>
    <row r="1051" spans="1:13" ht="13.5" customHeight="1" x14ac:dyDescent="0.2">
      <c r="A1051" s="106" t="s">
        <v>4791</v>
      </c>
      <c r="B1051" s="105" t="s">
        <v>4804</v>
      </c>
      <c r="C1051" s="105" t="s">
        <v>4851</v>
      </c>
      <c r="D1051" s="149" t="s">
        <v>4872</v>
      </c>
      <c r="E1051" s="157">
        <v>2</v>
      </c>
      <c r="F1051" s="134">
        <v>7.06</v>
      </c>
      <c r="G1051" s="134">
        <v>8.25</v>
      </c>
      <c r="H1051" s="109">
        <f t="shared" si="48"/>
        <v>16.5</v>
      </c>
      <c r="I1051" s="119"/>
      <c r="J1051" s="119">
        <v>0</v>
      </c>
      <c r="K1051" s="119">
        <f t="shared" si="49"/>
        <v>16.5</v>
      </c>
      <c r="L1051" s="152">
        <f t="shared" si="50"/>
        <v>14.12</v>
      </c>
      <c r="M1051" s="113"/>
    </row>
    <row r="1052" spans="1:13" ht="13.5" customHeight="1" x14ac:dyDescent="0.2">
      <c r="A1052" s="106" t="s">
        <v>4791</v>
      </c>
      <c r="B1052" s="105" t="s">
        <v>3437</v>
      </c>
      <c r="C1052" s="105" t="s">
        <v>4852</v>
      </c>
      <c r="D1052" s="149" t="s">
        <v>3439</v>
      </c>
      <c r="E1052" s="157">
        <v>1</v>
      </c>
      <c r="F1052" s="134">
        <v>13.12</v>
      </c>
      <c r="G1052" s="134">
        <v>15.25</v>
      </c>
      <c r="H1052" s="109">
        <f t="shared" si="48"/>
        <v>15.25</v>
      </c>
      <c r="I1052" s="119"/>
      <c r="J1052" s="119">
        <v>0</v>
      </c>
      <c r="K1052" s="119">
        <f t="shared" si="49"/>
        <v>15.25</v>
      </c>
      <c r="L1052" s="152">
        <f t="shared" si="50"/>
        <v>13.12</v>
      </c>
      <c r="M1052" s="113"/>
    </row>
    <row r="1053" spans="1:13" ht="13.5" customHeight="1" x14ac:dyDescent="0.2">
      <c r="A1053" s="106" t="s">
        <v>4791</v>
      </c>
      <c r="B1053" s="105" t="s">
        <v>2139</v>
      </c>
      <c r="C1053" s="105" t="s">
        <v>4853</v>
      </c>
      <c r="D1053" s="149" t="s">
        <v>2140</v>
      </c>
      <c r="E1053" s="157">
        <v>1</v>
      </c>
      <c r="F1053" s="134">
        <v>16.03</v>
      </c>
      <c r="G1053" s="134">
        <v>18.5</v>
      </c>
      <c r="H1053" s="109">
        <f t="shared" si="48"/>
        <v>18.5</v>
      </c>
      <c r="I1053" s="119"/>
      <c r="J1053" s="119">
        <v>0</v>
      </c>
      <c r="K1053" s="119">
        <f t="shared" si="49"/>
        <v>18.5</v>
      </c>
      <c r="L1053" s="152">
        <f t="shared" si="50"/>
        <v>16.03</v>
      </c>
      <c r="M1053" s="113"/>
    </row>
    <row r="1054" spans="1:13" ht="13.5" customHeight="1" x14ac:dyDescent="0.2">
      <c r="A1054" s="106" t="s">
        <v>4791</v>
      </c>
      <c r="B1054" s="105" t="s">
        <v>2762</v>
      </c>
      <c r="C1054" s="105" t="s">
        <v>4854</v>
      </c>
      <c r="D1054" s="149" t="s">
        <v>2764</v>
      </c>
      <c r="E1054" s="157">
        <v>2</v>
      </c>
      <c r="F1054" s="134">
        <v>18.57</v>
      </c>
      <c r="G1054" s="134">
        <v>21.5</v>
      </c>
      <c r="H1054" s="109">
        <f t="shared" si="48"/>
        <v>43</v>
      </c>
      <c r="I1054" s="119"/>
      <c r="J1054" s="119">
        <v>0</v>
      </c>
      <c r="K1054" s="119">
        <f t="shared" si="49"/>
        <v>43</v>
      </c>
      <c r="L1054" s="152">
        <f t="shared" si="50"/>
        <v>37.14</v>
      </c>
      <c r="M1054" s="113"/>
    </row>
    <row r="1055" spans="1:13" ht="13.5" customHeight="1" x14ac:dyDescent="0.2">
      <c r="A1055" s="106" t="s">
        <v>4791</v>
      </c>
      <c r="B1055" s="105" t="s">
        <v>3083</v>
      </c>
      <c r="C1055" s="105" t="s">
        <v>4854</v>
      </c>
      <c r="D1055" s="149" t="s">
        <v>3085</v>
      </c>
      <c r="E1055" s="157">
        <v>1</v>
      </c>
      <c r="F1055" s="134">
        <v>29.95</v>
      </c>
      <c r="G1055" s="134">
        <v>34.5</v>
      </c>
      <c r="H1055" s="109">
        <f t="shared" si="48"/>
        <v>34.5</v>
      </c>
      <c r="I1055" s="119"/>
      <c r="J1055" s="119">
        <v>0</v>
      </c>
      <c r="K1055" s="119">
        <f t="shared" si="49"/>
        <v>34.5</v>
      </c>
      <c r="L1055" s="152">
        <f t="shared" si="50"/>
        <v>29.95</v>
      </c>
      <c r="M1055" s="113"/>
    </row>
    <row r="1056" spans="1:13" ht="13.5" customHeight="1" x14ac:dyDescent="0.2">
      <c r="A1056" s="106" t="s">
        <v>4791</v>
      </c>
      <c r="B1056" s="105" t="s">
        <v>3195</v>
      </c>
      <c r="C1056" s="105" t="s">
        <v>4854</v>
      </c>
      <c r="D1056" s="149" t="s">
        <v>3196</v>
      </c>
      <c r="E1056" s="157">
        <v>1</v>
      </c>
      <c r="F1056" s="134">
        <v>64.58</v>
      </c>
      <c r="G1056" s="134">
        <v>74.5</v>
      </c>
      <c r="H1056" s="109">
        <f t="shared" si="48"/>
        <v>74.5</v>
      </c>
      <c r="I1056" s="119"/>
      <c r="J1056" s="119">
        <v>0</v>
      </c>
      <c r="K1056" s="119">
        <f t="shared" si="49"/>
        <v>74.5</v>
      </c>
      <c r="L1056" s="152">
        <f t="shared" si="50"/>
        <v>64.58</v>
      </c>
      <c r="M1056" s="113"/>
    </row>
    <row r="1057" spans="1:13" ht="13.5" customHeight="1" x14ac:dyDescent="0.2">
      <c r="A1057" s="106" t="s">
        <v>4791</v>
      </c>
      <c r="B1057" s="105" t="s">
        <v>3180</v>
      </c>
      <c r="C1057" s="105" t="s">
        <v>4855</v>
      </c>
      <c r="D1057" s="149" t="s">
        <v>3181</v>
      </c>
      <c r="E1057" s="157">
        <v>10</v>
      </c>
      <c r="F1057" s="134">
        <v>25.8</v>
      </c>
      <c r="G1057" s="134">
        <v>29.75</v>
      </c>
      <c r="H1057" s="109">
        <f t="shared" si="48"/>
        <v>297.5</v>
      </c>
      <c r="I1057" s="119"/>
      <c r="J1057" s="119">
        <v>0</v>
      </c>
      <c r="K1057" s="119">
        <f t="shared" si="49"/>
        <v>297.5</v>
      </c>
      <c r="L1057" s="152">
        <f t="shared" si="50"/>
        <v>258</v>
      </c>
      <c r="M1057" s="113"/>
    </row>
    <row r="1058" spans="1:13" ht="13.5" customHeight="1" x14ac:dyDescent="0.2">
      <c r="A1058" s="106" t="s">
        <v>4791</v>
      </c>
      <c r="B1058" s="105" t="s">
        <v>3101</v>
      </c>
      <c r="C1058" s="105" t="s">
        <v>4855</v>
      </c>
      <c r="D1058" s="149" t="s">
        <v>3102</v>
      </c>
      <c r="E1058" s="157">
        <v>12</v>
      </c>
      <c r="F1058" s="134">
        <v>30.83</v>
      </c>
      <c r="G1058" s="134">
        <v>35.5</v>
      </c>
      <c r="H1058" s="109">
        <f t="shared" si="48"/>
        <v>426</v>
      </c>
      <c r="I1058" s="119"/>
      <c r="J1058" s="119">
        <v>54.5</v>
      </c>
      <c r="K1058" s="119">
        <f t="shared" si="49"/>
        <v>371.5</v>
      </c>
      <c r="L1058" s="152">
        <f t="shared" si="50"/>
        <v>369.96</v>
      </c>
      <c r="M1058" s="113"/>
    </row>
    <row r="1059" spans="1:13" ht="13.5" customHeight="1" x14ac:dyDescent="0.2">
      <c r="A1059" s="106" t="s">
        <v>4791</v>
      </c>
      <c r="B1059" s="105" t="s">
        <v>4805</v>
      </c>
      <c r="C1059" s="105" t="s">
        <v>4856</v>
      </c>
      <c r="D1059" s="149" t="s">
        <v>4873</v>
      </c>
      <c r="E1059" s="157">
        <v>1</v>
      </c>
      <c r="F1059" s="134">
        <v>71.25</v>
      </c>
      <c r="G1059" s="134">
        <v>82</v>
      </c>
      <c r="H1059" s="109">
        <f t="shared" si="48"/>
        <v>82</v>
      </c>
      <c r="I1059" s="119"/>
      <c r="J1059" s="119">
        <v>0</v>
      </c>
      <c r="K1059" s="119">
        <f t="shared" si="49"/>
        <v>82</v>
      </c>
      <c r="L1059" s="152">
        <f t="shared" si="50"/>
        <v>71.25</v>
      </c>
      <c r="M1059" s="113"/>
    </row>
    <row r="1060" spans="1:13" ht="13.5" customHeight="1" x14ac:dyDescent="0.2">
      <c r="A1060" s="106" t="s">
        <v>4791</v>
      </c>
      <c r="B1060" s="105" t="s">
        <v>4806</v>
      </c>
      <c r="C1060" s="105" t="s">
        <v>4857</v>
      </c>
      <c r="D1060" s="149" t="s">
        <v>4874</v>
      </c>
      <c r="E1060" s="157">
        <v>2</v>
      </c>
      <c r="F1060" s="134">
        <v>8.58</v>
      </c>
      <c r="G1060" s="134">
        <v>10</v>
      </c>
      <c r="H1060" s="109">
        <f t="shared" si="48"/>
        <v>20</v>
      </c>
      <c r="I1060" s="119"/>
      <c r="J1060" s="119">
        <v>0</v>
      </c>
      <c r="K1060" s="119">
        <f t="shared" si="49"/>
        <v>20</v>
      </c>
      <c r="L1060" s="152">
        <f t="shared" si="50"/>
        <v>17.16</v>
      </c>
      <c r="M1060" s="113"/>
    </row>
    <row r="1061" spans="1:13" ht="13.5" customHeight="1" x14ac:dyDescent="0.2">
      <c r="A1061" s="106" t="s">
        <v>4791</v>
      </c>
      <c r="B1061" s="105" t="s">
        <v>2018</v>
      </c>
      <c r="C1061" s="105" t="s">
        <v>4858</v>
      </c>
      <c r="D1061" s="149" t="s">
        <v>2019</v>
      </c>
      <c r="E1061" s="157">
        <v>3</v>
      </c>
      <c r="F1061" s="134">
        <v>30.79</v>
      </c>
      <c r="G1061" s="134">
        <v>36.75</v>
      </c>
      <c r="H1061" s="109">
        <f t="shared" si="48"/>
        <v>110.25</v>
      </c>
      <c r="I1061" s="119"/>
      <c r="J1061" s="119">
        <v>0</v>
      </c>
      <c r="K1061" s="119">
        <f t="shared" si="49"/>
        <v>110.25</v>
      </c>
      <c r="L1061" s="152">
        <f t="shared" si="50"/>
        <v>92.37</v>
      </c>
      <c r="M1061" s="113"/>
    </row>
    <row r="1062" spans="1:13" ht="13.5" customHeight="1" x14ac:dyDescent="0.2">
      <c r="A1062" s="106" t="s">
        <v>4791</v>
      </c>
      <c r="B1062" s="105" t="s">
        <v>3072</v>
      </c>
      <c r="C1062" s="105" t="s">
        <v>4858</v>
      </c>
      <c r="D1062" s="149" t="s">
        <v>3074</v>
      </c>
      <c r="E1062" s="157">
        <v>1</v>
      </c>
      <c r="F1062" s="134">
        <v>16.91</v>
      </c>
      <c r="G1062" s="134">
        <v>18.600000000000001</v>
      </c>
      <c r="H1062" s="109">
        <f t="shared" si="48"/>
        <v>18.600000000000001</v>
      </c>
      <c r="I1062" s="119"/>
      <c r="J1062" s="119">
        <v>0</v>
      </c>
      <c r="K1062" s="119">
        <f t="shared" si="49"/>
        <v>18.600000000000001</v>
      </c>
      <c r="L1062" s="152">
        <f t="shared" si="50"/>
        <v>16.91</v>
      </c>
      <c r="M1062" s="113"/>
    </row>
    <row r="1063" spans="1:13" ht="13.5" customHeight="1" x14ac:dyDescent="0.2">
      <c r="A1063" s="106" t="s">
        <v>4791</v>
      </c>
      <c r="B1063" s="105" t="s">
        <v>3267</v>
      </c>
      <c r="C1063" s="105" t="s">
        <v>4858</v>
      </c>
      <c r="D1063" s="149" t="s">
        <v>3268</v>
      </c>
      <c r="E1063" s="157">
        <v>2</v>
      </c>
      <c r="F1063" s="134">
        <v>11.5</v>
      </c>
      <c r="G1063" s="134">
        <v>13.5</v>
      </c>
      <c r="H1063" s="109">
        <f t="shared" si="48"/>
        <v>27</v>
      </c>
      <c r="I1063" s="119"/>
      <c r="J1063" s="119">
        <v>0</v>
      </c>
      <c r="K1063" s="119">
        <f t="shared" si="49"/>
        <v>27</v>
      </c>
      <c r="L1063" s="152">
        <f t="shared" si="50"/>
        <v>23</v>
      </c>
      <c r="M1063" s="113"/>
    </row>
    <row r="1064" spans="1:13" ht="13.5" customHeight="1" x14ac:dyDescent="0.2">
      <c r="A1064" s="106" t="s">
        <v>4791</v>
      </c>
      <c r="B1064" s="105" t="s">
        <v>1854</v>
      </c>
      <c r="C1064" s="105" t="s">
        <v>4859</v>
      </c>
      <c r="D1064" s="149" t="s">
        <v>1855</v>
      </c>
      <c r="E1064" s="157">
        <v>1</v>
      </c>
      <c r="F1064" s="134">
        <v>7.62</v>
      </c>
      <c r="G1064" s="134">
        <v>8.75</v>
      </c>
      <c r="H1064" s="109">
        <f t="shared" si="48"/>
        <v>8.75</v>
      </c>
      <c r="I1064" s="119"/>
      <c r="J1064" s="119">
        <v>0</v>
      </c>
      <c r="K1064" s="119">
        <f t="shared" si="49"/>
        <v>8.75</v>
      </c>
      <c r="L1064" s="152">
        <f t="shared" si="50"/>
        <v>7.62</v>
      </c>
      <c r="M1064" s="113"/>
    </row>
    <row r="1065" spans="1:13" ht="13.5" customHeight="1" x14ac:dyDescent="0.2">
      <c r="A1065" s="106" t="s">
        <v>4791</v>
      </c>
      <c r="B1065" s="105" t="s">
        <v>2615</v>
      </c>
      <c r="C1065" s="105" t="s">
        <v>4860</v>
      </c>
      <c r="D1065" s="149" t="s">
        <v>2617</v>
      </c>
      <c r="E1065" s="157">
        <v>1</v>
      </c>
      <c r="F1065" s="134">
        <v>57.25</v>
      </c>
      <c r="G1065" s="134">
        <v>66</v>
      </c>
      <c r="H1065" s="109">
        <f t="shared" si="48"/>
        <v>66</v>
      </c>
      <c r="I1065" s="119"/>
      <c r="J1065" s="119">
        <v>0</v>
      </c>
      <c r="K1065" s="119">
        <f t="shared" si="49"/>
        <v>66</v>
      </c>
      <c r="L1065" s="152">
        <f t="shared" si="50"/>
        <v>57.25</v>
      </c>
      <c r="M1065" s="113"/>
    </row>
    <row r="1066" spans="1:13" ht="13.5" customHeight="1" x14ac:dyDescent="0.2">
      <c r="A1066" s="106" t="s">
        <v>4791</v>
      </c>
      <c r="B1066" s="105" t="s">
        <v>3974</v>
      </c>
      <c r="C1066" s="105" t="s">
        <v>4860</v>
      </c>
      <c r="D1066" s="149" t="s">
        <v>3975</v>
      </c>
      <c r="E1066" s="157">
        <v>1</v>
      </c>
      <c r="F1066" s="134">
        <v>59.51</v>
      </c>
      <c r="G1066" s="134">
        <v>68.5</v>
      </c>
      <c r="H1066" s="109">
        <f t="shared" si="48"/>
        <v>68.5</v>
      </c>
      <c r="I1066" s="119"/>
      <c r="J1066" s="119">
        <v>0</v>
      </c>
      <c r="K1066" s="119">
        <f t="shared" si="49"/>
        <v>68.5</v>
      </c>
      <c r="L1066" s="152">
        <f t="shared" si="50"/>
        <v>59.51</v>
      </c>
      <c r="M1066" s="113"/>
    </row>
    <row r="1067" spans="1:13" ht="13.5" customHeight="1" x14ac:dyDescent="0.2">
      <c r="A1067" s="106" t="s">
        <v>4791</v>
      </c>
      <c r="B1067" s="105" t="s">
        <v>1969</v>
      </c>
      <c r="C1067" s="105" t="s">
        <v>4861</v>
      </c>
      <c r="D1067" s="149" t="s">
        <v>1970</v>
      </c>
      <c r="E1067" s="157">
        <v>2</v>
      </c>
      <c r="F1067" s="134">
        <v>3.6</v>
      </c>
      <c r="G1067" s="134">
        <v>4.25</v>
      </c>
      <c r="H1067" s="109">
        <f t="shared" si="48"/>
        <v>8.5</v>
      </c>
      <c r="I1067" s="119"/>
      <c r="J1067" s="119">
        <v>0</v>
      </c>
      <c r="K1067" s="119">
        <f t="shared" si="49"/>
        <v>8.5</v>
      </c>
      <c r="L1067" s="152">
        <f t="shared" si="50"/>
        <v>7.2</v>
      </c>
      <c r="M1067" s="113"/>
    </row>
    <row r="1068" spans="1:13" ht="13.5" customHeight="1" x14ac:dyDescent="0.2">
      <c r="A1068" s="106" t="s">
        <v>4791</v>
      </c>
      <c r="B1068" s="105" t="s">
        <v>4522</v>
      </c>
      <c r="C1068" s="105" t="s">
        <v>4861</v>
      </c>
      <c r="D1068" s="149" t="s">
        <v>4627</v>
      </c>
      <c r="E1068" s="157">
        <v>1</v>
      </c>
      <c r="F1068" s="134">
        <v>6.15</v>
      </c>
      <c r="G1068" s="134">
        <v>7.25</v>
      </c>
      <c r="H1068" s="109">
        <f t="shared" si="48"/>
        <v>7.25</v>
      </c>
      <c r="I1068" s="119"/>
      <c r="J1068" s="119">
        <v>0</v>
      </c>
      <c r="K1068" s="119">
        <f t="shared" si="49"/>
        <v>7.25</v>
      </c>
      <c r="L1068" s="152">
        <f t="shared" si="50"/>
        <v>6.15</v>
      </c>
      <c r="M1068" s="113"/>
    </row>
    <row r="1069" spans="1:13" ht="13.5" customHeight="1" x14ac:dyDescent="0.2">
      <c r="A1069" s="106" t="s">
        <v>4791</v>
      </c>
      <c r="B1069" s="105" t="s">
        <v>3072</v>
      </c>
      <c r="C1069" s="105" t="s">
        <v>4862</v>
      </c>
      <c r="D1069" s="149" t="s">
        <v>3074</v>
      </c>
      <c r="E1069" s="157">
        <v>1</v>
      </c>
      <c r="F1069" s="134">
        <v>16.91</v>
      </c>
      <c r="G1069" s="134">
        <v>18.600000000000001</v>
      </c>
      <c r="H1069" s="109">
        <f t="shared" si="48"/>
        <v>18.600000000000001</v>
      </c>
      <c r="I1069" s="119"/>
      <c r="J1069" s="119">
        <v>0</v>
      </c>
      <c r="K1069" s="119">
        <f t="shared" si="49"/>
        <v>18.600000000000001</v>
      </c>
      <c r="L1069" s="152">
        <f t="shared" si="50"/>
        <v>16.91</v>
      </c>
      <c r="M1069" s="113"/>
    </row>
    <row r="1070" spans="1:13" ht="13.5" customHeight="1" x14ac:dyDescent="0.2">
      <c r="A1070" s="106" t="s">
        <v>4791</v>
      </c>
      <c r="B1070" s="105" t="s">
        <v>4156</v>
      </c>
      <c r="C1070" s="105" t="s">
        <v>4863</v>
      </c>
      <c r="D1070" s="149" t="s">
        <v>4157</v>
      </c>
      <c r="E1070" s="157">
        <v>1</v>
      </c>
      <c r="F1070" s="134">
        <v>6.03</v>
      </c>
      <c r="G1070" s="134">
        <v>7</v>
      </c>
      <c r="H1070" s="109">
        <f t="shared" si="48"/>
        <v>7</v>
      </c>
      <c r="I1070" s="119"/>
      <c r="J1070" s="119">
        <v>0</v>
      </c>
      <c r="K1070" s="119">
        <f t="shared" si="49"/>
        <v>7</v>
      </c>
      <c r="L1070" s="152">
        <f t="shared" si="50"/>
        <v>6.03</v>
      </c>
      <c r="M1070" s="113"/>
    </row>
    <row r="1071" spans="1:13" ht="13.5" customHeight="1" x14ac:dyDescent="0.2">
      <c r="A1071" s="106">
        <v>46196</v>
      </c>
      <c r="B1071" s="105" t="s">
        <v>2226</v>
      </c>
      <c r="C1071" s="105" t="s">
        <v>4880</v>
      </c>
      <c r="D1071" s="149" t="s">
        <v>2228</v>
      </c>
      <c r="E1071" s="157">
        <v>6</v>
      </c>
      <c r="F1071" s="134">
        <v>19.47</v>
      </c>
      <c r="G1071" s="134">
        <v>23</v>
      </c>
      <c r="H1071" s="109">
        <f t="shared" si="48"/>
        <v>138</v>
      </c>
      <c r="I1071" s="119"/>
      <c r="J1071" s="119">
        <v>0</v>
      </c>
      <c r="K1071" s="119">
        <f t="shared" si="49"/>
        <v>138</v>
      </c>
      <c r="L1071" s="152">
        <f t="shared" si="50"/>
        <v>116.82</v>
      </c>
      <c r="M1071" s="113"/>
    </row>
    <row r="1072" spans="1:13" ht="13.5" customHeight="1" x14ac:dyDescent="0.2">
      <c r="A1072" s="106">
        <v>46196</v>
      </c>
      <c r="B1072" s="105" t="s">
        <v>3072</v>
      </c>
      <c r="C1072" s="105" t="s">
        <v>4880</v>
      </c>
      <c r="D1072" s="149" t="s">
        <v>3074</v>
      </c>
      <c r="E1072" s="157">
        <v>2</v>
      </c>
      <c r="F1072" s="134">
        <v>16.91</v>
      </c>
      <c r="G1072" s="134">
        <v>18.600000000000001</v>
      </c>
      <c r="H1072" s="109">
        <f t="shared" si="48"/>
        <v>37.200000000000003</v>
      </c>
      <c r="I1072" s="119"/>
      <c r="J1072" s="119">
        <v>0</v>
      </c>
      <c r="K1072" s="119">
        <f t="shared" si="49"/>
        <v>37.200000000000003</v>
      </c>
      <c r="L1072" s="152">
        <f t="shared" si="50"/>
        <v>33.82</v>
      </c>
      <c r="M1072" s="113"/>
    </row>
    <row r="1073" spans="1:13" ht="13.5" customHeight="1" x14ac:dyDescent="0.2">
      <c r="A1073" s="106">
        <v>46196</v>
      </c>
      <c r="B1073" s="105" t="s">
        <v>4522</v>
      </c>
      <c r="C1073" s="105" t="s">
        <v>4881</v>
      </c>
      <c r="D1073" s="149" t="s">
        <v>4627</v>
      </c>
      <c r="E1073" s="157">
        <v>3</v>
      </c>
      <c r="F1073" s="134">
        <v>6.15</v>
      </c>
      <c r="G1073" s="134">
        <v>7.25</v>
      </c>
      <c r="H1073" s="109">
        <f t="shared" si="48"/>
        <v>21.75</v>
      </c>
      <c r="I1073" s="119"/>
      <c r="J1073" s="119">
        <v>0</v>
      </c>
      <c r="K1073" s="119">
        <f t="shared" si="49"/>
        <v>21.75</v>
      </c>
      <c r="L1073" s="152">
        <f t="shared" si="50"/>
        <v>18.450000000000003</v>
      </c>
      <c r="M1073" s="113"/>
    </row>
    <row r="1074" spans="1:13" ht="13.5" customHeight="1" x14ac:dyDescent="0.2">
      <c r="A1074" s="106">
        <v>46196</v>
      </c>
      <c r="B1074" s="105" t="s">
        <v>2553</v>
      </c>
      <c r="C1074" s="105" t="s">
        <v>4882</v>
      </c>
      <c r="D1074" s="149" t="s">
        <v>2554</v>
      </c>
      <c r="E1074" s="157">
        <v>1</v>
      </c>
      <c r="F1074" s="134">
        <v>54</v>
      </c>
      <c r="G1074" s="134">
        <v>62.25</v>
      </c>
      <c r="H1074" s="109">
        <f t="shared" si="48"/>
        <v>62.25</v>
      </c>
      <c r="I1074" s="119"/>
      <c r="J1074" s="119">
        <v>0</v>
      </c>
      <c r="K1074" s="119">
        <f t="shared" si="49"/>
        <v>62.25</v>
      </c>
      <c r="L1074" s="152">
        <f t="shared" si="50"/>
        <v>54</v>
      </c>
      <c r="M1074" s="113"/>
    </row>
    <row r="1075" spans="1:13" ht="13.5" customHeight="1" x14ac:dyDescent="0.2">
      <c r="A1075" s="106">
        <v>46196</v>
      </c>
      <c r="B1075" s="105" t="s">
        <v>3356</v>
      </c>
      <c r="C1075" s="105" t="s">
        <v>4883</v>
      </c>
      <c r="D1075" s="149" t="s">
        <v>3358</v>
      </c>
      <c r="E1075" s="157">
        <v>1</v>
      </c>
      <c r="F1075" s="134">
        <v>6.03</v>
      </c>
      <c r="G1075" s="134">
        <v>7</v>
      </c>
      <c r="H1075" s="109">
        <f t="shared" si="48"/>
        <v>7</v>
      </c>
      <c r="I1075" s="119"/>
      <c r="J1075" s="119">
        <v>0</v>
      </c>
      <c r="K1075" s="119">
        <f t="shared" si="49"/>
        <v>7</v>
      </c>
      <c r="L1075" s="152">
        <f t="shared" si="50"/>
        <v>6.03</v>
      </c>
      <c r="M1075" s="113"/>
    </row>
    <row r="1076" spans="1:13" ht="13.5" customHeight="1" x14ac:dyDescent="0.2">
      <c r="A1076" s="106">
        <v>46196</v>
      </c>
      <c r="B1076" s="105" t="s">
        <v>4068</v>
      </c>
      <c r="C1076" s="105" t="s">
        <v>4884</v>
      </c>
      <c r="D1076" s="149" t="s">
        <v>4070</v>
      </c>
      <c r="E1076" s="157">
        <v>2</v>
      </c>
      <c r="F1076" s="134">
        <v>20.57</v>
      </c>
      <c r="G1076" s="134">
        <v>23.75</v>
      </c>
      <c r="H1076" s="109">
        <f t="shared" si="48"/>
        <v>47.5</v>
      </c>
      <c r="I1076" s="119"/>
      <c r="J1076" s="119">
        <v>0</v>
      </c>
      <c r="K1076" s="119">
        <f t="shared" si="49"/>
        <v>47.5</v>
      </c>
      <c r="L1076" s="152">
        <f t="shared" si="50"/>
        <v>41.14</v>
      </c>
      <c r="M1076" s="113"/>
    </row>
    <row r="1077" spans="1:13" ht="13.5" customHeight="1" x14ac:dyDescent="0.2">
      <c r="A1077" s="106">
        <v>46196</v>
      </c>
      <c r="B1077" s="105" t="s">
        <v>4716</v>
      </c>
      <c r="C1077" s="105" t="s">
        <v>4885</v>
      </c>
      <c r="D1077" s="149" t="s">
        <v>4751</v>
      </c>
      <c r="E1077" s="157">
        <v>3</v>
      </c>
      <c r="F1077" s="134">
        <v>0.81</v>
      </c>
      <c r="G1077" s="134">
        <v>1</v>
      </c>
      <c r="H1077" s="109">
        <f t="shared" si="48"/>
        <v>3</v>
      </c>
      <c r="I1077" s="119"/>
      <c r="J1077" s="119">
        <v>0</v>
      </c>
      <c r="K1077" s="119">
        <f t="shared" si="49"/>
        <v>3</v>
      </c>
      <c r="L1077" s="152">
        <f t="shared" si="50"/>
        <v>2.4300000000000002</v>
      </c>
      <c r="M1077" s="113"/>
    </row>
    <row r="1078" spans="1:13" ht="13.5" customHeight="1" x14ac:dyDescent="0.2">
      <c r="A1078" s="106">
        <v>46196</v>
      </c>
      <c r="B1078" s="105" t="s">
        <v>2627</v>
      </c>
      <c r="C1078" s="105" t="s">
        <v>4886</v>
      </c>
      <c r="D1078" s="149" t="s">
        <v>2628</v>
      </c>
      <c r="E1078" s="157">
        <v>1</v>
      </c>
      <c r="F1078" s="134">
        <v>6.82</v>
      </c>
      <c r="G1078" s="134">
        <v>8</v>
      </c>
      <c r="H1078" s="109">
        <f t="shared" si="48"/>
        <v>8</v>
      </c>
      <c r="I1078" s="119"/>
      <c r="J1078" s="119">
        <v>0</v>
      </c>
      <c r="K1078" s="119">
        <f t="shared" si="49"/>
        <v>8</v>
      </c>
      <c r="L1078" s="152">
        <f t="shared" si="50"/>
        <v>6.82</v>
      </c>
      <c r="M1078" s="113"/>
    </row>
    <row r="1079" spans="1:13" ht="13.5" customHeight="1" x14ac:dyDescent="0.2">
      <c r="A1079" s="106">
        <v>46196</v>
      </c>
      <c r="B1079" s="105" t="s">
        <v>2639</v>
      </c>
      <c r="C1079" s="105" t="s">
        <v>4886</v>
      </c>
      <c r="D1079" s="149" t="s">
        <v>2640</v>
      </c>
      <c r="E1079" s="157">
        <v>1</v>
      </c>
      <c r="F1079" s="134">
        <v>17.059999999999999</v>
      </c>
      <c r="G1079" s="134">
        <v>19.75</v>
      </c>
      <c r="H1079" s="109">
        <f t="shared" si="48"/>
        <v>19.75</v>
      </c>
      <c r="I1079" s="119"/>
      <c r="J1079" s="119">
        <v>0</v>
      </c>
      <c r="K1079" s="119">
        <f t="shared" si="49"/>
        <v>19.75</v>
      </c>
      <c r="L1079" s="152">
        <f t="shared" si="50"/>
        <v>17.059999999999999</v>
      </c>
      <c r="M1079" s="113"/>
    </row>
    <row r="1080" spans="1:13" ht="13.5" customHeight="1" x14ac:dyDescent="0.2">
      <c r="A1080" s="106">
        <v>46196</v>
      </c>
      <c r="B1080" s="105" t="s">
        <v>4878</v>
      </c>
      <c r="C1080" s="105" t="s">
        <v>4887</v>
      </c>
      <c r="D1080" s="149" t="s">
        <v>4911</v>
      </c>
      <c r="E1080" s="157">
        <v>1</v>
      </c>
      <c r="F1080" s="134">
        <v>30.14</v>
      </c>
      <c r="G1080" s="134">
        <v>34.75</v>
      </c>
      <c r="H1080" s="109">
        <f t="shared" si="48"/>
        <v>34.75</v>
      </c>
      <c r="I1080" s="119"/>
      <c r="J1080" s="119">
        <v>0</v>
      </c>
      <c r="K1080" s="119">
        <f t="shared" si="49"/>
        <v>34.75</v>
      </c>
      <c r="L1080" s="152">
        <f t="shared" si="50"/>
        <v>30.14</v>
      </c>
      <c r="M1080" s="113"/>
    </row>
    <row r="1081" spans="1:13" ht="13.5" customHeight="1" x14ac:dyDescent="0.2">
      <c r="A1081" s="106">
        <v>46196</v>
      </c>
      <c r="B1081" s="105" t="s">
        <v>2115</v>
      </c>
      <c r="C1081" s="105" t="s">
        <v>4888</v>
      </c>
      <c r="D1081" s="149" t="s">
        <v>2117</v>
      </c>
      <c r="E1081" s="157">
        <v>1</v>
      </c>
      <c r="F1081" s="134">
        <v>84.8</v>
      </c>
      <c r="G1081" s="134">
        <v>94</v>
      </c>
      <c r="H1081" s="109">
        <f t="shared" si="48"/>
        <v>94</v>
      </c>
      <c r="I1081" s="119"/>
      <c r="J1081" s="119">
        <v>0</v>
      </c>
      <c r="K1081" s="119">
        <f t="shared" si="49"/>
        <v>94</v>
      </c>
      <c r="L1081" s="152">
        <f t="shared" si="50"/>
        <v>84.8</v>
      </c>
      <c r="M1081" s="113"/>
    </row>
    <row r="1082" spans="1:13" ht="13.5" customHeight="1" x14ac:dyDescent="0.2">
      <c r="A1082" s="106">
        <v>46196</v>
      </c>
      <c r="B1082" s="105" t="s">
        <v>4879</v>
      </c>
      <c r="C1082" s="105" t="s">
        <v>4889</v>
      </c>
      <c r="D1082" s="149" t="s">
        <v>4912</v>
      </c>
      <c r="E1082" s="157">
        <v>1</v>
      </c>
      <c r="F1082" s="134">
        <v>197.3</v>
      </c>
      <c r="G1082" s="134">
        <v>227</v>
      </c>
      <c r="H1082" s="109">
        <f t="shared" si="48"/>
        <v>227</v>
      </c>
      <c r="I1082" s="119"/>
      <c r="J1082" s="119">
        <v>0</v>
      </c>
      <c r="K1082" s="119">
        <f t="shared" si="49"/>
        <v>227</v>
      </c>
      <c r="L1082" s="152">
        <f t="shared" si="50"/>
        <v>197.3</v>
      </c>
      <c r="M1082" s="113"/>
    </row>
    <row r="1083" spans="1:13" ht="13.5" customHeight="1" x14ac:dyDescent="0.2">
      <c r="A1083" s="106">
        <v>46196</v>
      </c>
      <c r="B1083" s="105" t="s">
        <v>4718</v>
      </c>
      <c r="C1083" s="105" t="s">
        <v>4890</v>
      </c>
      <c r="D1083" s="149" t="s">
        <v>4753</v>
      </c>
      <c r="E1083" s="157">
        <v>1</v>
      </c>
      <c r="F1083" s="134">
        <v>14.5</v>
      </c>
      <c r="G1083" s="134">
        <v>16.75</v>
      </c>
      <c r="H1083" s="109">
        <f t="shared" si="48"/>
        <v>16.75</v>
      </c>
      <c r="I1083" s="119"/>
      <c r="J1083" s="119">
        <v>0</v>
      </c>
      <c r="K1083" s="119">
        <f t="shared" si="49"/>
        <v>16.75</v>
      </c>
      <c r="L1083" s="152">
        <f t="shared" si="50"/>
        <v>14.5</v>
      </c>
      <c r="M1083" s="113"/>
    </row>
    <row r="1084" spans="1:13" ht="13.5" customHeight="1" x14ac:dyDescent="0.2">
      <c r="A1084" s="106">
        <v>46196</v>
      </c>
      <c r="B1084" s="105" t="s">
        <v>3437</v>
      </c>
      <c r="C1084" s="105" t="s">
        <v>4891</v>
      </c>
      <c r="D1084" s="149" t="s">
        <v>3439</v>
      </c>
      <c r="E1084" s="157">
        <v>1</v>
      </c>
      <c r="F1084" s="134">
        <v>13.12</v>
      </c>
      <c r="G1084" s="134">
        <v>15.25</v>
      </c>
      <c r="H1084" s="109">
        <f t="shared" si="48"/>
        <v>15.25</v>
      </c>
      <c r="I1084" s="119"/>
      <c r="J1084" s="119">
        <v>0</v>
      </c>
      <c r="K1084" s="119">
        <f t="shared" si="49"/>
        <v>15.25</v>
      </c>
      <c r="L1084" s="152">
        <f t="shared" si="50"/>
        <v>13.12</v>
      </c>
      <c r="M1084" s="113"/>
    </row>
    <row r="1085" spans="1:13" ht="13.5" customHeight="1" x14ac:dyDescent="0.2">
      <c r="A1085" s="106">
        <v>46196</v>
      </c>
      <c r="B1085" s="105" t="s">
        <v>3765</v>
      </c>
      <c r="C1085" s="105" t="s">
        <v>4892</v>
      </c>
      <c r="D1085" s="149" t="s">
        <v>3766</v>
      </c>
      <c r="E1085" s="157">
        <v>2</v>
      </c>
      <c r="F1085" s="134">
        <v>65.95</v>
      </c>
      <c r="G1085" s="134">
        <v>76</v>
      </c>
      <c r="H1085" s="109">
        <f t="shared" si="48"/>
        <v>152</v>
      </c>
      <c r="I1085" s="119"/>
      <c r="J1085" s="119">
        <v>0</v>
      </c>
      <c r="K1085" s="119">
        <f t="shared" si="49"/>
        <v>152</v>
      </c>
      <c r="L1085" s="152">
        <f t="shared" si="50"/>
        <v>131.9</v>
      </c>
      <c r="M1085" s="113"/>
    </row>
    <row r="1086" spans="1:13" ht="13.5" customHeight="1" x14ac:dyDescent="0.2">
      <c r="A1086" s="106">
        <v>46196</v>
      </c>
      <c r="B1086" s="105" t="s">
        <v>3217</v>
      </c>
      <c r="C1086" s="105" t="s">
        <v>4893</v>
      </c>
      <c r="D1086" s="149" t="s">
        <v>3219</v>
      </c>
      <c r="E1086" s="157">
        <v>1</v>
      </c>
      <c r="F1086" s="134">
        <v>30.48</v>
      </c>
      <c r="G1086" s="134">
        <v>35</v>
      </c>
      <c r="H1086" s="109">
        <f t="shared" si="48"/>
        <v>35</v>
      </c>
      <c r="I1086" s="119"/>
      <c r="J1086" s="119">
        <v>0</v>
      </c>
      <c r="K1086" s="119">
        <f t="shared" si="49"/>
        <v>35</v>
      </c>
      <c r="L1086" s="152">
        <f t="shared" si="50"/>
        <v>30.48</v>
      </c>
      <c r="M1086" s="113"/>
    </row>
    <row r="1087" spans="1:13" ht="13.5" customHeight="1" x14ac:dyDescent="0.2">
      <c r="A1087" s="106">
        <v>46196</v>
      </c>
      <c r="B1087" s="105" t="s">
        <v>2441</v>
      </c>
      <c r="C1087" s="105" t="s">
        <v>4894</v>
      </c>
      <c r="D1087" s="149" t="s">
        <v>2443</v>
      </c>
      <c r="E1087" s="157">
        <v>6</v>
      </c>
      <c r="F1087" s="134">
        <v>0.81</v>
      </c>
      <c r="G1087" s="134">
        <v>1</v>
      </c>
      <c r="H1087" s="109">
        <f t="shared" si="48"/>
        <v>6</v>
      </c>
      <c r="I1087" s="119"/>
      <c r="J1087" s="119">
        <v>0</v>
      </c>
      <c r="K1087" s="119">
        <f t="shared" si="49"/>
        <v>6</v>
      </c>
      <c r="L1087" s="152">
        <f t="shared" si="50"/>
        <v>4.8600000000000003</v>
      </c>
      <c r="M1087" s="113"/>
    </row>
    <row r="1088" spans="1:13" ht="13.5" customHeight="1" x14ac:dyDescent="0.2">
      <c r="A1088" s="106">
        <v>46196</v>
      </c>
      <c r="B1088" s="105" t="s">
        <v>2115</v>
      </c>
      <c r="C1088" s="105" t="s">
        <v>4895</v>
      </c>
      <c r="D1088" s="149" t="s">
        <v>2117</v>
      </c>
      <c r="E1088" s="157">
        <v>1</v>
      </c>
      <c r="F1088" s="134">
        <v>84.8</v>
      </c>
      <c r="G1088" s="134">
        <v>94</v>
      </c>
      <c r="H1088" s="109">
        <f t="shared" si="48"/>
        <v>94</v>
      </c>
      <c r="I1088" s="119"/>
      <c r="J1088" s="119">
        <v>0</v>
      </c>
      <c r="K1088" s="119">
        <f t="shared" si="49"/>
        <v>94</v>
      </c>
      <c r="L1088" s="152">
        <f t="shared" si="50"/>
        <v>84.8</v>
      </c>
      <c r="M1088" s="113"/>
    </row>
    <row r="1089" spans="1:13" ht="13.5" customHeight="1" x14ac:dyDescent="0.2">
      <c r="A1089" s="106">
        <v>46196</v>
      </c>
      <c r="B1089" s="105" t="s">
        <v>1854</v>
      </c>
      <c r="C1089" s="105" t="s">
        <v>4896</v>
      </c>
      <c r="D1089" s="149" t="s">
        <v>1855</v>
      </c>
      <c r="E1089" s="157">
        <v>1</v>
      </c>
      <c r="F1089" s="134">
        <v>7.62</v>
      </c>
      <c r="G1089" s="134">
        <v>8.75</v>
      </c>
      <c r="H1089" s="109">
        <f t="shared" si="48"/>
        <v>8.75</v>
      </c>
      <c r="I1089" s="119"/>
      <c r="J1089" s="119">
        <v>0</v>
      </c>
      <c r="K1089" s="119">
        <f t="shared" si="49"/>
        <v>8.75</v>
      </c>
      <c r="L1089" s="152">
        <f t="shared" si="50"/>
        <v>7.62</v>
      </c>
      <c r="M1089" s="113"/>
    </row>
    <row r="1090" spans="1:13" ht="13.5" customHeight="1" x14ac:dyDescent="0.2">
      <c r="A1090" s="106">
        <v>46196</v>
      </c>
      <c r="B1090" s="105" t="s">
        <v>3236</v>
      </c>
      <c r="C1090" s="105" t="s">
        <v>4897</v>
      </c>
      <c r="D1090" s="149" t="s">
        <v>3237</v>
      </c>
      <c r="E1090" s="157">
        <v>1</v>
      </c>
      <c r="F1090" s="134">
        <v>22.73</v>
      </c>
      <c r="G1090" s="134">
        <v>26.25</v>
      </c>
      <c r="H1090" s="109">
        <f t="shared" si="48"/>
        <v>26.25</v>
      </c>
      <c r="I1090" s="119"/>
      <c r="J1090" s="119">
        <v>0</v>
      </c>
      <c r="K1090" s="119">
        <f t="shared" si="49"/>
        <v>26.25</v>
      </c>
      <c r="L1090" s="152">
        <f t="shared" si="50"/>
        <v>22.73</v>
      </c>
      <c r="M1090" s="113"/>
    </row>
    <row r="1091" spans="1:13" ht="13.5" customHeight="1" x14ac:dyDescent="0.2">
      <c r="A1091" s="106">
        <v>46196</v>
      </c>
      <c r="B1091" s="105" t="s">
        <v>2878</v>
      </c>
      <c r="C1091" s="105" t="s">
        <v>4877</v>
      </c>
      <c r="D1091" s="149" t="s">
        <v>2880</v>
      </c>
      <c r="E1091" s="157">
        <v>1</v>
      </c>
      <c r="F1091" s="134">
        <v>60.4</v>
      </c>
      <c r="G1091" s="134">
        <v>70</v>
      </c>
      <c r="H1091" s="109">
        <f t="shared" si="48"/>
        <v>70</v>
      </c>
      <c r="I1091" s="119"/>
      <c r="J1091" s="119">
        <v>0</v>
      </c>
      <c r="K1091" s="119">
        <f t="shared" si="49"/>
        <v>70</v>
      </c>
      <c r="L1091" s="152">
        <f t="shared" si="50"/>
        <v>60.4</v>
      </c>
      <c r="M1091" s="113"/>
    </row>
    <row r="1092" spans="1:13" ht="13.5" customHeight="1" x14ac:dyDescent="0.2">
      <c r="A1092" s="106">
        <v>46196</v>
      </c>
      <c r="B1092" s="105" t="s">
        <v>2521</v>
      </c>
      <c r="C1092" s="105" t="s">
        <v>4877</v>
      </c>
      <c r="D1092" s="149" t="s">
        <v>2522</v>
      </c>
      <c r="E1092" s="157">
        <v>12</v>
      </c>
      <c r="F1092" s="134">
        <v>6.12</v>
      </c>
      <c r="G1092" s="134">
        <v>7.25</v>
      </c>
      <c r="H1092" s="109">
        <f t="shared" si="48"/>
        <v>87</v>
      </c>
      <c r="I1092" s="119"/>
      <c r="J1092" s="119">
        <v>0</v>
      </c>
      <c r="K1092" s="119">
        <f t="shared" si="49"/>
        <v>87</v>
      </c>
      <c r="L1092" s="152">
        <f t="shared" si="50"/>
        <v>73.44</v>
      </c>
      <c r="M1092" s="113"/>
    </row>
    <row r="1093" spans="1:13" ht="13.5" customHeight="1" x14ac:dyDescent="0.2">
      <c r="A1093" s="106">
        <v>46196</v>
      </c>
      <c r="B1093" s="105" t="s">
        <v>3326</v>
      </c>
      <c r="C1093" s="105" t="s">
        <v>4877</v>
      </c>
      <c r="D1093" s="149" t="s">
        <v>3327</v>
      </c>
      <c r="E1093" s="157">
        <v>12</v>
      </c>
      <c r="F1093" s="134">
        <v>6.02</v>
      </c>
      <c r="G1093" s="134">
        <v>7.25</v>
      </c>
      <c r="H1093" s="109">
        <f t="shared" si="48"/>
        <v>87</v>
      </c>
      <c r="I1093" s="119"/>
      <c r="J1093" s="119">
        <v>0</v>
      </c>
      <c r="K1093" s="119">
        <f t="shared" si="49"/>
        <v>87</v>
      </c>
      <c r="L1093" s="152">
        <f t="shared" si="50"/>
        <v>72.239999999999995</v>
      </c>
      <c r="M1093" s="113"/>
    </row>
    <row r="1094" spans="1:13" ht="13.5" customHeight="1" x14ac:dyDescent="0.2">
      <c r="A1094" s="106">
        <v>46196</v>
      </c>
      <c r="B1094" s="105" t="s">
        <v>2581</v>
      </c>
      <c r="C1094" s="105" t="s">
        <v>4877</v>
      </c>
      <c r="D1094" s="149" t="s">
        <v>2583</v>
      </c>
      <c r="E1094" s="157">
        <v>12</v>
      </c>
      <c r="F1094" s="134">
        <v>6.02</v>
      </c>
      <c r="G1094" s="134">
        <v>7.25</v>
      </c>
      <c r="H1094" s="109">
        <f t="shared" si="48"/>
        <v>87</v>
      </c>
      <c r="I1094" s="119"/>
      <c r="J1094" s="119">
        <v>0</v>
      </c>
      <c r="K1094" s="119">
        <f t="shared" si="49"/>
        <v>87</v>
      </c>
      <c r="L1094" s="152">
        <f t="shared" si="50"/>
        <v>72.239999999999995</v>
      </c>
      <c r="M1094" s="113"/>
    </row>
    <row r="1095" spans="1:13" ht="13.5" customHeight="1" x14ac:dyDescent="0.2">
      <c r="A1095" s="106">
        <v>46196</v>
      </c>
      <c r="B1095" s="105" t="s">
        <v>2245</v>
      </c>
      <c r="C1095" s="105" t="s">
        <v>4877</v>
      </c>
      <c r="D1095" s="149" t="s">
        <v>2246</v>
      </c>
      <c r="E1095" s="157">
        <v>16</v>
      </c>
      <c r="F1095" s="134">
        <v>4.74</v>
      </c>
      <c r="G1095" s="134">
        <v>5.5</v>
      </c>
      <c r="H1095" s="109">
        <f t="shared" si="48"/>
        <v>88</v>
      </c>
      <c r="I1095" s="119"/>
      <c r="J1095" s="119">
        <v>0</v>
      </c>
      <c r="K1095" s="119">
        <f t="shared" si="49"/>
        <v>88</v>
      </c>
      <c r="L1095" s="152">
        <f t="shared" si="50"/>
        <v>75.84</v>
      </c>
      <c r="M1095" s="113"/>
    </row>
    <row r="1096" spans="1:13" ht="13.5" customHeight="1" x14ac:dyDescent="0.2">
      <c r="A1096" s="106">
        <v>46196</v>
      </c>
      <c r="B1096" s="105" t="s">
        <v>2293</v>
      </c>
      <c r="C1096" s="105" t="s">
        <v>4877</v>
      </c>
      <c r="D1096" s="149" t="s">
        <v>2295</v>
      </c>
      <c r="E1096" s="157">
        <v>1</v>
      </c>
      <c r="F1096" s="134">
        <v>27.84</v>
      </c>
      <c r="G1096" s="134">
        <v>45</v>
      </c>
      <c r="H1096" s="109">
        <f t="shared" ref="H1096:H1159" si="51">E1096*G1096</f>
        <v>45</v>
      </c>
      <c r="I1096" s="119"/>
      <c r="J1096" s="119">
        <v>0</v>
      </c>
      <c r="K1096" s="119">
        <f t="shared" ref="K1096:K1159" si="52">H1096+I1096-J1096</f>
        <v>45</v>
      </c>
      <c r="L1096" s="152">
        <f t="shared" ref="L1096:L1159" si="53">E1096*F1096</f>
        <v>27.84</v>
      </c>
      <c r="M1096" s="113"/>
    </row>
    <row r="1097" spans="1:13" ht="13.5" customHeight="1" x14ac:dyDescent="0.2">
      <c r="A1097" s="106">
        <v>46196</v>
      </c>
      <c r="B1097" s="105" t="s">
        <v>2690</v>
      </c>
      <c r="C1097" s="105" t="s">
        <v>4877</v>
      </c>
      <c r="D1097" s="149" t="s">
        <v>2692</v>
      </c>
      <c r="E1097" s="157">
        <v>2</v>
      </c>
      <c r="F1097" s="134">
        <v>32.86</v>
      </c>
      <c r="G1097" s="134">
        <v>38</v>
      </c>
      <c r="H1097" s="109">
        <f t="shared" si="51"/>
        <v>76</v>
      </c>
      <c r="I1097" s="119"/>
      <c r="J1097" s="119">
        <v>0</v>
      </c>
      <c r="K1097" s="119">
        <f t="shared" si="52"/>
        <v>76</v>
      </c>
      <c r="L1097" s="152">
        <f t="shared" si="53"/>
        <v>65.72</v>
      </c>
      <c r="M1097" s="113"/>
    </row>
    <row r="1098" spans="1:13" ht="13.5" customHeight="1" x14ac:dyDescent="0.2">
      <c r="A1098" s="106">
        <v>46196</v>
      </c>
      <c r="B1098" s="105" t="s">
        <v>2507</v>
      </c>
      <c r="C1098" s="105" t="s">
        <v>4877</v>
      </c>
      <c r="D1098" s="149" t="s">
        <v>2508</v>
      </c>
      <c r="E1098" s="157">
        <v>5</v>
      </c>
      <c r="F1098" s="134">
        <v>48.6</v>
      </c>
      <c r="G1098" s="134">
        <v>56</v>
      </c>
      <c r="H1098" s="109">
        <f t="shared" si="51"/>
        <v>280</v>
      </c>
      <c r="I1098" s="119"/>
      <c r="J1098" s="119">
        <v>0</v>
      </c>
      <c r="K1098" s="119">
        <f t="shared" si="52"/>
        <v>280</v>
      </c>
      <c r="L1098" s="152">
        <f t="shared" si="53"/>
        <v>243</v>
      </c>
      <c r="M1098" s="113"/>
    </row>
    <row r="1099" spans="1:13" ht="13.5" customHeight="1" x14ac:dyDescent="0.2">
      <c r="A1099" s="106">
        <v>46196</v>
      </c>
      <c r="B1099" s="105" t="s">
        <v>3101</v>
      </c>
      <c r="C1099" s="105" t="s">
        <v>4877</v>
      </c>
      <c r="D1099" s="149" t="s">
        <v>3102</v>
      </c>
      <c r="E1099" s="157">
        <v>12</v>
      </c>
      <c r="F1099" s="134">
        <v>30.83</v>
      </c>
      <c r="G1099" s="134">
        <v>35.5</v>
      </c>
      <c r="H1099" s="109">
        <f t="shared" si="51"/>
        <v>426</v>
      </c>
      <c r="I1099" s="119"/>
      <c r="J1099" s="119">
        <v>0</v>
      </c>
      <c r="K1099" s="119">
        <f t="shared" si="52"/>
        <v>426</v>
      </c>
      <c r="L1099" s="152">
        <f t="shared" si="53"/>
        <v>369.96</v>
      </c>
      <c r="M1099" s="113"/>
    </row>
    <row r="1100" spans="1:13" ht="13.5" customHeight="1" x14ac:dyDescent="0.2">
      <c r="A1100" s="106">
        <v>46196</v>
      </c>
      <c r="B1100" s="105" t="s">
        <v>2220</v>
      </c>
      <c r="C1100" s="105" t="s">
        <v>4877</v>
      </c>
      <c r="D1100" s="149" t="s">
        <v>2222</v>
      </c>
      <c r="E1100" s="157">
        <v>2</v>
      </c>
      <c r="F1100" s="134">
        <v>35.15</v>
      </c>
      <c r="G1100" s="134">
        <v>41</v>
      </c>
      <c r="H1100" s="109">
        <f t="shared" si="51"/>
        <v>82</v>
      </c>
      <c r="I1100" s="119"/>
      <c r="J1100" s="119">
        <v>0</v>
      </c>
      <c r="K1100" s="119">
        <f t="shared" si="52"/>
        <v>82</v>
      </c>
      <c r="L1100" s="152">
        <f t="shared" si="53"/>
        <v>70.3</v>
      </c>
      <c r="M1100" s="113"/>
    </row>
    <row r="1101" spans="1:13" ht="13.5" customHeight="1" x14ac:dyDescent="0.2">
      <c r="A1101" s="106">
        <v>46196</v>
      </c>
      <c r="B1101" s="105" t="s">
        <v>3065</v>
      </c>
      <c r="C1101" s="105" t="s">
        <v>4877</v>
      </c>
      <c r="D1101" s="149" t="s">
        <v>3067</v>
      </c>
      <c r="E1101" s="157">
        <v>2</v>
      </c>
      <c r="F1101" s="134">
        <v>13.39</v>
      </c>
      <c r="G1101" s="134">
        <v>15.5</v>
      </c>
      <c r="H1101" s="109">
        <f t="shared" si="51"/>
        <v>31</v>
      </c>
      <c r="I1101" s="119"/>
      <c r="J1101" s="119">
        <v>0</v>
      </c>
      <c r="K1101" s="119">
        <f t="shared" si="52"/>
        <v>31</v>
      </c>
      <c r="L1101" s="152">
        <f t="shared" si="53"/>
        <v>26.78</v>
      </c>
      <c r="M1101" s="113"/>
    </row>
    <row r="1102" spans="1:13" ht="13.5" customHeight="1" x14ac:dyDescent="0.2">
      <c r="A1102" s="106">
        <v>46196</v>
      </c>
      <c r="B1102" s="105" t="s">
        <v>2394</v>
      </c>
      <c r="C1102" s="105" t="s">
        <v>4898</v>
      </c>
      <c r="D1102" s="149" t="s">
        <v>2395</v>
      </c>
      <c r="E1102" s="157">
        <v>1</v>
      </c>
      <c r="F1102" s="134">
        <v>58.45</v>
      </c>
      <c r="G1102" s="134">
        <v>65</v>
      </c>
      <c r="H1102" s="109">
        <f t="shared" si="51"/>
        <v>65</v>
      </c>
      <c r="I1102" s="119"/>
      <c r="J1102" s="119">
        <v>0</v>
      </c>
      <c r="K1102" s="119">
        <f t="shared" si="52"/>
        <v>65</v>
      </c>
      <c r="L1102" s="152">
        <f t="shared" si="53"/>
        <v>58.45</v>
      </c>
      <c r="M1102" s="113"/>
    </row>
    <row r="1103" spans="1:13" ht="13.5" customHeight="1" x14ac:dyDescent="0.2">
      <c r="A1103" s="106">
        <v>46196</v>
      </c>
      <c r="B1103" s="105" t="s">
        <v>2848</v>
      </c>
      <c r="C1103" s="105" t="s">
        <v>4899</v>
      </c>
      <c r="D1103" s="149" t="s">
        <v>2850</v>
      </c>
      <c r="E1103" s="157">
        <v>1</v>
      </c>
      <c r="F1103" s="134">
        <v>16.55</v>
      </c>
      <c r="G1103" s="134">
        <v>19.25</v>
      </c>
      <c r="H1103" s="109">
        <f t="shared" si="51"/>
        <v>19.25</v>
      </c>
      <c r="I1103" s="119"/>
      <c r="J1103" s="119">
        <v>0</v>
      </c>
      <c r="K1103" s="119">
        <f t="shared" si="52"/>
        <v>19.25</v>
      </c>
      <c r="L1103" s="152">
        <f t="shared" si="53"/>
        <v>16.55</v>
      </c>
      <c r="M1103" s="113"/>
    </row>
    <row r="1104" spans="1:13" ht="13.5" customHeight="1" x14ac:dyDescent="0.2">
      <c r="A1104" s="106">
        <v>46196</v>
      </c>
      <c r="B1104" s="105" t="s">
        <v>1810</v>
      </c>
      <c r="C1104" s="105" t="s">
        <v>4900</v>
      </c>
      <c r="D1104" s="149" t="s">
        <v>1811</v>
      </c>
      <c r="E1104" s="157">
        <v>1</v>
      </c>
      <c r="F1104" s="134">
        <v>38.39</v>
      </c>
      <c r="G1104" s="134">
        <v>44.25</v>
      </c>
      <c r="H1104" s="109">
        <f t="shared" si="51"/>
        <v>44.25</v>
      </c>
      <c r="I1104" s="119"/>
      <c r="J1104" s="119">
        <v>0</v>
      </c>
      <c r="K1104" s="119">
        <f t="shared" si="52"/>
        <v>44.25</v>
      </c>
      <c r="L1104" s="152">
        <f t="shared" si="53"/>
        <v>38.39</v>
      </c>
      <c r="M1104" s="113"/>
    </row>
    <row r="1105" spans="1:13" x14ac:dyDescent="0.2">
      <c r="A1105" s="106">
        <v>46196</v>
      </c>
      <c r="B1105" s="105" t="s">
        <v>3983</v>
      </c>
      <c r="C1105" s="105" t="s">
        <v>4901</v>
      </c>
      <c r="D1105" s="149" t="s">
        <v>3984</v>
      </c>
      <c r="E1105" s="157">
        <v>3</v>
      </c>
      <c r="F1105" s="134">
        <v>13.87</v>
      </c>
      <c r="G1105" s="134">
        <v>17.75</v>
      </c>
      <c r="H1105" s="109">
        <f t="shared" si="51"/>
        <v>53.25</v>
      </c>
      <c r="I1105" s="119"/>
      <c r="J1105" s="119">
        <v>0</v>
      </c>
      <c r="K1105" s="119">
        <f t="shared" si="52"/>
        <v>53.25</v>
      </c>
      <c r="L1105" s="152">
        <f t="shared" si="53"/>
        <v>41.61</v>
      </c>
      <c r="M1105" s="113"/>
    </row>
    <row r="1106" spans="1:13" x14ac:dyDescent="0.2">
      <c r="A1106" s="106">
        <v>46196</v>
      </c>
      <c r="B1106" s="105" t="s">
        <v>3917</v>
      </c>
      <c r="C1106" s="105" t="s">
        <v>4901</v>
      </c>
      <c r="D1106" s="149" t="s">
        <v>3919</v>
      </c>
      <c r="E1106" s="157">
        <v>6</v>
      </c>
      <c r="F1106" s="134">
        <v>6.37</v>
      </c>
      <c r="G1106" s="134">
        <v>7.5</v>
      </c>
      <c r="H1106" s="109">
        <f t="shared" si="51"/>
        <v>45</v>
      </c>
      <c r="I1106" s="119"/>
      <c r="J1106" s="119">
        <v>0</v>
      </c>
      <c r="K1106" s="119">
        <f t="shared" si="52"/>
        <v>45</v>
      </c>
      <c r="L1106" s="152">
        <f t="shared" si="53"/>
        <v>38.22</v>
      </c>
      <c r="M1106" s="113"/>
    </row>
    <row r="1107" spans="1:13" x14ac:dyDescent="0.2">
      <c r="A1107" s="106">
        <v>46196</v>
      </c>
      <c r="B1107" s="105" t="s">
        <v>2240</v>
      </c>
      <c r="C1107" s="105" t="s">
        <v>4902</v>
      </c>
      <c r="D1107" s="149" t="s">
        <v>2241</v>
      </c>
      <c r="E1107" s="157">
        <v>1</v>
      </c>
      <c r="F1107" s="134">
        <v>18.649999999999999</v>
      </c>
      <c r="G1107" s="134">
        <v>21.5</v>
      </c>
      <c r="H1107" s="109">
        <f t="shared" si="51"/>
        <v>21.5</v>
      </c>
      <c r="I1107" s="119"/>
      <c r="J1107" s="119">
        <v>0</v>
      </c>
      <c r="K1107" s="119">
        <f t="shared" si="52"/>
        <v>21.5</v>
      </c>
      <c r="L1107" s="152">
        <f t="shared" si="53"/>
        <v>18.649999999999999</v>
      </c>
      <c r="M1107" s="113"/>
    </row>
    <row r="1108" spans="1:13" x14ac:dyDescent="0.2">
      <c r="A1108" s="106">
        <v>46196</v>
      </c>
      <c r="B1108" s="105" t="s">
        <v>4083</v>
      </c>
      <c r="C1108" s="105" t="s">
        <v>4903</v>
      </c>
      <c r="D1108" s="149" t="s">
        <v>4084</v>
      </c>
      <c r="E1108" s="157">
        <v>1</v>
      </c>
      <c r="F1108" s="134">
        <v>200.03</v>
      </c>
      <c r="G1108" s="134">
        <v>230</v>
      </c>
      <c r="H1108" s="109">
        <f t="shared" si="51"/>
        <v>230</v>
      </c>
      <c r="I1108" s="119"/>
      <c r="J1108" s="119">
        <v>0</v>
      </c>
      <c r="K1108" s="119">
        <f t="shared" si="52"/>
        <v>230</v>
      </c>
      <c r="L1108" s="152">
        <f t="shared" si="53"/>
        <v>200.03</v>
      </c>
      <c r="M1108" s="113"/>
    </row>
    <row r="1109" spans="1:13" x14ac:dyDescent="0.2">
      <c r="A1109" s="106">
        <v>46196</v>
      </c>
      <c r="B1109" s="105" t="s">
        <v>1929</v>
      </c>
      <c r="C1109" s="105" t="s">
        <v>4903</v>
      </c>
      <c r="D1109" s="149" t="s">
        <v>1930</v>
      </c>
      <c r="E1109" s="157">
        <v>4</v>
      </c>
      <c r="F1109" s="134">
        <v>13.92</v>
      </c>
      <c r="G1109" s="134">
        <v>22</v>
      </c>
      <c r="H1109" s="109">
        <f t="shared" si="51"/>
        <v>88</v>
      </c>
      <c r="I1109" s="119"/>
      <c r="J1109" s="119">
        <v>0</v>
      </c>
      <c r="K1109" s="119">
        <f t="shared" si="52"/>
        <v>88</v>
      </c>
      <c r="L1109" s="152">
        <f t="shared" si="53"/>
        <v>55.68</v>
      </c>
      <c r="M1109" s="113"/>
    </row>
    <row r="1110" spans="1:13" x14ac:dyDescent="0.2">
      <c r="A1110" s="106">
        <v>46196</v>
      </c>
      <c r="B1110" s="105" t="s">
        <v>2423</v>
      </c>
      <c r="C1110" s="105" t="s">
        <v>4904</v>
      </c>
      <c r="D1110" s="149" t="s">
        <v>2425</v>
      </c>
      <c r="E1110" s="157">
        <v>2</v>
      </c>
      <c r="F1110" s="134">
        <v>18.53</v>
      </c>
      <c r="G1110" s="134">
        <v>21.5</v>
      </c>
      <c r="H1110" s="109">
        <f t="shared" si="51"/>
        <v>43</v>
      </c>
      <c r="I1110" s="119"/>
      <c r="J1110" s="119">
        <v>0</v>
      </c>
      <c r="K1110" s="119">
        <f t="shared" si="52"/>
        <v>43</v>
      </c>
      <c r="L1110" s="152">
        <f t="shared" si="53"/>
        <v>37.06</v>
      </c>
      <c r="M1110" s="113"/>
    </row>
    <row r="1111" spans="1:13" x14ac:dyDescent="0.2">
      <c r="A1111" s="106">
        <v>46196</v>
      </c>
      <c r="B1111" s="105" t="s">
        <v>1905</v>
      </c>
      <c r="C1111" s="105" t="s">
        <v>4905</v>
      </c>
      <c r="D1111" s="149" t="s">
        <v>1906</v>
      </c>
      <c r="E1111" s="157">
        <v>1</v>
      </c>
      <c r="F1111" s="134">
        <v>15.12</v>
      </c>
      <c r="G1111" s="134">
        <v>17.5</v>
      </c>
      <c r="H1111" s="109">
        <f t="shared" si="51"/>
        <v>17.5</v>
      </c>
      <c r="I1111" s="119"/>
      <c r="J1111" s="119">
        <v>0</v>
      </c>
      <c r="K1111" s="119">
        <f t="shared" si="52"/>
        <v>17.5</v>
      </c>
      <c r="L1111" s="152">
        <f t="shared" si="53"/>
        <v>15.12</v>
      </c>
      <c r="M1111" s="113"/>
    </row>
    <row r="1112" spans="1:13" x14ac:dyDescent="0.2">
      <c r="A1112" s="106">
        <v>46196</v>
      </c>
      <c r="B1112" s="105" t="s">
        <v>4567</v>
      </c>
      <c r="C1112" s="105" t="s">
        <v>4905</v>
      </c>
      <c r="D1112" s="149" t="s">
        <v>4672</v>
      </c>
      <c r="E1112" s="157">
        <v>2</v>
      </c>
      <c r="F1112" s="134">
        <v>7.06</v>
      </c>
      <c r="G1112" s="134">
        <v>8.25</v>
      </c>
      <c r="H1112" s="109">
        <f t="shared" si="51"/>
        <v>16.5</v>
      </c>
      <c r="I1112" s="119"/>
      <c r="J1112" s="119">
        <v>0</v>
      </c>
      <c r="K1112" s="119">
        <f t="shared" si="52"/>
        <v>16.5</v>
      </c>
      <c r="L1112" s="152">
        <f t="shared" si="53"/>
        <v>14.12</v>
      </c>
      <c r="M1112" s="113"/>
    </row>
    <row r="1113" spans="1:13" x14ac:dyDescent="0.2">
      <c r="A1113" s="106">
        <v>46196</v>
      </c>
      <c r="B1113" s="105" t="s">
        <v>4716</v>
      </c>
      <c r="C1113" s="105" t="s">
        <v>4906</v>
      </c>
      <c r="D1113" s="149" t="s">
        <v>4751</v>
      </c>
      <c r="E1113" s="157">
        <v>5</v>
      </c>
      <c r="F1113" s="134">
        <v>0.81</v>
      </c>
      <c r="G1113" s="134">
        <v>1</v>
      </c>
      <c r="H1113" s="109">
        <f t="shared" si="51"/>
        <v>5</v>
      </c>
      <c r="I1113" s="119"/>
      <c r="J1113" s="119">
        <v>0</v>
      </c>
      <c r="K1113" s="119">
        <f t="shared" si="52"/>
        <v>5</v>
      </c>
      <c r="L1113" s="152">
        <f t="shared" si="53"/>
        <v>4.0500000000000007</v>
      </c>
      <c r="M1113" s="113"/>
    </row>
    <row r="1114" spans="1:13" x14ac:dyDescent="0.2">
      <c r="A1114" s="106">
        <v>46196</v>
      </c>
      <c r="B1114" s="105" t="s">
        <v>2031</v>
      </c>
      <c r="C1114" s="105" t="s">
        <v>4907</v>
      </c>
      <c r="D1114" s="149" t="s">
        <v>2033</v>
      </c>
      <c r="E1114" s="157">
        <v>1</v>
      </c>
      <c r="F1114" s="134">
        <v>20.399999999999999</v>
      </c>
      <c r="G1114" s="134">
        <v>24</v>
      </c>
      <c r="H1114" s="109">
        <f t="shared" si="51"/>
        <v>24</v>
      </c>
      <c r="I1114" s="119"/>
      <c r="J1114" s="119">
        <v>0</v>
      </c>
      <c r="K1114" s="119">
        <f t="shared" si="52"/>
        <v>24</v>
      </c>
      <c r="L1114" s="152">
        <f t="shared" si="53"/>
        <v>20.399999999999999</v>
      </c>
      <c r="M1114" s="113"/>
    </row>
    <row r="1115" spans="1:13" x14ac:dyDescent="0.2">
      <c r="A1115" s="106">
        <v>46196</v>
      </c>
      <c r="B1115" s="105" t="s">
        <v>4368</v>
      </c>
      <c r="C1115" s="105" t="s">
        <v>4908</v>
      </c>
      <c r="D1115" s="149" t="s">
        <v>4432</v>
      </c>
      <c r="E1115" s="157">
        <v>1</v>
      </c>
      <c r="F1115" s="134">
        <v>9.27</v>
      </c>
      <c r="G1115" s="134">
        <v>10.75</v>
      </c>
      <c r="H1115" s="109">
        <f t="shared" si="51"/>
        <v>10.75</v>
      </c>
      <c r="I1115" s="119"/>
      <c r="J1115" s="119">
        <v>0</v>
      </c>
      <c r="K1115" s="119">
        <f t="shared" si="52"/>
        <v>10.75</v>
      </c>
      <c r="L1115" s="152">
        <f t="shared" si="53"/>
        <v>9.27</v>
      </c>
      <c r="M1115" s="113"/>
    </row>
    <row r="1116" spans="1:13" x14ac:dyDescent="0.2">
      <c r="A1116" s="106">
        <v>46196</v>
      </c>
      <c r="B1116" s="105" t="s">
        <v>4029</v>
      </c>
      <c r="C1116" s="105" t="s">
        <v>4909</v>
      </c>
      <c r="D1116" s="149" t="s">
        <v>4031</v>
      </c>
      <c r="E1116" s="157">
        <v>1</v>
      </c>
      <c r="F1116" s="134">
        <v>30.2</v>
      </c>
      <c r="G1116" s="134">
        <v>34.75</v>
      </c>
      <c r="H1116" s="109">
        <f t="shared" si="51"/>
        <v>34.75</v>
      </c>
      <c r="I1116" s="119"/>
      <c r="J1116" s="119">
        <v>0</v>
      </c>
      <c r="K1116" s="119">
        <f t="shared" si="52"/>
        <v>34.75</v>
      </c>
      <c r="L1116" s="152">
        <f t="shared" si="53"/>
        <v>30.2</v>
      </c>
      <c r="M1116" s="113"/>
    </row>
    <row r="1117" spans="1:13" x14ac:dyDescent="0.2">
      <c r="A1117" s="106">
        <v>46196</v>
      </c>
      <c r="B1117" s="105" t="s">
        <v>3052</v>
      </c>
      <c r="C1117" s="105" t="s">
        <v>4910</v>
      </c>
      <c r="D1117" s="149" t="s">
        <v>3053</v>
      </c>
      <c r="E1117" s="157">
        <v>1</v>
      </c>
      <c r="F1117" s="134">
        <v>13.32</v>
      </c>
      <c r="G1117" s="134">
        <v>15.5</v>
      </c>
      <c r="H1117" s="109">
        <f t="shared" si="51"/>
        <v>15.5</v>
      </c>
      <c r="I1117" s="119"/>
      <c r="J1117" s="119">
        <v>0</v>
      </c>
      <c r="K1117" s="119">
        <f t="shared" si="52"/>
        <v>15.5</v>
      </c>
      <c r="L1117" s="152">
        <f t="shared" si="53"/>
        <v>13.32</v>
      </c>
      <c r="M1117" s="113"/>
    </row>
    <row r="1118" spans="1:13" x14ac:dyDescent="0.2">
      <c r="A1118" s="106">
        <v>46196</v>
      </c>
      <c r="B1118" s="105" t="s">
        <v>3072</v>
      </c>
      <c r="C1118" s="105" t="s">
        <v>4910</v>
      </c>
      <c r="D1118" s="149" t="s">
        <v>3074</v>
      </c>
      <c r="E1118" s="157">
        <v>2</v>
      </c>
      <c r="F1118" s="134">
        <v>16.91</v>
      </c>
      <c r="G1118" s="134">
        <v>18.600000000000001</v>
      </c>
      <c r="H1118" s="109">
        <f t="shared" si="51"/>
        <v>37.200000000000003</v>
      </c>
      <c r="I1118" s="119"/>
      <c r="J1118" s="119">
        <v>0</v>
      </c>
      <c r="K1118" s="119">
        <f t="shared" si="52"/>
        <v>37.200000000000003</v>
      </c>
      <c r="L1118" s="152">
        <f t="shared" si="53"/>
        <v>33.82</v>
      </c>
      <c r="M1118" s="113"/>
    </row>
    <row r="1119" spans="1:13" x14ac:dyDescent="0.2">
      <c r="A1119" s="106">
        <v>46196</v>
      </c>
      <c r="B1119" s="105" t="s">
        <v>1854</v>
      </c>
      <c r="C1119" s="105" t="s">
        <v>4910</v>
      </c>
      <c r="D1119" s="149" t="s">
        <v>1855</v>
      </c>
      <c r="E1119" s="157">
        <v>1</v>
      </c>
      <c r="F1119" s="134">
        <v>7.62</v>
      </c>
      <c r="G1119" s="134">
        <v>8.75</v>
      </c>
      <c r="H1119" s="109">
        <f t="shared" si="51"/>
        <v>8.75</v>
      </c>
      <c r="I1119" s="119"/>
      <c r="J1119" s="119">
        <v>0</v>
      </c>
      <c r="K1119" s="119">
        <f t="shared" si="52"/>
        <v>8.75</v>
      </c>
      <c r="L1119" s="152">
        <f t="shared" si="53"/>
        <v>7.62</v>
      </c>
      <c r="M1119" s="113"/>
    </row>
    <row r="1120" spans="1:13" x14ac:dyDescent="0.2">
      <c r="A1120" s="106" t="s">
        <v>4913</v>
      </c>
      <c r="B1120" s="105" t="s">
        <v>2173</v>
      </c>
      <c r="C1120" s="105" t="s">
        <v>4914</v>
      </c>
      <c r="D1120" s="149" t="s">
        <v>2175</v>
      </c>
      <c r="E1120" s="157">
        <v>1</v>
      </c>
      <c r="F1120" s="134">
        <v>140</v>
      </c>
      <c r="G1120" s="134">
        <v>161</v>
      </c>
      <c r="H1120" s="109">
        <f t="shared" si="51"/>
        <v>161</v>
      </c>
      <c r="I1120" s="119"/>
      <c r="J1120" s="119">
        <v>0</v>
      </c>
      <c r="K1120" s="119">
        <f t="shared" si="52"/>
        <v>161</v>
      </c>
      <c r="L1120" s="152">
        <f t="shared" si="53"/>
        <v>140</v>
      </c>
      <c r="M1120" s="113"/>
    </row>
    <row r="1121" spans="1:13" x14ac:dyDescent="0.2">
      <c r="A1121" s="106" t="s">
        <v>4913</v>
      </c>
      <c r="B1121" s="105" t="s">
        <v>2162</v>
      </c>
      <c r="C1121" s="105" t="s">
        <v>4914</v>
      </c>
      <c r="D1121" s="149" t="s">
        <v>2163</v>
      </c>
      <c r="E1121" s="157">
        <v>1</v>
      </c>
      <c r="F1121" s="134">
        <v>67.290000000000006</v>
      </c>
      <c r="G1121" s="134">
        <v>77.5</v>
      </c>
      <c r="H1121" s="109">
        <f t="shared" si="51"/>
        <v>77.5</v>
      </c>
      <c r="I1121" s="119"/>
      <c r="J1121" s="119">
        <v>0</v>
      </c>
      <c r="K1121" s="119">
        <f t="shared" si="52"/>
        <v>77.5</v>
      </c>
      <c r="L1121" s="152">
        <f t="shared" si="53"/>
        <v>67.290000000000006</v>
      </c>
      <c r="M1121" s="113"/>
    </row>
    <row r="1122" spans="1:13" x14ac:dyDescent="0.2">
      <c r="A1122" s="153" t="s">
        <v>4913</v>
      </c>
      <c r="B1122" s="154" t="s">
        <v>2170</v>
      </c>
      <c r="C1122" s="154" t="s">
        <v>4914</v>
      </c>
      <c r="D1122" s="155" t="s">
        <v>2171</v>
      </c>
      <c r="E1122" s="159">
        <v>1</v>
      </c>
      <c r="F1122" s="238"/>
      <c r="G1122" s="238">
        <v>47.5</v>
      </c>
      <c r="H1122" s="237">
        <f t="shared" si="51"/>
        <v>47.5</v>
      </c>
      <c r="I1122" s="147"/>
      <c r="J1122" s="147">
        <v>0</v>
      </c>
      <c r="K1122" s="147">
        <f t="shared" si="52"/>
        <v>47.5</v>
      </c>
      <c r="L1122" s="148">
        <f t="shared" si="53"/>
        <v>0</v>
      </c>
      <c r="M1122" s="113"/>
    </row>
    <row r="1123" spans="1:13" x14ac:dyDescent="0.2">
      <c r="A1123" s="106" t="s">
        <v>4913</v>
      </c>
      <c r="B1123" s="105" t="s">
        <v>2193</v>
      </c>
      <c r="C1123" s="105" t="s">
        <v>4915</v>
      </c>
      <c r="D1123" s="149" t="s">
        <v>2195</v>
      </c>
      <c r="E1123" s="157">
        <v>1</v>
      </c>
      <c r="F1123" s="134">
        <v>20.68</v>
      </c>
      <c r="G1123" s="134">
        <v>24</v>
      </c>
      <c r="H1123" s="109">
        <f t="shared" si="51"/>
        <v>24</v>
      </c>
      <c r="I1123" s="119"/>
      <c r="J1123" s="119">
        <v>0</v>
      </c>
      <c r="K1123" s="119">
        <f t="shared" si="52"/>
        <v>24</v>
      </c>
      <c r="L1123" s="152">
        <f t="shared" si="53"/>
        <v>20.68</v>
      </c>
      <c r="M1123" s="113"/>
    </row>
    <row r="1124" spans="1:13" x14ac:dyDescent="0.2">
      <c r="A1124" s="106" t="s">
        <v>4913</v>
      </c>
      <c r="B1124" s="105" t="s">
        <v>2139</v>
      </c>
      <c r="C1124" s="105" t="s">
        <v>4916</v>
      </c>
      <c r="D1124" s="149" t="s">
        <v>2140</v>
      </c>
      <c r="E1124" s="157">
        <v>1</v>
      </c>
      <c r="F1124" s="134">
        <v>16.03</v>
      </c>
      <c r="G1124" s="134">
        <v>18.5</v>
      </c>
      <c r="H1124" s="109">
        <f t="shared" si="51"/>
        <v>18.5</v>
      </c>
      <c r="I1124" s="119"/>
      <c r="J1124" s="119">
        <v>0</v>
      </c>
      <c r="K1124" s="119">
        <f t="shared" si="52"/>
        <v>18.5</v>
      </c>
      <c r="L1124" s="152">
        <f t="shared" si="53"/>
        <v>16.03</v>
      </c>
      <c r="M1124" s="113"/>
    </row>
    <row r="1125" spans="1:13" x14ac:dyDescent="0.2">
      <c r="A1125" s="106" t="s">
        <v>4913</v>
      </c>
      <c r="B1125" s="105" t="s">
        <v>3753</v>
      </c>
      <c r="C1125" s="105" t="s">
        <v>4917</v>
      </c>
      <c r="D1125" s="149" t="s">
        <v>3755</v>
      </c>
      <c r="E1125" s="157">
        <v>2</v>
      </c>
      <c r="F1125" s="134">
        <v>18.98</v>
      </c>
      <c r="G1125" s="134">
        <v>22</v>
      </c>
      <c r="H1125" s="109">
        <f t="shared" si="51"/>
        <v>44</v>
      </c>
      <c r="I1125" s="119"/>
      <c r="J1125" s="119">
        <v>0</v>
      </c>
      <c r="K1125" s="119">
        <f t="shared" si="52"/>
        <v>44</v>
      </c>
      <c r="L1125" s="152">
        <f t="shared" si="53"/>
        <v>37.96</v>
      </c>
      <c r="M1125" s="113"/>
    </row>
    <row r="1126" spans="1:13" x14ac:dyDescent="0.2">
      <c r="A1126" s="106" t="s">
        <v>4913</v>
      </c>
      <c r="B1126" s="105" t="s">
        <v>1929</v>
      </c>
      <c r="C1126" s="105" t="s">
        <v>4918</v>
      </c>
      <c r="D1126" s="149" t="s">
        <v>1930</v>
      </c>
      <c r="E1126" s="157">
        <v>1</v>
      </c>
      <c r="F1126" s="134">
        <v>13.92</v>
      </c>
      <c r="G1126" s="134">
        <v>22</v>
      </c>
      <c r="H1126" s="109">
        <f t="shared" si="51"/>
        <v>22</v>
      </c>
      <c r="I1126" s="119"/>
      <c r="J1126" s="119">
        <v>0</v>
      </c>
      <c r="K1126" s="119">
        <f t="shared" si="52"/>
        <v>22</v>
      </c>
      <c r="L1126" s="152">
        <f t="shared" si="53"/>
        <v>13.92</v>
      </c>
      <c r="M1126" s="113"/>
    </row>
    <row r="1127" spans="1:13" x14ac:dyDescent="0.2">
      <c r="A1127" s="106" t="s">
        <v>4913</v>
      </c>
      <c r="B1127" s="105" t="s">
        <v>4201</v>
      </c>
      <c r="C1127" s="105" t="s">
        <v>4918</v>
      </c>
      <c r="D1127" s="149" t="s">
        <v>4202</v>
      </c>
      <c r="E1127" s="157">
        <v>1</v>
      </c>
      <c r="F1127" s="134">
        <v>24.35</v>
      </c>
      <c r="G1127" s="134">
        <v>28</v>
      </c>
      <c r="H1127" s="109">
        <f t="shared" si="51"/>
        <v>28</v>
      </c>
      <c r="I1127" s="119"/>
      <c r="J1127" s="119">
        <v>0</v>
      </c>
      <c r="K1127" s="119">
        <f t="shared" si="52"/>
        <v>28</v>
      </c>
      <c r="L1127" s="152">
        <f t="shared" si="53"/>
        <v>24.35</v>
      </c>
      <c r="M1127" s="113"/>
    </row>
    <row r="1128" spans="1:13" x14ac:dyDescent="0.2">
      <c r="A1128" s="106" t="s">
        <v>4913</v>
      </c>
      <c r="B1128" s="105" t="s">
        <v>4796</v>
      </c>
      <c r="C1128" s="105" t="s">
        <v>4919</v>
      </c>
      <c r="D1128" s="149" t="s">
        <v>4865</v>
      </c>
      <c r="E1128" s="157">
        <v>1</v>
      </c>
      <c r="F1128" s="134">
        <v>23.21</v>
      </c>
      <c r="G1128" s="134">
        <v>26.75</v>
      </c>
      <c r="H1128" s="109">
        <f t="shared" si="51"/>
        <v>26.75</v>
      </c>
      <c r="I1128" s="119"/>
      <c r="J1128" s="119">
        <v>0</v>
      </c>
      <c r="K1128" s="119">
        <f t="shared" si="52"/>
        <v>26.75</v>
      </c>
      <c r="L1128" s="152">
        <f t="shared" si="53"/>
        <v>23.21</v>
      </c>
      <c r="M1128" s="113"/>
    </row>
    <row r="1129" spans="1:13" x14ac:dyDescent="0.2">
      <c r="A1129" s="106" t="s">
        <v>4913</v>
      </c>
      <c r="B1129" s="105" t="s">
        <v>2115</v>
      </c>
      <c r="C1129" s="105" t="s">
        <v>4920</v>
      </c>
      <c r="D1129" s="149" t="s">
        <v>2117</v>
      </c>
      <c r="E1129" s="157">
        <v>1</v>
      </c>
      <c r="F1129" s="134">
        <v>84.8</v>
      </c>
      <c r="G1129" s="134">
        <v>94</v>
      </c>
      <c r="H1129" s="109">
        <f t="shared" si="51"/>
        <v>94</v>
      </c>
      <c r="I1129" s="119"/>
      <c r="J1129" s="119">
        <v>0</v>
      </c>
      <c r="K1129" s="119">
        <f t="shared" si="52"/>
        <v>94</v>
      </c>
      <c r="L1129" s="152">
        <f t="shared" si="53"/>
        <v>84.8</v>
      </c>
      <c r="M1129" s="113"/>
    </row>
    <row r="1130" spans="1:13" x14ac:dyDescent="0.2">
      <c r="A1130" s="106" t="s">
        <v>4913</v>
      </c>
      <c r="B1130" s="105" t="s">
        <v>4329</v>
      </c>
      <c r="C1130" s="105" t="s">
        <v>4920</v>
      </c>
      <c r="D1130" s="149" t="s">
        <v>4359</v>
      </c>
      <c r="E1130" s="157">
        <v>1</v>
      </c>
      <c r="F1130" s="134">
        <v>13.21</v>
      </c>
      <c r="G1130" s="134">
        <v>15.25</v>
      </c>
      <c r="H1130" s="109">
        <f t="shared" si="51"/>
        <v>15.25</v>
      </c>
      <c r="I1130" s="119"/>
      <c r="J1130" s="119">
        <v>0</v>
      </c>
      <c r="K1130" s="119">
        <f t="shared" si="52"/>
        <v>15.25</v>
      </c>
      <c r="L1130" s="152">
        <f t="shared" si="53"/>
        <v>13.21</v>
      </c>
      <c r="M1130" s="113"/>
    </row>
    <row r="1131" spans="1:13" x14ac:dyDescent="0.2">
      <c r="A1131" s="106" t="s">
        <v>4913</v>
      </c>
      <c r="B1131" s="105" t="s">
        <v>1920</v>
      </c>
      <c r="C1131" s="105" t="s">
        <v>4920</v>
      </c>
      <c r="D1131" s="149" t="s">
        <v>1921</v>
      </c>
      <c r="E1131" s="157">
        <v>1</v>
      </c>
      <c r="F1131" s="134">
        <v>13.32</v>
      </c>
      <c r="G1131" s="134">
        <v>15.5</v>
      </c>
      <c r="H1131" s="109">
        <f t="shared" si="51"/>
        <v>15.5</v>
      </c>
      <c r="I1131" s="119"/>
      <c r="J1131" s="119">
        <v>0</v>
      </c>
      <c r="K1131" s="119">
        <f t="shared" si="52"/>
        <v>15.5</v>
      </c>
      <c r="L1131" s="152">
        <f t="shared" si="53"/>
        <v>13.32</v>
      </c>
      <c r="M1131" s="113"/>
    </row>
    <row r="1132" spans="1:13" x14ac:dyDescent="0.2">
      <c r="A1132" s="106" t="s">
        <v>4913</v>
      </c>
      <c r="B1132" s="105" t="s">
        <v>4591</v>
      </c>
      <c r="C1132" s="105" t="s">
        <v>4920</v>
      </c>
      <c r="D1132" s="149" t="s">
        <v>4696</v>
      </c>
      <c r="E1132" s="157">
        <v>1</v>
      </c>
      <c r="F1132" s="134">
        <v>35.549999999999997</v>
      </c>
      <c r="G1132" s="134">
        <v>41</v>
      </c>
      <c r="H1132" s="109">
        <f t="shared" si="51"/>
        <v>41</v>
      </c>
      <c r="I1132" s="119"/>
      <c r="J1132" s="119">
        <v>0</v>
      </c>
      <c r="K1132" s="119">
        <f t="shared" si="52"/>
        <v>41</v>
      </c>
      <c r="L1132" s="152">
        <f t="shared" si="53"/>
        <v>35.549999999999997</v>
      </c>
      <c r="M1132" s="113"/>
    </row>
    <row r="1133" spans="1:13" x14ac:dyDescent="0.2">
      <c r="A1133" s="106" t="s">
        <v>4913</v>
      </c>
      <c r="B1133" s="105" t="s">
        <v>4556</v>
      </c>
      <c r="C1133" s="105" t="s">
        <v>4920</v>
      </c>
      <c r="D1133" s="149" t="s">
        <v>4661</v>
      </c>
      <c r="E1133" s="157">
        <v>1</v>
      </c>
      <c r="F1133" s="134">
        <v>35.549999999999997</v>
      </c>
      <c r="G1133" s="134">
        <v>41</v>
      </c>
      <c r="H1133" s="109">
        <f t="shared" si="51"/>
        <v>41</v>
      </c>
      <c r="I1133" s="119"/>
      <c r="J1133" s="119">
        <v>0</v>
      </c>
      <c r="K1133" s="119">
        <f t="shared" si="52"/>
        <v>41</v>
      </c>
      <c r="L1133" s="152">
        <f t="shared" si="53"/>
        <v>35.549999999999997</v>
      </c>
      <c r="M1133" s="113"/>
    </row>
    <row r="1134" spans="1:13" x14ac:dyDescent="0.2">
      <c r="A1134" s="106" t="s">
        <v>4913</v>
      </c>
      <c r="B1134" s="105" t="s">
        <v>2996</v>
      </c>
      <c r="C1134" s="105" t="s">
        <v>4920</v>
      </c>
      <c r="D1134" s="149" t="s">
        <v>2997</v>
      </c>
      <c r="E1134" s="157">
        <v>1</v>
      </c>
      <c r="F1134" s="134">
        <v>46.3</v>
      </c>
      <c r="G1134" s="134">
        <v>53.25</v>
      </c>
      <c r="H1134" s="109">
        <f t="shared" si="51"/>
        <v>53.25</v>
      </c>
      <c r="I1134" s="119"/>
      <c r="J1134" s="119">
        <v>0</v>
      </c>
      <c r="K1134" s="119">
        <f t="shared" si="52"/>
        <v>53.25</v>
      </c>
      <c r="L1134" s="152">
        <f t="shared" si="53"/>
        <v>46.3</v>
      </c>
      <c r="M1134" s="113"/>
    </row>
    <row r="1135" spans="1:13" x14ac:dyDescent="0.2">
      <c r="A1135" s="106" t="s">
        <v>4913</v>
      </c>
      <c r="B1135" s="105" t="s">
        <v>2977</v>
      </c>
      <c r="C1135" s="105" t="s">
        <v>4921</v>
      </c>
      <c r="D1135" s="149" t="s">
        <v>2978</v>
      </c>
      <c r="E1135" s="157">
        <v>1</v>
      </c>
      <c r="F1135" s="134">
        <v>24.04</v>
      </c>
      <c r="G1135" s="134">
        <v>27.75</v>
      </c>
      <c r="H1135" s="109">
        <f t="shared" si="51"/>
        <v>27.75</v>
      </c>
      <c r="I1135" s="119"/>
      <c r="J1135" s="119">
        <v>0</v>
      </c>
      <c r="K1135" s="119">
        <f t="shared" si="52"/>
        <v>27.75</v>
      </c>
      <c r="L1135" s="152">
        <f t="shared" si="53"/>
        <v>24.04</v>
      </c>
      <c r="M1135" s="113"/>
    </row>
    <row r="1136" spans="1:13" x14ac:dyDescent="0.2">
      <c r="A1136" s="106" t="s">
        <v>4913</v>
      </c>
      <c r="B1136" s="105" t="s">
        <v>4150</v>
      </c>
      <c r="C1136" s="105" t="s">
        <v>4921</v>
      </c>
      <c r="D1136" s="149" t="s">
        <v>4152</v>
      </c>
      <c r="E1136" s="157">
        <v>1</v>
      </c>
      <c r="F1136" s="134">
        <v>14.82</v>
      </c>
      <c r="G1136" s="134">
        <v>17.25</v>
      </c>
      <c r="H1136" s="109">
        <f t="shared" si="51"/>
        <v>17.25</v>
      </c>
      <c r="I1136" s="119"/>
      <c r="J1136" s="119">
        <v>0</v>
      </c>
      <c r="K1136" s="119">
        <f t="shared" si="52"/>
        <v>17.25</v>
      </c>
      <c r="L1136" s="152">
        <f t="shared" si="53"/>
        <v>14.82</v>
      </c>
      <c r="M1136" s="113"/>
    </row>
    <row r="1137" spans="1:13" x14ac:dyDescent="0.2">
      <c r="A1137" s="106" t="s">
        <v>4913</v>
      </c>
      <c r="B1137" s="105" t="s">
        <v>3319</v>
      </c>
      <c r="C1137" s="105" t="s">
        <v>4922</v>
      </c>
      <c r="D1137" s="149" t="s">
        <v>3320</v>
      </c>
      <c r="E1137" s="157">
        <v>1</v>
      </c>
      <c r="F1137" s="134">
        <v>5.92</v>
      </c>
      <c r="G1137" s="134">
        <v>6.75</v>
      </c>
      <c r="H1137" s="109">
        <f t="shared" si="51"/>
        <v>6.75</v>
      </c>
      <c r="I1137" s="119"/>
      <c r="J1137" s="119">
        <v>0</v>
      </c>
      <c r="K1137" s="119">
        <f t="shared" si="52"/>
        <v>6.75</v>
      </c>
      <c r="L1137" s="152">
        <f t="shared" si="53"/>
        <v>5.92</v>
      </c>
      <c r="M1137" s="113"/>
    </row>
    <row r="1138" spans="1:13" x14ac:dyDescent="0.2">
      <c r="A1138" s="106" t="s">
        <v>4913</v>
      </c>
      <c r="B1138" s="105" t="s">
        <v>1924</v>
      </c>
      <c r="C1138" s="105" t="s">
        <v>4922</v>
      </c>
      <c r="D1138" s="149" t="s">
        <v>1926</v>
      </c>
      <c r="E1138" s="157">
        <v>4</v>
      </c>
      <c r="F1138" s="134">
        <v>10.64</v>
      </c>
      <c r="G1138" s="134">
        <v>12.25</v>
      </c>
      <c r="H1138" s="109">
        <f t="shared" si="51"/>
        <v>49</v>
      </c>
      <c r="I1138" s="119"/>
      <c r="J1138" s="119">
        <v>0</v>
      </c>
      <c r="K1138" s="119">
        <f t="shared" si="52"/>
        <v>49</v>
      </c>
      <c r="L1138" s="152">
        <f t="shared" si="53"/>
        <v>42.56</v>
      </c>
      <c r="M1138" s="113"/>
    </row>
    <row r="1139" spans="1:13" x14ac:dyDescent="0.2">
      <c r="A1139" s="106" t="s">
        <v>4913</v>
      </c>
      <c r="B1139" s="105" t="s">
        <v>4716</v>
      </c>
      <c r="C1139" s="105" t="s">
        <v>4923</v>
      </c>
      <c r="D1139" s="149" t="s">
        <v>4751</v>
      </c>
      <c r="E1139" s="157">
        <v>2</v>
      </c>
      <c r="F1139" s="134">
        <v>0.81</v>
      </c>
      <c r="G1139" s="134">
        <v>1</v>
      </c>
      <c r="H1139" s="109">
        <f t="shared" si="51"/>
        <v>2</v>
      </c>
      <c r="I1139" s="119"/>
      <c r="J1139" s="119">
        <v>0</v>
      </c>
      <c r="K1139" s="119">
        <f t="shared" si="52"/>
        <v>2</v>
      </c>
      <c r="L1139" s="152">
        <f t="shared" si="53"/>
        <v>1.62</v>
      </c>
      <c r="M1139" s="113"/>
    </row>
    <row r="1140" spans="1:13" x14ac:dyDescent="0.2">
      <c r="A1140" s="106" t="s">
        <v>4913</v>
      </c>
      <c r="B1140" s="105" t="s">
        <v>4718</v>
      </c>
      <c r="C1140" s="105" t="s">
        <v>4924</v>
      </c>
      <c r="D1140" s="149" t="s">
        <v>4753</v>
      </c>
      <c r="E1140" s="157">
        <v>1</v>
      </c>
      <c r="F1140" s="134">
        <v>14.5</v>
      </c>
      <c r="G1140" s="134">
        <v>16.75</v>
      </c>
      <c r="H1140" s="109">
        <f t="shared" si="51"/>
        <v>16.75</v>
      </c>
      <c r="I1140" s="119"/>
      <c r="J1140" s="119">
        <v>0</v>
      </c>
      <c r="K1140" s="119">
        <f t="shared" si="52"/>
        <v>16.75</v>
      </c>
      <c r="L1140" s="152">
        <f t="shared" si="53"/>
        <v>14.5</v>
      </c>
      <c r="M1140" s="113"/>
    </row>
    <row r="1141" spans="1:13" x14ac:dyDescent="0.2">
      <c r="A1141" s="106" t="s">
        <v>4913</v>
      </c>
      <c r="B1141" s="105" t="s">
        <v>1962</v>
      </c>
      <c r="C1141" s="105" t="s">
        <v>4925</v>
      </c>
      <c r="D1141" s="149" t="s">
        <v>1964</v>
      </c>
      <c r="E1141" s="157">
        <v>4</v>
      </c>
      <c r="F1141" s="134">
        <v>7.48</v>
      </c>
      <c r="G1141" s="134">
        <v>8.75</v>
      </c>
      <c r="H1141" s="109">
        <f t="shared" si="51"/>
        <v>35</v>
      </c>
      <c r="I1141" s="119"/>
      <c r="J1141" s="119">
        <v>0</v>
      </c>
      <c r="K1141" s="119">
        <f t="shared" si="52"/>
        <v>35</v>
      </c>
      <c r="L1141" s="152">
        <f t="shared" si="53"/>
        <v>29.92</v>
      </c>
      <c r="M1141" s="113"/>
    </row>
    <row r="1142" spans="1:13" x14ac:dyDescent="0.2">
      <c r="A1142" s="106" t="s">
        <v>4913</v>
      </c>
      <c r="B1142" s="105" t="s">
        <v>4805</v>
      </c>
      <c r="C1142" s="105" t="s">
        <v>4925</v>
      </c>
      <c r="D1142" s="149" t="s">
        <v>4873</v>
      </c>
      <c r="E1142" s="157">
        <v>1</v>
      </c>
      <c r="F1142" s="134">
        <v>71.25</v>
      </c>
      <c r="G1142" s="134">
        <v>82</v>
      </c>
      <c r="H1142" s="109">
        <f t="shared" si="51"/>
        <v>82</v>
      </c>
      <c r="I1142" s="119"/>
      <c r="J1142" s="119">
        <v>0</v>
      </c>
      <c r="K1142" s="119">
        <f t="shared" si="52"/>
        <v>82</v>
      </c>
      <c r="L1142" s="152">
        <f t="shared" si="53"/>
        <v>71.25</v>
      </c>
      <c r="M1142" s="113"/>
    </row>
    <row r="1143" spans="1:13" x14ac:dyDescent="0.2">
      <c r="A1143" s="106" t="s">
        <v>4913</v>
      </c>
      <c r="B1143" s="105" t="s">
        <v>2459</v>
      </c>
      <c r="C1143" s="105" t="s">
        <v>4926</v>
      </c>
      <c r="D1143" s="149" t="s">
        <v>2460</v>
      </c>
      <c r="E1143" s="105">
        <v>1</v>
      </c>
      <c r="F1143" s="134">
        <v>17.95</v>
      </c>
      <c r="G1143" s="134">
        <v>20.75</v>
      </c>
      <c r="H1143" s="109">
        <f t="shared" si="51"/>
        <v>20.75</v>
      </c>
      <c r="I1143" s="119"/>
      <c r="J1143" s="119">
        <v>0</v>
      </c>
      <c r="K1143" s="119">
        <f t="shared" si="52"/>
        <v>20.75</v>
      </c>
      <c r="L1143" s="152">
        <f t="shared" si="53"/>
        <v>17.95</v>
      </c>
      <c r="M1143" s="113"/>
    </row>
    <row r="1144" spans="1:13" x14ac:dyDescent="0.2">
      <c r="A1144" s="106" t="s">
        <v>4913</v>
      </c>
      <c r="B1144" s="105" t="s">
        <v>3842</v>
      </c>
      <c r="C1144" s="105" t="s">
        <v>4927</v>
      </c>
      <c r="D1144" s="149" t="s">
        <v>3844</v>
      </c>
      <c r="E1144" s="157">
        <v>2</v>
      </c>
      <c r="F1144" s="134">
        <v>41.83</v>
      </c>
      <c r="G1144" s="134">
        <v>48.25</v>
      </c>
      <c r="H1144" s="109">
        <f t="shared" si="51"/>
        <v>96.5</v>
      </c>
      <c r="I1144" s="119"/>
      <c r="J1144" s="119">
        <v>0</v>
      </c>
      <c r="K1144" s="119">
        <f t="shared" si="52"/>
        <v>96.5</v>
      </c>
      <c r="L1144" s="152">
        <f t="shared" si="53"/>
        <v>83.66</v>
      </c>
      <c r="M1144" s="113"/>
    </row>
    <row r="1145" spans="1:13" x14ac:dyDescent="0.2">
      <c r="A1145" s="106" t="s">
        <v>4913</v>
      </c>
      <c r="B1145" s="105" t="s">
        <v>1915</v>
      </c>
      <c r="C1145" s="105" t="s">
        <v>4927</v>
      </c>
      <c r="D1145" s="149" t="s">
        <v>1917</v>
      </c>
      <c r="E1145" s="105">
        <v>1</v>
      </c>
      <c r="F1145" s="134">
        <v>7.85</v>
      </c>
      <c r="G1145" s="134">
        <v>12</v>
      </c>
      <c r="H1145" s="109">
        <f t="shared" si="51"/>
        <v>12</v>
      </c>
      <c r="I1145" s="119"/>
      <c r="J1145" s="119">
        <v>0</v>
      </c>
      <c r="K1145" s="119">
        <f t="shared" si="52"/>
        <v>12</v>
      </c>
      <c r="L1145" s="152">
        <f t="shared" si="53"/>
        <v>7.85</v>
      </c>
      <c r="M1145" s="113"/>
    </row>
    <row r="1146" spans="1:13" x14ac:dyDescent="0.2">
      <c r="A1146" s="106" t="s">
        <v>4913</v>
      </c>
      <c r="B1146" s="105" t="s">
        <v>2226</v>
      </c>
      <c r="C1146" s="105" t="s">
        <v>4927</v>
      </c>
      <c r="D1146" s="149" t="s">
        <v>2228</v>
      </c>
      <c r="E1146" s="105">
        <v>1</v>
      </c>
      <c r="F1146" s="134">
        <v>19.47</v>
      </c>
      <c r="G1146" s="134">
        <v>23</v>
      </c>
      <c r="H1146" s="109">
        <f t="shared" si="51"/>
        <v>23</v>
      </c>
      <c r="I1146" s="119"/>
      <c r="J1146" s="119">
        <v>0</v>
      </c>
      <c r="K1146" s="119">
        <f t="shared" si="52"/>
        <v>23</v>
      </c>
      <c r="L1146" s="152">
        <f t="shared" si="53"/>
        <v>19.47</v>
      </c>
      <c r="M1146" s="113"/>
    </row>
    <row r="1147" spans="1:13" x14ac:dyDescent="0.2">
      <c r="A1147" s="106" t="s">
        <v>4913</v>
      </c>
      <c r="B1147" s="105" t="s">
        <v>3993</v>
      </c>
      <c r="C1147" s="105" t="s">
        <v>4928</v>
      </c>
      <c r="D1147" s="149" t="s">
        <v>3995</v>
      </c>
      <c r="E1147" s="105">
        <v>1</v>
      </c>
      <c r="F1147" s="134">
        <v>17.649999999999999</v>
      </c>
      <c r="G1147" s="134">
        <v>18.75</v>
      </c>
      <c r="H1147" s="109">
        <f t="shared" si="51"/>
        <v>18.75</v>
      </c>
      <c r="I1147" s="119"/>
      <c r="J1147" s="119">
        <v>0</v>
      </c>
      <c r="K1147" s="119">
        <f t="shared" si="52"/>
        <v>18.75</v>
      </c>
      <c r="L1147" s="152">
        <f t="shared" si="53"/>
        <v>17.649999999999999</v>
      </c>
      <c r="M1147" s="113"/>
    </row>
    <row r="1148" spans="1:13" x14ac:dyDescent="0.2">
      <c r="A1148" s="106" t="s">
        <v>4913</v>
      </c>
      <c r="B1148" s="105" t="s">
        <v>1920</v>
      </c>
      <c r="C1148" s="105" t="s">
        <v>4929</v>
      </c>
      <c r="D1148" s="149" t="s">
        <v>1921</v>
      </c>
      <c r="E1148" s="105">
        <v>1</v>
      </c>
      <c r="F1148" s="134">
        <v>13.32</v>
      </c>
      <c r="G1148" s="134">
        <v>15.5</v>
      </c>
      <c r="H1148" s="109">
        <f t="shared" si="51"/>
        <v>15.5</v>
      </c>
      <c r="I1148" s="119"/>
      <c r="J1148" s="119">
        <v>0</v>
      </c>
      <c r="K1148" s="119">
        <f t="shared" si="52"/>
        <v>15.5</v>
      </c>
      <c r="L1148" s="152">
        <f t="shared" si="53"/>
        <v>13.32</v>
      </c>
      <c r="M1148" s="113"/>
    </row>
    <row r="1149" spans="1:13" x14ac:dyDescent="0.2">
      <c r="A1149" s="106" t="s">
        <v>4913</v>
      </c>
      <c r="B1149" s="105" t="s">
        <v>3356</v>
      </c>
      <c r="C1149" s="105" t="s">
        <v>4930</v>
      </c>
      <c r="D1149" s="149" t="s">
        <v>3358</v>
      </c>
      <c r="E1149" s="105">
        <v>2</v>
      </c>
      <c r="F1149" s="134">
        <v>6.03</v>
      </c>
      <c r="G1149" s="134">
        <v>7</v>
      </c>
      <c r="H1149" s="109">
        <f t="shared" si="51"/>
        <v>14</v>
      </c>
      <c r="I1149" s="119"/>
      <c r="J1149" s="119">
        <v>0</v>
      </c>
      <c r="K1149" s="119">
        <f t="shared" si="52"/>
        <v>14</v>
      </c>
      <c r="L1149" s="152">
        <f t="shared" si="53"/>
        <v>12.06</v>
      </c>
      <c r="M1149" s="113"/>
    </row>
    <row r="1150" spans="1:13" x14ac:dyDescent="0.2">
      <c r="A1150" s="106" t="s">
        <v>4913</v>
      </c>
      <c r="B1150" s="105" t="s">
        <v>2363</v>
      </c>
      <c r="C1150" s="105" t="s">
        <v>4930</v>
      </c>
      <c r="D1150" s="149" t="s">
        <v>2365</v>
      </c>
      <c r="E1150" s="105">
        <v>1</v>
      </c>
      <c r="F1150" s="134">
        <v>12.66</v>
      </c>
      <c r="G1150" s="134">
        <v>14.25</v>
      </c>
      <c r="H1150" s="109">
        <f t="shared" si="51"/>
        <v>14.25</v>
      </c>
      <c r="I1150" s="119"/>
      <c r="J1150" s="119">
        <v>0</v>
      </c>
      <c r="K1150" s="119">
        <f t="shared" si="52"/>
        <v>14.25</v>
      </c>
      <c r="L1150" s="152">
        <f t="shared" si="53"/>
        <v>12.66</v>
      </c>
      <c r="M1150" s="113"/>
    </row>
    <row r="1151" spans="1:13" x14ac:dyDescent="0.2">
      <c r="A1151" s="106" t="s">
        <v>4913</v>
      </c>
      <c r="B1151" s="105" t="s">
        <v>1826</v>
      </c>
      <c r="C1151" s="105" t="s">
        <v>4931</v>
      </c>
      <c r="D1151" s="149" t="s">
        <v>1827</v>
      </c>
      <c r="E1151" s="105">
        <v>20</v>
      </c>
      <c r="F1151" s="134">
        <v>90</v>
      </c>
      <c r="G1151" s="134">
        <v>120</v>
      </c>
      <c r="H1151" s="109">
        <f t="shared" si="51"/>
        <v>2400</v>
      </c>
      <c r="I1151" s="119"/>
      <c r="J1151" s="119">
        <v>0</v>
      </c>
      <c r="K1151" s="119">
        <f t="shared" si="52"/>
        <v>2400</v>
      </c>
      <c r="L1151" s="152">
        <f t="shared" si="53"/>
        <v>1800</v>
      </c>
      <c r="M1151" s="113"/>
    </row>
    <row r="1152" spans="1:13" x14ac:dyDescent="0.2">
      <c r="A1152" s="106" t="s">
        <v>4913</v>
      </c>
      <c r="B1152" s="105" t="s">
        <v>4520</v>
      </c>
      <c r="C1152" s="105" t="s">
        <v>4931</v>
      </c>
      <c r="D1152" s="149" t="s">
        <v>4625</v>
      </c>
      <c r="E1152" s="105">
        <v>10</v>
      </c>
      <c r="F1152" s="134">
        <v>60</v>
      </c>
      <c r="G1152" s="134">
        <v>75</v>
      </c>
      <c r="H1152" s="109">
        <f t="shared" si="51"/>
        <v>750</v>
      </c>
      <c r="I1152" s="119"/>
      <c r="J1152" s="119">
        <v>0</v>
      </c>
      <c r="K1152" s="119">
        <f t="shared" si="52"/>
        <v>750</v>
      </c>
      <c r="L1152" s="152">
        <f t="shared" si="53"/>
        <v>600</v>
      </c>
      <c r="M1152" s="113"/>
    </row>
    <row r="1153" spans="1:13" x14ac:dyDescent="0.2">
      <c r="A1153" s="106" t="s">
        <v>4913</v>
      </c>
      <c r="B1153" s="105" t="s">
        <v>3092</v>
      </c>
      <c r="C1153" s="105" t="s">
        <v>4932</v>
      </c>
      <c r="D1153" s="149" t="s">
        <v>3093</v>
      </c>
      <c r="E1153" s="105">
        <v>2</v>
      </c>
      <c r="F1153" s="134">
        <v>7.48</v>
      </c>
      <c r="G1153" s="134">
        <v>8.75</v>
      </c>
      <c r="H1153" s="109">
        <f t="shared" si="51"/>
        <v>17.5</v>
      </c>
      <c r="I1153" s="119"/>
      <c r="J1153" s="119">
        <v>0</v>
      </c>
      <c r="K1153" s="119">
        <f t="shared" si="52"/>
        <v>17.5</v>
      </c>
      <c r="L1153" s="152">
        <f t="shared" si="53"/>
        <v>14.96</v>
      </c>
      <c r="M1153" s="113"/>
    </row>
    <row r="1154" spans="1:13" x14ac:dyDescent="0.2">
      <c r="A1154" s="106" t="s">
        <v>4913</v>
      </c>
      <c r="B1154" s="105" t="s">
        <v>4804</v>
      </c>
      <c r="C1154" s="105" t="s">
        <v>4932</v>
      </c>
      <c r="D1154" s="149" t="s">
        <v>4872</v>
      </c>
      <c r="E1154" s="105">
        <v>1</v>
      </c>
      <c r="F1154" s="134">
        <v>7.48</v>
      </c>
      <c r="G1154" s="134">
        <v>8.75</v>
      </c>
      <c r="H1154" s="109">
        <f t="shared" si="51"/>
        <v>8.75</v>
      </c>
      <c r="I1154" s="119"/>
      <c r="J1154" s="119">
        <v>0</v>
      </c>
      <c r="K1154" s="119">
        <f t="shared" si="52"/>
        <v>8.75</v>
      </c>
      <c r="L1154" s="152">
        <f t="shared" si="53"/>
        <v>7.48</v>
      </c>
      <c r="M1154" s="113"/>
    </row>
    <row r="1155" spans="1:13" x14ac:dyDescent="0.2">
      <c r="A1155" s="106" t="s">
        <v>4913</v>
      </c>
      <c r="B1155" s="105" t="s">
        <v>3434</v>
      </c>
      <c r="C1155" s="105" t="s">
        <v>4932</v>
      </c>
      <c r="D1155" s="149" t="s">
        <v>3436</v>
      </c>
      <c r="E1155" s="105">
        <v>1</v>
      </c>
      <c r="F1155" s="134">
        <v>7.41</v>
      </c>
      <c r="G1155" s="134">
        <v>8.75</v>
      </c>
      <c r="H1155" s="109">
        <f t="shared" si="51"/>
        <v>8.75</v>
      </c>
      <c r="I1155" s="119"/>
      <c r="J1155" s="119">
        <v>0</v>
      </c>
      <c r="K1155" s="119">
        <f t="shared" si="52"/>
        <v>8.75</v>
      </c>
      <c r="L1155" s="152">
        <f t="shared" si="53"/>
        <v>7.41</v>
      </c>
      <c r="M1155" s="113"/>
    </row>
    <row r="1156" spans="1:13" x14ac:dyDescent="0.2">
      <c r="A1156" s="106" t="s">
        <v>4913</v>
      </c>
      <c r="B1156" s="105" t="s">
        <v>1967</v>
      </c>
      <c r="C1156" s="105" t="s">
        <v>4932</v>
      </c>
      <c r="D1156" s="149" t="s">
        <v>1968</v>
      </c>
      <c r="E1156" s="105">
        <v>2</v>
      </c>
      <c r="F1156" s="134">
        <v>8.1999999999999993</v>
      </c>
      <c r="G1156" s="134">
        <v>10</v>
      </c>
      <c r="H1156" s="109">
        <f t="shared" si="51"/>
        <v>20</v>
      </c>
      <c r="I1156" s="119"/>
      <c r="J1156" s="119">
        <v>0</v>
      </c>
      <c r="K1156" s="119">
        <f t="shared" si="52"/>
        <v>20</v>
      </c>
      <c r="L1156" s="152">
        <f t="shared" si="53"/>
        <v>16.399999999999999</v>
      </c>
      <c r="M1156" s="113"/>
    </row>
    <row r="1157" spans="1:13" x14ac:dyDescent="0.2">
      <c r="A1157" s="106">
        <v>46198</v>
      </c>
      <c r="B1157" s="105" t="s">
        <v>2301</v>
      </c>
      <c r="C1157" s="105" t="s">
        <v>4953</v>
      </c>
      <c r="D1157" s="149" t="s">
        <v>2302</v>
      </c>
      <c r="E1157" s="105">
        <v>2</v>
      </c>
      <c r="F1157" s="136">
        <v>132.80000000000001</v>
      </c>
      <c r="G1157" s="136">
        <v>152.75</v>
      </c>
      <c r="H1157" s="109">
        <f t="shared" si="51"/>
        <v>305.5</v>
      </c>
      <c r="I1157" s="119"/>
      <c r="J1157" s="119">
        <v>0</v>
      </c>
      <c r="K1157" s="119">
        <f t="shared" si="52"/>
        <v>305.5</v>
      </c>
      <c r="L1157" s="152">
        <f t="shared" si="53"/>
        <v>265.60000000000002</v>
      </c>
      <c r="M1157" s="113"/>
    </row>
    <row r="1158" spans="1:13" x14ac:dyDescent="0.2">
      <c r="A1158" s="106">
        <v>46198</v>
      </c>
      <c r="B1158" s="105" t="s">
        <v>3065</v>
      </c>
      <c r="C1158" s="105" t="s">
        <v>4953</v>
      </c>
      <c r="D1158" s="149" t="s">
        <v>3067</v>
      </c>
      <c r="E1158" s="105">
        <v>2</v>
      </c>
      <c r="F1158" s="136">
        <v>13.39</v>
      </c>
      <c r="G1158" s="136">
        <v>15.5</v>
      </c>
      <c r="H1158" s="109">
        <f t="shared" si="51"/>
        <v>31</v>
      </c>
      <c r="I1158" s="119"/>
      <c r="J1158" s="119">
        <v>0</v>
      </c>
      <c r="K1158" s="119">
        <f t="shared" si="52"/>
        <v>31</v>
      </c>
      <c r="L1158" s="152">
        <f t="shared" si="53"/>
        <v>26.78</v>
      </c>
      <c r="M1158" s="113"/>
    </row>
    <row r="1159" spans="1:13" x14ac:dyDescent="0.2">
      <c r="A1159" s="106">
        <v>46198</v>
      </c>
      <c r="B1159" s="105" t="s">
        <v>3043</v>
      </c>
      <c r="C1159" s="105" t="s">
        <v>4953</v>
      </c>
      <c r="D1159" s="149" t="s">
        <v>3044</v>
      </c>
      <c r="E1159" s="105">
        <v>1</v>
      </c>
      <c r="F1159" s="136">
        <v>301.87</v>
      </c>
      <c r="G1159" s="136">
        <v>347.25</v>
      </c>
      <c r="H1159" s="109">
        <f t="shared" si="51"/>
        <v>347.25</v>
      </c>
      <c r="I1159" s="119"/>
      <c r="J1159" s="119">
        <v>0</v>
      </c>
      <c r="K1159" s="119">
        <f t="shared" si="52"/>
        <v>347.25</v>
      </c>
      <c r="L1159" s="152">
        <f t="shared" si="53"/>
        <v>301.87</v>
      </c>
      <c r="M1159" s="113"/>
    </row>
    <row r="1160" spans="1:13" x14ac:dyDescent="0.2">
      <c r="A1160" s="106">
        <v>46198</v>
      </c>
      <c r="B1160" s="105" t="s">
        <v>3825</v>
      </c>
      <c r="C1160" s="105" t="s">
        <v>4954</v>
      </c>
      <c r="D1160" s="149" t="s">
        <v>3827</v>
      </c>
      <c r="E1160" s="105">
        <v>1</v>
      </c>
      <c r="F1160" s="136">
        <v>63.2</v>
      </c>
      <c r="G1160" s="136">
        <v>72.75</v>
      </c>
      <c r="H1160" s="109">
        <f t="shared" ref="H1160:H1223" si="54">E1160*G1160</f>
        <v>72.75</v>
      </c>
      <c r="I1160" s="119"/>
      <c r="J1160" s="119">
        <v>0</v>
      </c>
      <c r="K1160" s="119">
        <f t="shared" ref="K1160:K1223" si="55">H1160+I1160-J1160</f>
        <v>72.75</v>
      </c>
      <c r="L1160" s="152">
        <f t="shared" ref="L1160:L1223" si="56">E1160*F1160</f>
        <v>63.2</v>
      </c>
      <c r="M1160" s="113"/>
    </row>
    <row r="1161" spans="1:13" x14ac:dyDescent="0.2">
      <c r="A1161" s="106">
        <v>46198</v>
      </c>
      <c r="B1161" s="105" t="s">
        <v>4282</v>
      </c>
      <c r="C1161" s="105" t="s">
        <v>4954</v>
      </c>
      <c r="D1161" s="149" t="s">
        <v>4284</v>
      </c>
      <c r="E1161" s="105">
        <v>2</v>
      </c>
      <c r="F1161" s="136">
        <v>53.2</v>
      </c>
      <c r="G1161" s="136">
        <v>61.25</v>
      </c>
      <c r="H1161" s="109">
        <f t="shared" si="54"/>
        <v>122.5</v>
      </c>
      <c r="I1161" s="119"/>
      <c r="J1161" s="119">
        <v>0</v>
      </c>
      <c r="K1161" s="119">
        <f t="shared" si="55"/>
        <v>122.5</v>
      </c>
      <c r="L1161" s="152">
        <f t="shared" si="56"/>
        <v>106.4</v>
      </c>
      <c r="M1161" s="113"/>
    </row>
    <row r="1162" spans="1:13" x14ac:dyDescent="0.2">
      <c r="A1162" s="106">
        <v>46198</v>
      </c>
      <c r="B1162" s="105" t="s">
        <v>2293</v>
      </c>
      <c r="C1162" s="105" t="s">
        <v>4954</v>
      </c>
      <c r="D1162" s="149" t="s">
        <v>2295</v>
      </c>
      <c r="E1162" s="105">
        <v>1</v>
      </c>
      <c r="F1162" s="134">
        <v>27.84</v>
      </c>
      <c r="G1162" s="134">
        <v>45</v>
      </c>
      <c r="H1162" s="109">
        <f t="shared" si="54"/>
        <v>45</v>
      </c>
      <c r="I1162" s="119"/>
      <c r="J1162" s="119">
        <v>0</v>
      </c>
      <c r="K1162" s="119">
        <f t="shared" si="55"/>
        <v>45</v>
      </c>
      <c r="L1162" s="152">
        <f t="shared" si="56"/>
        <v>27.84</v>
      </c>
      <c r="M1162" s="113"/>
    </row>
    <row r="1163" spans="1:13" x14ac:dyDescent="0.2">
      <c r="A1163" s="106">
        <v>46198</v>
      </c>
      <c r="B1163" s="105" t="s">
        <v>2936</v>
      </c>
      <c r="C1163" s="105" t="s">
        <v>4955</v>
      </c>
      <c r="D1163" s="149" t="s">
        <v>2938</v>
      </c>
      <c r="E1163" s="105">
        <v>1</v>
      </c>
      <c r="F1163" s="134">
        <v>61.75</v>
      </c>
      <c r="G1163" s="134">
        <v>71.25</v>
      </c>
      <c r="H1163" s="109">
        <f t="shared" si="54"/>
        <v>71.25</v>
      </c>
      <c r="I1163" s="119"/>
      <c r="J1163" s="119">
        <v>0</v>
      </c>
      <c r="K1163" s="119">
        <f t="shared" si="55"/>
        <v>71.25</v>
      </c>
      <c r="L1163" s="152">
        <f t="shared" si="56"/>
        <v>61.75</v>
      </c>
      <c r="M1163" s="113"/>
    </row>
    <row r="1164" spans="1:13" x14ac:dyDescent="0.2">
      <c r="A1164" s="106">
        <v>46198</v>
      </c>
      <c r="B1164" s="105" t="s">
        <v>3974</v>
      </c>
      <c r="C1164" s="105" t="s">
        <v>4955</v>
      </c>
      <c r="D1164" s="149" t="s">
        <v>3975</v>
      </c>
      <c r="E1164" s="105">
        <v>1</v>
      </c>
      <c r="F1164" s="134">
        <v>59.51</v>
      </c>
      <c r="G1164" s="134">
        <v>68.5</v>
      </c>
      <c r="H1164" s="109">
        <f t="shared" si="54"/>
        <v>68.5</v>
      </c>
      <c r="I1164" s="119"/>
      <c r="J1164" s="119">
        <v>0</v>
      </c>
      <c r="K1164" s="119">
        <f t="shared" si="55"/>
        <v>68.5</v>
      </c>
      <c r="L1164" s="152">
        <f t="shared" si="56"/>
        <v>59.51</v>
      </c>
      <c r="M1164" s="113"/>
    </row>
    <row r="1165" spans="1:13" x14ac:dyDescent="0.2">
      <c r="A1165" s="106">
        <v>46198</v>
      </c>
      <c r="B1165" s="105" t="s">
        <v>4945</v>
      </c>
      <c r="C1165" s="105" t="s">
        <v>4955</v>
      </c>
      <c r="D1165" s="149" t="s">
        <v>4982</v>
      </c>
      <c r="E1165" s="105">
        <v>1</v>
      </c>
      <c r="F1165" s="134">
        <v>22.45</v>
      </c>
      <c r="G1165" s="134">
        <v>26</v>
      </c>
      <c r="H1165" s="109">
        <f t="shared" si="54"/>
        <v>26</v>
      </c>
      <c r="I1165" s="119"/>
      <c r="J1165" s="119">
        <v>0</v>
      </c>
      <c r="K1165" s="119">
        <f t="shared" si="55"/>
        <v>26</v>
      </c>
      <c r="L1165" s="152">
        <f t="shared" si="56"/>
        <v>22.45</v>
      </c>
      <c r="M1165" s="113"/>
    </row>
    <row r="1166" spans="1:13" x14ac:dyDescent="0.2">
      <c r="A1166" s="106">
        <v>46198</v>
      </c>
      <c r="B1166" s="105" t="s">
        <v>3312</v>
      </c>
      <c r="C1166" s="105" t="s">
        <v>4956</v>
      </c>
      <c r="D1166" s="149" t="s">
        <v>3313</v>
      </c>
      <c r="E1166" s="105">
        <v>1</v>
      </c>
      <c r="F1166" s="134">
        <v>60.75</v>
      </c>
      <c r="G1166" s="134">
        <v>67.25</v>
      </c>
      <c r="H1166" s="109">
        <f t="shared" si="54"/>
        <v>67.25</v>
      </c>
      <c r="I1166" s="119"/>
      <c r="J1166" s="119">
        <v>0</v>
      </c>
      <c r="K1166" s="119">
        <f t="shared" si="55"/>
        <v>67.25</v>
      </c>
      <c r="L1166" s="152">
        <f t="shared" si="56"/>
        <v>60.75</v>
      </c>
      <c r="M1166" s="113"/>
    </row>
    <row r="1167" spans="1:13" x14ac:dyDescent="0.2">
      <c r="A1167" s="106">
        <v>46198</v>
      </c>
      <c r="B1167" s="105" t="s">
        <v>3569</v>
      </c>
      <c r="C1167" s="105" t="s">
        <v>4957</v>
      </c>
      <c r="D1167" s="149" t="s">
        <v>3571</v>
      </c>
      <c r="E1167" s="105">
        <v>1</v>
      </c>
      <c r="F1167" s="134">
        <v>21.88</v>
      </c>
      <c r="G1167" s="134">
        <v>25.25</v>
      </c>
      <c r="H1167" s="109">
        <f t="shared" si="54"/>
        <v>25.25</v>
      </c>
      <c r="I1167" s="119"/>
      <c r="J1167" s="119">
        <v>0</v>
      </c>
      <c r="K1167" s="119">
        <f t="shared" si="55"/>
        <v>25.25</v>
      </c>
      <c r="L1167" s="152">
        <f t="shared" si="56"/>
        <v>21.88</v>
      </c>
      <c r="M1167" s="113"/>
    </row>
    <row r="1168" spans="1:13" x14ac:dyDescent="0.2">
      <c r="A1168" s="106">
        <v>46198</v>
      </c>
      <c r="B1168" s="105" t="s">
        <v>2146</v>
      </c>
      <c r="C1168" s="105" t="s">
        <v>4957</v>
      </c>
      <c r="D1168" s="149" t="s">
        <v>2147</v>
      </c>
      <c r="E1168" s="105">
        <v>1</v>
      </c>
      <c r="F1168" s="134">
        <v>13.2</v>
      </c>
      <c r="G1168" s="134">
        <v>16</v>
      </c>
      <c r="H1168" s="109">
        <f t="shared" si="54"/>
        <v>16</v>
      </c>
      <c r="I1168" s="119"/>
      <c r="J1168" s="119">
        <v>0</v>
      </c>
      <c r="K1168" s="119">
        <f t="shared" si="55"/>
        <v>16</v>
      </c>
      <c r="L1168" s="152">
        <f t="shared" si="56"/>
        <v>13.2</v>
      </c>
      <c r="M1168" s="113"/>
    </row>
    <row r="1169" spans="1:13" x14ac:dyDescent="0.2">
      <c r="A1169" s="106">
        <v>46198</v>
      </c>
      <c r="B1169" s="105" t="s">
        <v>4163</v>
      </c>
      <c r="C1169" s="105" t="s">
        <v>4957</v>
      </c>
      <c r="D1169" s="149" t="s">
        <v>4165</v>
      </c>
      <c r="E1169" s="105">
        <v>1</v>
      </c>
      <c r="F1169" s="134">
        <v>9.2799999999999994</v>
      </c>
      <c r="G1169" s="134">
        <v>10.75</v>
      </c>
      <c r="H1169" s="109">
        <f t="shared" si="54"/>
        <v>10.75</v>
      </c>
      <c r="I1169" s="119"/>
      <c r="J1169" s="119">
        <v>0</v>
      </c>
      <c r="K1169" s="119">
        <f t="shared" si="55"/>
        <v>10.75</v>
      </c>
      <c r="L1169" s="152">
        <f t="shared" si="56"/>
        <v>9.2799999999999994</v>
      </c>
      <c r="M1169" s="113"/>
    </row>
    <row r="1170" spans="1:13" x14ac:dyDescent="0.2">
      <c r="A1170" s="106">
        <v>46198</v>
      </c>
      <c r="B1170" s="105" t="s">
        <v>4946</v>
      </c>
      <c r="C1170" s="105" t="s">
        <v>4958</v>
      </c>
      <c r="D1170" s="149" t="s">
        <v>4983</v>
      </c>
      <c r="E1170" s="105">
        <v>1</v>
      </c>
      <c r="F1170" s="134">
        <v>6.4</v>
      </c>
      <c r="G1170" s="134">
        <v>7.5</v>
      </c>
      <c r="H1170" s="109">
        <f t="shared" si="54"/>
        <v>7.5</v>
      </c>
      <c r="I1170" s="119"/>
      <c r="J1170" s="119">
        <v>0</v>
      </c>
      <c r="K1170" s="119">
        <f t="shared" si="55"/>
        <v>7.5</v>
      </c>
      <c r="L1170" s="152">
        <f t="shared" si="56"/>
        <v>6.4</v>
      </c>
      <c r="M1170" s="113"/>
    </row>
    <row r="1171" spans="1:13" x14ac:dyDescent="0.2">
      <c r="A1171" s="106">
        <v>46198</v>
      </c>
      <c r="B1171" s="105" t="s">
        <v>4568</v>
      </c>
      <c r="C1171" s="105" t="s">
        <v>4959</v>
      </c>
      <c r="D1171" s="149" t="s">
        <v>4673</v>
      </c>
      <c r="E1171" s="105">
        <v>1</v>
      </c>
      <c r="F1171" s="134">
        <v>34.47</v>
      </c>
      <c r="G1171" s="134">
        <v>39.75</v>
      </c>
      <c r="H1171" s="109">
        <f t="shared" si="54"/>
        <v>39.75</v>
      </c>
      <c r="I1171" s="119"/>
      <c r="J1171" s="119">
        <v>0</v>
      </c>
      <c r="K1171" s="119">
        <f t="shared" si="55"/>
        <v>39.75</v>
      </c>
      <c r="L1171" s="152">
        <f t="shared" si="56"/>
        <v>34.47</v>
      </c>
      <c r="M1171" s="113"/>
    </row>
    <row r="1172" spans="1:13" x14ac:dyDescent="0.2">
      <c r="A1172" s="106">
        <v>46198</v>
      </c>
      <c r="B1172" s="105" t="s">
        <v>3842</v>
      </c>
      <c r="C1172" s="105" t="s">
        <v>4959</v>
      </c>
      <c r="D1172" s="149" t="s">
        <v>3844</v>
      </c>
      <c r="E1172" s="105">
        <v>1</v>
      </c>
      <c r="F1172" s="134">
        <v>41.83</v>
      </c>
      <c r="G1172" s="134">
        <v>48.25</v>
      </c>
      <c r="H1172" s="109">
        <f t="shared" si="54"/>
        <v>48.25</v>
      </c>
      <c r="I1172" s="119"/>
      <c r="J1172" s="119">
        <v>0</v>
      </c>
      <c r="K1172" s="119">
        <f t="shared" si="55"/>
        <v>48.25</v>
      </c>
      <c r="L1172" s="152">
        <f t="shared" si="56"/>
        <v>41.83</v>
      </c>
      <c r="M1172" s="113"/>
    </row>
    <row r="1173" spans="1:13" x14ac:dyDescent="0.2">
      <c r="A1173" s="106">
        <v>46198</v>
      </c>
      <c r="B1173" s="105" t="s">
        <v>1920</v>
      </c>
      <c r="C1173" s="105" t="s">
        <v>4959</v>
      </c>
      <c r="D1173" s="149" t="s">
        <v>1921</v>
      </c>
      <c r="E1173" s="105">
        <v>10</v>
      </c>
      <c r="F1173" s="134">
        <v>13.32</v>
      </c>
      <c r="G1173" s="134">
        <v>15.5</v>
      </c>
      <c r="H1173" s="109">
        <f t="shared" si="54"/>
        <v>155</v>
      </c>
      <c r="I1173" s="119"/>
      <c r="J1173" s="119">
        <v>0</v>
      </c>
      <c r="K1173" s="119">
        <f t="shared" si="55"/>
        <v>155</v>
      </c>
      <c r="L1173" s="152">
        <f t="shared" si="56"/>
        <v>133.19999999999999</v>
      </c>
      <c r="M1173" s="113"/>
    </row>
    <row r="1174" spans="1:13" x14ac:dyDescent="0.2">
      <c r="A1174" s="106">
        <v>46198</v>
      </c>
      <c r="B1174" s="105" t="s">
        <v>3225</v>
      </c>
      <c r="C1174" s="105" t="s">
        <v>4959</v>
      </c>
      <c r="D1174" s="149" t="s">
        <v>3227</v>
      </c>
      <c r="E1174" s="105">
        <v>3</v>
      </c>
      <c r="F1174" s="134">
        <v>21.88</v>
      </c>
      <c r="G1174" s="134">
        <v>24.5</v>
      </c>
      <c r="H1174" s="109">
        <f t="shared" si="54"/>
        <v>73.5</v>
      </c>
      <c r="I1174" s="119"/>
      <c r="J1174" s="119">
        <v>0</v>
      </c>
      <c r="K1174" s="119">
        <f t="shared" si="55"/>
        <v>73.5</v>
      </c>
      <c r="L1174" s="152">
        <f t="shared" si="56"/>
        <v>65.64</v>
      </c>
      <c r="M1174" s="113"/>
    </row>
    <row r="1175" spans="1:13" x14ac:dyDescent="0.2">
      <c r="A1175" s="106">
        <v>46198</v>
      </c>
      <c r="B1175" s="105" t="s">
        <v>3119</v>
      </c>
      <c r="C1175" s="105" t="s">
        <v>4959</v>
      </c>
      <c r="D1175" s="149" t="s">
        <v>3120</v>
      </c>
      <c r="E1175" s="105">
        <v>3</v>
      </c>
      <c r="F1175" s="134">
        <v>96.67</v>
      </c>
      <c r="G1175" s="134">
        <v>111.25</v>
      </c>
      <c r="H1175" s="109">
        <f t="shared" si="54"/>
        <v>333.75</v>
      </c>
      <c r="I1175" s="119"/>
      <c r="J1175" s="119">
        <v>0</v>
      </c>
      <c r="K1175" s="119">
        <f t="shared" si="55"/>
        <v>333.75</v>
      </c>
      <c r="L1175" s="152">
        <f t="shared" si="56"/>
        <v>290.01</v>
      </c>
      <c r="M1175" s="113"/>
    </row>
    <row r="1176" spans="1:13" x14ac:dyDescent="0.2">
      <c r="A1176" s="106">
        <v>46198</v>
      </c>
      <c r="B1176" s="105" t="s">
        <v>3112</v>
      </c>
      <c r="C1176" s="105" t="s">
        <v>4959</v>
      </c>
      <c r="D1176" s="149" t="s">
        <v>3113</v>
      </c>
      <c r="E1176" s="105">
        <v>3</v>
      </c>
      <c r="F1176" s="134">
        <v>109.57</v>
      </c>
      <c r="G1176" s="134">
        <v>136.5</v>
      </c>
      <c r="H1176" s="109">
        <f t="shared" si="54"/>
        <v>409.5</v>
      </c>
      <c r="I1176" s="119"/>
      <c r="J1176" s="119">
        <v>0</v>
      </c>
      <c r="K1176" s="119">
        <f t="shared" si="55"/>
        <v>409.5</v>
      </c>
      <c r="L1176" s="152">
        <f t="shared" si="56"/>
        <v>328.71</v>
      </c>
      <c r="M1176" s="113"/>
    </row>
    <row r="1177" spans="1:13" x14ac:dyDescent="0.2">
      <c r="A1177" s="106">
        <v>46198</v>
      </c>
      <c r="B1177" s="105" t="s">
        <v>3413</v>
      </c>
      <c r="C1177" s="105" t="s">
        <v>4959</v>
      </c>
      <c r="D1177" s="149" t="s">
        <v>3414</v>
      </c>
      <c r="E1177" s="105">
        <v>2</v>
      </c>
      <c r="F1177" s="134">
        <v>33.1</v>
      </c>
      <c r="G1177" s="134">
        <v>38.25</v>
      </c>
      <c r="H1177" s="109">
        <f t="shared" si="54"/>
        <v>76.5</v>
      </c>
      <c r="I1177" s="119"/>
      <c r="J1177" s="119">
        <v>0</v>
      </c>
      <c r="K1177" s="119">
        <f t="shared" si="55"/>
        <v>76.5</v>
      </c>
      <c r="L1177" s="152">
        <f t="shared" si="56"/>
        <v>66.2</v>
      </c>
      <c r="M1177" s="113"/>
    </row>
    <row r="1178" spans="1:13" x14ac:dyDescent="0.2">
      <c r="A1178" s="106">
        <v>46198</v>
      </c>
      <c r="B1178" s="105" t="s">
        <v>2313</v>
      </c>
      <c r="C1178" s="105" t="s">
        <v>4959</v>
      </c>
      <c r="D1178" s="149" t="s">
        <v>2314</v>
      </c>
      <c r="E1178" s="105">
        <v>2</v>
      </c>
      <c r="F1178" s="134">
        <v>34.380000000000003</v>
      </c>
      <c r="G1178" s="134">
        <v>39.75</v>
      </c>
      <c r="H1178" s="109">
        <f t="shared" si="54"/>
        <v>79.5</v>
      </c>
      <c r="I1178" s="119"/>
      <c r="J1178" s="119">
        <v>0</v>
      </c>
      <c r="K1178" s="119">
        <f t="shared" si="55"/>
        <v>79.5</v>
      </c>
      <c r="L1178" s="152">
        <f t="shared" si="56"/>
        <v>68.760000000000005</v>
      </c>
      <c r="M1178" s="113"/>
    </row>
    <row r="1179" spans="1:13" x14ac:dyDescent="0.2">
      <c r="A1179" s="106">
        <v>46198</v>
      </c>
      <c r="B1179" s="105" t="s">
        <v>1810</v>
      </c>
      <c r="C1179" s="105" t="s">
        <v>4959</v>
      </c>
      <c r="D1179" s="149" t="s">
        <v>1811</v>
      </c>
      <c r="E1179" s="105">
        <v>2</v>
      </c>
      <c r="F1179" s="134">
        <v>38.39</v>
      </c>
      <c r="G1179" s="134">
        <v>44.25</v>
      </c>
      <c r="H1179" s="109">
        <f t="shared" si="54"/>
        <v>88.5</v>
      </c>
      <c r="I1179" s="119"/>
      <c r="J1179" s="119">
        <v>0</v>
      </c>
      <c r="K1179" s="119">
        <f t="shared" si="55"/>
        <v>88.5</v>
      </c>
      <c r="L1179" s="152">
        <f t="shared" si="56"/>
        <v>76.78</v>
      </c>
      <c r="M1179" s="113"/>
    </row>
    <row r="1180" spans="1:13" x14ac:dyDescent="0.2">
      <c r="A1180" s="106">
        <v>46198</v>
      </c>
      <c r="B1180" s="105" t="s">
        <v>2419</v>
      </c>
      <c r="C1180" s="105" t="s">
        <v>4959</v>
      </c>
      <c r="D1180" s="149" t="s">
        <v>2420</v>
      </c>
      <c r="E1180" s="105">
        <v>4</v>
      </c>
      <c r="F1180" s="134">
        <v>45.88</v>
      </c>
      <c r="G1180" s="134">
        <v>52.75</v>
      </c>
      <c r="H1180" s="109">
        <f t="shared" si="54"/>
        <v>211</v>
      </c>
      <c r="I1180" s="119"/>
      <c r="J1180" s="119">
        <v>0</v>
      </c>
      <c r="K1180" s="119">
        <f t="shared" si="55"/>
        <v>211</v>
      </c>
      <c r="L1180" s="152">
        <f t="shared" si="56"/>
        <v>183.52</v>
      </c>
      <c r="M1180" s="113"/>
    </row>
    <row r="1181" spans="1:13" x14ac:dyDescent="0.2">
      <c r="A1181" s="106">
        <v>46198</v>
      </c>
      <c r="B1181" s="105" t="s">
        <v>3476</v>
      </c>
      <c r="C1181" s="105" t="s">
        <v>4960</v>
      </c>
      <c r="D1181" s="149" t="s">
        <v>3478</v>
      </c>
      <c r="E1181" s="105">
        <v>1</v>
      </c>
      <c r="F1181" s="134">
        <v>72.95</v>
      </c>
      <c r="G1181" s="134">
        <v>80.25</v>
      </c>
      <c r="H1181" s="109">
        <f t="shared" si="54"/>
        <v>80.25</v>
      </c>
      <c r="I1181" s="119"/>
      <c r="J1181" s="119">
        <v>0</v>
      </c>
      <c r="K1181" s="119">
        <f t="shared" si="55"/>
        <v>80.25</v>
      </c>
      <c r="L1181" s="152">
        <f t="shared" si="56"/>
        <v>72.95</v>
      </c>
      <c r="M1181" s="113"/>
    </row>
    <row r="1182" spans="1:13" x14ac:dyDescent="0.2">
      <c r="A1182" s="106">
        <v>46198</v>
      </c>
      <c r="B1182" s="105" t="s">
        <v>4718</v>
      </c>
      <c r="C1182" s="105" t="s">
        <v>4960</v>
      </c>
      <c r="D1182" s="149" t="s">
        <v>4753</v>
      </c>
      <c r="E1182" s="105">
        <v>3</v>
      </c>
      <c r="F1182" s="134">
        <v>14.5</v>
      </c>
      <c r="G1182" s="134">
        <v>16.75</v>
      </c>
      <c r="H1182" s="109">
        <f t="shared" si="54"/>
        <v>50.25</v>
      </c>
      <c r="I1182" s="119"/>
      <c r="J1182" s="119">
        <v>0</v>
      </c>
      <c r="K1182" s="119">
        <f t="shared" si="55"/>
        <v>50.25</v>
      </c>
      <c r="L1182" s="152">
        <f t="shared" si="56"/>
        <v>43.5</v>
      </c>
      <c r="M1182" s="113"/>
    </row>
    <row r="1183" spans="1:13" x14ac:dyDescent="0.2">
      <c r="A1183" s="106">
        <v>46198</v>
      </c>
      <c r="B1183" s="105" t="s">
        <v>4536</v>
      </c>
      <c r="C1183" s="105" t="s">
        <v>4960</v>
      </c>
      <c r="D1183" s="149" t="s">
        <v>4641</v>
      </c>
      <c r="E1183" s="105">
        <v>1</v>
      </c>
      <c r="F1183" s="134">
        <v>57.1</v>
      </c>
      <c r="G1183" s="134">
        <v>65.75</v>
      </c>
      <c r="H1183" s="109">
        <f t="shared" si="54"/>
        <v>65.75</v>
      </c>
      <c r="I1183" s="119"/>
      <c r="J1183" s="119">
        <v>0</v>
      </c>
      <c r="K1183" s="119">
        <f t="shared" si="55"/>
        <v>65.75</v>
      </c>
      <c r="L1183" s="152">
        <f t="shared" si="56"/>
        <v>57.1</v>
      </c>
      <c r="M1183" s="113"/>
    </row>
    <row r="1184" spans="1:13" x14ac:dyDescent="0.2">
      <c r="A1184" s="106">
        <v>46198</v>
      </c>
      <c r="B1184" s="105" t="s">
        <v>3413</v>
      </c>
      <c r="C1184" s="105" t="s">
        <v>4960</v>
      </c>
      <c r="D1184" s="149" t="s">
        <v>3414</v>
      </c>
      <c r="E1184" s="157">
        <v>1</v>
      </c>
      <c r="F1184" s="134">
        <v>33.1</v>
      </c>
      <c r="G1184" s="134">
        <v>38.25</v>
      </c>
      <c r="H1184" s="109">
        <f t="shared" si="54"/>
        <v>38.25</v>
      </c>
      <c r="I1184" s="119"/>
      <c r="J1184" s="119">
        <v>0</v>
      </c>
      <c r="K1184" s="119">
        <f t="shared" si="55"/>
        <v>38.25</v>
      </c>
      <c r="L1184" s="152">
        <f t="shared" si="56"/>
        <v>33.1</v>
      </c>
      <c r="M1184" s="113"/>
    </row>
    <row r="1185" spans="1:13" x14ac:dyDescent="0.2">
      <c r="A1185" s="106">
        <v>46198</v>
      </c>
      <c r="B1185" s="105" t="s">
        <v>3314</v>
      </c>
      <c r="C1185" s="105" t="s">
        <v>4960</v>
      </c>
      <c r="D1185" s="149" t="s">
        <v>3316</v>
      </c>
      <c r="E1185" s="105">
        <v>1</v>
      </c>
      <c r="F1185" s="134">
        <v>16.579999999999998</v>
      </c>
      <c r="G1185" s="134">
        <v>19</v>
      </c>
      <c r="H1185" s="109">
        <f t="shared" si="54"/>
        <v>19</v>
      </c>
      <c r="I1185" s="119"/>
      <c r="J1185" s="119">
        <v>0</v>
      </c>
      <c r="K1185" s="119">
        <f t="shared" si="55"/>
        <v>19</v>
      </c>
      <c r="L1185" s="152">
        <f t="shared" si="56"/>
        <v>16.579999999999998</v>
      </c>
      <c r="M1185" s="113"/>
    </row>
    <row r="1186" spans="1:13" x14ac:dyDescent="0.2">
      <c r="A1186" s="106">
        <v>46198</v>
      </c>
      <c r="B1186" s="105" t="s">
        <v>3348</v>
      </c>
      <c r="C1186" s="105" t="s">
        <v>4961</v>
      </c>
      <c r="D1186" s="149" t="s">
        <v>3349</v>
      </c>
      <c r="E1186" s="105">
        <v>4</v>
      </c>
      <c r="F1186" s="134">
        <v>14.91</v>
      </c>
      <c r="G1186" s="134">
        <v>17.25</v>
      </c>
      <c r="H1186" s="109">
        <f t="shared" si="54"/>
        <v>69</v>
      </c>
      <c r="I1186" s="119"/>
      <c r="J1186" s="119">
        <v>0</v>
      </c>
      <c r="K1186" s="119">
        <f t="shared" si="55"/>
        <v>69</v>
      </c>
      <c r="L1186" s="152">
        <f t="shared" si="56"/>
        <v>59.64</v>
      </c>
      <c r="M1186" s="113"/>
    </row>
    <row r="1187" spans="1:13" x14ac:dyDescent="0.2">
      <c r="A1187" s="106">
        <v>46198</v>
      </c>
      <c r="B1187" s="105" t="s">
        <v>2226</v>
      </c>
      <c r="C1187" s="105" t="s">
        <v>4962</v>
      </c>
      <c r="D1187" s="149" t="s">
        <v>2228</v>
      </c>
      <c r="E1187" s="105">
        <v>2</v>
      </c>
      <c r="F1187" s="134">
        <v>19.47</v>
      </c>
      <c r="G1187" s="134">
        <v>23</v>
      </c>
      <c r="H1187" s="109">
        <f t="shared" si="54"/>
        <v>46</v>
      </c>
      <c r="I1187" s="119"/>
      <c r="J1187" s="119">
        <v>0</v>
      </c>
      <c r="K1187" s="119">
        <f t="shared" si="55"/>
        <v>46</v>
      </c>
      <c r="L1187" s="152">
        <f t="shared" si="56"/>
        <v>38.94</v>
      </c>
      <c r="M1187" s="113"/>
    </row>
    <row r="1188" spans="1:13" x14ac:dyDescent="0.2">
      <c r="A1188" s="106">
        <v>46198</v>
      </c>
      <c r="B1188" s="105" t="s">
        <v>3599</v>
      </c>
      <c r="C1188" s="105" t="s">
        <v>4963</v>
      </c>
      <c r="D1188" s="149" t="s">
        <v>3601</v>
      </c>
      <c r="E1188" s="105">
        <v>1</v>
      </c>
      <c r="F1188" s="134">
        <v>58.45</v>
      </c>
      <c r="G1188" s="134">
        <v>67.25</v>
      </c>
      <c r="H1188" s="109">
        <f t="shared" si="54"/>
        <v>67.25</v>
      </c>
      <c r="I1188" s="119"/>
      <c r="J1188" s="119">
        <v>0</v>
      </c>
      <c r="K1188" s="119">
        <f t="shared" si="55"/>
        <v>67.25</v>
      </c>
      <c r="L1188" s="152">
        <f t="shared" si="56"/>
        <v>58.45</v>
      </c>
      <c r="M1188" s="113"/>
    </row>
    <row r="1189" spans="1:13" x14ac:dyDescent="0.2">
      <c r="A1189" s="153">
        <v>46198</v>
      </c>
      <c r="B1189" s="154" t="s">
        <v>1843</v>
      </c>
      <c r="C1189" s="154" t="s">
        <v>4964</v>
      </c>
      <c r="D1189" s="155" t="s">
        <v>1844</v>
      </c>
      <c r="E1189" s="154">
        <v>1</v>
      </c>
      <c r="F1189" s="238"/>
      <c r="G1189" s="238">
        <v>73.25</v>
      </c>
      <c r="H1189" s="237">
        <f t="shared" si="54"/>
        <v>73.25</v>
      </c>
      <c r="I1189" s="147"/>
      <c r="J1189" s="147">
        <v>0</v>
      </c>
      <c r="K1189" s="147">
        <f t="shared" si="55"/>
        <v>73.25</v>
      </c>
      <c r="L1189" s="148">
        <f t="shared" si="56"/>
        <v>0</v>
      </c>
      <c r="M1189" s="113"/>
    </row>
    <row r="1190" spans="1:13" x14ac:dyDescent="0.2">
      <c r="A1190" s="106">
        <v>46198</v>
      </c>
      <c r="B1190" s="105" t="s">
        <v>4947</v>
      </c>
      <c r="C1190" s="105" t="s">
        <v>4965</v>
      </c>
      <c r="D1190" s="149" t="s">
        <v>4984</v>
      </c>
      <c r="E1190" s="105">
        <v>1</v>
      </c>
      <c r="F1190" s="134">
        <v>33</v>
      </c>
      <c r="G1190" s="134">
        <v>38</v>
      </c>
      <c r="H1190" s="109">
        <f t="shared" si="54"/>
        <v>38</v>
      </c>
      <c r="I1190" s="119"/>
      <c r="J1190" s="119">
        <v>0</v>
      </c>
      <c r="K1190" s="119">
        <f t="shared" si="55"/>
        <v>38</v>
      </c>
      <c r="L1190" s="152">
        <f t="shared" si="56"/>
        <v>33</v>
      </c>
      <c r="M1190" s="113"/>
    </row>
    <row r="1191" spans="1:13" x14ac:dyDescent="0.2">
      <c r="A1191" s="106">
        <v>46198</v>
      </c>
      <c r="B1191" s="105" t="s">
        <v>2488</v>
      </c>
      <c r="C1191" s="105" t="s">
        <v>4966</v>
      </c>
      <c r="D1191" s="149" t="s">
        <v>2489</v>
      </c>
      <c r="E1191" s="105">
        <v>2</v>
      </c>
      <c r="F1191" s="134">
        <v>31.19</v>
      </c>
      <c r="G1191" s="134">
        <v>36</v>
      </c>
      <c r="H1191" s="109">
        <f t="shared" si="54"/>
        <v>72</v>
      </c>
      <c r="I1191" s="119"/>
      <c r="J1191" s="119">
        <v>0</v>
      </c>
      <c r="K1191" s="119">
        <f t="shared" si="55"/>
        <v>72</v>
      </c>
      <c r="L1191" s="152">
        <f t="shared" si="56"/>
        <v>62.38</v>
      </c>
      <c r="M1191" s="113"/>
    </row>
    <row r="1192" spans="1:13" x14ac:dyDescent="0.2">
      <c r="A1192" s="106">
        <v>46198</v>
      </c>
      <c r="B1192" s="105" t="s">
        <v>3457</v>
      </c>
      <c r="C1192" s="105" t="s">
        <v>4966</v>
      </c>
      <c r="D1192" s="149" t="s">
        <v>3458</v>
      </c>
      <c r="E1192" s="105">
        <v>4</v>
      </c>
      <c r="F1192" s="134">
        <v>51.97</v>
      </c>
      <c r="G1192" s="134">
        <v>60</v>
      </c>
      <c r="H1192" s="109">
        <f t="shared" si="54"/>
        <v>240</v>
      </c>
      <c r="I1192" s="119"/>
      <c r="J1192" s="119">
        <v>0</v>
      </c>
      <c r="K1192" s="119">
        <f t="shared" si="55"/>
        <v>240</v>
      </c>
      <c r="L1192" s="152">
        <f t="shared" si="56"/>
        <v>207.88</v>
      </c>
      <c r="M1192" s="113"/>
    </row>
    <row r="1193" spans="1:13" x14ac:dyDescent="0.2">
      <c r="A1193" s="106">
        <v>46198</v>
      </c>
      <c r="B1193" s="105" t="s">
        <v>3326</v>
      </c>
      <c r="C1193" s="105" t="s">
        <v>4966</v>
      </c>
      <c r="D1193" s="149" t="s">
        <v>3327</v>
      </c>
      <c r="E1193" s="105">
        <v>6</v>
      </c>
      <c r="F1193" s="134">
        <v>6.02</v>
      </c>
      <c r="G1193" s="134">
        <v>7.25</v>
      </c>
      <c r="H1193" s="109">
        <f t="shared" si="54"/>
        <v>43.5</v>
      </c>
      <c r="I1193" s="119"/>
      <c r="J1193" s="119">
        <v>0</v>
      </c>
      <c r="K1193" s="119">
        <f t="shared" si="55"/>
        <v>43.5</v>
      </c>
      <c r="L1193" s="152">
        <f t="shared" si="56"/>
        <v>36.119999999999997</v>
      </c>
      <c r="M1193" s="113"/>
    </row>
    <row r="1194" spans="1:13" x14ac:dyDescent="0.2">
      <c r="A1194" s="106">
        <v>46198</v>
      </c>
      <c r="B1194" s="105" t="s">
        <v>2521</v>
      </c>
      <c r="C1194" s="105" t="s">
        <v>4966</v>
      </c>
      <c r="D1194" s="149" t="s">
        <v>2522</v>
      </c>
      <c r="E1194" s="105">
        <v>6</v>
      </c>
      <c r="F1194" s="134">
        <v>6.12</v>
      </c>
      <c r="G1194" s="134">
        <v>7.25</v>
      </c>
      <c r="H1194" s="109">
        <f t="shared" si="54"/>
        <v>43.5</v>
      </c>
      <c r="I1194" s="119"/>
      <c r="J1194" s="119">
        <v>0</v>
      </c>
      <c r="K1194" s="119">
        <f t="shared" si="55"/>
        <v>43.5</v>
      </c>
      <c r="L1194" s="152">
        <f t="shared" si="56"/>
        <v>36.72</v>
      </c>
      <c r="M1194" s="113"/>
    </row>
    <row r="1195" spans="1:13" x14ac:dyDescent="0.2">
      <c r="A1195" s="106">
        <v>46198</v>
      </c>
      <c r="B1195" s="105" t="s">
        <v>2581</v>
      </c>
      <c r="C1195" s="105" t="s">
        <v>4966</v>
      </c>
      <c r="D1195" s="149" t="s">
        <v>2583</v>
      </c>
      <c r="E1195" s="105">
        <v>6</v>
      </c>
      <c r="F1195" s="134">
        <v>6.02</v>
      </c>
      <c r="G1195" s="134">
        <v>7.25</v>
      </c>
      <c r="H1195" s="109">
        <f t="shared" si="54"/>
        <v>43.5</v>
      </c>
      <c r="I1195" s="119"/>
      <c r="J1195" s="119">
        <v>0</v>
      </c>
      <c r="K1195" s="119">
        <f t="shared" si="55"/>
        <v>43.5</v>
      </c>
      <c r="L1195" s="152">
        <f t="shared" si="56"/>
        <v>36.119999999999997</v>
      </c>
      <c r="M1195" s="113"/>
    </row>
    <row r="1196" spans="1:13" x14ac:dyDescent="0.2">
      <c r="A1196" s="106">
        <v>46198</v>
      </c>
      <c r="B1196" s="105" t="s">
        <v>4585</v>
      </c>
      <c r="C1196" s="105" t="s">
        <v>4966</v>
      </c>
      <c r="D1196" s="149" t="s">
        <v>4690</v>
      </c>
      <c r="E1196" s="105">
        <v>1</v>
      </c>
      <c r="F1196" s="134">
        <v>39.5</v>
      </c>
      <c r="G1196" s="134">
        <v>45.5</v>
      </c>
      <c r="H1196" s="109">
        <f t="shared" si="54"/>
        <v>45.5</v>
      </c>
      <c r="I1196" s="119"/>
      <c r="J1196" s="119">
        <v>0</v>
      </c>
      <c r="K1196" s="119">
        <f t="shared" si="55"/>
        <v>45.5</v>
      </c>
      <c r="L1196" s="152">
        <f t="shared" si="56"/>
        <v>39.5</v>
      </c>
      <c r="M1196" s="113"/>
    </row>
    <row r="1197" spans="1:13" x14ac:dyDescent="0.2">
      <c r="A1197" s="106">
        <v>46198</v>
      </c>
      <c r="B1197" s="105" t="s">
        <v>4584</v>
      </c>
      <c r="C1197" s="105" t="s">
        <v>4966</v>
      </c>
      <c r="D1197" s="149" t="s">
        <v>4689</v>
      </c>
      <c r="E1197" s="105">
        <v>3</v>
      </c>
      <c r="F1197" s="134">
        <v>20.75</v>
      </c>
      <c r="G1197" s="134">
        <v>24.25</v>
      </c>
      <c r="H1197" s="109">
        <f t="shared" si="54"/>
        <v>72.75</v>
      </c>
      <c r="I1197" s="119"/>
      <c r="J1197" s="119">
        <v>0</v>
      </c>
      <c r="K1197" s="119">
        <f t="shared" si="55"/>
        <v>72.75</v>
      </c>
      <c r="L1197" s="152">
        <f t="shared" si="56"/>
        <v>62.25</v>
      </c>
      <c r="M1197" s="113"/>
    </row>
    <row r="1198" spans="1:13" x14ac:dyDescent="0.2">
      <c r="A1198" s="106">
        <v>46198</v>
      </c>
      <c r="B1198" s="105" t="s">
        <v>4054</v>
      </c>
      <c r="C1198" s="105" t="s">
        <v>4967</v>
      </c>
      <c r="D1198" s="149" t="s">
        <v>4056</v>
      </c>
      <c r="E1198" s="105">
        <v>1</v>
      </c>
      <c r="F1198" s="134">
        <v>12.69</v>
      </c>
      <c r="G1198" s="134">
        <v>14.75</v>
      </c>
      <c r="H1198" s="109">
        <f t="shared" si="54"/>
        <v>14.75</v>
      </c>
      <c r="I1198" s="119"/>
      <c r="J1198" s="119">
        <v>0</v>
      </c>
      <c r="K1198" s="119">
        <f t="shared" si="55"/>
        <v>14.75</v>
      </c>
      <c r="L1198" s="152">
        <f t="shared" si="56"/>
        <v>12.69</v>
      </c>
      <c r="M1198" s="113"/>
    </row>
    <row r="1199" spans="1:13" x14ac:dyDescent="0.2">
      <c r="A1199" s="106">
        <v>46198</v>
      </c>
      <c r="B1199" s="105" t="s">
        <v>4482</v>
      </c>
      <c r="C1199" s="105" t="s">
        <v>4967</v>
      </c>
      <c r="D1199" s="149" t="s">
        <v>4514</v>
      </c>
      <c r="E1199" s="105">
        <v>1</v>
      </c>
      <c r="F1199" s="134">
        <v>90.42</v>
      </c>
      <c r="G1199" s="134">
        <v>104</v>
      </c>
      <c r="H1199" s="109">
        <f t="shared" si="54"/>
        <v>104</v>
      </c>
      <c r="I1199" s="119"/>
      <c r="J1199" s="119">
        <v>0</v>
      </c>
      <c r="K1199" s="119">
        <f t="shared" si="55"/>
        <v>104</v>
      </c>
      <c r="L1199" s="152">
        <f t="shared" si="56"/>
        <v>90.42</v>
      </c>
      <c r="M1199" s="113"/>
    </row>
    <row r="1200" spans="1:13" x14ac:dyDescent="0.2">
      <c r="A1200" s="106">
        <v>46198</v>
      </c>
      <c r="B1200" s="105" t="s">
        <v>2798</v>
      </c>
      <c r="C1200" s="105" t="s">
        <v>4968</v>
      </c>
      <c r="D1200" s="149" t="s">
        <v>2800</v>
      </c>
      <c r="E1200" s="105">
        <v>1</v>
      </c>
      <c r="F1200" s="134">
        <v>51.97</v>
      </c>
      <c r="G1200" s="134">
        <v>60</v>
      </c>
      <c r="H1200" s="109">
        <f t="shared" si="54"/>
        <v>60</v>
      </c>
      <c r="I1200" s="119"/>
      <c r="J1200" s="119">
        <v>0</v>
      </c>
      <c r="K1200" s="119">
        <f t="shared" si="55"/>
        <v>60</v>
      </c>
      <c r="L1200" s="152">
        <f t="shared" si="56"/>
        <v>51.97</v>
      </c>
      <c r="M1200" s="113"/>
    </row>
    <row r="1201" spans="1:13" x14ac:dyDescent="0.2">
      <c r="A1201" s="106">
        <v>46198</v>
      </c>
      <c r="B1201" s="105" t="s">
        <v>2018</v>
      </c>
      <c r="C1201" s="105" t="s">
        <v>4969</v>
      </c>
      <c r="D1201" s="149" t="s">
        <v>2019</v>
      </c>
      <c r="E1201" s="105">
        <v>1</v>
      </c>
      <c r="F1201" s="134">
        <v>30.79</v>
      </c>
      <c r="G1201" s="134">
        <v>36.75</v>
      </c>
      <c r="H1201" s="109">
        <f t="shared" si="54"/>
        <v>36.75</v>
      </c>
      <c r="I1201" s="119"/>
      <c r="J1201" s="119">
        <v>0</v>
      </c>
      <c r="K1201" s="119">
        <f t="shared" si="55"/>
        <v>36.75</v>
      </c>
      <c r="L1201" s="152">
        <f t="shared" si="56"/>
        <v>30.79</v>
      </c>
      <c r="M1201" s="113"/>
    </row>
    <row r="1202" spans="1:13" x14ac:dyDescent="0.2">
      <c r="A1202" s="106">
        <v>46198</v>
      </c>
      <c r="B1202" s="105" t="s">
        <v>4716</v>
      </c>
      <c r="C1202" s="105" t="s">
        <v>4970</v>
      </c>
      <c r="D1202" s="149" t="s">
        <v>4751</v>
      </c>
      <c r="E1202" s="105">
        <v>2</v>
      </c>
      <c r="F1202" s="134">
        <v>0.81</v>
      </c>
      <c r="G1202" s="134">
        <v>1</v>
      </c>
      <c r="H1202" s="109">
        <f t="shared" si="54"/>
        <v>2</v>
      </c>
      <c r="I1202" s="119"/>
      <c r="J1202" s="119">
        <v>0</v>
      </c>
      <c r="K1202" s="119">
        <f t="shared" si="55"/>
        <v>2</v>
      </c>
      <c r="L1202" s="152">
        <f t="shared" si="56"/>
        <v>1.62</v>
      </c>
      <c r="M1202" s="113"/>
    </row>
    <row r="1203" spans="1:13" x14ac:dyDescent="0.2">
      <c r="A1203" s="106">
        <v>46198</v>
      </c>
      <c r="B1203" s="105" t="s">
        <v>3195</v>
      </c>
      <c r="C1203" s="105" t="s">
        <v>4971</v>
      </c>
      <c r="D1203" s="149" t="s">
        <v>3196</v>
      </c>
      <c r="E1203" s="105">
        <v>1</v>
      </c>
      <c r="F1203" s="134">
        <v>64.58</v>
      </c>
      <c r="G1203" s="134">
        <v>74.5</v>
      </c>
      <c r="H1203" s="109">
        <f t="shared" si="54"/>
        <v>74.5</v>
      </c>
      <c r="I1203" s="119"/>
      <c r="J1203" s="119">
        <v>0</v>
      </c>
      <c r="K1203" s="119">
        <f t="shared" si="55"/>
        <v>74.5</v>
      </c>
      <c r="L1203" s="152">
        <f t="shared" si="56"/>
        <v>64.58</v>
      </c>
      <c r="M1203" s="113"/>
    </row>
    <row r="1204" spans="1:13" x14ac:dyDescent="0.2">
      <c r="A1204" s="106">
        <v>46198</v>
      </c>
      <c r="B1204" s="105" t="s">
        <v>4948</v>
      </c>
      <c r="C1204" s="105" t="s">
        <v>4972</v>
      </c>
      <c r="D1204" s="149" t="s">
        <v>4985</v>
      </c>
      <c r="E1204" s="105">
        <v>1</v>
      </c>
      <c r="F1204" s="134">
        <v>97.36</v>
      </c>
      <c r="G1204" s="134">
        <v>112</v>
      </c>
      <c r="H1204" s="109">
        <f t="shared" si="54"/>
        <v>112</v>
      </c>
      <c r="I1204" s="119"/>
      <c r="J1204" s="119">
        <v>0</v>
      </c>
      <c r="K1204" s="119">
        <f t="shared" si="55"/>
        <v>112</v>
      </c>
      <c r="L1204" s="152">
        <f t="shared" si="56"/>
        <v>97.36</v>
      </c>
      <c r="M1204" s="113"/>
    </row>
    <row r="1205" spans="1:13" x14ac:dyDescent="0.2">
      <c r="A1205" s="106">
        <v>46198</v>
      </c>
      <c r="B1205" s="105" t="s">
        <v>2035</v>
      </c>
      <c r="C1205" s="105" t="s">
        <v>4972</v>
      </c>
      <c r="D1205" s="149" t="s">
        <v>2036</v>
      </c>
      <c r="E1205" s="105">
        <v>2</v>
      </c>
      <c r="F1205" s="134">
        <v>23.15</v>
      </c>
      <c r="G1205" s="134">
        <v>26.75</v>
      </c>
      <c r="H1205" s="109">
        <f t="shared" si="54"/>
        <v>53.5</v>
      </c>
      <c r="I1205" s="119"/>
      <c r="J1205" s="119">
        <v>0</v>
      </c>
      <c r="K1205" s="119">
        <f t="shared" si="55"/>
        <v>53.5</v>
      </c>
      <c r="L1205" s="152">
        <f t="shared" si="56"/>
        <v>46.3</v>
      </c>
      <c r="M1205" s="113"/>
    </row>
    <row r="1206" spans="1:13" x14ac:dyDescent="0.2">
      <c r="A1206" s="106">
        <v>46198</v>
      </c>
      <c r="B1206" s="105" t="s">
        <v>4806</v>
      </c>
      <c r="C1206" s="105" t="s">
        <v>4972</v>
      </c>
      <c r="D1206" s="149" t="s">
        <v>4874</v>
      </c>
      <c r="E1206" s="105">
        <v>12</v>
      </c>
      <c r="F1206" s="134">
        <v>8.58</v>
      </c>
      <c r="G1206" s="134">
        <v>10</v>
      </c>
      <c r="H1206" s="109">
        <f t="shared" si="54"/>
        <v>120</v>
      </c>
      <c r="I1206" s="119"/>
      <c r="J1206" s="119">
        <v>0</v>
      </c>
      <c r="K1206" s="119">
        <f t="shared" si="55"/>
        <v>120</v>
      </c>
      <c r="L1206" s="152">
        <f t="shared" si="56"/>
        <v>102.96000000000001</v>
      </c>
      <c r="M1206" s="113"/>
    </row>
    <row r="1207" spans="1:13" x14ac:dyDescent="0.2">
      <c r="A1207" s="106">
        <v>46198</v>
      </c>
      <c r="B1207" s="105" t="s">
        <v>2338</v>
      </c>
      <c r="C1207" s="105" t="s">
        <v>4972</v>
      </c>
      <c r="D1207" s="149" t="s">
        <v>2339</v>
      </c>
      <c r="E1207" s="105">
        <v>1</v>
      </c>
      <c r="F1207" s="134">
        <v>31.6</v>
      </c>
      <c r="G1207" s="134">
        <v>36.33</v>
      </c>
      <c r="H1207" s="109">
        <f t="shared" si="54"/>
        <v>36.33</v>
      </c>
      <c r="I1207" s="119"/>
      <c r="J1207" s="119">
        <v>0</v>
      </c>
      <c r="K1207" s="119">
        <f t="shared" si="55"/>
        <v>36.33</v>
      </c>
      <c r="L1207" s="152">
        <f t="shared" si="56"/>
        <v>31.6</v>
      </c>
      <c r="M1207" s="113"/>
    </row>
    <row r="1208" spans="1:13" x14ac:dyDescent="0.2">
      <c r="A1208" s="106">
        <v>46198</v>
      </c>
      <c r="B1208" s="105" t="s">
        <v>3413</v>
      </c>
      <c r="C1208" s="105" t="s">
        <v>4972</v>
      </c>
      <c r="D1208" s="149" t="s">
        <v>3414</v>
      </c>
      <c r="E1208" s="105">
        <v>1</v>
      </c>
      <c r="F1208" s="134">
        <v>33.1</v>
      </c>
      <c r="G1208" s="134">
        <v>38.25</v>
      </c>
      <c r="H1208" s="109">
        <f t="shared" si="54"/>
        <v>38.25</v>
      </c>
      <c r="I1208" s="119"/>
      <c r="J1208" s="119">
        <v>0</v>
      </c>
      <c r="K1208" s="119">
        <f t="shared" si="55"/>
        <v>38.25</v>
      </c>
      <c r="L1208" s="152">
        <f t="shared" si="56"/>
        <v>33.1</v>
      </c>
      <c r="M1208" s="113"/>
    </row>
    <row r="1209" spans="1:13" x14ac:dyDescent="0.2">
      <c r="A1209" s="106">
        <v>46198</v>
      </c>
      <c r="B1209" s="105" t="s">
        <v>1897</v>
      </c>
      <c r="C1209" s="105" t="s">
        <v>4972</v>
      </c>
      <c r="D1209" s="149" t="s">
        <v>1898</v>
      </c>
      <c r="E1209" s="105">
        <v>1</v>
      </c>
      <c r="F1209" s="134">
        <v>27.5</v>
      </c>
      <c r="G1209" s="134">
        <v>30</v>
      </c>
      <c r="H1209" s="109">
        <f t="shared" si="54"/>
        <v>30</v>
      </c>
      <c r="I1209" s="119"/>
      <c r="J1209" s="119">
        <v>0</v>
      </c>
      <c r="K1209" s="119">
        <f t="shared" si="55"/>
        <v>30</v>
      </c>
      <c r="L1209" s="152">
        <f t="shared" si="56"/>
        <v>27.5</v>
      </c>
      <c r="M1209" s="113"/>
    </row>
    <row r="1210" spans="1:13" x14ac:dyDescent="0.2">
      <c r="A1210" s="106">
        <v>46198</v>
      </c>
      <c r="B1210" s="105" t="s">
        <v>3452</v>
      </c>
      <c r="C1210" s="105" t="s">
        <v>4972</v>
      </c>
      <c r="D1210" s="149" t="s">
        <v>3453</v>
      </c>
      <c r="E1210" s="105">
        <v>2</v>
      </c>
      <c r="F1210" s="134">
        <v>44.86</v>
      </c>
      <c r="G1210" s="134">
        <v>51.25</v>
      </c>
      <c r="H1210" s="109">
        <f t="shared" si="54"/>
        <v>102.5</v>
      </c>
      <c r="I1210" s="119"/>
      <c r="J1210" s="119">
        <v>0</v>
      </c>
      <c r="K1210" s="119">
        <f t="shared" si="55"/>
        <v>102.5</v>
      </c>
      <c r="L1210" s="152">
        <f t="shared" si="56"/>
        <v>89.72</v>
      </c>
      <c r="M1210" s="113"/>
    </row>
    <row r="1211" spans="1:13" x14ac:dyDescent="0.2">
      <c r="A1211" s="106">
        <v>46198</v>
      </c>
      <c r="B1211" s="105" t="s">
        <v>1972</v>
      </c>
      <c r="C1211" s="105" t="s">
        <v>4972</v>
      </c>
      <c r="D1211" s="149" t="s">
        <v>1974</v>
      </c>
      <c r="E1211" s="105">
        <v>2</v>
      </c>
      <c r="F1211" s="134">
        <v>20.55</v>
      </c>
      <c r="G1211" s="134">
        <v>23.75</v>
      </c>
      <c r="H1211" s="109">
        <f t="shared" si="54"/>
        <v>47.5</v>
      </c>
      <c r="I1211" s="119"/>
      <c r="J1211" s="119">
        <v>0</v>
      </c>
      <c r="K1211" s="119">
        <f t="shared" si="55"/>
        <v>47.5</v>
      </c>
      <c r="L1211" s="152">
        <f t="shared" si="56"/>
        <v>41.1</v>
      </c>
      <c r="M1211" s="113"/>
    </row>
    <row r="1212" spans="1:13" x14ac:dyDescent="0.2">
      <c r="A1212" s="106">
        <v>46198</v>
      </c>
      <c r="B1212" s="105" t="s">
        <v>4949</v>
      </c>
      <c r="C1212" s="105" t="s">
        <v>4972</v>
      </c>
      <c r="D1212" s="149" t="s">
        <v>4986</v>
      </c>
      <c r="E1212" s="105">
        <v>1</v>
      </c>
      <c r="F1212" s="134">
        <v>30.25</v>
      </c>
      <c r="G1212" s="134">
        <v>35</v>
      </c>
      <c r="H1212" s="109">
        <f t="shared" si="54"/>
        <v>35</v>
      </c>
      <c r="I1212" s="119"/>
      <c r="J1212" s="119">
        <v>0</v>
      </c>
      <c r="K1212" s="119">
        <f t="shared" si="55"/>
        <v>35</v>
      </c>
      <c r="L1212" s="152">
        <f t="shared" si="56"/>
        <v>30.25</v>
      </c>
      <c r="M1212" s="113"/>
    </row>
    <row r="1213" spans="1:13" x14ac:dyDescent="0.2">
      <c r="A1213" s="106">
        <v>46198</v>
      </c>
      <c r="B1213" s="105" t="s">
        <v>4519</v>
      </c>
      <c r="C1213" s="105" t="s">
        <v>4973</v>
      </c>
      <c r="D1213" s="149" t="s">
        <v>4624</v>
      </c>
      <c r="E1213" s="105">
        <v>1</v>
      </c>
      <c r="F1213" s="134">
        <v>91.4</v>
      </c>
      <c r="G1213" s="134">
        <v>105.25</v>
      </c>
      <c r="H1213" s="109">
        <f t="shared" si="54"/>
        <v>105.25</v>
      </c>
      <c r="I1213" s="119"/>
      <c r="J1213" s="119">
        <v>0</v>
      </c>
      <c r="K1213" s="119">
        <f t="shared" si="55"/>
        <v>105.25</v>
      </c>
      <c r="L1213" s="152">
        <f t="shared" si="56"/>
        <v>91.4</v>
      </c>
      <c r="M1213" s="113"/>
    </row>
    <row r="1214" spans="1:13" x14ac:dyDescent="0.2">
      <c r="A1214" s="106">
        <v>46198</v>
      </c>
      <c r="B1214" s="105" t="s">
        <v>2884</v>
      </c>
      <c r="C1214" s="105" t="s">
        <v>4974</v>
      </c>
      <c r="D1214" s="149" t="s">
        <v>2886</v>
      </c>
      <c r="E1214" s="105">
        <v>5</v>
      </c>
      <c r="F1214" s="134">
        <v>302.13</v>
      </c>
      <c r="G1214" s="134">
        <v>362.75</v>
      </c>
      <c r="H1214" s="109">
        <f t="shared" si="54"/>
        <v>1813.75</v>
      </c>
      <c r="I1214" s="119"/>
      <c r="J1214" s="119">
        <v>0</v>
      </c>
      <c r="K1214" s="119">
        <f t="shared" si="55"/>
        <v>1813.75</v>
      </c>
      <c r="L1214" s="152">
        <f t="shared" si="56"/>
        <v>1510.65</v>
      </c>
      <c r="M1214" s="113"/>
    </row>
    <row r="1215" spans="1:13" x14ac:dyDescent="0.2">
      <c r="A1215" s="106">
        <v>46198</v>
      </c>
      <c r="B1215" s="105" t="s">
        <v>2884</v>
      </c>
      <c r="C1215" s="105" t="s">
        <v>4975</v>
      </c>
      <c r="D1215" s="149" t="s">
        <v>2886</v>
      </c>
      <c r="E1215" s="105">
        <v>3</v>
      </c>
      <c r="F1215" s="134">
        <v>302.13</v>
      </c>
      <c r="G1215" s="134">
        <v>362.75</v>
      </c>
      <c r="H1215" s="109">
        <f t="shared" si="54"/>
        <v>1088.25</v>
      </c>
      <c r="I1215" s="119"/>
      <c r="J1215" s="119">
        <v>0</v>
      </c>
      <c r="K1215" s="119">
        <f t="shared" si="55"/>
        <v>1088.25</v>
      </c>
      <c r="L1215" s="152">
        <f t="shared" si="56"/>
        <v>906.39</v>
      </c>
      <c r="M1215" s="113"/>
    </row>
    <row r="1216" spans="1:13" x14ac:dyDescent="0.2">
      <c r="A1216" s="106">
        <v>46198</v>
      </c>
      <c r="B1216" s="105" t="s">
        <v>2884</v>
      </c>
      <c r="C1216" s="105" t="s">
        <v>4976</v>
      </c>
      <c r="D1216" s="149" t="s">
        <v>2886</v>
      </c>
      <c r="E1216" s="105">
        <v>3</v>
      </c>
      <c r="F1216" s="134">
        <v>302.13</v>
      </c>
      <c r="G1216" s="134">
        <v>362.75</v>
      </c>
      <c r="H1216" s="109">
        <f t="shared" si="54"/>
        <v>1088.25</v>
      </c>
      <c r="I1216" s="119"/>
      <c r="J1216" s="119">
        <v>0</v>
      </c>
      <c r="K1216" s="119">
        <f t="shared" si="55"/>
        <v>1088.25</v>
      </c>
      <c r="L1216" s="152">
        <f t="shared" si="56"/>
        <v>906.39</v>
      </c>
      <c r="M1216" s="113"/>
    </row>
    <row r="1217" spans="1:13" x14ac:dyDescent="0.2">
      <c r="A1217" s="106">
        <v>46198</v>
      </c>
      <c r="B1217" s="105" t="s">
        <v>4950</v>
      </c>
      <c r="C1217" s="105" t="s">
        <v>4976</v>
      </c>
      <c r="D1217" s="149" t="s">
        <v>4987</v>
      </c>
      <c r="E1217" s="105">
        <v>1</v>
      </c>
      <c r="F1217" s="134">
        <v>267</v>
      </c>
      <c r="G1217" s="134">
        <v>307.25</v>
      </c>
      <c r="H1217" s="109">
        <f t="shared" si="54"/>
        <v>307.25</v>
      </c>
      <c r="I1217" s="119"/>
      <c r="J1217" s="119">
        <v>0</v>
      </c>
      <c r="K1217" s="119">
        <f t="shared" si="55"/>
        <v>307.25</v>
      </c>
      <c r="L1217" s="152">
        <f t="shared" si="56"/>
        <v>267</v>
      </c>
      <c r="M1217" s="113"/>
    </row>
    <row r="1218" spans="1:13" x14ac:dyDescent="0.2">
      <c r="A1218" s="106">
        <v>46198</v>
      </c>
      <c r="B1218" s="105" t="s">
        <v>2959</v>
      </c>
      <c r="C1218" s="105" t="s">
        <v>4976</v>
      </c>
      <c r="D1218" s="149" t="s">
        <v>2960</v>
      </c>
      <c r="E1218" s="105">
        <v>1</v>
      </c>
      <c r="F1218" s="134">
        <v>529.58000000000004</v>
      </c>
      <c r="G1218" s="134">
        <v>615</v>
      </c>
      <c r="H1218" s="109">
        <f t="shared" si="54"/>
        <v>615</v>
      </c>
      <c r="I1218" s="119"/>
      <c r="J1218" s="119">
        <v>0</v>
      </c>
      <c r="K1218" s="119">
        <f t="shared" si="55"/>
        <v>615</v>
      </c>
      <c r="L1218" s="152">
        <f t="shared" si="56"/>
        <v>529.58000000000004</v>
      </c>
      <c r="M1218" s="113"/>
    </row>
    <row r="1219" spans="1:13" x14ac:dyDescent="0.2">
      <c r="A1219" s="106">
        <v>46198</v>
      </c>
      <c r="B1219" s="105" t="s">
        <v>2959</v>
      </c>
      <c r="C1219" s="105" t="s">
        <v>4977</v>
      </c>
      <c r="D1219" s="149" t="s">
        <v>2960</v>
      </c>
      <c r="E1219" s="105">
        <v>4</v>
      </c>
      <c r="F1219" s="134">
        <v>529.58000000000004</v>
      </c>
      <c r="G1219" s="134">
        <v>615</v>
      </c>
      <c r="H1219" s="109">
        <f t="shared" si="54"/>
        <v>2460</v>
      </c>
      <c r="I1219" s="119"/>
      <c r="J1219" s="119">
        <v>0</v>
      </c>
      <c r="K1219" s="119">
        <f t="shared" si="55"/>
        <v>2460</v>
      </c>
      <c r="L1219" s="152">
        <f t="shared" si="56"/>
        <v>2118.3200000000002</v>
      </c>
      <c r="M1219" s="113"/>
    </row>
    <row r="1220" spans="1:13" x14ac:dyDescent="0.2">
      <c r="A1220" s="106">
        <v>46198</v>
      </c>
      <c r="B1220" s="105" t="s">
        <v>2240</v>
      </c>
      <c r="C1220" s="105" t="s">
        <v>4978</v>
      </c>
      <c r="D1220" s="149" t="s">
        <v>2241</v>
      </c>
      <c r="E1220" s="105">
        <v>1</v>
      </c>
      <c r="F1220" s="134">
        <v>18.649999999999999</v>
      </c>
      <c r="G1220" s="134">
        <v>21.5</v>
      </c>
      <c r="H1220" s="109">
        <f t="shared" si="54"/>
        <v>21.5</v>
      </c>
      <c r="I1220" s="119"/>
      <c r="J1220" s="119">
        <v>0</v>
      </c>
      <c r="K1220" s="119">
        <f t="shared" si="55"/>
        <v>21.5</v>
      </c>
      <c r="L1220" s="152">
        <f t="shared" si="56"/>
        <v>18.649999999999999</v>
      </c>
      <c r="M1220" s="113"/>
    </row>
    <row r="1221" spans="1:13" x14ac:dyDescent="0.2">
      <c r="A1221" s="106">
        <v>46198</v>
      </c>
      <c r="B1221" s="105" t="s">
        <v>2438</v>
      </c>
      <c r="C1221" s="105" t="s">
        <v>4979</v>
      </c>
      <c r="D1221" s="149" t="s">
        <v>2440</v>
      </c>
      <c r="E1221" s="105">
        <v>1</v>
      </c>
      <c r="F1221" s="134">
        <v>15.12</v>
      </c>
      <c r="G1221" s="134">
        <v>17.5</v>
      </c>
      <c r="H1221" s="109">
        <f t="shared" si="54"/>
        <v>17.5</v>
      </c>
      <c r="I1221" s="119"/>
      <c r="J1221" s="119">
        <v>0</v>
      </c>
      <c r="K1221" s="119">
        <f t="shared" si="55"/>
        <v>17.5</v>
      </c>
      <c r="L1221" s="152">
        <f t="shared" si="56"/>
        <v>15.12</v>
      </c>
      <c r="M1221" s="113"/>
    </row>
    <row r="1222" spans="1:13" x14ac:dyDescent="0.2">
      <c r="A1222" s="106">
        <v>46198</v>
      </c>
      <c r="B1222" s="105" t="s">
        <v>2423</v>
      </c>
      <c r="C1222" s="105" t="s">
        <v>4979</v>
      </c>
      <c r="D1222" s="149" t="s">
        <v>2425</v>
      </c>
      <c r="E1222" s="105">
        <v>1</v>
      </c>
      <c r="F1222" s="134">
        <v>18.53</v>
      </c>
      <c r="G1222" s="134">
        <v>21.5</v>
      </c>
      <c r="H1222" s="109">
        <f t="shared" si="54"/>
        <v>21.5</v>
      </c>
      <c r="I1222" s="119"/>
      <c r="J1222" s="119">
        <v>0</v>
      </c>
      <c r="K1222" s="119">
        <f t="shared" si="55"/>
        <v>21.5</v>
      </c>
      <c r="L1222" s="152">
        <f t="shared" si="56"/>
        <v>18.53</v>
      </c>
      <c r="M1222" s="113"/>
    </row>
    <row r="1223" spans="1:13" x14ac:dyDescent="0.2">
      <c r="A1223" s="106">
        <v>46198</v>
      </c>
      <c r="B1223" s="105" t="s">
        <v>2671</v>
      </c>
      <c r="C1223" s="105" t="s">
        <v>4979</v>
      </c>
      <c r="D1223" s="149" t="s">
        <v>2673</v>
      </c>
      <c r="E1223" s="105">
        <v>1</v>
      </c>
      <c r="F1223" s="134">
        <v>18.2</v>
      </c>
      <c r="G1223" s="134">
        <v>21</v>
      </c>
      <c r="H1223" s="109">
        <f t="shared" si="54"/>
        <v>21</v>
      </c>
      <c r="I1223" s="119"/>
      <c r="J1223" s="119">
        <v>0</v>
      </c>
      <c r="K1223" s="119">
        <f t="shared" si="55"/>
        <v>21</v>
      </c>
      <c r="L1223" s="152">
        <f t="shared" si="56"/>
        <v>18.2</v>
      </c>
      <c r="M1223" s="113"/>
    </row>
    <row r="1224" spans="1:13" x14ac:dyDescent="0.2">
      <c r="A1224" s="106">
        <v>46198</v>
      </c>
      <c r="B1224" s="105" t="s">
        <v>4951</v>
      </c>
      <c r="C1224" s="105" t="s">
        <v>4980</v>
      </c>
      <c r="D1224" s="149" t="s">
        <v>4988</v>
      </c>
      <c r="E1224" s="105">
        <v>2</v>
      </c>
      <c r="F1224" s="134">
        <v>21.67</v>
      </c>
      <c r="G1224" s="134">
        <v>25</v>
      </c>
      <c r="H1224" s="109">
        <f t="shared" ref="H1224:H1287" si="57">E1224*G1224</f>
        <v>50</v>
      </c>
      <c r="I1224" s="119"/>
      <c r="J1224" s="119">
        <v>0</v>
      </c>
      <c r="K1224" s="119">
        <f t="shared" ref="K1224:K1287" si="58">H1224+I1224-J1224</f>
        <v>50</v>
      </c>
      <c r="L1224" s="152">
        <f t="shared" ref="L1224:L1287" si="59">E1224*F1224</f>
        <v>43.34</v>
      </c>
      <c r="M1224" s="113"/>
    </row>
    <row r="1225" spans="1:13" x14ac:dyDescent="0.2">
      <c r="A1225" s="106">
        <v>46198</v>
      </c>
      <c r="B1225" s="105" t="s">
        <v>3065</v>
      </c>
      <c r="C1225" s="105" t="s">
        <v>4980</v>
      </c>
      <c r="D1225" s="149" t="s">
        <v>3067</v>
      </c>
      <c r="E1225" s="105">
        <v>2</v>
      </c>
      <c r="F1225" s="134">
        <v>13.39</v>
      </c>
      <c r="G1225" s="134">
        <v>15.5</v>
      </c>
      <c r="H1225" s="109">
        <f t="shared" si="57"/>
        <v>31</v>
      </c>
      <c r="I1225" s="119"/>
      <c r="J1225" s="119">
        <v>0</v>
      </c>
      <c r="K1225" s="119">
        <f t="shared" si="58"/>
        <v>31</v>
      </c>
      <c r="L1225" s="152">
        <f t="shared" si="59"/>
        <v>26.78</v>
      </c>
      <c r="M1225" s="113"/>
    </row>
    <row r="1226" spans="1:13" x14ac:dyDescent="0.2">
      <c r="A1226" s="106">
        <v>46198</v>
      </c>
      <c r="B1226" s="105" t="s">
        <v>2298</v>
      </c>
      <c r="C1226" s="105" t="s">
        <v>4980</v>
      </c>
      <c r="D1226" s="149" t="s">
        <v>2299</v>
      </c>
      <c r="E1226" s="105">
        <v>4</v>
      </c>
      <c r="F1226" s="134">
        <v>20.8</v>
      </c>
      <c r="G1226" s="134">
        <v>24</v>
      </c>
      <c r="H1226" s="109">
        <f t="shared" si="57"/>
        <v>96</v>
      </c>
      <c r="I1226" s="119"/>
      <c r="J1226" s="119">
        <v>0</v>
      </c>
      <c r="K1226" s="119">
        <f t="shared" si="58"/>
        <v>96</v>
      </c>
      <c r="L1226" s="152">
        <f t="shared" si="59"/>
        <v>83.2</v>
      </c>
      <c r="M1226" s="113"/>
    </row>
    <row r="1227" spans="1:13" x14ac:dyDescent="0.2">
      <c r="A1227" s="106">
        <v>46198</v>
      </c>
      <c r="B1227" s="105" t="s">
        <v>4795</v>
      </c>
      <c r="C1227" s="105" t="s">
        <v>4980</v>
      </c>
      <c r="D1227" s="149" t="s">
        <v>4864</v>
      </c>
      <c r="E1227" s="105">
        <v>1</v>
      </c>
      <c r="F1227" s="134">
        <v>202</v>
      </c>
      <c r="G1227" s="134">
        <v>232.5</v>
      </c>
      <c r="H1227" s="109">
        <f t="shared" si="57"/>
        <v>232.5</v>
      </c>
      <c r="I1227" s="119"/>
      <c r="J1227" s="119">
        <v>0</v>
      </c>
      <c r="K1227" s="119">
        <f t="shared" si="58"/>
        <v>232.5</v>
      </c>
      <c r="L1227" s="152">
        <f t="shared" si="59"/>
        <v>202</v>
      </c>
      <c r="M1227" s="113"/>
    </row>
    <row r="1228" spans="1:13" x14ac:dyDescent="0.2">
      <c r="A1228" s="106">
        <v>46198</v>
      </c>
      <c r="B1228" s="105" t="s">
        <v>1924</v>
      </c>
      <c r="C1228" s="105" t="s">
        <v>4981</v>
      </c>
      <c r="D1228" s="149" t="s">
        <v>1926</v>
      </c>
      <c r="E1228" s="105">
        <v>2</v>
      </c>
      <c r="F1228" s="134">
        <v>10.64</v>
      </c>
      <c r="G1228" s="134">
        <v>12.25</v>
      </c>
      <c r="H1228" s="109">
        <f t="shared" si="57"/>
        <v>24.5</v>
      </c>
      <c r="I1228" s="119"/>
      <c r="J1228" s="119">
        <v>0</v>
      </c>
      <c r="K1228" s="119">
        <f t="shared" si="58"/>
        <v>24.5</v>
      </c>
      <c r="L1228" s="152">
        <f t="shared" si="59"/>
        <v>21.28</v>
      </c>
      <c r="M1228" s="113"/>
    </row>
    <row r="1229" spans="1:13" x14ac:dyDescent="0.2">
      <c r="A1229" s="106">
        <v>46198</v>
      </c>
      <c r="B1229" s="105" t="s">
        <v>4952</v>
      </c>
      <c r="C1229" s="105" t="s">
        <v>4981</v>
      </c>
      <c r="D1229" s="149" t="s">
        <v>4989</v>
      </c>
      <c r="E1229" s="105">
        <v>1</v>
      </c>
      <c r="F1229" s="134">
        <v>9.26</v>
      </c>
      <c r="G1229" s="134">
        <v>11</v>
      </c>
      <c r="H1229" s="109">
        <f t="shared" si="57"/>
        <v>11</v>
      </c>
      <c r="I1229" s="119"/>
      <c r="J1229" s="119">
        <v>0</v>
      </c>
      <c r="K1229" s="119">
        <f t="shared" si="58"/>
        <v>11</v>
      </c>
      <c r="L1229" s="152">
        <f t="shared" si="59"/>
        <v>9.26</v>
      </c>
      <c r="M1229" s="113"/>
    </row>
    <row r="1230" spans="1:13" x14ac:dyDescent="0.2">
      <c r="A1230" s="106">
        <v>46198</v>
      </c>
      <c r="B1230" s="105" t="s">
        <v>2377</v>
      </c>
      <c r="C1230" s="105" t="s">
        <v>4981</v>
      </c>
      <c r="D1230" s="149" t="s">
        <v>2378</v>
      </c>
      <c r="E1230" s="105">
        <v>1</v>
      </c>
      <c r="F1230" s="134">
        <v>8.1999999999999993</v>
      </c>
      <c r="G1230" s="134">
        <v>9.5</v>
      </c>
      <c r="H1230" s="109">
        <f t="shared" si="57"/>
        <v>9.5</v>
      </c>
      <c r="I1230" s="119"/>
      <c r="J1230" s="119">
        <v>0</v>
      </c>
      <c r="K1230" s="119">
        <f t="shared" si="58"/>
        <v>9.5</v>
      </c>
      <c r="L1230" s="152">
        <f t="shared" si="59"/>
        <v>8.1999999999999993</v>
      </c>
      <c r="M1230" s="113"/>
    </row>
    <row r="1231" spans="1:13" x14ac:dyDescent="0.2">
      <c r="A1231" s="106">
        <v>46198</v>
      </c>
      <c r="B1231" s="105" t="s">
        <v>3072</v>
      </c>
      <c r="C1231" s="105" t="s">
        <v>4981</v>
      </c>
      <c r="D1231" s="149" t="s">
        <v>3074</v>
      </c>
      <c r="E1231" s="105">
        <v>1</v>
      </c>
      <c r="F1231" s="134">
        <v>16.91</v>
      </c>
      <c r="G1231" s="134">
        <v>18.600000000000001</v>
      </c>
      <c r="H1231" s="109">
        <f t="shared" si="57"/>
        <v>18.600000000000001</v>
      </c>
      <c r="I1231" s="119"/>
      <c r="J1231" s="119">
        <v>0</v>
      </c>
      <c r="K1231" s="119">
        <f t="shared" si="58"/>
        <v>18.600000000000001</v>
      </c>
      <c r="L1231" s="152">
        <f t="shared" si="59"/>
        <v>16.91</v>
      </c>
      <c r="M1231" s="113"/>
    </row>
    <row r="1232" spans="1:13" x14ac:dyDescent="0.2">
      <c r="A1232" s="106">
        <v>46199</v>
      </c>
      <c r="B1232" s="105" t="s">
        <v>1905</v>
      </c>
      <c r="C1232" s="105" t="s">
        <v>5001</v>
      </c>
      <c r="D1232" s="149" t="s">
        <v>1906</v>
      </c>
      <c r="E1232" s="105">
        <v>1</v>
      </c>
      <c r="F1232" s="134">
        <v>15.12</v>
      </c>
      <c r="G1232" s="134">
        <v>17.5</v>
      </c>
      <c r="H1232" s="109">
        <f t="shared" si="57"/>
        <v>17.5</v>
      </c>
      <c r="I1232" s="119"/>
      <c r="J1232" s="119">
        <v>0</v>
      </c>
      <c r="K1232" s="119">
        <f t="shared" si="58"/>
        <v>17.5</v>
      </c>
      <c r="L1232" s="152">
        <f t="shared" si="59"/>
        <v>15.12</v>
      </c>
      <c r="M1232" s="113"/>
    </row>
    <row r="1233" spans="1:13" x14ac:dyDescent="0.2">
      <c r="A1233" s="106">
        <v>46199</v>
      </c>
      <c r="B1233" s="105" t="s">
        <v>3217</v>
      </c>
      <c r="C1233" s="105" t="s">
        <v>5002</v>
      </c>
      <c r="D1233" s="149" t="s">
        <v>3219</v>
      </c>
      <c r="E1233" s="105">
        <v>1</v>
      </c>
      <c r="F1233" s="134">
        <v>30.48</v>
      </c>
      <c r="G1233" s="134">
        <v>35</v>
      </c>
      <c r="H1233" s="109">
        <f t="shared" si="57"/>
        <v>35</v>
      </c>
      <c r="I1233" s="119"/>
      <c r="J1233" s="119">
        <v>0</v>
      </c>
      <c r="K1233" s="119">
        <f t="shared" si="58"/>
        <v>35</v>
      </c>
      <c r="L1233" s="152">
        <f t="shared" si="59"/>
        <v>30.48</v>
      </c>
      <c r="M1233" s="113"/>
    </row>
    <row r="1234" spans="1:13" x14ac:dyDescent="0.2">
      <c r="A1234" s="106">
        <v>46199</v>
      </c>
      <c r="B1234" s="105" t="s">
        <v>3912</v>
      </c>
      <c r="C1234" s="105" t="s">
        <v>5003</v>
      </c>
      <c r="D1234" s="149" t="s">
        <v>3913</v>
      </c>
      <c r="E1234" s="105">
        <v>1</v>
      </c>
      <c r="F1234" s="134">
        <v>15.25</v>
      </c>
      <c r="G1234" s="134">
        <v>17.75</v>
      </c>
      <c r="H1234" s="109">
        <f t="shared" si="57"/>
        <v>17.75</v>
      </c>
      <c r="I1234" s="119"/>
      <c r="J1234" s="119">
        <v>0</v>
      </c>
      <c r="K1234" s="119">
        <f t="shared" si="58"/>
        <v>17.75</v>
      </c>
      <c r="L1234" s="152">
        <f t="shared" si="59"/>
        <v>15.25</v>
      </c>
      <c r="M1234" s="113"/>
    </row>
    <row r="1235" spans="1:13" x14ac:dyDescent="0.2">
      <c r="A1235" s="106">
        <v>46199</v>
      </c>
      <c r="B1235" s="105" t="s">
        <v>2731</v>
      </c>
      <c r="C1235" s="105" t="s">
        <v>5004</v>
      </c>
      <c r="D1235" s="149" t="s">
        <v>2732</v>
      </c>
      <c r="E1235" s="105">
        <v>6</v>
      </c>
      <c r="F1235" s="134">
        <v>7.3</v>
      </c>
      <c r="G1235" s="134">
        <v>8.5</v>
      </c>
      <c r="H1235" s="109">
        <f t="shared" si="57"/>
        <v>51</v>
      </c>
      <c r="I1235" s="119"/>
      <c r="J1235" s="119">
        <v>0</v>
      </c>
      <c r="K1235" s="119">
        <f t="shared" si="58"/>
        <v>51</v>
      </c>
      <c r="L1235" s="152">
        <f t="shared" si="59"/>
        <v>43.8</v>
      </c>
      <c r="M1235" s="113"/>
    </row>
    <row r="1236" spans="1:13" x14ac:dyDescent="0.2">
      <c r="A1236" s="106">
        <v>46199</v>
      </c>
      <c r="B1236" s="105" t="s">
        <v>2831</v>
      </c>
      <c r="C1236" s="105" t="s">
        <v>5005</v>
      </c>
      <c r="D1236" s="149" t="s">
        <v>2833</v>
      </c>
      <c r="E1236" s="105">
        <v>1</v>
      </c>
      <c r="F1236" s="134">
        <v>6.83</v>
      </c>
      <c r="G1236" s="134">
        <v>7.75</v>
      </c>
      <c r="H1236" s="109">
        <f t="shared" si="57"/>
        <v>7.75</v>
      </c>
      <c r="I1236" s="119"/>
      <c r="J1236" s="119">
        <v>0</v>
      </c>
      <c r="K1236" s="119">
        <f t="shared" si="58"/>
        <v>7.75</v>
      </c>
      <c r="L1236" s="152">
        <f t="shared" si="59"/>
        <v>6.83</v>
      </c>
      <c r="M1236" s="113"/>
    </row>
    <row r="1237" spans="1:13" x14ac:dyDescent="0.2">
      <c r="A1237" s="106">
        <v>46199</v>
      </c>
      <c r="B1237" s="105" t="s">
        <v>4567</v>
      </c>
      <c r="C1237" s="105" t="s">
        <v>5005</v>
      </c>
      <c r="D1237" s="149" t="s">
        <v>4672</v>
      </c>
      <c r="E1237" s="105">
        <v>1</v>
      </c>
      <c r="F1237" s="134">
        <v>7.06</v>
      </c>
      <c r="G1237" s="134">
        <v>8.25</v>
      </c>
      <c r="H1237" s="109">
        <f t="shared" si="57"/>
        <v>8.25</v>
      </c>
      <c r="I1237" s="119"/>
      <c r="J1237" s="119">
        <v>0</v>
      </c>
      <c r="K1237" s="119">
        <f t="shared" si="58"/>
        <v>8.25</v>
      </c>
      <c r="L1237" s="152">
        <f t="shared" si="59"/>
        <v>7.06</v>
      </c>
      <c r="M1237" s="113"/>
    </row>
    <row r="1238" spans="1:13" x14ac:dyDescent="0.2">
      <c r="A1238" s="106">
        <v>46199</v>
      </c>
      <c r="B1238" s="105" t="s">
        <v>4163</v>
      </c>
      <c r="C1238" s="105" t="s">
        <v>5005</v>
      </c>
      <c r="D1238" s="149" t="s">
        <v>4165</v>
      </c>
      <c r="E1238" s="105">
        <v>1</v>
      </c>
      <c r="F1238" s="134">
        <v>9.2799999999999994</v>
      </c>
      <c r="G1238" s="134">
        <v>10.75</v>
      </c>
      <c r="H1238" s="109">
        <f t="shared" si="57"/>
        <v>10.75</v>
      </c>
      <c r="I1238" s="119"/>
      <c r="J1238" s="119">
        <v>0</v>
      </c>
      <c r="K1238" s="119">
        <f t="shared" si="58"/>
        <v>10.75</v>
      </c>
      <c r="L1238" s="152">
        <f t="shared" si="59"/>
        <v>9.2799999999999994</v>
      </c>
      <c r="M1238" s="113"/>
    </row>
    <row r="1239" spans="1:13" x14ac:dyDescent="0.2">
      <c r="A1239" s="106">
        <v>46199</v>
      </c>
      <c r="B1239" s="105" t="s">
        <v>2438</v>
      </c>
      <c r="C1239" s="105" t="s">
        <v>5006</v>
      </c>
      <c r="D1239" s="149" t="s">
        <v>2440</v>
      </c>
      <c r="E1239" s="105">
        <v>1</v>
      </c>
      <c r="F1239" s="134">
        <v>15.12</v>
      </c>
      <c r="G1239" s="134">
        <v>17.5</v>
      </c>
      <c r="H1239" s="109">
        <f t="shared" si="57"/>
        <v>17.5</v>
      </c>
      <c r="I1239" s="119"/>
      <c r="J1239" s="119">
        <v>0</v>
      </c>
      <c r="K1239" s="119">
        <f t="shared" si="58"/>
        <v>17.5</v>
      </c>
      <c r="L1239" s="152">
        <f t="shared" si="59"/>
        <v>15.12</v>
      </c>
      <c r="M1239" s="113"/>
    </row>
    <row r="1240" spans="1:13" x14ac:dyDescent="0.2">
      <c r="A1240" s="106">
        <v>46199</v>
      </c>
      <c r="B1240" s="105" t="s">
        <v>2665</v>
      </c>
      <c r="C1240" s="105" t="s">
        <v>5007</v>
      </c>
      <c r="D1240" s="149" t="s">
        <v>2667</v>
      </c>
      <c r="E1240" s="105">
        <v>1</v>
      </c>
      <c r="F1240" s="134">
        <v>18.57</v>
      </c>
      <c r="G1240" s="134">
        <v>21.75</v>
      </c>
      <c r="H1240" s="109">
        <f t="shared" si="57"/>
        <v>21.75</v>
      </c>
      <c r="I1240" s="119"/>
      <c r="J1240" s="119">
        <v>0</v>
      </c>
      <c r="K1240" s="119">
        <f t="shared" si="58"/>
        <v>21.75</v>
      </c>
      <c r="L1240" s="152">
        <f t="shared" si="59"/>
        <v>18.57</v>
      </c>
      <c r="M1240" s="113"/>
    </row>
    <row r="1241" spans="1:13" x14ac:dyDescent="0.2">
      <c r="A1241" s="106">
        <v>46199</v>
      </c>
      <c r="B1241" s="105" t="s">
        <v>4081</v>
      </c>
      <c r="C1241" s="105" t="s">
        <v>5008</v>
      </c>
      <c r="D1241" s="149" t="s">
        <v>4082</v>
      </c>
      <c r="E1241" s="105">
        <v>1</v>
      </c>
      <c r="F1241" s="134">
        <v>118.16</v>
      </c>
      <c r="G1241" s="134">
        <v>136</v>
      </c>
      <c r="H1241" s="109">
        <f t="shared" si="57"/>
        <v>136</v>
      </c>
      <c r="I1241" s="119"/>
      <c r="J1241" s="119">
        <v>0</v>
      </c>
      <c r="K1241" s="119">
        <f t="shared" si="58"/>
        <v>136</v>
      </c>
      <c r="L1241" s="152">
        <f t="shared" si="59"/>
        <v>118.16</v>
      </c>
      <c r="M1241" s="113"/>
    </row>
    <row r="1242" spans="1:13" x14ac:dyDescent="0.2">
      <c r="A1242" s="106">
        <v>46199</v>
      </c>
      <c r="B1242" s="105" t="s">
        <v>3434</v>
      </c>
      <c r="C1242" s="105" t="s">
        <v>5009</v>
      </c>
      <c r="D1242" s="149" t="s">
        <v>3436</v>
      </c>
      <c r="E1242" s="105">
        <v>2</v>
      </c>
      <c r="F1242" s="134">
        <v>7.41</v>
      </c>
      <c r="G1242" s="134">
        <v>8.75</v>
      </c>
      <c r="H1242" s="109">
        <f t="shared" si="57"/>
        <v>17.5</v>
      </c>
      <c r="I1242" s="119"/>
      <c r="J1242" s="119">
        <v>0</v>
      </c>
      <c r="K1242" s="119">
        <f t="shared" si="58"/>
        <v>17.5</v>
      </c>
      <c r="L1242" s="152">
        <f t="shared" si="59"/>
        <v>14.82</v>
      </c>
      <c r="M1242" s="113"/>
    </row>
    <row r="1243" spans="1:13" x14ac:dyDescent="0.2">
      <c r="A1243" s="106">
        <v>46199</v>
      </c>
      <c r="B1243" s="105" t="s">
        <v>4805</v>
      </c>
      <c r="C1243" s="105" t="s">
        <v>5009</v>
      </c>
      <c r="D1243" s="149" t="s">
        <v>4873</v>
      </c>
      <c r="E1243" s="105">
        <v>1</v>
      </c>
      <c r="F1243" s="134">
        <v>71.25</v>
      </c>
      <c r="G1243" s="134">
        <v>82</v>
      </c>
      <c r="H1243" s="109">
        <f t="shared" si="57"/>
        <v>82</v>
      </c>
      <c r="I1243" s="119"/>
      <c r="J1243" s="119">
        <v>0</v>
      </c>
      <c r="K1243" s="119">
        <f t="shared" si="58"/>
        <v>82</v>
      </c>
      <c r="L1243" s="152">
        <f t="shared" si="59"/>
        <v>71.25</v>
      </c>
      <c r="M1243" s="113"/>
    </row>
    <row r="1244" spans="1:13" x14ac:dyDescent="0.2">
      <c r="A1244" s="106">
        <v>46199</v>
      </c>
      <c r="B1244" s="105" t="s">
        <v>2367</v>
      </c>
      <c r="C1244" s="105" t="s">
        <v>5010</v>
      </c>
      <c r="D1244" s="149" t="s">
        <v>2369</v>
      </c>
      <c r="E1244" s="105">
        <v>1</v>
      </c>
      <c r="F1244" s="134">
        <v>6.38</v>
      </c>
      <c r="G1244" s="134">
        <v>7.5</v>
      </c>
      <c r="H1244" s="109">
        <f t="shared" si="57"/>
        <v>7.5</v>
      </c>
      <c r="I1244" s="119"/>
      <c r="J1244" s="119">
        <v>0</v>
      </c>
      <c r="K1244" s="119">
        <f t="shared" si="58"/>
        <v>7.5</v>
      </c>
      <c r="L1244" s="152">
        <f t="shared" si="59"/>
        <v>6.38</v>
      </c>
      <c r="M1244" s="113"/>
    </row>
    <row r="1245" spans="1:13" x14ac:dyDescent="0.2">
      <c r="A1245" s="106">
        <v>46199</v>
      </c>
      <c r="B1245" s="105" t="s">
        <v>2115</v>
      </c>
      <c r="C1245" s="105" t="s">
        <v>5011</v>
      </c>
      <c r="D1245" s="149" t="s">
        <v>2117</v>
      </c>
      <c r="E1245" s="105">
        <v>1</v>
      </c>
      <c r="F1245" s="134">
        <v>84.8</v>
      </c>
      <c r="G1245" s="134">
        <v>94</v>
      </c>
      <c r="H1245" s="109">
        <f t="shared" si="57"/>
        <v>94</v>
      </c>
      <c r="I1245" s="119"/>
      <c r="J1245" s="119">
        <v>0</v>
      </c>
      <c r="K1245" s="119">
        <f t="shared" si="58"/>
        <v>94</v>
      </c>
      <c r="L1245" s="152">
        <f t="shared" si="59"/>
        <v>84.8</v>
      </c>
      <c r="M1245" s="113"/>
    </row>
    <row r="1246" spans="1:13" x14ac:dyDescent="0.2">
      <c r="A1246" s="106">
        <v>46199</v>
      </c>
      <c r="B1246" s="105" t="s">
        <v>2742</v>
      </c>
      <c r="C1246" s="105" t="s">
        <v>5011</v>
      </c>
      <c r="D1246" s="149" t="s">
        <v>2743</v>
      </c>
      <c r="E1246" s="105">
        <v>1</v>
      </c>
      <c r="F1246" s="134">
        <v>16.03</v>
      </c>
      <c r="G1246" s="134">
        <v>18.5</v>
      </c>
      <c r="H1246" s="109">
        <f t="shared" si="57"/>
        <v>18.5</v>
      </c>
      <c r="I1246" s="119"/>
      <c r="J1246" s="119">
        <v>0</v>
      </c>
      <c r="K1246" s="119">
        <f t="shared" si="58"/>
        <v>18.5</v>
      </c>
      <c r="L1246" s="152">
        <f t="shared" si="59"/>
        <v>16.03</v>
      </c>
      <c r="M1246" s="113"/>
    </row>
    <row r="1247" spans="1:13" x14ac:dyDescent="0.2">
      <c r="A1247" s="106">
        <v>46199</v>
      </c>
      <c r="B1247" s="105" t="s">
        <v>2423</v>
      </c>
      <c r="C1247" s="105" t="s">
        <v>5011</v>
      </c>
      <c r="D1247" s="149" t="s">
        <v>2425</v>
      </c>
      <c r="E1247" s="105">
        <v>1</v>
      </c>
      <c r="F1247" s="134">
        <v>18.53</v>
      </c>
      <c r="G1247" s="134">
        <v>21.5</v>
      </c>
      <c r="H1247" s="109">
        <f t="shared" si="57"/>
        <v>21.5</v>
      </c>
      <c r="I1247" s="119"/>
      <c r="J1247" s="119">
        <v>0</v>
      </c>
      <c r="K1247" s="119">
        <f t="shared" si="58"/>
        <v>21.5</v>
      </c>
      <c r="L1247" s="152">
        <f t="shared" si="59"/>
        <v>18.53</v>
      </c>
      <c r="M1247" s="113"/>
    </row>
    <row r="1248" spans="1:13" x14ac:dyDescent="0.2">
      <c r="A1248" s="106">
        <v>46199</v>
      </c>
      <c r="B1248" s="105" t="s">
        <v>3443</v>
      </c>
      <c r="C1248" s="105" t="s">
        <v>5011</v>
      </c>
      <c r="D1248" s="149" t="s">
        <v>3444</v>
      </c>
      <c r="E1248" s="105">
        <v>1</v>
      </c>
      <c r="F1248" s="134">
        <v>89.91</v>
      </c>
      <c r="G1248" s="134">
        <v>103.5</v>
      </c>
      <c r="H1248" s="109">
        <f t="shared" si="57"/>
        <v>103.5</v>
      </c>
      <c r="I1248" s="119"/>
      <c r="J1248" s="119">
        <v>0</v>
      </c>
      <c r="K1248" s="119">
        <f t="shared" si="58"/>
        <v>103.5</v>
      </c>
      <c r="L1248" s="152">
        <f t="shared" si="59"/>
        <v>89.91</v>
      </c>
      <c r="M1248" s="113"/>
    </row>
    <row r="1249" spans="1:13" x14ac:dyDescent="0.2">
      <c r="A1249" s="106">
        <v>46199</v>
      </c>
      <c r="B1249" s="105" t="s">
        <v>4997</v>
      </c>
      <c r="C1249" s="105" t="s">
        <v>5012</v>
      </c>
      <c r="D1249" s="149" t="s">
        <v>5023</v>
      </c>
      <c r="E1249" s="105">
        <v>1</v>
      </c>
      <c r="F1249" s="134">
        <v>3.22</v>
      </c>
      <c r="G1249" s="134">
        <v>5</v>
      </c>
      <c r="H1249" s="109">
        <f t="shared" si="57"/>
        <v>5</v>
      </c>
      <c r="I1249" s="119"/>
      <c r="J1249" s="119">
        <v>0</v>
      </c>
      <c r="K1249" s="119">
        <f t="shared" si="58"/>
        <v>5</v>
      </c>
      <c r="L1249" s="152">
        <f t="shared" si="59"/>
        <v>3.22</v>
      </c>
      <c r="M1249" s="113"/>
    </row>
    <row r="1250" spans="1:13" x14ac:dyDescent="0.2">
      <c r="A1250" s="106">
        <v>46199</v>
      </c>
      <c r="B1250" s="105" t="s">
        <v>2110</v>
      </c>
      <c r="C1250" s="105" t="s">
        <v>5013</v>
      </c>
      <c r="D1250" s="149" t="s">
        <v>2112</v>
      </c>
      <c r="E1250" s="105">
        <v>1</v>
      </c>
      <c r="F1250" s="134">
        <v>23.13</v>
      </c>
      <c r="G1250" s="134">
        <v>30.25</v>
      </c>
      <c r="H1250" s="109">
        <f t="shared" si="57"/>
        <v>30.25</v>
      </c>
      <c r="I1250" s="119"/>
      <c r="J1250" s="119">
        <v>0</v>
      </c>
      <c r="K1250" s="119">
        <f t="shared" si="58"/>
        <v>30.25</v>
      </c>
      <c r="L1250" s="152">
        <f t="shared" si="59"/>
        <v>23.13</v>
      </c>
      <c r="M1250" s="113"/>
    </row>
    <row r="1251" spans="1:13" x14ac:dyDescent="0.2">
      <c r="A1251" s="106">
        <v>46199</v>
      </c>
      <c r="B1251" s="105" t="s">
        <v>3356</v>
      </c>
      <c r="C1251" s="105" t="s">
        <v>5014</v>
      </c>
      <c r="D1251" s="149" t="s">
        <v>3358</v>
      </c>
      <c r="E1251" s="105">
        <v>1</v>
      </c>
      <c r="F1251" s="134">
        <v>6.03</v>
      </c>
      <c r="G1251" s="134">
        <v>7</v>
      </c>
      <c r="H1251" s="109">
        <f t="shared" si="57"/>
        <v>7</v>
      </c>
      <c r="I1251" s="119"/>
      <c r="J1251" s="119">
        <v>0</v>
      </c>
      <c r="K1251" s="119">
        <f t="shared" si="58"/>
        <v>7</v>
      </c>
      <c r="L1251" s="152">
        <f t="shared" si="59"/>
        <v>6.03</v>
      </c>
      <c r="M1251" s="113"/>
    </row>
    <row r="1252" spans="1:13" x14ac:dyDescent="0.2">
      <c r="A1252" s="106">
        <v>46199</v>
      </c>
      <c r="B1252" s="105" t="s">
        <v>4946</v>
      </c>
      <c r="C1252" s="105" t="s">
        <v>5014</v>
      </c>
      <c r="D1252" s="149" t="s">
        <v>4983</v>
      </c>
      <c r="E1252" s="105">
        <v>1</v>
      </c>
      <c r="F1252" s="134">
        <v>6.4</v>
      </c>
      <c r="G1252" s="134">
        <v>7.5</v>
      </c>
      <c r="H1252" s="109">
        <f t="shared" si="57"/>
        <v>7.5</v>
      </c>
      <c r="I1252" s="119"/>
      <c r="J1252" s="119">
        <v>0</v>
      </c>
      <c r="K1252" s="119">
        <f t="shared" si="58"/>
        <v>7.5</v>
      </c>
      <c r="L1252" s="152">
        <f t="shared" si="59"/>
        <v>6.4</v>
      </c>
      <c r="M1252" s="113"/>
    </row>
    <row r="1253" spans="1:13" x14ac:dyDescent="0.2">
      <c r="A1253" s="106">
        <v>46199</v>
      </c>
      <c r="B1253" s="105" t="s">
        <v>2407</v>
      </c>
      <c r="C1253" s="105" t="s">
        <v>5015</v>
      </c>
      <c r="D1253" s="149" t="s">
        <v>2409</v>
      </c>
      <c r="E1253" s="105">
        <v>1</v>
      </c>
      <c r="F1253" s="134">
        <v>94.58</v>
      </c>
      <c r="G1253" s="134">
        <v>109</v>
      </c>
      <c r="H1253" s="109">
        <f t="shared" si="57"/>
        <v>109</v>
      </c>
      <c r="I1253" s="119"/>
      <c r="J1253" s="119">
        <v>0</v>
      </c>
      <c r="K1253" s="119">
        <f t="shared" si="58"/>
        <v>109</v>
      </c>
      <c r="L1253" s="152">
        <f t="shared" si="59"/>
        <v>94.58</v>
      </c>
      <c r="M1253" s="113"/>
    </row>
    <row r="1254" spans="1:13" x14ac:dyDescent="0.2">
      <c r="A1254" s="106">
        <v>46199</v>
      </c>
      <c r="B1254" s="105" t="s">
        <v>2245</v>
      </c>
      <c r="C1254" s="105" t="s">
        <v>5016</v>
      </c>
      <c r="D1254" s="149" t="s">
        <v>2246</v>
      </c>
      <c r="E1254" s="105">
        <v>16</v>
      </c>
      <c r="F1254" s="134">
        <v>4.74</v>
      </c>
      <c r="G1254" s="134">
        <v>5.5</v>
      </c>
      <c r="H1254" s="109">
        <f t="shared" si="57"/>
        <v>88</v>
      </c>
      <c r="I1254" s="119"/>
      <c r="J1254" s="119">
        <v>0</v>
      </c>
      <c r="K1254" s="119">
        <f t="shared" si="58"/>
        <v>88</v>
      </c>
      <c r="L1254" s="152">
        <f t="shared" si="59"/>
        <v>75.84</v>
      </c>
      <c r="M1254" s="113"/>
    </row>
    <row r="1255" spans="1:13" x14ac:dyDescent="0.2">
      <c r="A1255" s="106">
        <v>46199</v>
      </c>
      <c r="B1255" s="105" t="s">
        <v>2878</v>
      </c>
      <c r="C1255" s="105" t="s">
        <v>5016</v>
      </c>
      <c r="D1255" s="149" t="s">
        <v>2880</v>
      </c>
      <c r="E1255" s="105">
        <v>1</v>
      </c>
      <c r="F1255" s="134">
        <v>60.4</v>
      </c>
      <c r="G1255" s="134">
        <v>70</v>
      </c>
      <c r="H1255" s="109">
        <f t="shared" si="57"/>
        <v>70</v>
      </c>
      <c r="I1255" s="119"/>
      <c r="J1255" s="119">
        <v>0</v>
      </c>
      <c r="K1255" s="119">
        <f t="shared" si="58"/>
        <v>70</v>
      </c>
      <c r="L1255" s="152">
        <f t="shared" si="59"/>
        <v>60.4</v>
      </c>
      <c r="M1255" s="113"/>
    </row>
    <row r="1256" spans="1:13" x14ac:dyDescent="0.2">
      <c r="A1256" s="106">
        <v>46199</v>
      </c>
      <c r="B1256" s="105" t="s">
        <v>2521</v>
      </c>
      <c r="C1256" s="105" t="s">
        <v>5016</v>
      </c>
      <c r="D1256" s="149" t="s">
        <v>2522</v>
      </c>
      <c r="E1256" s="105">
        <v>6</v>
      </c>
      <c r="F1256" s="134">
        <v>6.12</v>
      </c>
      <c r="G1256" s="134">
        <v>7.25</v>
      </c>
      <c r="H1256" s="109">
        <f t="shared" si="57"/>
        <v>43.5</v>
      </c>
      <c r="I1256" s="119"/>
      <c r="J1256" s="119">
        <v>0</v>
      </c>
      <c r="K1256" s="119">
        <f t="shared" si="58"/>
        <v>43.5</v>
      </c>
      <c r="L1256" s="152">
        <f t="shared" si="59"/>
        <v>36.72</v>
      </c>
      <c r="M1256" s="113"/>
    </row>
    <row r="1257" spans="1:13" x14ac:dyDescent="0.2">
      <c r="A1257" s="106">
        <v>46199</v>
      </c>
      <c r="B1257" s="105" t="s">
        <v>2298</v>
      </c>
      <c r="C1257" s="105" t="s">
        <v>5016</v>
      </c>
      <c r="D1257" s="149" t="s">
        <v>2299</v>
      </c>
      <c r="E1257" s="105">
        <v>3</v>
      </c>
      <c r="F1257" s="134">
        <v>20.8</v>
      </c>
      <c r="G1257" s="134">
        <v>24</v>
      </c>
      <c r="H1257" s="109">
        <f t="shared" si="57"/>
        <v>72</v>
      </c>
      <c r="I1257" s="119"/>
      <c r="J1257" s="119">
        <v>0</v>
      </c>
      <c r="K1257" s="119">
        <f t="shared" si="58"/>
        <v>72</v>
      </c>
      <c r="L1257" s="152">
        <f t="shared" si="59"/>
        <v>62.400000000000006</v>
      </c>
      <c r="M1257" s="113"/>
    </row>
    <row r="1258" spans="1:13" x14ac:dyDescent="0.2">
      <c r="A1258" s="106">
        <v>46199</v>
      </c>
      <c r="B1258" s="105" t="s">
        <v>3065</v>
      </c>
      <c r="C1258" s="105" t="s">
        <v>5016</v>
      </c>
      <c r="D1258" s="149" t="s">
        <v>3067</v>
      </c>
      <c r="E1258" s="105">
        <v>4</v>
      </c>
      <c r="F1258" s="134">
        <v>13.39</v>
      </c>
      <c r="G1258" s="134">
        <v>15.5</v>
      </c>
      <c r="H1258" s="109">
        <f t="shared" si="57"/>
        <v>62</v>
      </c>
      <c r="I1258" s="119"/>
      <c r="J1258" s="119">
        <v>0</v>
      </c>
      <c r="K1258" s="119">
        <f t="shared" si="58"/>
        <v>62</v>
      </c>
      <c r="L1258" s="152">
        <f t="shared" si="59"/>
        <v>53.56</v>
      </c>
      <c r="M1258" s="113"/>
    </row>
    <row r="1259" spans="1:13" x14ac:dyDescent="0.2">
      <c r="A1259" s="106">
        <v>46199</v>
      </c>
      <c r="B1259" s="105" t="s">
        <v>2367</v>
      </c>
      <c r="C1259" s="105" t="s">
        <v>5016</v>
      </c>
      <c r="D1259" s="149" t="s">
        <v>2369</v>
      </c>
      <c r="E1259" s="105">
        <v>6</v>
      </c>
      <c r="F1259" s="134">
        <v>6.38</v>
      </c>
      <c r="G1259" s="134">
        <v>7.5</v>
      </c>
      <c r="H1259" s="109">
        <f t="shared" si="57"/>
        <v>45</v>
      </c>
      <c r="I1259" s="119"/>
      <c r="J1259" s="119">
        <v>0</v>
      </c>
      <c r="K1259" s="119">
        <f t="shared" si="58"/>
        <v>45</v>
      </c>
      <c r="L1259" s="152">
        <f t="shared" si="59"/>
        <v>38.28</v>
      </c>
      <c r="M1259" s="113"/>
    </row>
    <row r="1260" spans="1:13" x14ac:dyDescent="0.2">
      <c r="A1260" s="106">
        <v>46199</v>
      </c>
      <c r="B1260" s="105" t="s">
        <v>3169</v>
      </c>
      <c r="C1260" s="105" t="s">
        <v>5016</v>
      </c>
      <c r="D1260" s="149" t="s">
        <v>3170</v>
      </c>
      <c r="E1260" s="105">
        <v>5</v>
      </c>
      <c r="F1260" s="134">
        <v>5.41</v>
      </c>
      <c r="G1260" s="134">
        <v>6.25</v>
      </c>
      <c r="H1260" s="109">
        <f t="shared" si="57"/>
        <v>31.25</v>
      </c>
      <c r="I1260" s="119"/>
      <c r="J1260" s="119">
        <v>0</v>
      </c>
      <c r="K1260" s="119">
        <f t="shared" si="58"/>
        <v>31.25</v>
      </c>
      <c r="L1260" s="152">
        <f t="shared" si="59"/>
        <v>27.05</v>
      </c>
      <c r="M1260" s="113"/>
    </row>
    <row r="1261" spans="1:13" x14ac:dyDescent="0.2">
      <c r="A1261" s="106">
        <v>46199</v>
      </c>
      <c r="B1261" s="105" t="s">
        <v>3124</v>
      </c>
      <c r="C1261" s="105" t="s">
        <v>5016</v>
      </c>
      <c r="D1261" s="149" t="s">
        <v>3126</v>
      </c>
      <c r="E1261" s="105">
        <v>1</v>
      </c>
      <c r="F1261" s="134">
        <v>81.849999999999994</v>
      </c>
      <c r="G1261" s="134">
        <v>90</v>
      </c>
      <c r="H1261" s="109">
        <f t="shared" si="57"/>
        <v>90</v>
      </c>
      <c r="I1261" s="119"/>
      <c r="J1261" s="119">
        <v>0</v>
      </c>
      <c r="K1261" s="119">
        <f t="shared" si="58"/>
        <v>90</v>
      </c>
      <c r="L1261" s="152">
        <f t="shared" si="59"/>
        <v>81.849999999999994</v>
      </c>
      <c r="M1261" s="113"/>
    </row>
    <row r="1262" spans="1:13" x14ac:dyDescent="0.2">
      <c r="A1262" s="106">
        <v>46199</v>
      </c>
      <c r="B1262" s="105" t="s">
        <v>2690</v>
      </c>
      <c r="C1262" s="105" t="s">
        <v>5016</v>
      </c>
      <c r="D1262" s="149" t="s">
        <v>2692</v>
      </c>
      <c r="E1262" s="105">
        <v>6</v>
      </c>
      <c r="F1262" s="134">
        <v>32.86</v>
      </c>
      <c r="G1262" s="134">
        <v>38</v>
      </c>
      <c r="H1262" s="109">
        <f t="shared" si="57"/>
        <v>228</v>
      </c>
      <c r="I1262" s="119"/>
      <c r="J1262" s="119">
        <v>0</v>
      </c>
      <c r="K1262" s="119">
        <f t="shared" si="58"/>
        <v>228</v>
      </c>
      <c r="L1262" s="152">
        <f t="shared" si="59"/>
        <v>197.16</v>
      </c>
      <c r="M1262" s="113"/>
    </row>
    <row r="1263" spans="1:13" x14ac:dyDescent="0.2">
      <c r="A1263" s="106">
        <v>46199</v>
      </c>
      <c r="B1263" s="105" t="s">
        <v>3158</v>
      </c>
      <c r="C1263" s="105" t="s">
        <v>5016</v>
      </c>
      <c r="D1263" s="149" t="s">
        <v>3159</v>
      </c>
      <c r="E1263" s="105">
        <v>1</v>
      </c>
      <c r="F1263" s="134">
        <v>1160.3499999999999</v>
      </c>
      <c r="G1263" s="134">
        <v>1334.5</v>
      </c>
      <c r="H1263" s="109">
        <f t="shared" si="57"/>
        <v>1334.5</v>
      </c>
      <c r="I1263" s="119"/>
      <c r="J1263" s="119">
        <v>0</v>
      </c>
      <c r="K1263" s="119">
        <f t="shared" si="58"/>
        <v>1334.5</v>
      </c>
      <c r="L1263" s="152">
        <f t="shared" si="59"/>
        <v>1160.3499999999999</v>
      </c>
      <c r="M1263" s="113"/>
    </row>
    <row r="1264" spans="1:13" x14ac:dyDescent="0.2">
      <c r="A1264" s="106">
        <v>46199</v>
      </c>
      <c r="B1264" s="105" t="s">
        <v>2327</v>
      </c>
      <c r="C1264" s="105" t="s">
        <v>5017</v>
      </c>
      <c r="D1264" s="149" t="s">
        <v>2329</v>
      </c>
      <c r="E1264" s="105">
        <v>1</v>
      </c>
      <c r="F1264" s="134">
        <v>23.07</v>
      </c>
      <c r="G1264" s="134">
        <v>26.75</v>
      </c>
      <c r="H1264" s="109">
        <f t="shared" si="57"/>
        <v>26.75</v>
      </c>
      <c r="I1264" s="119"/>
      <c r="J1264" s="119">
        <v>0</v>
      </c>
      <c r="K1264" s="119">
        <f t="shared" si="58"/>
        <v>26.75</v>
      </c>
      <c r="L1264" s="152">
        <f t="shared" si="59"/>
        <v>23.07</v>
      </c>
      <c r="M1264" s="113"/>
    </row>
    <row r="1265" spans="1:13" x14ac:dyDescent="0.2">
      <c r="A1265" s="106">
        <v>46199</v>
      </c>
      <c r="B1265" s="105" t="s">
        <v>1854</v>
      </c>
      <c r="C1265" s="105" t="s">
        <v>5018</v>
      </c>
      <c r="D1265" s="149" t="s">
        <v>1855</v>
      </c>
      <c r="E1265" s="105">
        <v>1</v>
      </c>
      <c r="F1265" s="134">
        <v>7.62</v>
      </c>
      <c r="G1265" s="134">
        <v>8.75</v>
      </c>
      <c r="H1265" s="109">
        <f t="shared" si="57"/>
        <v>8.75</v>
      </c>
      <c r="I1265" s="119"/>
      <c r="J1265" s="119">
        <v>0</v>
      </c>
      <c r="K1265" s="119">
        <f t="shared" si="58"/>
        <v>8.75</v>
      </c>
      <c r="L1265" s="152">
        <f t="shared" si="59"/>
        <v>7.62</v>
      </c>
      <c r="M1265" s="113"/>
    </row>
    <row r="1266" spans="1:13" x14ac:dyDescent="0.2">
      <c r="A1266" s="106">
        <v>46199</v>
      </c>
      <c r="B1266" s="105" t="s">
        <v>4081</v>
      </c>
      <c r="C1266" s="105" t="s">
        <v>5019</v>
      </c>
      <c r="D1266" s="149" t="s">
        <v>4082</v>
      </c>
      <c r="E1266" s="105">
        <v>10</v>
      </c>
      <c r="F1266" s="134">
        <v>118.16</v>
      </c>
      <c r="G1266" s="134">
        <v>136</v>
      </c>
      <c r="H1266" s="109">
        <f t="shared" si="57"/>
        <v>1360</v>
      </c>
      <c r="I1266" s="119"/>
      <c r="J1266" s="119">
        <v>0</v>
      </c>
      <c r="K1266" s="119">
        <f t="shared" si="58"/>
        <v>1360</v>
      </c>
      <c r="L1266" s="152">
        <f t="shared" si="59"/>
        <v>1181.5999999999999</v>
      </c>
      <c r="M1266" s="113"/>
    </row>
    <row r="1267" spans="1:13" x14ac:dyDescent="0.2">
      <c r="A1267" s="106">
        <v>46199</v>
      </c>
      <c r="B1267" s="105" t="s">
        <v>4447</v>
      </c>
      <c r="C1267" s="105" t="s">
        <v>5019</v>
      </c>
      <c r="D1267" s="149" t="s">
        <v>4477</v>
      </c>
      <c r="E1267" s="105">
        <v>10</v>
      </c>
      <c r="F1267" s="134">
        <v>118.16</v>
      </c>
      <c r="G1267" s="134">
        <v>136</v>
      </c>
      <c r="H1267" s="109">
        <f t="shared" si="57"/>
        <v>1360</v>
      </c>
      <c r="I1267" s="119"/>
      <c r="J1267" s="119">
        <v>0</v>
      </c>
      <c r="K1267" s="119">
        <f t="shared" si="58"/>
        <v>1360</v>
      </c>
      <c r="L1267" s="152">
        <f t="shared" si="59"/>
        <v>1181.5999999999999</v>
      </c>
      <c r="M1267" s="113"/>
    </row>
    <row r="1268" spans="1:13" x14ac:dyDescent="0.2">
      <c r="A1268" s="106">
        <v>46199</v>
      </c>
      <c r="B1268" s="105" t="s">
        <v>2947</v>
      </c>
      <c r="C1268" s="105" t="s">
        <v>5019</v>
      </c>
      <c r="D1268" s="149" t="s">
        <v>2948</v>
      </c>
      <c r="E1268" s="105">
        <v>10</v>
      </c>
      <c r="F1268" s="134">
        <v>65.989999999999995</v>
      </c>
      <c r="G1268" s="134">
        <v>76.75</v>
      </c>
      <c r="H1268" s="109">
        <f t="shared" si="57"/>
        <v>767.5</v>
      </c>
      <c r="I1268" s="119"/>
      <c r="J1268" s="119">
        <v>0</v>
      </c>
      <c r="K1268" s="119">
        <f t="shared" si="58"/>
        <v>767.5</v>
      </c>
      <c r="L1268" s="152">
        <f t="shared" si="59"/>
        <v>659.9</v>
      </c>
      <c r="M1268" s="113"/>
    </row>
    <row r="1269" spans="1:13" x14ac:dyDescent="0.2">
      <c r="A1269" s="106">
        <v>46199</v>
      </c>
      <c r="B1269" s="105" t="s">
        <v>2884</v>
      </c>
      <c r="C1269" s="105" t="s">
        <v>5019</v>
      </c>
      <c r="D1269" s="149" t="s">
        <v>2886</v>
      </c>
      <c r="E1269" s="105">
        <v>5</v>
      </c>
      <c r="F1269" s="134">
        <v>302.13</v>
      </c>
      <c r="G1269" s="134">
        <v>362.75</v>
      </c>
      <c r="H1269" s="109">
        <f t="shared" si="57"/>
        <v>1813.75</v>
      </c>
      <c r="I1269" s="119"/>
      <c r="J1269" s="119">
        <v>0</v>
      </c>
      <c r="K1269" s="119">
        <f t="shared" si="58"/>
        <v>1813.75</v>
      </c>
      <c r="L1269" s="152">
        <f t="shared" si="59"/>
        <v>1510.65</v>
      </c>
      <c r="M1269" s="113"/>
    </row>
    <row r="1270" spans="1:13" x14ac:dyDescent="0.2">
      <c r="A1270" s="106">
        <v>46199</v>
      </c>
      <c r="B1270" s="105" t="s">
        <v>4998</v>
      </c>
      <c r="C1270" s="105" t="s">
        <v>5019</v>
      </c>
      <c r="D1270" s="149" t="s">
        <v>5024</v>
      </c>
      <c r="E1270" s="105">
        <v>10</v>
      </c>
      <c r="F1270" s="134">
        <v>65</v>
      </c>
      <c r="G1270" s="134">
        <v>75</v>
      </c>
      <c r="H1270" s="109">
        <f t="shared" si="57"/>
        <v>750</v>
      </c>
      <c r="I1270" s="119"/>
      <c r="J1270" s="119">
        <v>0</v>
      </c>
      <c r="K1270" s="119">
        <f t="shared" si="58"/>
        <v>750</v>
      </c>
      <c r="L1270" s="152">
        <f t="shared" si="59"/>
        <v>650</v>
      </c>
      <c r="M1270" s="113"/>
    </row>
    <row r="1271" spans="1:13" x14ac:dyDescent="0.2">
      <c r="A1271" s="106">
        <v>46199</v>
      </c>
      <c r="B1271" s="105" t="s">
        <v>4999</v>
      </c>
      <c r="C1271" s="105" t="s">
        <v>5019</v>
      </c>
      <c r="D1271" s="149" t="s">
        <v>5025</v>
      </c>
      <c r="E1271" s="105">
        <v>2</v>
      </c>
      <c r="F1271" s="134">
        <v>296.10000000000002</v>
      </c>
      <c r="G1271" s="134">
        <v>340.75</v>
      </c>
      <c r="H1271" s="109">
        <f t="shared" si="57"/>
        <v>681.5</v>
      </c>
      <c r="I1271" s="119"/>
      <c r="J1271" s="119">
        <v>0</v>
      </c>
      <c r="K1271" s="119">
        <f t="shared" si="58"/>
        <v>681.5</v>
      </c>
      <c r="L1271" s="152">
        <f t="shared" si="59"/>
        <v>592.20000000000005</v>
      </c>
      <c r="M1271" s="113"/>
    </row>
    <row r="1272" spans="1:13" x14ac:dyDescent="0.2">
      <c r="A1272" s="106">
        <v>46199</v>
      </c>
      <c r="B1272" s="105" t="s">
        <v>2959</v>
      </c>
      <c r="C1272" s="105" t="s">
        <v>5019</v>
      </c>
      <c r="D1272" s="149" t="s">
        <v>2960</v>
      </c>
      <c r="E1272" s="105">
        <v>6</v>
      </c>
      <c r="F1272" s="134">
        <v>529.58000000000004</v>
      </c>
      <c r="G1272" s="134">
        <v>615</v>
      </c>
      <c r="H1272" s="109">
        <f t="shared" si="57"/>
        <v>3690</v>
      </c>
      <c r="I1272" s="119"/>
      <c r="J1272" s="119">
        <v>0</v>
      </c>
      <c r="K1272" s="119">
        <f t="shared" si="58"/>
        <v>3690</v>
      </c>
      <c r="L1272" s="152">
        <f t="shared" si="59"/>
        <v>3177.4800000000005</v>
      </c>
      <c r="M1272" s="113"/>
    </row>
    <row r="1273" spans="1:13" x14ac:dyDescent="0.2">
      <c r="A1273" s="106">
        <v>46199</v>
      </c>
      <c r="B1273" s="105" t="s">
        <v>5000</v>
      </c>
      <c r="C1273" s="105" t="s">
        <v>5019</v>
      </c>
      <c r="D1273" s="149" t="s">
        <v>5026</v>
      </c>
      <c r="E1273" s="105">
        <v>8</v>
      </c>
      <c r="F1273" s="134">
        <v>160.51</v>
      </c>
      <c r="G1273" s="134">
        <v>184.75</v>
      </c>
      <c r="H1273" s="109">
        <f t="shared" si="57"/>
        <v>1478</v>
      </c>
      <c r="I1273" s="119"/>
      <c r="J1273" s="119">
        <v>0</v>
      </c>
      <c r="K1273" s="119">
        <f t="shared" si="58"/>
        <v>1478</v>
      </c>
      <c r="L1273" s="152">
        <f t="shared" si="59"/>
        <v>1284.08</v>
      </c>
      <c r="M1273" s="113"/>
    </row>
    <row r="1274" spans="1:13" x14ac:dyDescent="0.2">
      <c r="A1274" s="106">
        <v>46199</v>
      </c>
      <c r="B1274" s="105" t="s">
        <v>2963</v>
      </c>
      <c r="C1274" s="105" t="s">
        <v>5019</v>
      </c>
      <c r="D1274" s="149" t="s">
        <v>2964</v>
      </c>
      <c r="E1274" s="105">
        <v>2</v>
      </c>
      <c r="F1274" s="134">
        <v>160.51</v>
      </c>
      <c r="G1274" s="134">
        <v>184.75</v>
      </c>
      <c r="H1274" s="109">
        <f t="shared" si="57"/>
        <v>369.5</v>
      </c>
      <c r="I1274" s="119"/>
      <c r="J1274" s="119">
        <v>0</v>
      </c>
      <c r="K1274" s="119">
        <f t="shared" si="58"/>
        <v>369.5</v>
      </c>
      <c r="L1274" s="152">
        <f t="shared" si="59"/>
        <v>321.02</v>
      </c>
      <c r="M1274" s="113"/>
    </row>
    <row r="1275" spans="1:13" x14ac:dyDescent="0.2">
      <c r="A1275" s="106">
        <v>46199</v>
      </c>
      <c r="B1275" s="105" t="s">
        <v>1834</v>
      </c>
      <c r="C1275" s="105" t="s">
        <v>5019</v>
      </c>
      <c r="D1275" s="149" t="s">
        <v>1836</v>
      </c>
      <c r="E1275" s="105">
        <v>12</v>
      </c>
      <c r="F1275" s="134">
        <v>14.43</v>
      </c>
      <c r="G1275" s="134">
        <v>17</v>
      </c>
      <c r="H1275" s="109">
        <f t="shared" si="57"/>
        <v>204</v>
      </c>
      <c r="I1275" s="119"/>
      <c r="J1275" s="119">
        <v>0</v>
      </c>
      <c r="K1275" s="119">
        <f t="shared" si="58"/>
        <v>204</v>
      </c>
      <c r="L1275" s="152">
        <f t="shared" si="59"/>
        <v>173.16</v>
      </c>
      <c r="M1275" s="113"/>
    </row>
    <row r="1276" spans="1:13" x14ac:dyDescent="0.2">
      <c r="A1276" s="106">
        <v>46199</v>
      </c>
      <c r="B1276" s="105" t="s">
        <v>2193</v>
      </c>
      <c r="C1276" s="105" t="s">
        <v>5020</v>
      </c>
      <c r="D1276" s="149" t="s">
        <v>2195</v>
      </c>
      <c r="E1276" s="105">
        <v>1</v>
      </c>
      <c r="F1276" s="134">
        <v>20.68</v>
      </c>
      <c r="G1276" s="134">
        <v>24</v>
      </c>
      <c r="H1276" s="109">
        <f t="shared" si="57"/>
        <v>24</v>
      </c>
      <c r="I1276" s="119"/>
      <c r="J1276" s="119">
        <v>0</v>
      </c>
      <c r="K1276" s="119">
        <f t="shared" si="58"/>
        <v>24</v>
      </c>
      <c r="L1276" s="152">
        <f t="shared" si="59"/>
        <v>20.68</v>
      </c>
      <c r="M1276" s="113"/>
    </row>
    <row r="1277" spans="1:13" x14ac:dyDescent="0.2">
      <c r="A1277" s="106">
        <v>46199</v>
      </c>
      <c r="B1277" s="105" t="s">
        <v>3721</v>
      </c>
      <c r="C1277" s="105" t="s">
        <v>5020</v>
      </c>
      <c r="D1277" s="149" t="s">
        <v>3723</v>
      </c>
      <c r="E1277" s="105">
        <v>1</v>
      </c>
      <c r="F1277" s="134">
        <v>42.87</v>
      </c>
      <c r="G1277" s="134">
        <v>49.5</v>
      </c>
      <c r="H1277" s="109">
        <f t="shared" si="57"/>
        <v>49.5</v>
      </c>
      <c r="I1277" s="119"/>
      <c r="J1277" s="119">
        <v>0</v>
      </c>
      <c r="K1277" s="119">
        <f t="shared" si="58"/>
        <v>49.5</v>
      </c>
      <c r="L1277" s="152">
        <f t="shared" si="59"/>
        <v>42.87</v>
      </c>
      <c r="M1277" s="113"/>
    </row>
    <row r="1278" spans="1:13" x14ac:dyDescent="0.2">
      <c r="A1278" s="106">
        <v>46199</v>
      </c>
      <c r="B1278" s="105" t="s">
        <v>1962</v>
      </c>
      <c r="C1278" s="105" t="s">
        <v>5021</v>
      </c>
      <c r="D1278" s="149" t="s">
        <v>1964</v>
      </c>
      <c r="E1278" s="105">
        <v>2</v>
      </c>
      <c r="F1278" s="134">
        <v>7.48</v>
      </c>
      <c r="G1278" s="134">
        <v>8.75</v>
      </c>
      <c r="H1278" s="109">
        <f t="shared" si="57"/>
        <v>17.5</v>
      </c>
      <c r="I1278" s="119"/>
      <c r="J1278" s="119">
        <v>0</v>
      </c>
      <c r="K1278" s="119">
        <f t="shared" si="58"/>
        <v>17.5</v>
      </c>
      <c r="L1278" s="152">
        <f t="shared" si="59"/>
        <v>14.96</v>
      </c>
      <c r="M1278" s="113"/>
    </row>
    <row r="1279" spans="1:13" x14ac:dyDescent="0.2">
      <c r="A1279" s="106">
        <v>46199</v>
      </c>
      <c r="B1279" s="105" t="s">
        <v>1969</v>
      </c>
      <c r="C1279" s="105" t="s">
        <v>5021</v>
      </c>
      <c r="D1279" s="149" t="s">
        <v>1970</v>
      </c>
      <c r="E1279" s="105">
        <v>2</v>
      </c>
      <c r="F1279" s="134">
        <v>3.6</v>
      </c>
      <c r="G1279" s="134">
        <v>4.25</v>
      </c>
      <c r="H1279" s="109">
        <f t="shared" si="57"/>
        <v>8.5</v>
      </c>
      <c r="I1279" s="119"/>
      <c r="J1279" s="119">
        <v>0</v>
      </c>
      <c r="K1279" s="119">
        <f t="shared" si="58"/>
        <v>8.5</v>
      </c>
      <c r="L1279" s="152">
        <f t="shared" si="59"/>
        <v>7.2</v>
      </c>
      <c r="M1279" s="113"/>
    </row>
    <row r="1280" spans="1:13" x14ac:dyDescent="0.2">
      <c r="A1280" s="106">
        <v>46199</v>
      </c>
      <c r="B1280" s="105" t="s">
        <v>2018</v>
      </c>
      <c r="C1280" s="105" t="s">
        <v>5022</v>
      </c>
      <c r="D1280" s="149" t="s">
        <v>2019</v>
      </c>
      <c r="E1280" s="105">
        <v>1</v>
      </c>
      <c r="F1280" s="134">
        <v>30.79</v>
      </c>
      <c r="G1280" s="134">
        <v>36.75</v>
      </c>
      <c r="H1280" s="109">
        <f t="shared" si="57"/>
        <v>36.75</v>
      </c>
      <c r="I1280" s="119"/>
      <c r="J1280" s="119">
        <v>0</v>
      </c>
      <c r="K1280" s="119">
        <f t="shared" si="58"/>
        <v>36.75</v>
      </c>
      <c r="L1280" s="152">
        <f t="shared" si="59"/>
        <v>30.79</v>
      </c>
      <c r="M1280" s="113"/>
    </row>
    <row r="1281" spans="1:13" x14ac:dyDescent="0.2">
      <c r="A1281" s="106" t="s">
        <v>5027</v>
      </c>
      <c r="B1281" s="105" t="s">
        <v>4760</v>
      </c>
      <c r="C1281" s="105" t="s">
        <v>5036</v>
      </c>
      <c r="D1281" s="149" t="s">
        <v>4787</v>
      </c>
      <c r="E1281" s="105">
        <v>1</v>
      </c>
      <c r="F1281" s="134">
        <v>30.35</v>
      </c>
      <c r="G1281" s="134">
        <v>35</v>
      </c>
      <c r="H1281" s="109">
        <f t="shared" si="57"/>
        <v>35</v>
      </c>
      <c r="I1281" s="119"/>
      <c r="J1281" s="119">
        <v>0</v>
      </c>
      <c r="K1281" s="119">
        <f t="shared" si="58"/>
        <v>35</v>
      </c>
      <c r="L1281" s="152">
        <f t="shared" si="59"/>
        <v>30.35</v>
      </c>
      <c r="M1281" s="113"/>
    </row>
    <row r="1282" spans="1:13" x14ac:dyDescent="0.2">
      <c r="A1282" s="106" t="s">
        <v>5027</v>
      </c>
      <c r="B1282" s="105" t="s">
        <v>2367</v>
      </c>
      <c r="C1282" s="105" t="s">
        <v>5037</v>
      </c>
      <c r="D1282" s="149" t="s">
        <v>2369</v>
      </c>
      <c r="E1282" s="105">
        <v>6</v>
      </c>
      <c r="F1282" s="134">
        <v>6.38</v>
      </c>
      <c r="G1282" s="134">
        <v>7.5</v>
      </c>
      <c r="H1282" s="109">
        <f t="shared" si="57"/>
        <v>45</v>
      </c>
      <c r="I1282" s="119"/>
      <c r="J1282" s="119">
        <v>0</v>
      </c>
      <c r="K1282" s="119">
        <f t="shared" si="58"/>
        <v>45</v>
      </c>
      <c r="L1282" s="152">
        <f t="shared" si="59"/>
        <v>38.28</v>
      </c>
      <c r="M1282" s="113"/>
    </row>
    <row r="1283" spans="1:13" x14ac:dyDescent="0.2">
      <c r="A1283" s="106" t="s">
        <v>5027</v>
      </c>
      <c r="B1283" s="105" t="s">
        <v>3060</v>
      </c>
      <c r="C1283" s="105" t="s">
        <v>5038</v>
      </c>
      <c r="D1283" s="149" t="s">
        <v>3062</v>
      </c>
      <c r="E1283" s="105">
        <v>1</v>
      </c>
      <c r="F1283" s="134">
        <v>44.8</v>
      </c>
      <c r="G1283" s="134">
        <v>51.75</v>
      </c>
      <c r="H1283" s="109">
        <f t="shared" si="57"/>
        <v>51.75</v>
      </c>
      <c r="I1283" s="119"/>
      <c r="J1283" s="119">
        <v>0</v>
      </c>
      <c r="K1283" s="119">
        <f t="shared" si="58"/>
        <v>51.75</v>
      </c>
      <c r="L1283" s="152">
        <f t="shared" si="59"/>
        <v>44.8</v>
      </c>
      <c r="M1283" s="113"/>
    </row>
    <row r="1284" spans="1:13" x14ac:dyDescent="0.2">
      <c r="A1284" s="106" t="s">
        <v>5027</v>
      </c>
      <c r="B1284" s="105" t="s">
        <v>4796</v>
      </c>
      <c r="C1284" s="105" t="s">
        <v>5039</v>
      </c>
      <c r="D1284" s="149" t="s">
        <v>4865</v>
      </c>
      <c r="E1284" s="105">
        <v>1</v>
      </c>
      <c r="F1284" s="134">
        <v>23.21</v>
      </c>
      <c r="G1284" s="134">
        <v>26.75</v>
      </c>
      <c r="H1284" s="109">
        <f t="shared" si="57"/>
        <v>26.75</v>
      </c>
      <c r="I1284" s="119"/>
      <c r="J1284" s="119">
        <v>0</v>
      </c>
      <c r="K1284" s="119">
        <f t="shared" si="58"/>
        <v>26.75</v>
      </c>
      <c r="L1284" s="152">
        <f t="shared" si="59"/>
        <v>23.21</v>
      </c>
      <c r="M1284" s="113"/>
    </row>
    <row r="1285" spans="1:13" x14ac:dyDescent="0.2">
      <c r="A1285" s="106" t="s">
        <v>5027</v>
      </c>
      <c r="B1285" s="105" t="s">
        <v>4795</v>
      </c>
      <c r="C1285" s="105" t="s">
        <v>5039</v>
      </c>
      <c r="D1285" s="149" t="s">
        <v>4864</v>
      </c>
      <c r="E1285" s="105">
        <v>2</v>
      </c>
      <c r="F1285" s="134">
        <v>202</v>
      </c>
      <c r="G1285" s="134">
        <v>232.5</v>
      </c>
      <c r="H1285" s="109">
        <f t="shared" si="57"/>
        <v>465</v>
      </c>
      <c r="I1285" s="119"/>
      <c r="J1285" s="119">
        <v>0</v>
      </c>
      <c r="K1285" s="119">
        <f t="shared" si="58"/>
        <v>465</v>
      </c>
      <c r="L1285" s="152">
        <f t="shared" si="59"/>
        <v>404</v>
      </c>
      <c r="M1285" s="113"/>
    </row>
    <row r="1286" spans="1:13" x14ac:dyDescent="0.2">
      <c r="A1286" s="106" t="s">
        <v>5027</v>
      </c>
      <c r="B1286" s="105" t="s">
        <v>5029</v>
      </c>
      <c r="C1286" s="105" t="s">
        <v>5039</v>
      </c>
      <c r="D1286" s="149" t="s">
        <v>5073</v>
      </c>
      <c r="E1286" s="105">
        <v>2</v>
      </c>
      <c r="F1286" s="134">
        <v>79.95</v>
      </c>
      <c r="G1286" s="134">
        <v>92</v>
      </c>
      <c r="H1286" s="109">
        <f t="shared" si="57"/>
        <v>184</v>
      </c>
      <c r="I1286" s="119"/>
      <c r="J1286" s="119">
        <v>0</v>
      </c>
      <c r="K1286" s="119">
        <f t="shared" si="58"/>
        <v>184</v>
      </c>
      <c r="L1286" s="152">
        <f t="shared" si="59"/>
        <v>159.9</v>
      </c>
      <c r="M1286" s="113"/>
    </row>
    <row r="1287" spans="1:13" x14ac:dyDescent="0.2">
      <c r="A1287" s="106" t="s">
        <v>5027</v>
      </c>
      <c r="B1287" s="105" t="s">
        <v>1826</v>
      </c>
      <c r="C1287" s="105" t="s">
        <v>5040</v>
      </c>
      <c r="D1287" s="149" t="s">
        <v>1827</v>
      </c>
      <c r="E1287" s="105">
        <v>1</v>
      </c>
      <c r="F1287" s="134">
        <v>90</v>
      </c>
      <c r="G1287" s="134">
        <v>120</v>
      </c>
      <c r="H1287" s="109">
        <f t="shared" si="57"/>
        <v>120</v>
      </c>
      <c r="I1287" s="119"/>
      <c r="J1287" s="119">
        <v>0</v>
      </c>
      <c r="K1287" s="119">
        <f t="shared" si="58"/>
        <v>120</v>
      </c>
      <c r="L1287" s="152">
        <f t="shared" si="59"/>
        <v>90</v>
      </c>
      <c r="M1287" s="113"/>
    </row>
    <row r="1288" spans="1:13" x14ac:dyDescent="0.2">
      <c r="A1288" s="106" t="s">
        <v>5027</v>
      </c>
      <c r="B1288" s="105" t="s">
        <v>4520</v>
      </c>
      <c r="C1288" s="105" t="s">
        <v>5040</v>
      </c>
      <c r="D1288" s="149" t="s">
        <v>4625</v>
      </c>
      <c r="E1288" s="105">
        <v>1</v>
      </c>
      <c r="F1288" s="134">
        <v>60</v>
      </c>
      <c r="G1288" s="134">
        <v>75</v>
      </c>
      <c r="H1288" s="109">
        <f t="shared" ref="H1288:H1351" si="60">E1288*G1288</f>
        <v>75</v>
      </c>
      <c r="I1288" s="119"/>
      <c r="J1288" s="119">
        <v>0</v>
      </c>
      <c r="K1288" s="119">
        <f t="shared" ref="K1288:K1351" si="61">H1288+I1288-J1288</f>
        <v>75</v>
      </c>
      <c r="L1288" s="152">
        <f t="shared" ref="L1288:L1351" si="62">E1288*F1288</f>
        <v>60</v>
      </c>
      <c r="M1288" s="113"/>
    </row>
    <row r="1289" spans="1:13" x14ac:dyDescent="0.2">
      <c r="A1289" s="106" t="s">
        <v>5027</v>
      </c>
      <c r="B1289" s="105" t="s">
        <v>2742</v>
      </c>
      <c r="C1289" s="105" t="s">
        <v>5041</v>
      </c>
      <c r="D1289" s="149" t="s">
        <v>2743</v>
      </c>
      <c r="E1289" s="105">
        <v>1</v>
      </c>
      <c r="F1289" s="134">
        <v>16.03</v>
      </c>
      <c r="G1289" s="134">
        <v>18.5</v>
      </c>
      <c r="H1289" s="109">
        <f t="shared" si="60"/>
        <v>18.5</v>
      </c>
      <c r="I1289" s="119"/>
      <c r="J1289" s="119">
        <v>0</v>
      </c>
      <c r="K1289" s="119">
        <f t="shared" si="61"/>
        <v>18.5</v>
      </c>
      <c r="L1289" s="152">
        <f t="shared" si="62"/>
        <v>16.03</v>
      </c>
      <c r="M1289" s="113"/>
    </row>
    <row r="1290" spans="1:13" x14ac:dyDescent="0.2">
      <c r="A1290" s="106" t="s">
        <v>5027</v>
      </c>
      <c r="B1290" s="105" t="s">
        <v>3599</v>
      </c>
      <c r="C1290" s="105" t="s">
        <v>5041</v>
      </c>
      <c r="D1290" s="149" t="s">
        <v>3601</v>
      </c>
      <c r="E1290" s="105">
        <v>1</v>
      </c>
      <c r="F1290" s="134">
        <v>61.5</v>
      </c>
      <c r="G1290" s="134">
        <v>70.75</v>
      </c>
      <c r="H1290" s="109">
        <f t="shared" si="60"/>
        <v>70.75</v>
      </c>
      <c r="I1290" s="119"/>
      <c r="J1290" s="119">
        <v>0</v>
      </c>
      <c r="K1290" s="119">
        <f t="shared" si="61"/>
        <v>70.75</v>
      </c>
      <c r="L1290" s="152">
        <f t="shared" si="62"/>
        <v>61.5</v>
      </c>
      <c r="M1290" s="113"/>
    </row>
    <row r="1291" spans="1:13" x14ac:dyDescent="0.2">
      <c r="A1291" s="106" t="s">
        <v>5027</v>
      </c>
      <c r="B1291" s="105" t="s">
        <v>3356</v>
      </c>
      <c r="C1291" s="105" t="s">
        <v>5042</v>
      </c>
      <c r="D1291" s="149" t="s">
        <v>3358</v>
      </c>
      <c r="E1291" s="105">
        <v>1</v>
      </c>
      <c r="F1291" s="134">
        <v>6.03</v>
      </c>
      <c r="G1291" s="134">
        <v>7</v>
      </c>
      <c r="H1291" s="109">
        <f t="shared" si="60"/>
        <v>7</v>
      </c>
      <c r="I1291" s="119"/>
      <c r="J1291" s="119">
        <v>0</v>
      </c>
      <c r="K1291" s="119">
        <f t="shared" si="61"/>
        <v>7</v>
      </c>
      <c r="L1291" s="152">
        <f t="shared" si="62"/>
        <v>6.03</v>
      </c>
      <c r="M1291" s="113"/>
    </row>
    <row r="1292" spans="1:13" x14ac:dyDescent="0.2">
      <c r="A1292" s="106" t="s">
        <v>5027</v>
      </c>
      <c r="B1292" s="105" t="s">
        <v>1933</v>
      </c>
      <c r="C1292" s="105" t="s">
        <v>5043</v>
      </c>
      <c r="D1292" s="149" t="s">
        <v>1934</v>
      </c>
      <c r="E1292" s="105">
        <v>1</v>
      </c>
      <c r="F1292" s="134">
        <v>3.6</v>
      </c>
      <c r="G1292" s="134">
        <v>4.25</v>
      </c>
      <c r="H1292" s="109">
        <f t="shared" si="60"/>
        <v>4.25</v>
      </c>
      <c r="I1292" s="119"/>
      <c r="J1292" s="119">
        <v>0</v>
      </c>
      <c r="K1292" s="119">
        <f t="shared" si="61"/>
        <v>4.25</v>
      </c>
      <c r="L1292" s="152">
        <f t="shared" si="62"/>
        <v>3.6</v>
      </c>
      <c r="M1292" s="113"/>
    </row>
    <row r="1293" spans="1:13" x14ac:dyDescent="0.2">
      <c r="A1293" s="106" t="s">
        <v>5027</v>
      </c>
      <c r="B1293" s="105" t="s">
        <v>2576</v>
      </c>
      <c r="C1293" s="105" t="s">
        <v>5044</v>
      </c>
      <c r="D1293" s="149" t="s">
        <v>2578</v>
      </c>
      <c r="E1293" s="105">
        <v>1</v>
      </c>
      <c r="F1293" s="134">
        <v>49.75</v>
      </c>
      <c r="G1293" s="134">
        <v>57.25</v>
      </c>
      <c r="H1293" s="109">
        <f t="shared" si="60"/>
        <v>57.25</v>
      </c>
      <c r="I1293" s="119"/>
      <c r="J1293" s="119">
        <v>0</v>
      </c>
      <c r="K1293" s="119">
        <f t="shared" si="61"/>
        <v>57.25</v>
      </c>
      <c r="L1293" s="152">
        <f t="shared" si="62"/>
        <v>49.75</v>
      </c>
      <c r="M1293" s="113"/>
    </row>
    <row r="1294" spans="1:13" x14ac:dyDescent="0.2">
      <c r="A1294" s="106" t="s">
        <v>5027</v>
      </c>
      <c r="B1294" s="105" t="s">
        <v>4718</v>
      </c>
      <c r="C1294" s="105" t="s">
        <v>5045</v>
      </c>
      <c r="D1294" s="149" t="s">
        <v>4753</v>
      </c>
      <c r="E1294" s="105">
        <v>1</v>
      </c>
      <c r="F1294" s="134">
        <v>14.5</v>
      </c>
      <c r="G1294" s="134">
        <v>16.75</v>
      </c>
      <c r="H1294" s="109">
        <f t="shared" si="60"/>
        <v>16.75</v>
      </c>
      <c r="I1294" s="119"/>
      <c r="J1294" s="119">
        <v>0</v>
      </c>
      <c r="K1294" s="119">
        <f t="shared" si="61"/>
        <v>16.75</v>
      </c>
      <c r="L1294" s="152">
        <f t="shared" si="62"/>
        <v>14.5</v>
      </c>
      <c r="M1294" s="113"/>
    </row>
    <row r="1295" spans="1:13" x14ac:dyDescent="0.2">
      <c r="A1295" s="106" t="s">
        <v>5027</v>
      </c>
      <c r="B1295" s="105" t="s">
        <v>2947</v>
      </c>
      <c r="C1295" s="105" t="s">
        <v>5046</v>
      </c>
      <c r="D1295" s="149" t="s">
        <v>2948</v>
      </c>
      <c r="E1295" s="105">
        <v>1</v>
      </c>
      <c r="F1295" s="134">
        <v>65.989999999999995</v>
      </c>
      <c r="G1295" s="134">
        <v>76.75</v>
      </c>
      <c r="H1295" s="109">
        <f t="shared" si="60"/>
        <v>76.75</v>
      </c>
      <c r="I1295" s="119"/>
      <c r="J1295" s="119">
        <v>0</v>
      </c>
      <c r="K1295" s="119">
        <f t="shared" si="61"/>
        <v>76.75</v>
      </c>
      <c r="L1295" s="152">
        <f t="shared" si="62"/>
        <v>65.989999999999995</v>
      </c>
      <c r="M1295" s="113"/>
    </row>
    <row r="1296" spans="1:13" x14ac:dyDescent="0.2">
      <c r="A1296" s="106" t="s">
        <v>5027</v>
      </c>
      <c r="B1296" s="105" t="s">
        <v>4199</v>
      </c>
      <c r="C1296" s="105" t="s">
        <v>5046</v>
      </c>
      <c r="D1296" s="149" t="s">
        <v>4200</v>
      </c>
      <c r="E1296" s="105">
        <v>4</v>
      </c>
      <c r="F1296" s="134">
        <v>24.24</v>
      </c>
      <c r="G1296" s="134">
        <v>29.25</v>
      </c>
      <c r="H1296" s="109">
        <f t="shared" si="60"/>
        <v>117</v>
      </c>
      <c r="I1296" s="119"/>
      <c r="J1296" s="119">
        <v>0</v>
      </c>
      <c r="K1296" s="119">
        <f t="shared" si="61"/>
        <v>117</v>
      </c>
      <c r="L1296" s="152">
        <f t="shared" si="62"/>
        <v>96.96</v>
      </c>
      <c r="M1296" s="113"/>
    </row>
    <row r="1297" spans="1:13" x14ac:dyDescent="0.2">
      <c r="A1297" s="106" t="s">
        <v>5027</v>
      </c>
      <c r="B1297" s="105" t="s">
        <v>3788</v>
      </c>
      <c r="C1297" s="105" t="s">
        <v>5046</v>
      </c>
      <c r="D1297" s="149" t="s">
        <v>3789</v>
      </c>
      <c r="E1297" s="105">
        <v>1</v>
      </c>
      <c r="F1297" s="134">
        <v>22.19</v>
      </c>
      <c r="G1297" s="134">
        <v>25.5</v>
      </c>
      <c r="H1297" s="109">
        <f t="shared" si="60"/>
        <v>25.5</v>
      </c>
      <c r="I1297" s="119"/>
      <c r="J1297" s="119">
        <v>0</v>
      </c>
      <c r="K1297" s="119">
        <f t="shared" si="61"/>
        <v>25.5</v>
      </c>
      <c r="L1297" s="152">
        <f t="shared" si="62"/>
        <v>22.19</v>
      </c>
      <c r="M1297" s="113"/>
    </row>
    <row r="1298" spans="1:13" x14ac:dyDescent="0.2">
      <c r="A1298" s="106" t="s">
        <v>5027</v>
      </c>
      <c r="B1298" s="105" t="s">
        <v>5030</v>
      </c>
      <c r="C1298" s="105" t="s">
        <v>5047</v>
      </c>
      <c r="D1298" s="149" t="s">
        <v>5074</v>
      </c>
      <c r="E1298" s="105">
        <v>6</v>
      </c>
      <c r="F1298" s="134">
        <v>5.41</v>
      </c>
      <c r="G1298" s="134">
        <v>6.25</v>
      </c>
      <c r="H1298" s="109">
        <f t="shared" si="60"/>
        <v>37.5</v>
      </c>
      <c r="I1298" s="119"/>
      <c r="J1298" s="119">
        <v>0</v>
      </c>
      <c r="K1298" s="119">
        <f t="shared" si="61"/>
        <v>37.5</v>
      </c>
      <c r="L1298" s="152">
        <f t="shared" si="62"/>
        <v>32.46</v>
      </c>
      <c r="M1298" s="113"/>
    </row>
    <row r="1299" spans="1:13" x14ac:dyDescent="0.2">
      <c r="A1299" s="106" t="s">
        <v>5027</v>
      </c>
      <c r="B1299" s="105" t="s">
        <v>2082</v>
      </c>
      <c r="C1299" s="105" t="s">
        <v>5047</v>
      </c>
      <c r="D1299" s="149" t="s">
        <v>2083</v>
      </c>
      <c r="E1299" s="105">
        <v>1</v>
      </c>
      <c r="F1299" s="134">
        <v>10.95</v>
      </c>
      <c r="G1299" s="134">
        <v>12.75</v>
      </c>
      <c r="H1299" s="109">
        <f t="shared" si="60"/>
        <v>12.75</v>
      </c>
      <c r="I1299" s="119"/>
      <c r="J1299" s="119">
        <v>0</v>
      </c>
      <c r="K1299" s="119">
        <f t="shared" si="61"/>
        <v>12.75</v>
      </c>
      <c r="L1299" s="152">
        <f t="shared" si="62"/>
        <v>10.95</v>
      </c>
      <c r="M1299" s="113"/>
    </row>
    <row r="1300" spans="1:13" x14ac:dyDescent="0.2">
      <c r="A1300" s="106" t="s">
        <v>5027</v>
      </c>
      <c r="B1300" s="105" t="s">
        <v>2240</v>
      </c>
      <c r="C1300" s="105" t="s">
        <v>5048</v>
      </c>
      <c r="D1300" s="149" t="s">
        <v>2241</v>
      </c>
      <c r="E1300" s="105">
        <v>1</v>
      </c>
      <c r="F1300" s="134">
        <v>18.649999999999999</v>
      </c>
      <c r="G1300" s="134">
        <v>21.5</v>
      </c>
      <c r="H1300" s="109">
        <f t="shared" si="60"/>
        <v>21.5</v>
      </c>
      <c r="I1300" s="119"/>
      <c r="J1300" s="119">
        <v>0</v>
      </c>
      <c r="K1300" s="119">
        <f t="shared" si="61"/>
        <v>21.5</v>
      </c>
      <c r="L1300" s="152">
        <f t="shared" si="62"/>
        <v>18.649999999999999</v>
      </c>
      <c r="M1300" s="113"/>
    </row>
    <row r="1301" spans="1:13" x14ac:dyDescent="0.2">
      <c r="A1301" s="106" t="s">
        <v>5027</v>
      </c>
      <c r="B1301" s="105" t="s">
        <v>3017</v>
      </c>
      <c r="C1301" s="105" t="s">
        <v>5048</v>
      </c>
      <c r="D1301" s="149" t="s">
        <v>3019</v>
      </c>
      <c r="E1301" s="105">
        <v>1</v>
      </c>
      <c r="F1301" s="134">
        <v>54</v>
      </c>
      <c r="G1301" s="134">
        <v>62.25</v>
      </c>
      <c r="H1301" s="109">
        <f t="shared" si="60"/>
        <v>62.25</v>
      </c>
      <c r="I1301" s="119"/>
      <c r="J1301" s="119">
        <v>0</v>
      </c>
      <c r="K1301" s="119">
        <f t="shared" si="61"/>
        <v>62.25</v>
      </c>
      <c r="L1301" s="152">
        <f t="shared" si="62"/>
        <v>54</v>
      </c>
      <c r="M1301" s="113"/>
    </row>
    <row r="1302" spans="1:13" x14ac:dyDescent="0.2">
      <c r="A1302" s="106" t="s">
        <v>5027</v>
      </c>
      <c r="B1302" s="105" t="s">
        <v>4163</v>
      </c>
      <c r="C1302" s="105" t="s">
        <v>5049</v>
      </c>
      <c r="D1302" s="149" t="s">
        <v>4165</v>
      </c>
      <c r="E1302" s="105">
        <v>1</v>
      </c>
      <c r="F1302" s="134">
        <v>9.2799999999999994</v>
      </c>
      <c r="G1302" s="134">
        <v>10.75</v>
      </c>
      <c r="H1302" s="109">
        <f t="shared" si="60"/>
        <v>10.75</v>
      </c>
      <c r="I1302" s="119"/>
      <c r="J1302" s="119">
        <v>0</v>
      </c>
      <c r="K1302" s="119">
        <f t="shared" si="61"/>
        <v>10.75</v>
      </c>
      <c r="L1302" s="152">
        <f t="shared" si="62"/>
        <v>9.2799999999999994</v>
      </c>
      <c r="M1302" s="113"/>
    </row>
    <row r="1303" spans="1:13" x14ac:dyDescent="0.2">
      <c r="A1303" s="106" t="s">
        <v>5027</v>
      </c>
      <c r="B1303" s="105" t="s">
        <v>4567</v>
      </c>
      <c r="C1303" s="105" t="s">
        <v>5050</v>
      </c>
      <c r="D1303" s="149" t="s">
        <v>4672</v>
      </c>
      <c r="E1303" s="105">
        <v>1</v>
      </c>
      <c r="F1303" s="134">
        <v>7.06</v>
      </c>
      <c r="G1303" s="134">
        <v>8.25</v>
      </c>
      <c r="H1303" s="109">
        <f t="shared" si="60"/>
        <v>8.25</v>
      </c>
      <c r="I1303" s="119"/>
      <c r="J1303" s="119">
        <v>0</v>
      </c>
      <c r="K1303" s="119">
        <f t="shared" si="61"/>
        <v>8.25</v>
      </c>
      <c r="L1303" s="152">
        <f t="shared" si="62"/>
        <v>7.06</v>
      </c>
      <c r="M1303" s="113"/>
    </row>
    <row r="1304" spans="1:13" x14ac:dyDescent="0.2">
      <c r="A1304" s="106" t="s">
        <v>5027</v>
      </c>
      <c r="B1304" s="105" t="s">
        <v>1962</v>
      </c>
      <c r="C1304" s="105" t="s">
        <v>5050</v>
      </c>
      <c r="D1304" s="149" t="s">
        <v>1964</v>
      </c>
      <c r="E1304" s="105">
        <v>1</v>
      </c>
      <c r="F1304" s="134">
        <v>7.48</v>
      </c>
      <c r="G1304" s="134">
        <v>8.75</v>
      </c>
      <c r="H1304" s="109">
        <f t="shared" si="60"/>
        <v>8.75</v>
      </c>
      <c r="I1304" s="119"/>
      <c r="J1304" s="119">
        <v>0</v>
      </c>
      <c r="K1304" s="119">
        <f t="shared" si="61"/>
        <v>8.75</v>
      </c>
      <c r="L1304" s="152">
        <f t="shared" si="62"/>
        <v>7.48</v>
      </c>
      <c r="M1304" s="113"/>
    </row>
    <row r="1305" spans="1:13" x14ac:dyDescent="0.2">
      <c r="A1305" s="106" t="s">
        <v>5027</v>
      </c>
      <c r="B1305" s="105" t="s">
        <v>3909</v>
      </c>
      <c r="C1305" s="105" t="s">
        <v>5051</v>
      </c>
      <c r="D1305" s="149" t="s">
        <v>3911</v>
      </c>
      <c r="E1305" s="105">
        <v>1</v>
      </c>
      <c r="F1305" s="134">
        <v>7.06</v>
      </c>
      <c r="G1305" s="134">
        <v>8.25</v>
      </c>
      <c r="H1305" s="109">
        <f t="shared" si="60"/>
        <v>8.25</v>
      </c>
      <c r="I1305" s="119"/>
      <c r="J1305" s="119">
        <v>0</v>
      </c>
      <c r="K1305" s="119">
        <f t="shared" si="61"/>
        <v>8.25</v>
      </c>
      <c r="L1305" s="152">
        <f t="shared" si="62"/>
        <v>7.06</v>
      </c>
      <c r="M1305" s="113"/>
    </row>
    <row r="1306" spans="1:13" x14ac:dyDescent="0.2">
      <c r="A1306" s="106" t="s">
        <v>5027</v>
      </c>
      <c r="B1306" s="105" t="s">
        <v>2507</v>
      </c>
      <c r="C1306" s="105" t="s">
        <v>5052</v>
      </c>
      <c r="D1306" s="149" t="s">
        <v>2508</v>
      </c>
      <c r="E1306" s="105">
        <v>1</v>
      </c>
      <c r="F1306" s="134">
        <v>48.6</v>
      </c>
      <c r="G1306" s="134">
        <v>56</v>
      </c>
      <c r="H1306" s="109">
        <f t="shared" si="60"/>
        <v>56</v>
      </c>
      <c r="I1306" s="119"/>
      <c r="J1306" s="119">
        <v>0</v>
      </c>
      <c r="K1306" s="119">
        <f t="shared" si="61"/>
        <v>56</v>
      </c>
      <c r="L1306" s="152">
        <f t="shared" si="62"/>
        <v>48.6</v>
      </c>
      <c r="M1306" s="113"/>
    </row>
    <row r="1307" spans="1:13" x14ac:dyDescent="0.2">
      <c r="A1307" s="106" t="s">
        <v>5027</v>
      </c>
      <c r="B1307" s="105" t="s">
        <v>1854</v>
      </c>
      <c r="C1307" s="105" t="s">
        <v>5053</v>
      </c>
      <c r="D1307" s="149" t="s">
        <v>1855</v>
      </c>
      <c r="E1307" s="105">
        <v>2</v>
      </c>
      <c r="F1307" s="134">
        <v>7.62</v>
      </c>
      <c r="G1307" s="134">
        <v>8.75</v>
      </c>
      <c r="H1307" s="109">
        <f t="shared" si="60"/>
        <v>17.5</v>
      </c>
      <c r="I1307" s="119"/>
      <c r="J1307" s="119">
        <v>0</v>
      </c>
      <c r="K1307" s="119">
        <f t="shared" si="61"/>
        <v>17.5</v>
      </c>
      <c r="L1307" s="152">
        <f t="shared" si="62"/>
        <v>15.24</v>
      </c>
      <c r="M1307" s="113"/>
    </row>
    <row r="1308" spans="1:13" x14ac:dyDescent="0.2">
      <c r="A1308" s="106" t="s">
        <v>5027</v>
      </c>
      <c r="B1308" s="105" t="s">
        <v>4186</v>
      </c>
      <c r="C1308" s="105" t="s">
        <v>5054</v>
      </c>
      <c r="D1308" s="149" t="s">
        <v>4187</v>
      </c>
      <c r="E1308" s="105">
        <v>1</v>
      </c>
      <c r="F1308" s="134">
        <v>18.559999999999999</v>
      </c>
      <c r="G1308" s="134">
        <v>21.5</v>
      </c>
      <c r="H1308" s="109">
        <f t="shared" si="60"/>
        <v>21.5</v>
      </c>
      <c r="I1308" s="119"/>
      <c r="J1308" s="119">
        <v>0</v>
      </c>
      <c r="K1308" s="119">
        <f t="shared" si="61"/>
        <v>21.5</v>
      </c>
      <c r="L1308" s="152">
        <f t="shared" si="62"/>
        <v>18.559999999999999</v>
      </c>
      <c r="M1308" s="113"/>
    </row>
    <row r="1309" spans="1:13" x14ac:dyDescent="0.2">
      <c r="A1309" s="106" t="s">
        <v>5027</v>
      </c>
      <c r="B1309" s="105" t="s">
        <v>3078</v>
      </c>
      <c r="C1309" s="105" t="s">
        <v>5054</v>
      </c>
      <c r="D1309" s="149" t="s">
        <v>3080</v>
      </c>
      <c r="E1309" s="105">
        <v>1</v>
      </c>
      <c r="F1309" s="134">
        <v>58.84</v>
      </c>
      <c r="G1309" s="134">
        <v>67.75</v>
      </c>
      <c r="H1309" s="109">
        <f t="shared" si="60"/>
        <v>67.75</v>
      </c>
      <c r="I1309" s="119"/>
      <c r="J1309" s="119">
        <v>0</v>
      </c>
      <c r="K1309" s="119">
        <f t="shared" si="61"/>
        <v>67.75</v>
      </c>
      <c r="L1309" s="152">
        <f t="shared" si="62"/>
        <v>58.84</v>
      </c>
      <c r="M1309" s="113"/>
    </row>
    <row r="1310" spans="1:13" x14ac:dyDescent="0.2">
      <c r="A1310" s="106" t="s">
        <v>5027</v>
      </c>
      <c r="B1310" s="105" t="s">
        <v>1854</v>
      </c>
      <c r="C1310" s="105" t="s">
        <v>5055</v>
      </c>
      <c r="D1310" s="149" t="s">
        <v>1855</v>
      </c>
      <c r="E1310" s="105">
        <v>1</v>
      </c>
      <c r="F1310" s="134">
        <v>7.62</v>
      </c>
      <c r="G1310" s="134">
        <v>8.75</v>
      </c>
      <c r="H1310" s="109">
        <f t="shared" si="60"/>
        <v>8.75</v>
      </c>
      <c r="I1310" s="119"/>
      <c r="J1310" s="119">
        <v>0</v>
      </c>
      <c r="K1310" s="119">
        <f t="shared" si="61"/>
        <v>8.75</v>
      </c>
      <c r="L1310" s="152">
        <f t="shared" si="62"/>
        <v>7.62</v>
      </c>
      <c r="M1310" s="113"/>
    </row>
    <row r="1311" spans="1:13" x14ac:dyDescent="0.2">
      <c r="A1311" s="106" t="s">
        <v>5027</v>
      </c>
      <c r="B1311" s="105" t="s">
        <v>4445</v>
      </c>
      <c r="C1311" s="105" t="s">
        <v>5055</v>
      </c>
      <c r="D1311" s="149" t="s">
        <v>4475</v>
      </c>
      <c r="E1311" s="105">
        <v>1</v>
      </c>
      <c r="F1311" s="134">
        <v>37.409999999999997</v>
      </c>
      <c r="G1311" s="134">
        <v>43.25</v>
      </c>
      <c r="H1311" s="109">
        <f t="shared" si="60"/>
        <v>43.25</v>
      </c>
      <c r="I1311" s="119"/>
      <c r="J1311" s="119">
        <v>0</v>
      </c>
      <c r="K1311" s="119">
        <f t="shared" si="61"/>
        <v>43.25</v>
      </c>
      <c r="L1311" s="152">
        <f t="shared" si="62"/>
        <v>37.409999999999997</v>
      </c>
      <c r="M1311" s="113"/>
    </row>
    <row r="1312" spans="1:13" x14ac:dyDescent="0.2">
      <c r="A1312" s="106" t="s">
        <v>5028</v>
      </c>
      <c r="B1312" s="105" t="s">
        <v>2085</v>
      </c>
      <c r="C1312" s="105" t="s">
        <v>5056</v>
      </c>
      <c r="D1312" s="149" t="s">
        <v>2086</v>
      </c>
      <c r="E1312" s="105">
        <v>1</v>
      </c>
      <c r="F1312" s="134">
        <v>11.17</v>
      </c>
      <c r="G1312" s="134">
        <v>13</v>
      </c>
      <c r="H1312" s="109">
        <f t="shared" si="60"/>
        <v>13</v>
      </c>
      <c r="I1312" s="119"/>
      <c r="J1312" s="119">
        <v>0</v>
      </c>
      <c r="K1312" s="119">
        <f t="shared" si="61"/>
        <v>13</v>
      </c>
      <c r="L1312" s="152">
        <f t="shared" si="62"/>
        <v>11.17</v>
      </c>
      <c r="M1312" s="113"/>
    </row>
    <row r="1313" spans="1:13" x14ac:dyDescent="0.2">
      <c r="A1313" s="106" t="s">
        <v>5028</v>
      </c>
      <c r="B1313" s="105" t="s">
        <v>1857</v>
      </c>
      <c r="C1313" s="105" t="s">
        <v>5057</v>
      </c>
      <c r="D1313" s="149" t="s">
        <v>1858</v>
      </c>
      <c r="E1313" s="105">
        <v>1</v>
      </c>
      <c r="F1313" s="134">
        <v>15.12</v>
      </c>
      <c r="G1313" s="134">
        <v>17.5</v>
      </c>
      <c r="H1313" s="109">
        <f t="shared" si="60"/>
        <v>17.5</v>
      </c>
      <c r="I1313" s="119"/>
      <c r="J1313" s="119">
        <v>0</v>
      </c>
      <c r="K1313" s="119">
        <f t="shared" si="61"/>
        <v>17.5</v>
      </c>
      <c r="L1313" s="152">
        <f t="shared" si="62"/>
        <v>15.12</v>
      </c>
      <c r="M1313" s="113"/>
    </row>
    <row r="1314" spans="1:13" x14ac:dyDescent="0.2">
      <c r="A1314" s="106" t="s">
        <v>5028</v>
      </c>
      <c r="B1314" s="105" t="s">
        <v>5031</v>
      </c>
      <c r="C1314" s="105" t="s">
        <v>5058</v>
      </c>
      <c r="D1314" s="149" t="s">
        <v>5075</v>
      </c>
      <c r="E1314" s="105">
        <v>1</v>
      </c>
      <c r="F1314" s="134">
        <v>21.08</v>
      </c>
      <c r="G1314" s="134">
        <v>25.25</v>
      </c>
      <c r="H1314" s="109">
        <f t="shared" si="60"/>
        <v>25.25</v>
      </c>
      <c r="I1314" s="119"/>
      <c r="J1314" s="119">
        <v>0</v>
      </c>
      <c r="K1314" s="119">
        <f t="shared" si="61"/>
        <v>25.25</v>
      </c>
      <c r="L1314" s="152">
        <f t="shared" si="62"/>
        <v>21.08</v>
      </c>
      <c r="M1314" s="113"/>
    </row>
    <row r="1315" spans="1:13" x14ac:dyDescent="0.2">
      <c r="A1315" s="106" t="s">
        <v>5028</v>
      </c>
      <c r="B1315" s="105" t="s">
        <v>1810</v>
      </c>
      <c r="C1315" s="105" t="s">
        <v>5058</v>
      </c>
      <c r="D1315" s="149" t="s">
        <v>1811</v>
      </c>
      <c r="E1315" s="105">
        <v>2</v>
      </c>
      <c r="F1315" s="134">
        <v>38.39</v>
      </c>
      <c r="G1315" s="134">
        <v>44.25</v>
      </c>
      <c r="H1315" s="109">
        <f t="shared" si="60"/>
        <v>88.5</v>
      </c>
      <c r="I1315" s="119"/>
      <c r="J1315" s="119">
        <v>0</v>
      </c>
      <c r="K1315" s="119">
        <f t="shared" si="61"/>
        <v>88.5</v>
      </c>
      <c r="L1315" s="152">
        <f t="shared" si="62"/>
        <v>76.78</v>
      </c>
      <c r="M1315" s="113"/>
    </row>
    <row r="1316" spans="1:13" x14ac:dyDescent="0.2">
      <c r="A1316" s="106" t="s">
        <v>5028</v>
      </c>
      <c r="B1316" s="105" t="s">
        <v>2977</v>
      </c>
      <c r="C1316" s="105" t="s">
        <v>5059</v>
      </c>
      <c r="D1316" s="149" t="s">
        <v>2978</v>
      </c>
      <c r="E1316" s="105">
        <v>1</v>
      </c>
      <c r="F1316" s="134">
        <v>24.04</v>
      </c>
      <c r="G1316" s="134">
        <v>27.75</v>
      </c>
      <c r="H1316" s="109">
        <f t="shared" si="60"/>
        <v>27.75</v>
      </c>
      <c r="I1316" s="119"/>
      <c r="J1316" s="119">
        <v>0</v>
      </c>
      <c r="K1316" s="119">
        <f t="shared" si="61"/>
        <v>27.75</v>
      </c>
      <c r="L1316" s="152">
        <f t="shared" si="62"/>
        <v>24.04</v>
      </c>
      <c r="M1316" s="113"/>
    </row>
    <row r="1317" spans="1:13" x14ac:dyDescent="0.2">
      <c r="A1317" s="106" t="s">
        <v>5028</v>
      </c>
      <c r="B1317" s="105" t="s">
        <v>4076</v>
      </c>
      <c r="C1317" s="105" t="s">
        <v>5060</v>
      </c>
      <c r="D1317" s="149" t="s">
        <v>4078</v>
      </c>
      <c r="E1317" s="105">
        <v>4</v>
      </c>
      <c r="F1317" s="134">
        <v>8.75</v>
      </c>
      <c r="G1317" s="134">
        <v>10.25</v>
      </c>
      <c r="H1317" s="109">
        <f t="shared" si="60"/>
        <v>41</v>
      </c>
      <c r="I1317" s="119"/>
      <c r="J1317" s="119">
        <v>0</v>
      </c>
      <c r="K1317" s="119">
        <f t="shared" si="61"/>
        <v>41</v>
      </c>
      <c r="L1317" s="152">
        <f t="shared" si="62"/>
        <v>35</v>
      </c>
      <c r="M1317" s="113"/>
    </row>
    <row r="1318" spans="1:13" x14ac:dyDescent="0.2">
      <c r="A1318" s="106" t="s">
        <v>5028</v>
      </c>
      <c r="B1318" s="105" t="s">
        <v>3437</v>
      </c>
      <c r="C1318" s="105" t="s">
        <v>5061</v>
      </c>
      <c r="D1318" s="149" t="s">
        <v>3439</v>
      </c>
      <c r="E1318" s="105">
        <v>1</v>
      </c>
      <c r="F1318" s="134">
        <v>13.12</v>
      </c>
      <c r="G1318" s="134">
        <v>15.25</v>
      </c>
      <c r="H1318" s="109">
        <f t="shared" si="60"/>
        <v>15.25</v>
      </c>
      <c r="I1318" s="119"/>
      <c r="J1318" s="119">
        <v>0</v>
      </c>
      <c r="K1318" s="119">
        <f t="shared" si="61"/>
        <v>15.25</v>
      </c>
      <c r="L1318" s="152">
        <f t="shared" si="62"/>
        <v>13.12</v>
      </c>
      <c r="M1318" s="113"/>
    </row>
    <row r="1319" spans="1:13" x14ac:dyDescent="0.2">
      <c r="A1319" s="106" t="s">
        <v>5028</v>
      </c>
      <c r="B1319" s="105" t="s">
        <v>4799</v>
      </c>
      <c r="C1319" s="105" t="s">
        <v>5062</v>
      </c>
      <c r="D1319" s="149" t="s">
        <v>4867</v>
      </c>
      <c r="E1319" s="105">
        <v>2</v>
      </c>
      <c r="F1319" s="134">
        <v>31.83</v>
      </c>
      <c r="G1319" s="134">
        <v>39.75</v>
      </c>
      <c r="H1319" s="109">
        <f t="shared" si="60"/>
        <v>79.5</v>
      </c>
      <c r="I1319" s="119"/>
      <c r="J1319" s="119">
        <v>0</v>
      </c>
      <c r="K1319" s="119">
        <f t="shared" si="61"/>
        <v>79.5</v>
      </c>
      <c r="L1319" s="152">
        <f t="shared" si="62"/>
        <v>63.66</v>
      </c>
      <c r="M1319" s="113"/>
    </row>
    <row r="1320" spans="1:13" x14ac:dyDescent="0.2">
      <c r="A1320" s="106" t="s">
        <v>5028</v>
      </c>
      <c r="B1320" s="105" t="s">
        <v>3356</v>
      </c>
      <c r="C1320" s="105" t="s">
        <v>5063</v>
      </c>
      <c r="D1320" s="149" t="s">
        <v>3358</v>
      </c>
      <c r="E1320" s="105">
        <v>2</v>
      </c>
      <c r="F1320" s="134">
        <v>6.03</v>
      </c>
      <c r="G1320" s="134">
        <v>7</v>
      </c>
      <c r="H1320" s="109">
        <f t="shared" si="60"/>
        <v>14</v>
      </c>
      <c r="I1320" s="119"/>
      <c r="J1320" s="119">
        <v>0</v>
      </c>
      <c r="K1320" s="119">
        <f t="shared" si="61"/>
        <v>14</v>
      </c>
      <c r="L1320" s="152">
        <f t="shared" si="62"/>
        <v>12.06</v>
      </c>
      <c r="M1320" s="113"/>
    </row>
    <row r="1321" spans="1:13" x14ac:dyDescent="0.2">
      <c r="A1321" s="106" t="s">
        <v>5028</v>
      </c>
      <c r="B1321" s="105" t="s">
        <v>1915</v>
      </c>
      <c r="C1321" s="105" t="s">
        <v>5063</v>
      </c>
      <c r="D1321" s="149" t="s">
        <v>1917</v>
      </c>
      <c r="E1321" s="105">
        <v>1</v>
      </c>
      <c r="F1321" s="134">
        <v>7.85</v>
      </c>
      <c r="G1321" s="134">
        <v>12</v>
      </c>
      <c r="H1321" s="109">
        <f t="shared" si="60"/>
        <v>12</v>
      </c>
      <c r="I1321" s="119"/>
      <c r="J1321" s="119">
        <v>0</v>
      </c>
      <c r="K1321" s="119">
        <f t="shared" si="61"/>
        <v>12</v>
      </c>
      <c r="L1321" s="152">
        <f t="shared" si="62"/>
        <v>7.85</v>
      </c>
      <c r="M1321" s="113"/>
    </row>
    <row r="1322" spans="1:13" x14ac:dyDescent="0.2">
      <c r="A1322" s="106" t="s">
        <v>5028</v>
      </c>
      <c r="B1322" s="105" t="s">
        <v>5032</v>
      </c>
      <c r="C1322" s="105" t="s">
        <v>5064</v>
      </c>
      <c r="D1322" s="149" t="s">
        <v>5076</v>
      </c>
      <c r="E1322" s="105">
        <v>1</v>
      </c>
      <c r="F1322" s="134">
        <v>90</v>
      </c>
      <c r="G1322" s="134">
        <v>103.75</v>
      </c>
      <c r="H1322" s="109">
        <f t="shared" si="60"/>
        <v>103.75</v>
      </c>
      <c r="I1322" s="119"/>
      <c r="J1322" s="119">
        <v>0</v>
      </c>
      <c r="K1322" s="119">
        <f t="shared" si="61"/>
        <v>103.75</v>
      </c>
      <c r="L1322" s="152">
        <f t="shared" si="62"/>
        <v>90</v>
      </c>
      <c r="M1322" s="113"/>
    </row>
    <row r="1323" spans="1:13" x14ac:dyDescent="0.2">
      <c r="A1323" s="106" t="s">
        <v>5028</v>
      </c>
      <c r="B1323" s="105" t="s">
        <v>4997</v>
      </c>
      <c r="C1323" s="105" t="s">
        <v>5064</v>
      </c>
      <c r="D1323" s="149" t="s">
        <v>5023</v>
      </c>
      <c r="E1323" s="105">
        <v>3</v>
      </c>
      <c r="F1323" s="134">
        <v>3.22</v>
      </c>
      <c r="G1323" s="134">
        <v>5</v>
      </c>
      <c r="H1323" s="109">
        <f t="shared" si="60"/>
        <v>15</v>
      </c>
      <c r="I1323" s="119"/>
      <c r="J1323" s="119">
        <v>0</v>
      </c>
      <c r="K1323" s="119">
        <f t="shared" si="61"/>
        <v>15</v>
      </c>
      <c r="L1323" s="152">
        <f t="shared" si="62"/>
        <v>9.66</v>
      </c>
      <c r="M1323" s="113"/>
    </row>
    <row r="1324" spans="1:13" x14ac:dyDescent="0.2">
      <c r="A1324" s="106" t="s">
        <v>5028</v>
      </c>
      <c r="B1324" s="105" t="s">
        <v>2441</v>
      </c>
      <c r="C1324" s="105" t="s">
        <v>5064</v>
      </c>
      <c r="D1324" s="149" t="s">
        <v>2443</v>
      </c>
      <c r="E1324" s="105">
        <v>1</v>
      </c>
      <c r="F1324" s="134">
        <v>0.81</v>
      </c>
      <c r="G1324" s="134">
        <v>1</v>
      </c>
      <c r="H1324" s="109">
        <f t="shared" si="60"/>
        <v>1</v>
      </c>
      <c r="I1324" s="119"/>
      <c r="J1324" s="119">
        <v>0</v>
      </c>
      <c r="K1324" s="119">
        <f t="shared" si="61"/>
        <v>1</v>
      </c>
      <c r="L1324" s="152">
        <f t="shared" si="62"/>
        <v>0.81</v>
      </c>
      <c r="M1324" s="113"/>
    </row>
    <row r="1325" spans="1:13" x14ac:dyDescent="0.2">
      <c r="A1325" s="106" t="s">
        <v>5028</v>
      </c>
      <c r="B1325" s="105" t="s">
        <v>3912</v>
      </c>
      <c r="C1325" s="105" t="s">
        <v>5065</v>
      </c>
      <c r="D1325" s="149" t="s">
        <v>3913</v>
      </c>
      <c r="E1325" s="105">
        <v>2</v>
      </c>
      <c r="F1325" s="134">
        <v>15.25</v>
      </c>
      <c r="G1325" s="134">
        <v>17.75</v>
      </c>
      <c r="H1325" s="109">
        <f t="shared" si="60"/>
        <v>35.5</v>
      </c>
      <c r="I1325" s="119"/>
      <c r="J1325" s="119">
        <v>0</v>
      </c>
      <c r="K1325" s="119">
        <f t="shared" si="61"/>
        <v>35.5</v>
      </c>
      <c r="L1325" s="152">
        <f t="shared" si="62"/>
        <v>30.5</v>
      </c>
      <c r="M1325" s="113"/>
    </row>
    <row r="1326" spans="1:13" x14ac:dyDescent="0.2">
      <c r="A1326" s="106" t="s">
        <v>5028</v>
      </c>
      <c r="B1326" s="105" t="s">
        <v>4181</v>
      </c>
      <c r="C1326" s="105" t="s">
        <v>5065</v>
      </c>
      <c r="D1326" s="149" t="s">
        <v>4183</v>
      </c>
      <c r="E1326" s="105">
        <v>2</v>
      </c>
      <c r="F1326" s="134">
        <v>13.1</v>
      </c>
      <c r="G1326" s="134">
        <v>15</v>
      </c>
      <c r="H1326" s="109">
        <f t="shared" si="60"/>
        <v>30</v>
      </c>
      <c r="I1326" s="119"/>
      <c r="J1326" s="119">
        <v>0</v>
      </c>
      <c r="K1326" s="119">
        <f t="shared" si="61"/>
        <v>30</v>
      </c>
      <c r="L1326" s="152">
        <f t="shared" si="62"/>
        <v>26.2</v>
      </c>
      <c r="M1326" s="113"/>
    </row>
    <row r="1327" spans="1:13" x14ac:dyDescent="0.2">
      <c r="A1327" s="106" t="s">
        <v>5028</v>
      </c>
      <c r="B1327" s="105" t="s">
        <v>1969</v>
      </c>
      <c r="C1327" s="105" t="s">
        <v>5065</v>
      </c>
      <c r="D1327" s="149" t="s">
        <v>1970</v>
      </c>
      <c r="E1327" s="105">
        <v>5</v>
      </c>
      <c r="F1327" s="134">
        <v>3.6</v>
      </c>
      <c r="G1327" s="134">
        <v>4.25</v>
      </c>
      <c r="H1327" s="109">
        <f t="shared" si="60"/>
        <v>21.25</v>
      </c>
      <c r="I1327" s="119"/>
      <c r="J1327" s="119">
        <v>0</v>
      </c>
      <c r="K1327" s="119">
        <f t="shared" si="61"/>
        <v>21.25</v>
      </c>
      <c r="L1327" s="152">
        <f t="shared" si="62"/>
        <v>18</v>
      </c>
      <c r="M1327" s="113"/>
    </row>
    <row r="1328" spans="1:13" x14ac:dyDescent="0.2">
      <c r="A1328" s="106" t="s">
        <v>5028</v>
      </c>
      <c r="B1328" s="105" t="s">
        <v>4806</v>
      </c>
      <c r="C1328" s="105" t="s">
        <v>5065</v>
      </c>
      <c r="D1328" s="149" t="s">
        <v>4874</v>
      </c>
      <c r="E1328" s="105">
        <v>12</v>
      </c>
      <c r="F1328" s="134">
        <v>8.58</v>
      </c>
      <c r="G1328" s="134">
        <v>10</v>
      </c>
      <c r="H1328" s="109">
        <f t="shared" si="60"/>
        <v>120</v>
      </c>
      <c r="I1328" s="119"/>
      <c r="J1328" s="119">
        <v>0</v>
      </c>
      <c r="K1328" s="119">
        <f t="shared" si="61"/>
        <v>120</v>
      </c>
      <c r="L1328" s="152">
        <f t="shared" si="62"/>
        <v>102.96000000000001</v>
      </c>
      <c r="M1328" s="113"/>
    </row>
    <row r="1329" spans="1:13" x14ac:dyDescent="0.2">
      <c r="A1329" s="106" t="s">
        <v>5028</v>
      </c>
      <c r="B1329" s="105" t="s">
        <v>5033</v>
      </c>
      <c r="C1329" s="105" t="s">
        <v>5065</v>
      </c>
      <c r="D1329" s="149" t="s">
        <v>5077</v>
      </c>
      <c r="E1329" s="105">
        <v>1</v>
      </c>
      <c r="F1329" s="134">
        <v>25</v>
      </c>
      <c r="G1329" s="134">
        <v>28.75</v>
      </c>
      <c r="H1329" s="109">
        <f t="shared" si="60"/>
        <v>28.75</v>
      </c>
      <c r="I1329" s="119"/>
      <c r="J1329" s="119">
        <v>0</v>
      </c>
      <c r="K1329" s="119">
        <f t="shared" si="61"/>
        <v>28.75</v>
      </c>
      <c r="L1329" s="152">
        <f t="shared" si="62"/>
        <v>25</v>
      </c>
      <c r="M1329" s="113"/>
    </row>
    <row r="1330" spans="1:13" x14ac:dyDescent="0.2">
      <c r="A1330" s="106" t="s">
        <v>5028</v>
      </c>
      <c r="B1330" s="105" t="s">
        <v>5034</v>
      </c>
      <c r="C1330" s="105" t="s">
        <v>5065</v>
      </c>
      <c r="D1330" s="149" t="s">
        <v>5078</v>
      </c>
      <c r="E1330" s="105">
        <v>1</v>
      </c>
      <c r="F1330" s="134">
        <v>36.51</v>
      </c>
      <c r="G1330" s="134">
        <v>42</v>
      </c>
      <c r="H1330" s="109">
        <f t="shared" si="60"/>
        <v>42</v>
      </c>
      <c r="I1330" s="119"/>
      <c r="J1330" s="119">
        <v>0</v>
      </c>
      <c r="K1330" s="119">
        <f t="shared" si="61"/>
        <v>42</v>
      </c>
      <c r="L1330" s="152">
        <f t="shared" si="62"/>
        <v>36.51</v>
      </c>
      <c r="M1330" s="113"/>
    </row>
    <row r="1331" spans="1:13" x14ac:dyDescent="0.2">
      <c r="A1331" s="106" t="s">
        <v>5028</v>
      </c>
      <c r="B1331" s="105" t="s">
        <v>2690</v>
      </c>
      <c r="C1331" s="105" t="s">
        <v>5065</v>
      </c>
      <c r="D1331" s="149" t="s">
        <v>2692</v>
      </c>
      <c r="E1331" s="105">
        <v>2</v>
      </c>
      <c r="F1331" s="134">
        <v>32.86</v>
      </c>
      <c r="G1331" s="134">
        <v>38</v>
      </c>
      <c r="H1331" s="109">
        <f t="shared" si="60"/>
        <v>76</v>
      </c>
      <c r="I1331" s="119"/>
      <c r="J1331" s="119">
        <v>0</v>
      </c>
      <c r="K1331" s="119">
        <f t="shared" si="61"/>
        <v>76</v>
      </c>
      <c r="L1331" s="152">
        <f t="shared" si="62"/>
        <v>65.72</v>
      </c>
      <c r="M1331" s="113"/>
    </row>
    <row r="1332" spans="1:13" x14ac:dyDescent="0.2">
      <c r="A1332" s="106" t="s">
        <v>5028</v>
      </c>
      <c r="B1332" s="105" t="s">
        <v>2293</v>
      </c>
      <c r="C1332" s="105" t="s">
        <v>5065</v>
      </c>
      <c r="D1332" s="149" t="s">
        <v>2295</v>
      </c>
      <c r="E1332" s="105">
        <v>1</v>
      </c>
      <c r="F1332" s="134">
        <v>27.84</v>
      </c>
      <c r="G1332" s="134">
        <v>45</v>
      </c>
      <c r="H1332" s="109">
        <f t="shared" si="60"/>
        <v>45</v>
      </c>
      <c r="I1332" s="119"/>
      <c r="J1332" s="119">
        <v>0</v>
      </c>
      <c r="K1332" s="119">
        <f t="shared" si="61"/>
        <v>45</v>
      </c>
      <c r="L1332" s="152">
        <f t="shared" si="62"/>
        <v>27.84</v>
      </c>
      <c r="M1332" s="113"/>
    </row>
    <row r="1333" spans="1:13" x14ac:dyDescent="0.2">
      <c r="A1333" s="106" t="s">
        <v>5028</v>
      </c>
      <c r="B1333" s="105" t="s">
        <v>4282</v>
      </c>
      <c r="C1333" s="105" t="s">
        <v>5065</v>
      </c>
      <c r="D1333" s="149" t="s">
        <v>4284</v>
      </c>
      <c r="E1333" s="105">
        <v>1</v>
      </c>
      <c r="F1333" s="134">
        <v>53.2</v>
      </c>
      <c r="G1333" s="134">
        <v>61.25</v>
      </c>
      <c r="H1333" s="109">
        <f t="shared" si="60"/>
        <v>61.25</v>
      </c>
      <c r="I1333" s="119"/>
      <c r="J1333" s="119">
        <v>0</v>
      </c>
      <c r="K1333" s="119">
        <f t="shared" si="61"/>
        <v>61.25</v>
      </c>
      <c r="L1333" s="152">
        <f t="shared" si="62"/>
        <v>53.2</v>
      </c>
      <c r="M1333" s="113"/>
    </row>
    <row r="1334" spans="1:13" x14ac:dyDescent="0.2">
      <c r="A1334" s="106" t="s">
        <v>5028</v>
      </c>
      <c r="B1334" s="105" t="s">
        <v>2441</v>
      </c>
      <c r="C1334" s="105" t="s">
        <v>5066</v>
      </c>
      <c r="D1334" s="149" t="s">
        <v>2443</v>
      </c>
      <c r="E1334" s="105">
        <v>5</v>
      </c>
      <c r="F1334" s="134">
        <v>0.81</v>
      </c>
      <c r="G1334" s="134">
        <v>1</v>
      </c>
      <c r="H1334" s="109">
        <f t="shared" si="60"/>
        <v>5</v>
      </c>
      <c r="I1334" s="119"/>
      <c r="J1334" s="119">
        <v>0</v>
      </c>
      <c r="K1334" s="119">
        <f t="shared" si="61"/>
        <v>5</v>
      </c>
      <c r="L1334" s="152">
        <f t="shared" si="62"/>
        <v>4.0500000000000007</v>
      </c>
      <c r="M1334" s="113"/>
    </row>
    <row r="1335" spans="1:13" x14ac:dyDescent="0.2">
      <c r="A1335" s="106" t="s">
        <v>5028</v>
      </c>
      <c r="B1335" s="105" t="s">
        <v>5035</v>
      </c>
      <c r="C1335" s="105" t="s">
        <v>5067</v>
      </c>
      <c r="D1335" s="149" t="s">
        <v>5079</v>
      </c>
      <c r="E1335" s="105">
        <v>3</v>
      </c>
      <c r="F1335" s="134">
        <v>22.19</v>
      </c>
      <c r="G1335" s="134">
        <v>25.75</v>
      </c>
      <c r="H1335" s="109">
        <f t="shared" si="60"/>
        <v>77.25</v>
      </c>
      <c r="I1335" s="119"/>
      <c r="J1335" s="119">
        <v>0</v>
      </c>
      <c r="K1335" s="119">
        <f t="shared" si="61"/>
        <v>77.25</v>
      </c>
      <c r="L1335" s="152">
        <f t="shared" si="62"/>
        <v>66.570000000000007</v>
      </c>
      <c r="M1335" s="113"/>
    </row>
    <row r="1336" spans="1:13" x14ac:dyDescent="0.2">
      <c r="A1336" s="106" t="s">
        <v>5028</v>
      </c>
      <c r="B1336" s="105" t="s">
        <v>2429</v>
      </c>
      <c r="C1336" s="105" t="s">
        <v>5067</v>
      </c>
      <c r="D1336" s="149" t="s">
        <v>2431</v>
      </c>
      <c r="E1336" s="105">
        <v>1</v>
      </c>
      <c r="F1336" s="134">
        <v>14.31</v>
      </c>
      <c r="G1336" s="134">
        <v>16.5</v>
      </c>
      <c r="H1336" s="109">
        <f t="shared" si="60"/>
        <v>16.5</v>
      </c>
      <c r="I1336" s="119"/>
      <c r="J1336" s="119">
        <v>0</v>
      </c>
      <c r="K1336" s="119">
        <f t="shared" si="61"/>
        <v>16.5</v>
      </c>
      <c r="L1336" s="152">
        <f t="shared" si="62"/>
        <v>14.31</v>
      </c>
      <c r="M1336" s="113"/>
    </row>
    <row r="1337" spans="1:13" x14ac:dyDescent="0.2">
      <c r="A1337" s="106" t="s">
        <v>5028</v>
      </c>
      <c r="B1337" s="105" t="s">
        <v>4567</v>
      </c>
      <c r="C1337" s="105" t="s">
        <v>5068</v>
      </c>
      <c r="D1337" s="149" t="s">
        <v>4672</v>
      </c>
      <c r="E1337" s="105">
        <v>1</v>
      </c>
      <c r="F1337" s="134">
        <v>7.06</v>
      </c>
      <c r="G1337" s="134">
        <v>8.25</v>
      </c>
      <c r="H1337" s="109">
        <f t="shared" si="60"/>
        <v>8.25</v>
      </c>
      <c r="I1337" s="119"/>
      <c r="J1337" s="119">
        <v>0</v>
      </c>
      <c r="K1337" s="119">
        <f t="shared" si="61"/>
        <v>8.25</v>
      </c>
      <c r="L1337" s="152">
        <f t="shared" si="62"/>
        <v>7.06</v>
      </c>
      <c r="M1337" s="113"/>
    </row>
    <row r="1338" spans="1:13" x14ac:dyDescent="0.2">
      <c r="A1338" s="106" t="s">
        <v>5028</v>
      </c>
      <c r="B1338" s="105" t="s">
        <v>2407</v>
      </c>
      <c r="C1338" s="105" t="s">
        <v>5069</v>
      </c>
      <c r="D1338" s="149" t="s">
        <v>2409</v>
      </c>
      <c r="E1338" s="105">
        <v>1</v>
      </c>
      <c r="F1338" s="134">
        <v>94.58</v>
      </c>
      <c r="G1338" s="134">
        <v>109</v>
      </c>
      <c r="H1338" s="109">
        <f t="shared" si="60"/>
        <v>109</v>
      </c>
      <c r="I1338" s="119"/>
      <c r="J1338" s="119">
        <v>0</v>
      </c>
      <c r="K1338" s="119">
        <f t="shared" si="61"/>
        <v>109</v>
      </c>
      <c r="L1338" s="152">
        <f t="shared" si="62"/>
        <v>94.58</v>
      </c>
      <c r="M1338" s="113"/>
    </row>
    <row r="1339" spans="1:13" x14ac:dyDescent="0.2">
      <c r="A1339" s="153" t="s">
        <v>5028</v>
      </c>
      <c r="B1339" s="154" t="s">
        <v>2185</v>
      </c>
      <c r="C1339" s="154" t="s">
        <v>5069</v>
      </c>
      <c r="D1339" s="155" t="s">
        <v>2187</v>
      </c>
      <c r="E1339" s="154">
        <v>1</v>
      </c>
      <c r="F1339" s="238"/>
      <c r="G1339" s="238">
        <v>59.5</v>
      </c>
      <c r="H1339" s="237">
        <f t="shared" si="60"/>
        <v>59.5</v>
      </c>
      <c r="I1339" s="147"/>
      <c r="J1339" s="147">
        <v>0</v>
      </c>
      <c r="K1339" s="147">
        <f t="shared" si="61"/>
        <v>59.5</v>
      </c>
      <c r="L1339" s="148">
        <f t="shared" si="62"/>
        <v>0</v>
      </c>
      <c r="M1339" s="113"/>
    </row>
    <row r="1340" spans="1:13" x14ac:dyDescent="0.2">
      <c r="A1340" s="106" t="s">
        <v>5028</v>
      </c>
      <c r="B1340" s="105" t="s">
        <v>1924</v>
      </c>
      <c r="C1340" s="105" t="s">
        <v>5070</v>
      </c>
      <c r="D1340" s="149" t="s">
        <v>1926</v>
      </c>
      <c r="E1340" s="105">
        <v>5</v>
      </c>
      <c r="F1340" s="134">
        <v>10.64</v>
      </c>
      <c r="G1340" s="134">
        <v>12.25</v>
      </c>
      <c r="H1340" s="109">
        <f t="shared" si="60"/>
        <v>61.25</v>
      </c>
      <c r="I1340" s="119"/>
      <c r="J1340" s="119">
        <v>0</v>
      </c>
      <c r="K1340" s="119">
        <f t="shared" si="61"/>
        <v>61.25</v>
      </c>
      <c r="L1340" s="152">
        <f t="shared" si="62"/>
        <v>53.2</v>
      </c>
      <c r="M1340" s="113"/>
    </row>
    <row r="1341" spans="1:13" x14ac:dyDescent="0.2">
      <c r="A1341" s="106" t="s">
        <v>5028</v>
      </c>
      <c r="B1341" s="105" t="s">
        <v>2848</v>
      </c>
      <c r="C1341" s="105" t="s">
        <v>5070</v>
      </c>
      <c r="D1341" s="149" t="s">
        <v>2850</v>
      </c>
      <c r="E1341" s="105">
        <v>1</v>
      </c>
      <c r="F1341" s="134">
        <v>16.55</v>
      </c>
      <c r="G1341" s="134">
        <v>19.25</v>
      </c>
      <c r="H1341" s="109">
        <f t="shared" si="60"/>
        <v>19.25</v>
      </c>
      <c r="I1341" s="119"/>
      <c r="J1341" s="119">
        <v>0</v>
      </c>
      <c r="K1341" s="119">
        <f t="shared" si="61"/>
        <v>19.25</v>
      </c>
      <c r="L1341" s="152">
        <f t="shared" si="62"/>
        <v>16.55</v>
      </c>
      <c r="M1341" s="113"/>
    </row>
    <row r="1342" spans="1:13" x14ac:dyDescent="0.2">
      <c r="A1342" s="106" t="s">
        <v>5028</v>
      </c>
      <c r="B1342" s="105" t="s">
        <v>2857</v>
      </c>
      <c r="C1342" s="105" t="s">
        <v>5070</v>
      </c>
      <c r="D1342" s="149" t="s">
        <v>2859</v>
      </c>
      <c r="E1342" s="105">
        <v>2</v>
      </c>
      <c r="F1342" s="134">
        <v>6.97</v>
      </c>
      <c r="G1342" s="134">
        <v>8</v>
      </c>
      <c r="H1342" s="109">
        <f t="shared" si="60"/>
        <v>16</v>
      </c>
      <c r="I1342" s="119"/>
      <c r="J1342" s="119">
        <v>0</v>
      </c>
      <c r="K1342" s="119">
        <f t="shared" si="61"/>
        <v>16</v>
      </c>
      <c r="L1342" s="152">
        <f t="shared" si="62"/>
        <v>13.94</v>
      </c>
      <c r="M1342" s="113"/>
    </row>
    <row r="1343" spans="1:13" x14ac:dyDescent="0.2">
      <c r="A1343" s="106" t="s">
        <v>5028</v>
      </c>
      <c r="B1343" s="105" t="s">
        <v>2441</v>
      </c>
      <c r="C1343" s="105" t="s">
        <v>5070</v>
      </c>
      <c r="D1343" s="149" t="s">
        <v>2443</v>
      </c>
      <c r="E1343" s="105">
        <v>3</v>
      </c>
      <c r="F1343" s="134">
        <v>0.81</v>
      </c>
      <c r="G1343" s="134">
        <v>1</v>
      </c>
      <c r="H1343" s="109">
        <f t="shared" si="60"/>
        <v>3</v>
      </c>
      <c r="I1343" s="119"/>
      <c r="J1343" s="119">
        <v>0</v>
      </c>
      <c r="K1343" s="119">
        <f t="shared" si="61"/>
        <v>3</v>
      </c>
      <c r="L1343" s="152">
        <f t="shared" si="62"/>
        <v>2.4300000000000002</v>
      </c>
      <c r="M1343" s="113"/>
    </row>
    <row r="1344" spans="1:13" x14ac:dyDescent="0.2">
      <c r="A1344" s="106" t="s">
        <v>5028</v>
      </c>
      <c r="B1344" s="105" t="s">
        <v>2173</v>
      </c>
      <c r="C1344" s="105" t="s">
        <v>5071</v>
      </c>
      <c r="D1344" s="149" t="s">
        <v>2175</v>
      </c>
      <c r="E1344" s="105">
        <v>1</v>
      </c>
      <c r="F1344" s="134">
        <v>140</v>
      </c>
      <c r="G1344" s="134">
        <v>161</v>
      </c>
      <c r="H1344" s="109">
        <f t="shared" si="60"/>
        <v>161</v>
      </c>
      <c r="I1344" s="119"/>
      <c r="J1344" s="119">
        <v>0</v>
      </c>
      <c r="K1344" s="119">
        <f t="shared" si="61"/>
        <v>161</v>
      </c>
      <c r="L1344" s="152">
        <f t="shared" si="62"/>
        <v>140</v>
      </c>
      <c r="M1344" s="113"/>
    </row>
    <row r="1345" spans="1:13" x14ac:dyDescent="0.2">
      <c r="A1345" s="106" t="s">
        <v>5028</v>
      </c>
      <c r="B1345" s="105" t="s">
        <v>2521</v>
      </c>
      <c r="C1345" s="105" t="s">
        <v>5071</v>
      </c>
      <c r="D1345" s="149" t="s">
        <v>2522</v>
      </c>
      <c r="E1345" s="105">
        <v>24</v>
      </c>
      <c r="F1345" s="134">
        <v>6.12</v>
      </c>
      <c r="G1345" s="134">
        <v>7.25</v>
      </c>
      <c r="H1345" s="109">
        <f t="shared" si="60"/>
        <v>174</v>
      </c>
      <c r="I1345" s="119"/>
      <c r="J1345" s="119">
        <v>0</v>
      </c>
      <c r="K1345" s="119">
        <f t="shared" si="61"/>
        <v>174</v>
      </c>
      <c r="L1345" s="152">
        <f t="shared" si="62"/>
        <v>146.88</v>
      </c>
      <c r="M1345" s="113"/>
    </row>
    <row r="1346" spans="1:13" x14ac:dyDescent="0.2">
      <c r="A1346" s="106" t="s">
        <v>5028</v>
      </c>
      <c r="B1346" s="105" t="s">
        <v>2245</v>
      </c>
      <c r="C1346" s="105" t="s">
        <v>5071</v>
      </c>
      <c r="D1346" s="149" t="s">
        <v>2246</v>
      </c>
      <c r="E1346" s="105">
        <v>16</v>
      </c>
      <c r="F1346" s="134">
        <v>4.74</v>
      </c>
      <c r="G1346" s="134">
        <v>5.5</v>
      </c>
      <c r="H1346" s="109">
        <f t="shared" si="60"/>
        <v>88</v>
      </c>
      <c r="I1346" s="119"/>
      <c r="J1346" s="119">
        <v>0</v>
      </c>
      <c r="K1346" s="119">
        <f t="shared" si="61"/>
        <v>88</v>
      </c>
      <c r="L1346" s="152">
        <f t="shared" si="62"/>
        <v>75.84</v>
      </c>
      <c r="M1346" s="113"/>
    </row>
    <row r="1347" spans="1:13" x14ac:dyDescent="0.2">
      <c r="A1347" s="106" t="s">
        <v>5028</v>
      </c>
      <c r="B1347" s="105" t="s">
        <v>3101</v>
      </c>
      <c r="C1347" s="105" t="s">
        <v>5071</v>
      </c>
      <c r="D1347" s="149" t="s">
        <v>3102</v>
      </c>
      <c r="E1347" s="105">
        <v>4</v>
      </c>
      <c r="F1347" s="134">
        <v>30.83</v>
      </c>
      <c r="G1347" s="134">
        <v>35.5</v>
      </c>
      <c r="H1347" s="109">
        <f t="shared" si="60"/>
        <v>142</v>
      </c>
      <c r="I1347" s="119"/>
      <c r="J1347" s="119">
        <v>0</v>
      </c>
      <c r="K1347" s="119">
        <f t="shared" si="61"/>
        <v>142</v>
      </c>
      <c r="L1347" s="152">
        <f t="shared" si="62"/>
        <v>123.32</v>
      </c>
      <c r="M1347" s="113"/>
    </row>
    <row r="1348" spans="1:13" x14ac:dyDescent="0.2">
      <c r="A1348" s="106" t="s">
        <v>5028</v>
      </c>
      <c r="B1348" s="105" t="s">
        <v>2441</v>
      </c>
      <c r="C1348" s="105" t="s">
        <v>5072</v>
      </c>
      <c r="D1348" s="149" t="s">
        <v>2443</v>
      </c>
      <c r="E1348" s="105">
        <v>4</v>
      </c>
      <c r="F1348" s="134">
        <v>0.81</v>
      </c>
      <c r="G1348" s="134">
        <v>1</v>
      </c>
      <c r="H1348" s="109">
        <f t="shared" si="60"/>
        <v>4</v>
      </c>
      <c r="I1348" s="119"/>
      <c r="J1348" s="119">
        <v>0</v>
      </c>
      <c r="K1348" s="119">
        <f t="shared" si="61"/>
        <v>4</v>
      </c>
      <c r="L1348" s="152">
        <f t="shared" si="62"/>
        <v>3.24</v>
      </c>
      <c r="M1348" s="113"/>
    </row>
    <row r="1349" spans="1:13" x14ac:dyDescent="0.2">
      <c r="A1349" s="106">
        <v>46202</v>
      </c>
      <c r="B1349" s="105" t="s">
        <v>2441</v>
      </c>
      <c r="C1349" s="105" t="s">
        <v>5080</v>
      </c>
      <c r="D1349" s="149" t="s">
        <v>2443</v>
      </c>
      <c r="E1349" s="105">
        <v>5</v>
      </c>
      <c r="F1349" s="134">
        <v>0.81</v>
      </c>
      <c r="G1349" s="134">
        <v>1</v>
      </c>
      <c r="H1349" s="109">
        <f t="shared" si="60"/>
        <v>5</v>
      </c>
      <c r="I1349" s="119"/>
      <c r="J1349" s="119">
        <v>0</v>
      </c>
      <c r="K1349" s="119">
        <f t="shared" si="61"/>
        <v>5</v>
      </c>
      <c r="L1349" s="152">
        <f t="shared" si="62"/>
        <v>4.0500000000000007</v>
      </c>
      <c r="M1349" s="113"/>
    </row>
    <row r="1350" spans="1:13" x14ac:dyDescent="0.2">
      <c r="A1350" s="106">
        <v>46202</v>
      </c>
      <c r="B1350" s="105" t="s">
        <v>4201</v>
      </c>
      <c r="C1350" s="105" t="s">
        <v>5081</v>
      </c>
      <c r="D1350" s="149" t="s">
        <v>4202</v>
      </c>
      <c r="E1350" s="105">
        <v>1</v>
      </c>
      <c r="F1350" s="134">
        <v>24.35</v>
      </c>
      <c r="G1350" s="134">
        <v>28</v>
      </c>
      <c r="H1350" s="109">
        <f t="shared" si="60"/>
        <v>28</v>
      </c>
      <c r="I1350" s="119"/>
      <c r="J1350" s="119">
        <v>0</v>
      </c>
      <c r="K1350" s="119">
        <f t="shared" si="61"/>
        <v>28</v>
      </c>
      <c r="L1350" s="152">
        <f t="shared" si="62"/>
        <v>24.35</v>
      </c>
      <c r="M1350" s="113"/>
    </row>
    <row r="1351" spans="1:13" x14ac:dyDescent="0.2">
      <c r="A1351" s="106">
        <v>46202</v>
      </c>
      <c r="B1351" s="105" t="s">
        <v>4520</v>
      </c>
      <c r="C1351" s="105" t="s">
        <v>5082</v>
      </c>
      <c r="D1351" s="149" t="s">
        <v>4625</v>
      </c>
      <c r="E1351" s="105">
        <v>1</v>
      </c>
      <c r="F1351" s="134">
        <v>60</v>
      </c>
      <c r="G1351" s="134">
        <v>75</v>
      </c>
      <c r="H1351" s="109">
        <f t="shared" si="60"/>
        <v>75</v>
      </c>
      <c r="I1351" s="119"/>
      <c r="J1351" s="119">
        <v>0</v>
      </c>
      <c r="K1351" s="119">
        <f t="shared" si="61"/>
        <v>75</v>
      </c>
      <c r="L1351" s="152">
        <f t="shared" si="62"/>
        <v>60</v>
      </c>
      <c r="M1351" s="113"/>
    </row>
    <row r="1352" spans="1:13" x14ac:dyDescent="0.2">
      <c r="A1352" s="106">
        <v>46202</v>
      </c>
      <c r="B1352" s="105" t="s">
        <v>1826</v>
      </c>
      <c r="C1352" s="105" t="s">
        <v>5082</v>
      </c>
      <c r="D1352" s="149" t="s">
        <v>1827</v>
      </c>
      <c r="E1352" s="105">
        <v>1</v>
      </c>
      <c r="F1352" s="134">
        <v>90</v>
      </c>
      <c r="G1352" s="134">
        <v>120</v>
      </c>
      <c r="H1352" s="109">
        <f t="shared" ref="H1352:H1405" si="63">E1352*G1352</f>
        <v>120</v>
      </c>
      <c r="I1352" s="119"/>
      <c r="J1352" s="119">
        <v>0</v>
      </c>
      <c r="K1352" s="119">
        <f t="shared" ref="K1352:K1415" si="64">H1352+I1352-J1352</f>
        <v>120</v>
      </c>
      <c r="L1352" s="152">
        <f t="shared" ref="L1352:L1415" si="65">E1352*F1352</f>
        <v>90</v>
      </c>
      <c r="M1352" s="113"/>
    </row>
    <row r="1353" spans="1:13" x14ac:dyDescent="0.2">
      <c r="A1353" s="106">
        <v>46202</v>
      </c>
      <c r="B1353" s="105" t="s">
        <v>4167</v>
      </c>
      <c r="C1353" s="105" t="s">
        <v>5083</v>
      </c>
      <c r="D1353" s="149" t="s">
        <v>4169</v>
      </c>
      <c r="E1353" s="105">
        <v>1</v>
      </c>
      <c r="F1353" s="134">
        <v>29</v>
      </c>
      <c r="G1353" s="134">
        <v>33.75</v>
      </c>
      <c r="H1353" s="109">
        <f t="shared" si="63"/>
        <v>33.75</v>
      </c>
      <c r="I1353" s="119"/>
      <c r="J1353" s="119">
        <v>0</v>
      </c>
      <c r="K1353" s="119">
        <f t="shared" si="64"/>
        <v>33.75</v>
      </c>
      <c r="L1353" s="152">
        <f t="shared" si="65"/>
        <v>29</v>
      </c>
      <c r="M1353" s="113"/>
    </row>
    <row r="1354" spans="1:13" x14ac:dyDescent="0.2">
      <c r="A1354" s="106">
        <v>46202</v>
      </c>
      <c r="B1354" s="105" t="s">
        <v>3280</v>
      </c>
      <c r="C1354" s="105" t="s">
        <v>5083</v>
      </c>
      <c r="D1354" s="149" t="s">
        <v>3281</v>
      </c>
      <c r="E1354" s="105">
        <v>1</v>
      </c>
      <c r="F1354" s="134">
        <v>40.06</v>
      </c>
      <c r="G1354" s="134">
        <v>46.25</v>
      </c>
      <c r="H1354" s="109">
        <f t="shared" si="63"/>
        <v>46.25</v>
      </c>
      <c r="I1354" s="119"/>
      <c r="J1354" s="119">
        <v>0</v>
      </c>
      <c r="K1354" s="119">
        <f t="shared" si="64"/>
        <v>46.25</v>
      </c>
      <c r="L1354" s="152">
        <f t="shared" si="65"/>
        <v>40.06</v>
      </c>
      <c r="M1354" s="113"/>
    </row>
    <row r="1355" spans="1:13" x14ac:dyDescent="0.2">
      <c r="A1355" s="106">
        <v>46202</v>
      </c>
      <c r="B1355" s="105" t="s">
        <v>2022</v>
      </c>
      <c r="C1355" s="105" t="s">
        <v>5083</v>
      </c>
      <c r="D1355" s="149" t="s">
        <v>2024</v>
      </c>
      <c r="E1355" s="105">
        <v>1</v>
      </c>
      <c r="F1355" s="134">
        <v>29.9</v>
      </c>
      <c r="G1355" s="134">
        <v>34.5</v>
      </c>
      <c r="H1355" s="109">
        <f t="shared" si="63"/>
        <v>34.5</v>
      </c>
      <c r="I1355" s="119"/>
      <c r="J1355" s="119">
        <v>0</v>
      </c>
      <c r="K1355" s="119">
        <f t="shared" si="64"/>
        <v>34.5</v>
      </c>
      <c r="L1355" s="152">
        <f t="shared" si="65"/>
        <v>29.9</v>
      </c>
      <c r="M1355" s="113"/>
    </row>
    <row r="1356" spans="1:13" x14ac:dyDescent="0.2">
      <c r="A1356" s="106">
        <v>46202</v>
      </c>
      <c r="B1356" s="105" t="s">
        <v>2226</v>
      </c>
      <c r="C1356" s="105" t="s">
        <v>5083</v>
      </c>
      <c r="D1356" s="149" t="s">
        <v>2228</v>
      </c>
      <c r="E1356" s="105">
        <v>1</v>
      </c>
      <c r="F1356" s="134">
        <v>19.47</v>
      </c>
      <c r="G1356" s="134">
        <v>23</v>
      </c>
      <c r="H1356" s="109">
        <f t="shared" si="63"/>
        <v>23</v>
      </c>
      <c r="I1356" s="119"/>
      <c r="J1356" s="119">
        <v>0</v>
      </c>
      <c r="K1356" s="119">
        <f t="shared" si="64"/>
        <v>23</v>
      </c>
      <c r="L1356" s="152">
        <f t="shared" si="65"/>
        <v>19.47</v>
      </c>
      <c r="M1356" s="113"/>
    </row>
    <row r="1357" spans="1:13" x14ac:dyDescent="0.2">
      <c r="A1357" s="106">
        <v>46202</v>
      </c>
      <c r="B1357" s="105" t="s">
        <v>3434</v>
      </c>
      <c r="C1357" s="105" t="s">
        <v>5084</v>
      </c>
      <c r="D1357" s="149" t="s">
        <v>3436</v>
      </c>
      <c r="E1357" s="105">
        <v>1</v>
      </c>
      <c r="F1357" s="134">
        <v>7.41</v>
      </c>
      <c r="G1357" s="134">
        <v>8.75</v>
      </c>
      <c r="H1357" s="109">
        <f t="shared" si="63"/>
        <v>8.75</v>
      </c>
      <c r="I1357" s="119"/>
      <c r="J1357" s="119">
        <v>0</v>
      </c>
      <c r="K1357" s="119">
        <f t="shared" si="64"/>
        <v>8.75</v>
      </c>
      <c r="L1357" s="152">
        <f t="shared" si="65"/>
        <v>7.41</v>
      </c>
      <c r="M1357" s="113"/>
    </row>
    <row r="1358" spans="1:13" x14ac:dyDescent="0.2">
      <c r="A1358" s="106">
        <v>46202</v>
      </c>
      <c r="B1358" s="105" t="s">
        <v>2895</v>
      </c>
      <c r="C1358" s="105" t="s">
        <v>5085</v>
      </c>
      <c r="D1358" s="149" t="s">
        <v>2897</v>
      </c>
      <c r="E1358" s="105">
        <v>1</v>
      </c>
      <c r="F1358" s="134">
        <v>9.17</v>
      </c>
      <c r="G1358" s="134">
        <v>10.75</v>
      </c>
      <c r="H1358" s="109">
        <f t="shared" si="63"/>
        <v>10.75</v>
      </c>
      <c r="I1358" s="119"/>
      <c r="J1358" s="119">
        <v>0</v>
      </c>
      <c r="K1358" s="119">
        <f t="shared" si="64"/>
        <v>10.75</v>
      </c>
      <c r="L1358" s="152">
        <f t="shared" si="65"/>
        <v>9.17</v>
      </c>
      <c r="M1358" s="113"/>
    </row>
    <row r="1359" spans="1:13" x14ac:dyDescent="0.2">
      <c r="A1359" s="106">
        <v>46202</v>
      </c>
      <c r="B1359" s="105" t="s">
        <v>3634</v>
      </c>
      <c r="C1359" s="105" t="s">
        <v>5085</v>
      </c>
      <c r="D1359" s="149" t="s">
        <v>3636</v>
      </c>
      <c r="E1359" s="105">
        <v>1</v>
      </c>
      <c r="F1359" s="134">
        <v>8.5299999999999994</v>
      </c>
      <c r="G1359" s="134">
        <v>10</v>
      </c>
      <c r="H1359" s="109">
        <f t="shared" si="63"/>
        <v>10</v>
      </c>
      <c r="I1359" s="119"/>
      <c r="J1359" s="119">
        <v>0</v>
      </c>
      <c r="K1359" s="119">
        <f t="shared" si="64"/>
        <v>10</v>
      </c>
      <c r="L1359" s="152">
        <f t="shared" si="65"/>
        <v>8.5299999999999994</v>
      </c>
      <c r="M1359" s="113"/>
    </row>
    <row r="1360" spans="1:13" x14ac:dyDescent="0.2">
      <c r="A1360" s="106">
        <v>46202</v>
      </c>
      <c r="B1360" s="105" t="s">
        <v>2884</v>
      </c>
      <c r="C1360" s="105" t="s">
        <v>5086</v>
      </c>
      <c r="D1360" s="149" t="s">
        <v>2886</v>
      </c>
      <c r="E1360" s="105">
        <v>2</v>
      </c>
      <c r="F1360" s="134">
        <v>302.13</v>
      </c>
      <c r="G1360" s="134">
        <v>362.75</v>
      </c>
      <c r="H1360" s="109">
        <f t="shared" si="63"/>
        <v>725.5</v>
      </c>
      <c r="I1360" s="119"/>
      <c r="J1360" s="119">
        <v>0</v>
      </c>
      <c r="K1360" s="119">
        <f t="shared" si="64"/>
        <v>725.5</v>
      </c>
      <c r="L1360" s="152">
        <f t="shared" si="65"/>
        <v>604.26</v>
      </c>
      <c r="M1360" s="113"/>
    </row>
    <row r="1361" spans="1:13" x14ac:dyDescent="0.2">
      <c r="A1361" s="106">
        <v>46202</v>
      </c>
      <c r="B1361" s="105" t="s">
        <v>4946</v>
      </c>
      <c r="C1361" s="105" t="s">
        <v>5087</v>
      </c>
      <c r="D1361" s="149" t="s">
        <v>4983</v>
      </c>
      <c r="E1361" s="105">
        <v>1</v>
      </c>
      <c r="F1361" s="134">
        <v>6.4</v>
      </c>
      <c r="G1361" s="134">
        <v>7.5</v>
      </c>
      <c r="H1361" s="109">
        <f t="shared" si="63"/>
        <v>7.5</v>
      </c>
      <c r="I1361" s="119"/>
      <c r="J1361" s="119">
        <v>0</v>
      </c>
      <c r="K1361" s="119">
        <f t="shared" si="64"/>
        <v>7.5</v>
      </c>
      <c r="L1361" s="152">
        <f t="shared" si="65"/>
        <v>6.4</v>
      </c>
      <c r="M1361" s="113"/>
    </row>
    <row r="1362" spans="1:13" x14ac:dyDescent="0.2">
      <c r="A1362" s="106">
        <v>46202</v>
      </c>
      <c r="B1362" s="105" t="s">
        <v>2423</v>
      </c>
      <c r="C1362" s="105" t="s">
        <v>5088</v>
      </c>
      <c r="D1362" s="149" t="s">
        <v>2425</v>
      </c>
      <c r="E1362" s="105">
        <v>1</v>
      </c>
      <c r="F1362" s="134">
        <v>18.53</v>
      </c>
      <c r="G1362" s="134">
        <v>21.5</v>
      </c>
      <c r="H1362" s="109">
        <f t="shared" si="63"/>
        <v>21.5</v>
      </c>
      <c r="I1362" s="119"/>
      <c r="J1362" s="119">
        <v>0</v>
      </c>
      <c r="K1362" s="119">
        <f t="shared" si="64"/>
        <v>21.5</v>
      </c>
      <c r="L1362" s="152">
        <f t="shared" si="65"/>
        <v>18.53</v>
      </c>
      <c r="M1362" s="113"/>
    </row>
    <row r="1363" spans="1:13" x14ac:dyDescent="0.2">
      <c r="A1363" s="106">
        <v>46202</v>
      </c>
      <c r="B1363" s="105" t="s">
        <v>3634</v>
      </c>
      <c r="C1363" s="105" t="s">
        <v>5089</v>
      </c>
      <c r="D1363" s="149" t="s">
        <v>3636</v>
      </c>
      <c r="E1363" s="105">
        <v>1</v>
      </c>
      <c r="F1363" s="134">
        <v>8.5299999999999994</v>
      </c>
      <c r="G1363" s="134">
        <v>10</v>
      </c>
      <c r="H1363" s="109">
        <f t="shared" si="63"/>
        <v>10</v>
      </c>
      <c r="I1363" s="119"/>
      <c r="J1363" s="119">
        <v>0</v>
      </c>
      <c r="K1363" s="119">
        <f t="shared" si="64"/>
        <v>10</v>
      </c>
      <c r="L1363" s="152">
        <f t="shared" si="65"/>
        <v>8.5299999999999994</v>
      </c>
      <c r="M1363" s="113"/>
    </row>
    <row r="1364" spans="1:13" x14ac:dyDescent="0.2">
      <c r="A1364" s="106">
        <v>46202</v>
      </c>
      <c r="B1364" s="105" t="s">
        <v>3083</v>
      </c>
      <c r="C1364" s="105" t="s">
        <v>5090</v>
      </c>
      <c r="D1364" s="149" t="s">
        <v>3085</v>
      </c>
      <c r="E1364" s="105">
        <v>2</v>
      </c>
      <c r="F1364" s="134">
        <v>29.95</v>
      </c>
      <c r="G1364" s="134">
        <v>34.5</v>
      </c>
      <c r="H1364" s="109">
        <f t="shared" si="63"/>
        <v>69</v>
      </c>
      <c r="I1364" s="119"/>
      <c r="J1364" s="119">
        <v>0</v>
      </c>
      <c r="K1364" s="119">
        <f t="shared" si="64"/>
        <v>69</v>
      </c>
      <c r="L1364" s="152">
        <f t="shared" si="65"/>
        <v>59.9</v>
      </c>
      <c r="M1364" s="113"/>
    </row>
    <row r="1365" spans="1:13" x14ac:dyDescent="0.2">
      <c r="A1365" s="106">
        <v>46202</v>
      </c>
      <c r="B1365" s="105" t="s">
        <v>3267</v>
      </c>
      <c r="C1365" s="105" t="s">
        <v>5091</v>
      </c>
      <c r="D1365" s="149" t="s">
        <v>3268</v>
      </c>
      <c r="E1365" s="105">
        <v>3</v>
      </c>
      <c r="F1365" s="134">
        <v>11.5</v>
      </c>
      <c r="G1365" s="134">
        <v>13.5</v>
      </c>
      <c r="H1365" s="109">
        <f t="shared" si="63"/>
        <v>40.5</v>
      </c>
      <c r="I1365" s="119"/>
      <c r="J1365" s="119">
        <v>0</v>
      </c>
      <c r="K1365" s="119">
        <f t="shared" si="64"/>
        <v>40.5</v>
      </c>
      <c r="L1365" s="152">
        <f t="shared" si="65"/>
        <v>34.5</v>
      </c>
      <c r="M1365" s="113"/>
    </row>
    <row r="1366" spans="1:13" x14ac:dyDescent="0.2">
      <c r="A1366" s="106">
        <v>46202</v>
      </c>
      <c r="B1366" s="105" t="s">
        <v>3060</v>
      </c>
      <c r="C1366" s="105" t="s">
        <v>5091</v>
      </c>
      <c r="D1366" s="149" t="s">
        <v>3062</v>
      </c>
      <c r="E1366" s="105">
        <v>1</v>
      </c>
      <c r="F1366" s="134">
        <v>44.8</v>
      </c>
      <c r="G1366" s="134">
        <v>51.75</v>
      </c>
      <c r="H1366" s="109">
        <f t="shared" si="63"/>
        <v>51.75</v>
      </c>
      <c r="I1366" s="119"/>
      <c r="J1366" s="119">
        <v>0</v>
      </c>
      <c r="K1366" s="119">
        <f t="shared" si="64"/>
        <v>51.75</v>
      </c>
      <c r="L1366" s="152">
        <f t="shared" si="65"/>
        <v>44.8</v>
      </c>
      <c r="M1366" s="113"/>
    </row>
    <row r="1367" spans="1:13" x14ac:dyDescent="0.2">
      <c r="A1367" s="106">
        <v>46202</v>
      </c>
      <c r="B1367" s="105" t="s">
        <v>2193</v>
      </c>
      <c r="C1367" s="105" t="s">
        <v>5091</v>
      </c>
      <c r="D1367" s="149" t="s">
        <v>2195</v>
      </c>
      <c r="E1367" s="105">
        <v>2</v>
      </c>
      <c r="F1367" s="134">
        <v>20.68</v>
      </c>
      <c r="G1367" s="134">
        <v>24</v>
      </c>
      <c r="H1367" s="109">
        <f t="shared" si="63"/>
        <v>48</v>
      </c>
      <c r="I1367" s="119"/>
      <c r="J1367" s="119">
        <v>0</v>
      </c>
      <c r="K1367" s="119">
        <f t="shared" si="64"/>
        <v>48</v>
      </c>
      <c r="L1367" s="152">
        <f t="shared" si="65"/>
        <v>41.36</v>
      </c>
      <c r="M1367" s="113"/>
    </row>
    <row r="1368" spans="1:13" x14ac:dyDescent="0.2">
      <c r="A1368" s="106">
        <v>46202</v>
      </c>
      <c r="B1368" s="105" t="s">
        <v>2193</v>
      </c>
      <c r="C1368" s="105" t="s">
        <v>5092</v>
      </c>
      <c r="D1368" s="149" t="s">
        <v>2195</v>
      </c>
      <c r="E1368" s="105">
        <v>1</v>
      </c>
      <c r="F1368" s="134">
        <v>20.68</v>
      </c>
      <c r="G1368" s="134">
        <v>24</v>
      </c>
      <c r="H1368" s="109">
        <f t="shared" si="63"/>
        <v>24</v>
      </c>
      <c r="I1368" s="119"/>
      <c r="J1368" s="119">
        <v>0</v>
      </c>
      <c r="K1368" s="119">
        <f t="shared" si="64"/>
        <v>24</v>
      </c>
      <c r="L1368" s="152">
        <f t="shared" si="65"/>
        <v>20.68</v>
      </c>
      <c r="M1368" s="113"/>
    </row>
    <row r="1369" spans="1:13" x14ac:dyDescent="0.2">
      <c r="A1369" s="106">
        <v>46202</v>
      </c>
      <c r="B1369" s="105" t="s">
        <v>4068</v>
      </c>
      <c r="C1369" s="105" t="s">
        <v>5093</v>
      </c>
      <c r="D1369" s="149" t="s">
        <v>4070</v>
      </c>
      <c r="E1369" s="105">
        <v>2</v>
      </c>
      <c r="F1369" s="134">
        <v>20.57</v>
      </c>
      <c r="G1369" s="134">
        <v>23.75</v>
      </c>
      <c r="H1369" s="109">
        <f t="shared" si="63"/>
        <v>47.5</v>
      </c>
      <c r="I1369" s="119"/>
      <c r="J1369" s="119">
        <v>0</v>
      </c>
      <c r="K1369" s="119">
        <f t="shared" si="64"/>
        <v>47.5</v>
      </c>
      <c r="L1369" s="152">
        <f t="shared" si="65"/>
        <v>41.14</v>
      </c>
      <c r="M1369" s="113"/>
    </row>
    <row r="1370" spans="1:13" x14ac:dyDescent="0.2">
      <c r="A1370" s="106">
        <v>46202</v>
      </c>
      <c r="B1370" s="105" t="s">
        <v>4129</v>
      </c>
      <c r="C1370" s="105" t="s">
        <v>5093</v>
      </c>
      <c r="D1370" s="149" t="s">
        <v>4130</v>
      </c>
      <c r="E1370" s="105">
        <v>12</v>
      </c>
      <c r="F1370" s="134">
        <v>5.25</v>
      </c>
      <c r="G1370" s="134">
        <v>6</v>
      </c>
      <c r="H1370" s="109">
        <f t="shared" si="63"/>
        <v>72</v>
      </c>
      <c r="I1370" s="119"/>
      <c r="J1370" s="119">
        <v>0</v>
      </c>
      <c r="K1370" s="119">
        <f t="shared" si="64"/>
        <v>72</v>
      </c>
      <c r="L1370" s="152">
        <f t="shared" si="65"/>
        <v>63</v>
      </c>
      <c r="M1370" s="113"/>
    </row>
    <row r="1371" spans="1:13" x14ac:dyDescent="0.2">
      <c r="A1371" s="106">
        <v>46202</v>
      </c>
      <c r="B1371" s="105" t="s">
        <v>3917</v>
      </c>
      <c r="C1371" s="105" t="s">
        <v>5093</v>
      </c>
      <c r="D1371" s="149" t="s">
        <v>3919</v>
      </c>
      <c r="E1371" s="105">
        <v>6</v>
      </c>
      <c r="F1371" s="134">
        <v>6.37</v>
      </c>
      <c r="G1371" s="134">
        <v>7.5</v>
      </c>
      <c r="H1371" s="109">
        <f t="shared" si="63"/>
        <v>45</v>
      </c>
      <c r="I1371" s="119"/>
      <c r="J1371" s="119">
        <v>0</v>
      </c>
      <c r="K1371" s="119">
        <f t="shared" si="64"/>
        <v>45</v>
      </c>
      <c r="L1371" s="152">
        <f t="shared" si="65"/>
        <v>38.22</v>
      </c>
      <c r="M1371" s="113"/>
    </row>
    <row r="1372" spans="1:13" x14ac:dyDescent="0.2">
      <c r="A1372" s="106">
        <v>46202</v>
      </c>
      <c r="B1372" s="105" t="s">
        <v>2826</v>
      </c>
      <c r="C1372" s="105" t="s">
        <v>5093</v>
      </c>
      <c r="D1372" s="149" t="s">
        <v>2827</v>
      </c>
      <c r="E1372" s="105">
        <v>6</v>
      </c>
      <c r="F1372" s="134">
        <v>3.72</v>
      </c>
      <c r="G1372" s="134">
        <v>4.5</v>
      </c>
      <c r="H1372" s="109">
        <f t="shared" si="63"/>
        <v>27</v>
      </c>
      <c r="I1372" s="119"/>
      <c r="J1372" s="119">
        <v>0</v>
      </c>
      <c r="K1372" s="119">
        <f t="shared" si="64"/>
        <v>27</v>
      </c>
      <c r="L1372" s="152">
        <f t="shared" si="65"/>
        <v>22.32</v>
      </c>
      <c r="M1372" s="113"/>
    </row>
    <row r="1373" spans="1:13" x14ac:dyDescent="0.2">
      <c r="A1373" s="106">
        <v>46202</v>
      </c>
      <c r="B1373" s="105" t="s">
        <v>1940</v>
      </c>
      <c r="C1373" s="105" t="s">
        <v>5093</v>
      </c>
      <c r="D1373" s="149" t="s">
        <v>1941</v>
      </c>
      <c r="E1373" s="105">
        <v>6</v>
      </c>
      <c r="F1373" s="134">
        <v>6</v>
      </c>
      <c r="G1373" s="134">
        <v>7</v>
      </c>
      <c r="H1373" s="109">
        <f t="shared" si="63"/>
        <v>42</v>
      </c>
      <c r="I1373" s="119"/>
      <c r="J1373" s="119">
        <v>0</v>
      </c>
      <c r="K1373" s="119">
        <f t="shared" si="64"/>
        <v>42</v>
      </c>
      <c r="L1373" s="152">
        <f t="shared" si="65"/>
        <v>36</v>
      </c>
      <c r="M1373" s="113"/>
    </row>
    <row r="1374" spans="1:13" x14ac:dyDescent="0.2">
      <c r="A1374" s="106">
        <v>46202</v>
      </c>
      <c r="B1374" s="105" t="s">
        <v>2085</v>
      </c>
      <c r="C1374" s="105" t="s">
        <v>5093</v>
      </c>
      <c r="D1374" s="149" t="s">
        <v>2086</v>
      </c>
      <c r="E1374" s="105">
        <v>1</v>
      </c>
      <c r="F1374" s="134">
        <v>11.17</v>
      </c>
      <c r="G1374" s="134">
        <v>13</v>
      </c>
      <c r="H1374" s="109">
        <f t="shared" si="63"/>
        <v>13</v>
      </c>
      <c r="I1374" s="119"/>
      <c r="J1374" s="119">
        <v>0</v>
      </c>
      <c r="K1374" s="119">
        <f t="shared" si="64"/>
        <v>13</v>
      </c>
      <c r="L1374" s="152">
        <f t="shared" si="65"/>
        <v>11.17</v>
      </c>
      <c r="M1374" s="113"/>
    </row>
    <row r="1375" spans="1:13" x14ac:dyDescent="0.2">
      <c r="A1375" s="106">
        <v>46202</v>
      </c>
      <c r="B1375" s="105" t="s">
        <v>3446</v>
      </c>
      <c r="C1375" s="105" t="s">
        <v>5094</v>
      </c>
      <c r="D1375" s="149" t="s">
        <v>3447</v>
      </c>
      <c r="E1375" s="105">
        <v>1</v>
      </c>
      <c r="F1375" s="134">
        <v>33.75</v>
      </c>
      <c r="G1375" s="134">
        <v>39</v>
      </c>
      <c r="H1375" s="109">
        <f t="shared" si="63"/>
        <v>39</v>
      </c>
      <c r="I1375" s="119"/>
      <c r="J1375" s="119">
        <v>0</v>
      </c>
      <c r="K1375" s="119">
        <f t="shared" si="64"/>
        <v>39</v>
      </c>
      <c r="L1375" s="152">
        <f t="shared" si="65"/>
        <v>33.75</v>
      </c>
      <c r="M1375" s="113"/>
    </row>
    <row r="1376" spans="1:13" x14ac:dyDescent="0.2">
      <c r="A1376" s="106">
        <v>46202</v>
      </c>
      <c r="B1376" s="105" t="s">
        <v>3413</v>
      </c>
      <c r="C1376" s="105" t="s">
        <v>5094</v>
      </c>
      <c r="D1376" s="149" t="s">
        <v>3414</v>
      </c>
      <c r="E1376" s="105">
        <v>1</v>
      </c>
      <c r="F1376" s="134">
        <v>33.1</v>
      </c>
      <c r="G1376" s="134">
        <v>38.25</v>
      </c>
      <c r="H1376" s="109">
        <f t="shared" si="63"/>
        <v>38.25</v>
      </c>
      <c r="I1376" s="119"/>
      <c r="J1376" s="119">
        <v>0</v>
      </c>
      <c r="K1376" s="119">
        <f t="shared" si="64"/>
        <v>38.25</v>
      </c>
      <c r="L1376" s="152">
        <f t="shared" si="65"/>
        <v>33.1</v>
      </c>
      <c r="M1376" s="113"/>
    </row>
    <row r="1377" spans="1:13" x14ac:dyDescent="0.2">
      <c r="A1377" s="106">
        <v>46202</v>
      </c>
      <c r="B1377" s="105" t="s">
        <v>3236</v>
      </c>
      <c r="C1377" s="105" t="s">
        <v>5095</v>
      </c>
      <c r="D1377" s="149" t="s">
        <v>3237</v>
      </c>
      <c r="E1377" s="105">
        <v>1</v>
      </c>
      <c r="F1377" s="134">
        <v>22.73</v>
      </c>
      <c r="G1377" s="134">
        <v>26.25</v>
      </c>
      <c r="H1377" s="109">
        <f t="shared" si="63"/>
        <v>26.25</v>
      </c>
      <c r="I1377" s="119"/>
      <c r="J1377" s="119">
        <v>0</v>
      </c>
      <c r="K1377" s="119">
        <f t="shared" si="64"/>
        <v>26.25</v>
      </c>
      <c r="L1377" s="152">
        <f t="shared" si="65"/>
        <v>22.73</v>
      </c>
      <c r="M1377" s="113"/>
    </row>
    <row r="1378" spans="1:13" x14ac:dyDescent="0.2">
      <c r="A1378" s="106">
        <v>46202</v>
      </c>
      <c r="B1378" s="105" t="s">
        <v>2419</v>
      </c>
      <c r="C1378" s="105" t="s">
        <v>5096</v>
      </c>
      <c r="D1378" s="149" t="s">
        <v>2420</v>
      </c>
      <c r="E1378" s="105">
        <v>1</v>
      </c>
      <c r="F1378" s="134">
        <v>45.88</v>
      </c>
      <c r="G1378" s="134">
        <v>52.75</v>
      </c>
      <c r="H1378" s="109">
        <f t="shared" si="63"/>
        <v>52.75</v>
      </c>
      <c r="I1378" s="119"/>
      <c r="J1378" s="119">
        <v>0</v>
      </c>
      <c r="K1378" s="119">
        <f t="shared" si="64"/>
        <v>52.75</v>
      </c>
      <c r="L1378" s="152">
        <f t="shared" si="65"/>
        <v>45.88</v>
      </c>
      <c r="M1378" s="113"/>
    </row>
    <row r="1379" spans="1:13" x14ac:dyDescent="0.2">
      <c r="A1379" s="106">
        <v>46202</v>
      </c>
      <c r="B1379" s="105" t="s">
        <v>3793</v>
      </c>
      <c r="C1379" s="105" t="s">
        <v>5096</v>
      </c>
      <c r="D1379" s="149" t="s">
        <v>3795</v>
      </c>
      <c r="E1379" s="105">
        <v>1</v>
      </c>
      <c r="F1379" s="134">
        <v>8.3800000000000008</v>
      </c>
      <c r="G1379" s="134">
        <v>9.75</v>
      </c>
      <c r="H1379" s="109">
        <f t="shared" si="63"/>
        <v>9.75</v>
      </c>
      <c r="I1379" s="119"/>
      <c r="J1379" s="119">
        <v>0</v>
      </c>
      <c r="K1379" s="119">
        <f t="shared" si="64"/>
        <v>9.75</v>
      </c>
      <c r="L1379" s="152">
        <f t="shared" si="65"/>
        <v>8.3800000000000008</v>
      </c>
      <c r="M1379" s="113"/>
    </row>
    <row r="1380" spans="1:13" x14ac:dyDescent="0.2">
      <c r="A1380" s="106">
        <v>46202</v>
      </c>
      <c r="B1380" s="105" t="s">
        <v>3060</v>
      </c>
      <c r="C1380" s="105" t="s">
        <v>5096</v>
      </c>
      <c r="D1380" s="149" t="s">
        <v>3062</v>
      </c>
      <c r="E1380" s="105">
        <v>1</v>
      </c>
      <c r="F1380" s="134">
        <v>44.8</v>
      </c>
      <c r="G1380" s="134">
        <v>51.75</v>
      </c>
      <c r="H1380" s="109">
        <f t="shared" si="63"/>
        <v>51.75</v>
      </c>
      <c r="I1380" s="119"/>
      <c r="J1380" s="119">
        <v>0</v>
      </c>
      <c r="K1380" s="119">
        <f t="shared" si="64"/>
        <v>51.75</v>
      </c>
      <c r="L1380" s="152">
        <f t="shared" si="65"/>
        <v>44.8</v>
      </c>
      <c r="M1380" s="113"/>
    </row>
    <row r="1381" spans="1:13" x14ac:dyDescent="0.2">
      <c r="A1381" s="106">
        <v>46202</v>
      </c>
      <c r="B1381" s="105" t="s">
        <v>2419</v>
      </c>
      <c r="C1381" s="105" t="s">
        <v>5097</v>
      </c>
      <c r="D1381" s="149" t="s">
        <v>2420</v>
      </c>
      <c r="E1381" s="105">
        <v>3</v>
      </c>
      <c r="F1381" s="134">
        <v>45.88</v>
      </c>
      <c r="G1381" s="134">
        <v>52.75</v>
      </c>
      <c r="H1381" s="109">
        <f t="shared" si="63"/>
        <v>158.25</v>
      </c>
      <c r="I1381" s="119"/>
      <c r="J1381" s="119">
        <v>0</v>
      </c>
      <c r="K1381" s="119">
        <f t="shared" si="64"/>
        <v>158.25</v>
      </c>
      <c r="L1381" s="152">
        <f t="shared" si="65"/>
        <v>137.64000000000001</v>
      </c>
      <c r="M1381" s="113"/>
    </row>
    <row r="1382" spans="1:13" x14ac:dyDescent="0.2">
      <c r="A1382" s="106">
        <v>46202</v>
      </c>
      <c r="B1382" s="105" t="s">
        <v>3452</v>
      </c>
      <c r="C1382" s="105" t="s">
        <v>5097</v>
      </c>
      <c r="D1382" s="149" t="s">
        <v>3453</v>
      </c>
      <c r="E1382" s="105">
        <v>3</v>
      </c>
      <c r="F1382" s="134">
        <v>44.86</v>
      </c>
      <c r="G1382" s="134">
        <v>51.25</v>
      </c>
      <c r="H1382" s="109">
        <f t="shared" si="63"/>
        <v>153.75</v>
      </c>
      <c r="I1382" s="119"/>
      <c r="J1382" s="119">
        <v>0</v>
      </c>
      <c r="K1382" s="119">
        <f t="shared" si="64"/>
        <v>153.75</v>
      </c>
      <c r="L1382" s="152">
        <f t="shared" si="65"/>
        <v>134.57999999999998</v>
      </c>
      <c r="M1382" s="113"/>
    </row>
    <row r="1383" spans="1:13" x14ac:dyDescent="0.2">
      <c r="A1383" s="106">
        <v>46202</v>
      </c>
      <c r="B1383" s="105" t="s">
        <v>4441</v>
      </c>
      <c r="C1383" s="105" t="s">
        <v>5097</v>
      </c>
      <c r="D1383" s="149" t="s">
        <v>4471</v>
      </c>
      <c r="E1383" s="105">
        <v>3</v>
      </c>
      <c r="F1383" s="134">
        <v>45.03</v>
      </c>
      <c r="G1383" s="134">
        <v>54.5</v>
      </c>
      <c r="H1383" s="109">
        <f t="shared" si="63"/>
        <v>163.5</v>
      </c>
      <c r="I1383" s="119"/>
      <c r="J1383" s="119">
        <v>0</v>
      </c>
      <c r="K1383" s="119">
        <f t="shared" si="64"/>
        <v>163.5</v>
      </c>
      <c r="L1383" s="152">
        <f t="shared" si="65"/>
        <v>135.09</v>
      </c>
      <c r="M1383" s="113"/>
    </row>
    <row r="1384" spans="1:13" x14ac:dyDescent="0.2">
      <c r="A1384" s="106">
        <v>46202</v>
      </c>
      <c r="B1384" s="105" t="s">
        <v>3112</v>
      </c>
      <c r="C1384" s="105" t="s">
        <v>5097</v>
      </c>
      <c r="D1384" s="149" t="s">
        <v>3113</v>
      </c>
      <c r="E1384" s="105">
        <v>1</v>
      </c>
      <c r="F1384" s="134">
        <v>109.57</v>
      </c>
      <c r="G1384" s="134">
        <v>136.5</v>
      </c>
      <c r="H1384" s="109">
        <f t="shared" si="63"/>
        <v>136.5</v>
      </c>
      <c r="I1384" s="119"/>
      <c r="J1384" s="119">
        <v>0</v>
      </c>
      <c r="K1384" s="119">
        <f t="shared" si="64"/>
        <v>136.5</v>
      </c>
      <c r="L1384" s="152">
        <f t="shared" si="65"/>
        <v>109.57</v>
      </c>
      <c r="M1384" s="113"/>
    </row>
    <row r="1385" spans="1:13" x14ac:dyDescent="0.2">
      <c r="A1385" s="106">
        <v>46202</v>
      </c>
      <c r="B1385" s="105" t="s">
        <v>3022</v>
      </c>
      <c r="C1385" s="105" t="s">
        <v>5097</v>
      </c>
      <c r="D1385" s="149" t="s">
        <v>3023</v>
      </c>
      <c r="E1385" s="105">
        <v>2</v>
      </c>
      <c r="F1385" s="134">
        <v>120.95</v>
      </c>
      <c r="G1385" s="134">
        <v>139.25</v>
      </c>
      <c r="H1385" s="109">
        <f t="shared" si="63"/>
        <v>278.5</v>
      </c>
      <c r="I1385" s="119"/>
      <c r="J1385" s="119">
        <v>0</v>
      </c>
      <c r="K1385" s="119">
        <f t="shared" si="64"/>
        <v>278.5</v>
      </c>
      <c r="L1385" s="152">
        <f t="shared" si="65"/>
        <v>241.9</v>
      </c>
      <c r="M1385" s="113"/>
    </row>
    <row r="1386" spans="1:13" x14ac:dyDescent="0.2">
      <c r="A1386" s="106">
        <v>46202</v>
      </c>
      <c r="B1386" s="105" t="s">
        <v>1857</v>
      </c>
      <c r="C1386" s="105" t="s">
        <v>5098</v>
      </c>
      <c r="D1386" s="149" t="s">
        <v>1858</v>
      </c>
      <c r="E1386" s="105">
        <v>1</v>
      </c>
      <c r="F1386" s="134">
        <v>15.12</v>
      </c>
      <c r="G1386" s="134">
        <v>17.5</v>
      </c>
      <c r="H1386" s="109">
        <f t="shared" si="63"/>
        <v>17.5</v>
      </c>
      <c r="I1386" s="119"/>
      <c r="J1386" s="119">
        <v>0</v>
      </c>
      <c r="K1386" s="119">
        <f t="shared" si="64"/>
        <v>17.5</v>
      </c>
      <c r="L1386" s="152">
        <f t="shared" si="65"/>
        <v>15.12</v>
      </c>
      <c r="M1386" s="113"/>
    </row>
    <row r="1387" spans="1:13" x14ac:dyDescent="0.2">
      <c r="A1387" s="106">
        <v>46202</v>
      </c>
      <c r="B1387" s="105" t="s">
        <v>3909</v>
      </c>
      <c r="C1387" s="105" t="s">
        <v>5098</v>
      </c>
      <c r="D1387" s="149" t="s">
        <v>3911</v>
      </c>
      <c r="E1387" s="105">
        <v>1</v>
      </c>
      <c r="F1387" s="134">
        <v>7.06</v>
      </c>
      <c r="G1387" s="134">
        <v>8.25</v>
      </c>
      <c r="H1387" s="109">
        <f t="shared" si="63"/>
        <v>8.25</v>
      </c>
      <c r="I1387" s="119"/>
      <c r="J1387" s="119">
        <v>0</v>
      </c>
      <c r="K1387" s="119">
        <f t="shared" si="64"/>
        <v>8.25</v>
      </c>
      <c r="L1387" s="152">
        <f t="shared" si="65"/>
        <v>7.06</v>
      </c>
      <c r="M1387" s="113"/>
    </row>
    <row r="1388" spans="1:13" x14ac:dyDescent="0.2">
      <c r="A1388" s="106">
        <v>46203</v>
      </c>
      <c r="B1388" s="105" t="s">
        <v>5110</v>
      </c>
      <c r="C1388" s="105" t="s">
        <v>5151</v>
      </c>
      <c r="D1388" s="149" t="s">
        <v>5158</v>
      </c>
      <c r="E1388" s="105">
        <v>1</v>
      </c>
      <c r="F1388" s="136">
        <v>91.9</v>
      </c>
      <c r="G1388" s="136">
        <v>105.75</v>
      </c>
      <c r="H1388" s="109">
        <f t="shared" si="63"/>
        <v>105.75</v>
      </c>
      <c r="I1388" s="119"/>
      <c r="J1388" s="119">
        <v>0</v>
      </c>
      <c r="K1388" s="119">
        <f t="shared" si="64"/>
        <v>105.75</v>
      </c>
      <c r="L1388" s="152">
        <f t="shared" si="65"/>
        <v>91.9</v>
      </c>
      <c r="M1388" s="113"/>
    </row>
    <row r="1389" spans="1:13" x14ac:dyDescent="0.2">
      <c r="A1389" s="106">
        <v>46203</v>
      </c>
      <c r="B1389" s="105" t="s">
        <v>2491</v>
      </c>
      <c r="C1389" s="105" t="s">
        <v>5151</v>
      </c>
      <c r="D1389" s="149" t="s">
        <v>2492</v>
      </c>
      <c r="E1389" s="105">
        <v>1</v>
      </c>
      <c r="F1389" s="136">
        <v>61.5</v>
      </c>
      <c r="G1389" s="136">
        <v>66.5</v>
      </c>
      <c r="H1389" s="109">
        <f t="shared" si="63"/>
        <v>66.5</v>
      </c>
      <c r="I1389" s="119"/>
      <c r="J1389" s="119">
        <v>0</v>
      </c>
      <c r="K1389" s="119">
        <f t="shared" si="64"/>
        <v>66.5</v>
      </c>
      <c r="L1389" s="152">
        <f t="shared" si="65"/>
        <v>61.5</v>
      </c>
      <c r="M1389" s="113"/>
    </row>
    <row r="1390" spans="1:13" x14ac:dyDescent="0.2">
      <c r="A1390" s="106">
        <v>46203</v>
      </c>
      <c r="B1390" s="105" t="s">
        <v>2271</v>
      </c>
      <c r="C1390" s="105" t="s">
        <v>5152</v>
      </c>
      <c r="D1390" s="149" t="s">
        <v>2273</v>
      </c>
      <c r="E1390" s="105">
        <v>1</v>
      </c>
      <c r="F1390" s="136">
        <v>16.03</v>
      </c>
      <c r="G1390" s="136">
        <v>18.5</v>
      </c>
      <c r="H1390" s="109">
        <f t="shared" si="63"/>
        <v>18.5</v>
      </c>
      <c r="I1390" s="119"/>
      <c r="J1390" s="119">
        <v>0</v>
      </c>
      <c r="K1390" s="119">
        <f t="shared" si="64"/>
        <v>18.5</v>
      </c>
      <c r="L1390" s="152">
        <f t="shared" si="65"/>
        <v>16.03</v>
      </c>
      <c r="M1390" s="113"/>
    </row>
    <row r="1391" spans="1:13" x14ac:dyDescent="0.2">
      <c r="A1391" s="106">
        <v>46203</v>
      </c>
      <c r="B1391" s="105" t="s">
        <v>5111</v>
      </c>
      <c r="C1391" s="105" t="s">
        <v>5153</v>
      </c>
      <c r="D1391" s="149" t="s">
        <v>5159</v>
      </c>
      <c r="E1391" s="105">
        <v>1</v>
      </c>
      <c r="F1391" s="136">
        <v>115.7</v>
      </c>
      <c r="G1391" s="136">
        <v>133.25</v>
      </c>
      <c r="H1391" s="109">
        <f t="shared" si="63"/>
        <v>133.25</v>
      </c>
      <c r="I1391" s="119"/>
      <c r="J1391" s="119">
        <v>0</v>
      </c>
      <c r="K1391" s="119">
        <f t="shared" si="64"/>
        <v>133.25</v>
      </c>
      <c r="L1391" s="152">
        <f t="shared" si="65"/>
        <v>115.7</v>
      </c>
      <c r="M1391" s="113"/>
    </row>
    <row r="1392" spans="1:13" x14ac:dyDescent="0.2">
      <c r="A1392" s="106">
        <v>46203</v>
      </c>
      <c r="B1392" s="105" t="s">
        <v>5112</v>
      </c>
      <c r="C1392" s="105" t="s">
        <v>5153</v>
      </c>
      <c r="D1392" s="149" t="s">
        <v>5160</v>
      </c>
      <c r="E1392" s="105">
        <v>1</v>
      </c>
      <c r="F1392" s="136">
        <v>88.75</v>
      </c>
      <c r="G1392" s="136">
        <v>102.25</v>
      </c>
      <c r="H1392" s="109">
        <f t="shared" si="63"/>
        <v>102.25</v>
      </c>
      <c r="I1392" s="119"/>
      <c r="J1392" s="119">
        <v>0</v>
      </c>
      <c r="K1392" s="119">
        <f t="shared" si="64"/>
        <v>102.25</v>
      </c>
      <c r="L1392" s="152">
        <f t="shared" si="65"/>
        <v>88.75</v>
      </c>
      <c r="M1392" s="113"/>
    </row>
    <row r="1393" spans="1:13" x14ac:dyDescent="0.2">
      <c r="A1393" s="106">
        <v>46203</v>
      </c>
      <c r="B1393" s="105" t="s">
        <v>2659</v>
      </c>
      <c r="C1393" s="105" t="s">
        <v>5153</v>
      </c>
      <c r="D1393" s="149" t="s">
        <v>2661</v>
      </c>
      <c r="E1393" s="105">
        <v>1</v>
      </c>
      <c r="F1393" s="136">
        <v>61.5</v>
      </c>
      <c r="G1393" s="136">
        <v>70.75</v>
      </c>
      <c r="H1393" s="109">
        <f t="shared" si="63"/>
        <v>70.75</v>
      </c>
      <c r="I1393" s="119"/>
      <c r="J1393" s="119">
        <v>0</v>
      </c>
      <c r="K1393" s="119">
        <f t="shared" si="64"/>
        <v>70.75</v>
      </c>
      <c r="L1393" s="152">
        <f t="shared" si="65"/>
        <v>61.5</v>
      </c>
      <c r="M1393" s="113"/>
    </row>
    <row r="1394" spans="1:13" x14ac:dyDescent="0.2">
      <c r="A1394" s="106">
        <v>46203</v>
      </c>
      <c r="B1394" s="105" t="s">
        <v>5113</v>
      </c>
      <c r="C1394" s="105" t="s">
        <v>5153</v>
      </c>
      <c r="D1394" s="149" t="s">
        <v>5161</v>
      </c>
      <c r="E1394" s="105">
        <v>2</v>
      </c>
      <c r="F1394" s="136">
        <v>97.04</v>
      </c>
      <c r="G1394" s="136">
        <v>111.75</v>
      </c>
      <c r="H1394" s="109">
        <f t="shared" si="63"/>
        <v>223.5</v>
      </c>
      <c r="I1394" s="119"/>
      <c r="J1394" s="119">
        <v>0</v>
      </c>
      <c r="K1394" s="119">
        <f t="shared" si="64"/>
        <v>223.5</v>
      </c>
      <c r="L1394" s="152">
        <f t="shared" si="65"/>
        <v>194.08</v>
      </c>
      <c r="M1394" s="113"/>
    </row>
    <row r="1395" spans="1:13" x14ac:dyDescent="0.2">
      <c r="A1395" s="106">
        <v>46203</v>
      </c>
      <c r="B1395" s="105" t="s">
        <v>4195</v>
      </c>
      <c r="C1395" s="105" t="s">
        <v>5153</v>
      </c>
      <c r="D1395" s="149" t="s">
        <v>4196</v>
      </c>
      <c r="E1395" s="105">
        <v>4</v>
      </c>
      <c r="F1395" s="136">
        <v>13.1</v>
      </c>
      <c r="G1395" s="136">
        <v>15</v>
      </c>
      <c r="H1395" s="109">
        <f t="shared" si="63"/>
        <v>60</v>
      </c>
      <c r="I1395" s="119"/>
      <c r="J1395" s="119">
        <v>0</v>
      </c>
      <c r="K1395" s="119">
        <f t="shared" si="64"/>
        <v>60</v>
      </c>
      <c r="L1395" s="152">
        <f t="shared" si="65"/>
        <v>52.4</v>
      </c>
      <c r="M1395" s="113"/>
    </row>
    <row r="1396" spans="1:13" x14ac:dyDescent="0.2">
      <c r="A1396" s="106">
        <v>46203</v>
      </c>
      <c r="B1396" s="105" t="s">
        <v>4181</v>
      </c>
      <c r="C1396" s="105" t="s">
        <v>5153</v>
      </c>
      <c r="D1396" s="149" t="s">
        <v>4183</v>
      </c>
      <c r="E1396" s="105">
        <v>2</v>
      </c>
      <c r="F1396" s="136">
        <v>13.1</v>
      </c>
      <c r="G1396" s="136">
        <v>15</v>
      </c>
      <c r="H1396" s="109">
        <f t="shared" si="63"/>
        <v>30</v>
      </c>
      <c r="I1396" s="119"/>
      <c r="J1396" s="119">
        <v>0</v>
      </c>
      <c r="K1396" s="119">
        <f t="shared" si="64"/>
        <v>30</v>
      </c>
      <c r="L1396" s="152">
        <f t="shared" si="65"/>
        <v>26.2</v>
      </c>
      <c r="M1396" s="113"/>
    </row>
    <row r="1397" spans="1:13" x14ac:dyDescent="0.2">
      <c r="A1397" s="106">
        <v>46203</v>
      </c>
      <c r="B1397" s="105" t="s">
        <v>2139</v>
      </c>
      <c r="C1397" s="105" t="s">
        <v>5153</v>
      </c>
      <c r="D1397" s="149" t="s">
        <v>2140</v>
      </c>
      <c r="E1397" s="105">
        <v>2</v>
      </c>
      <c r="F1397" s="136">
        <v>16.03</v>
      </c>
      <c r="G1397" s="136">
        <v>18.5</v>
      </c>
      <c r="H1397" s="109">
        <f t="shared" si="63"/>
        <v>37</v>
      </c>
      <c r="I1397" s="119"/>
      <c r="J1397" s="119">
        <v>0</v>
      </c>
      <c r="K1397" s="119">
        <f t="shared" si="64"/>
        <v>37</v>
      </c>
      <c r="L1397" s="152">
        <f t="shared" si="65"/>
        <v>32.06</v>
      </c>
      <c r="M1397" s="113"/>
    </row>
    <row r="1398" spans="1:13" x14ac:dyDescent="0.2">
      <c r="A1398" s="106">
        <v>46203</v>
      </c>
      <c r="B1398" s="105" t="s">
        <v>5114</v>
      </c>
      <c r="C1398" s="105" t="s">
        <v>5153</v>
      </c>
      <c r="D1398" s="149" t="s">
        <v>5162</v>
      </c>
      <c r="E1398" s="105">
        <v>1</v>
      </c>
      <c r="F1398" s="136">
        <v>74</v>
      </c>
      <c r="G1398" s="136">
        <v>85.25</v>
      </c>
      <c r="H1398" s="109">
        <f t="shared" si="63"/>
        <v>85.25</v>
      </c>
      <c r="I1398" s="119"/>
      <c r="J1398" s="119">
        <v>0</v>
      </c>
      <c r="K1398" s="119">
        <f t="shared" si="64"/>
        <v>85.25</v>
      </c>
      <c r="L1398" s="152">
        <f t="shared" si="65"/>
        <v>74</v>
      </c>
      <c r="M1398" s="113"/>
    </row>
    <row r="1399" spans="1:13" x14ac:dyDescent="0.2">
      <c r="A1399" s="106">
        <v>46203</v>
      </c>
      <c r="B1399" s="105" t="s">
        <v>1826</v>
      </c>
      <c r="C1399" s="105" t="s">
        <v>5153</v>
      </c>
      <c r="D1399" s="149" t="s">
        <v>1827</v>
      </c>
      <c r="E1399" s="105">
        <v>1</v>
      </c>
      <c r="F1399" s="136">
        <v>90</v>
      </c>
      <c r="G1399" s="136">
        <v>120</v>
      </c>
      <c r="H1399" s="109">
        <f t="shared" si="63"/>
        <v>120</v>
      </c>
      <c r="I1399" s="119"/>
      <c r="J1399" s="119">
        <v>0</v>
      </c>
      <c r="K1399" s="119">
        <f t="shared" si="64"/>
        <v>120</v>
      </c>
      <c r="L1399" s="152">
        <f t="shared" si="65"/>
        <v>90</v>
      </c>
      <c r="M1399" s="113"/>
    </row>
    <row r="1400" spans="1:13" x14ac:dyDescent="0.2">
      <c r="A1400" s="106">
        <v>46203</v>
      </c>
      <c r="B1400" s="105" t="s">
        <v>1861</v>
      </c>
      <c r="C1400" s="105" t="s">
        <v>5153</v>
      </c>
      <c r="D1400" s="149" t="s">
        <v>1862</v>
      </c>
      <c r="E1400" s="105">
        <v>2</v>
      </c>
      <c r="F1400" s="136">
        <v>15.65</v>
      </c>
      <c r="G1400" s="136">
        <v>18</v>
      </c>
      <c r="H1400" s="109">
        <f t="shared" si="63"/>
        <v>36</v>
      </c>
      <c r="I1400" s="119"/>
      <c r="J1400" s="119">
        <v>0</v>
      </c>
      <c r="K1400" s="119">
        <f t="shared" si="64"/>
        <v>36</v>
      </c>
      <c r="L1400" s="152">
        <f t="shared" si="65"/>
        <v>31.3</v>
      </c>
      <c r="M1400" s="113"/>
    </row>
    <row r="1401" spans="1:13" x14ac:dyDescent="0.2">
      <c r="A1401" s="106">
        <v>46203</v>
      </c>
      <c r="B1401" s="105" t="s">
        <v>3446</v>
      </c>
      <c r="C1401" s="105" t="s">
        <v>5153</v>
      </c>
      <c r="D1401" s="149" t="s">
        <v>3447</v>
      </c>
      <c r="E1401" s="105">
        <v>3</v>
      </c>
      <c r="F1401" s="136">
        <v>33.75</v>
      </c>
      <c r="G1401" s="136">
        <v>39</v>
      </c>
      <c r="H1401" s="109">
        <f t="shared" si="63"/>
        <v>117</v>
      </c>
      <c r="I1401" s="119"/>
      <c r="J1401" s="119">
        <v>0</v>
      </c>
      <c r="K1401" s="119">
        <f t="shared" si="64"/>
        <v>117</v>
      </c>
      <c r="L1401" s="152">
        <f t="shared" si="65"/>
        <v>101.25</v>
      </c>
      <c r="M1401" s="113"/>
    </row>
    <row r="1402" spans="1:13" x14ac:dyDescent="0.2">
      <c r="A1402" s="106">
        <v>46203</v>
      </c>
      <c r="B1402" s="105" t="s">
        <v>2115</v>
      </c>
      <c r="C1402" s="105" t="s">
        <v>5154</v>
      </c>
      <c r="D1402" s="149" t="s">
        <v>2117</v>
      </c>
      <c r="E1402" s="105">
        <v>1</v>
      </c>
      <c r="F1402" s="136">
        <v>84.8</v>
      </c>
      <c r="G1402" s="136">
        <v>94</v>
      </c>
      <c r="H1402" s="109">
        <f t="shared" si="63"/>
        <v>94</v>
      </c>
      <c r="I1402" s="119"/>
      <c r="J1402" s="119">
        <v>0</v>
      </c>
      <c r="K1402" s="119">
        <f t="shared" si="64"/>
        <v>94</v>
      </c>
      <c r="L1402" s="152">
        <f t="shared" si="65"/>
        <v>84.8</v>
      </c>
      <c r="M1402" s="113"/>
    </row>
    <row r="1403" spans="1:13" x14ac:dyDescent="0.2">
      <c r="A1403" s="106">
        <v>46203</v>
      </c>
      <c r="B1403" s="105" t="s">
        <v>2189</v>
      </c>
      <c r="C1403" s="105" t="s">
        <v>5155</v>
      </c>
      <c r="D1403" s="149" t="s">
        <v>2190</v>
      </c>
      <c r="E1403" s="105">
        <v>1</v>
      </c>
      <c r="F1403" s="136">
        <v>65</v>
      </c>
      <c r="G1403" s="136">
        <v>71.5</v>
      </c>
      <c r="H1403" s="109">
        <f t="shared" si="63"/>
        <v>71.5</v>
      </c>
      <c r="I1403" s="119"/>
      <c r="J1403" s="119">
        <v>0</v>
      </c>
      <c r="K1403" s="119">
        <f t="shared" si="64"/>
        <v>71.5</v>
      </c>
      <c r="L1403" s="152">
        <f t="shared" si="65"/>
        <v>65</v>
      </c>
      <c r="M1403" s="113"/>
    </row>
    <row r="1404" spans="1:13" x14ac:dyDescent="0.2">
      <c r="A1404" s="106">
        <v>46203</v>
      </c>
      <c r="B1404" s="105" t="s">
        <v>2615</v>
      </c>
      <c r="C1404" s="105" t="s">
        <v>5155</v>
      </c>
      <c r="D1404" s="149" t="s">
        <v>2617</v>
      </c>
      <c r="E1404" s="105">
        <v>1</v>
      </c>
      <c r="F1404" s="136">
        <v>57.25</v>
      </c>
      <c r="G1404" s="136">
        <v>66</v>
      </c>
      <c r="H1404" s="109">
        <f t="shared" si="63"/>
        <v>66</v>
      </c>
      <c r="I1404" s="119"/>
      <c r="J1404" s="119">
        <v>0</v>
      </c>
      <c r="K1404" s="119">
        <f t="shared" si="64"/>
        <v>66</v>
      </c>
      <c r="L1404" s="152">
        <f t="shared" si="65"/>
        <v>57.25</v>
      </c>
      <c r="M1404" s="113"/>
    </row>
    <row r="1405" spans="1:13" x14ac:dyDescent="0.2">
      <c r="A1405" s="106">
        <v>46203</v>
      </c>
      <c r="B1405" s="105" t="s">
        <v>3348</v>
      </c>
      <c r="C1405" s="105" t="s">
        <v>5156</v>
      </c>
      <c r="D1405" s="149" t="s">
        <v>3349</v>
      </c>
      <c r="E1405" s="105">
        <v>5</v>
      </c>
      <c r="F1405" s="136">
        <v>14.91</v>
      </c>
      <c r="G1405" s="136">
        <v>17.25</v>
      </c>
      <c r="H1405" s="109">
        <f t="shared" si="63"/>
        <v>86.25</v>
      </c>
      <c r="I1405" s="119"/>
      <c r="J1405" s="119">
        <v>0</v>
      </c>
      <c r="K1405" s="119">
        <f t="shared" si="64"/>
        <v>86.25</v>
      </c>
      <c r="L1405" s="152">
        <f t="shared" si="65"/>
        <v>74.55</v>
      </c>
      <c r="M1405" s="113"/>
    </row>
    <row r="1406" spans="1:13" x14ac:dyDescent="0.2">
      <c r="A1406" s="106">
        <v>46203</v>
      </c>
      <c r="B1406" s="105" t="s">
        <v>2459</v>
      </c>
      <c r="C1406" s="105" t="s">
        <v>5157</v>
      </c>
      <c r="D1406" s="149" t="s">
        <v>2460</v>
      </c>
      <c r="E1406" s="105">
        <v>1</v>
      </c>
      <c r="F1406" s="136">
        <v>17.95</v>
      </c>
      <c r="G1406" s="136">
        <v>20.75</v>
      </c>
      <c r="H1406" s="109"/>
      <c r="I1406" s="119">
        <v>20.75</v>
      </c>
      <c r="J1406" s="119">
        <v>0</v>
      </c>
      <c r="K1406" s="119">
        <f t="shared" si="64"/>
        <v>20.75</v>
      </c>
      <c r="L1406" s="152">
        <f t="shared" si="65"/>
        <v>17.95</v>
      </c>
      <c r="M1406" s="113"/>
    </row>
    <row r="1407" spans="1:13" x14ac:dyDescent="0.2">
      <c r="A1407" s="106">
        <v>46203</v>
      </c>
      <c r="B1407" s="105" t="s">
        <v>2127</v>
      </c>
      <c r="C1407" s="105" t="s">
        <v>5157</v>
      </c>
      <c r="D1407" s="149" t="s">
        <v>2129</v>
      </c>
      <c r="E1407" s="105">
        <v>1</v>
      </c>
      <c r="F1407" s="136">
        <v>6.18</v>
      </c>
      <c r="G1407" s="136">
        <v>7.5</v>
      </c>
      <c r="H1407" s="109"/>
      <c r="I1407" s="119">
        <v>7.5</v>
      </c>
      <c r="J1407" s="119">
        <v>0</v>
      </c>
      <c r="K1407" s="119">
        <f t="shared" si="64"/>
        <v>7.5</v>
      </c>
      <c r="L1407" s="152">
        <f t="shared" si="65"/>
        <v>6.18</v>
      </c>
      <c r="M1407" s="113"/>
    </row>
    <row r="1408" spans="1:13" x14ac:dyDescent="0.2">
      <c r="A1408" s="106">
        <v>46203</v>
      </c>
      <c r="B1408" s="105" t="s">
        <v>4482</v>
      </c>
      <c r="C1408" s="105" t="s">
        <v>5157</v>
      </c>
      <c r="D1408" s="149" t="s">
        <v>4514</v>
      </c>
      <c r="E1408" s="105">
        <v>1</v>
      </c>
      <c r="F1408" s="136">
        <v>90.42</v>
      </c>
      <c r="G1408" s="136">
        <v>104</v>
      </c>
      <c r="H1408" s="109"/>
      <c r="I1408" s="119">
        <v>104</v>
      </c>
      <c r="J1408" s="119">
        <v>0</v>
      </c>
      <c r="K1408" s="119">
        <f t="shared" si="64"/>
        <v>104</v>
      </c>
      <c r="L1408" s="152">
        <f t="shared" si="65"/>
        <v>90.42</v>
      </c>
      <c r="M1408" s="113"/>
    </row>
    <row r="1409" spans="1:13" x14ac:dyDescent="0.2">
      <c r="A1409" s="106">
        <v>46203</v>
      </c>
      <c r="B1409" s="105" t="s">
        <v>2438</v>
      </c>
      <c r="C1409" s="105" t="s">
        <v>5157</v>
      </c>
      <c r="D1409" s="149" t="s">
        <v>2440</v>
      </c>
      <c r="E1409" s="105">
        <v>1</v>
      </c>
      <c r="F1409" s="136">
        <v>15.12</v>
      </c>
      <c r="G1409" s="136">
        <v>17.5</v>
      </c>
      <c r="H1409" s="109"/>
      <c r="I1409" s="119">
        <v>17.5</v>
      </c>
      <c r="J1409" s="119">
        <v>0</v>
      </c>
      <c r="K1409" s="119">
        <f t="shared" si="64"/>
        <v>17.5</v>
      </c>
      <c r="L1409" s="152">
        <f t="shared" si="65"/>
        <v>15.12</v>
      </c>
      <c r="M1409" s="113"/>
    </row>
    <row r="1410" spans="1:13" x14ac:dyDescent="0.2">
      <c r="A1410" s="106">
        <v>46203</v>
      </c>
      <c r="B1410" s="105" t="s">
        <v>1861</v>
      </c>
      <c r="C1410" s="105" t="s">
        <v>5157</v>
      </c>
      <c r="D1410" s="149" t="s">
        <v>1862</v>
      </c>
      <c r="E1410" s="105">
        <v>2</v>
      </c>
      <c r="F1410" s="136">
        <v>15.65</v>
      </c>
      <c r="G1410" s="136">
        <v>18</v>
      </c>
      <c r="H1410" s="109"/>
      <c r="I1410" s="119">
        <v>36</v>
      </c>
      <c r="J1410" s="119">
        <v>0</v>
      </c>
      <c r="K1410" s="119">
        <f t="shared" si="64"/>
        <v>36</v>
      </c>
      <c r="L1410" s="152">
        <f t="shared" si="65"/>
        <v>31.3</v>
      </c>
      <c r="M1410" s="113"/>
    </row>
    <row r="1411" spans="1:13" x14ac:dyDescent="0.2">
      <c r="A1411" s="106">
        <v>46203</v>
      </c>
      <c r="B1411" s="105" t="s">
        <v>2725</v>
      </c>
      <c r="C1411" s="105" t="s">
        <v>5157</v>
      </c>
      <c r="D1411" s="149" t="s">
        <v>2726</v>
      </c>
      <c r="E1411" s="105">
        <v>2</v>
      </c>
      <c r="F1411" s="136">
        <v>6.18</v>
      </c>
      <c r="G1411" s="136">
        <v>7.5</v>
      </c>
      <c r="H1411" s="109"/>
      <c r="I1411" s="119">
        <v>15</v>
      </c>
      <c r="J1411" s="119">
        <v>0</v>
      </c>
      <c r="K1411" s="119">
        <f t="shared" si="64"/>
        <v>15</v>
      </c>
      <c r="L1411" s="152">
        <f t="shared" si="65"/>
        <v>12.36</v>
      </c>
      <c r="M1411" s="113"/>
    </row>
    <row r="1412" spans="1:13" x14ac:dyDescent="0.2">
      <c r="A1412" s="106">
        <v>46203</v>
      </c>
      <c r="B1412" s="105" t="s">
        <v>5115</v>
      </c>
      <c r="C1412" s="105" t="s">
        <v>5157</v>
      </c>
      <c r="D1412" s="149" t="s">
        <v>5163</v>
      </c>
      <c r="E1412" s="105">
        <v>1</v>
      </c>
      <c r="F1412" s="136">
        <v>6.43</v>
      </c>
      <c r="G1412" s="136">
        <v>7.5</v>
      </c>
      <c r="H1412" s="109"/>
      <c r="I1412" s="119">
        <v>7.5</v>
      </c>
      <c r="J1412" s="119">
        <v>0</v>
      </c>
      <c r="K1412" s="119">
        <f t="shared" si="64"/>
        <v>7.5</v>
      </c>
      <c r="L1412" s="152">
        <f t="shared" si="65"/>
        <v>6.43</v>
      </c>
      <c r="M1412" s="113"/>
    </row>
    <row r="1413" spans="1:13" x14ac:dyDescent="0.2">
      <c r="A1413" s="106">
        <v>46203</v>
      </c>
      <c r="B1413" s="105" t="s">
        <v>3459</v>
      </c>
      <c r="C1413" s="105" t="s">
        <v>5157</v>
      </c>
      <c r="D1413" s="149" t="s">
        <v>3460</v>
      </c>
      <c r="E1413" s="105">
        <v>4</v>
      </c>
      <c r="F1413" s="136">
        <v>273</v>
      </c>
      <c r="G1413" s="136">
        <v>314</v>
      </c>
      <c r="H1413" s="109"/>
      <c r="I1413" s="119">
        <v>1256</v>
      </c>
      <c r="J1413" s="119">
        <v>1151.1099999999999</v>
      </c>
      <c r="K1413" s="119">
        <f t="shared" si="64"/>
        <v>104.8900000000001</v>
      </c>
      <c r="L1413" s="152">
        <f t="shared" si="65"/>
        <v>1092</v>
      </c>
      <c r="M1413" s="113"/>
    </row>
    <row r="1414" spans="1:13" x14ac:dyDescent="0.2">
      <c r="A1414" s="106">
        <v>46203</v>
      </c>
      <c r="B1414" s="105" t="s">
        <v>4267</v>
      </c>
      <c r="C1414" s="105" t="s">
        <v>5157</v>
      </c>
      <c r="D1414" s="149" t="s">
        <v>4269</v>
      </c>
      <c r="E1414" s="105">
        <v>1</v>
      </c>
      <c r="F1414" s="136">
        <v>137.75</v>
      </c>
      <c r="G1414" s="136">
        <v>158.5</v>
      </c>
      <c r="H1414" s="109"/>
      <c r="I1414" s="119">
        <v>158.5</v>
      </c>
      <c r="J1414" s="119">
        <v>0</v>
      </c>
      <c r="K1414" s="119">
        <f t="shared" si="64"/>
        <v>158.5</v>
      </c>
      <c r="L1414" s="152">
        <f t="shared" si="65"/>
        <v>137.75</v>
      </c>
      <c r="M1414" s="113"/>
    </row>
    <row r="1415" spans="1:13" x14ac:dyDescent="0.2">
      <c r="A1415" s="106">
        <v>46203</v>
      </c>
      <c r="B1415" s="105" t="s">
        <v>4215</v>
      </c>
      <c r="C1415" s="105" t="s">
        <v>5157</v>
      </c>
      <c r="D1415" s="149" t="s">
        <v>4216</v>
      </c>
      <c r="E1415" s="105">
        <v>2</v>
      </c>
      <c r="F1415" s="136">
        <v>37.799999999999997</v>
      </c>
      <c r="G1415" s="136">
        <v>43.5</v>
      </c>
      <c r="H1415" s="109"/>
      <c r="I1415" s="119">
        <v>87</v>
      </c>
      <c r="J1415" s="119">
        <v>0</v>
      </c>
      <c r="K1415" s="119">
        <f t="shared" si="64"/>
        <v>87</v>
      </c>
      <c r="L1415" s="152">
        <f t="shared" si="65"/>
        <v>75.599999999999994</v>
      </c>
      <c r="M1415" s="113"/>
    </row>
    <row r="1416" spans="1:13" x14ac:dyDescent="0.2">
      <c r="A1416" s="106">
        <v>46203</v>
      </c>
      <c r="B1416" s="105" t="s">
        <v>5116</v>
      </c>
      <c r="C1416" s="105" t="s">
        <v>5157</v>
      </c>
      <c r="D1416" s="149" t="s">
        <v>5164</v>
      </c>
      <c r="E1416" s="105">
        <v>1</v>
      </c>
      <c r="F1416" s="136">
        <v>68.540000000000006</v>
      </c>
      <c r="G1416" s="136">
        <v>79</v>
      </c>
      <c r="H1416" s="109"/>
      <c r="I1416" s="119">
        <v>79</v>
      </c>
      <c r="J1416" s="119">
        <v>0</v>
      </c>
      <c r="K1416" s="119">
        <f t="shared" ref="K1416:K1479" si="66">H1416+I1416-J1416</f>
        <v>79</v>
      </c>
      <c r="L1416" s="152">
        <f t="shared" ref="L1416:L1479" si="67">E1416*F1416</f>
        <v>68.540000000000006</v>
      </c>
      <c r="M1416" s="113"/>
    </row>
    <row r="1417" spans="1:13" x14ac:dyDescent="0.2">
      <c r="A1417" s="106">
        <v>46203</v>
      </c>
      <c r="B1417" s="105" t="s">
        <v>3634</v>
      </c>
      <c r="C1417" s="105" t="s">
        <v>5157</v>
      </c>
      <c r="D1417" s="149" t="s">
        <v>3636</v>
      </c>
      <c r="E1417" s="105">
        <v>2</v>
      </c>
      <c r="F1417" s="136">
        <v>8.5299999999999994</v>
      </c>
      <c r="G1417" s="136">
        <v>10</v>
      </c>
      <c r="H1417" s="109"/>
      <c r="I1417" s="119">
        <v>20</v>
      </c>
      <c r="J1417" s="119">
        <v>0</v>
      </c>
      <c r="K1417" s="119">
        <f t="shared" si="66"/>
        <v>20</v>
      </c>
      <c r="L1417" s="152">
        <f t="shared" si="67"/>
        <v>17.059999999999999</v>
      </c>
      <c r="M1417" s="113"/>
    </row>
    <row r="1418" spans="1:13" x14ac:dyDescent="0.2">
      <c r="A1418" s="106">
        <v>46203</v>
      </c>
      <c r="B1418" s="105" t="s">
        <v>3545</v>
      </c>
      <c r="C1418" s="105" t="s">
        <v>5157</v>
      </c>
      <c r="D1418" s="149" t="s">
        <v>3546</v>
      </c>
      <c r="E1418" s="105">
        <v>1</v>
      </c>
      <c r="F1418" s="136">
        <v>169.1</v>
      </c>
      <c r="G1418" s="136">
        <v>186</v>
      </c>
      <c r="H1418" s="109"/>
      <c r="I1418" s="119">
        <v>186</v>
      </c>
      <c r="J1418" s="119">
        <v>0</v>
      </c>
      <c r="K1418" s="119">
        <f t="shared" si="66"/>
        <v>186</v>
      </c>
      <c r="L1418" s="152">
        <f t="shared" si="67"/>
        <v>169.1</v>
      </c>
      <c r="M1418" s="113"/>
    </row>
    <row r="1419" spans="1:13" x14ac:dyDescent="0.2">
      <c r="A1419" s="106">
        <v>46203</v>
      </c>
      <c r="B1419" s="105" t="s">
        <v>2721</v>
      </c>
      <c r="C1419" s="105" t="s">
        <v>5157</v>
      </c>
      <c r="D1419" s="149" t="s">
        <v>2722</v>
      </c>
      <c r="E1419" s="105">
        <v>1</v>
      </c>
      <c r="F1419" s="136">
        <v>40.06</v>
      </c>
      <c r="G1419" s="136">
        <v>46.25</v>
      </c>
      <c r="H1419" s="109"/>
      <c r="I1419" s="119">
        <v>46.25</v>
      </c>
      <c r="J1419" s="119">
        <v>0</v>
      </c>
      <c r="K1419" s="119">
        <f t="shared" si="66"/>
        <v>46.25</v>
      </c>
      <c r="L1419" s="152">
        <f t="shared" si="67"/>
        <v>40.06</v>
      </c>
      <c r="M1419" s="113"/>
    </row>
    <row r="1420" spans="1:13" x14ac:dyDescent="0.2">
      <c r="A1420" s="106">
        <v>46203</v>
      </c>
      <c r="B1420" s="105" t="s">
        <v>4570</v>
      </c>
      <c r="C1420" s="105" t="s">
        <v>5157</v>
      </c>
      <c r="D1420" s="149" t="s">
        <v>4675</v>
      </c>
      <c r="E1420" s="105">
        <v>1</v>
      </c>
      <c r="F1420" s="136">
        <v>6.8</v>
      </c>
      <c r="G1420" s="136">
        <v>8</v>
      </c>
      <c r="H1420" s="109"/>
      <c r="I1420" s="119">
        <v>8</v>
      </c>
      <c r="J1420" s="119">
        <v>0</v>
      </c>
      <c r="K1420" s="119">
        <f t="shared" si="66"/>
        <v>8</v>
      </c>
      <c r="L1420" s="152">
        <f t="shared" si="67"/>
        <v>6.8</v>
      </c>
      <c r="M1420" s="113"/>
    </row>
    <row r="1421" spans="1:13" x14ac:dyDescent="0.2">
      <c r="A1421" s="106">
        <v>46203</v>
      </c>
      <c r="B1421" s="105" t="s">
        <v>2843</v>
      </c>
      <c r="C1421" s="105" t="s">
        <v>5157</v>
      </c>
      <c r="D1421" s="149" t="s">
        <v>2844</v>
      </c>
      <c r="E1421" s="105">
        <v>1</v>
      </c>
      <c r="F1421" s="136">
        <v>53.87</v>
      </c>
      <c r="G1421" s="136">
        <v>62</v>
      </c>
      <c r="H1421" s="109"/>
      <c r="I1421" s="119">
        <v>62</v>
      </c>
      <c r="J1421" s="119">
        <v>0</v>
      </c>
      <c r="K1421" s="119">
        <f t="shared" si="66"/>
        <v>62</v>
      </c>
      <c r="L1421" s="152">
        <f t="shared" si="67"/>
        <v>53.87</v>
      </c>
      <c r="M1421" s="113"/>
    </row>
    <row r="1422" spans="1:13" x14ac:dyDescent="0.2">
      <c r="A1422" s="106">
        <v>46203</v>
      </c>
      <c r="B1422" s="105" t="s">
        <v>1962</v>
      </c>
      <c r="C1422" s="105" t="s">
        <v>5157</v>
      </c>
      <c r="D1422" s="149" t="s">
        <v>1964</v>
      </c>
      <c r="E1422" s="105">
        <v>1</v>
      </c>
      <c r="F1422" s="136">
        <v>7.48</v>
      </c>
      <c r="G1422" s="136">
        <v>8.75</v>
      </c>
      <c r="H1422" s="109"/>
      <c r="I1422" s="119">
        <v>8.75</v>
      </c>
      <c r="J1422" s="119">
        <v>0</v>
      </c>
      <c r="K1422" s="119">
        <f t="shared" si="66"/>
        <v>8.75</v>
      </c>
      <c r="L1422" s="152">
        <f t="shared" si="67"/>
        <v>7.48</v>
      </c>
      <c r="M1422" s="113"/>
    </row>
    <row r="1423" spans="1:13" x14ac:dyDescent="0.2">
      <c r="A1423" s="106">
        <v>46203</v>
      </c>
      <c r="B1423" s="105" t="s">
        <v>5117</v>
      </c>
      <c r="C1423" s="105" t="s">
        <v>5157</v>
      </c>
      <c r="D1423" s="149" t="s">
        <v>5165</v>
      </c>
      <c r="E1423" s="105">
        <v>1</v>
      </c>
      <c r="F1423" s="136">
        <v>58.8</v>
      </c>
      <c r="G1423" s="136">
        <v>67.75</v>
      </c>
      <c r="H1423" s="109"/>
      <c r="I1423" s="119">
        <v>67.75</v>
      </c>
      <c r="J1423" s="119">
        <v>0</v>
      </c>
      <c r="K1423" s="119">
        <f t="shared" si="66"/>
        <v>67.75</v>
      </c>
      <c r="L1423" s="152">
        <f t="shared" si="67"/>
        <v>58.8</v>
      </c>
      <c r="M1423" s="113"/>
    </row>
    <row r="1424" spans="1:13" x14ac:dyDescent="0.2">
      <c r="A1424" s="106">
        <v>46203</v>
      </c>
      <c r="B1424" s="105" t="s">
        <v>5118</v>
      </c>
      <c r="C1424" s="105" t="s">
        <v>5157</v>
      </c>
      <c r="D1424" s="149" t="s">
        <v>5166</v>
      </c>
      <c r="E1424" s="105">
        <v>1</v>
      </c>
      <c r="F1424" s="136">
        <v>49.1</v>
      </c>
      <c r="G1424" s="136">
        <v>56.5</v>
      </c>
      <c r="H1424" s="109"/>
      <c r="I1424" s="119">
        <v>56.5</v>
      </c>
      <c r="J1424" s="119">
        <v>0</v>
      </c>
      <c r="K1424" s="119">
        <f t="shared" si="66"/>
        <v>56.5</v>
      </c>
      <c r="L1424" s="152">
        <f t="shared" si="67"/>
        <v>49.1</v>
      </c>
      <c r="M1424" s="113"/>
    </row>
    <row r="1425" spans="1:13" x14ac:dyDescent="0.2">
      <c r="A1425" s="106">
        <v>46203</v>
      </c>
      <c r="B1425" s="105" t="s">
        <v>4552</v>
      </c>
      <c r="C1425" s="105" t="s">
        <v>5157</v>
      </c>
      <c r="D1425" s="149" t="s">
        <v>4657</v>
      </c>
      <c r="E1425" s="105">
        <v>1</v>
      </c>
      <c r="F1425" s="136">
        <v>34.270000000000003</v>
      </c>
      <c r="G1425" s="136">
        <v>39.5</v>
      </c>
      <c r="H1425" s="109"/>
      <c r="I1425" s="119">
        <v>39.5</v>
      </c>
      <c r="J1425" s="119">
        <v>0</v>
      </c>
      <c r="K1425" s="119">
        <f t="shared" si="66"/>
        <v>39.5</v>
      </c>
      <c r="L1425" s="152">
        <f t="shared" si="67"/>
        <v>34.270000000000003</v>
      </c>
      <c r="M1425" s="113"/>
    </row>
    <row r="1426" spans="1:13" x14ac:dyDescent="0.2">
      <c r="A1426" s="106">
        <v>46203</v>
      </c>
      <c r="B1426" s="105" t="s">
        <v>2407</v>
      </c>
      <c r="C1426" s="105" t="s">
        <v>5157</v>
      </c>
      <c r="D1426" s="149" t="s">
        <v>2409</v>
      </c>
      <c r="E1426" s="105">
        <v>1</v>
      </c>
      <c r="F1426" s="136">
        <v>94.58</v>
      </c>
      <c r="G1426" s="136">
        <v>109</v>
      </c>
      <c r="H1426" s="109"/>
      <c r="I1426" s="119">
        <v>109</v>
      </c>
      <c r="J1426" s="119">
        <v>0</v>
      </c>
      <c r="K1426" s="119">
        <f t="shared" si="66"/>
        <v>109</v>
      </c>
      <c r="L1426" s="152">
        <f t="shared" si="67"/>
        <v>94.58</v>
      </c>
      <c r="M1426" s="113"/>
    </row>
    <row r="1427" spans="1:13" x14ac:dyDescent="0.2">
      <c r="A1427" s="106">
        <v>46203</v>
      </c>
      <c r="B1427" s="105" t="s">
        <v>2363</v>
      </c>
      <c r="C1427" s="105" t="s">
        <v>5157</v>
      </c>
      <c r="D1427" s="149" t="s">
        <v>2365</v>
      </c>
      <c r="E1427" s="105">
        <v>25</v>
      </c>
      <c r="F1427" s="136">
        <v>12.66</v>
      </c>
      <c r="G1427" s="136">
        <v>14.25</v>
      </c>
      <c r="H1427" s="109"/>
      <c r="I1427" s="119">
        <v>356.25</v>
      </c>
      <c r="J1427" s="119">
        <v>0</v>
      </c>
      <c r="K1427" s="119">
        <f t="shared" si="66"/>
        <v>356.25</v>
      </c>
      <c r="L1427" s="152">
        <f t="shared" si="67"/>
        <v>316.5</v>
      </c>
      <c r="M1427" s="113"/>
    </row>
    <row r="1428" spans="1:13" x14ac:dyDescent="0.2">
      <c r="A1428" s="106">
        <v>46203</v>
      </c>
      <c r="B1428" s="105" t="s">
        <v>2210</v>
      </c>
      <c r="C1428" s="105" t="s">
        <v>5157</v>
      </c>
      <c r="D1428" s="149" t="s">
        <v>2211</v>
      </c>
      <c r="E1428" s="105">
        <v>15</v>
      </c>
      <c r="F1428" s="136">
        <v>13.1</v>
      </c>
      <c r="G1428" s="136">
        <v>15.25</v>
      </c>
      <c r="H1428" s="109"/>
      <c r="I1428" s="119">
        <v>228.75</v>
      </c>
      <c r="J1428" s="119">
        <v>0</v>
      </c>
      <c r="K1428" s="119">
        <f t="shared" si="66"/>
        <v>228.75</v>
      </c>
      <c r="L1428" s="152">
        <f t="shared" si="67"/>
        <v>196.5</v>
      </c>
      <c r="M1428" s="113"/>
    </row>
    <row r="1429" spans="1:13" x14ac:dyDescent="0.2">
      <c r="A1429" s="106">
        <v>46203</v>
      </c>
      <c r="B1429" s="105" t="s">
        <v>3487</v>
      </c>
      <c r="C1429" s="105" t="s">
        <v>5157</v>
      </c>
      <c r="D1429" s="149" t="s">
        <v>3488</v>
      </c>
      <c r="E1429" s="105">
        <v>1</v>
      </c>
      <c r="F1429" s="136">
        <v>13.1</v>
      </c>
      <c r="G1429" s="136">
        <v>15.25</v>
      </c>
      <c r="H1429" s="109"/>
      <c r="I1429" s="119">
        <v>15.25</v>
      </c>
      <c r="J1429" s="119">
        <v>0</v>
      </c>
      <c r="K1429" s="119">
        <f t="shared" si="66"/>
        <v>15.25</v>
      </c>
      <c r="L1429" s="152">
        <f t="shared" si="67"/>
        <v>13.1</v>
      </c>
      <c r="M1429" s="113"/>
    </row>
    <row r="1430" spans="1:13" x14ac:dyDescent="0.2">
      <c r="A1430" s="106">
        <v>46203</v>
      </c>
      <c r="B1430" s="105" t="s">
        <v>5119</v>
      </c>
      <c r="C1430" s="105" t="s">
        <v>5157</v>
      </c>
      <c r="D1430" s="149" t="s">
        <v>5167</v>
      </c>
      <c r="E1430" s="105">
        <v>5</v>
      </c>
      <c r="F1430" s="136">
        <v>13.1</v>
      </c>
      <c r="G1430" s="136">
        <v>15.25</v>
      </c>
      <c r="H1430" s="109"/>
      <c r="I1430" s="119">
        <v>76.25</v>
      </c>
      <c r="J1430" s="119">
        <v>0</v>
      </c>
      <c r="K1430" s="119">
        <f t="shared" si="66"/>
        <v>76.25</v>
      </c>
      <c r="L1430" s="152">
        <f t="shared" si="67"/>
        <v>65.5</v>
      </c>
      <c r="M1430" s="113"/>
    </row>
    <row r="1431" spans="1:13" x14ac:dyDescent="0.2">
      <c r="A1431" s="106">
        <v>46203</v>
      </c>
      <c r="B1431" s="105" t="s">
        <v>4327</v>
      </c>
      <c r="C1431" s="105" t="s">
        <v>5157</v>
      </c>
      <c r="D1431" s="149" t="s">
        <v>4357</v>
      </c>
      <c r="E1431" s="105">
        <v>2</v>
      </c>
      <c r="F1431" s="136">
        <v>145.18</v>
      </c>
      <c r="G1431" s="136">
        <v>167</v>
      </c>
      <c r="H1431" s="109"/>
      <c r="I1431" s="119">
        <v>334</v>
      </c>
      <c r="J1431" s="119">
        <v>0</v>
      </c>
      <c r="K1431" s="119">
        <f t="shared" si="66"/>
        <v>334</v>
      </c>
      <c r="L1431" s="152">
        <f t="shared" si="67"/>
        <v>290.36</v>
      </c>
      <c r="M1431" s="113"/>
    </row>
    <row r="1432" spans="1:13" x14ac:dyDescent="0.2">
      <c r="A1432" s="106">
        <v>46203</v>
      </c>
      <c r="B1432" s="105" t="s">
        <v>3897</v>
      </c>
      <c r="C1432" s="105" t="s">
        <v>5157</v>
      </c>
      <c r="D1432" s="149" t="s">
        <v>3899</v>
      </c>
      <c r="E1432" s="105">
        <v>6</v>
      </c>
      <c r="F1432" s="136">
        <v>25.69</v>
      </c>
      <c r="G1432" s="136">
        <v>29.75</v>
      </c>
      <c r="H1432" s="109"/>
      <c r="I1432" s="119">
        <v>178.5</v>
      </c>
      <c r="J1432" s="119">
        <v>0</v>
      </c>
      <c r="K1432" s="119">
        <f t="shared" si="66"/>
        <v>178.5</v>
      </c>
      <c r="L1432" s="152">
        <f t="shared" si="67"/>
        <v>154.14000000000001</v>
      </c>
      <c r="M1432" s="113"/>
    </row>
    <row r="1433" spans="1:13" x14ac:dyDescent="0.2">
      <c r="A1433" s="106">
        <v>46203</v>
      </c>
      <c r="B1433" s="105" t="s">
        <v>2237</v>
      </c>
      <c r="C1433" s="105" t="s">
        <v>5157</v>
      </c>
      <c r="D1433" s="149" t="s">
        <v>2239</v>
      </c>
      <c r="E1433" s="105">
        <v>5</v>
      </c>
      <c r="F1433" s="136">
        <v>13.32</v>
      </c>
      <c r="G1433" s="136">
        <v>15.5</v>
      </c>
      <c r="H1433" s="109"/>
      <c r="I1433" s="119">
        <v>77.5</v>
      </c>
      <c r="J1433" s="119">
        <v>0</v>
      </c>
      <c r="K1433" s="119">
        <f t="shared" si="66"/>
        <v>77.5</v>
      </c>
      <c r="L1433" s="152">
        <f t="shared" si="67"/>
        <v>66.599999999999994</v>
      </c>
      <c r="M1433" s="113"/>
    </row>
    <row r="1434" spans="1:13" x14ac:dyDescent="0.2">
      <c r="A1434" s="106">
        <v>46203</v>
      </c>
      <c r="B1434" s="105" t="s">
        <v>3180</v>
      </c>
      <c r="C1434" s="105" t="s">
        <v>5157</v>
      </c>
      <c r="D1434" s="149" t="s">
        <v>3181</v>
      </c>
      <c r="E1434" s="105">
        <v>1</v>
      </c>
      <c r="F1434" s="136">
        <v>25.8</v>
      </c>
      <c r="G1434" s="136">
        <v>29.75</v>
      </c>
      <c r="H1434" s="109"/>
      <c r="I1434" s="119">
        <v>29.75</v>
      </c>
      <c r="J1434" s="119">
        <v>0</v>
      </c>
      <c r="K1434" s="119">
        <f t="shared" si="66"/>
        <v>29.75</v>
      </c>
      <c r="L1434" s="152">
        <f t="shared" si="67"/>
        <v>25.8</v>
      </c>
      <c r="M1434" s="113"/>
    </row>
    <row r="1435" spans="1:13" x14ac:dyDescent="0.2">
      <c r="A1435" s="106">
        <v>46203</v>
      </c>
      <c r="B1435" s="105" t="s">
        <v>5120</v>
      </c>
      <c r="C1435" s="105" t="s">
        <v>5157</v>
      </c>
      <c r="D1435" s="149" t="s">
        <v>5168</v>
      </c>
      <c r="E1435" s="105">
        <v>1</v>
      </c>
      <c r="F1435" s="136">
        <v>25.5</v>
      </c>
      <c r="G1435" s="136">
        <v>29.5</v>
      </c>
      <c r="H1435" s="109"/>
      <c r="I1435" s="119">
        <v>29.5</v>
      </c>
      <c r="J1435" s="119">
        <v>0</v>
      </c>
      <c r="K1435" s="119">
        <f t="shared" si="66"/>
        <v>29.5</v>
      </c>
      <c r="L1435" s="152">
        <f t="shared" si="67"/>
        <v>25.5</v>
      </c>
      <c r="M1435" s="113"/>
    </row>
    <row r="1436" spans="1:13" x14ac:dyDescent="0.2">
      <c r="A1436" s="106">
        <v>46203</v>
      </c>
      <c r="B1436" s="105" t="s">
        <v>4574</v>
      </c>
      <c r="C1436" s="105" t="s">
        <v>5157</v>
      </c>
      <c r="D1436" s="149" t="s">
        <v>4679</v>
      </c>
      <c r="E1436" s="105">
        <v>1</v>
      </c>
      <c r="F1436" s="136">
        <v>21.5</v>
      </c>
      <c r="G1436" s="136">
        <v>24.75</v>
      </c>
      <c r="H1436" s="109"/>
      <c r="I1436" s="119">
        <v>24.75</v>
      </c>
      <c r="J1436" s="119">
        <v>0</v>
      </c>
      <c r="K1436" s="119">
        <f t="shared" si="66"/>
        <v>24.75</v>
      </c>
      <c r="L1436" s="152">
        <f t="shared" si="67"/>
        <v>21.5</v>
      </c>
      <c r="M1436" s="113"/>
    </row>
    <row r="1437" spans="1:13" x14ac:dyDescent="0.2">
      <c r="A1437" s="106">
        <v>46203</v>
      </c>
      <c r="B1437" s="105" t="s">
        <v>3727</v>
      </c>
      <c r="C1437" s="105" t="s">
        <v>5157</v>
      </c>
      <c r="D1437" s="149" t="s">
        <v>3729</v>
      </c>
      <c r="E1437" s="105">
        <v>1</v>
      </c>
      <c r="F1437" s="136">
        <v>18.75</v>
      </c>
      <c r="G1437" s="136">
        <v>21.75</v>
      </c>
      <c r="H1437" s="109"/>
      <c r="I1437" s="119">
        <v>21.75</v>
      </c>
      <c r="J1437" s="119">
        <v>0</v>
      </c>
      <c r="K1437" s="119">
        <f t="shared" si="66"/>
        <v>21.75</v>
      </c>
      <c r="L1437" s="152">
        <f t="shared" si="67"/>
        <v>18.75</v>
      </c>
      <c r="M1437" s="113"/>
    </row>
    <row r="1438" spans="1:13" x14ac:dyDescent="0.2">
      <c r="A1438" s="106">
        <v>46203</v>
      </c>
      <c r="B1438" s="105" t="s">
        <v>4197</v>
      </c>
      <c r="C1438" s="105" t="s">
        <v>5157</v>
      </c>
      <c r="D1438" s="149" t="s">
        <v>4198</v>
      </c>
      <c r="E1438" s="105">
        <v>1</v>
      </c>
      <c r="F1438" s="136">
        <v>14</v>
      </c>
      <c r="G1438" s="136">
        <v>16.25</v>
      </c>
      <c r="H1438" s="109"/>
      <c r="I1438" s="119">
        <v>16.25</v>
      </c>
      <c r="J1438" s="119">
        <v>0</v>
      </c>
      <c r="K1438" s="119">
        <f t="shared" si="66"/>
        <v>16.25</v>
      </c>
      <c r="L1438" s="152">
        <f t="shared" si="67"/>
        <v>14</v>
      </c>
      <c r="M1438" s="113"/>
    </row>
    <row r="1439" spans="1:13" x14ac:dyDescent="0.2">
      <c r="A1439" s="106">
        <v>46203</v>
      </c>
      <c r="B1439" s="105" t="s">
        <v>2760</v>
      </c>
      <c r="C1439" s="105" t="s">
        <v>5157</v>
      </c>
      <c r="D1439" s="149" t="s">
        <v>2761</v>
      </c>
      <c r="E1439" s="105">
        <v>1</v>
      </c>
      <c r="F1439" s="136">
        <v>18.5</v>
      </c>
      <c r="G1439" s="136">
        <v>21.5</v>
      </c>
      <c r="H1439" s="109"/>
      <c r="I1439" s="119">
        <v>21.5</v>
      </c>
      <c r="J1439" s="119">
        <v>0</v>
      </c>
      <c r="K1439" s="119">
        <f t="shared" si="66"/>
        <v>21.5</v>
      </c>
      <c r="L1439" s="152">
        <f t="shared" si="67"/>
        <v>18.5</v>
      </c>
      <c r="M1439" s="113"/>
    </row>
    <row r="1440" spans="1:13" x14ac:dyDescent="0.2">
      <c r="A1440" s="106">
        <v>46203</v>
      </c>
      <c r="B1440" s="105" t="s">
        <v>4478</v>
      </c>
      <c r="C1440" s="105" t="s">
        <v>5157</v>
      </c>
      <c r="D1440" s="149" t="s">
        <v>4510</v>
      </c>
      <c r="E1440" s="105">
        <v>7</v>
      </c>
      <c r="F1440" s="136">
        <v>14.25</v>
      </c>
      <c r="G1440" s="136">
        <v>16.5</v>
      </c>
      <c r="H1440" s="109"/>
      <c r="I1440" s="119">
        <v>115.5</v>
      </c>
      <c r="J1440" s="119">
        <v>0</v>
      </c>
      <c r="K1440" s="119">
        <f t="shared" si="66"/>
        <v>115.5</v>
      </c>
      <c r="L1440" s="152">
        <f t="shared" si="67"/>
        <v>99.75</v>
      </c>
      <c r="M1440" s="113"/>
    </row>
    <row r="1441" spans="1:13" x14ac:dyDescent="0.2">
      <c r="A1441" s="106">
        <v>46203</v>
      </c>
      <c r="B1441" s="105" t="s">
        <v>2633</v>
      </c>
      <c r="C1441" s="105" t="s">
        <v>5157</v>
      </c>
      <c r="D1441" s="149" t="s">
        <v>2635</v>
      </c>
      <c r="E1441" s="105">
        <v>2</v>
      </c>
      <c r="F1441" s="136">
        <v>14</v>
      </c>
      <c r="G1441" s="136">
        <v>16</v>
      </c>
      <c r="H1441" s="109"/>
      <c r="I1441" s="119">
        <v>32</v>
      </c>
      <c r="J1441" s="119">
        <v>0</v>
      </c>
      <c r="K1441" s="119">
        <f t="shared" si="66"/>
        <v>32</v>
      </c>
      <c r="L1441" s="152">
        <f t="shared" si="67"/>
        <v>28</v>
      </c>
      <c r="M1441" s="113"/>
    </row>
    <row r="1442" spans="1:13" x14ac:dyDescent="0.2">
      <c r="A1442" s="106">
        <v>46203</v>
      </c>
      <c r="B1442" s="105" t="s">
        <v>3225</v>
      </c>
      <c r="C1442" s="105" t="s">
        <v>5157</v>
      </c>
      <c r="D1442" s="149" t="s">
        <v>3227</v>
      </c>
      <c r="E1442" s="105">
        <v>2</v>
      </c>
      <c r="F1442" s="136">
        <v>21.88</v>
      </c>
      <c r="G1442" s="136">
        <v>24.5</v>
      </c>
      <c r="H1442" s="109"/>
      <c r="I1442" s="119">
        <v>49</v>
      </c>
      <c r="J1442" s="119">
        <v>0</v>
      </c>
      <c r="K1442" s="119">
        <f t="shared" si="66"/>
        <v>49</v>
      </c>
      <c r="L1442" s="152">
        <f t="shared" si="67"/>
        <v>43.76</v>
      </c>
      <c r="M1442" s="113"/>
    </row>
    <row r="1443" spans="1:13" x14ac:dyDescent="0.2">
      <c r="A1443" s="106">
        <v>46203</v>
      </c>
      <c r="B1443" s="105" t="s">
        <v>4195</v>
      </c>
      <c r="C1443" s="105" t="s">
        <v>5157</v>
      </c>
      <c r="D1443" s="149" t="s">
        <v>4196</v>
      </c>
      <c r="E1443" s="105">
        <v>3</v>
      </c>
      <c r="F1443" s="136">
        <v>13.1</v>
      </c>
      <c r="G1443" s="136">
        <v>15</v>
      </c>
      <c r="H1443" s="109"/>
      <c r="I1443" s="119">
        <v>45</v>
      </c>
      <c r="J1443" s="119">
        <v>0</v>
      </c>
      <c r="K1443" s="119">
        <f t="shared" si="66"/>
        <v>45</v>
      </c>
      <c r="L1443" s="152">
        <f t="shared" si="67"/>
        <v>39.299999999999997</v>
      </c>
      <c r="M1443" s="113"/>
    </row>
    <row r="1444" spans="1:13" x14ac:dyDescent="0.2">
      <c r="A1444" s="106">
        <v>46203</v>
      </c>
      <c r="B1444" s="105" t="s">
        <v>5121</v>
      </c>
      <c r="C1444" s="105" t="s">
        <v>5157</v>
      </c>
      <c r="D1444" s="149" t="s">
        <v>5169</v>
      </c>
      <c r="E1444" s="105">
        <v>1</v>
      </c>
      <c r="F1444" s="136">
        <v>17.600000000000001</v>
      </c>
      <c r="G1444" s="136">
        <v>20.25</v>
      </c>
      <c r="H1444" s="109"/>
      <c r="I1444" s="119">
        <v>20.25</v>
      </c>
      <c r="J1444" s="119">
        <v>0</v>
      </c>
      <c r="K1444" s="119">
        <f t="shared" si="66"/>
        <v>20.25</v>
      </c>
      <c r="L1444" s="152">
        <f t="shared" si="67"/>
        <v>17.600000000000001</v>
      </c>
      <c r="M1444" s="113"/>
    </row>
    <row r="1445" spans="1:13" x14ac:dyDescent="0.2">
      <c r="A1445" s="106">
        <v>46203</v>
      </c>
      <c r="B1445" s="105" t="s">
        <v>1810</v>
      </c>
      <c r="C1445" s="105" t="s">
        <v>5157</v>
      </c>
      <c r="D1445" s="149" t="s">
        <v>1811</v>
      </c>
      <c r="E1445" s="105">
        <v>1</v>
      </c>
      <c r="F1445" s="136">
        <v>38.39</v>
      </c>
      <c r="G1445" s="136">
        <v>44.25</v>
      </c>
      <c r="H1445" s="109"/>
      <c r="I1445" s="119">
        <v>44.25</v>
      </c>
      <c r="J1445" s="119">
        <v>0</v>
      </c>
      <c r="K1445" s="119">
        <f t="shared" si="66"/>
        <v>44.25</v>
      </c>
      <c r="L1445" s="152">
        <f t="shared" si="67"/>
        <v>38.39</v>
      </c>
      <c r="M1445" s="113"/>
    </row>
    <row r="1446" spans="1:13" x14ac:dyDescent="0.2">
      <c r="A1446" s="106">
        <v>46203</v>
      </c>
      <c r="B1446" s="105" t="s">
        <v>5122</v>
      </c>
      <c r="C1446" s="105" t="s">
        <v>5157</v>
      </c>
      <c r="D1446" s="149" t="s">
        <v>5170</v>
      </c>
      <c r="E1446" s="105">
        <v>1</v>
      </c>
      <c r="F1446" s="136">
        <v>97.21</v>
      </c>
      <c r="G1446" s="136">
        <v>112</v>
      </c>
      <c r="H1446" s="109"/>
      <c r="I1446" s="119">
        <v>112</v>
      </c>
      <c r="J1446" s="119">
        <v>0</v>
      </c>
      <c r="K1446" s="119">
        <f t="shared" si="66"/>
        <v>112</v>
      </c>
      <c r="L1446" s="152">
        <f t="shared" si="67"/>
        <v>97.21</v>
      </c>
      <c r="M1446" s="113"/>
    </row>
    <row r="1447" spans="1:13" x14ac:dyDescent="0.2">
      <c r="A1447" s="106">
        <v>46203</v>
      </c>
      <c r="B1447" s="105" t="s">
        <v>5123</v>
      </c>
      <c r="C1447" s="105" t="s">
        <v>5157</v>
      </c>
      <c r="D1447" s="149" t="s">
        <v>5171</v>
      </c>
      <c r="E1447" s="105">
        <v>1</v>
      </c>
      <c r="F1447" s="136">
        <v>7.6</v>
      </c>
      <c r="G1447" s="136">
        <v>9.25</v>
      </c>
      <c r="H1447" s="109"/>
      <c r="I1447" s="119">
        <v>9.25</v>
      </c>
      <c r="J1447" s="119">
        <v>0</v>
      </c>
      <c r="K1447" s="119">
        <f t="shared" si="66"/>
        <v>9.25</v>
      </c>
      <c r="L1447" s="152">
        <f t="shared" si="67"/>
        <v>7.6</v>
      </c>
      <c r="M1447" s="113"/>
    </row>
    <row r="1448" spans="1:13" x14ac:dyDescent="0.2">
      <c r="A1448" s="106">
        <v>46203</v>
      </c>
      <c r="B1448" s="105" t="s">
        <v>3050</v>
      </c>
      <c r="C1448" s="105" t="s">
        <v>5157</v>
      </c>
      <c r="D1448" s="149" t="s">
        <v>3051</v>
      </c>
      <c r="E1448" s="105">
        <v>1</v>
      </c>
      <c r="F1448" s="136">
        <v>6.02</v>
      </c>
      <c r="G1448" s="136">
        <v>7.25</v>
      </c>
      <c r="H1448" s="109"/>
      <c r="I1448" s="119">
        <v>7.25</v>
      </c>
      <c r="J1448" s="119">
        <v>0</v>
      </c>
      <c r="K1448" s="119">
        <f t="shared" si="66"/>
        <v>7.25</v>
      </c>
      <c r="L1448" s="152">
        <f t="shared" si="67"/>
        <v>6.02</v>
      </c>
      <c r="M1448" s="113"/>
    </row>
    <row r="1449" spans="1:13" x14ac:dyDescent="0.2">
      <c r="A1449" s="106">
        <v>46203</v>
      </c>
      <c r="B1449" s="105" t="s">
        <v>2581</v>
      </c>
      <c r="C1449" s="105" t="s">
        <v>5157</v>
      </c>
      <c r="D1449" s="149" t="s">
        <v>2583</v>
      </c>
      <c r="E1449" s="105">
        <v>6</v>
      </c>
      <c r="F1449" s="136">
        <v>6.02</v>
      </c>
      <c r="G1449" s="136">
        <v>7.25</v>
      </c>
      <c r="H1449" s="109"/>
      <c r="I1449" s="119">
        <v>43.5</v>
      </c>
      <c r="J1449" s="119">
        <v>0</v>
      </c>
      <c r="K1449" s="119">
        <f t="shared" si="66"/>
        <v>43.5</v>
      </c>
      <c r="L1449" s="152">
        <f t="shared" si="67"/>
        <v>36.119999999999997</v>
      </c>
      <c r="M1449" s="113"/>
    </row>
    <row r="1450" spans="1:13" x14ac:dyDescent="0.2">
      <c r="A1450" s="106">
        <v>46203</v>
      </c>
      <c r="B1450" s="105" t="s">
        <v>2245</v>
      </c>
      <c r="C1450" s="105" t="s">
        <v>5157</v>
      </c>
      <c r="D1450" s="149" t="s">
        <v>2246</v>
      </c>
      <c r="E1450" s="105">
        <v>16</v>
      </c>
      <c r="F1450" s="136">
        <v>4.74</v>
      </c>
      <c r="G1450" s="136">
        <v>5.5</v>
      </c>
      <c r="H1450" s="109"/>
      <c r="I1450" s="119">
        <v>88</v>
      </c>
      <c r="J1450" s="119">
        <v>0</v>
      </c>
      <c r="K1450" s="119">
        <f t="shared" si="66"/>
        <v>88</v>
      </c>
      <c r="L1450" s="152">
        <f t="shared" si="67"/>
        <v>75.84</v>
      </c>
      <c r="M1450" s="113"/>
    </row>
    <row r="1451" spans="1:13" x14ac:dyDescent="0.2">
      <c r="A1451" s="106">
        <v>46203</v>
      </c>
      <c r="B1451" s="105" t="s">
        <v>3065</v>
      </c>
      <c r="C1451" s="105" t="s">
        <v>5157</v>
      </c>
      <c r="D1451" s="149" t="s">
        <v>3067</v>
      </c>
      <c r="E1451" s="105">
        <v>1</v>
      </c>
      <c r="F1451" s="136">
        <v>13.39</v>
      </c>
      <c r="G1451" s="136">
        <v>15.5</v>
      </c>
      <c r="H1451" s="109"/>
      <c r="I1451" s="119">
        <v>15.5</v>
      </c>
      <c r="J1451" s="119">
        <v>0</v>
      </c>
      <c r="K1451" s="119">
        <f t="shared" si="66"/>
        <v>15.5</v>
      </c>
      <c r="L1451" s="152">
        <f t="shared" si="67"/>
        <v>13.39</v>
      </c>
      <c r="M1451" s="113"/>
    </row>
    <row r="1452" spans="1:13" x14ac:dyDescent="0.2">
      <c r="A1452" s="106">
        <v>46203</v>
      </c>
      <c r="B1452" s="105" t="s">
        <v>5124</v>
      </c>
      <c r="C1452" s="105" t="s">
        <v>5157</v>
      </c>
      <c r="D1452" s="149" t="s">
        <v>5172</v>
      </c>
      <c r="E1452" s="105">
        <v>1</v>
      </c>
      <c r="F1452" s="136">
        <v>13.1</v>
      </c>
      <c r="G1452" s="136">
        <v>15.25</v>
      </c>
      <c r="H1452" s="109"/>
      <c r="I1452" s="119">
        <v>15.25</v>
      </c>
      <c r="J1452" s="119">
        <v>0</v>
      </c>
      <c r="K1452" s="119">
        <f t="shared" si="66"/>
        <v>15.25</v>
      </c>
      <c r="L1452" s="152">
        <f t="shared" si="67"/>
        <v>13.1</v>
      </c>
      <c r="M1452" s="113"/>
    </row>
    <row r="1453" spans="1:13" x14ac:dyDescent="0.2">
      <c r="A1453" s="106">
        <v>46203</v>
      </c>
      <c r="B1453" s="105" t="s">
        <v>3981</v>
      </c>
      <c r="C1453" s="105" t="s">
        <v>5157</v>
      </c>
      <c r="D1453" s="149" t="s">
        <v>3982</v>
      </c>
      <c r="E1453" s="105">
        <v>2</v>
      </c>
      <c r="F1453" s="136">
        <v>7.75</v>
      </c>
      <c r="G1453" s="136">
        <v>9</v>
      </c>
      <c r="H1453" s="109"/>
      <c r="I1453" s="119">
        <v>18</v>
      </c>
      <c r="J1453" s="119">
        <v>0</v>
      </c>
      <c r="K1453" s="119">
        <f t="shared" si="66"/>
        <v>18</v>
      </c>
      <c r="L1453" s="152">
        <f t="shared" si="67"/>
        <v>15.5</v>
      </c>
      <c r="M1453" s="113"/>
    </row>
    <row r="1454" spans="1:13" x14ac:dyDescent="0.2">
      <c r="A1454" s="106">
        <v>46203</v>
      </c>
      <c r="B1454" s="105" t="s">
        <v>5125</v>
      </c>
      <c r="C1454" s="105" t="s">
        <v>5157</v>
      </c>
      <c r="D1454" s="149" t="s">
        <v>5173</v>
      </c>
      <c r="E1454" s="105">
        <v>2</v>
      </c>
      <c r="F1454" s="136">
        <v>91.5</v>
      </c>
      <c r="G1454" s="136">
        <v>105.25</v>
      </c>
      <c r="H1454" s="109"/>
      <c r="I1454" s="119">
        <v>210.5</v>
      </c>
      <c r="J1454" s="119">
        <v>0</v>
      </c>
      <c r="K1454" s="119">
        <f t="shared" si="66"/>
        <v>210.5</v>
      </c>
      <c r="L1454" s="152">
        <f t="shared" si="67"/>
        <v>183</v>
      </c>
      <c r="M1454" s="113"/>
    </row>
    <row r="1455" spans="1:13" x14ac:dyDescent="0.2">
      <c r="A1455" s="106">
        <v>46203</v>
      </c>
      <c r="B1455" s="105" t="s">
        <v>2043</v>
      </c>
      <c r="C1455" s="105" t="s">
        <v>5157</v>
      </c>
      <c r="D1455" s="149" t="s">
        <v>2044</v>
      </c>
      <c r="E1455" s="105">
        <v>6</v>
      </c>
      <c r="F1455" s="136">
        <v>6.92</v>
      </c>
      <c r="G1455" s="136">
        <v>7.75</v>
      </c>
      <c r="H1455" s="109"/>
      <c r="I1455" s="119">
        <v>46.5</v>
      </c>
      <c r="J1455" s="119">
        <v>0</v>
      </c>
      <c r="K1455" s="119">
        <f t="shared" si="66"/>
        <v>46.5</v>
      </c>
      <c r="L1455" s="152">
        <f t="shared" si="67"/>
        <v>41.519999999999996</v>
      </c>
      <c r="M1455" s="113"/>
    </row>
    <row r="1456" spans="1:13" x14ac:dyDescent="0.2">
      <c r="A1456" s="106">
        <v>46203</v>
      </c>
      <c r="B1456" s="105" t="s">
        <v>5126</v>
      </c>
      <c r="C1456" s="105" t="s">
        <v>5157</v>
      </c>
      <c r="D1456" s="149" t="s">
        <v>5174</v>
      </c>
      <c r="E1456" s="105">
        <v>1</v>
      </c>
      <c r="F1456" s="136">
        <v>23.62</v>
      </c>
      <c r="G1456" s="136">
        <v>27.75</v>
      </c>
      <c r="H1456" s="109"/>
      <c r="I1456" s="119">
        <v>27.75</v>
      </c>
      <c r="J1456" s="119">
        <v>0</v>
      </c>
      <c r="K1456" s="119">
        <f t="shared" si="66"/>
        <v>27.75</v>
      </c>
      <c r="L1456" s="152">
        <f t="shared" si="67"/>
        <v>23.62</v>
      </c>
      <c r="M1456" s="113"/>
    </row>
    <row r="1457" spans="1:13" x14ac:dyDescent="0.2">
      <c r="A1457" s="106">
        <v>46203</v>
      </c>
      <c r="B1457" s="105" t="s">
        <v>5127</v>
      </c>
      <c r="C1457" s="105" t="s">
        <v>5157</v>
      </c>
      <c r="D1457" s="149" t="s">
        <v>5175</v>
      </c>
      <c r="E1457" s="105">
        <v>1</v>
      </c>
      <c r="F1457" s="136">
        <v>37.25</v>
      </c>
      <c r="G1457" s="136">
        <v>43</v>
      </c>
      <c r="H1457" s="109"/>
      <c r="I1457" s="119">
        <v>43</v>
      </c>
      <c r="J1457" s="119">
        <v>0</v>
      </c>
      <c r="K1457" s="119">
        <f t="shared" si="66"/>
        <v>43</v>
      </c>
      <c r="L1457" s="152">
        <f t="shared" si="67"/>
        <v>37.25</v>
      </c>
      <c r="M1457" s="113"/>
    </row>
    <row r="1458" spans="1:13" x14ac:dyDescent="0.2">
      <c r="A1458" s="106">
        <v>46203</v>
      </c>
      <c r="B1458" s="105" t="s">
        <v>5128</v>
      </c>
      <c r="C1458" s="105" t="s">
        <v>5157</v>
      </c>
      <c r="D1458" s="149" t="s">
        <v>5176</v>
      </c>
      <c r="E1458" s="105">
        <v>1</v>
      </c>
      <c r="F1458" s="136">
        <v>37.25</v>
      </c>
      <c r="G1458" s="136">
        <v>43</v>
      </c>
      <c r="H1458" s="109"/>
      <c r="I1458" s="119">
        <v>43</v>
      </c>
      <c r="J1458" s="119">
        <v>0</v>
      </c>
      <c r="K1458" s="119">
        <f t="shared" si="66"/>
        <v>43</v>
      </c>
      <c r="L1458" s="152">
        <f t="shared" si="67"/>
        <v>37.25</v>
      </c>
      <c r="M1458" s="113"/>
    </row>
    <row r="1459" spans="1:13" x14ac:dyDescent="0.2">
      <c r="A1459" s="106">
        <v>46203</v>
      </c>
      <c r="B1459" s="105" t="s">
        <v>4022</v>
      </c>
      <c r="C1459" s="105" t="s">
        <v>5157</v>
      </c>
      <c r="D1459" s="149" t="s">
        <v>4024</v>
      </c>
      <c r="E1459" s="105">
        <v>1</v>
      </c>
      <c r="F1459" s="136">
        <v>7.71</v>
      </c>
      <c r="G1459" s="136">
        <v>9</v>
      </c>
      <c r="H1459" s="109"/>
      <c r="I1459" s="119">
        <v>9</v>
      </c>
      <c r="J1459" s="119">
        <v>0</v>
      </c>
      <c r="K1459" s="119">
        <f t="shared" si="66"/>
        <v>9</v>
      </c>
      <c r="L1459" s="152">
        <f t="shared" si="67"/>
        <v>7.71</v>
      </c>
      <c r="M1459" s="113"/>
    </row>
    <row r="1460" spans="1:13" x14ac:dyDescent="0.2">
      <c r="A1460" s="106">
        <v>46203</v>
      </c>
      <c r="B1460" s="105" t="s">
        <v>5129</v>
      </c>
      <c r="C1460" s="105" t="s">
        <v>5157</v>
      </c>
      <c r="D1460" s="149" t="s">
        <v>5177</v>
      </c>
      <c r="E1460" s="105">
        <v>2</v>
      </c>
      <c r="F1460" s="136">
        <v>5.79</v>
      </c>
      <c r="G1460" s="136">
        <v>6.75</v>
      </c>
      <c r="H1460" s="109"/>
      <c r="I1460" s="119">
        <v>13.5</v>
      </c>
      <c r="J1460" s="119">
        <v>0</v>
      </c>
      <c r="K1460" s="119">
        <f t="shared" si="66"/>
        <v>13.5</v>
      </c>
      <c r="L1460" s="152">
        <f t="shared" si="67"/>
        <v>11.58</v>
      </c>
      <c r="M1460" s="113"/>
    </row>
    <row r="1461" spans="1:13" x14ac:dyDescent="0.2">
      <c r="A1461" s="106">
        <v>46203</v>
      </c>
      <c r="B1461" s="105" t="s">
        <v>5130</v>
      </c>
      <c r="C1461" s="105" t="s">
        <v>5157</v>
      </c>
      <c r="D1461" s="149" t="s">
        <v>5178</v>
      </c>
      <c r="E1461" s="105">
        <v>1</v>
      </c>
      <c r="F1461" s="136">
        <v>6.6</v>
      </c>
      <c r="G1461" s="136">
        <v>7.75</v>
      </c>
      <c r="H1461" s="109"/>
      <c r="I1461" s="119">
        <v>7.75</v>
      </c>
      <c r="J1461" s="119">
        <v>0</v>
      </c>
      <c r="K1461" s="119">
        <f t="shared" si="66"/>
        <v>7.75</v>
      </c>
      <c r="L1461" s="152">
        <f t="shared" si="67"/>
        <v>6.6</v>
      </c>
      <c r="M1461" s="113"/>
    </row>
    <row r="1462" spans="1:13" x14ac:dyDescent="0.2">
      <c r="A1462" s="106">
        <v>46203</v>
      </c>
      <c r="B1462" s="105" t="s">
        <v>5131</v>
      </c>
      <c r="C1462" s="105" t="s">
        <v>5157</v>
      </c>
      <c r="D1462" s="149" t="s">
        <v>5179</v>
      </c>
      <c r="E1462" s="105">
        <v>1</v>
      </c>
      <c r="F1462" s="136">
        <v>6.73</v>
      </c>
      <c r="G1462" s="136">
        <v>7.75</v>
      </c>
      <c r="H1462" s="109"/>
      <c r="I1462" s="119">
        <v>7.75</v>
      </c>
      <c r="J1462" s="119">
        <v>0</v>
      </c>
      <c r="K1462" s="119">
        <f t="shared" si="66"/>
        <v>7.75</v>
      </c>
      <c r="L1462" s="152">
        <f t="shared" si="67"/>
        <v>6.73</v>
      </c>
      <c r="M1462" s="113"/>
    </row>
    <row r="1463" spans="1:13" x14ac:dyDescent="0.2">
      <c r="A1463" s="106">
        <v>46203</v>
      </c>
      <c r="B1463" s="105" t="s">
        <v>2100</v>
      </c>
      <c r="C1463" s="105" t="s">
        <v>5157</v>
      </c>
      <c r="D1463" s="149" t="s">
        <v>2101</v>
      </c>
      <c r="E1463" s="105">
        <v>1</v>
      </c>
      <c r="F1463" s="136">
        <v>6.73</v>
      </c>
      <c r="G1463" s="136">
        <v>7.75</v>
      </c>
      <c r="H1463" s="109"/>
      <c r="I1463" s="119">
        <v>7.75</v>
      </c>
      <c r="J1463" s="119">
        <v>0</v>
      </c>
      <c r="K1463" s="119">
        <f t="shared" si="66"/>
        <v>7.75</v>
      </c>
      <c r="L1463" s="152">
        <f t="shared" si="67"/>
        <v>6.73</v>
      </c>
      <c r="M1463" s="113"/>
    </row>
    <row r="1464" spans="1:13" x14ac:dyDescent="0.2">
      <c r="A1464" s="106">
        <v>46203</v>
      </c>
      <c r="B1464" s="105" t="s">
        <v>5132</v>
      </c>
      <c r="C1464" s="105" t="s">
        <v>5157</v>
      </c>
      <c r="D1464" s="149" t="s">
        <v>5180</v>
      </c>
      <c r="E1464" s="105">
        <v>1</v>
      </c>
      <c r="F1464" s="136">
        <v>64.97</v>
      </c>
      <c r="G1464" s="136">
        <v>74.75</v>
      </c>
      <c r="H1464" s="109"/>
      <c r="I1464" s="119">
        <v>74.75</v>
      </c>
      <c r="J1464" s="119">
        <v>0</v>
      </c>
      <c r="K1464" s="119">
        <f t="shared" si="66"/>
        <v>74.75</v>
      </c>
      <c r="L1464" s="152">
        <f t="shared" si="67"/>
        <v>64.97</v>
      </c>
      <c r="M1464" s="113"/>
    </row>
    <row r="1465" spans="1:13" x14ac:dyDescent="0.2">
      <c r="A1465" s="106">
        <v>46203</v>
      </c>
      <c r="B1465" s="105" t="s">
        <v>5133</v>
      </c>
      <c r="C1465" s="105" t="s">
        <v>5157</v>
      </c>
      <c r="D1465" s="149" t="s">
        <v>5181</v>
      </c>
      <c r="E1465" s="105">
        <v>1</v>
      </c>
      <c r="F1465" s="136">
        <v>47.2</v>
      </c>
      <c r="G1465" s="136">
        <v>54.5</v>
      </c>
      <c r="H1465" s="109"/>
      <c r="I1465" s="119">
        <v>54.5</v>
      </c>
      <c r="J1465" s="119">
        <v>0</v>
      </c>
      <c r="K1465" s="119">
        <f t="shared" si="66"/>
        <v>54.5</v>
      </c>
      <c r="L1465" s="152">
        <f t="shared" si="67"/>
        <v>47.2</v>
      </c>
      <c r="M1465" s="113"/>
    </row>
    <row r="1466" spans="1:13" x14ac:dyDescent="0.2">
      <c r="A1466" s="106">
        <v>46203</v>
      </c>
      <c r="B1466" s="105" t="s">
        <v>3510</v>
      </c>
      <c r="C1466" s="105" t="s">
        <v>5157</v>
      </c>
      <c r="D1466" s="149" t="s">
        <v>3511</v>
      </c>
      <c r="E1466" s="105">
        <v>2</v>
      </c>
      <c r="F1466" s="136">
        <v>18.64</v>
      </c>
      <c r="G1466" s="136">
        <v>21.5</v>
      </c>
      <c r="H1466" s="109"/>
      <c r="I1466" s="119">
        <v>43</v>
      </c>
      <c r="J1466" s="119">
        <v>0</v>
      </c>
      <c r="K1466" s="119">
        <f t="shared" si="66"/>
        <v>43</v>
      </c>
      <c r="L1466" s="152">
        <f t="shared" si="67"/>
        <v>37.28</v>
      </c>
      <c r="M1466" s="113"/>
    </row>
    <row r="1467" spans="1:13" x14ac:dyDescent="0.2">
      <c r="A1467" s="106">
        <v>46203</v>
      </c>
      <c r="B1467" s="105" t="s">
        <v>4068</v>
      </c>
      <c r="C1467" s="105" t="s">
        <v>5157</v>
      </c>
      <c r="D1467" s="149" t="s">
        <v>4070</v>
      </c>
      <c r="E1467" s="105">
        <v>2</v>
      </c>
      <c r="F1467" s="136">
        <v>20.57</v>
      </c>
      <c r="G1467" s="136">
        <v>23.75</v>
      </c>
      <c r="H1467" s="109"/>
      <c r="I1467" s="119">
        <v>47.5</v>
      </c>
      <c r="J1467" s="119">
        <v>0</v>
      </c>
      <c r="K1467" s="119">
        <f t="shared" si="66"/>
        <v>47.5</v>
      </c>
      <c r="L1467" s="152">
        <f t="shared" si="67"/>
        <v>41.14</v>
      </c>
      <c r="M1467" s="113"/>
    </row>
    <row r="1468" spans="1:13" x14ac:dyDescent="0.2">
      <c r="A1468" s="106">
        <v>46203</v>
      </c>
      <c r="B1468" s="105" t="s">
        <v>3836</v>
      </c>
      <c r="C1468" s="105" t="s">
        <v>5157</v>
      </c>
      <c r="D1468" s="149" t="s">
        <v>3838</v>
      </c>
      <c r="E1468" s="105">
        <v>2</v>
      </c>
      <c r="F1468" s="136">
        <v>23</v>
      </c>
      <c r="G1468" s="136">
        <v>26.5</v>
      </c>
      <c r="H1468" s="109"/>
      <c r="I1468" s="119">
        <v>53</v>
      </c>
      <c r="J1468" s="119">
        <v>0</v>
      </c>
      <c r="K1468" s="119">
        <f t="shared" si="66"/>
        <v>53</v>
      </c>
      <c r="L1468" s="152">
        <f t="shared" si="67"/>
        <v>46</v>
      </c>
      <c r="M1468" s="113"/>
    </row>
    <row r="1469" spans="1:13" x14ac:dyDescent="0.2">
      <c r="A1469" s="106">
        <v>46203</v>
      </c>
      <c r="B1469" s="105" t="s">
        <v>5134</v>
      </c>
      <c r="C1469" s="105" t="s">
        <v>5157</v>
      </c>
      <c r="D1469" s="149" t="s">
        <v>5182</v>
      </c>
      <c r="E1469" s="105">
        <v>1</v>
      </c>
      <c r="F1469" s="136">
        <v>4.8</v>
      </c>
      <c r="G1469" s="136">
        <v>5.75</v>
      </c>
      <c r="H1469" s="109"/>
      <c r="I1469" s="119">
        <v>5.75</v>
      </c>
      <c r="J1469" s="119">
        <v>0</v>
      </c>
      <c r="K1469" s="119">
        <f t="shared" si="66"/>
        <v>5.75</v>
      </c>
      <c r="L1469" s="152">
        <f t="shared" si="67"/>
        <v>4.8</v>
      </c>
      <c r="M1469" s="113"/>
    </row>
    <row r="1470" spans="1:13" x14ac:dyDescent="0.2">
      <c r="A1470" s="106">
        <v>46203</v>
      </c>
      <c r="B1470" s="105" t="s">
        <v>5135</v>
      </c>
      <c r="C1470" s="105" t="s">
        <v>5157</v>
      </c>
      <c r="D1470" s="149" t="s">
        <v>5183</v>
      </c>
      <c r="E1470" s="105">
        <v>2</v>
      </c>
      <c r="F1470" s="136">
        <v>4.3499999999999996</v>
      </c>
      <c r="G1470" s="136">
        <v>5</v>
      </c>
      <c r="H1470" s="109"/>
      <c r="I1470" s="119">
        <v>10</v>
      </c>
      <c r="J1470" s="119">
        <v>0</v>
      </c>
      <c r="K1470" s="119">
        <f t="shared" si="66"/>
        <v>10</v>
      </c>
      <c r="L1470" s="152">
        <f t="shared" si="67"/>
        <v>8.6999999999999993</v>
      </c>
      <c r="M1470" s="113"/>
    </row>
    <row r="1471" spans="1:13" x14ac:dyDescent="0.2">
      <c r="A1471" s="106">
        <v>46203</v>
      </c>
      <c r="B1471" s="105" t="s">
        <v>5136</v>
      </c>
      <c r="C1471" s="105" t="s">
        <v>5157</v>
      </c>
      <c r="D1471" s="149" t="s">
        <v>5184</v>
      </c>
      <c r="E1471" s="105">
        <v>3</v>
      </c>
      <c r="F1471" s="136">
        <v>5.15</v>
      </c>
      <c r="G1471" s="136">
        <v>6</v>
      </c>
      <c r="H1471" s="109"/>
      <c r="I1471" s="119">
        <v>18</v>
      </c>
      <c r="J1471" s="119">
        <v>0</v>
      </c>
      <c r="K1471" s="119">
        <f t="shared" si="66"/>
        <v>18</v>
      </c>
      <c r="L1471" s="152">
        <f t="shared" si="67"/>
        <v>15.450000000000001</v>
      </c>
      <c r="M1471" s="113"/>
    </row>
    <row r="1472" spans="1:13" x14ac:dyDescent="0.2">
      <c r="A1472" s="106">
        <v>46203</v>
      </c>
      <c r="B1472" s="105" t="s">
        <v>5137</v>
      </c>
      <c r="C1472" s="105" t="s">
        <v>5157</v>
      </c>
      <c r="D1472" s="149" t="s">
        <v>5185</v>
      </c>
      <c r="E1472" s="105">
        <v>1</v>
      </c>
      <c r="F1472" s="136">
        <v>13.87</v>
      </c>
      <c r="G1472" s="136">
        <v>16</v>
      </c>
      <c r="H1472" s="109"/>
      <c r="I1472" s="119">
        <v>16</v>
      </c>
      <c r="J1472" s="119">
        <v>0</v>
      </c>
      <c r="K1472" s="119">
        <f t="shared" si="66"/>
        <v>16</v>
      </c>
      <c r="L1472" s="152">
        <f t="shared" si="67"/>
        <v>13.87</v>
      </c>
      <c r="M1472" s="113"/>
    </row>
    <row r="1473" spans="1:13" x14ac:dyDescent="0.2">
      <c r="A1473" s="106">
        <v>46203</v>
      </c>
      <c r="B1473" s="105" t="s">
        <v>3352</v>
      </c>
      <c r="C1473" s="105" t="s">
        <v>5157</v>
      </c>
      <c r="D1473" s="149" t="s">
        <v>3353</v>
      </c>
      <c r="E1473" s="105">
        <v>1</v>
      </c>
      <c r="F1473" s="136">
        <v>6.12</v>
      </c>
      <c r="G1473" s="136">
        <v>7.5</v>
      </c>
      <c r="H1473" s="109"/>
      <c r="I1473" s="119">
        <v>7.5</v>
      </c>
      <c r="J1473" s="119">
        <v>0</v>
      </c>
      <c r="K1473" s="119">
        <f t="shared" si="66"/>
        <v>7.5</v>
      </c>
      <c r="L1473" s="152">
        <f t="shared" si="67"/>
        <v>6.12</v>
      </c>
      <c r="M1473" s="113"/>
    </row>
    <row r="1474" spans="1:13" x14ac:dyDescent="0.2">
      <c r="A1474" s="106">
        <v>46203</v>
      </c>
      <c r="B1474" s="105" t="s">
        <v>5138</v>
      </c>
      <c r="C1474" s="105" t="s">
        <v>5157</v>
      </c>
      <c r="D1474" s="149" t="s">
        <v>5186</v>
      </c>
      <c r="E1474" s="105">
        <v>5</v>
      </c>
      <c r="F1474" s="136">
        <v>6.12</v>
      </c>
      <c r="G1474" s="136">
        <v>7</v>
      </c>
      <c r="H1474" s="109"/>
      <c r="I1474" s="119">
        <v>35</v>
      </c>
      <c r="J1474" s="119">
        <v>0</v>
      </c>
      <c r="K1474" s="119">
        <f t="shared" si="66"/>
        <v>35</v>
      </c>
      <c r="L1474" s="152">
        <f t="shared" si="67"/>
        <v>30.6</v>
      </c>
      <c r="M1474" s="113"/>
    </row>
    <row r="1475" spans="1:13" x14ac:dyDescent="0.2">
      <c r="A1475" s="106">
        <v>46203</v>
      </c>
      <c r="B1475" s="105" t="s">
        <v>5139</v>
      </c>
      <c r="C1475" s="105" t="s">
        <v>5157</v>
      </c>
      <c r="D1475" s="149" t="s">
        <v>5187</v>
      </c>
      <c r="E1475" s="105">
        <v>1</v>
      </c>
      <c r="F1475" s="136">
        <v>11.1</v>
      </c>
      <c r="G1475" s="136">
        <v>13</v>
      </c>
      <c r="H1475" s="109"/>
      <c r="I1475" s="119">
        <v>13</v>
      </c>
      <c r="J1475" s="119">
        <v>0</v>
      </c>
      <c r="K1475" s="119">
        <f t="shared" si="66"/>
        <v>13</v>
      </c>
      <c r="L1475" s="152">
        <f t="shared" si="67"/>
        <v>11.1</v>
      </c>
      <c r="M1475" s="113"/>
    </row>
    <row r="1476" spans="1:13" x14ac:dyDescent="0.2">
      <c r="A1476" s="106">
        <v>46203</v>
      </c>
      <c r="B1476" s="105" t="s">
        <v>5140</v>
      </c>
      <c r="C1476" s="105" t="s">
        <v>5157</v>
      </c>
      <c r="D1476" s="149" t="s">
        <v>5188</v>
      </c>
      <c r="E1476" s="105">
        <v>1</v>
      </c>
      <c r="F1476" s="136">
        <v>5.77</v>
      </c>
      <c r="G1476" s="136">
        <v>6.75</v>
      </c>
      <c r="H1476" s="109"/>
      <c r="I1476" s="119">
        <v>6.75</v>
      </c>
      <c r="J1476" s="119">
        <v>0</v>
      </c>
      <c r="K1476" s="119">
        <f t="shared" si="66"/>
        <v>6.75</v>
      </c>
      <c r="L1476" s="152">
        <f t="shared" si="67"/>
        <v>5.77</v>
      </c>
      <c r="M1476" s="113"/>
    </row>
    <row r="1477" spans="1:13" x14ac:dyDescent="0.2">
      <c r="A1477" s="106">
        <v>46203</v>
      </c>
      <c r="B1477" s="105" t="s">
        <v>5141</v>
      </c>
      <c r="C1477" s="105" t="s">
        <v>5157</v>
      </c>
      <c r="D1477" s="149" t="s">
        <v>5189</v>
      </c>
      <c r="E1477" s="105">
        <v>2</v>
      </c>
      <c r="F1477" s="136">
        <v>11.1</v>
      </c>
      <c r="G1477" s="136">
        <v>13</v>
      </c>
      <c r="H1477" s="109"/>
      <c r="I1477" s="119">
        <v>26</v>
      </c>
      <c r="J1477" s="119">
        <v>0</v>
      </c>
      <c r="K1477" s="119">
        <f t="shared" si="66"/>
        <v>26</v>
      </c>
      <c r="L1477" s="152">
        <f t="shared" si="67"/>
        <v>22.2</v>
      </c>
      <c r="M1477" s="113"/>
    </row>
    <row r="1478" spans="1:13" x14ac:dyDescent="0.2">
      <c r="A1478" s="106">
        <v>46203</v>
      </c>
      <c r="B1478" s="105" t="s">
        <v>5142</v>
      </c>
      <c r="C1478" s="105" t="s">
        <v>5157</v>
      </c>
      <c r="D1478" s="149" t="s">
        <v>5190</v>
      </c>
      <c r="E1478" s="105">
        <v>3</v>
      </c>
      <c r="F1478" s="136">
        <v>7.2</v>
      </c>
      <c r="G1478" s="136">
        <v>8.25</v>
      </c>
      <c r="H1478" s="109"/>
      <c r="I1478" s="119">
        <v>24.75</v>
      </c>
      <c r="J1478" s="119">
        <v>0</v>
      </c>
      <c r="K1478" s="119">
        <f t="shared" si="66"/>
        <v>24.75</v>
      </c>
      <c r="L1478" s="152">
        <f t="shared" si="67"/>
        <v>21.6</v>
      </c>
      <c r="M1478" s="113"/>
    </row>
    <row r="1479" spans="1:13" x14ac:dyDescent="0.2">
      <c r="A1479" s="106">
        <v>46203</v>
      </c>
      <c r="B1479" s="105" t="s">
        <v>5143</v>
      </c>
      <c r="C1479" s="105" t="s">
        <v>5157</v>
      </c>
      <c r="D1479" s="149" t="s">
        <v>5191</v>
      </c>
      <c r="E1479" s="105">
        <v>1</v>
      </c>
      <c r="F1479" s="136">
        <v>25.45</v>
      </c>
      <c r="G1479" s="136">
        <v>29.5</v>
      </c>
      <c r="H1479" s="109"/>
      <c r="I1479" s="119">
        <v>29.5</v>
      </c>
      <c r="J1479" s="119">
        <v>0</v>
      </c>
      <c r="K1479" s="119">
        <f t="shared" si="66"/>
        <v>29.5</v>
      </c>
      <c r="L1479" s="152">
        <f t="shared" si="67"/>
        <v>25.45</v>
      </c>
      <c r="M1479" s="113"/>
    </row>
    <row r="1480" spans="1:13" x14ac:dyDescent="0.2">
      <c r="A1480" s="106">
        <v>46203</v>
      </c>
      <c r="B1480" s="105" t="s">
        <v>2801</v>
      </c>
      <c r="C1480" s="105" t="s">
        <v>5157</v>
      </c>
      <c r="D1480" s="149" t="s">
        <v>2802</v>
      </c>
      <c r="E1480" s="105">
        <v>2</v>
      </c>
      <c r="F1480" s="136">
        <v>5.41</v>
      </c>
      <c r="G1480" s="136">
        <v>6.25</v>
      </c>
      <c r="H1480" s="109"/>
      <c r="I1480" s="119">
        <v>12.5</v>
      </c>
      <c r="J1480" s="119">
        <v>0</v>
      </c>
      <c r="K1480" s="119">
        <f t="shared" ref="K1480:K1496" si="68">H1480+I1480-J1480</f>
        <v>12.5</v>
      </c>
      <c r="L1480" s="152">
        <f t="shared" ref="L1480:L1496" si="69">E1480*F1480</f>
        <v>10.82</v>
      </c>
      <c r="M1480" s="113"/>
    </row>
    <row r="1481" spans="1:13" x14ac:dyDescent="0.2">
      <c r="A1481" s="106">
        <v>46203</v>
      </c>
      <c r="B1481" s="105" t="s">
        <v>3917</v>
      </c>
      <c r="C1481" s="105" t="s">
        <v>5157</v>
      </c>
      <c r="D1481" s="149" t="s">
        <v>3919</v>
      </c>
      <c r="E1481" s="105">
        <v>1</v>
      </c>
      <c r="F1481" s="136">
        <v>6.37</v>
      </c>
      <c r="G1481" s="136">
        <v>7.5</v>
      </c>
      <c r="H1481" s="109"/>
      <c r="I1481" s="119">
        <v>7.5</v>
      </c>
      <c r="J1481" s="119">
        <v>0</v>
      </c>
      <c r="K1481" s="119">
        <f t="shared" si="68"/>
        <v>7.5</v>
      </c>
      <c r="L1481" s="152">
        <f t="shared" si="69"/>
        <v>6.37</v>
      </c>
      <c r="M1481" s="113"/>
    </row>
    <row r="1482" spans="1:13" x14ac:dyDescent="0.2">
      <c r="A1482" s="106">
        <v>46203</v>
      </c>
      <c r="B1482" s="105" t="s">
        <v>4527</v>
      </c>
      <c r="C1482" s="105" t="s">
        <v>5157</v>
      </c>
      <c r="D1482" s="149" t="s">
        <v>4632</v>
      </c>
      <c r="E1482" s="105">
        <v>3</v>
      </c>
      <c r="F1482" s="136">
        <v>6.37</v>
      </c>
      <c r="G1482" s="136">
        <v>7.5</v>
      </c>
      <c r="H1482" s="109"/>
      <c r="I1482" s="119">
        <v>22.5</v>
      </c>
      <c r="J1482" s="119">
        <v>0</v>
      </c>
      <c r="K1482" s="119">
        <f t="shared" si="68"/>
        <v>22.5</v>
      </c>
      <c r="L1482" s="152">
        <f t="shared" si="69"/>
        <v>19.11</v>
      </c>
      <c r="M1482" s="113"/>
    </row>
    <row r="1483" spans="1:13" x14ac:dyDescent="0.2">
      <c r="A1483" s="106">
        <v>46203</v>
      </c>
      <c r="B1483" s="105" t="s">
        <v>5144</v>
      </c>
      <c r="C1483" s="105" t="s">
        <v>5157</v>
      </c>
      <c r="D1483" s="149" t="s">
        <v>5192</v>
      </c>
      <c r="E1483" s="105">
        <v>1</v>
      </c>
      <c r="F1483" s="136">
        <v>5.67</v>
      </c>
      <c r="G1483" s="136">
        <v>6.75</v>
      </c>
      <c r="H1483" s="109"/>
      <c r="I1483" s="119">
        <v>6.75</v>
      </c>
      <c r="J1483" s="119">
        <v>0</v>
      </c>
      <c r="K1483" s="119">
        <f t="shared" si="68"/>
        <v>6.75</v>
      </c>
      <c r="L1483" s="152">
        <f t="shared" si="69"/>
        <v>5.67</v>
      </c>
      <c r="M1483" s="113"/>
    </row>
    <row r="1484" spans="1:13" x14ac:dyDescent="0.2">
      <c r="A1484" s="106">
        <v>46203</v>
      </c>
      <c r="B1484" s="105" t="s">
        <v>5145</v>
      </c>
      <c r="C1484" s="105" t="s">
        <v>5157</v>
      </c>
      <c r="D1484" s="149" t="s">
        <v>5193</v>
      </c>
      <c r="E1484" s="105">
        <v>4</v>
      </c>
      <c r="F1484" s="136">
        <v>5</v>
      </c>
      <c r="G1484" s="136">
        <v>5.75</v>
      </c>
      <c r="H1484" s="109"/>
      <c r="I1484" s="119">
        <v>23</v>
      </c>
      <c r="J1484" s="119">
        <v>0</v>
      </c>
      <c r="K1484" s="119">
        <f t="shared" si="68"/>
        <v>23</v>
      </c>
      <c r="L1484" s="152">
        <f t="shared" si="69"/>
        <v>20</v>
      </c>
      <c r="M1484" s="113"/>
    </row>
    <row r="1485" spans="1:13" x14ac:dyDescent="0.2">
      <c r="A1485" s="106">
        <v>46203</v>
      </c>
      <c r="B1485" s="105" t="s">
        <v>2371</v>
      </c>
      <c r="C1485" s="105" t="s">
        <v>5157</v>
      </c>
      <c r="D1485" s="149" t="s">
        <v>2372</v>
      </c>
      <c r="E1485" s="105">
        <v>1</v>
      </c>
      <c r="F1485" s="136">
        <v>39.880000000000003</v>
      </c>
      <c r="G1485" s="136">
        <v>46</v>
      </c>
      <c r="H1485" s="109"/>
      <c r="I1485" s="119">
        <v>46</v>
      </c>
      <c r="J1485" s="119">
        <v>0</v>
      </c>
      <c r="K1485" s="119">
        <f t="shared" si="68"/>
        <v>46</v>
      </c>
      <c r="L1485" s="152">
        <f t="shared" si="69"/>
        <v>39.880000000000003</v>
      </c>
      <c r="M1485" s="113"/>
    </row>
    <row r="1486" spans="1:13" x14ac:dyDescent="0.2">
      <c r="A1486" s="106">
        <v>46203</v>
      </c>
      <c r="B1486" s="105" t="s">
        <v>4560</v>
      </c>
      <c r="C1486" s="105" t="s">
        <v>5157</v>
      </c>
      <c r="D1486" s="149" t="s">
        <v>4665</v>
      </c>
      <c r="E1486" s="105">
        <v>11</v>
      </c>
      <c r="F1486" s="136">
        <v>15.2</v>
      </c>
      <c r="G1486" s="136">
        <v>17.5</v>
      </c>
      <c r="H1486" s="109"/>
      <c r="I1486" s="119">
        <v>192.5</v>
      </c>
      <c r="J1486" s="119">
        <v>0</v>
      </c>
      <c r="K1486" s="119">
        <f t="shared" si="68"/>
        <v>192.5</v>
      </c>
      <c r="L1486" s="152">
        <f t="shared" si="69"/>
        <v>167.2</v>
      </c>
      <c r="M1486" s="113"/>
    </row>
    <row r="1487" spans="1:13" x14ac:dyDescent="0.2">
      <c r="A1487" s="106">
        <v>46203</v>
      </c>
      <c r="B1487" s="105" t="s">
        <v>4561</v>
      </c>
      <c r="C1487" s="105" t="s">
        <v>5157</v>
      </c>
      <c r="D1487" s="149" t="s">
        <v>4666</v>
      </c>
      <c r="E1487" s="105">
        <v>2</v>
      </c>
      <c r="F1487" s="136">
        <v>37.64</v>
      </c>
      <c r="G1487" s="136">
        <v>43.75</v>
      </c>
      <c r="H1487" s="109"/>
      <c r="I1487" s="119">
        <v>87.5</v>
      </c>
      <c r="J1487" s="119">
        <v>0</v>
      </c>
      <c r="K1487" s="119">
        <f t="shared" si="68"/>
        <v>87.5</v>
      </c>
      <c r="L1487" s="152">
        <f t="shared" si="69"/>
        <v>75.28</v>
      </c>
      <c r="M1487" s="113"/>
    </row>
    <row r="1488" spans="1:13" x14ac:dyDescent="0.2">
      <c r="A1488" s="106">
        <v>46203</v>
      </c>
      <c r="B1488" s="105" t="s">
        <v>2018</v>
      </c>
      <c r="C1488" s="105" t="s">
        <v>5157</v>
      </c>
      <c r="D1488" s="149" t="s">
        <v>2019</v>
      </c>
      <c r="E1488" s="105">
        <v>1</v>
      </c>
      <c r="F1488" s="136">
        <v>30.79</v>
      </c>
      <c r="G1488" s="136">
        <v>36.75</v>
      </c>
      <c r="H1488" s="109"/>
      <c r="I1488" s="119">
        <v>36.75</v>
      </c>
      <c r="J1488" s="119">
        <v>0</v>
      </c>
      <c r="K1488" s="119">
        <f t="shared" si="68"/>
        <v>36.75</v>
      </c>
      <c r="L1488" s="152">
        <f t="shared" si="69"/>
        <v>30.79</v>
      </c>
      <c r="M1488" s="113"/>
    </row>
    <row r="1489" spans="1:14" x14ac:dyDescent="0.2">
      <c r="A1489" s="106">
        <v>46203</v>
      </c>
      <c r="B1489" s="105" t="s">
        <v>3285</v>
      </c>
      <c r="C1489" s="105" t="s">
        <v>5157</v>
      </c>
      <c r="D1489" s="149" t="s">
        <v>3287</v>
      </c>
      <c r="E1489" s="105">
        <v>1</v>
      </c>
      <c r="F1489" s="136">
        <v>20</v>
      </c>
      <c r="G1489" s="136">
        <v>27</v>
      </c>
      <c r="H1489" s="109"/>
      <c r="I1489" s="119">
        <v>27</v>
      </c>
      <c r="J1489" s="119">
        <v>0</v>
      </c>
      <c r="K1489" s="119">
        <f t="shared" si="68"/>
        <v>27</v>
      </c>
      <c r="L1489" s="152">
        <f t="shared" si="69"/>
        <v>20</v>
      </c>
      <c r="M1489" s="113"/>
    </row>
    <row r="1490" spans="1:14" x14ac:dyDescent="0.2">
      <c r="A1490" s="106">
        <v>46203</v>
      </c>
      <c r="B1490" s="105" t="s">
        <v>5146</v>
      </c>
      <c r="C1490" s="105" t="s">
        <v>5157</v>
      </c>
      <c r="D1490" s="149" t="s">
        <v>5194</v>
      </c>
      <c r="E1490" s="105">
        <v>1</v>
      </c>
      <c r="F1490" s="136">
        <v>20.57</v>
      </c>
      <c r="G1490" s="136">
        <v>23.75</v>
      </c>
      <c r="H1490" s="109"/>
      <c r="I1490" s="119">
        <v>23.75</v>
      </c>
      <c r="J1490" s="119">
        <v>0</v>
      </c>
      <c r="K1490" s="119">
        <f t="shared" si="68"/>
        <v>23.75</v>
      </c>
      <c r="L1490" s="152">
        <f t="shared" si="69"/>
        <v>20.57</v>
      </c>
      <c r="M1490" s="113"/>
    </row>
    <row r="1491" spans="1:14" x14ac:dyDescent="0.2">
      <c r="A1491" s="106">
        <v>46203</v>
      </c>
      <c r="B1491" s="105" t="s">
        <v>5147</v>
      </c>
      <c r="C1491" s="105" t="s">
        <v>5157</v>
      </c>
      <c r="D1491" s="149" t="s">
        <v>5195</v>
      </c>
      <c r="E1491" s="105">
        <v>1</v>
      </c>
      <c r="F1491" s="136">
        <v>41.5</v>
      </c>
      <c r="G1491" s="136">
        <v>47.75</v>
      </c>
      <c r="H1491" s="109"/>
      <c r="I1491" s="119">
        <v>47.75</v>
      </c>
      <c r="J1491" s="119">
        <v>0</v>
      </c>
      <c r="K1491" s="119">
        <f t="shared" si="68"/>
        <v>47.75</v>
      </c>
      <c r="L1491" s="152">
        <f t="shared" si="69"/>
        <v>41.5</v>
      </c>
      <c r="M1491" s="113"/>
    </row>
    <row r="1492" spans="1:14" x14ac:dyDescent="0.2">
      <c r="A1492" s="106">
        <v>46203</v>
      </c>
      <c r="B1492" s="105" t="s">
        <v>5148</v>
      </c>
      <c r="C1492" s="105" t="s">
        <v>5157</v>
      </c>
      <c r="D1492" s="149" t="s">
        <v>5196</v>
      </c>
      <c r="E1492" s="105">
        <v>1</v>
      </c>
      <c r="F1492" s="136">
        <v>64.97</v>
      </c>
      <c r="G1492" s="136">
        <v>74.75</v>
      </c>
      <c r="H1492" s="109"/>
      <c r="I1492" s="119">
        <v>74.75</v>
      </c>
      <c r="J1492" s="119">
        <v>0</v>
      </c>
      <c r="K1492" s="119">
        <f t="shared" si="68"/>
        <v>74.75</v>
      </c>
      <c r="L1492" s="152">
        <f t="shared" si="69"/>
        <v>64.97</v>
      </c>
      <c r="M1492" s="113"/>
    </row>
    <row r="1493" spans="1:14" x14ac:dyDescent="0.2">
      <c r="A1493" s="106">
        <v>46203</v>
      </c>
      <c r="B1493" s="105" t="s">
        <v>3613</v>
      </c>
      <c r="C1493" s="105" t="s">
        <v>5157</v>
      </c>
      <c r="D1493" s="149" t="s">
        <v>3614</v>
      </c>
      <c r="E1493" s="105">
        <v>1</v>
      </c>
      <c r="F1493" s="136">
        <v>8.15</v>
      </c>
      <c r="G1493" s="136">
        <v>9.5</v>
      </c>
      <c r="H1493" s="109"/>
      <c r="I1493" s="119">
        <v>9.5</v>
      </c>
      <c r="J1493" s="119">
        <v>0</v>
      </c>
      <c r="K1493" s="119">
        <f t="shared" si="68"/>
        <v>9.5</v>
      </c>
      <c r="L1493" s="152">
        <f t="shared" si="69"/>
        <v>8.15</v>
      </c>
      <c r="M1493" s="113"/>
    </row>
    <row r="1494" spans="1:14" x14ac:dyDescent="0.2">
      <c r="A1494" s="106">
        <v>46203</v>
      </c>
      <c r="B1494" s="105" t="s">
        <v>5149</v>
      </c>
      <c r="C1494" s="105" t="s">
        <v>5157</v>
      </c>
      <c r="D1494" s="149" t="s">
        <v>5197</v>
      </c>
      <c r="E1494" s="105">
        <v>4</v>
      </c>
      <c r="F1494" s="136">
        <v>10.95</v>
      </c>
      <c r="G1494" s="136">
        <v>12.75</v>
      </c>
      <c r="H1494" s="109"/>
      <c r="I1494" s="119">
        <v>51</v>
      </c>
      <c r="J1494" s="119">
        <v>0</v>
      </c>
      <c r="K1494" s="119">
        <f t="shared" si="68"/>
        <v>51</v>
      </c>
      <c r="L1494" s="152">
        <f t="shared" si="69"/>
        <v>43.8</v>
      </c>
      <c r="M1494" s="113"/>
    </row>
    <row r="1495" spans="1:14" x14ac:dyDescent="0.2">
      <c r="A1495" s="106">
        <v>46203</v>
      </c>
      <c r="B1495" s="105" t="s">
        <v>5150</v>
      </c>
      <c r="C1495" s="105" t="s">
        <v>5157</v>
      </c>
      <c r="D1495" s="149" t="s">
        <v>5198</v>
      </c>
      <c r="E1495" s="105">
        <v>1</v>
      </c>
      <c r="F1495" s="136">
        <v>31.92</v>
      </c>
      <c r="G1495" s="136">
        <v>36.75</v>
      </c>
      <c r="H1495" s="109"/>
      <c r="I1495" s="119">
        <v>36.75</v>
      </c>
      <c r="J1495" s="119">
        <v>0</v>
      </c>
      <c r="K1495" s="119">
        <f t="shared" si="68"/>
        <v>36.75</v>
      </c>
      <c r="L1495" s="152">
        <f t="shared" si="69"/>
        <v>31.92</v>
      </c>
      <c r="M1495" s="113"/>
    </row>
    <row r="1496" spans="1:14" x14ac:dyDescent="0.2">
      <c r="A1496" s="106">
        <v>46203</v>
      </c>
      <c r="B1496" s="105" t="s">
        <v>2908</v>
      </c>
      <c r="C1496" s="105" t="s">
        <v>5157</v>
      </c>
      <c r="D1496" s="149" t="s">
        <v>2910</v>
      </c>
      <c r="E1496" s="105">
        <v>11</v>
      </c>
      <c r="F1496" s="136">
        <v>0.76</v>
      </c>
      <c r="G1496" s="136">
        <v>1</v>
      </c>
      <c r="H1496" s="109"/>
      <c r="I1496" s="119">
        <v>11</v>
      </c>
      <c r="J1496" s="119">
        <v>0</v>
      </c>
      <c r="K1496" s="119">
        <f t="shared" si="68"/>
        <v>11</v>
      </c>
      <c r="L1496" s="152">
        <f t="shared" si="69"/>
        <v>8.36</v>
      </c>
      <c r="M1496" s="113"/>
    </row>
    <row r="1497" spans="1:14" s="217" customFormat="1" ht="13.5" thickBot="1" x14ac:dyDescent="0.25">
      <c r="A1497" s="263" t="s">
        <v>0</v>
      </c>
      <c r="B1497" s="264"/>
      <c r="C1497" s="264"/>
      <c r="D1497" s="265"/>
      <c r="E1497" s="164">
        <f t="shared" ref="E1497:L1497" si="70">SUM(E6:E1496)</f>
        <v>5236</v>
      </c>
      <c r="F1497" s="164">
        <f t="shared" si="70"/>
        <v>64299.880000000063</v>
      </c>
      <c r="G1497" s="164">
        <f t="shared" si="70"/>
        <v>75625.119999999966</v>
      </c>
      <c r="H1497" s="164">
        <f t="shared" si="70"/>
        <v>131984.63</v>
      </c>
      <c r="I1497" s="164">
        <f t="shared" si="70"/>
        <v>51768.45</v>
      </c>
      <c r="J1497" s="164">
        <f t="shared" si="70"/>
        <v>5610.12</v>
      </c>
      <c r="K1497" s="164">
        <f t="shared" si="70"/>
        <v>178142.96000000002</v>
      </c>
      <c r="L1497" s="164">
        <f t="shared" si="70"/>
        <v>156220.42999999982</v>
      </c>
      <c r="M1497" s="235">
        <v>157042.04</v>
      </c>
      <c r="N1497" s="217" t="s">
        <v>5199</v>
      </c>
    </row>
    <row r="1498" spans="1:14" x14ac:dyDescent="0.2">
      <c r="G1498" s="167"/>
      <c r="H1498" s="167"/>
      <c r="I1498" s="167"/>
      <c r="J1498" s="167"/>
      <c r="K1498" s="233" t="s">
        <v>16</v>
      </c>
      <c r="L1498" s="119">
        <v>131887.63</v>
      </c>
      <c r="M1498" s="168">
        <v>46203</v>
      </c>
    </row>
    <row r="1499" spans="1:14" x14ac:dyDescent="0.2">
      <c r="D1499" s="219"/>
      <c r="E1499" s="220"/>
      <c r="F1499" s="221"/>
      <c r="G1499" s="167"/>
      <c r="H1499" s="222"/>
      <c r="I1499" s="222"/>
      <c r="J1499" s="167"/>
      <c r="K1499" s="234" t="s">
        <v>1704</v>
      </c>
      <c r="L1499" s="108">
        <v>46255.33</v>
      </c>
      <c r="M1499" s="168"/>
    </row>
    <row r="1500" spans="1:14" x14ac:dyDescent="0.2">
      <c r="D1500" s="219"/>
      <c r="E1500" s="220"/>
      <c r="F1500" s="222"/>
      <c r="G1500" s="167"/>
      <c r="H1500" s="222"/>
      <c r="I1500" s="167"/>
      <c r="J1500" s="167"/>
      <c r="K1500" s="234" t="s">
        <v>0</v>
      </c>
      <c r="L1500" s="232">
        <f>SUM(L1498:L1499)</f>
        <v>178142.96000000002</v>
      </c>
      <c r="M1500" s="204"/>
    </row>
    <row r="1501" spans="1:14" x14ac:dyDescent="0.2">
      <c r="D1501" s="219"/>
      <c r="E1501" s="220"/>
      <c r="F1501" s="222"/>
      <c r="G1501" s="167"/>
      <c r="H1501" s="222"/>
      <c r="I1501" s="167"/>
      <c r="J1501" s="167"/>
      <c r="K1501" s="234"/>
      <c r="L1501" s="108">
        <f>K1497-L1500</f>
        <v>0</v>
      </c>
      <c r="M1501" s="204"/>
    </row>
    <row r="1502" spans="1:14" x14ac:dyDescent="0.2">
      <c r="A1502" s="223"/>
      <c r="C1502" s="224"/>
      <c r="D1502" s="225"/>
      <c r="E1502" s="224"/>
      <c r="F1502" s="224"/>
      <c r="G1502" s="167"/>
      <c r="H1502" s="167"/>
      <c r="I1502" s="224"/>
      <c r="J1502" s="224"/>
      <c r="K1502" s="224"/>
      <c r="L1502" s="204"/>
      <c r="M1502" s="217"/>
    </row>
    <row r="1503" spans="1:14" x14ac:dyDescent="0.2">
      <c r="D1503" s="219"/>
      <c r="E1503" s="220"/>
      <c r="F1503" s="221"/>
      <c r="G1503" s="226"/>
      <c r="H1503" s="222"/>
      <c r="I1503" s="167"/>
      <c r="J1503" s="167"/>
      <c r="K1503" s="167"/>
      <c r="L1503" s="204"/>
    </row>
    <row r="1504" spans="1:14" x14ac:dyDescent="0.2">
      <c r="D1504" s="219"/>
      <c r="E1504" s="220"/>
      <c r="F1504" s="222"/>
      <c r="G1504" s="222"/>
      <c r="H1504" s="222" t="s">
        <v>4875</v>
      </c>
      <c r="I1504" s="167"/>
      <c r="J1504" s="167"/>
      <c r="K1504" s="167"/>
    </row>
    <row r="1505" spans="4:11" x14ac:dyDescent="0.2">
      <c r="D1505" s="219"/>
      <c r="E1505" s="220"/>
      <c r="F1505" s="221"/>
      <c r="G1505" s="222"/>
      <c r="H1505" s="222"/>
      <c r="I1505" s="167"/>
      <c r="J1505" s="167"/>
      <c r="K1505" s="167"/>
    </row>
    <row r="1506" spans="4:11" x14ac:dyDescent="0.2">
      <c r="D1506" s="227"/>
      <c r="E1506" s="220"/>
      <c r="F1506" s="221"/>
      <c r="G1506" s="226"/>
      <c r="H1506" s="222"/>
      <c r="I1506" s="167"/>
      <c r="J1506" s="167"/>
      <c r="K1506" s="167"/>
    </row>
    <row r="1507" spans="4:11" x14ac:dyDescent="0.2">
      <c r="D1507" s="219"/>
      <c r="E1507" s="220"/>
      <c r="F1507" s="221"/>
      <c r="G1507" s="226"/>
      <c r="H1507" s="222"/>
      <c r="I1507" s="167"/>
      <c r="J1507" s="167"/>
      <c r="K1507" s="167"/>
    </row>
    <row r="1508" spans="4:11" x14ac:dyDescent="0.2">
      <c r="D1508" s="219"/>
      <c r="E1508" s="220"/>
      <c r="F1508" s="221"/>
      <c r="G1508" s="226"/>
      <c r="H1508" s="222"/>
      <c r="I1508" s="167"/>
      <c r="J1508" s="167"/>
      <c r="K1508" s="167"/>
    </row>
    <row r="1509" spans="4:11" x14ac:dyDescent="0.2">
      <c r="D1509" s="219"/>
      <c r="E1509" s="220"/>
      <c r="F1509" s="222"/>
      <c r="G1509" s="222"/>
      <c r="H1509" s="222"/>
      <c r="I1509" s="167"/>
      <c r="J1509" s="167"/>
      <c r="K1509" s="167"/>
    </row>
    <row r="1510" spans="4:11" x14ac:dyDescent="0.2">
      <c r="D1510" s="219"/>
      <c r="E1510" s="220"/>
      <c r="F1510" s="222"/>
      <c r="G1510" s="222"/>
      <c r="H1510" s="222"/>
      <c r="I1510" s="167"/>
      <c r="J1510" s="167"/>
      <c r="K1510" s="167"/>
    </row>
    <row r="1511" spans="4:11" x14ac:dyDescent="0.2">
      <c r="D1511" s="219"/>
      <c r="E1511" s="220"/>
      <c r="F1511" s="221"/>
      <c r="G1511" s="226"/>
      <c r="H1511" s="222"/>
      <c r="I1511" s="167"/>
      <c r="J1511" s="167"/>
      <c r="K1511" s="167"/>
    </row>
    <row r="1512" spans="4:11" x14ac:dyDescent="0.2">
      <c r="D1512" s="219"/>
      <c r="E1512" s="220"/>
      <c r="F1512" s="221"/>
      <c r="G1512" s="226"/>
      <c r="H1512" s="222"/>
      <c r="I1512" s="167"/>
      <c r="J1512" s="167"/>
      <c r="K1512" s="167"/>
    </row>
  </sheetData>
  <autoFilter ref="A5:M1501" xr:uid="{152C832E-3476-4B5D-BA78-998D25A4BCF3}"/>
  <mergeCells count="1">
    <mergeCell ref="A1497:D1497"/>
  </mergeCells>
  <phoneticPr fontId="34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F812-9468-4B80-AAD0-B681D4BB66BE}">
  <sheetPr>
    <tabColor rgb="FF8DFB43"/>
    <pageSetUpPr fitToPage="1"/>
  </sheetPr>
  <dimension ref="A1:J21"/>
  <sheetViews>
    <sheetView workbookViewId="0">
      <selection activeCell="B10" sqref="B10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66" t="s">
        <v>3949</v>
      </c>
      <c r="B1" s="266"/>
      <c r="C1" s="266"/>
    </row>
    <row r="2" spans="1:10" x14ac:dyDescent="0.2">
      <c r="A2" s="202" t="s">
        <v>3966</v>
      </c>
      <c r="H2" s="267" t="s">
        <v>3950</v>
      </c>
      <c r="I2" s="267"/>
      <c r="J2" s="268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68"/>
    </row>
    <row r="4" spans="1:10" ht="18.75" x14ac:dyDescent="0.3">
      <c r="B4" s="175">
        <v>888123456781555</v>
      </c>
      <c r="C4" s="176" t="s">
        <v>3100</v>
      </c>
      <c r="D4" s="177">
        <v>13</v>
      </c>
      <c r="E4" s="178" t="s">
        <v>3956</v>
      </c>
      <c r="F4" s="179">
        <v>31.5</v>
      </c>
      <c r="G4" s="180">
        <v>37</v>
      </c>
      <c r="H4" s="181">
        <v>2</v>
      </c>
      <c r="I4" s="181">
        <f>G4*H4</f>
        <v>74</v>
      </c>
      <c r="J4" s="182">
        <f>D4-H4</f>
        <v>11</v>
      </c>
    </row>
    <row r="5" spans="1:10" s="183" customFormat="1" ht="18.75" x14ac:dyDescent="0.3">
      <c r="B5" s="175">
        <v>748485800011</v>
      </c>
      <c r="C5" s="176" t="s">
        <v>2171</v>
      </c>
      <c r="D5" s="177">
        <v>4</v>
      </c>
      <c r="E5" s="178" t="s">
        <v>3956</v>
      </c>
      <c r="F5" s="184">
        <v>38.81</v>
      </c>
      <c r="G5" s="185">
        <v>47.5</v>
      </c>
      <c r="H5" s="186">
        <v>2</v>
      </c>
      <c r="I5" s="186">
        <f t="shared" ref="I5:I11" si="0">G5*H5</f>
        <v>95</v>
      </c>
      <c r="J5" s="187">
        <f t="shared" ref="J5:J11" si="1">D5-H5</f>
        <v>2</v>
      </c>
    </row>
    <row r="6" spans="1:10" s="183" customFormat="1" ht="18.75" x14ac:dyDescent="0.3">
      <c r="B6" s="175">
        <v>750515018501</v>
      </c>
      <c r="C6" s="176" t="s">
        <v>1844</v>
      </c>
      <c r="D6" s="177">
        <v>12</v>
      </c>
      <c r="E6" s="178" t="s">
        <v>3956</v>
      </c>
      <c r="F6" s="184">
        <v>57.95</v>
      </c>
      <c r="G6" s="185">
        <v>73.25</v>
      </c>
      <c r="H6" s="186">
        <v>7</v>
      </c>
      <c r="I6" s="186">
        <f t="shared" si="0"/>
        <v>512.75</v>
      </c>
      <c r="J6" s="187">
        <f t="shared" si="1"/>
        <v>5</v>
      </c>
    </row>
    <row r="7" spans="1:10" s="183" customFormat="1" ht="18.75" x14ac:dyDescent="0.3">
      <c r="B7" s="175">
        <v>4800361390804</v>
      </c>
      <c r="C7" s="176" t="s">
        <v>2187</v>
      </c>
      <c r="D7" s="177">
        <v>11</v>
      </c>
      <c r="E7" s="178" t="s">
        <v>3956</v>
      </c>
      <c r="F7" s="184">
        <v>44.78</v>
      </c>
      <c r="G7" s="185">
        <v>59.5</v>
      </c>
      <c r="H7" s="186">
        <v>1</v>
      </c>
      <c r="I7" s="186">
        <f t="shared" si="0"/>
        <v>59.5</v>
      </c>
      <c r="J7" s="187">
        <f t="shared" si="1"/>
        <v>10</v>
      </c>
    </row>
    <row r="8" spans="1:10" s="183" customFormat="1" ht="18.75" x14ac:dyDescent="0.3">
      <c r="B8" s="175">
        <v>4800361393645</v>
      </c>
      <c r="C8" s="176" t="s">
        <v>1779</v>
      </c>
      <c r="D8" s="177">
        <v>7</v>
      </c>
      <c r="E8" s="178" t="s">
        <v>3956</v>
      </c>
      <c r="F8" s="184">
        <v>50.43</v>
      </c>
      <c r="G8" s="185">
        <v>58</v>
      </c>
      <c r="H8" s="186">
        <v>2</v>
      </c>
      <c r="I8" s="186">
        <f t="shared" si="0"/>
        <v>116</v>
      </c>
      <c r="J8" s="187">
        <f t="shared" si="1"/>
        <v>5</v>
      </c>
    </row>
    <row r="9" spans="1:10" s="183" customFormat="1" ht="18.75" x14ac:dyDescent="0.3">
      <c r="B9" s="175">
        <v>4800010012033</v>
      </c>
      <c r="C9" s="176" t="s">
        <v>3138</v>
      </c>
      <c r="D9" s="177">
        <v>2</v>
      </c>
      <c r="E9" s="178" t="s">
        <v>3956</v>
      </c>
      <c r="F9" s="184">
        <v>48.8</v>
      </c>
      <c r="G9" s="185">
        <v>56.25</v>
      </c>
      <c r="H9" s="186">
        <v>2</v>
      </c>
      <c r="I9" s="186">
        <f t="shared" si="0"/>
        <v>112.5</v>
      </c>
      <c r="J9" s="187">
        <f t="shared" si="1"/>
        <v>0</v>
      </c>
    </row>
    <row r="10" spans="1:10" s="183" customFormat="1" ht="18.75" x14ac:dyDescent="0.3">
      <c r="B10" s="175">
        <v>4800154013057</v>
      </c>
      <c r="C10" s="176" t="s">
        <v>3957</v>
      </c>
      <c r="D10" s="177">
        <v>28</v>
      </c>
      <c r="E10" s="178" t="s">
        <v>3956</v>
      </c>
      <c r="F10" s="184">
        <v>32.1</v>
      </c>
      <c r="G10" s="185">
        <v>38.25</v>
      </c>
      <c r="H10" s="186">
        <v>1</v>
      </c>
      <c r="I10" s="186">
        <f t="shared" si="0"/>
        <v>38.25</v>
      </c>
      <c r="J10" s="187">
        <f t="shared" si="1"/>
        <v>27</v>
      </c>
    </row>
    <row r="11" spans="1:10" s="183" customFormat="1" ht="19.5" thickBot="1" x14ac:dyDescent="0.35">
      <c r="B11" s="188" t="s">
        <v>3958</v>
      </c>
      <c r="C11" s="176" t="s">
        <v>3959</v>
      </c>
      <c r="D11" s="189">
        <v>14</v>
      </c>
      <c r="E11" s="178" t="s">
        <v>3956</v>
      </c>
      <c r="F11" s="184">
        <v>6</v>
      </c>
      <c r="G11" s="185">
        <v>20</v>
      </c>
      <c r="H11" s="190"/>
      <c r="I11" s="190">
        <f t="shared" si="0"/>
        <v>0</v>
      </c>
      <c r="J11" s="191">
        <f t="shared" si="1"/>
        <v>14</v>
      </c>
    </row>
    <row r="12" spans="1:10" ht="13.5" thickBot="1" x14ac:dyDescent="0.25">
      <c r="D12" s="192">
        <f>SUM(D4:D11)</f>
        <v>91</v>
      </c>
      <c r="H12" s="193" t="s">
        <v>0</v>
      </c>
      <c r="I12" s="194">
        <f>SUM(I4:I11)</f>
        <v>1008</v>
      </c>
      <c r="J12" s="195">
        <f>SUM(J4:J11)</f>
        <v>74</v>
      </c>
    </row>
    <row r="14" spans="1:10" x14ac:dyDescent="0.2">
      <c r="B14" s="196" t="s">
        <v>3960</v>
      </c>
    </row>
    <row r="15" spans="1:10" x14ac:dyDescent="0.2">
      <c r="B15" s="197">
        <v>46203</v>
      </c>
      <c r="C15" s="269" t="s">
        <v>5200</v>
      </c>
      <c r="D15" s="269"/>
      <c r="E15" s="269"/>
      <c r="F15" s="172" t="s">
        <v>3962</v>
      </c>
      <c r="G15" s="172" t="s">
        <v>3963</v>
      </c>
    </row>
    <row r="16" spans="1:10" x14ac:dyDescent="0.2">
      <c r="B16" s="197"/>
      <c r="C16" s="198"/>
      <c r="F16" s="172"/>
      <c r="G16" s="172"/>
    </row>
    <row r="17" spans="2:7" ht="15" x14ac:dyDescent="0.25">
      <c r="B17" s="199"/>
      <c r="C17" s="198" t="s">
        <v>17</v>
      </c>
      <c r="F17" s="91">
        <f>I12</f>
        <v>1008</v>
      </c>
      <c r="G17" s="91"/>
    </row>
    <row r="18" spans="2:7" x14ac:dyDescent="0.2">
      <c r="B18" s="200"/>
      <c r="C18" s="198" t="s">
        <v>3964</v>
      </c>
      <c r="F18" s="91"/>
      <c r="G18" s="91">
        <f>I12</f>
        <v>1008</v>
      </c>
    </row>
    <row r="20" spans="2:7" x14ac:dyDescent="0.2">
      <c r="B20" s="201"/>
      <c r="C20" s="198"/>
    </row>
    <row r="21" spans="2:7" x14ac:dyDescent="0.2">
      <c r="C21" s="198"/>
    </row>
  </sheetData>
  <mergeCells count="4">
    <mergeCell ref="A1:C1"/>
    <mergeCell ref="H2:I2"/>
    <mergeCell ref="J2:J3"/>
    <mergeCell ref="C15:E15"/>
  </mergeCells>
  <pageMargins left="0.7" right="0.7" top="0.75" bottom="0.75" header="0.3" footer="0.3"/>
  <pageSetup scale="6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FE5F-64A4-4D32-9D43-E42F9C43AC03}">
  <sheetPr>
    <tabColor rgb="FFFFFFCC"/>
  </sheetPr>
  <dimension ref="A1:N189"/>
  <sheetViews>
    <sheetView topLeftCell="A166" workbookViewId="0">
      <selection activeCell="B173" sqref="B173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5201</v>
      </c>
      <c r="E3" s="58">
        <f>+E175</f>
        <v>4811</v>
      </c>
      <c r="H3" s="59">
        <f>H175</f>
        <v>25938</v>
      </c>
      <c r="I3" s="59">
        <f>I175</f>
        <v>256502.25</v>
      </c>
      <c r="J3" s="59">
        <f>J175</f>
        <v>0</v>
      </c>
      <c r="K3" s="60">
        <f>K175</f>
        <v>282440.25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 t="s">
        <v>5202</v>
      </c>
      <c r="B6" s="117" t="s">
        <v>1456</v>
      </c>
      <c r="C6" s="117" t="s">
        <v>5219</v>
      </c>
      <c r="D6" s="118" t="s">
        <v>21</v>
      </c>
      <c r="E6" s="117">
        <v>2</v>
      </c>
      <c r="F6" s="133">
        <v>148.9</v>
      </c>
      <c r="G6" s="133">
        <v>237</v>
      </c>
      <c r="H6" s="109">
        <v>474</v>
      </c>
      <c r="I6" s="109"/>
      <c r="J6" s="110"/>
      <c r="K6" s="110">
        <f>H6+I6-J6</f>
        <v>474</v>
      </c>
      <c r="L6" s="120">
        <f>E6*F6</f>
        <v>297.8</v>
      </c>
      <c r="M6" s="113"/>
    </row>
    <row r="7" spans="1:13" s="114" customFormat="1" ht="14.25" customHeight="1" x14ac:dyDescent="0.2">
      <c r="A7" s="106" t="s">
        <v>5202</v>
      </c>
      <c r="B7" s="105" t="s">
        <v>1458</v>
      </c>
      <c r="C7" s="117" t="s">
        <v>5219</v>
      </c>
      <c r="D7" s="107" t="s">
        <v>22</v>
      </c>
      <c r="E7" s="105">
        <v>2</v>
      </c>
      <c r="F7" s="134">
        <v>126</v>
      </c>
      <c r="G7" s="134">
        <v>201</v>
      </c>
      <c r="H7" s="109">
        <v>402</v>
      </c>
      <c r="I7" s="109"/>
      <c r="J7" s="110"/>
      <c r="K7" s="110">
        <f t="shared" ref="K7:K70" si="0">H7+I7-J7</f>
        <v>402</v>
      </c>
      <c r="L7" s="120">
        <f>E7*F7</f>
        <v>252</v>
      </c>
      <c r="M7" s="113"/>
    </row>
    <row r="8" spans="1:13" s="114" customFormat="1" ht="14.25" customHeight="1" x14ac:dyDescent="0.2">
      <c r="A8" s="106" t="s">
        <v>5202</v>
      </c>
      <c r="B8" s="105" t="s">
        <v>1462</v>
      </c>
      <c r="C8" s="117" t="s">
        <v>5219</v>
      </c>
      <c r="D8" s="107" t="s">
        <v>27</v>
      </c>
      <c r="E8" s="105">
        <v>10</v>
      </c>
      <c r="F8" s="134">
        <v>8</v>
      </c>
      <c r="G8" s="134">
        <v>10</v>
      </c>
      <c r="H8" s="109">
        <v>100</v>
      </c>
      <c r="I8" s="109"/>
      <c r="J8" s="110"/>
      <c r="K8" s="110">
        <f t="shared" si="0"/>
        <v>100</v>
      </c>
      <c r="L8" s="120">
        <f t="shared" ref="L8:L71" si="1">E8*F8</f>
        <v>80</v>
      </c>
      <c r="M8" s="113"/>
    </row>
    <row r="9" spans="1:13" s="114" customFormat="1" ht="14.25" customHeight="1" x14ac:dyDescent="0.2">
      <c r="A9" s="106" t="s">
        <v>5202</v>
      </c>
      <c r="B9" s="105" t="s">
        <v>1622</v>
      </c>
      <c r="C9" s="105" t="s">
        <v>5220</v>
      </c>
      <c r="D9" s="107" t="s">
        <v>1630</v>
      </c>
      <c r="E9" s="105">
        <v>1</v>
      </c>
      <c r="F9" s="134">
        <v>10</v>
      </c>
      <c r="G9" s="134">
        <v>13</v>
      </c>
      <c r="H9" s="109">
        <v>13</v>
      </c>
      <c r="I9" s="109"/>
      <c r="J9" s="110"/>
      <c r="K9" s="110">
        <f t="shared" si="0"/>
        <v>13</v>
      </c>
      <c r="L9" s="120">
        <f t="shared" si="1"/>
        <v>10</v>
      </c>
      <c r="M9" s="113"/>
    </row>
    <row r="10" spans="1:13" s="114" customFormat="1" ht="14.25" customHeight="1" x14ac:dyDescent="0.2">
      <c r="A10" s="106" t="s">
        <v>5202</v>
      </c>
      <c r="B10" s="105" t="s">
        <v>1553</v>
      </c>
      <c r="C10" s="105" t="s">
        <v>5220</v>
      </c>
      <c r="D10" s="107" t="s">
        <v>1263</v>
      </c>
      <c r="E10" s="105">
        <v>2</v>
      </c>
      <c r="F10" s="134">
        <v>24</v>
      </c>
      <c r="G10" s="134">
        <v>31.25</v>
      </c>
      <c r="H10" s="109">
        <v>62.5</v>
      </c>
      <c r="I10" s="109"/>
      <c r="J10" s="110"/>
      <c r="K10" s="110">
        <f t="shared" si="0"/>
        <v>62.5</v>
      </c>
      <c r="L10" s="120">
        <f t="shared" si="1"/>
        <v>48</v>
      </c>
      <c r="M10" s="113"/>
    </row>
    <row r="11" spans="1:13" s="114" customFormat="1" ht="14.25" customHeight="1" x14ac:dyDescent="0.2">
      <c r="A11" s="106" t="s">
        <v>5202</v>
      </c>
      <c r="B11" s="105" t="s">
        <v>5212</v>
      </c>
      <c r="C11" s="105" t="s">
        <v>5221</v>
      </c>
      <c r="D11" s="107" t="s">
        <v>1445</v>
      </c>
      <c r="E11" s="105">
        <v>1</v>
      </c>
      <c r="F11" s="134">
        <v>450</v>
      </c>
      <c r="G11" s="134">
        <v>563</v>
      </c>
      <c r="H11" s="109">
        <v>563</v>
      </c>
      <c r="I11" s="109"/>
      <c r="J11" s="110"/>
      <c r="K11" s="110">
        <f t="shared" si="0"/>
        <v>563</v>
      </c>
      <c r="L11" s="120">
        <f t="shared" si="1"/>
        <v>450</v>
      </c>
      <c r="M11" s="113"/>
    </row>
    <row r="12" spans="1:13" s="114" customFormat="1" ht="14.25" customHeight="1" x14ac:dyDescent="0.2">
      <c r="A12" s="106" t="s">
        <v>5202</v>
      </c>
      <c r="B12" s="105" t="s">
        <v>5213</v>
      </c>
      <c r="C12" s="105" t="s">
        <v>5221</v>
      </c>
      <c r="D12" s="107" t="s">
        <v>5205</v>
      </c>
      <c r="E12" s="105">
        <v>1</v>
      </c>
      <c r="F12" s="134">
        <v>55.25</v>
      </c>
      <c r="G12" s="134">
        <v>72</v>
      </c>
      <c r="H12" s="109">
        <v>72</v>
      </c>
      <c r="I12" s="109"/>
      <c r="J12" s="110"/>
      <c r="K12" s="110">
        <f t="shared" si="0"/>
        <v>72</v>
      </c>
      <c r="L12" s="120">
        <f t="shared" si="1"/>
        <v>55.25</v>
      </c>
      <c r="M12" s="113"/>
    </row>
    <row r="13" spans="1:13" s="114" customFormat="1" ht="14.25" customHeight="1" x14ac:dyDescent="0.2">
      <c r="A13" s="106" t="s">
        <v>5202</v>
      </c>
      <c r="B13" s="105" t="s">
        <v>5214</v>
      </c>
      <c r="C13" s="105" t="s">
        <v>5221</v>
      </c>
      <c r="D13" s="107" t="s">
        <v>5206</v>
      </c>
      <c r="E13" s="105">
        <v>1</v>
      </c>
      <c r="F13" s="134">
        <v>375</v>
      </c>
      <c r="G13" s="134">
        <v>488</v>
      </c>
      <c r="H13" s="109">
        <v>488</v>
      </c>
      <c r="I13" s="109"/>
      <c r="J13" s="110"/>
      <c r="K13" s="110">
        <f t="shared" si="0"/>
        <v>488</v>
      </c>
      <c r="L13" s="120">
        <f t="shared" si="1"/>
        <v>375</v>
      </c>
      <c r="M13" s="113"/>
    </row>
    <row r="14" spans="1:13" s="114" customFormat="1" ht="14.25" customHeight="1" x14ac:dyDescent="0.2">
      <c r="A14" s="106" t="s">
        <v>5203</v>
      </c>
      <c r="B14" s="105" t="s">
        <v>5215</v>
      </c>
      <c r="C14" s="105" t="s">
        <v>5222</v>
      </c>
      <c r="D14" s="107" t="s">
        <v>5207</v>
      </c>
      <c r="E14" s="105">
        <v>1</v>
      </c>
      <c r="F14" s="134">
        <v>144</v>
      </c>
      <c r="G14" s="134">
        <v>240</v>
      </c>
      <c r="H14" s="109">
        <v>240</v>
      </c>
      <c r="I14" s="109"/>
      <c r="J14" s="110"/>
      <c r="K14" s="110">
        <f t="shared" si="0"/>
        <v>240</v>
      </c>
      <c r="L14" s="120">
        <f t="shared" si="1"/>
        <v>144</v>
      </c>
      <c r="M14" s="113"/>
    </row>
    <row r="15" spans="1:13" s="114" customFormat="1" ht="14.25" customHeight="1" x14ac:dyDescent="0.2">
      <c r="A15" s="106" t="s">
        <v>5203</v>
      </c>
      <c r="B15" s="105" t="s">
        <v>5215</v>
      </c>
      <c r="C15" s="105" t="s">
        <v>5223</v>
      </c>
      <c r="D15" s="107" t="s">
        <v>5207</v>
      </c>
      <c r="E15" s="105">
        <v>1</v>
      </c>
      <c r="F15" s="134">
        <v>144</v>
      </c>
      <c r="G15" s="134">
        <v>240</v>
      </c>
      <c r="H15" s="109">
        <v>240</v>
      </c>
      <c r="I15" s="109"/>
      <c r="J15" s="110"/>
      <c r="K15" s="110">
        <f t="shared" si="0"/>
        <v>240</v>
      </c>
      <c r="L15" s="120">
        <f t="shared" si="1"/>
        <v>144</v>
      </c>
      <c r="M15" s="113"/>
    </row>
    <row r="16" spans="1:13" s="114" customFormat="1" ht="14.25" customHeight="1" x14ac:dyDescent="0.2">
      <c r="A16" s="106" t="s">
        <v>5203</v>
      </c>
      <c r="B16" s="105" t="s">
        <v>5216</v>
      </c>
      <c r="C16" s="105" t="s">
        <v>5224</v>
      </c>
      <c r="D16" s="107" t="s">
        <v>5208</v>
      </c>
      <c r="E16" s="105">
        <v>3</v>
      </c>
      <c r="F16" s="134">
        <v>72</v>
      </c>
      <c r="G16" s="134">
        <v>120</v>
      </c>
      <c r="H16" s="109">
        <v>360</v>
      </c>
      <c r="I16" s="109"/>
      <c r="J16" s="110"/>
      <c r="K16" s="110">
        <f t="shared" si="0"/>
        <v>360</v>
      </c>
      <c r="L16" s="120">
        <f t="shared" si="1"/>
        <v>216</v>
      </c>
      <c r="M16" s="113"/>
    </row>
    <row r="17" spans="1:13" s="114" customFormat="1" ht="14.25" customHeight="1" x14ac:dyDescent="0.2">
      <c r="A17" s="106" t="s">
        <v>5203</v>
      </c>
      <c r="B17" s="105" t="s">
        <v>1525</v>
      </c>
      <c r="C17" s="105" t="s">
        <v>5225</v>
      </c>
      <c r="D17" s="107" t="s">
        <v>5209</v>
      </c>
      <c r="E17" s="105">
        <v>31</v>
      </c>
      <c r="F17" s="134">
        <v>430</v>
      </c>
      <c r="G17" s="134">
        <v>500</v>
      </c>
      <c r="H17" s="109">
        <v>15500</v>
      </c>
      <c r="I17" s="109"/>
      <c r="J17" s="110"/>
      <c r="K17" s="110">
        <f t="shared" si="0"/>
        <v>15500</v>
      </c>
      <c r="L17" s="120">
        <f t="shared" si="1"/>
        <v>13330</v>
      </c>
      <c r="M17" s="113"/>
    </row>
    <row r="18" spans="1:13" s="114" customFormat="1" ht="14.25" customHeight="1" x14ac:dyDescent="0.2">
      <c r="A18" s="106" t="s">
        <v>5204</v>
      </c>
      <c r="B18" s="105" t="s">
        <v>5217</v>
      </c>
      <c r="C18" s="105" t="s">
        <v>5226</v>
      </c>
      <c r="D18" s="107" t="s">
        <v>5210</v>
      </c>
      <c r="E18" s="105">
        <v>1</v>
      </c>
      <c r="F18" s="134">
        <v>1189</v>
      </c>
      <c r="G18" s="134">
        <v>1400</v>
      </c>
      <c r="H18" s="109">
        <v>1400</v>
      </c>
      <c r="I18" s="109"/>
      <c r="J18" s="110"/>
      <c r="K18" s="110">
        <f t="shared" si="0"/>
        <v>1400</v>
      </c>
      <c r="L18" s="120">
        <f t="shared" si="1"/>
        <v>1189</v>
      </c>
      <c r="M18" s="113"/>
    </row>
    <row r="19" spans="1:13" s="114" customFormat="1" ht="14.25" customHeight="1" x14ac:dyDescent="0.2">
      <c r="A19" s="106" t="s">
        <v>5204</v>
      </c>
      <c r="B19" s="105" t="s">
        <v>5218</v>
      </c>
      <c r="C19" s="105" t="s">
        <v>5226</v>
      </c>
      <c r="D19" s="107" t="s">
        <v>5211</v>
      </c>
      <c r="E19" s="105">
        <v>1</v>
      </c>
      <c r="F19" s="134">
        <v>96</v>
      </c>
      <c r="G19" s="134">
        <v>200</v>
      </c>
      <c r="H19" s="109">
        <v>200</v>
      </c>
      <c r="I19" s="109"/>
      <c r="J19" s="110"/>
      <c r="K19" s="110">
        <f t="shared" si="0"/>
        <v>200</v>
      </c>
      <c r="L19" s="120">
        <f t="shared" si="1"/>
        <v>96</v>
      </c>
      <c r="M19" s="113"/>
    </row>
    <row r="20" spans="1:13" s="114" customFormat="1" ht="14.25" customHeight="1" x14ac:dyDescent="0.2">
      <c r="A20" s="106" t="s">
        <v>5204</v>
      </c>
      <c r="B20" s="105" t="s">
        <v>5217</v>
      </c>
      <c r="C20" s="105" t="s">
        <v>5227</v>
      </c>
      <c r="D20" s="107" t="s">
        <v>5210</v>
      </c>
      <c r="E20" s="105">
        <v>1</v>
      </c>
      <c r="F20" s="134">
        <v>1189</v>
      </c>
      <c r="G20" s="134">
        <v>1400</v>
      </c>
      <c r="H20" s="109">
        <v>1400</v>
      </c>
      <c r="I20" s="109"/>
      <c r="J20" s="110"/>
      <c r="K20" s="110">
        <f t="shared" si="0"/>
        <v>1400</v>
      </c>
      <c r="L20" s="120">
        <f t="shared" si="1"/>
        <v>1189</v>
      </c>
      <c r="M20" s="113"/>
    </row>
    <row r="21" spans="1:13" s="114" customFormat="1" ht="14.25" customHeight="1" x14ac:dyDescent="0.2">
      <c r="A21" s="106" t="s">
        <v>5411</v>
      </c>
      <c r="B21" s="105" t="s">
        <v>1689</v>
      </c>
      <c r="C21" s="105" t="s">
        <v>5412</v>
      </c>
      <c r="D21" s="107" t="s">
        <v>1702</v>
      </c>
      <c r="E21" s="105">
        <v>3</v>
      </c>
      <c r="F21" s="134">
        <v>10</v>
      </c>
      <c r="G21" s="134">
        <v>200</v>
      </c>
      <c r="H21" s="109"/>
      <c r="I21" s="109">
        <f t="shared" ref="I21" si="2">E21*G21</f>
        <v>600</v>
      </c>
      <c r="J21" s="110"/>
      <c r="K21" s="110">
        <f t="shared" si="0"/>
        <v>600</v>
      </c>
      <c r="L21" s="120">
        <f t="shared" si="1"/>
        <v>30</v>
      </c>
      <c r="M21" s="113"/>
    </row>
    <row r="22" spans="1:13" s="114" customFormat="1" ht="14.25" customHeight="1" x14ac:dyDescent="0.2">
      <c r="A22" s="106" t="s">
        <v>5492</v>
      </c>
      <c r="B22" s="105" t="s">
        <v>1518</v>
      </c>
      <c r="C22" s="105" t="s">
        <v>5493</v>
      </c>
      <c r="D22" s="107" t="s">
        <v>1262</v>
      </c>
      <c r="E22" s="105">
        <v>2</v>
      </c>
      <c r="F22" s="134">
        <v>12</v>
      </c>
      <c r="G22" s="134">
        <v>15.75</v>
      </c>
      <c r="H22" s="109">
        <v>31.5</v>
      </c>
      <c r="I22" s="109"/>
      <c r="J22" s="110"/>
      <c r="K22" s="110">
        <f t="shared" si="0"/>
        <v>31.5</v>
      </c>
      <c r="L22" s="120">
        <f t="shared" si="1"/>
        <v>24</v>
      </c>
      <c r="M22" s="113"/>
    </row>
    <row r="23" spans="1:13" s="114" customFormat="1" ht="14.25" customHeight="1" x14ac:dyDescent="0.2">
      <c r="A23" s="106" t="s">
        <v>5577</v>
      </c>
      <c r="B23" s="105" t="s">
        <v>1456</v>
      </c>
      <c r="C23" s="105" t="s">
        <v>5582</v>
      </c>
      <c r="D23" s="107" t="s">
        <v>21</v>
      </c>
      <c r="E23" s="105">
        <v>1</v>
      </c>
      <c r="F23" s="134">
        <v>148.9</v>
      </c>
      <c r="G23" s="134">
        <v>237</v>
      </c>
      <c r="H23" s="109">
        <v>237</v>
      </c>
      <c r="I23" s="109"/>
      <c r="J23" s="110"/>
      <c r="K23" s="110">
        <f t="shared" si="0"/>
        <v>237</v>
      </c>
      <c r="L23" s="120">
        <f t="shared" si="1"/>
        <v>148.9</v>
      </c>
      <c r="M23" s="113"/>
    </row>
    <row r="24" spans="1:13" s="114" customFormat="1" ht="14.25" customHeight="1" x14ac:dyDescent="0.2">
      <c r="A24" s="106" t="s">
        <v>5578</v>
      </c>
      <c r="B24" s="105" t="s">
        <v>1689</v>
      </c>
      <c r="C24" s="105" t="s">
        <v>5583</v>
      </c>
      <c r="D24" s="107" t="s">
        <v>1702</v>
      </c>
      <c r="E24" s="105">
        <v>4</v>
      </c>
      <c r="F24" s="134">
        <v>10</v>
      </c>
      <c r="G24" s="134">
        <v>200</v>
      </c>
      <c r="H24" s="109"/>
      <c r="I24" s="109">
        <f t="shared" ref="I24:I87" si="3">E24*G24</f>
        <v>800</v>
      </c>
      <c r="J24" s="110"/>
      <c r="K24" s="110">
        <f t="shared" si="0"/>
        <v>800</v>
      </c>
      <c r="L24" s="120">
        <f t="shared" si="1"/>
        <v>40</v>
      </c>
      <c r="M24" s="113"/>
    </row>
    <row r="25" spans="1:13" s="114" customFormat="1" ht="14.25" customHeight="1" x14ac:dyDescent="0.2">
      <c r="A25" s="106" t="s">
        <v>5578</v>
      </c>
      <c r="B25" s="105" t="s">
        <v>1689</v>
      </c>
      <c r="C25" s="105" t="s">
        <v>5584</v>
      </c>
      <c r="D25" s="107" t="s">
        <v>1702</v>
      </c>
      <c r="E25" s="105">
        <v>1</v>
      </c>
      <c r="F25" s="134">
        <v>10</v>
      </c>
      <c r="G25" s="134">
        <v>200</v>
      </c>
      <c r="H25" s="109"/>
      <c r="I25" s="109">
        <f t="shared" si="3"/>
        <v>200</v>
      </c>
      <c r="J25" s="110"/>
      <c r="K25" s="110">
        <f t="shared" si="0"/>
        <v>200</v>
      </c>
      <c r="L25" s="120">
        <f t="shared" si="1"/>
        <v>10</v>
      </c>
      <c r="M25" s="113"/>
    </row>
    <row r="26" spans="1:13" s="114" customFormat="1" ht="14.25" customHeight="1" x14ac:dyDescent="0.2">
      <c r="A26" s="106" t="s">
        <v>5578</v>
      </c>
      <c r="B26" s="105" t="s">
        <v>1689</v>
      </c>
      <c r="C26" s="105" t="s">
        <v>5585</v>
      </c>
      <c r="D26" s="107" t="s">
        <v>1702</v>
      </c>
      <c r="E26" s="105">
        <v>8</v>
      </c>
      <c r="F26" s="134">
        <v>10</v>
      </c>
      <c r="G26" s="134">
        <v>200</v>
      </c>
      <c r="H26" s="109"/>
      <c r="I26" s="109">
        <f t="shared" si="3"/>
        <v>1600</v>
      </c>
      <c r="J26" s="110"/>
      <c r="K26" s="110">
        <f t="shared" si="0"/>
        <v>1600</v>
      </c>
      <c r="L26" s="120">
        <f t="shared" si="1"/>
        <v>80</v>
      </c>
      <c r="M26" s="113"/>
    </row>
    <row r="27" spans="1:13" s="114" customFormat="1" ht="14.25" customHeight="1" x14ac:dyDescent="0.2">
      <c r="A27" s="106" t="s">
        <v>5578</v>
      </c>
      <c r="B27" s="105" t="s">
        <v>1456</v>
      </c>
      <c r="C27" s="105" t="s">
        <v>5586</v>
      </c>
      <c r="D27" s="107" t="s">
        <v>21</v>
      </c>
      <c r="E27" s="105">
        <v>3</v>
      </c>
      <c r="F27" s="134">
        <v>148.9</v>
      </c>
      <c r="G27" s="134">
        <v>237</v>
      </c>
      <c r="H27" s="109"/>
      <c r="I27" s="109">
        <f t="shared" si="3"/>
        <v>711</v>
      </c>
      <c r="J27" s="110"/>
      <c r="K27" s="110">
        <f t="shared" si="0"/>
        <v>711</v>
      </c>
      <c r="L27" s="120">
        <f t="shared" si="1"/>
        <v>446.70000000000005</v>
      </c>
      <c r="M27" s="113"/>
    </row>
    <row r="28" spans="1:13" s="114" customFormat="1" ht="14.25" customHeight="1" x14ac:dyDescent="0.2">
      <c r="A28" s="106" t="s">
        <v>5578</v>
      </c>
      <c r="B28" s="105" t="s">
        <v>1458</v>
      </c>
      <c r="C28" s="105" t="s">
        <v>5586</v>
      </c>
      <c r="D28" s="107" t="s">
        <v>22</v>
      </c>
      <c r="E28" s="105">
        <v>3</v>
      </c>
      <c r="F28" s="134">
        <v>126</v>
      </c>
      <c r="G28" s="134">
        <v>201</v>
      </c>
      <c r="H28" s="109"/>
      <c r="I28" s="109">
        <f t="shared" si="3"/>
        <v>603</v>
      </c>
      <c r="J28" s="110"/>
      <c r="K28" s="110">
        <f t="shared" si="0"/>
        <v>603</v>
      </c>
      <c r="L28" s="120">
        <f t="shared" si="1"/>
        <v>378</v>
      </c>
      <c r="M28" s="113"/>
    </row>
    <row r="29" spans="1:13" s="114" customFormat="1" ht="14.25" customHeight="1" x14ac:dyDescent="0.2">
      <c r="A29" s="106" t="s">
        <v>5578</v>
      </c>
      <c r="B29" s="105" t="s">
        <v>1459</v>
      </c>
      <c r="C29" s="105" t="s">
        <v>5586</v>
      </c>
      <c r="D29" s="107" t="s">
        <v>1259</v>
      </c>
      <c r="E29" s="105">
        <v>3</v>
      </c>
      <c r="F29" s="134">
        <v>40</v>
      </c>
      <c r="G29" s="134">
        <v>52</v>
      </c>
      <c r="H29" s="109"/>
      <c r="I29" s="109">
        <f t="shared" si="3"/>
        <v>156</v>
      </c>
      <c r="J29" s="110"/>
      <c r="K29" s="110">
        <f t="shared" si="0"/>
        <v>156</v>
      </c>
      <c r="L29" s="120">
        <f t="shared" si="1"/>
        <v>120</v>
      </c>
      <c r="M29" s="113"/>
    </row>
    <row r="30" spans="1:13" s="114" customFormat="1" ht="14.25" customHeight="1" x14ac:dyDescent="0.2">
      <c r="A30" s="106" t="s">
        <v>5578</v>
      </c>
      <c r="B30" s="105" t="s">
        <v>1518</v>
      </c>
      <c r="C30" s="105" t="s">
        <v>5586</v>
      </c>
      <c r="D30" s="107" t="s">
        <v>1262</v>
      </c>
      <c r="E30" s="105">
        <v>2</v>
      </c>
      <c r="F30" s="134">
        <v>12</v>
      </c>
      <c r="G30" s="134">
        <v>15.75</v>
      </c>
      <c r="H30" s="109"/>
      <c r="I30" s="109">
        <f t="shared" si="3"/>
        <v>31.5</v>
      </c>
      <c r="J30" s="110"/>
      <c r="K30" s="110">
        <f t="shared" si="0"/>
        <v>31.5</v>
      </c>
      <c r="L30" s="120">
        <f t="shared" si="1"/>
        <v>24</v>
      </c>
      <c r="M30" s="113"/>
    </row>
    <row r="31" spans="1:13" s="114" customFormat="1" ht="14.25" customHeight="1" x14ac:dyDescent="0.2">
      <c r="A31" s="106" t="s">
        <v>5578</v>
      </c>
      <c r="B31" s="105" t="s">
        <v>1461</v>
      </c>
      <c r="C31" s="105" t="s">
        <v>5586</v>
      </c>
      <c r="D31" s="107" t="s">
        <v>1399</v>
      </c>
      <c r="E31" s="105">
        <v>50</v>
      </c>
      <c r="F31" s="134">
        <v>3.1</v>
      </c>
      <c r="G31" s="134">
        <v>5</v>
      </c>
      <c r="H31" s="109"/>
      <c r="I31" s="109">
        <f t="shared" si="3"/>
        <v>250</v>
      </c>
      <c r="J31" s="110"/>
      <c r="K31" s="110">
        <f t="shared" si="0"/>
        <v>250</v>
      </c>
      <c r="L31" s="120">
        <f t="shared" si="1"/>
        <v>155</v>
      </c>
      <c r="M31" s="113"/>
    </row>
    <row r="32" spans="1:13" s="114" customFormat="1" ht="14.25" customHeight="1" x14ac:dyDescent="0.2">
      <c r="A32" s="106" t="s">
        <v>5578</v>
      </c>
      <c r="B32" s="105" t="s">
        <v>1460</v>
      </c>
      <c r="C32" s="105" t="s">
        <v>5586</v>
      </c>
      <c r="D32" s="107" t="s">
        <v>24</v>
      </c>
      <c r="E32" s="105">
        <v>50</v>
      </c>
      <c r="F32" s="134">
        <v>2.7</v>
      </c>
      <c r="G32" s="134">
        <v>8</v>
      </c>
      <c r="H32" s="109"/>
      <c r="I32" s="109">
        <f t="shared" si="3"/>
        <v>400</v>
      </c>
      <c r="J32" s="110"/>
      <c r="K32" s="110">
        <f t="shared" si="0"/>
        <v>400</v>
      </c>
      <c r="L32" s="120">
        <f t="shared" si="1"/>
        <v>135</v>
      </c>
      <c r="M32" s="113"/>
    </row>
    <row r="33" spans="1:13" s="114" customFormat="1" ht="14.25" customHeight="1" x14ac:dyDescent="0.2">
      <c r="A33" s="106" t="s">
        <v>5578</v>
      </c>
      <c r="B33" s="105" t="s">
        <v>1518</v>
      </c>
      <c r="C33" s="105" t="s">
        <v>5587</v>
      </c>
      <c r="D33" s="107" t="s">
        <v>1262</v>
      </c>
      <c r="E33" s="105">
        <v>8</v>
      </c>
      <c r="F33" s="134">
        <v>12</v>
      </c>
      <c r="G33" s="134">
        <v>15.75</v>
      </c>
      <c r="H33" s="109"/>
      <c r="I33" s="109">
        <f t="shared" si="3"/>
        <v>126</v>
      </c>
      <c r="J33" s="110"/>
      <c r="K33" s="110">
        <f t="shared" si="0"/>
        <v>126</v>
      </c>
      <c r="L33" s="120">
        <f t="shared" si="1"/>
        <v>96</v>
      </c>
      <c r="M33" s="113"/>
    </row>
    <row r="34" spans="1:13" s="114" customFormat="1" ht="14.25" customHeight="1" x14ac:dyDescent="0.2">
      <c r="A34" s="106" t="s">
        <v>5578</v>
      </c>
      <c r="B34" s="105" t="s">
        <v>1670</v>
      </c>
      <c r="C34" s="105" t="s">
        <v>5587</v>
      </c>
      <c r="D34" s="107" t="s">
        <v>1253</v>
      </c>
      <c r="E34" s="105">
        <v>15</v>
      </c>
      <c r="F34" s="134">
        <v>15</v>
      </c>
      <c r="G34" s="134">
        <v>20</v>
      </c>
      <c r="H34" s="109"/>
      <c r="I34" s="109">
        <f t="shared" si="3"/>
        <v>300</v>
      </c>
      <c r="J34" s="110"/>
      <c r="K34" s="110">
        <f t="shared" si="0"/>
        <v>300</v>
      </c>
      <c r="L34" s="120">
        <f t="shared" si="1"/>
        <v>225</v>
      </c>
      <c r="M34" s="113"/>
    </row>
    <row r="35" spans="1:13" s="114" customFormat="1" ht="14.25" customHeight="1" x14ac:dyDescent="0.2">
      <c r="A35" s="106" t="s">
        <v>5578</v>
      </c>
      <c r="B35" s="105" t="s">
        <v>5579</v>
      </c>
      <c r="C35" s="105" t="s">
        <v>5588</v>
      </c>
      <c r="D35" s="107" t="s">
        <v>1352</v>
      </c>
      <c r="E35" s="105">
        <v>5</v>
      </c>
      <c r="F35" s="134">
        <v>14.5</v>
      </c>
      <c r="G35" s="134">
        <v>20</v>
      </c>
      <c r="H35" s="109">
        <v>100</v>
      </c>
      <c r="I35" s="109"/>
      <c r="J35" s="110"/>
      <c r="K35" s="110">
        <f t="shared" si="0"/>
        <v>100</v>
      </c>
      <c r="L35" s="120">
        <f t="shared" si="1"/>
        <v>72.5</v>
      </c>
      <c r="M35" s="113"/>
    </row>
    <row r="36" spans="1:13" s="114" customFormat="1" ht="14.25" customHeight="1" x14ac:dyDescent="0.2">
      <c r="A36" s="106" t="s">
        <v>5578</v>
      </c>
      <c r="B36" s="105" t="s">
        <v>1475</v>
      </c>
      <c r="C36" s="105" t="s">
        <v>5588</v>
      </c>
      <c r="D36" s="107" t="s">
        <v>20</v>
      </c>
      <c r="E36" s="105">
        <v>1</v>
      </c>
      <c r="F36" s="136">
        <v>84</v>
      </c>
      <c r="G36" s="136">
        <v>157</v>
      </c>
      <c r="H36" s="109">
        <v>157</v>
      </c>
      <c r="I36" s="109"/>
      <c r="J36" s="110"/>
      <c r="K36" s="110">
        <f t="shared" si="0"/>
        <v>157</v>
      </c>
      <c r="L36" s="120">
        <f t="shared" si="1"/>
        <v>84</v>
      </c>
      <c r="M36" s="113"/>
    </row>
    <row r="37" spans="1:13" s="114" customFormat="1" ht="14.25" customHeight="1" x14ac:dyDescent="0.2">
      <c r="A37" s="106" t="s">
        <v>5578</v>
      </c>
      <c r="B37" s="105" t="s">
        <v>1460</v>
      </c>
      <c r="C37" s="105" t="s">
        <v>5588</v>
      </c>
      <c r="D37" s="107" t="s">
        <v>24</v>
      </c>
      <c r="E37" s="105">
        <v>5</v>
      </c>
      <c r="F37" s="136">
        <v>2.7</v>
      </c>
      <c r="G37" s="136">
        <v>8</v>
      </c>
      <c r="H37" s="109">
        <v>40</v>
      </c>
      <c r="I37" s="109"/>
      <c r="J37" s="110"/>
      <c r="K37" s="110">
        <f t="shared" si="0"/>
        <v>40</v>
      </c>
      <c r="L37" s="120">
        <f t="shared" si="1"/>
        <v>13.5</v>
      </c>
      <c r="M37" s="113"/>
    </row>
    <row r="38" spans="1:13" s="114" customFormat="1" ht="14.25" customHeight="1" x14ac:dyDescent="0.2">
      <c r="A38" s="106" t="s">
        <v>5578</v>
      </c>
      <c r="B38" s="105" t="s">
        <v>1530</v>
      </c>
      <c r="C38" s="105" t="s">
        <v>5588</v>
      </c>
      <c r="D38" s="107" t="s">
        <v>1332</v>
      </c>
      <c r="E38" s="105">
        <v>3</v>
      </c>
      <c r="F38" s="136">
        <v>14.5</v>
      </c>
      <c r="G38" s="136">
        <v>20</v>
      </c>
      <c r="H38" s="109">
        <v>60</v>
      </c>
      <c r="I38" s="109"/>
      <c r="J38" s="110"/>
      <c r="K38" s="110">
        <f t="shared" si="0"/>
        <v>60</v>
      </c>
      <c r="L38" s="120">
        <f t="shared" si="1"/>
        <v>43.5</v>
      </c>
      <c r="M38" s="113"/>
    </row>
    <row r="39" spans="1:13" s="114" customFormat="1" ht="14.25" customHeight="1" x14ac:dyDescent="0.2">
      <c r="A39" s="106" t="s">
        <v>5578</v>
      </c>
      <c r="B39" s="105" t="s">
        <v>1605</v>
      </c>
      <c r="C39" s="105" t="s">
        <v>5589</v>
      </c>
      <c r="D39" s="107" t="s">
        <v>1320</v>
      </c>
      <c r="E39" s="105">
        <v>1</v>
      </c>
      <c r="F39" s="134">
        <v>20</v>
      </c>
      <c r="G39" s="134">
        <v>30</v>
      </c>
      <c r="H39" s="109">
        <v>30</v>
      </c>
      <c r="I39" s="109"/>
      <c r="J39" s="110"/>
      <c r="K39" s="110">
        <f t="shared" si="0"/>
        <v>30</v>
      </c>
      <c r="L39" s="120">
        <f t="shared" si="1"/>
        <v>20</v>
      </c>
      <c r="M39" s="113"/>
    </row>
    <row r="40" spans="1:13" s="114" customFormat="1" ht="14.25" customHeight="1" x14ac:dyDescent="0.2">
      <c r="A40" s="106" t="s">
        <v>5578</v>
      </c>
      <c r="B40" s="105" t="s">
        <v>5580</v>
      </c>
      <c r="C40" s="105" t="s">
        <v>5589</v>
      </c>
      <c r="D40" s="107" t="s">
        <v>1321</v>
      </c>
      <c r="E40" s="105">
        <v>1</v>
      </c>
      <c r="F40" s="134">
        <v>60</v>
      </c>
      <c r="G40" s="134">
        <v>80</v>
      </c>
      <c r="H40" s="109">
        <v>80</v>
      </c>
      <c r="I40" s="109"/>
      <c r="J40" s="110"/>
      <c r="K40" s="110">
        <f t="shared" si="0"/>
        <v>80</v>
      </c>
      <c r="L40" s="120">
        <f t="shared" si="1"/>
        <v>60</v>
      </c>
      <c r="M40" s="113"/>
    </row>
    <row r="41" spans="1:13" s="114" customFormat="1" ht="14.25" customHeight="1" x14ac:dyDescent="0.2">
      <c r="A41" s="106" t="s">
        <v>5578</v>
      </c>
      <c r="B41" s="105" t="s">
        <v>5581</v>
      </c>
      <c r="C41" s="105" t="s">
        <v>5589</v>
      </c>
      <c r="D41" s="107" t="s">
        <v>5590</v>
      </c>
      <c r="E41" s="105">
        <v>10</v>
      </c>
      <c r="F41" s="134">
        <v>16</v>
      </c>
      <c r="G41" s="134">
        <v>21</v>
      </c>
      <c r="H41" s="109">
        <v>210</v>
      </c>
      <c r="I41" s="109"/>
      <c r="J41" s="110"/>
      <c r="K41" s="110">
        <f t="shared" si="0"/>
        <v>210</v>
      </c>
      <c r="L41" s="120">
        <f t="shared" si="1"/>
        <v>160</v>
      </c>
      <c r="M41" s="113"/>
    </row>
    <row r="42" spans="1:13" s="114" customFormat="1" ht="14.25" customHeight="1" x14ac:dyDescent="0.2">
      <c r="A42" s="106" t="s">
        <v>5578</v>
      </c>
      <c r="B42" s="105" t="s">
        <v>1530</v>
      </c>
      <c r="C42" s="105" t="s">
        <v>5589</v>
      </c>
      <c r="D42" s="107" t="s">
        <v>1332</v>
      </c>
      <c r="E42" s="105">
        <v>10</v>
      </c>
      <c r="F42" s="134">
        <v>14.5</v>
      </c>
      <c r="G42" s="134">
        <v>20</v>
      </c>
      <c r="H42" s="109">
        <v>200</v>
      </c>
      <c r="I42" s="109"/>
      <c r="J42" s="110"/>
      <c r="K42" s="110">
        <f t="shared" si="0"/>
        <v>200</v>
      </c>
      <c r="L42" s="120">
        <f t="shared" si="1"/>
        <v>145</v>
      </c>
      <c r="M42" s="113"/>
    </row>
    <row r="43" spans="1:13" s="114" customFormat="1" ht="14.25" customHeight="1" x14ac:dyDescent="0.2">
      <c r="A43" s="106" t="s">
        <v>5640</v>
      </c>
      <c r="B43" s="105" t="s">
        <v>1449</v>
      </c>
      <c r="C43" s="105" t="s">
        <v>5646</v>
      </c>
      <c r="D43" s="107" t="s">
        <v>1451</v>
      </c>
      <c r="E43" s="105">
        <v>2500</v>
      </c>
      <c r="F43" s="134">
        <v>23</v>
      </c>
      <c r="G43" s="134">
        <v>50</v>
      </c>
      <c r="H43" s="109"/>
      <c r="I43" s="109">
        <f t="shared" si="3"/>
        <v>125000</v>
      </c>
      <c r="J43" s="110"/>
      <c r="K43" s="110">
        <f t="shared" si="0"/>
        <v>125000</v>
      </c>
      <c r="L43" s="120">
        <f t="shared" si="1"/>
        <v>57500</v>
      </c>
      <c r="M43" s="113"/>
    </row>
    <row r="44" spans="1:13" s="114" customFormat="1" ht="14.25" customHeight="1" x14ac:dyDescent="0.2">
      <c r="A44" s="106" t="s">
        <v>5640</v>
      </c>
      <c r="B44" s="105" t="s">
        <v>1458</v>
      </c>
      <c r="C44" s="105" t="s">
        <v>5647</v>
      </c>
      <c r="D44" s="107" t="s">
        <v>22</v>
      </c>
      <c r="E44" s="105">
        <v>5</v>
      </c>
      <c r="F44" s="134">
        <v>126</v>
      </c>
      <c r="G44" s="134">
        <v>201</v>
      </c>
      <c r="H44" s="109"/>
      <c r="I44" s="109">
        <f t="shared" si="3"/>
        <v>1005</v>
      </c>
      <c r="J44" s="110"/>
      <c r="K44" s="110">
        <f t="shared" si="0"/>
        <v>1005</v>
      </c>
      <c r="L44" s="120">
        <f t="shared" si="1"/>
        <v>630</v>
      </c>
      <c r="M44" s="113"/>
    </row>
    <row r="45" spans="1:13" s="114" customFormat="1" ht="14.25" customHeight="1" x14ac:dyDescent="0.2">
      <c r="A45" s="106" t="s">
        <v>5640</v>
      </c>
      <c r="B45" s="105" t="s">
        <v>1472</v>
      </c>
      <c r="C45" s="105" t="s">
        <v>5647</v>
      </c>
      <c r="D45" s="107" t="s">
        <v>1398</v>
      </c>
      <c r="E45" s="105">
        <v>3</v>
      </c>
      <c r="F45" s="134">
        <v>147.69999999999999</v>
      </c>
      <c r="G45" s="134">
        <v>207</v>
      </c>
      <c r="H45" s="109"/>
      <c r="I45" s="109">
        <f t="shared" si="3"/>
        <v>621</v>
      </c>
      <c r="J45" s="110"/>
      <c r="K45" s="110">
        <f t="shared" si="0"/>
        <v>621</v>
      </c>
      <c r="L45" s="120">
        <f t="shared" si="1"/>
        <v>443.09999999999997</v>
      </c>
      <c r="M45" s="113"/>
    </row>
    <row r="46" spans="1:13" s="114" customFormat="1" ht="14.25" customHeight="1" x14ac:dyDescent="0.2">
      <c r="A46" s="106" t="s">
        <v>5640</v>
      </c>
      <c r="B46" s="105" t="s">
        <v>5641</v>
      </c>
      <c r="C46" s="105" t="s">
        <v>5647</v>
      </c>
      <c r="D46" s="107" t="s">
        <v>1327</v>
      </c>
      <c r="E46" s="105">
        <v>2</v>
      </c>
      <c r="F46" s="134">
        <v>38.5</v>
      </c>
      <c r="G46" s="134">
        <v>49</v>
      </c>
      <c r="H46" s="109"/>
      <c r="I46" s="109">
        <f t="shared" si="3"/>
        <v>98</v>
      </c>
      <c r="J46" s="110"/>
      <c r="K46" s="110">
        <f t="shared" si="0"/>
        <v>98</v>
      </c>
      <c r="L46" s="120">
        <f t="shared" si="1"/>
        <v>77</v>
      </c>
      <c r="M46" s="113"/>
    </row>
    <row r="47" spans="1:13" s="114" customFormat="1" ht="14.25" customHeight="1" x14ac:dyDescent="0.2">
      <c r="A47" s="106" t="s">
        <v>5640</v>
      </c>
      <c r="B47" s="105" t="s">
        <v>1585</v>
      </c>
      <c r="C47" s="105" t="s">
        <v>5647</v>
      </c>
      <c r="D47" s="107" t="s">
        <v>1254</v>
      </c>
      <c r="E47" s="105">
        <v>2</v>
      </c>
      <c r="F47" s="134">
        <v>75</v>
      </c>
      <c r="G47" s="134">
        <v>97.5</v>
      </c>
      <c r="H47" s="109"/>
      <c r="I47" s="109">
        <f t="shared" si="3"/>
        <v>195</v>
      </c>
      <c r="J47" s="110"/>
      <c r="K47" s="110">
        <f t="shared" si="0"/>
        <v>195</v>
      </c>
      <c r="L47" s="120">
        <f t="shared" si="1"/>
        <v>150</v>
      </c>
      <c r="M47" s="113"/>
    </row>
    <row r="48" spans="1:13" s="114" customFormat="1" ht="14.25" customHeight="1" x14ac:dyDescent="0.2">
      <c r="A48" s="106" t="s">
        <v>5640</v>
      </c>
      <c r="B48" s="105" t="s">
        <v>5642</v>
      </c>
      <c r="C48" s="105" t="s">
        <v>5647</v>
      </c>
      <c r="D48" s="107" t="s">
        <v>5651</v>
      </c>
      <c r="E48" s="105">
        <v>1</v>
      </c>
      <c r="F48" s="134">
        <v>6</v>
      </c>
      <c r="G48" s="134">
        <v>15</v>
      </c>
      <c r="H48" s="109"/>
      <c r="I48" s="109">
        <f t="shared" si="3"/>
        <v>15</v>
      </c>
      <c r="J48" s="110"/>
      <c r="K48" s="110">
        <f t="shared" si="0"/>
        <v>15</v>
      </c>
      <c r="L48" s="120">
        <f t="shared" si="1"/>
        <v>6</v>
      </c>
      <c r="M48" s="113"/>
    </row>
    <row r="49" spans="1:13" s="114" customFormat="1" ht="14.25" customHeight="1" x14ac:dyDescent="0.2">
      <c r="A49" s="106" t="s">
        <v>5640</v>
      </c>
      <c r="B49" s="105" t="s">
        <v>5643</v>
      </c>
      <c r="C49" s="105" t="s">
        <v>5648</v>
      </c>
      <c r="D49" s="107" t="s">
        <v>1738</v>
      </c>
      <c r="E49" s="105">
        <v>14</v>
      </c>
      <c r="F49" s="134">
        <v>60</v>
      </c>
      <c r="G49" s="134">
        <v>100</v>
      </c>
      <c r="H49" s="109"/>
      <c r="I49" s="109">
        <f t="shared" si="3"/>
        <v>1400</v>
      </c>
      <c r="J49" s="110"/>
      <c r="K49" s="110">
        <f t="shared" si="0"/>
        <v>1400</v>
      </c>
      <c r="L49" s="120">
        <f t="shared" si="1"/>
        <v>840</v>
      </c>
      <c r="M49" s="113"/>
    </row>
    <row r="50" spans="1:13" s="114" customFormat="1" ht="14.25" customHeight="1" x14ac:dyDescent="0.2">
      <c r="A50" s="106" t="s">
        <v>5640</v>
      </c>
      <c r="B50" s="105" t="s">
        <v>1553</v>
      </c>
      <c r="C50" s="105" t="s">
        <v>5649</v>
      </c>
      <c r="D50" s="107" t="s">
        <v>1263</v>
      </c>
      <c r="E50" s="105">
        <v>10</v>
      </c>
      <c r="F50" s="134">
        <v>24</v>
      </c>
      <c r="G50" s="134">
        <v>31.25</v>
      </c>
      <c r="H50" s="109"/>
      <c r="I50" s="109">
        <f t="shared" si="3"/>
        <v>312.5</v>
      </c>
      <c r="J50" s="110"/>
      <c r="K50" s="110">
        <f t="shared" si="0"/>
        <v>312.5</v>
      </c>
      <c r="L50" s="120">
        <f t="shared" si="1"/>
        <v>240</v>
      </c>
      <c r="M50" s="113"/>
    </row>
    <row r="51" spans="1:13" s="114" customFormat="1" ht="14.25" customHeight="1" x14ac:dyDescent="0.2">
      <c r="A51" s="106" t="s">
        <v>5640</v>
      </c>
      <c r="B51" s="105" t="s">
        <v>5644</v>
      </c>
      <c r="C51" s="105" t="s">
        <v>5649</v>
      </c>
      <c r="D51" s="107" t="s">
        <v>5652</v>
      </c>
      <c r="E51" s="105">
        <v>10</v>
      </c>
      <c r="F51" s="134">
        <v>4</v>
      </c>
      <c r="G51" s="134">
        <v>6</v>
      </c>
      <c r="H51" s="109"/>
      <c r="I51" s="109">
        <f t="shared" si="3"/>
        <v>60</v>
      </c>
      <c r="J51" s="110"/>
      <c r="K51" s="110">
        <f t="shared" si="0"/>
        <v>60</v>
      </c>
      <c r="L51" s="120">
        <f t="shared" si="1"/>
        <v>40</v>
      </c>
      <c r="M51" s="113"/>
    </row>
    <row r="52" spans="1:13" s="114" customFormat="1" ht="14.25" customHeight="1" x14ac:dyDescent="0.2">
      <c r="A52" s="106" t="s">
        <v>5640</v>
      </c>
      <c r="B52" s="105" t="s">
        <v>1639</v>
      </c>
      <c r="C52" s="105" t="s">
        <v>5649</v>
      </c>
      <c r="D52" s="107" t="s">
        <v>1641</v>
      </c>
      <c r="E52" s="105">
        <v>10</v>
      </c>
      <c r="F52" s="134">
        <v>3.5</v>
      </c>
      <c r="G52" s="134">
        <v>5</v>
      </c>
      <c r="H52" s="109"/>
      <c r="I52" s="109">
        <f t="shared" si="3"/>
        <v>50</v>
      </c>
      <c r="J52" s="110"/>
      <c r="K52" s="110">
        <f t="shared" si="0"/>
        <v>50</v>
      </c>
      <c r="L52" s="120">
        <f t="shared" si="1"/>
        <v>35</v>
      </c>
      <c r="M52" s="113"/>
    </row>
    <row r="53" spans="1:13" s="114" customFormat="1" ht="14.25" customHeight="1" x14ac:dyDescent="0.2">
      <c r="A53" s="106" t="s">
        <v>5640</v>
      </c>
      <c r="B53" s="105" t="s">
        <v>1490</v>
      </c>
      <c r="C53" s="105" t="s">
        <v>5649</v>
      </c>
      <c r="D53" s="107" t="s">
        <v>1407</v>
      </c>
      <c r="E53" s="105">
        <v>10</v>
      </c>
      <c r="F53" s="134">
        <v>11.5</v>
      </c>
      <c r="G53" s="134">
        <v>19</v>
      </c>
      <c r="H53" s="109"/>
      <c r="I53" s="109">
        <f t="shared" si="3"/>
        <v>190</v>
      </c>
      <c r="J53" s="110"/>
      <c r="K53" s="110">
        <f t="shared" si="0"/>
        <v>190</v>
      </c>
      <c r="L53" s="120">
        <f t="shared" si="1"/>
        <v>115</v>
      </c>
      <c r="M53" s="113"/>
    </row>
    <row r="54" spans="1:13" s="114" customFormat="1" ht="14.25" customHeight="1" x14ac:dyDescent="0.2">
      <c r="A54" s="106" t="s">
        <v>5640</v>
      </c>
      <c r="B54" s="105" t="s">
        <v>5645</v>
      </c>
      <c r="C54" s="105" t="s">
        <v>5649</v>
      </c>
      <c r="D54" s="107" t="s">
        <v>5653</v>
      </c>
      <c r="E54" s="105">
        <v>10</v>
      </c>
      <c r="F54" s="134">
        <v>16</v>
      </c>
      <c r="G54" s="134">
        <v>21</v>
      </c>
      <c r="H54" s="109"/>
      <c r="I54" s="109">
        <f t="shared" si="3"/>
        <v>210</v>
      </c>
      <c r="J54" s="110"/>
      <c r="K54" s="110">
        <f t="shared" si="0"/>
        <v>210</v>
      </c>
      <c r="L54" s="120">
        <f t="shared" si="1"/>
        <v>160</v>
      </c>
      <c r="M54" s="113"/>
    </row>
    <row r="55" spans="1:13" s="114" customFormat="1" ht="14.25" customHeight="1" x14ac:dyDescent="0.2">
      <c r="A55" s="106" t="s">
        <v>5640</v>
      </c>
      <c r="B55" s="105" t="s">
        <v>1460</v>
      </c>
      <c r="C55" s="105" t="s">
        <v>5649</v>
      </c>
      <c r="D55" s="107" t="s">
        <v>24</v>
      </c>
      <c r="E55" s="105">
        <v>20</v>
      </c>
      <c r="F55" s="134">
        <v>2.7</v>
      </c>
      <c r="G55" s="134">
        <v>8</v>
      </c>
      <c r="H55" s="109"/>
      <c r="I55" s="109">
        <f t="shared" si="3"/>
        <v>160</v>
      </c>
      <c r="J55" s="110"/>
      <c r="K55" s="110">
        <f t="shared" si="0"/>
        <v>160</v>
      </c>
      <c r="L55" s="120">
        <f t="shared" si="1"/>
        <v>54</v>
      </c>
      <c r="M55" s="113"/>
    </row>
    <row r="56" spans="1:13" s="114" customFormat="1" ht="14.25" customHeight="1" x14ac:dyDescent="0.2">
      <c r="A56" s="106" t="s">
        <v>5640</v>
      </c>
      <c r="B56" s="105" t="s">
        <v>1461</v>
      </c>
      <c r="C56" s="105" t="s">
        <v>5649</v>
      </c>
      <c r="D56" s="107" t="s">
        <v>1399</v>
      </c>
      <c r="E56" s="105">
        <v>20</v>
      </c>
      <c r="F56" s="134">
        <v>3.1</v>
      </c>
      <c r="G56" s="134">
        <v>5</v>
      </c>
      <c r="H56" s="109"/>
      <c r="I56" s="109">
        <f t="shared" si="3"/>
        <v>100</v>
      </c>
      <c r="J56" s="110"/>
      <c r="K56" s="110">
        <f t="shared" si="0"/>
        <v>100</v>
      </c>
      <c r="L56" s="120">
        <f t="shared" si="1"/>
        <v>62</v>
      </c>
      <c r="M56" s="113"/>
    </row>
    <row r="57" spans="1:13" s="114" customFormat="1" ht="14.25" customHeight="1" x14ac:dyDescent="0.2">
      <c r="A57" s="106" t="s">
        <v>5640</v>
      </c>
      <c r="B57" s="105" t="s">
        <v>1663</v>
      </c>
      <c r="C57" s="105" t="s">
        <v>5649</v>
      </c>
      <c r="D57" s="107" t="s">
        <v>1666</v>
      </c>
      <c r="E57" s="105">
        <v>30</v>
      </c>
      <c r="F57" s="134">
        <v>12.5</v>
      </c>
      <c r="G57" s="134">
        <v>16.25</v>
      </c>
      <c r="H57" s="109"/>
      <c r="I57" s="109">
        <f t="shared" si="3"/>
        <v>487.5</v>
      </c>
      <c r="J57" s="110"/>
      <c r="K57" s="110">
        <f t="shared" si="0"/>
        <v>487.5</v>
      </c>
      <c r="L57" s="120">
        <f t="shared" si="1"/>
        <v>375</v>
      </c>
      <c r="M57" s="113"/>
    </row>
    <row r="58" spans="1:13" s="114" customFormat="1" ht="14.25" customHeight="1" x14ac:dyDescent="0.2">
      <c r="A58" s="106" t="s">
        <v>5640</v>
      </c>
      <c r="B58" s="105" t="s">
        <v>1622</v>
      </c>
      <c r="C58" s="105" t="s">
        <v>5649</v>
      </c>
      <c r="D58" s="107" t="s">
        <v>1630</v>
      </c>
      <c r="E58" s="105">
        <v>8</v>
      </c>
      <c r="F58" s="134">
        <v>10</v>
      </c>
      <c r="G58" s="134">
        <v>13</v>
      </c>
      <c r="H58" s="109"/>
      <c r="I58" s="109">
        <f t="shared" si="3"/>
        <v>104</v>
      </c>
      <c r="J58" s="110"/>
      <c r="K58" s="110">
        <f t="shared" si="0"/>
        <v>104</v>
      </c>
      <c r="L58" s="120">
        <f t="shared" si="1"/>
        <v>80</v>
      </c>
      <c r="M58" s="113"/>
    </row>
    <row r="59" spans="1:13" s="114" customFormat="1" ht="14.25" customHeight="1" x14ac:dyDescent="0.2">
      <c r="A59" s="106" t="s">
        <v>5640</v>
      </c>
      <c r="B59" s="105" t="s">
        <v>1623</v>
      </c>
      <c r="C59" s="105" t="s">
        <v>5649</v>
      </c>
      <c r="D59" s="107" t="s">
        <v>1387</v>
      </c>
      <c r="E59" s="105">
        <v>2</v>
      </c>
      <c r="F59" s="134">
        <v>30</v>
      </c>
      <c r="G59" s="134">
        <v>39</v>
      </c>
      <c r="H59" s="109"/>
      <c r="I59" s="109">
        <f t="shared" si="3"/>
        <v>78</v>
      </c>
      <c r="J59" s="110"/>
      <c r="K59" s="110">
        <f t="shared" si="0"/>
        <v>78</v>
      </c>
      <c r="L59" s="120">
        <f t="shared" si="1"/>
        <v>60</v>
      </c>
      <c r="M59" s="113"/>
    </row>
    <row r="60" spans="1:13" s="114" customFormat="1" ht="14.25" customHeight="1" x14ac:dyDescent="0.2">
      <c r="A60" s="106" t="s">
        <v>5640</v>
      </c>
      <c r="B60" s="105" t="s">
        <v>1667</v>
      </c>
      <c r="C60" s="105" t="s">
        <v>5649</v>
      </c>
      <c r="D60" s="107" t="s">
        <v>1669</v>
      </c>
      <c r="E60" s="105">
        <v>30</v>
      </c>
      <c r="F60" s="134">
        <v>9</v>
      </c>
      <c r="G60" s="134">
        <v>16</v>
      </c>
      <c r="H60" s="109"/>
      <c r="I60" s="109">
        <f t="shared" si="3"/>
        <v>480</v>
      </c>
      <c r="J60" s="110"/>
      <c r="K60" s="110">
        <f t="shared" si="0"/>
        <v>480</v>
      </c>
      <c r="L60" s="120">
        <f t="shared" si="1"/>
        <v>270</v>
      </c>
      <c r="M60" s="113"/>
    </row>
    <row r="61" spans="1:13" s="114" customFormat="1" ht="14.25" customHeight="1" x14ac:dyDescent="0.2">
      <c r="A61" s="106" t="s">
        <v>5640</v>
      </c>
      <c r="B61" s="105" t="s">
        <v>1456</v>
      </c>
      <c r="C61" s="105" t="s">
        <v>5650</v>
      </c>
      <c r="D61" s="107" t="s">
        <v>21</v>
      </c>
      <c r="E61" s="105">
        <v>1</v>
      </c>
      <c r="F61" s="134">
        <v>148.9</v>
      </c>
      <c r="G61" s="134">
        <v>237</v>
      </c>
      <c r="H61" s="109">
        <v>237</v>
      </c>
      <c r="I61" s="109"/>
      <c r="J61" s="110"/>
      <c r="K61" s="110">
        <f t="shared" si="0"/>
        <v>237</v>
      </c>
      <c r="L61" s="120">
        <f t="shared" si="1"/>
        <v>148.9</v>
      </c>
      <c r="M61" s="113"/>
    </row>
    <row r="62" spans="1:13" s="114" customFormat="1" ht="14.25" customHeight="1" x14ac:dyDescent="0.2">
      <c r="A62" s="106" t="s">
        <v>5837</v>
      </c>
      <c r="B62" s="105" t="s">
        <v>5214</v>
      </c>
      <c r="C62" s="105" t="s">
        <v>5843</v>
      </c>
      <c r="D62" s="107" t="s">
        <v>5206</v>
      </c>
      <c r="E62" s="105">
        <v>1</v>
      </c>
      <c r="F62" s="134">
        <v>375</v>
      </c>
      <c r="G62" s="134">
        <v>488</v>
      </c>
      <c r="H62" s="109"/>
      <c r="I62" s="109">
        <f t="shared" si="3"/>
        <v>488</v>
      </c>
      <c r="J62" s="110"/>
      <c r="K62" s="110">
        <f t="shared" si="0"/>
        <v>488</v>
      </c>
      <c r="L62" s="120">
        <f t="shared" si="1"/>
        <v>375</v>
      </c>
      <c r="M62" s="113"/>
    </row>
    <row r="63" spans="1:13" s="114" customFormat="1" ht="14.25" customHeight="1" x14ac:dyDescent="0.2">
      <c r="A63" s="106" t="s">
        <v>5837</v>
      </c>
      <c r="B63" s="105" t="s">
        <v>1507</v>
      </c>
      <c r="C63" s="105" t="s">
        <v>5843</v>
      </c>
      <c r="D63" s="107" t="s">
        <v>1252</v>
      </c>
      <c r="E63" s="105">
        <v>1</v>
      </c>
      <c r="F63" s="134">
        <v>30</v>
      </c>
      <c r="G63" s="134">
        <v>39</v>
      </c>
      <c r="H63" s="109"/>
      <c r="I63" s="109">
        <f t="shared" si="3"/>
        <v>39</v>
      </c>
      <c r="J63" s="110"/>
      <c r="K63" s="110">
        <f t="shared" si="0"/>
        <v>39</v>
      </c>
      <c r="L63" s="120">
        <f t="shared" si="1"/>
        <v>30</v>
      </c>
      <c r="M63" s="113"/>
    </row>
    <row r="64" spans="1:13" s="114" customFormat="1" ht="14.25" customHeight="1" x14ac:dyDescent="0.2">
      <c r="A64" s="106" t="s">
        <v>5837</v>
      </c>
      <c r="B64" s="105" t="s">
        <v>5840</v>
      </c>
      <c r="C64" s="105" t="s">
        <v>5843</v>
      </c>
      <c r="D64" s="107" t="s">
        <v>5857</v>
      </c>
      <c r="E64" s="105">
        <v>1</v>
      </c>
      <c r="F64" s="134">
        <v>85</v>
      </c>
      <c r="G64" s="134">
        <v>111</v>
      </c>
      <c r="H64" s="109"/>
      <c r="I64" s="109">
        <f t="shared" si="3"/>
        <v>111</v>
      </c>
      <c r="J64" s="110"/>
      <c r="K64" s="110">
        <f t="shared" si="0"/>
        <v>111</v>
      </c>
      <c r="L64" s="120">
        <f t="shared" si="1"/>
        <v>85</v>
      </c>
      <c r="M64" s="113"/>
    </row>
    <row r="65" spans="1:13" s="114" customFormat="1" ht="14.25" customHeight="1" x14ac:dyDescent="0.2">
      <c r="A65" s="106" t="s">
        <v>5837</v>
      </c>
      <c r="B65" s="105" t="s">
        <v>1518</v>
      </c>
      <c r="C65" s="105" t="s">
        <v>5843</v>
      </c>
      <c r="D65" s="107" t="s">
        <v>1262</v>
      </c>
      <c r="E65" s="105">
        <v>12</v>
      </c>
      <c r="F65" s="134">
        <v>12</v>
      </c>
      <c r="G65" s="134">
        <v>15.75</v>
      </c>
      <c r="H65" s="109"/>
      <c r="I65" s="109">
        <f t="shared" si="3"/>
        <v>189</v>
      </c>
      <c r="J65" s="110"/>
      <c r="K65" s="110">
        <f t="shared" si="0"/>
        <v>189</v>
      </c>
      <c r="L65" s="120">
        <f t="shared" si="1"/>
        <v>144</v>
      </c>
      <c r="M65" s="113"/>
    </row>
    <row r="66" spans="1:13" s="114" customFormat="1" ht="14.25" customHeight="1" x14ac:dyDescent="0.2">
      <c r="A66" s="106" t="s">
        <v>5837</v>
      </c>
      <c r="B66" s="105" t="s">
        <v>1689</v>
      </c>
      <c r="C66" s="105" t="s">
        <v>5844</v>
      </c>
      <c r="D66" s="107" t="s">
        <v>1702</v>
      </c>
      <c r="E66" s="105">
        <v>4</v>
      </c>
      <c r="F66" s="134">
        <v>10</v>
      </c>
      <c r="G66" s="134">
        <v>200</v>
      </c>
      <c r="H66" s="109"/>
      <c r="I66" s="109">
        <f t="shared" si="3"/>
        <v>800</v>
      </c>
      <c r="J66" s="110"/>
      <c r="K66" s="110">
        <f t="shared" si="0"/>
        <v>800</v>
      </c>
      <c r="L66" s="120">
        <f t="shared" si="1"/>
        <v>40</v>
      </c>
      <c r="M66" s="113"/>
    </row>
    <row r="67" spans="1:13" s="114" customFormat="1" x14ac:dyDescent="0.2">
      <c r="A67" s="106" t="s">
        <v>5837</v>
      </c>
      <c r="B67" s="105" t="s">
        <v>1581</v>
      </c>
      <c r="C67" s="105" t="s">
        <v>5845</v>
      </c>
      <c r="D67" s="107" t="s">
        <v>5858</v>
      </c>
      <c r="E67" s="105">
        <v>82</v>
      </c>
      <c r="F67" s="134">
        <v>134.51</v>
      </c>
      <c r="G67" s="134">
        <v>150</v>
      </c>
      <c r="H67" s="109"/>
      <c r="I67" s="109">
        <f t="shared" si="3"/>
        <v>12300</v>
      </c>
      <c r="J67" s="110"/>
      <c r="K67" s="110">
        <f t="shared" si="0"/>
        <v>12300</v>
      </c>
      <c r="L67" s="120">
        <f t="shared" si="1"/>
        <v>11029.82</v>
      </c>
      <c r="M67" s="113"/>
    </row>
    <row r="68" spans="1:13" s="114" customFormat="1" x14ac:dyDescent="0.2">
      <c r="A68" s="106" t="s">
        <v>5837</v>
      </c>
      <c r="B68" s="105" t="s">
        <v>1689</v>
      </c>
      <c r="C68" s="105" t="s">
        <v>5846</v>
      </c>
      <c r="D68" s="107" t="s">
        <v>1702</v>
      </c>
      <c r="E68" s="105">
        <v>2</v>
      </c>
      <c r="F68" s="134">
        <v>10</v>
      </c>
      <c r="G68" s="134">
        <v>200</v>
      </c>
      <c r="H68" s="109"/>
      <c r="I68" s="109">
        <f t="shared" si="3"/>
        <v>400</v>
      </c>
      <c r="J68" s="110"/>
      <c r="K68" s="110">
        <f t="shared" si="0"/>
        <v>400</v>
      </c>
      <c r="L68" s="120">
        <f t="shared" si="1"/>
        <v>20</v>
      </c>
      <c r="M68" s="113"/>
    </row>
    <row r="69" spans="1:13" s="114" customFormat="1" x14ac:dyDescent="0.2">
      <c r="A69" s="106" t="s">
        <v>5837</v>
      </c>
      <c r="B69" s="105" t="s">
        <v>1689</v>
      </c>
      <c r="C69" s="105" t="s">
        <v>5847</v>
      </c>
      <c r="D69" s="107" t="s">
        <v>1702</v>
      </c>
      <c r="E69" s="105">
        <v>2</v>
      </c>
      <c r="F69" s="134">
        <v>10</v>
      </c>
      <c r="G69" s="134">
        <v>200</v>
      </c>
      <c r="H69" s="109"/>
      <c r="I69" s="109">
        <f t="shared" si="3"/>
        <v>400</v>
      </c>
      <c r="J69" s="110"/>
      <c r="K69" s="110">
        <f t="shared" si="0"/>
        <v>400</v>
      </c>
      <c r="L69" s="120">
        <f t="shared" si="1"/>
        <v>20</v>
      </c>
      <c r="M69" s="113"/>
    </row>
    <row r="70" spans="1:13" s="114" customFormat="1" x14ac:dyDescent="0.2">
      <c r="A70" s="106" t="s">
        <v>5837</v>
      </c>
      <c r="B70" s="105" t="s">
        <v>1689</v>
      </c>
      <c r="C70" s="105" t="s">
        <v>5848</v>
      </c>
      <c r="D70" s="107" t="s">
        <v>1702</v>
      </c>
      <c r="E70" s="105">
        <v>1</v>
      </c>
      <c r="F70" s="134">
        <v>10</v>
      </c>
      <c r="G70" s="134">
        <v>200</v>
      </c>
      <c r="H70" s="109"/>
      <c r="I70" s="109">
        <f t="shared" si="3"/>
        <v>200</v>
      </c>
      <c r="J70" s="110"/>
      <c r="K70" s="110">
        <f t="shared" si="0"/>
        <v>200</v>
      </c>
      <c r="L70" s="120">
        <f t="shared" si="1"/>
        <v>10</v>
      </c>
      <c r="M70" s="113"/>
    </row>
    <row r="71" spans="1:13" s="114" customFormat="1" x14ac:dyDescent="0.2">
      <c r="A71" s="106" t="s">
        <v>5837</v>
      </c>
      <c r="B71" s="105" t="s">
        <v>1689</v>
      </c>
      <c r="C71" s="105" t="s">
        <v>5849</v>
      </c>
      <c r="D71" s="107" t="s">
        <v>1702</v>
      </c>
      <c r="E71" s="105">
        <v>1</v>
      </c>
      <c r="F71" s="134">
        <v>10</v>
      </c>
      <c r="G71" s="134">
        <v>200</v>
      </c>
      <c r="H71" s="109"/>
      <c r="I71" s="109">
        <f t="shared" si="3"/>
        <v>200</v>
      </c>
      <c r="J71" s="110"/>
      <c r="K71" s="110">
        <f t="shared" ref="K71:K167" si="4">H71+I71-J71</f>
        <v>200</v>
      </c>
      <c r="L71" s="120">
        <f t="shared" si="1"/>
        <v>10</v>
      </c>
      <c r="M71" s="113"/>
    </row>
    <row r="72" spans="1:13" s="114" customFormat="1" x14ac:dyDescent="0.2">
      <c r="A72" s="106" t="s">
        <v>5837</v>
      </c>
      <c r="B72" s="105" t="s">
        <v>1689</v>
      </c>
      <c r="C72" s="105" t="s">
        <v>5850</v>
      </c>
      <c r="D72" s="107" t="s">
        <v>1702</v>
      </c>
      <c r="E72" s="105">
        <v>1</v>
      </c>
      <c r="F72" s="134">
        <v>10</v>
      </c>
      <c r="G72" s="134">
        <v>200</v>
      </c>
      <c r="H72" s="109"/>
      <c r="I72" s="109">
        <f t="shared" si="3"/>
        <v>200</v>
      </c>
      <c r="J72" s="110"/>
      <c r="K72" s="110">
        <f t="shared" si="4"/>
        <v>200</v>
      </c>
      <c r="L72" s="120">
        <f t="shared" ref="L72:L167" si="5">E72*F72</f>
        <v>10</v>
      </c>
      <c r="M72" s="113"/>
    </row>
    <row r="73" spans="1:13" s="114" customFormat="1" x14ac:dyDescent="0.2">
      <c r="A73" s="106" t="s">
        <v>5838</v>
      </c>
      <c r="B73" s="105" t="s">
        <v>1458</v>
      </c>
      <c r="C73" s="105" t="s">
        <v>5851</v>
      </c>
      <c r="D73" s="107" t="s">
        <v>22</v>
      </c>
      <c r="E73" s="105">
        <v>5</v>
      </c>
      <c r="F73" s="134">
        <v>126</v>
      </c>
      <c r="G73" s="134">
        <v>201</v>
      </c>
      <c r="H73" s="109"/>
      <c r="I73" s="109">
        <f t="shared" si="3"/>
        <v>1005</v>
      </c>
      <c r="J73" s="110"/>
      <c r="K73" s="110">
        <f t="shared" si="4"/>
        <v>1005</v>
      </c>
      <c r="L73" s="120">
        <f t="shared" si="5"/>
        <v>630</v>
      </c>
      <c r="M73" s="113"/>
    </row>
    <row r="74" spans="1:13" s="114" customFormat="1" x14ac:dyDescent="0.2">
      <c r="A74" s="106" t="s">
        <v>5838</v>
      </c>
      <c r="B74" s="105" t="s">
        <v>5841</v>
      </c>
      <c r="C74" s="105" t="s">
        <v>5851</v>
      </c>
      <c r="D74" s="107" t="s">
        <v>5859</v>
      </c>
      <c r="E74" s="105">
        <v>2</v>
      </c>
      <c r="F74" s="134">
        <v>81</v>
      </c>
      <c r="G74" s="134">
        <v>157</v>
      </c>
      <c r="H74" s="109"/>
      <c r="I74" s="109">
        <f t="shared" si="3"/>
        <v>314</v>
      </c>
      <c r="J74" s="110"/>
      <c r="K74" s="110">
        <f t="shared" si="4"/>
        <v>314</v>
      </c>
      <c r="L74" s="120">
        <f t="shared" si="5"/>
        <v>162</v>
      </c>
      <c r="M74" s="113"/>
    </row>
    <row r="75" spans="1:13" s="114" customFormat="1" x14ac:dyDescent="0.2">
      <c r="A75" s="106" t="s">
        <v>5838</v>
      </c>
      <c r="B75" s="105" t="s">
        <v>1453</v>
      </c>
      <c r="C75" s="105" t="s">
        <v>5852</v>
      </c>
      <c r="D75" s="107" t="s">
        <v>26</v>
      </c>
      <c r="E75" s="105">
        <v>4</v>
      </c>
      <c r="F75" s="134">
        <v>167.8</v>
      </c>
      <c r="G75" s="134">
        <v>360</v>
      </c>
      <c r="H75" s="109"/>
      <c r="I75" s="109">
        <f t="shared" si="3"/>
        <v>1440</v>
      </c>
      <c r="J75" s="110"/>
      <c r="K75" s="110">
        <f t="shared" si="4"/>
        <v>1440</v>
      </c>
      <c r="L75" s="120">
        <f t="shared" si="5"/>
        <v>671.2</v>
      </c>
      <c r="M75" s="113"/>
    </row>
    <row r="76" spans="1:13" s="114" customFormat="1" x14ac:dyDescent="0.2">
      <c r="A76" s="106" t="s">
        <v>5838</v>
      </c>
      <c r="B76" s="105" t="s">
        <v>1455</v>
      </c>
      <c r="C76" s="105" t="s">
        <v>5852</v>
      </c>
      <c r="D76" s="107" t="s">
        <v>25</v>
      </c>
      <c r="E76" s="105">
        <v>8</v>
      </c>
      <c r="F76" s="134">
        <v>115.85</v>
      </c>
      <c r="G76" s="134">
        <v>280</v>
      </c>
      <c r="H76" s="109"/>
      <c r="I76" s="109">
        <f t="shared" si="3"/>
        <v>2240</v>
      </c>
      <c r="J76" s="110"/>
      <c r="K76" s="110">
        <f t="shared" si="4"/>
        <v>2240</v>
      </c>
      <c r="L76" s="120">
        <f t="shared" si="5"/>
        <v>926.8</v>
      </c>
      <c r="M76" s="113"/>
    </row>
    <row r="77" spans="1:13" s="114" customFormat="1" x14ac:dyDescent="0.2">
      <c r="A77" s="106" t="s">
        <v>5839</v>
      </c>
      <c r="B77" s="105" t="s">
        <v>5099</v>
      </c>
      <c r="C77" s="105" t="s">
        <v>5853</v>
      </c>
      <c r="D77" s="107" t="s">
        <v>5109</v>
      </c>
      <c r="E77" s="105">
        <v>1</v>
      </c>
      <c r="F77" s="134">
        <v>500</v>
      </c>
      <c r="G77" s="134">
        <v>650</v>
      </c>
      <c r="H77" s="109"/>
      <c r="I77" s="109">
        <f t="shared" si="3"/>
        <v>650</v>
      </c>
      <c r="J77" s="110"/>
      <c r="K77" s="110">
        <f t="shared" si="4"/>
        <v>650</v>
      </c>
      <c r="L77" s="120">
        <f t="shared" si="5"/>
        <v>500</v>
      </c>
      <c r="M77" s="113"/>
    </row>
    <row r="78" spans="1:13" s="114" customFormat="1" x14ac:dyDescent="0.2">
      <c r="A78" s="106" t="s">
        <v>5839</v>
      </c>
      <c r="B78" s="105" t="s">
        <v>5214</v>
      </c>
      <c r="C78" s="105" t="s">
        <v>5853</v>
      </c>
      <c r="D78" s="107" t="s">
        <v>5206</v>
      </c>
      <c r="E78" s="105">
        <v>1</v>
      </c>
      <c r="F78" s="134">
        <v>375</v>
      </c>
      <c r="G78" s="134">
        <v>488</v>
      </c>
      <c r="H78" s="109"/>
      <c r="I78" s="109">
        <f t="shared" si="3"/>
        <v>488</v>
      </c>
      <c r="J78" s="110"/>
      <c r="K78" s="110">
        <f t="shared" si="4"/>
        <v>488</v>
      </c>
      <c r="L78" s="120">
        <f t="shared" si="5"/>
        <v>375</v>
      </c>
      <c r="M78" s="113"/>
    </row>
    <row r="79" spans="1:13" s="114" customFormat="1" x14ac:dyDescent="0.2">
      <c r="A79" s="106" t="s">
        <v>5839</v>
      </c>
      <c r="B79" s="105" t="s">
        <v>1590</v>
      </c>
      <c r="C79" s="105" t="s">
        <v>5853</v>
      </c>
      <c r="D79" s="107" t="s">
        <v>1362</v>
      </c>
      <c r="E79" s="105">
        <v>2</v>
      </c>
      <c r="F79" s="134">
        <v>20</v>
      </c>
      <c r="G79" s="134">
        <v>23</v>
      </c>
      <c r="H79" s="109"/>
      <c r="I79" s="109">
        <f t="shared" si="3"/>
        <v>46</v>
      </c>
      <c r="J79" s="110"/>
      <c r="K79" s="110">
        <f t="shared" si="4"/>
        <v>46</v>
      </c>
      <c r="L79" s="120">
        <f t="shared" si="5"/>
        <v>40</v>
      </c>
      <c r="M79" s="113"/>
    </row>
    <row r="80" spans="1:13" s="114" customFormat="1" x14ac:dyDescent="0.2">
      <c r="A80" s="106" t="s">
        <v>5839</v>
      </c>
      <c r="B80" s="105" t="s">
        <v>1585</v>
      </c>
      <c r="C80" s="105" t="s">
        <v>5854</v>
      </c>
      <c r="D80" s="107" t="s">
        <v>1254</v>
      </c>
      <c r="E80" s="105">
        <v>2</v>
      </c>
      <c r="F80" s="134">
        <v>75</v>
      </c>
      <c r="G80" s="134">
        <v>97.5</v>
      </c>
      <c r="H80" s="109"/>
      <c r="I80" s="109">
        <f t="shared" si="3"/>
        <v>195</v>
      </c>
      <c r="J80" s="110"/>
      <c r="K80" s="110">
        <f t="shared" si="4"/>
        <v>195</v>
      </c>
      <c r="L80" s="120">
        <f t="shared" si="5"/>
        <v>150</v>
      </c>
      <c r="M80" s="113"/>
    </row>
    <row r="81" spans="1:13" s="114" customFormat="1" x14ac:dyDescent="0.2">
      <c r="A81" s="106" t="s">
        <v>5839</v>
      </c>
      <c r="B81" s="105" t="s">
        <v>1553</v>
      </c>
      <c r="C81" s="105" t="s">
        <v>5854</v>
      </c>
      <c r="D81" s="107" t="s">
        <v>1263</v>
      </c>
      <c r="E81" s="105">
        <v>3</v>
      </c>
      <c r="F81" s="134">
        <v>24</v>
      </c>
      <c r="G81" s="134">
        <v>31.25</v>
      </c>
      <c r="H81" s="109"/>
      <c r="I81" s="109">
        <f t="shared" si="3"/>
        <v>93.75</v>
      </c>
      <c r="J81" s="110"/>
      <c r="K81" s="110">
        <f t="shared" si="4"/>
        <v>93.75</v>
      </c>
      <c r="L81" s="120">
        <f t="shared" si="5"/>
        <v>72</v>
      </c>
      <c r="M81" s="113"/>
    </row>
    <row r="82" spans="1:13" s="114" customFormat="1" x14ac:dyDescent="0.2">
      <c r="A82" s="106" t="s">
        <v>5839</v>
      </c>
      <c r="B82" s="105" t="s">
        <v>1518</v>
      </c>
      <c r="C82" s="105" t="s">
        <v>5854</v>
      </c>
      <c r="D82" s="107" t="s">
        <v>1262</v>
      </c>
      <c r="E82" s="105">
        <v>3</v>
      </c>
      <c r="F82" s="134">
        <v>12</v>
      </c>
      <c r="G82" s="134">
        <v>15.75</v>
      </c>
      <c r="H82" s="109"/>
      <c r="I82" s="109">
        <f t="shared" si="3"/>
        <v>47.25</v>
      </c>
      <c r="J82" s="110"/>
      <c r="K82" s="110">
        <f t="shared" si="4"/>
        <v>47.25</v>
      </c>
      <c r="L82" s="120">
        <f t="shared" si="5"/>
        <v>36</v>
      </c>
      <c r="M82" s="113"/>
    </row>
    <row r="83" spans="1:13" s="114" customFormat="1" x14ac:dyDescent="0.2">
      <c r="A83" s="106" t="s">
        <v>5839</v>
      </c>
      <c r="B83" s="105" t="s">
        <v>1458</v>
      </c>
      <c r="C83" s="105" t="s">
        <v>5854</v>
      </c>
      <c r="D83" s="107" t="s">
        <v>22</v>
      </c>
      <c r="E83" s="105">
        <v>15</v>
      </c>
      <c r="F83" s="134">
        <v>126</v>
      </c>
      <c r="G83" s="134">
        <v>201</v>
      </c>
      <c r="H83" s="109"/>
      <c r="I83" s="109">
        <f t="shared" si="3"/>
        <v>3015</v>
      </c>
      <c r="J83" s="110"/>
      <c r="K83" s="110">
        <f t="shared" si="4"/>
        <v>3015</v>
      </c>
      <c r="L83" s="120">
        <f t="shared" si="5"/>
        <v>1890</v>
      </c>
      <c r="M83" s="113"/>
    </row>
    <row r="84" spans="1:13" s="114" customFormat="1" x14ac:dyDescent="0.2">
      <c r="A84" s="106" t="s">
        <v>5839</v>
      </c>
      <c r="B84" s="105" t="s">
        <v>1670</v>
      </c>
      <c r="C84" s="105" t="s">
        <v>5854</v>
      </c>
      <c r="D84" s="107" t="s">
        <v>1253</v>
      </c>
      <c r="E84" s="105">
        <v>30</v>
      </c>
      <c r="F84" s="134">
        <v>15</v>
      </c>
      <c r="G84" s="134">
        <v>20</v>
      </c>
      <c r="H84" s="109"/>
      <c r="I84" s="109">
        <f t="shared" si="3"/>
        <v>600</v>
      </c>
      <c r="J84" s="110"/>
      <c r="K84" s="110">
        <f t="shared" si="4"/>
        <v>600</v>
      </c>
      <c r="L84" s="120">
        <f t="shared" si="5"/>
        <v>450</v>
      </c>
      <c r="M84" s="113"/>
    </row>
    <row r="85" spans="1:13" s="114" customFormat="1" x14ac:dyDescent="0.2">
      <c r="A85" s="106" t="s">
        <v>5839</v>
      </c>
      <c r="B85" s="105" t="s">
        <v>1681</v>
      </c>
      <c r="C85" s="105" t="s">
        <v>5855</v>
      </c>
      <c r="D85" s="107" t="s">
        <v>1361</v>
      </c>
      <c r="E85" s="105">
        <v>10</v>
      </c>
      <c r="F85" s="134">
        <v>95</v>
      </c>
      <c r="G85" s="134">
        <v>124</v>
      </c>
      <c r="H85" s="109"/>
      <c r="I85" s="109">
        <f t="shared" si="3"/>
        <v>1240</v>
      </c>
      <c r="J85" s="110"/>
      <c r="K85" s="110">
        <f t="shared" si="4"/>
        <v>1240</v>
      </c>
      <c r="L85" s="120">
        <f t="shared" si="5"/>
        <v>950</v>
      </c>
      <c r="M85" s="113"/>
    </row>
    <row r="86" spans="1:13" s="114" customFormat="1" x14ac:dyDescent="0.2">
      <c r="A86" s="106" t="s">
        <v>5839</v>
      </c>
      <c r="B86" s="105" t="s">
        <v>1525</v>
      </c>
      <c r="C86" s="105" t="s">
        <v>5856</v>
      </c>
      <c r="D86" s="107" t="s">
        <v>5860</v>
      </c>
      <c r="E86" s="105">
        <v>9</v>
      </c>
      <c r="F86" s="134">
        <v>281.67</v>
      </c>
      <c r="G86" s="134">
        <v>320</v>
      </c>
      <c r="H86" s="109"/>
      <c r="I86" s="109">
        <f t="shared" si="3"/>
        <v>2880</v>
      </c>
      <c r="J86" s="110"/>
      <c r="K86" s="110">
        <f t="shared" si="4"/>
        <v>2880</v>
      </c>
      <c r="L86" s="120">
        <f t="shared" si="5"/>
        <v>2535.0300000000002</v>
      </c>
      <c r="M86" s="113"/>
    </row>
    <row r="87" spans="1:13" s="114" customFormat="1" x14ac:dyDescent="0.2">
      <c r="A87" s="106" t="s">
        <v>5839</v>
      </c>
      <c r="B87" s="105" t="s">
        <v>5842</v>
      </c>
      <c r="C87" s="105" t="s">
        <v>5856</v>
      </c>
      <c r="D87" s="107" t="s">
        <v>5861</v>
      </c>
      <c r="E87" s="105">
        <v>2</v>
      </c>
      <c r="F87" s="134">
        <v>280</v>
      </c>
      <c r="G87" s="134">
        <v>320</v>
      </c>
      <c r="H87" s="109"/>
      <c r="I87" s="109">
        <f t="shared" si="3"/>
        <v>640</v>
      </c>
      <c r="J87" s="110"/>
      <c r="K87" s="110">
        <f t="shared" si="4"/>
        <v>640</v>
      </c>
      <c r="L87" s="120">
        <f t="shared" si="5"/>
        <v>560</v>
      </c>
      <c r="M87" s="113"/>
    </row>
    <row r="88" spans="1:13" s="114" customFormat="1" x14ac:dyDescent="0.2">
      <c r="A88" s="106" t="s">
        <v>5839</v>
      </c>
      <c r="B88" s="105" t="s">
        <v>4435</v>
      </c>
      <c r="C88" s="105" t="s">
        <v>5856</v>
      </c>
      <c r="D88" s="107" t="s">
        <v>5862</v>
      </c>
      <c r="E88" s="105">
        <v>1</v>
      </c>
      <c r="F88" s="134">
        <v>185</v>
      </c>
      <c r="G88" s="134">
        <v>200</v>
      </c>
      <c r="H88" s="109"/>
      <c r="I88" s="109">
        <f t="shared" ref="I88:I152" si="6">E88*G88</f>
        <v>200</v>
      </c>
      <c r="J88" s="110"/>
      <c r="K88" s="110">
        <f t="shared" si="4"/>
        <v>200</v>
      </c>
      <c r="L88" s="120">
        <f t="shared" si="5"/>
        <v>185</v>
      </c>
      <c r="M88" s="113"/>
    </row>
    <row r="89" spans="1:13" s="114" customFormat="1" x14ac:dyDescent="0.2">
      <c r="A89" s="106" t="s">
        <v>5839</v>
      </c>
      <c r="B89" s="105" t="s">
        <v>1578</v>
      </c>
      <c r="C89" s="105" t="s">
        <v>5856</v>
      </c>
      <c r="D89" s="107" t="s">
        <v>5863</v>
      </c>
      <c r="E89" s="105">
        <v>1</v>
      </c>
      <c r="F89" s="134">
        <v>100</v>
      </c>
      <c r="G89" s="134">
        <v>120</v>
      </c>
      <c r="H89" s="109"/>
      <c r="I89" s="109">
        <f t="shared" si="6"/>
        <v>120</v>
      </c>
      <c r="J89" s="110"/>
      <c r="K89" s="110">
        <f t="shared" si="4"/>
        <v>120</v>
      </c>
      <c r="L89" s="120">
        <f t="shared" si="5"/>
        <v>100</v>
      </c>
      <c r="M89" s="113"/>
    </row>
    <row r="90" spans="1:13" s="114" customFormat="1" x14ac:dyDescent="0.2">
      <c r="A90" s="106">
        <v>46231</v>
      </c>
      <c r="B90" s="105" t="s">
        <v>1453</v>
      </c>
      <c r="C90" s="105" t="s">
        <v>6103</v>
      </c>
      <c r="D90" s="107" t="s">
        <v>26</v>
      </c>
      <c r="E90" s="105">
        <v>6</v>
      </c>
      <c r="F90" s="134">
        <v>167.8</v>
      </c>
      <c r="G90" s="134">
        <v>360</v>
      </c>
      <c r="H90" s="109">
        <v>2160</v>
      </c>
      <c r="I90" s="109"/>
      <c r="J90" s="110"/>
      <c r="K90" s="110">
        <f t="shared" si="4"/>
        <v>2160</v>
      </c>
      <c r="L90" s="120">
        <f t="shared" si="5"/>
        <v>1006.8000000000001</v>
      </c>
      <c r="M90" s="113"/>
    </row>
    <row r="91" spans="1:13" s="114" customFormat="1" x14ac:dyDescent="0.2">
      <c r="A91" s="106">
        <v>46231</v>
      </c>
      <c r="B91" s="105" t="s">
        <v>1689</v>
      </c>
      <c r="C91" s="105" t="s">
        <v>6104</v>
      </c>
      <c r="D91" s="107" t="s">
        <v>1702</v>
      </c>
      <c r="E91" s="105">
        <v>2</v>
      </c>
      <c r="F91" s="134">
        <v>10</v>
      </c>
      <c r="G91" s="134">
        <v>200</v>
      </c>
      <c r="H91" s="109">
        <v>400</v>
      </c>
      <c r="I91" s="109"/>
      <c r="J91" s="110"/>
      <c r="K91" s="110">
        <f t="shared" si="4"/>
        <v>400</v>
      </c>
      <c r="L91" s="120">
        <f t="shared" si="5"/>
        <v>20</v>
      </c>
      <c r="M91" s="113"/>
    </row>
    <row r="92" spans="1:13" s="114" customFormat="1" x14ac:dyDescent="0.2">
      <c r="A92" s="106">
        <v>46232</v>
      </c>
      <c r="B92" s="105" t="s">
        <v>5840</v>
      </c>
      <c r="C92" s="105" t="s">
        <v>6141</v>
      </c>
      <c r="D92" s="107" t="s">
        <v>5857</v>
      </c>
      <c r="E92" s="105">
        <v>1</v>
      </c>
      <c r="F92" s="134">
        <v>85</v>
      </c>
      <c r="G92" s="134">
        <v>111</v>
      </c>
      <c r="H92" s="109">
        <v>111</v>
      </c>
      <c r="I92" s="109"/>
      <c r="J92" s="110"/>
      <c r="K92" s="110">
        <f t="shared" si="4"/>
        <v>111</v>
      </c>
      <c r="L92" s="120">
        <f t="shared" si="5"/>
        <v>85</v>
      </c>
      <c r="M92" s="113"/>
    </row>
    <row r="93" spans="1:13" s="114" customFormat="1" x14ac:dyDescent="0.2">
      <c r="A93" s="106">
        <v>46232</v>
      </c>
      <c r="B93" s="105" t="s">
        <v>1476</v>
      </c>
      <c r="C93" s="105" t="s">
        <v>6142</v>
      </c>
      <c r="D93" s="107" t="s">
        <v>1478</v>
      </c>
      <c r="E93" s="105">
        <v>1</v>
      </c>
      <c r="F93" s="134">
        <v>130</v>
      </c>
      <c r="G93" s="134">
        <v>169</v>
      </c>
      <c r="H93" s="109">
        <v>169</v>
      </c>
      <c r="I93" s="109"/>
      <c r="J93" s="110"/>
      <c r="K93" s="110">
        <f t="shared" si="4"/>
        <v>169</v>
      </c>
      <c r="L93" s="120">
        <f t="shared" si="5"/>
        <v>130</v>
      </c>
      <c r="M93" s="113"/>
    </row>
    <row r="94" spans="1:13" s="114" customFormat="1" x14ac:dyDescent="0.2">
      <c r="A94" s="106">
        <v>46232</v>
      </c>
      <c r="B94" s="105" t="s">
        <v>1458</v>
      </c>
      <c r="C94" s="105" t="s">
        <v>6142</v>
      </c>
      <c r="D94" s="107" t="s">
        <v>22</v>
      </c>
      <c r="E94" s="105">
        <v>1</v>
      </c>
      <c r="F94" s="134">
        <v>126</v>
      </c>
      <c r="G94" s="134">
        <v>201</v>
      </c>
      <c r="H94" s="109">
        <v>201</v>
      </c>
      <c r="I94" s="109"/>
      <c r="J94" s="110"/>
      <c r="K94" s="110">
        <f t="shared" si="4"/>
        <v>201</v>
      </c>
      <c r="L94" s="120">
        <f t="shared" si="5"/>
        <v>126</v>
      </c>
      <c r="M94" s="113"/>
    </row>
    <row r="95" spans="1:13" s="114" customFormat="1" x14ac:dyDescent="0.2">
      <c r="A95" s="106">
        <v>46233</v>
      </c>
      <c r="B95" s="105" t="s">
        <v>1458</v>
      </c>
      <c r="C95" s="105" t="s">
        <v>6181</v>
      </c>
      <c r="D95" s="107" t="s">
        <v>22</v>
      </c>
      <c r="E95" s="105">
        <v>5</v>
      </c>
      <c r="F95" s="134">
        <v>126</v>
      </c>
      <c r="G95" s="134">
        <v>201</v>
      </c>
      <c r="H95" s="109"/>
      <c r="I95" s="109">
        <f t="shared" si="6"/>
        <v>1005</v>
      </c>
      <c r="J95" s="110"/>
      <c r="K95" s="110">
        <f t="shared" ref="K95:K158" si="7">H95+I95-J95</f>
        <v>1005</v>
      </c>
      <c r="L95" s="120">
        <f t="shared" ref="L95:L158" si="8">E95*F95</f>
        <v>630</v>
      </c>
      <c r="M95" s="113"/>
    </row>
    <row r="96" spans="1:13" s="114" customFormat="1" x14ac:dyDescent="0.2">
      <c r="A96" s="106">
        <v>46233</v>
      </c>
      <c r="B96" s="105" t="s">
        <v>1460</v>
      </c>
      <c r="C96" s="105" t="s">
        <v>6181</v>
      </c>
      <c r="D96" s="107" t="s">
        <v>24</v>
      </c>
      <c r="E96" s="105">
        <v>20</v>
      </c>
      <c r="F96" s="134">
        <v>2.7</v>
      </c>
      <c r="G96" s="134">
        <v>8</v>
      </c>
      <c r="H96" s="109"/>
      <c r="I96" s="109">
        <f t="shared" si="6"/>
        <v>160</v>
      </c>
      <c r="J96" s="110"/>
      <c r="K96" s="110">
        <f t="shared" si="7"/>
        <v>160</v>
      </c>
      <c r="L96" s="120">
        <f t="shared" si="8"/>
        <v>54</v>
      </c>
      <c r="M96" s="113"/>
    </row>
    <row r="97" spans="1:13" s="114" customFormat="1" x14ac:dyDescent="0.2">
      <c r="A97" s="106">
        <v>46233</v>
      </c>
      <c r="B97" s="105" t="s">
        <v>1459</v>
      </c>
      <c r="C97" s="105" t="s">
        <v>6181</v>
      </c>
      <c r="D97" s="107" t="s">
        <v>1259</v>
      </c>
      <c r="E97" s="105">
        <v>1</v>
      </c>
      <c r="F97" s="134">
        <v>40</v>
      </c>
      <c r="G97" s="134">
        <v>52</v>
      </c>
      <c r="H97" s="109"/>
      <c r="I97" s="109">
        <f t="shared" si="6"/>
        <v>52</v>
      </c>
      <c r="J97" s="110"/>
      <c r="K97" s="110">
        <f t="shared" si="7"/>
        <v>52</v>
      </c>
      <c r="L97" s="120">
        <f t="shared" si="8"/>
        <v>40</v>
      </c>
      <c r="M97" s="113"/>
    </row>
    <row r="98" spans="1:13" s="114" customFormat="1" x14ac:dyDescent="0.2">
      <c r="A98" s="106">
        <v>46233</v>
      </c>
      <c r="B98" s="105" t="s">
        <v>1525</v>
      </c>
      <c r="C98" s="105" t="s">
        <v>6182</v>
      </c>
      <c r="D98" s="107" t="s">
        <v>5860</v>
      </c>
      <c r="E98" s="105">
        <v>30</v>
      </c>
      <c r="F98" s="134">
        <v>134.5</v>
      </c>
      <c r="G98" s="134">
        <v>150</v>
      </c>
      <c r="H98" s="109"/>
      <c r="I98" s="109">
        <f t="shared" si="6"/>
        <v>4500</v>
      </c>
      <c r="J98" s="110"/>
      <c r="K98" s="110">
        <f t="shared" si="7"/>
        <v>4500</v>
      </c>
      <c r="L98" s="120">
        <f t="shared" si="8"/>
        <v>4035</v>
      </c>
      <c r="M98" s="113"/>
    </row>
    <row r="99" spans="1:13" s="114" customFormat="1" x14ac:dyDescent="0.2">
      <c r="A99" s="106">
        <v>46233</v>
      </c>
      <c r="B99" s="105" t="s">
        <v>1455</v>
      </c>
      <c r="C99" s="105" t="s">
        <v>6183</v>
      </c>
      <c r="D99" s="107" t="s">
        <v>25</v>
      </c>
      <c r="E99" s="105">
        <v>6</v>
      </c>
      <c r="F99" s="134">
        <v>115.85</v>
      </c>
      <c r="G99" s="134">
        <v>280</v>
      </c>
      <c r="H99" s="109"/>
      <c r="I99" s="109">
        <f t="shared" si="6"/>
        <v>1680</v>
      </c>
      <c r="J99" s="110"/>
      <c r="K99" s="110">
        <f t="shared" si="7"/>
        <v>1680</v>
      </c>
      <c r="L99" s="120">
        <f t="shared" si="8"/>
        <v>695.09999999999991</v>
      </c>
      <c r="M99" s="113"/>
    </row>
    <row r="100" spans="1:13" s="114" customFormat="1" x14ac:dyDescent="0.2">
      <c r="A100" s="106">
        <v>46233</v>
      </c>
      <c r="B100" s="105" t="s">
        <v>1456</v>
      </c>
      <c r="C100" s="105" t="s">
        <v>6184</v>
      </c>
      <c r="D100" s="107" t="s">
        <v>21</v>
      </c>
      <c r="E100" s="105">
        <v>6</v>
      </c>
      <c r="F100" s="134">
        <v>148.9</v>
      </c>
      <c r="G100" s="134">
        <v>237</v>
      </c>
      <c r="H100" s="109"/>
      <c r="I100" s="109">
        <f t="shared" si="6"/>
        <v>1422</v>
      </c>
      <c r="J100" s="110"/>
      <c r="K100" s="110">
        <f t="shared" si="7"/>
        <v>1422</v>
      </c>
      <c r="L100" s="120">
        <f t="shared" si="8"/>
        <v>893.40000000000009</v>
      </c>
      <c r="M100" s="113"/>
    </row>
    <row r="101" spans="1:13" s="114" customFormat="1" x14ac:dyDescent="0.2">
      <c r="A101" s="106">
        <v>46233</v>
      </c>
      <c r="B101" s="105" t="s">
        <v>1458</v>
      </c>
      <c r="C101" s="105" t="s">
        <v>6184</v>
      </c>
      <c r="D101" s="107" t="s">
        <v>22</v>
      </c>
      <c r="E101" s="105">
        <v>10</v>
      </c>
      <c r="F101" s="134">
        <v>126</v>
      </c>
      <c r="G101" s="134">
        <v>201</v>
      </c>
      <c r="H101" s="109"/>
      <c r="I101" s="109">
        <f t="shared" si="6"/>
        <v>2010</v>
      </c>
      <c r="J101" s="110"/>
      <c r="K101" s="110">
        <f t="shared" si="7"/>
        <v>2010</v>
      </c>
      <c r="L101" s="120">
        <f t="shared" si="8"/>
        <v>1260</v>
      </c>
      <c r="M101" s="113"/>
    </row>
    <row r="102" spans="1:13" s="114" customFormat="1" x14ac:dyDescent="0.2">
      <c r="A102" s="106">
        <v>46233</v>
      </c>
      <c r="B102" s="105" t="s">
        <v>5841</v>
      </c>
      <c r="C102" s="105" t="s">
        <v>6184</v>
      </c>
      <c r="D102" s="107" t="s">
        <v>5859</v>
      </c>
      <c r="E102" s="105">
        <v>2</v>
      </c>
      <c r="F102" s="134">
        <v>81</v>
      </c>
      <c r="G102" s="134">
        <v>157</v>
      </c>
      <c r="H102" s="109"/>
      <c r="I102" s="109">
        <f t="shared" si="6"/>
        <v>314</v>
      </c>
      <c r="J102" s="110"/>
      <c r="K102" s="110">
        <f t="shared" si="7"/>
        <v>314</v>
      </c>
      <c r="L102" s="120">
        <f t="shared" si="8"/>
        <v>162</v>
      </c>
      <c r="M102" s="113"/>
    </row>
    <row r="103" spans="1:13" s="114" customFormat="1" x14ac:dyDescent="0.2">
      <c r="A103" s="106">
        <v>46233</v>
      </c>
      <c r="B103" s="105" t="s">
        <v>1495</v>
      </c>
      <c r="C103" s="105" t="s">
        <v>6184</v>
      </c>
      <c r="D103" s="107" t="s">
        <v>1248</v>
      </c>
      <c r="E103" s="105">
        <v>20</v>
      </c>
      <c r="F103" s="134">
        <v>2</v>
      </c>
      <c r="G103" s="134">
        <v>6</v>
      </c>
      <c r="H103" s="109"/>
      <c r="I103" s="109">
        <f t="shared" si="6"/>
        <v>120</v>
      </c>
      <c r="J103" s="110"/>
      <c r="K103" s="110">
        <f t="shared" si="7"/>
        <v>120</v>
      </c>
      <c r="L103" s="120">
        <f t="shared" si="8"/>
        <v>40</v>
      </c>
      <c r="M103" s="113"/>
    </row>
    <row r="104" spans="1:13" s="114" customFormat="1" x14ac:dyDescent="0.2">
      <c r="A104" s="106">
        <v>46233</v>
      </c>
      <c r="B104" s="105" t="s">
        <v>1461</v>
      </c>
      <c r="C104" s="105" t="s">
        <v>6184</v>
      </c>
      <c r="D104" s="107" t="s">
        <v>1399</v>
      </c>
      <c r="E104" s="105">
        <v>20</v>
      </c>
      <c r="F104" s="134">
        <v>3.1</v>
      </c>
      <c r="G104" s="134">
        <v>5</v>
      </c>
      <c r="H104" s="109"/>
      <c r="I104" s="109">
        <f t="shared" si="6"/>
        <v>100</v>
      </c>
      <c r="J104" s="110"/>
      <c r="K104" s="110">
        <f t="shared" si="7"/>
        <v>100</v>
      </c>
      <c r="L104" s="120">
        <f t="shared" si="8"/>
        <v>62</v>
      </c>
      <c r="M104" s="113"/>
    </row>
    <row r="105" spans="1:13" s="114" customFormat="1" x14ac:dyDescent="0.2">
      <c r="A105" s="106">
        <v>46233</v>
      </c>
      <c r="B105" s="105" t="s">
        <v>1459</v>
      </c>
      <c r="C105" s="105" t="s">
        <v>6184</v>
      </c>
      <c r="D105" s="107" t="s">
        <v>1259</v>
      </c>
      <c r="E105" s="105">
        <v>10</v>
      </c>
      <c r="F105" s="134">
        <v>40</v>
      </c>
      <c r="G105" s="134">
        <v>52</v>
      </c>
      <c r="H105" s="109"/>
      <c r="I105" s="109">
        <f t="shared" si="6"/>
        <v>520</v>
      </c>
      <c r="J105" s="110"/>
      <c r="K105" s="110">
        <f t="shared" si="7"/>
        <v>520</v>
      </c>
      <c r="L105" s="120">
        <f t="shared" si="8"/>
        <v>400</v>
      </c>
      <c r="M105" s="113"/>
    </row>
    <row r="106" spans="1:13" s="114" customFormat="1" x14ac:dyDescent="0.2">
      <c r="A106" s="106">
        <v>46233</v>
      </c>
      <c r="B106" s="105" t="s">
        <v>1553</v>
      </c>
      <c r="C106" s="105" t="s">
        <v>6184</v>
      </c>
      <c r="D106" s="107" t="s">
        <v>1263</v>
      </c>
      <c r="E106" s="105">
        <v>10</v>
      </c>
      <c r="F106" s="134">
        <v>24</v>
      </c>
      <c r="G106" s="134">
        <v>31.25</v>
      </c>
      <c r="H106" s="109"/>
      <c r="I106" s="109">
        <f t="shared" si="6"/>
        <v>312.5</v>
      </c>
      <c r="J106" s="110"/>
      <c r="K106" s="110">
        <f t="shared" si="7"/>
        <v>312.5</v>
      </c>
      <c r="L106" s="120">
        <f t="shared" si="8"/>
        <v>240</v>
      </c>
      <c r="M106" s="113"/>
    </row>
    <row r="107" spans="1:13" s="114" customFormat="1" x14ac:dyDescent="0.2">
      <c r="A107" s="106">
        <v>46233</v>
      </c>
      <c r="B107" s="105" t="s">
        <v>1585</v>
      </c>
      <c r="C107" s="105" t="s">
        <v>6184</v>
      </c>
      <c r="D107" s="107" t="s">
        <v>1254</v>
      </c>
      <c r="E107" s="105">
        <v>10</v>
      </c>
      <c r="F107" s="134">
        <v>75</v>
      </c>
      <c r="G107" s="134">
        <v>97.5</v>
      </c>
      <c r="H107" s="109"/>
      <c r="I107" s="109">
        <f t="shared" si="6"/>
        <v>975</v>
      </c>
      <c r="J107" s="110"/>
      <c r="K107" s="110">
        <f t="shared" si="7"/>
        <v>975</v>
      </c>
      <c r="L107" s="120">
        <f t="shared" si="8"/>
        <v>750</v>
      </c>
      <c r="M107" s="113"/>
    </row>
    <row r="108" spans="1:13" s="114" customFormat="1" x14ac:dyDescent="0.2">
      <c r="A108" s="106">
        <v>46233</v>
      </c>
      <c r="B108" s="105" t="s">
        <v>1458</v>
      </c>
      <c r="C108" s="105" t="s">
        <v>6185</v>
      </c>
      <c r="D108" s="107" t="s">
        <v>22</v>
      </c>
      <c r="E108" s="105">
        <v>10</v>
      </c>
      <c r="F108" s="134">
        <v>126</v>
      </c>
      <c r="G108" s="134">
        <v>201</v>
      </c>
      <c r="H108" s="109"/>
      <c r="I108" s="109">
        <f t="shared" si="6"/>
        <v>2010</v>
      </c>
      <c r="J108" s="110"/>
      <c r="K108" s="110">
        <f t="shared" si="7"/>
        <v>2010</v>
      </c>
      <c r="L108" s="120">
        <f t="shared" si="8"/>
        <v>1260</v>
      </c>
      <c r="M108" s="113"/>
    </row>
    <row r="109" spans="1:13" s="114" customFormat="1" x14ac:dyDescent="0.2">
      <c r="A109" s="106">
        <v>46233</v>
      </c>
      <c r="B109" s="105" t="s">
        <v>1456</v>
      </c>
      <c r="C109" s="105" t="s">
        <v>6185</v>
      </c>
      <c r="D109" s="107" t="s">
        <v>21</v>
      </c>
      <c r="E109" s="105">
        <v>10</v>
      </c>
      <c r="F109" s="134">
        <v>148.9</v>
      </c>
      <c r="G109" s="134">
        <v>237</v>
      </c>
      <c r="H109" s="109"/>
      <c r="I109" s="109">
        <f t="shared" si="6"/>
        <v>2370</v>
      </c>
      <c r="J109" s="110"/>
      <c r="K109" s="110">
        <f t="shared" si="7"/>
        <v>2370</v>
      </c>
      <c r="L109" s="120">
        <f t="shared" si="8"/>
        <v>1489</v>
      </c>
      <c r="M109" s="113"/>
    </row>
    <row r="110" spans="1:13" s="114" customFormat="1" x14ac:dyDescent="0.2">
      <c r="A110" s="106">
        <v>46233</v>
      </c>
      <c r="B110" s="105" t="s">
        <v>1475</v>
      </c>
      <c r="C110" s="105" t="s">
        <v>6185</v>
      </c>
      <c r="D110" s="107" t="s">
        <v>20</v>
      </c>
      <c r="E110" s="105">
        <v>5</v>
      </c>
      <c r="F110" s="134">
        <v>84</v>
      </c>
      <c r="G110" s="134">
        <v>157</v>
      </c>
      <c r="H110" s="109"/>
      <c r="I110" s="109">
        <f t="shared" si="6"/>
        <v>785</v>
      </c>
      <c r="J110" s="110"/>
      <c r="K110" s="110">
        <f t="shared" si="7"/>
        <v>785</v>
      </c>
      <c r="L110" s="120">
        <f t="shared" si="8"/>
        <v>420</v>
      </c>
      <c r="M110" s="113"/>
    </row>
    <row r="111" spans="1:13" s="114" customFormat="1" x14ac:dyDescent="0.2">
      <c r="A111" s="106">
        <v>46233</v>
      </c>
      <c r="B111" s="105" t="s">
        <v>1474</v>
      </c>
      <c r="C111" s="105" t="s">
        <v>6185</v>
      </c>
      <c r="D111" s="107" t="s">
        <v>23</v>
      </c>
      <c r="E111" s="105">
        <v>5</v>
      </c>
      <c r="F111" s="134">
        <v>99.3</v>
      </c>
      <c r="G111" s="134">
        <v>175</v>
      </c>
      <c r="H111" s="109"/>
      <c r="I111" s="109">
        <f t="shared" si="6"/>
        <v>875</v>
      </c>
      <c r="J111" s="110"/>
      <c r="K111" s="110">
        <f t="shared" si="7"/>
        <v>875</v>
      </c>
      <c r="L111" s="120">
        <f t="shared" si="8"/>
        <v>496.5</v>
      </c>
      <c r="M111" s="113"/>
    </row>
    <row r="112" spans="1:13" s="114" customFormat="1" x14ac:dyDescent="0.2">
      <c r="A112" s="106">
        <v>46233</v>
      </c>
      <c r="B112" s="105" t="s">
        <v>1681</v>
      </c>
      <c r="C112" s="105" t="s">
        <v>6186</v>
      </c>
      <c r="D112" s="107" t="s">
        <v>1361</v>
      </c>
      <c r="E112" s="105">
        <v>2</v>
      </c>
      <c r="F112" s="134">
        <v>95</v>
      </c>
      <c r="G112" s="134">
        <v>124</v>
      </c>
      <c r="H112" s="109"/>
      <c r="I112" s="109">
        <f t="shared" si="6"/>
        <v>248</v>
      </c>
      <c r="J112" s="110"/>
      <c r="K112" s="110">
        <f t="shared" si="7"/>
        <v>248</v>
      </c>
      <c r="L112" s="120">
        <f t="shared" si="8"/>
        <v>190</v>
      </c>
      <c r="M112" s="113"/>
    </row>
    <row r="113" spans="1:13" s="114" customFormat="1" x14ac:dyDescent="0.2">
      <c r="A113" s="106">
        <v>46233</v>
      </c>
      <c r="B113" s="105" t="s">
        <v>1638</v>
      </c>
      <c r="C113" s="105" t="s">
        <v>6186</v>
      </c>
      <c r="D113" s="107" t="s">
        <v>1640</v>
      </c>
      <c r="E113" s="105">
        <v>3</v>
      </c>
      <c r="F113" s="134">
        <v>52</v>
      </c>
      <c r="G113" s="134">
        <v>68</v>
      </c>
      <c r="H113" s="109"/>
      <c r="I113" s="109">
        <f t="shared" si="6"/>
        <v>204</v>
      </c>
      <c r="J113" s="110"/>
      <c r="K113" s="110">
        <f t="shared" si="7"/>
        <v>204</v>
      </c>
      <c r="L113" s="120">
        <f t="shared" si="8"/>
        <v>156</v>
      </c>
      <c r="M113" s="113"/>
    </row>
    <row r="114" spans="1:13" s="114" customFormat="1" x14ac:dyDescent="0.2">
      <c r="A114" s="106">
        <v>46233</v>
      </c>
      <c r="B114" s="105" t="s">
        <v>1510</v>
      </c>
      <c r="C114" s="105" t="s">
        <v>6186</v>
      </c>
      <c r="D114" s="107" t="s">
        <v>1511</v>
      </c>
      <c r="E114" s="105">
        <v>3</v>
      </c>
      <c r="F114" s="134">
        <v>6</v>
      </c>
      <c r="G114" s="134">
        <v>8</v>
      </c>
      <c r="H114" s="109"/>
      <c r="I114" s="109">
        <f t="shared" si="6"/>
        <v>24</v>
      </c>
      <c r="J114" s="110"/>
      <c r="K114" s="110">
        <f t="shared" si="7"/>
        <v>24</v>
      </c>
      <c r="L114" s="120">
        <f t="shared" si="8"/>
        <v>18</v>
      </c>
      <c r="M114" s="113"/>
    </row>
    <row r="115" spans="1:13" s="114" customFormat="1" x14ac:dyDescent="0.2">
      <c r="A115" s="106">
        <v>46233</v>
      </c>
      <c r="B115" s="105" t="s">
        <v>1456</v>
      </c>
      <c r="C115" s="105" t="s">
        <v>6186</v>
      </c>
      <c r="D115" s="107" t="s">
        <v>21</v>
      </c>
      <c r="E115" s="105">
        <v>10</v>
      </c>
      <c r="F115" s="134">
        <v>148.9</v>
      </c>
      <c r="G115" s="134">
        <v>237</v>
      </c>
      <c r="H115" s="109"/>
      <c r="I115" s="109">
        <f t="shared" si="6"/>
        <v>2370</v>
      </c>
      <c r="J115" s="110"/>
      <c r="K115" s="110">
        <f t="shared" si="7"/>
        <v>2370</v>
      </c>
      <c r="L115" s="120">
        <f t="shared" si="8"/>
        <v>1489</v>
      </c>
      <c r="M115" s="113"/>
    </row>
    <row r="116" spans="1:13" s="114" customFormat="1" x14ac:dyDescent="0.2">
      <c r="A116" s="106">
        <v>46233</v>
      </c>
      <c r="B116" s="105" t="s">
        <v>1458</v>
      </c>
      <c r="C116" s="105" t="s">
        <v>6186</v>
      </c>
      <c r="D116" s="107" t="s">
        <v>22</v>
      </c>
      <c r="E116" s="105">
        <v>10</v>
      </c>
      <c r="F116" s="134">
        <v>126</v>
      </c>
      <c r="G116" s="134">
        <v>201</v>
      </c>
      <c r="H116" s="109"/>
      <c r="I116" s="109">
        <f t="shared" si="6"/>
        <v>2010</v>
      </c>
      <c r="J116" s="110"/>
      <c r="K116" s="110">
        <f t="shared" si="7"/>
        <v>2010</v>
      </c>
      <c r="L116" s="120">
        <f t="shared" si="8"/>
        <v>1260</v>
      </c>
      <c r="M116" s="113"/>
    </row>
    <row r="117" spans="1:13" s="114" customFormat="1" x14ac:dyDescent="0.2">
      <c r="A117" s="106">
        <v>46233</v>
      </c>
      <c r="B117" s="105" t="s">
        <v>6176</v>
      </c>
      <c r="C117" s="105" t="s">
        <v>6186</v>
      </c>
      <c r="D117" s="107" t="s">
        <v>6199</v>
      </c>
      <c r="E117" s="105">
        <v>100</v>
      </c>
      <c r="F117" s="134">
        <v>14</v>
      </c>
      <c r="G117" s="134">
        <v>18.5</v>
      </c>
      <c r="H117" s="109"/>
      <c r="I117" s="109">
        <f t="shared" si="6"/>
        <v>1850</v>
      </c>
      <c r="J117" s="110"/>
      <c r="K117" s="110">
        <f t="shared" si="7"/>
        <v>1850</v>
      </c>
      <c r="L117" s="120">
        <f t="shared" si="8"/>
        <v>1400</v>
      </c>
      <c r="M117" s="113"/>
    </row>
    <row r="118" spans="1:13" s="114" customFormat="1" x14ac:dyDescent="0.2">
      <c r="A118" s="106">
        <v>46233</v>
      </c>
      <c r="B118" s="105" t="s">
        <v>6177</v>
      </c>
      <c r="C118" s="105" t="s">
        <v>6186</v>
      </c>
      <c r="D118" s="107" t="s">
        <v>6200</v>
      </c>
      <c r="E118" s="105">
        <v>1</v>
      </c>
      <c r="F118" s="134">
        <v>150</v>
      </c>
      <c r="G118" s="134">
        <v>225</v>
      </c>
      <c r="H118" s="109"/>
      <c r="I118" s="109">
        <f t="shared" si="6"/>
        <v>225</v>
      </c>
      <c r="J118" s="110"/>
      <c r="K118" s="110">
        <f t="shared" si="7"/>
        <v>225</v>
      </c>
      <c r="L118" s="120">
        <f t="shared" si="8"/>
        <v>150</v>
      </c>
      <c r="M118" s="113"/>
    </row>
    <row r="119" spans="1:13" s="114" customFormat="1" x14ac:dyDescent="0.2">
      <c r="A119" s="106">
        <v>46233</v>
      </c>
      <c r="B119" s="105" t="s">
        <v>1553</v>
      </c>
      <c r="C119" s="105" t="s">
        <v>6186</v>
      </c>
      <c r="D119" s="107" t="s">
        <v>1263</v>
      </c>
      <c r="E119" s="105">
        <v>10</v>
      </c>
      <c r="F119" s="134">
        <v>24</v>
      </c>
      <c r="G119" s="134">
        <v>31.25</v>
      </c>
      <c r="H119" s="109"/>
      <c r="I119" s="109">
        <f t="shared" si="6"/>
        <v>312.5</v>
      </c>
      <c r="J119" s="110"/>
      <c r="K119" s="110">
        <f t="shared" si="7"/>
        <v>312.5</v>
      </c>
      <c r="L119" s="120">
        <f t="shared" si="8"/>
        <v>240</v>
      </c>
      <c r="M119" s="113"/>
    </row>
    <row r="120" spans="1:13" s="114" customFormat="1" x14ac:dyDescent="0.2">
      <c r="A120" s="106">
        <v>46233</v>
      </c>
      <c r="B120" s="105" t="s">
        <v>6178</v>
      </c>
      <c r="C120" s="105" t="s">
        <v>6186</v>
      </c>
      <c r="D120" s="107" t="s">
        <v>6201</v>
      </c>
      <c r="E120" s="105">
        <v>50</v>
      </c>
      <c r="F120" s="134">
        <v>1.08</v>
      </c>
      <c r="G120" s="134">
        <v>2</v>
      </c>
      <c r="H120" s="109"/>
      <c r="I120" s="109">
        <f t="shared" si="6"/>
        <v>100</v>
      </c>
      <c r="J120" s="110"/>
      <c r="K120" s="110">
        <f t="shared" si="7"/>
        <v>100</v>
      </c>
      <c r="L120" s="120">
        <f t="shared" si="8"/>
        <v>54</v>
      </c>
      <c r="M120" s="113"/>
    </row>
    <row r="121" spans="1:13" s="114" customFormat="1" x14ac:dyDescent="0.2">
      <c r="A121" s="106">
        <v>46233</v>
      </c>
      <c r="B121" s="105" t="s">
        <v>1554</v>
      </c>
      <c r="C121" s="105" t="s">
        <v>6186</v>
      </c>
      <c r="D121" s="107" t="s">
        <v>30</v>
      </c>
      <c r="E121" s="105">
        <v>50</v>
      </c>
      <c r="F121" s="134">
        <v>0.54</v>
      </c>
      <c r="G121" s="134">
        <v>1.5</v>
      </c>
      <c r="H121" s="109"/>
      <c r="I121" s="109">
        <f t="shared" si="6"/>
        <v>75</v>
      </c>
      <c r="J121" s="110"/>
      <c r="K121" s="110">
        <f t="shared" si="7"/>
        <v>75</v>
      </c>
      <c r="L121" s="120">
        <f t="shared" si="8"/>
        <v>27</v>
      </c>
      <c r="M121" s="113"/>
    </row>
    <row r="122" spans="1:13" s="114" customFormat="1" x14ac:dyDescent="0.2">
      <c r="A122" s="106">
        <v>46233</v>
      </c>
      <c r="B122" s="105" t="s">
        <v>1456</v>
      </c>
      <c r="C122" s="105" t="s">
        <v>6187</v>
      </c>
      <c r="D122" s="107" t="s">
        <v>21</v>
      </c>
      <c r="E122" s="105">
        <v>10</v>
      </c>
      <c r="F122" s="134">
        <v>148.9</v>
      </c>
      <c r="G122" s="134">
        <v>237</v>
      </c>
      <c r="H122" s="109"/>
      <c r="I122" s="109">
        <f t="shared" si="6"/>
        <v>2370</v>
      </c>
      <c r="J122" s="110"/>
      <c r="K122" s="110">
        <f t="shared" si="7"/>
        <v>2370</v>
      </c>
      <c r="L122" s="120">
        <f t="shared" si="8"/>
        <v>1489</v>
      </c>
      <c r="M122" s="113"/>
    </row>
    <row r="123" spans="1:13" s="114" customFormat="1" x14ac:dyDescent="0.2">
      <c r="A123" s="106">
        <v>46233</v>
      </c>
      <c r="B123" s="105" t="s">
        <v>1458</v>
      </c>
      <c r="C123" s="105" t="s">
        <v>6187</v>
      </c>
      <c r="D123" s="107" t="s">
        <v>22</v>
      </c>
      <c r="E123" s="105">
        <v>10</v>
      </c>
      <c r="F123" s="134">
        <v>126</v>
      </c>
      <c r="G123" s="134">
        <v>201</v>
      </c>
      <c r="H123" s="109"/>
      <c r="I123" s="109">
        <f t="shared" si="6"/>
        <v>2010</v>
      </c>
      <c r="J123" s="110"/>
      <c r="K123" s="110">
        <f t="shared" si="7"/>
        <v>2010</v>
      </c>
      <c r="L123" s="120">
        <f t="shared" si="8"/>
        <v>1260</v>
      </c>
      <c r="M123" s="113"/>
    </row>
    <row r="124" spans="1:13" s="114" customFormat="1" x14ac:dyDescent="0.2">
      <c r="A124" s="106">
        <v>46233</v>
      </c>
      <c r="B124" s="105" t="s">
        <v>6176</v>
      </c>
      <c r="C124" s="105" t="s">
        <v>6187</v>
      </c>
      <c r="D124" s="107" t="s">
        <v>6199</v>
      </c>
      <c r="E124" s="105">
        <v>100</v>
      </c>
      <c r="F124" s="134">
        <v>14</v>
      </c>
      <c r="G124" s="134">
        <v>18.5</v>
      </c>
      <c r="H124" s="109"/>
      <c r="I124" s="109">
        <f t="shared" si="6"/>
        <v>1850</v>
      </c>
      <c r="J124" s="110"/>
      <c r="K124" s="110">
        <f t="shared" si="7"/>
        <v>1850</v>
      </c>
      <c r="L124" s="120">
        <f t="shared" si="8"/>
        <v>1400</v>
      </c>
      <c r="M124" s="113"/>
    </row>
    <row r="125" spans="1:13" s="114" customFormat="1" x14ac:dyDescent="0.2">
      <c r="A125" s="106">
        <v>46233</v>
      </c>
      <c r="B125" s="105" t="s">
        <v>1518</v>
      </c>
      <c r="C125" s="105" t="s">
        <v>6187</v>
      </c>
      <c r="D125" s="107" t="s">
        <v>1262</v>
      </c>
      <c r="E125" s="105">
        <v>10</v>
      </c>
      <c r="F125" s="134">
        <v>12</v>
      </c>
      <c r="G125" s="134">
        <v>15.75</v>
      </c>
      <c r="H125" s="109"/>
      <c r="I125" s="109">
        <f t="shared" si="6"/>
        <v>157.5</v>
      </c>
      <c r="J125" s="110"/>
      <c r="K125" s="110">
        <f t="shared" si="7"/>
        <v>157.5</v>
      </c>
      <c r="L125" s="120">
        <f t="shared" si="8"/>
        <v>120</v>
      </c>
      <c r="M125" s="113"/>
    </row>
    <row r="126" spans="1:13" s="114" customFormat="1" x14ac:dyDescent="0.2">
      <c r="A126" s="106">
        <v>46233</v>
      </c>
      <c r="B126" s="105" t="s">
        <v>1765</v>
      </c>
      <c r="C126" s="105" t="s">
        <v>6187</v>
      </c>
      <c r="D126" s="107" t="s">
        <v>1767</v>
      </c>
      <c r="E126" s="105">
        <v>50</v>
      </c>
      <c r="F126" s="134">
        <v>6.5</v>
      </c>
      <c r="G126" s="134">
        <v>10</v>
      </c>
      <c r="H126" s="109"/>
      <c r="I126" s="109">
        <f t="shared" si="6"/>
        <v>500</v>
      </c>
      <c r="J126" s="110"/>
      <c r="K126" s="110">
        <f t="shared" si="7"/>
        <v>500</v>
      </c>
      <c r="L126" s="120">
        <f t="shared" si="8"/>
        <v>325</v>
      </c>
      <c r="M126" s="113"/>
    </row>
    <row r="127" spans="1:13" s="114" customFormat="1" x14ac:dyDescent="0.2">
      <c r="A127" s="106">
        <v>46233</v>
      </c>
      <c r="B127" s="105" t="s">
        <v>1590</v>
      </c>
      <c r="C127" s="105" t="s">
        <v>6187</v>
      </c>
      <c r="D127" s="107" t="s">
        <v>1362</v>
      </c>
      <c r="E127" s="105">
        <v>5</v>
      </c>
      <c r="F127" s="134">
        <v>20</v>
      </c>
      <c r="G127" s="134">
        <v>23</v>
      </c>
      <c r="H127" s="109"/>
      <c r="I127" s="109">
        <f t="shared" si="6"/>
        <v>115</v>
      </c>
      <c r="J127" s="110"/>
      <c r="K127" s="110">
        <f t="shared" si="7"/>
        <v>115</v>
      </c>
      <c r="L127" s="120">
        <f t="shared" si="8"/>
        <v>100</v>
      </c>
      <c r="M127" s="113"/>
    </row>
    <row r="128" spans="1:13" s="114" customFormat="1" x14ac:dyDescent="0.2">
      <c r="A128" s="106">
        <v>46233</v>
      </c>
      <c r="B128" s="105" t="s">
        <v>1460</v>
      </c>
      <c r="C128" s="105" t="s">
        <v>6187</v>
      </c>
      <c r="D128" s="107" t="s">
        <v>24</v>
      </c>
      <c r="E128" s="105">
        <v>50</v>
      </c>
      <c r="F128" s="134">
        <v>2.7</v>
      </c>
      <c r="G128" s="134">
        <v>8</v>
      </c>
      <c r="H128" s="109"/>
      <c r="I128" s="109">
        <f t="shared" si="6"/>
        <v>400</v>
      </c>
      <c r="J128" s="110"/>
      <c r="K128" s="110">
        <f t="shared" si="7"/>
        <v>400</v>
      </c>
      <c r="L128" s="120">
        <f t="shared" si="8"/>
        <v>135</v>
      </c>
      <c r="M128" s="113"/>
    </row>
    <row r="129" spans="1:13" s="114" customFormat="1" x14ac:dyDescent="0.2">
      <c r="A129" s="106">
        <v>46233</v>
      </c>
      <c r="B129" s="105" t="s">
        <v>1461</v>
      </c>
      <c r="C129" s="105" t="s">
        <v>6187</v>
      </c>
      <c r="D129" s="107" t="s">
        <v>1399</v>
      </c>
      <c r="E129" s="105">
        <v>50</v>
      </c>
      <c r="F129" s="134">
        <v>3.1</v>
      </c>
      <c r="G129" s="134">
        <v>5</v>
      </c>
      <c r="H129" s="109"/>
      <c r="I129" s="109">
        <f t="shared" si="6"/>
        <v>250</v>
      </c>
      <c r="J129" s="110"/>
      <c r="K129" s="110">
        <f t="shared" si="7"/>
        <v>250</v>
      </c>
      <c r="L129" s="120">
        <f t="shared" si="8"/>
        <v>155</v>
      </c>
      <c r="M129" s="113"/>
    </row>
    <row r="130" spans="1:13" s="114" customFormat="1" x14ac:dyDescent="0.2">
      <c r="A130" s="106">
        <v>46233</v>
      </c>
      <c r="B130" s="105" t="s">
        <v>1453</v>
      </c>
      <c r="C130" s="105" t="s">
        <v>6188</v>
      </c>
      <c r="D130" s="107" t="s">
        <v>26</v>
      </c>
      <c r="E130" s="105">
        <v>2</v>
      </c>
      <c r="F130" s="134">
        <v>167.8</v>
      </c>
      <c r="G130" s="134">
        <v>360</v>
      </c>
      <c r="H130" s="109"/>
      <c r="I130" s="109">
        <f t="shared" si="6"/>
        <v>720</v>
      </c>
      <c r="J130" s="110"/>
      <c r="K130" s="110">
        <f t="shared" si="7"/>
        <v>720</v>
      </c>
      <c r="L130" s="120">
        <f t="shared" si="8"/>
        <v>335.6</v>
      </c>
      <c r="M130" s="113"/>
    </row>
    <row r="131" spans="1:13" s="114" customFormat="1" x14ac:dyDescent="0.2">
      <c r="A131" s="106">
        <v>46233</v>
      </c>
      <c r="B131" s="105" t="s">
        <v>1585</v>
      </c>
      <c r="C131" s="105" t="s">
        <v>6189</v>
      </c>
      <c r="D131" s="107" t="s">
        <v>1254</v>
      </c>
      <c r="E131" s="105">
        <v>5</v>
      </c>
      <c r="F131" s="134">
        <v>75</v>
      </c>
      <c r="G131" s="134">
        <v>97.5</v>
      </c>
      <c r="H131" s="109"/>
      <c r="I131" s="109">
        <f t="shared" si="6"/>
        <v>487.5</v>
      </c>
      <c r="J131" s="110"/>
      <c r="K131" s="110">
        <f t="shared" si="7"/>
        <v>487.5</v>
      </c>
      <c r="L131" s="120">
        <f t="shared" si="8"/>
        <v>375</v>
      </c>
      <c r="M131" s="113"/>
    </row>
    <row r="132" spans="1:13" s="114" customFormat="1" x14ac:dyDescent="0.2">
      <c r="A132" s="106">
        <v>46233</v>
      </c>
      <c r="B132" s="105" t="s">
        <v>1626</v>
      </c>
      <c r="C132" s="105" t="s">
        <v>6189</v>
      </c>
      <c r="D132" s="107" t="s">
        <v>1632</v>
      </c>
      <c r="E132" s="105">
        <v>100</v>
      </c>
      <c r="F132" s="134">
        <v>2</v>
      </c>
      <c r="G132" s="134">
        <v>3</v>
      </c>
      <c r="H132" s="109"/>
      <c r="I132" s="109">
        <f t="shared" si="6"/>
        <v>300</v>
      </c>
      <c r="J132" s="110"/>
      <c r="K132" s="110">
        <f t="shared" si="7"/>
        <v>300</v>
      </c>
      <c r="L132" s="120">
        <f t="shared" si="8"/>
        <v>200</v>
      </c>
      <c r="M132" s="113"/>
    </row>
    <row r="133" spans="1:13" s="114" customFormat="1" x14ac:dyDescent="0.2">
      <c r="A133" s="106">
        <v>46233</v>
      </c>
      <c r="B133" s="105" t="s">
        <v>1456</v>
      </c>
      <c r="C133" s="105" t="s">
        <v>6190</v>
      </c>
      <c r="D133" s="107" t="s">
        <v>21</v>
      </c>
      <c r="E133" s="105">
        <v>10</v>
      </c>
      <c r="F133" s="134">
        <v>148.9</v>
      </c>
      <c r="G133" s="134">
        <v>237</v>
      </c>
      <c r="H133" s="109"/>
      <c r="I133" s="109">
        <f t="shared" si="6"/>
        <v>2370</v>
      </c>
      <c r="J133" s="110"/>
      <c r="K133" s="110">
        <f t="shared" si="7"/>
        <v>2370</v>
      </c>
      <c r="L133" s="120">
        <f t="shared" si="8"/>
        <v>1489</v>
      </c>
      <c r="M133" s="113"/>
    </row>
    <row r="134" spans="1:13" s="114" customFormat="1" x14ac:dyDescent="0.2">
      <c r="A134" s="106">
        <v>46233</v>
      </c>
      <c r="B134" s="105" t="s">
        <v>1458</v>
      </c>
      <c r="C134" s="105" t="s">
        <v>6190</v>
      </c>
      <c r="D134" s="107" t="s">
        <v>22</v>
      </c>
      <c r="E134" s="105">
        <v>15</v>
      </c>
      <c r="F134" s="134">
        <v>126</v>
      </c>
      <c r="G134" s="134">
        <v>201</v>
      </c>
      <c r="H134" s="109"/>
      <c r="I134" s="109">
        <f t="shared" si="6"/>
        <v>3015</v>
      </c>
      <c r="J134" s="110"/>
      <c r="K134" s="110">
        <f t="shared" si="7"/>
        <v>3015</v>
      </c>
      <c r="L134" s="120">
        <f t="shared" si="8"/>
        <v>1890</v>
      </c>
      <c r="M134" s="113"/>
    </row>
    <row r="135" spans="1:13" s="114" customFormat="1" x14ac:dyDescent="0.2">
      <c r="A135" s="106">
        <v>46233</v>
      </c>
      <c r="B135" s="105" t="s">
        <v>6176</v>
      </c>
      <c r="C135" s="105" t="s">
        <v>6190</v>
      </c>
      <c r="D135" s="107" t="s">
        <v>6199</v>
      </c>
      <c r="E135" s="105">
        <v>100</v>
      </c>
      <c r="F135" s="134">
        <v>14</v>
      </c>
      <c r="G135" s="134">
        <v>18.5</v>
      </c>
      <c r="H135" s="109"/>
      <c r="I135" s="109">
        <f t="shared" si="6"/>
        <v>1850</v>
      </c>
      <c r="J135" s="110"/>
      <c r="K135" s="110">
        <f t="shared" si="7"/>
        <v>1850</v>
      </c>
      <c r="L135" s="120">
        <f t="shared" si="8"/>
        <v>1400</v>
      </c>
      <c r="M135" s="113"/>
    </row>
    <row r="136" spans="1:13" s="114" customFormat="1" x14ac:dyDescent="0.2">
      <c r="A136" s="106">
        <v>46233</v>
      </c>
      <c r="B136" s="105" t="s">
        <v>6179</v>
      </c>
      <c r="C136" s="105" t="s">
        <v>6190</v>
      </c>
      <c r="D136" s="107" t="s">
        <v>6202</v>
      </c>
      <c r="E136" s="105">
        <v>20</v>
      </c>
      <c r="F136" s="134">
        <v>13</v>
      </c>
      <c r="G136" s="134">
        <v>17</v>
      </c>
      <c r="H136" s="109"/>
      <c r="I136" s="109">
        <f t="shared" si="6"/>
        <v>340</v>
      </c>
      <c r="J136" s="110"/>
      <c r="K136" s="110">
        <f t="shared" si="7"/>
        <v>340</v>
      </c>
      <c r="L136" s="120">
        <f t="shared" si="8"/>
        <v>260</v>
      </c>
      <c r="M136" s="113"/>
    </row>
    <row r="137" spans="1:13" s="114" customFormat="1" x14ac:dyDescent="0.2">
      <c r="A137" s="106">
        <v>46233</v>
      </c>
      <c r="B137" s="105" t="s">
        <v>1453</v>
      </c>
      <c r="C137" s="105" t="s">
        <v>6191</v>
      </c>
      <c r="D137" s="107" t="s">
        <v>26</v>
      </c>
      <c r="E137" s="105">
        <v>3</v>
      </c>
      <c r="F137" s="134">
        <v>167.8</v>
      </c>
      <c r="G137" s="134">
        <v>360</v>
      </c>
      <c r="H137" s="109"/>
      <c r="I137" s="109">
        <f t="shared" si="6"/>
        <v>1080</v>
      </c>
      <c r="J137" s="110"/>
      <c r="K137" s="110">
        <f t="shared" si="7"/>
        <v>1080</v>
      </c>
      <c r="L137" s="120">
        <f t="shared" si="8"/>
        <v>503.40000000000003</v>
      </c>
      <c r="M137" s="113"/>
    </row>
    <row r="138" spans="1:13" s="114" customFormat="1" x14ac:dyDescent="0.2">
      <c r="A138" s="106">
        <v>46233</v>
      </c>
      <c r="B138" s="105" t="s">
        <v>1607</v>
      </c>
      <c r="C138" s="105" t="s">
        <v>6192</v>
      </c>
      <c r="D138" s="107" t="s">
        <v>1611</v>
      </c>
      <c r="E138" s="105">
        <v>2</v>
      </c>
      <c r="F138" s="134">
        <v>876</v>
      </c>
      <c r="G138" s="134">
        <v>1442</v>
      </c>
      <c r="H138" s="109"/>
      <c r="I138" s="109">
        <f t="shared" si="6"/>
        <v>2884</v>
      </c>
      <c r="J138" s="110"/>
      <c r="K138" s="110">
        <f t="shared" si="7"/>
        <v>2884</v>
      </c>
      <c r="L138" s="120">
        <f t="shared" si="8"/>
        <v>1752</v>
      </c>
      <c r="M138" s="113"/>
    </row>
    <row r="139" spans="1:13" s="114" customFormat="1" x14ac:dyDescent="0.2">
      <c r="A139" s="106">
        <v>46233</v>
      </c>
      <c r="B139" s="105" t="s">
        <v>1476</v>
      </c>
      <c r="C139" s="105" t="s">
        <v>6192</v>
      </c>
      <c r="D139" s="107" t="s">
        <v>1478</v>
      </c>
      <c r="E139" s="105">
        <v>5</v>
      </c>
      <c r="F139" s="134">
        <v>130</v>
      </c>
      <c r="G139" s="134">
        <v>169</v>
      </c>
      <c r="H139" s="109"/>
      <c r="I139" s="109">
        <f t="shared" si="6"/>
        <v>845</v>
      </c>
      <c r="J139" s="110"/>
      <c r="K139" s="110">
        <f t="shared" si="7"/>
        <v>845</v>
      </c>
      <c r="L139" s="120">
        <f t="shared" si="8"/>
        <v>650</v>
      </c>
      <c r="M139" s="113"/>
    </row>
    <row r="140" spans="1:13" s="114" customFormat="1" x14ac:dyDescent="0.2">
      <c r="A140" s="106">
        <v>46233</v>
      </c>
      <c r="B140" s="105" t="s">
        <v>1624</v>
      </c>
      <c r="C140" s="105" t="s">
        <v>6192</v>
      </c>
      <c r="D140" s="107" t="s">
        <v>1631</v>
      </c>
      <c r="E140" s="105">
        <v>60</v>
      </c>
      <c r="F140" s="134">
        <v>6</v>
      </c>
      <c r="G140" s="134">
        <v>8</v>
      </c>
      <c r="H140" s="109"/>
      <c r="I140" s="109">
        <f t="shared" si="6"/>
        <v>480</v>
      </c>
      <c r="J140" s="110"/>
      <c r="K140" s="110">
        <f t="shared" si="7"/>
        <v>480</v>
      </c>
      <c r="L140" s="120">
        <f t="shared" si="8"/>
        <v>360</v>
      </c>
      <c r="M140" s="113"/>
    </row>
    <row r="141" spans="1:13" s="114" customFormat="1" x14ac:dyDescent="0.2">
      <c r="A141" s="106">
        <v>46233</v>
      </c>
      <c r="B141" s="105" t="s">
        <v>6180</v>
      </c>
      <c r="C141" s="105" t="s">
        <v>6192</v>
      </c>
      <c r="D141" s="107" t="s">
        <v>6203</v>
      </c>
      <c r="E141" s="105">
        <v>5</v>
      </c>
      <c r="F141" s="134">
        <v>28</v>
      </c>
      <c r="G141" s="134">
        <v>34</v>
      </c>
      <c r="H141" s="109"/>
      <c r="I141" s="109">
        <f t="shared" si="6"/>
        <v>170</v>
      </c>
      <c r="J141" s="110"/>
      <c r="K141" s="110">
        <f t="shared" si="7"/>
        <v>170</v>
      </c>
      <c r="L141" s="120">
        <f t="shared" si="8"/>
        <v>140</v>
      </c>
      <c r="M141" s="113"/>
    </row>
    <row r="142" spans="1:13" s="114" customFormat="1" x14ac:dyDescent="0.2">
      <c r="A142" s="106">
        <v>46233</v>
      </c>
      <c r="B142" s="105" t="s">
        <v>1459</v>
      </c>
      <c r="C142" s="105" t="s">
        <v>6192</v>
      </c>
      <c r="D142" s="107" t="s">
        <v>1259</v>
      </c>
      <c r="E142" s="105">
        <v>10</v>
      </c>
      <c r="F142" s="134">
        <v>40</v>
      </c>
      <c r="G142" s="134">
        <v>52</v>
      </c>
      <c r="H142" s="109"/>
      <c r="I142" s="109">
        <f t="shared" si="6"/>
        <v>520</v>
      </c>
      <c r="J142" s="110"/>
      <c r="K142" s="110">
        <f t="shared" si="7"/>
        <v>520</v>
      </c>
      <c r="L142" s="120">
        <f t="shared" si="8"/>
        <v>400</v>
      </c>
      <c r="M142" s="113"/>
    </row>
    <row r="143" spans="1:13" s="114" customFormat="1" x14ac:dyDescent="0.2">
      <c r="A143" s="106">
        <v>46233</v>
      </c>
      <c r="B143" s="105" t="s">
        <v>1553</v>
      </c>
      <c r="C143" s="105" t="s">
        <v>6192</v>
      </c>
      <c r="D143" s="107" t="s">
        <v>1263</v>
      </c>
      <c r="E143" s="105">
        <v>10</v>
      </c>
      <c r="F143" s="134">
        <v>24</v>
      </c>
      <c r="G143" s="134">
        <v>31.25</v>
      </c>
      <c r="H143" s="109"/>
      <c r="I143" s="109">
        <f t="shared" si="6"/>
        <v>312.5</v>
      </c>
      <c r="J143" s="110"/>
      <c r="K143" s="110">
        <f t="shared" si="7"/>
        <v>312.5</v>
      </c>
      <c r="L143" s="120">
        <f t="shared" si="8"/>
        <v>240</v>
      </c>
      <c r="M143" s="113"/>
    </row>
    <row r="144" spans="1:13" s="114" customFormat="1" x14ac:dyDescent="0.2">
      <c r="A144" s="106">
        <v>46233</v>
      </c>
      <c r="B144" s="105" t="s">
        <v>1456</v>
      </c>
      <c r="C144" s="105" t="s">
        <v>6192</v>
      </c>
      <c r="D144" s="107" t="s">
        <v>21</v>
      </c>
      <c r="E144" s="105">
        <v>10</v>
      </c>
      <c r="F144" s="134">
        <v>148.9</v>
      </c>
      <c r="G144" s="134">
        <v>237</v>
      </c>
      <c r="H144" s="109"/>
      <c r="I144" s="109">
        <f t="shared" si="6"/>
        <v>2370</v>
      </c>
      <c r="J144" s="110"/>
      <c r="K144" s="110">
        <f t="shared" si="7"/>
        <v>2370</v>
      </c>
      <c r="L144" s="120">
        <f t="shared" si="8"/>
        <v>1489</v>
      </c>
      <c r="M144" s="113"/>
    </row>
    <row r="145" spans="1:13" s="114" customFormat="1" x14ac:dyDescent="0.2">
      <c r="A145" s="106">
        <v>46233</v>
      </c>
      <c r="B145" s="105" t="s">
        <v>1458</v>
      </c>
      <c r="C145" s="105" t="s">
        <v>6192</v>
      </c>
      <c r="D145" s="107" t="s">
        <v>22</v>
      </c>
      <c r="E145" s="105">
        <v>10</v>
      </c>
      <c r="F145" s="134">
        <v>126</v>
      </c>
      <c r="G145" s="134">
        <v>201</v>
      </c>
      <c r="H145" s="109"/>
      <c r="I145" s="109">
        <f t="shared" si="6"/>
        <v>2010</v>
      </c>
      <c r="J145" s="110"/>
      <c r="K145" s="110">
        <f t="shared" si="7"/>
        <v>2010</v>
      </c>
      <c r="L145" s="120">
        <f t="shared" si="8"/>
        <v>1260</v>
      </c>
      <c r="M145" s="113"/>
    </row>
    <row r="146" spans="1:13" s="114" customFormat="1" x14ac:dyDescent="0.2">
      <c r="A146" s="106">
        <v>46233</v>
      </c>
      <c r="B146" s="105" t="s">
        <v>5099</v>
      </c>
      <c r="C146" s="105" t="s">
        <v>6192</v>
      </c>
      <c r="D146" s="107" t="s">
        <v>5109</v>
      </c>
      <c r="E146" s="105">
        <v>1</v>
      </c>
      <c r="F146" s="134">
        <v>500</v>
      </c>
      <c r="G146" s="134">
        <v>650</v>
      </c>
      <c r="H146" s="109"/>
      <c r="I146" s="109">
        <f t="shared" si="6"/>
        <v>650</v>
      </c>
      <c r="J146" s="110"/>
      <c r="K146" s="110">
        <f t="shared" si="7"/>
        <v>650</v>
      </c>
      <c r="L146" s="120">
        <f t="shared" si="8"/>
        <v>500</v>
      </c>
      <c r="M146" s="113"/>
    </row>
    <row r="147" spans="1:13" s="114" customFormat="1" x14ac:dyDescent="0.2">
      <c r="A147" s="106">
        <v>46233</v>
      </c>
      <c r="B147" s="105" t="s">
        <v>6177</v>
      </c>
      <c r="C147" s="105" t="s">
        <v>6192</v>
      </c>
      <c r="D147" s="107" t="s">
        <v>6200</v>
      </c>
      <c r="E147" s="105">
        <v>1</v>
      </c>
      <c r="F147" s="134">
        <v>150</v>
      </c>
      <c r="G147" s="134">
        <v>225</v>
      </c>
      <c r="H147" s="109"/>
      <c r="I147" s="109">
        <f t="shared" si="6"/>
        <v>225</v>
      </c>
      <c r="J147" s="110"/>
      <c r="K147" s="110">
        <f t="shared" si="7"/>
        <v>225</v>
      </c>
      <c r="L147" s="120">
        <f t="shared" si="8"/>
        <v>150</v>
      </c>
      <c r="M147" s="113"/>
    </row>
    <row r="148" spans="1:13" s="114" customFormat="1" x14ac:dyDescent="0.2">
      <c r="A148" s="106">
        <v>46233</v>
      </c>
      <c r="B148" s="105" t="s">
        <v>5641</v>
      </c>
      <c r="C148" s="105" t="s">
        <v>6192</v>
      </c>
      <c r="D148" s="107" t="s">
        <v>1327</v>
      </c>
      <c r="E148" s="105">
        <v>2</v>
      </c>
      <c r="F148" s="134">
        <v>38.5</v>
      </c>
      <c r="G148" s="134">
        <v>49</v>
      </c>
      <c r="H148" s="109"/>
      <c r="I148" s="109">
        <f t="shared" si="6"/>
        <v>98</v>
      </c>
      <c r="J148" s="110"/>
      <c r="K148" s="110">
        <f t="shared" si="7"/>
        <v>98</v>
      </c>
      <c r="L148" s="120">
        <f t="shared" si="8"/>
        <v>77</v>
      </c>
      <c r="M148" s="113"/>
    </row>
    <row r="149" spans="1:13" s="114" customFormat="1" x14ac:dyDescent="0.2">
      <c r="A149" s="106">
        <v>46233</v>
      </c>
      <c r="B149" s="105" t="s">
        <v>1507</v>
      </c>
      <c r="C149" s="105" t="s">
        <v>6192</v>
      </c>
      <c r="D149" s="107" t="s">
        <v>1252</v>
      </c>
      <c r="E149" s="105">
        <v>5</v>
      </c>
      <c r="F149" s="134">
        <v>30</v>
      </c>
      <c r="G149" s="134">
        <v>39</v>
      </c>
      <c r="H149" s="109"/>
      <c r="I149" s="109">
        <f t="shared" si="6"/>
        <v>195</v>
      </c>
      <c r="J149" s="110"/>
      <c r="K149" s="110">
        <f t="shared" si="7"/>
        <v>195</v>
      </c>
      <c r="L149" s="120">
        <f t="shared" si="8"/>
        <v>150</v>
      </c>
      <c r="M149" s="113"/>
    </row>
    <row r="150" spans="1:13" s="114" customFormat="1" x14ac:dyDescent="0.2">
      <c r="A150" s="106">
        <v>46233</v>
      </c>
      <c r="B150" s="105" t="s">
        <v>1455</v>
      </c>
      <c r="C150" s="105" t="s">
        <v>6193</v>
      </c>
      <c r="D150" s="107" t="s">
        <v>25</v>
      </c>
      <c r="E150" s="105">
        <v>4</v>
      </c>
      <c r="F150" s="134">
        <v>115.85</v>
      </c>
      <c r="G150" s="134">
        <v>280</v>
      </c>
      <c r="H150" s="109"/>
      <c r="I150" s="109">
        <f t="shared" si="6"/>
        <v>1120</v>
      </c>
      <c r="J150" s="110"/>
      <c r="K150" s="110">
        <f t="shared" si="7"/>
        <v>1120</v>
      </c>
      <c r="L150" s="120">
        <f t="shared" si="8"/>
        <v>463.4</v>
      </c>
      <c r="M150" s="113"/>
    </row>
    <row r="151" spans="1:13" s="114" customFormat="1" x14ac:dyDescent="0.2">
      <c r="A151" s="106">
        <v>46233</v>
      </c>
      <c r="B151" s="105" t="s">
        <v>1458</v>
      </c>
      <c r="C151" s="105" t="s">
        <v>6194</v>
      </c>
      <c r="D151" s="107" t="s">
        <v>22</v>
      </c>
      <c r="E151" s="105">
        <v>10</v>
      </c>
      <c r="F151" s="134">
        <v>126</v>
      </c>
      <c r="G151" s="134">
        <v>201</v>
      </c>
      <c r="H151" s="109"/>
      <c r="I151" s="109">
        <f t="shared" si="6"/>
        <v>2010</v>
      </c>
      <c r="J151" s="110"/>
      <c r="K151" s="110">
        <f t="shared" si="7"/>
        <v>2010</v>
      </c>
      <c r="L151" s="120">
        <f t="shared" si="8"/>
        <v>1260</v>
      </c>
      <c r="M151" s="113"/>
    </row>
    <row r="152" spans="1:13" s="114" customFormat="1" x14ac:dyDescent="0.2">
      <c r="A152" s="106">
        <v>46233</v>
      </c>
      <c r="B152" s="105" t="s">
        <v>1456</v>
      </c>
      <c r="C152" s="105" t="s">
        <v>6194</v>
      </c>
      <c r="D152" s="107" t="s">
        <v>21</v>
      </c>
      <c r="E152" s="105">
        <v>10</v>
      </c>
      <c r="F152" s="134">
        <v>148.9</v>
      </c>
      <c r="G152" s="134">
        <v>237</v>
      </c>
      <c r="H152" s="109"/>
      <c r="I152" s="109">
        <f t="shared" si="6"/>
        <v>2370</v>
      </c>
      <c r="J152" s="110"/>
      <c r="K152" s="110">
        <f t="shared" si="7"/>
        <v>2370</v>
      </c>
      <c r="L152" s="120">
        <f t="shared" si="8"/>
        <v>1489</v>
      </c>
      <c r="M152" s="113"/>
    </row>
    <row r="153" spans="1:13" s="114" customFormat="1" x14ac:dyDescent="0.2">
      <c r="A153" s="106">
        <v>46233</v>
      </c>
      <c r="B153" s="105" t="s">
        <v>1607</v>
      </c>
      <c r="C153" s="105" t="s">
        <v>6194</v>
      </c>
      <c r="D153" s="107" t="s">
        <v>1611</v>
      </c>
      <c r="E153" s="105">
        <v>5</v>
      </c>
      <c r="F153" s="134">
        <v>876</v>
      </c>
      <c r="G153" s="134">
        <v>1442</v>
      </c>
      <c r="H153" s="109"/>
      <c r="I153" s="109">
        <f t="shared" ref="I153:I166" si="9">E153*G153</f>
        <v>7210</v>
      </c>
      <c r="J153" s="110"/>
      <c r="K153" s="110">
        <f t="shared" si="7"/>
        <v>7210</v>
      </c>
      <c r="L153" s="120">
        <f t="shared" si="8"/>
        <v>4380</v>
      </c>
      <c r="M153" s="113"/>
    </row>
    <row r="154" spans="1:13" s="114" customFormat="1" x14ac:dyDescent="0.2">
      <c r="A154" s="106">
        <v>46233</v>
      </c>
      <c r="B154" s="105" t="s">
        <v>1518</v>
      </c>
      <c r="C154" s="105" t="s">
        <v>6194</v>
      </c>
      <c r="D154" s="107" t="s">
        <v>1262</v>
      </c>
      <c r="E154" s="105">
        <v>5</v>
      </c>
      <c r="F154" s="134">
        <v>12</v>
      </c>
      <c r="G154" s="134">
        <v>15.75</v>
      </c>
      <c r="H154" s="109"/>
      <c r="I154" s="109">
        <f t="shared" si="9"/>
        <v>78.75</v>
      </c>
      <c r="J154" s="110"/>
      <c r="K154" s="110">
        <f t="shared" si="7"/>
        <v>78.75</v>
      </c>
      <c r="L154" s="120">
        <f t="shared" si="8"/>
        <v>60</v>
      </c>
      <c r="M154" s="113"/>
    </row>
    <row r="155" spans="1:13" s="114" customFormat="1" x14ac:dyDescent="0.2">
      <c r="A155" s="106">
        <v>46233</v>
      </c>
      <c r="B155" s="105" t="s">
        <v>1495</v>
      </c>
      <c r="C155" s="105" t="s">
        <v>6194</v>
      </c>
      <c r="D155" s="107" t="s">
        <v>1248</v>
      </c>
      <c r="E155" s="105">
        <v>20</v>
      </c>
      <c r="F155" s="134">
        <v>2</v>
      </c>
      <c r="G155" s="134">
        <v>6</v>
      </c>
      <c r="H155" s="109"/>
      <c r="I155" s="109">
        <f t="shared" si="9"/>
        <v>120</v>
      </c>
      <c r="J155" s="110"/>
      <c r="K155" s="110">
        <f t="shared" si="7"/>
        <v>120</v>
      </c>
      <c r="L155" s="120">
        <f t="shared" si="8"/>
        <v>40</v>
      </c>
      <c r="M155" s="113"/>
    </row>
    <row r="156" spans="1:13" s="114" customFormat="1" x14ac:dyDescent="0.2">
      <c r="A156" s="106">
        <v>46233</v>
      </c>
      <c r="B156" s="105" t="s">
        <v>1626</v>
      </c>
      <c r="C156" s="105" t="s">
        <v>6194</v>
      </c>
      <c r="D156" s="107" t="s">
        <v>1632</v>
      </c>
      <c r="E156" s="105">
        <v>200</v>
      </c>
      <c r="F156" s="134">
        <v>2</v>
      </c>
      <c r="G156" s="134">
        <v>3</v>
      </c>
      <c r="H156" s="109"/>
      <c r="I156" s="109">
        <f t="shared" si="9"/>
        <v>600</v>
      </c>
      <c r="J156" s="110"/>
      <c r="K156" s="110">
        <f t="shared" si="7"/>
        <v>600</v>
      </c>
      <c r="L156" s="120">
        <f t="shared" si="8"/>
        <v>400</v>
      </c>
      <c r="M156" s="113"/>
    </row>
    <row r="157" spans="1:13" s="114" customFormat="1" x14ac:dyDescent="0.2">
      <c r="A157" s="106">
        <v>46233</v>
      </c>
      <c r="B157" s="105" t="s">
        <v>1554</v>
      </c>
      <c r="C157" s="105" t="s">
        <v>6195</v>
      </c>
      <c r="D157" s="107" t="s">
        <v>30</v>
      </c>
      <c r="E157" s="105">
        <v>100</v>
      </c>
      <c r="F157" s="134">
        <v>0.54</v>
      </c>
      <c r="G157" s="134">
        <v>1.5</v>
      </c>
      <c r="H157" s="109"/>
      <c r="I157" s="109">
        <f t="shared" si="9"/>
        <v>150</v>
      </c>
      <c r="J157" s="110"/>
      <c r="K157" s="110">
        <f t="shared" si="7"/>
        <v>150</v>
      </c>
      <c r="L157" s="120">
        <f t="shared" si="8"/>
        <v>54</v>
      </c>
      <c r="M157" s="113"/>
    </row>
    <row r="158" spans="1:13" s="114" customFormat="1" x14ac:dyDescent="0.2">
      <c r="A158" s="106">
        <v>46233</v>
      </c>
      <c r="B158" s="105" t="s">
        <v>1624</v>
      </c>
      <c r="C158" s="105" t="s">
        <v>6195</v>
      </c>
      <c r="D158" s="107" t="s">
        <v>1631</v>
      </c>
      <c r="E158" s="105">
        <v>12</v>
      </c>
      <c r="F158" s="134">
        <v>6</v>
      </c>
      <c r="G158" s="134">
        <v>8</v>
      </c>
      <c r="H158" s="109"/>
      <c r="I158" s="109">
        <f t="shared" si="9"/>
        <v>96</v>
      </c>
      <c r="J158" s="110"/>
      <c r="K158" s="110">
        <f t="shared" si="7"/>
        <v>96</v>
      </c>
      <c r="L158" s="120">
        <f t="shared" si="8"/>
        <v>72</v>
      </c>
      <c r="M158" s="113"/>
    </row>
    <row r="159" spans="1:13" s="114" customFormat="1" x14ac:dyDescent="0.2">
      <c r="A159" s="106">
        <v>46233</v>
      </c>
      <c r="B159" s="105" t="s">
        <v>1625</v>
      </c>
      <c r="C159" s="105" t="s">
        <v>6195</v>
      </c>
      <c r="D159" s="107" t="s">
        <v>1328</v>
      </c>
      <c r="E159" s="105">
        <v>12</v>
      </c>
      <c r="F159" s="134">
        <v>1.54</v>
      </c>
      <c r="G159" s="134">
        <v>5</v>
      </c>
      <c r="H159" s="109"/>
      <c r="I159" s="109">
        <f t="shared" si="9"/>
        <v>60</v>
      </c>
      <c r="J159" s="110"/>
      <c r="K159" s="110">
        <f t="shared" ref="K159:K160" si="10">H159+I159-J159</f>
        <v>60</v>
      </c>
      <c r="L159" s="120">
        <f t="shared" ref="L159:L160" si="11">E159*F159</f>
        <v>18.48</v>
      </c>
      <c r="M159" s="113"/>
    </row>
    <row r="160" spans="1:13" s="114" customFormat="1" x14ac:dyDescent="0.2">
      <c r="A160" s="106">
        <v>46233</v>
      </c>
      <c r="B160" s="105" t="s">
        <v>1689</v>
      </c>
      <c r="C160" s="105" t="s">
        <v>6196</v>
      </c>
      <c r="D160" s="107" t="s">
        <v>1702</v>
      </c>
      <c r="E160" s="105">
        <v>2</v>
      </c>
      <c r="F160" s="134">
        <v>10</v>
      </c>
      <c r="G160" s="134">
        <v>200</v>
      </c>
      <c r="H160" s="109"/>
      <c r="I160" s="109">
        <f t="shared" si="9"/>
        <v>400</v>
      </c>
      <c r="J160" s="110"/>
      <c r="K160" s="110">
        <f t="shared" si="10"/>
        <v>400</v>
      </c>
      <c r="L160" s="120">
        <f t="shared" si="11"/>
        <v>20</v>
      </c>
      <c r="M160" s="113"/>
    </row>
    <row r="161" spans="1:14" s="114" customFormat="1" x14ac:dyDescent="0.2">
      <c r="A161" s="106">
        <v>46233</v>
      </c>
      <c r="B161" s="105" t="s">
        <v>6177</v>
      </c>
      <c r="C161" s="105" t="s">
        <v>6197</v>
      </c>
      <c r="D161" s="107" t="s">
        <v>6200</v>
      </c>
      <c r="E161" s="105">
        <v>1</v>
      </c>
      <c r="F161" s="134">
        <v>150</v>
      </c>
      <c r="G161" s="134">
        <v>225</v>
      </c>
      <c r="H161" s="109"/>
      <c r="I161" s="109">
        <f t="shared" si="9"/>
        <v>225</v>
      </c>
      <c r="J161" s="110"/>
      <c r="K161" s="110">
        <f t="shared" si="4"/>
        <v>225</v>
      </c>
      <c r="L161" s="120">
        <f t="shared" si="5"/>
        <v>150</v>
      </c>
      <c r="M161" s="113"/>
    </row>
    <row r="162" spans="1:14" s="114" customFormat="1" x14ac:dyDescent="0.2">
      <c r="A162" s="106">
        <v>46233</v>
      </c>
      <c r="B162" s="105" t="s">
        <v>1607</v>
      </c>
      <c r="C162" s="105" t="s">
        <v>6197</v>
      </c>
      <c r="D162" s="107" t="s">
        <v>1611</v>
      </c>
      <c r="E162" s="105">
        <v>1</v>
      </c>
      <c r="F162" s="134">
        <v>876</v>
      </c>
      <c r="G162" s="134">
        <v>1442</v>
      </c>
      <c r="H162" s="109"/>
      <c r="I162" s="109">
        <f t="shared" si="9"/>
        <v>1442</v>
      </c>
      <c r="J162" s="110"/>
      <c r="K162" s="110">
        <f t="shared" si="4"/>
        <v>1442</v>
      </c>
      <c r="L162" s="120">
        <f t="shared" si="5"/>
        <v>876</v>
      </c>
      <c r="M162" s="113"/>
    </row>
    <row r="163" spans="1:14" s="114" customFormat="1" x14ac:dyDescent="0.2">
      <c r="A163" s="106">
        <v>46233</v>
      </c>
      <c r="B163" s="105" t="s">
        <v>1546</v>
      </c>
      <c r="C163" s="105" t="s">
        <v>6197</v>
      </c>
      <c r="D163" s="107" t="s">
        <v>1547</v>
      </c>
      <c r="E163" s="105">
        <v>3</v>
      </c>
      <c r="F163" s="134">
        <v>1032</v>
      </c>
      <c r="G163" s="134">
        <v>1550</v>
      </c>
      <c r="H163" s="109"/>
      <c r="I163" s="109">
        <f t="shared" si="9"/>
        <v>4650</v>
      </c>
      <c r="J163" s="110"/>
      <c r="K163" s="110">
        <f t="shared" si="4"/>
        <v>4650</v>
      </c>
      <c r="L163" s="120">
        <f t="shared" si="5"/>
        <v>3096</v>
      </c>
      <c r="M163" s="113"/>
    </row>
    <row r="164" spans="1:14" s="114" customFormat="1" x14ac:dyDescent="0.2">
      <c r="A164" s="106">
        <v>46233</v>
      </c>
      <c r="B164" s="105" t="s">
        <v>1458</v>
      </c>
      <c r="C164" s="105" t="s">
        <v>6198</v>
      </c>
      <c r="D164" s="107" t="s">
        <v>22</v>
      </c>
      <c r="E164" s="105">
        <v>25</v>
      </c>
      <c r="F164" s="134">
        <v>126</v>
      </c>
      <c r="G164" s="134">
        <v>201</v>
      </c>
      <c r="H164" s="109"/>
      <c r="I164" s="109">
        <f t="shared" si="9"/>
        <v>5025</v>
      </c>
      <c r="J164" s="110"/>
      <c r="K164" s="110">
        <f t="shared" si="4"/>
        <v>5025</v>
      </c>
      <c r="L164" s="120">
        <f t="shared" si="5"/>
        <v>3150</v>
      </c>
      <c r="M164" s="113"/>
    </row>
    <row r="165" spans="1:14" s="114" customFormat="1" x14ac:dyDescent="0.2">
      <c r="A165" s="106">
        <v>46233</v>
      </c>
      <c r="B165" s="105" t="s">
        <v>6176</v>
      </c>
      <c r="C165" s="105" t="s">
        <v>6198</v>
      </c>
      <c r="D165" s="107" t="s">
        <v>6199</v>
      </c>
      <c r="E165" s="105">
        <v>120</v>
      </c>
      <c r="F165" s="134">
        <v>14</v>
      </c>
      <c r="G165" s="134">
        <v>18.5</v>
      </c>
      <c r="H165" s="109"/>
      <c r="I165" s="109">
        <f t="shared" si="9"/>
        <v>2220</v>
      </c>
      <c r="J165" s="110"/>
      <c r="K165" s="110">
        <f t="shared" si="4"/>
        <v>2220</v>
      </c>
      <c r="L165" s="120">
        <f t="shared" si="5"/>
        <v>1680</v>
      </c>
      <c r="M165" s="113"/>
    </row>
    <row r="166" spans="1:14" s="114" customFormat="1" x14ac:dyDescent="0.2">
      <c r="A166" s="106">
        <v>46233</v>
      </c>
      <c r="B166" s="105" t="s">
        <v>4698</v>
      </c>
      <c r="C166" s="105" t="s">
        <v>6198</v>
      </c>
      <c r="D166" s="107" t="s">
        <v>4713</v>
      </c>
      <c r="E166" s="105">
        <v>5</v>
      </c>
      <c r="F166" s="134">
        <v>60</v>
      </c>
      <c r="G166" s="134">
        <v>78</v>
      </c>
      <c r="H166" s="109"/>
      <c r="I166" s="109">
        <f t="shared" si="9"/>
        <v>390</v>
      </c>
      <c r="J166" s="110"/>
      <c r="K166" s="110">
        <f t="shared" si="4"/>
        <v>390</v>
      </c>
      <c r="L166" s="120">
        <f t="shared" si="5"/>
        <v>300</v>
      </c>
      <c r="M166" s="113"/>
    </row>
    <row r="167" spans="1:14" s="114" customFormat="1" x14ac:dyDescent="0.2">
      <c r="A167" s="106">
        <v>46234</v>
      </c>
      <c r="B167" s="105" t="s">
        <v>1518</v>
      </c>
      <c r="C167" s="105" t="s">
        <v>6256</v>
      </c>
      <c r="D167" s="107" t="s">
        <v>1262</v>
      </c>
      <c r="E167" s="105">
        <v>2</v>
      </c>
      <c r="F167" s="134">
        <v>12</v>
      </c>
      <c r="G167" s="134">
        <v>15.75</v>
      </c>
      <c r="H167" s="109"/>
      <c r="I167" s="109">
        <f t="shared" ref="I167:I174" si="12">E167*G167</f>
        <v>31.5</v>
      </c>
      <c r="J167" s="110"/>
      <c r="K167" s="110">
        <f t="shared" si="4"/>
        <v>31.5</v>
      </c>
      <c r="L167" s="120">
        <f t="shared" si="5"/>
        <v>24</v>
      </c>
      <c r="M167" s="113"/>
    </row>
    <row r="168" spans="1:14" s="114" customFormat="1" x14ac:dyDescent="0.2">
      <c r="A168" s="240">
        <v>46234</v>
      </c>
      <c r="B168" s="241">
        <v>70068</v>
      </c>
      <c r="C168" s="241" t="s">
        <v>6279</v>
      </c>
      <c r="D168" s="242" t="s">
        <v>6280</v>
      </c>
      <c r="E168" s="241">
        <v>5</v>
      </c>
      <c r="F168" s="243">
        <v>13.5</v>
      </c>
      <c r="G168" s="243">
        <v>20</v>
      </c>
      <c r="H168" s="244"/>
      <c r="I168" s="244">
        <f>E168*G168</f>
        <v>100</v>
      </c>
      <c r="J168" s="245"/>
      <c r="K168" s="245">
        <f t="shared" ref="K168:K172" si="13">H168+I168-J168</f>
        <v>100</v>
      </c>
      <c r="L168" s="246">
        <f t="shared" ref="L168:L172" si="14">E168*F168</f>
        <v>67.5</v>
      </c>
      <c r="M168" s="113"/>
    </row>
    <row r="169" spans="1:14" s="114" customFormat="1" x14ac:dyDescent="0.2">
      <c r="A169" s="240">
        <v>46234</v>
      </c>
      <c r="B169" s="241">
        <v>70312</v>
      </c>
      <c r="C169" s="241" t="s">
        <v>6279</v>
      </c>
      <c r="D169" s="242" t="s">
        <v>1627</v>
      </c>
      <c r="E169" s="241">
        <v>5</v>
      </c>
      <c r="F169" s="243">
        <v>16</v>
      </c>
      <c r="G169" s="243">
        <v>21</v>
      </c>
      <c r="H169" s="244"/>
      <c r="I169" s="244">
        <f t="shared" ref="I169:I172" si="15">E169*G169</f>
        <v>105</v>
      </c>
      <c r="J169" s="245"/>
      <c r="K169" s="245">
        <f t="shared" si="13"/>
        <v>105</v>
      </c>
      <c r="L169" s="246">
        <f t="shared" si="14"/>
        <v>80</v>
      </c>
      <c r="M169" s="113"/>
    </row>
    <row r="170" spans="1:14" s="114" customFormat="1" x14ac:dyDescent="0.2">
      <c r="A170" s="240">
        <v>46234</v>
      </c>
      <c r="B170" s="241">
        <v>70305</v>
      </c>
      <c r="C170" s="241" t="s">
        <v>6279</v>
      </c>
      <c r="D170" s="242" t="s">
        <v>1262</v>
      </c>
      <c r="E170" s="241">
        <v>4</v>
      </c>
      <c r="F170" s="243">
        <v>12</v>
      </c>
      <c r="G170" s="243">
        <v>15.75</v>
      </c>
      <c r="H170" s="244"/>
      <c r="I170" s="244">
        <f t="shared" si="15"/>
        <v>63</v>
      </c>
      <c r="J170" s="245"/>
      <c r="K170" s="245">
        <f t="shared" si="13"/>
        <v>63</v>
      </c>
      <c r="L170" s="246">
        <f t="shared" si="14"/>
        <v>48</v>
      </c>
      <c r="M170" s="113"/>
    </row>
    <row r="171" spans="1:14" s="114" customFormat="1" x14ac:dyDescent="0.2">
      <c r="A171" s="240">
        <v>46234</v>
      </c>
      <c r="B171" s="241">
        <v>70017</v>
      </c>
      <c r="C171" s="241" t="s">
        <v>6279</v>
      </c>
      <c r="D171" s="242" t="s">
        <v>20</v>
      </c>
      <c r="E171" s="241">
        <v>2</v>
      </c>
      <c r="F171" s="243">
        <v>84</v>
      </c>
      <c r="G171" s="243">
        <v>157</v>
      </c>
      <c r="H171" s="244"/>
      <c r="I171" s="244">
        <f t="shared" si="15"/>
        <v>314</v>
      </c>
      <c r="J171" s="245"/>
      <c r="K171" s="245">
        <f t="shared" si="13"/>
        <v>314</v>
      </c>
      <c r="L171" s="246">
        <f>E171*F171</f>
        <v>168</v>
      </c>
      <c r="M171" s="113"/>
    </row>
    <row r="172" spans="1:14" s="114" customFormat="1" x14ac:dyDescent="0.2">
      <c r="A172" s="240">
        <v>46234</v>
      </c>
      <c r="B172" s="241">
        <v>70123</v>
      </c>
      <c r="C172" s="241" t="s">
        <v>6279</v>
      </c>
      <c r="D172" s="242" t="s">
        <v>21</v>
      </c>
      <c r="E172" s="241">
        <v>2</v>
      </c>
      <c r="F172" s="243">
        <v>148.9</v>
      </c>
      <c r="G172" s="243">
        <v>237</v>
      </c>
      <c r="H172" s="244"/>
      <c r="I172" s="244">
        <f t="shared" si="15"/>
        <v>474</v>
      </c>
      <c r="J172" s="245"/>
      <c r="K172" s="245">
        <f t="shared" si="13"/>
        <v>474</v>
      </c>
      <c r="L172" s="246">
        <f t="shared" si="14"/>
        <v>297.8</v>
      </c>
      <c r="M172" s="113"/>
    </row>
    <row r="173" spans="1:14" s="114" customFormat="1" x14ac:dyDescent="0.2">
      <c r="A173" s="106">
        <v>46234</v>
      </c>
      <c r="B173" s="105" t="s">
        <v>4435</v>
      </c>
      <c r="C173" s="105" t="s">
        <v>6257</v>
      </c>
      <c r="D173" s="107" t="s">
        <v>6258</v>
      </c>
      <c r="E173" s="105">
        <v>12</v>
      </c>
      <c r="F173" s="134">
        <v>146.66999999999999</v>
      </c>
      <c r="G173" s="134">
        <v>180</v>
      </c>
      <c r="H173" s="109"/>
      <c r="I173" s="109">
        <f t="shared" si="12"/>
        <v>2160</v>
      </c>
      <c r="J173" s="110"/>
      <c r="K173" s="110">
        <f t="shared" ref="K173:K174" si="16">H173+I173-J173</f>
        <v>2160</v>
      </c>
      <c r="L173" s="120">
        <f t="shared" ref="L173" si="17">E173*F173</f>
        <v>1760.04</v>
      </c>
      <c r="M173" s="113"/>
    </row>
    <row r="174" spans="1:14" s="114" customFormat="1" x14ac:dyDescent="0.2">
      <c r="A174" s="240">
        <v>46234</v>
      </c>
      <c r="B174" s="241">
        <v>70291</v>
      </c>
      <c r="C174" s="241" t="s">
        <v>6279</v>
      </c>
      <c r="D174" s="242" t="s">
        <v>6281</v>
      </c>
      <c r="E174" s="241">
        <v>10</v>
      </c>
      <c r="F174" s="243">
        <v>252</v>
      </c>
      <c r="G174" s="243">
        <v>300</v>
      </c>
      <c r="H174" s="244"/>
      <c r="I174" s="244">
        <f t="shared" si="12"/>
        <v>3000</v>
      </c>
      <c r="J174" s="245"/>
      <c r="K174" s="245">
        <f t="shared" si="16"/>
        <v>3000</v>
      </c>
      <c r="L174" s="246">
        <f>E174*F174</f>
        <v>2520</v>
      </c>
      <c r="M174" s="113"/>
    </row>
    <row r="175" spans="1:14" s="75" customFormat="1" ht="13.5" thickBot="1" x14ac:dyDescent="0.25">
      <c r="A175" s="260" t="s">
        <v>0</v>
      </c>
      <c r="B175" s="261"/>
      <c r="C175" s="261"/>
      <c r="D175" s="262"/>
      <c r="E175" s="74">
        <f>SUM(E6:E174)</f>
        <v>4811</v>
      </c>
      <c r="F175" s="74">
        <f t="shared" ref="F175:L175" si="18">SUM(F6:F174)</f>
        <v>19177.75</v>
      </c>
      <c r="G175" s="74">
        <f t="shared" si="18"/>
        <v>30441.5</v>
      </c>
      <c r="H175" s="74">
        <f t="shared" si="18"/>
        <v>25938</v>
      </c>
      <c r="I175" s="74">
        <f t="shared" si="18"/>
        <v>256502.25</v>
      </c>
      <c r="J175" s="74">
        <f t="shared" si="18"/>
        <v>0</v>
      </c>
      <c r="K175" s="239">
        <f t="shared" si="18"/>
        <v>282440.25</v>
      </c>
      <c r="L175" s="74">
        <f t="shared" si="18"/>
        <v>164038.02000000002</v>
      </c>
      <c r="M175" s="61"/>
    </row>
    <row r="176" spans="1:14" x14ac:dyDescent="0.2">
      <c r="G176" s="79"/>
      <c r="H176" s="79"/>
      <c r="I176" s="79"/>
      <c r="J176" s="79"/>
      <c r="K176" s="231" t="s">
        <v>16</v>
      </c>
      <c r="L176" s="71">
        <f>25938+31.5</f>
        <v>25969.5</v>
      </c>
      <c r="M176" s="76">
        <v>46234</v>
      </c>
      <c r="N176" s="55" t="s">
        <v>6259</v>
      </c>
    </row>
    <row r="177" spans="1:13" x14ac:dyDescent="0.2">
      <c r="D177" s="102"/>
      <c r="E177" s="80"/>
      <c r="F177" s="103"/>
      <c r="G177" s="79"/>
      <c r="H177" s="83"/>
      <c r="I177" s="83"/>
      <c r="J177" s="79"/>
      <c r="K177" s="231" t="s">
        <v>1704</v>
      </c>
      <c r="L177" s="73">
        <f>250254.75+2160+4056</f>
        <v>256470.75</v>
      </c>
      <c r="M177" s="137"/>
    </row>
    <row r="178" spans="1:13" x14ac:dyDescent="0.2">
      <c r="D178" s="102"/>
      <c r="E178" s="80"/>
      <c r="F178" s="81"/>
      <c r="G178" s="79"/>
      <c r="H178" s="83"/>
      <c r="I178" s="79"/>
      <c r="J178" s="79"/>
      <c r="K178" s="231" t="s">
        <v>0</v>
      </c>
      <c r="L178" s="229">
        <f>SUM(L176:L177)</f>
        <v>282440.25</v>
      </c>
      <c r="M178" s="61"/>
    </row>
    <row r="179" spans="1:13" x14ac:dyDescent="0.2">
      <c r="A179" s="84"/>
      <c r="C179" s="85"/>
      <c r="D179" s="86"/>
      <c r="E179" s="85"/>
      <c r="F179" s="85"/>
      <c r="G179" s="79"/>
      <c r="H179" s="79"/>
      <c r="I179" s="85"/>
      <c r="J179" s="85"/>
      <c r="K179" s="85"/>
      <c r="L179" s="79">
        <f>K175-L178</f>
        <v>0</v>
      </c>
      <c r="M179" s="61"/>
    </row>
    <row r="180" spans="1:13" x14ac:dyDescent="0.2">
      <c r="D180" s="102"/>
      <c r="E180" s="80"/>
      <c r="F180" s="103"/>
      <c r="G180" s="82"/>
      <c r="H180" s="83"/>
      <c r="I180" s="79"/>
      <c r="J180" s="79"/>
    </row>
    <row r="181" spans="1:13" x14ac:dyDescent="0.2">
      <c r="D181" s="102"/>
      <c r="E181" s="80"/>
      <c r="F181" s="81"/>
      <c r="G181" s="81"/>
      <c r="H181" s="83"/>
      <c r="I181" s="79"/>
      <c r="J181" s="79"/>
      <c r="K181" s="79"/>
    </row>
    <row r="182" spans="1:13" x14ac:dyDescent="0.2">
      <c r="D182" s="102"/>
      <c r="E182" s="80"/>
      <c r="F182" s="103"/>
      <c r="G182" s="81"/>
      <c r="H182" s="83"/>
      <c r="I182" s="79"/>
      <c r="J182" s="79"/>
      <c r="K182" s="79"/>
    </row>
    <row r="183" spans="1:13" x14ac:dyDescent="0.2">
      <c r="D183" s="132"/>
      <c r="E183" s="80"/>
      <c r="F183" s="103"/>
      <c r="G183" s="82"/>
      <c r="H183" s="83"/>
      <c r="I183" s="79"/>
      <c r="J183" s="79"/>
      <c r="K183" s="79"/>
    </row>
    <row r="184" spans="1:13" x14ac:dyDescent="0.2">
      <c r="D184" s="102"/>
      <c r="E184" s="80"/>
      <c r="F184" s="103"/>
      <c r="G184" s="82"/>
      <c r="H184" s="83"/>
      <c r="I184" s="79"/>
      <c r="J184" s="79"/>
      <c r="K184" s="79"/>
    </row>
    <row r="185" spans="1:13" x14ac:dyDescent="0.2">
      <c r="D185" s="102"/>
      <c r="E185" s="80"/>
      <c r="F185" s="103"/>
      <c r="G185" s="82"/>
      <c r="H185" s="83"/>
      <c r="I185" s="79"/>
      <c r="J185" s="79"/>
      <c r="K185" s="79"/>
    </row>
    <row r="186" spans="1:13" x14ac:dyDescent="0.2">
      <c r="D186" s="102"/>
      <c r="E186" s="80"/>
      <c r="F186" s="81"/>
      <c r="G186" s="81"/>
      <c r="H186" s="83"/>
      <c r="I186" s="79"/>
      <c r="J186" s="79"/>
      <c r="K186" s="79"/>
    </row>
    <row r="187" spans="1:13" x14ac:dyDescent="0.2">
      <c r="D187" s="102"/>
      <c r="E187" s="80"/>
      <c r="F187" s="81"/>
      <c r="G187" s="81"/>
      <c r="H187" s="83"/>
      <c r="I187" s="79"/>
      <c r="J187" s="79"/>
      <c r="K187" s="79"/>
    </row>
    <row r="188" spans="1:13" x14ac:dyDescent="0.2">
      <c r="D188" s="102"/>
      <c r="E188" s="80"/>
      <c r="F188" s="103"/>
      <c r="G188" s="82"/>
      <c r="H188" s="83"/>
      <c r="I188" s="79"/>
      <c r="J188" s="79"/>
      <c r="K188" s="79"/>
    </row>
    <row r="189" spans="1:13" x14ac:dyDescent="0.2">
      <c r="D189" s="102"/>
      <c r="E189" s="80"/>
      <c r="F189" s="103"/>
      <c r="G189" s="82"/>
      <c r="H189" s="83"/>
      <c r="I189" s="79"/>
      <c r="J189" s="79"/>
      <c r="K189" s="79"/>
    </row>
  </sheetData>
  <mergeCells count="1">
    <mergeCell ref="A175:D175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45B4-C438-406F-9B44-6EDC7A9EA7ED}">
  <sheetPr>
    <tabColor rgb="FF8DFB43"/>
  </sheetPr>
  <dimension ref="A1:M1409"/>
  <sheetViews>
    <sheetView topLeftCell="A22" zoomScale="85" zoomScaleNormal="85" workbookViewId="0">
      <selection activeCell="B173" sqref="B173"/>
    </sheetView>
  </sheetViews>
  <sheetFormatPr defaultColWidth="9.140625" defaultRowHeight="12.75" x14ac:dyDescent="0.2"/>
  <cols>
    <col min="1" max="1" width="12.5703125" style="218" customWidth="1"/>
    <col min="2" max="2" width="20.140625" style="139" customWidth="1"/>
    <col min="3" max="3" width="16.5703125" style="139" customWidth="1"/>
    <col min="4" max="4" width="44.28515625" style="205" customWidth="1"/>
    <col min="5" max="5" width="11.140625" style="139" customWidth="1"/>
    <col min="6" max="6" width="13.7109375" style="139" customWidth="1"/>
    <col min="7" max="7" width="15" style="140" customWidth="1"/>
    <col min="8" max="8" width="14" style="140" customWidth="1"/>
    <col min="9" max="9" width="12.7109375" style="140" customWidth="1"/>
    <col min="10" max="10" width="14" style="140" customWidth="1"/>
    <col min="11" max="11" width="14.140625" style="140" customWidth="1"/>
    <col min="12" max="12" width="16.28515625" style="139" customWidth="1"/>
    <col min="13" max="13" width="15.5703125" style="114" customWidth="1"/>
    <col min="14" max="14" width="10.5703125" style="114" customWidth="1"/>
    <col min="15" max="16384" width="9.140625" style="114"/>
  </cols>
  <sheetData>
    <row r="1" spans="1:13" x14ac:dyDescent="0.2">
      <c r="A1" s="203" t="s">
        <v>1</v>
      </c>
      <c r="D1" s="138"/>
      <c r="L1" s="204"/>
    </row>
    <row r="2" spans="1:13" ht="13.5" thickBot="1" x14ac:dyDescent="0.25">
      <c r="A2" s="203" t="s">
        <v>1775</v>
      </c>
    </row>
    <row r="3" spans="1:13" ht="13.5" thickBot="1" x14ac:dyDescent="0.25">
      <c r="A3" s="206" t="s">
        <v>5201</v>
      </c>
      <c r="E3" s="207">
        <f>+E1394</f>
        <v>3577</v>
      </c>
      <c r="H3" s="208">
        <f>H1394</f>
        <v>148633.65000000002</v>
      </c>
      <c r="I3" s="208">
        <f>I1394</f>
        <v>24000</v>
      </c>
      <c r="J3" s="208">
        <f>J1394</f>
        <v>670</v>
      </c>
      <c r="K3" s="209">
        <f>K1394</f>
        <v>171963.65000000002</v>
      </c>
      <c r="L3" s="204"/>
    </row>
    <row r="4" spans="1:13" ht="13.5" thickBot="1" x14ac:dyDescent="0.25">
      <c r="A4" s="203"/>
    </row>
    <row r="5" spans="1:13" s="215" customFormat="1" ht="45" customHeight="1" thickBot="1" x14ac:dyDescent="0.25">
      <c r="A5" s="210" t="s">
        <v>2</v>
      </c>
      <c r="B5" s="211" t="s">
        <v>7</v>
      </c>
      <c r="C5" s="211" t="s">
        <v>19</v>
      </c>
      <c r="D5" s="211" t="s">
        <v>4</v>
      </c>
      <c r="E5" s="211" t="s">
        <v>3</v>
      </c>
      <c r="F5" s="211" t="s">
        <v>18</v>
      </c>
      <c r="G5" s="212" t="s">
        <v>5</v>
      </c>
      <c r="H5" s="212" t="s">
        <v>1258</v>
      </c>
      <c r="I5" s="212" t="s">
        <v>1257</v>
      </c>
      <c r="J5" s="213" t="s">
        <v>8</v>
      </c>
      <c r="K5" s="214" t="s">
        <v>9</v>
      </c>
      <c r="L5" s="214" t="s">
        <v>31</v>
      </c>
    </row>
    <row r="6" spans="1:13" ht="14.25" customHeight="1" x14ac:dyDescent="0.2">
      <c r="A6" s="116" t="s">
        <v>5228</v>
      </c>
      <c r="B6" s="117" t="s">
        <v>3569</v>
      </c>
      <c r="C6" s="117" t="s">
        <v>5251</v>
      </c>
      <c r="D6" s="216" t="s">
        <v>3571</v>
      </c>
      <c r="E6" s="117">
        <v>1</v>
      </c>
      <c r="F6" s="133">
        <v>21.88</v>
      </c>
      <c r="G6" s="133">
        <v>25.25</v>
      </c>
      <c r="H6" s="109">
        <f t="shared" ref="H6:H69" si="0">E6*G6</f>
        <v>25.25</v>
      </c>
      <c r="I6" s="119"/>
      <c r="J6" s="119"/>
      <c r="K6" s="119">
        <f>H6+I6-J6</f>
        <v>25.25</v>
      </c>
      <c r="L6" s="152">
        <f>E6*F6</f>
        <v>21.88</v>
      </c>
      <c r="M6" s="113"/>
    </row>
    <row r="7" spans="1:13" ht="14.25" customHeight="1" x14ac:dyDescent="0.2">
      <c r="A7" s="106" t="s">
        <v>5228</v>
      </c>
      <c r="B7" s="105" t="s">
        <v>2429</v>
      </c>
      <c r="C7" s="117" t="s">
        <v>5251</v>
      </c>
      <c r="D7" s="149" t="s">
        <v>2431</v>
      </c>
      <c r="E7" s="105">
        <v>1</v>
      </c>
      <c r="F7" s="133">
        <v>14.31</v>
      </c>
      <c r="G7" s="133">
        <v>16.5</v>
      </c>
      <c r="H7" s="109">
        <f t="shared" si="0"/>
        <v>16.5</v>
      </c>
      <c r="I7" s="119"/>
      <c r="J7" s="119"/>
      <c r="K7" s="119">
        <f t="shared" ref="K7:K70" si="1">H7+I7-J7</f>
        <v>16.5</v>
      </c>
      <c r="L7" s="152">
        <f t="shared" ref="L7:L70" si="2">E7*F7</f>
        <v>14.31</v>
      </c>
      <c r="M7" s="113"/>
    </row>
    <row r="8" spans="1:13" ht="14.25" customHeight="1" x14ac:dyDescent="0.2">
      <c r="A8" s="106" t="s">
        <v>5228</v>
      </c>
      <c r="B8" s="105" t="s">
        <v>3446</v>
      </c>
      <c r="C8" s="117" t="s">
        <v>5251</v>
      </c>
      <c r="D8" s="149" t="s">
        <v>3447</v>
      </c>
      <c r="E8" s="105">
        <v>1</v>
      </c>
      <c r="F8" s="133">
        <v>33.75</v>
      </c>
      <c r="G8" s="133">
        <v>39</v>
      </c>
      <c r="H8" s="109">
        <f t="shared" si="0"/>
        <v>39</v>
      </c>
      <c r="I8" s="119"/>
      <c r="J8" s="119"/>
      <c r="K8" s="119">
        <f t="shared" si="1"/>
        <v>39</v>
      </c>
      <c r="L8" s="152">
        <f t="shared" si="2"/>
        <v>33.75</v>
      </c>
      <c r="M8" s="113"/>
    </row>
    <row r="9" spans="1:13" ht="14.25" customHeight="1" x14ac:dyDescent="0.2">
      <c r="A9" s="106" t="s">
        <v>5228</v>
      </c>
      <c r="B9" s="105" t="s">
        <v>2035</v>
      </c>
      <c r="C9" s="117" t="s">
        <v>5251</v>
      </c>
      <c r="D9" s="149" t="s">
        <v>2036</v>
      </c>
      <c r="E9" s="105">
        <v>1</v>
      </c>
      <c r="F9" s="133">
        <v>23.15</v>
      </c>
      <c r="G9" s="133">
        <v>26.75</v>
      </c>
      <c r="H9" s="109">
        <f t="shared" si="0"/>
        <v>26.75</v>
      </c>
      <c r="I9" s="119"/>
      <c r="J9" s="119"/>
      <c r="K9" s="119">
        <f t="shared" si="1"/>
        <v>26.75</v>
      </c>
      <c r="L9" s="152">
        <f t="shared" si="2"/>
        <v>23.15</v>
      </c>
      <c r="M9" s="113"/>
    </row>
    <row r="10" spans="1:13" ht="14.25" customHeight="1" x14ac:dyDescent="0.2">
      <c r="A10" s="106" t="s">
        <v>5228</v>
      </c>
      <c r="B10" s="105" t="s">
        <v>5232</v>
      </c>
      <c r="C10" s="117" t="s">
        <v>5251</v>
      </c>
      <c r="D10" s="149" t="s">
        <v>5392</v>
      </c>
      <c r="E10" s="105">
        <v>1</v>
      </c>
      <c r="F10" s="133">
        <v>22.59</v>
      </c>
      <c r="G10" s="133">
        <v>26</v>
      </c>
      <c r="H10" s="109">
        <f t="shared" si="0"/>
        <v>26</v>
      </c>
      <c r="I10" s="119"/>
      <c r="J10" s="119"/>
      <c r="K10" s="119">
        <f t="shared" si="1"/>
        <v>26</v>
      </c>
      <c r="L10" s="152">
        <f t="shared" si="2"/>
        <v>22.59</v>
      </c>
      <c r="M10" s="113"/>
    </row>
    <row r="11" spans="1:13" ht="14.25" customHeight="1" x14ac:dyDescent="0.2">
      <c r="A11" s="106" t="s">
        <v>5228</v>
      </c>
      <c r="B11" s="105" t="s">
        <v>1969</v>
      </c>
      <c r="C11" s="117" t="s">
        <v>5251</v>
      </c>
      <c r="D11" s="149" t="s">
        <v>1970</v>
      </c>
      <c r="E11" s="105">
        <v>1</v>
      </c>
      <c r="F11" s="133">
        <v>3.6</v>
      </c>
      <c r="G11" s="133">
        <v>4.25</v>
      </c>
      <c r="H11" s="109">
        <f t="shared" si="0"/>
        <v>4.25</v>
      </c>
      <c r="I11" s="119"/>
      <c r="J11" s="119"/>
      <c r="K11" s="119">
        <f t="shared" si="1"/>
        <v>4.25</v>
      </c>
      <c r="L11" s="152">
        <f t="shared" si="2"/>
        <v>3.6</v>
      </c>
      <c r="M11" s="113"/>
    </row>
    <row r="12" spans="1:13" ht="14.25" customHeight="1" x14ac:dyDescent="0.2">
      <c r="A12" s="106" t="s">
        <v>5228</v>
      </c>
      <c r="B12" s="105" t="s">
        <v>2690</v>
      </c>
      <c r="C12" s="117" t="s">
        <v>5251</v>
      </c>
      <c r="D12" s="149" t="s">
        <v>2692</v>
      </c>
      <c r="E12" s="105">
        <v>1</v>
      </c>
      <c r="F12" s="133">
        <v>32.86</v>
      </c>
      <c r="G12" s="133">
        <v>38</v>
      </c>
      <c r="H12" s="109">
        <f t="shared" si="0"/>
        <v>38</v>
      </c>
      <c r="I12" s="119"/>
      <c r="J12" s="119"/>
      <c r="K12" s="119">
        <f t="shared" si="1"/>
        <v>38</v>
      </c>
      <c r="L12" s="152">
        <f t="shared" si="2"/>
        <v>32.86</v>
      </c>
      <c r="M12" s="113"/>
    </row>
    <row r="13" spans="1:13" ht="14.25" customHeight="1" x14ac:dyDescent="0.2">
      <c r="A13" s="106" t="s">
        <v>5228</v>
      </c>
      <c r="B13" s="105" t="s">
        <v>1967</v>
      </c>
      <c r="C13" s="117" t="s">
        <v>5251</v>
      </c>
      <c r="D13" s="149" t="s">
        <v>1968</v>
      </c>
      <c r="E13" s="105">
        <v>1</v>
      </c>
      <c r="F13" s="133">
        <v>8.1999999999999993</v>
      </c>
      <c r="G13" s="133">
        <v>10</v>
      </c>
      <c r="H13" s="109">
        <f t="shared" si="0"/>
        <v>10</v>
      </c>
      <c r="I13" s="119"/>
      <c r="J13" s="119"/>
      <c r="K13" s="119">
        <f t="shared" si="1"/>
        <v>10</v>
      </c>
      <c r="L13" s="152">
        <f t="shared" si="2"/>
        <v>8.1999999999999993</v>
      </c>
      <c r="M13" s="113"/>
    </row>
    <row r="14" spans="1:13" ht="14.25" customHeight="1" x14ac:dyDescent="0.2">
      <c r="A14" s="106" t="s">
        <v>5228</v>
      </c>
      <c r="B14" s="105" t="s">
        <v>3088</v>
      </c>
      <c r="C14" s="117" t="s">
        <v>5251</v>
      </c>
      <c r="D14" s="149" t="s">
        <v>3090</v>
      </c>
      <c r="E14" s="105">
        <v>1</v>
      </c>
      <c r="F14" s="133">
        <v>23.75</v>
      </c>
      <c r="G14" s="133">
        <v>27.5</v>
      </c>
      <c r="H14" s="109">
        <f t="shared" si="0"/>
        <v>27.5</v>
      </c>
      <c r="I14" s="119"/>
      <c r="J14" s="119"/>
      <c r="K14" s="119">
        <f t="shared" si="1"/>
        <v>27.5</v>
      </c>
      <c r="L14" s="152">
        <f t="shared" si="2"/>
        <v>23.75</v>
      </c>
      <c r="M14" s="113"/>
    </row>
    <row r="15" spans="1:13" ht="14.25" customHeight="1" x14ac:dyDescent="0.2">
      <c r="A15" s="106" t="s">
        <v>5228</v>
      </c>
      <c r="B15" s="105" t="s">
        <v>2363</v>
      </c>
      <c r="C15" s="117" t="s">
        <v>5251</v>
      </c>
      <c r="D15" s="149" t="s">
        <v>2365</v>
      </c>
      <c r="E15" s="105">
        <v>2</v>
      </c>
      <c r="F15" s="133">
        <v>12.66</v>
      </c>
      <c r="G15" s="133">
        <v>14.25</v>
      </c>
      <c r="H15" s="109">
        <f t="shared" si="0"/>
        <v>28.5</v>
      </c>
      <c r="I15" s="119"/>
      <c r="J15" s="119"/>
      <c r="K15" s="119">
        <f t="shared" si="1"/>
        <v>28.5</v>
      </c>
      <c r="L15" s="152">
        <f t="shared" si="2"/>
        <v>25.32</v>
      </c>
      <c r="M15" s="113"/>
    </row>
    <row r="16" spans="1:13" ht="14.25" customHeight="1" x14ac:dyDescent="0.2">
      <c r="A16" s="106" t="s">
        <v>5228</v>
      </c>
      <c r="B16" s="105" t="s">
        <v>4806</v>
      </c>
      <c r="C16" s="117" t="s">
        <v>5251</v>
      </c>
      <c r="D16" s="149" t="s">
        <v>4874</v>
      </c>
      <c r="E16" s="105">
        <v>1</v>
      </c>
      <c r="F16" s="133">
        <v>8.58</v>
      </c>
      <c r="G16" s="133">
        <v>10</v>
      </c>
      <c r="H16" s="109">
        <f t="shared" si="0"/>
        <v>10</v>
      </c>
      <c r="I16" s="119"/>
      <c r="J16" s="119"/>
      <c r="K16" s="119">
        <f t="shared" si="1"/>
        <v>10</v>
      </c>
      <c r="L16" s="152">
        <f t="shared" si="2"/>
        <v>8.58</v>
      </c>
      <c r="M16" s="113"/>
    </row>
    <row r="17" spans="1:13" ht="14.25" customHeight="1" x14ac:dyDescent="0.2">
      <c r="A17" s="106" t="s">
        <v>5228</v>
      </c>
      <c r="B17" s="105" t="s">
        <v>2002</v>
      </c>
      <c r="C17" s="117" t="s">
        <v>5251</v>
      </c>
      <c r="D17" s="149" t="s">
        <v>2004</v>
      </c>
      <c r="E17" s="105">
        <v>1</v>
      </c>
      <c r="F17" s="133">
        <v>12.56</v>
      </c>
      <c r="G17" s="133">
        <v>14.25</v>
      </c>
      <c r="H17" s="109">
        <f t="shared" si="0"/>
        <v>14.25</v>
      </c>
      <c r="I17" s="119"/>
      <c r="J17" s="119"/>
      <c r="K17" s="119">
        <f t="shared" si="1"/>
        <v>14.25</v>
      </c>
      <c r="L17" s="152">
        <f t="shared" si="2"/>
        <v>12.56</v>
      </c>
      <c r="M17" s="113"/>
    </row>
    <row r="18" spans="1:13" ht="14.25" customHeight="1" x14ac:dyDescent="0.2">
      <c r="A18" s="106" t="s">
        <v>5228</v>
      </c>
      <c r="B18" s="105" t="s">
        <v>4035</v>
      </c>
      <c r="C18" s="117" t="s">
        <v>5251</v>
      </c>
      <c r="D18" s="149" t="s">
        <v>4036</v>
      </c>
      <c r="E18" s="105">
        <v>1</v>
      </c>
      <c r="F18" s="133">
        <v>62.8</v>
      </c>
      <c r="G18" s="133">
        <v>72.25</v>
      </c>
      <c r="H18" s="109">
        <f t="shared" si="0"/>
        <v>72.25</v>
      </c>
      <c r="I18" s="119"/>
      <c r="J18" s="119"/>
      <c r="K18" s="119">
        <f t="shared" si="1"/>
        <v>72.25</v>
      </c>
      <c r="L18" s="152">
        <f t="shared" si="2"/>
        <v>62.8</v>
      </c>
      <c r="M18" s="113"/>
    </row>
    <row r="19" spans="1:13" ht="14.25" customHeight="1" x14ac:dyDescent="0.2">
      <c r="A19" s="106" t="s">
        <v>5228</v>
      </c>
      <c r="B19" s="105" t="s">
        <v>1915</v>
      </c>
      <c r="C19" s="117" t="s">
        <v>5251</v>
      </c>
      <c r="D19" s="149" t="s">
        <v>1917</v>
      </c>
      <c r="E19" s="105">
        <v>1</v>
      </c>
      <c r="F19" s="133">
        <v>7.85</v>
      </c>
      <c r="G19" s="133">
        <v>12</v>
      </c>
      <c r="H19" s="109">
        <f t="shared" si="0"/>
        <v>12</v>
      </c>
      <c r="I19" s="119"/>
      <c r="J19" s="119"/>
      <c r="K19" s="119">
        <f t="shared" si="1"/>
        <v>12</v>
      </c>
      <c r="L19" s="152">
        <f t="shared" si="2"/>
        <v>7.85</v>
      </c>
      <c r="M19" s="113"/>
    </row>
    <row r="20" spans="1:13" ht="14.25" customHeight="1" x14ac:dyDescent="0.2">
      <c r="A20" s="106" t="s">
        <v>5228</v>
      </c>
      <c r="B20" s="105" t="s">
        <v>3072</v>
      </c>
      <c r="C20" s="117" t="s">
        <v>5251</v>
      </c>
      <c r="D20" s="149" t="s">
        <v>3074</v>
      </c>
      <c r="E20" s="105">
        <v>1</v>
      </c>
      <c r="F20" s="133">
        <v>16.91</v>
      </c>
      <c r="G20" s="133">
        <v>18.600000000000001</v>
      </c>
      <c r="H20" s="109">
        <f t="shared" si="0"/>
        <v>18.600000000000001</v>
      </c>
      <c r="I20" s="119"/>
      <c r="J20" s="119"/>
      <c r="K20" s="119">
        <f t="shared" si="1"/>
        <v>18.600000000000001</v>
      </c>
      <c r="L20" s="152">
        <f t="shared" si="2"/>
        <v>16.91</v>
      </c>
      <c r="M20" s="113"/>
    </row>
    <row r="21" spans="1:13" ht="14.25" customHeight="1" x14ac:dyDescent="0.2">
      <c r="A21" s="106" t="s">
        <v>5228</v>
      </c>
      <c r="B21" s="105" t="s">
        <v>2237</v>
      </c>
      <c r="C21" s="117" t="s">
        <v>5251</v>
      </c>
      <c r="D21" s="149" t="s">
        <v>2239</v>
      </c>
      <c r="E21" s="105">
        <v>6</v>
      </c>
      <c r="F21" s="133">
        <v>13.32</v>
      </c>
      <c r="G21" s="133">
        <v>15.5</v>
      </c>
      <c r="H21" s="109">
        <f t="shared" si="0"/>
        <v>93</v>
      </c>
      <c r="I21" s="119"/>
      <c r="J21" s="119"/>
      <c r="K21" s="119">
        <f t="shared" si="1"/>
        <v>93</v>
      </c>
      <c r="L21" s="152">
        <f t="shared" si="2"/>
        <v>79.92</v>
      </c>
      <c r="M21" s="113"/>
    </row>
    <row r="22" spans="1:13" ht="14.25" customHeight="1" x14ac:dyDescent="0.2">
      <c r="A22" s="106" t="s">
        <v>5228</v>
      </c>
      <c r="B22" s="105" t="s">
        <v>2407</v>
      </c>
      <c r="C22" s="117" t="s">
        <v>5251</v>
      </c>
      <c r="D22" s="149" t="s">
        <v>2409</v>
      </c>
      <c r="E22" s="105">
        <v>1</v>
      </c>
      <c r="F22" s="133">
        <v>94.58</v>
      </c>
      <c r="G22" s="133">
        <v>109</v>
      </c>
      <c r="H22" s="109">
        <f t="shared" si="0"/>
        <v>109</v>
      </c>
      <c r="I22" s="119"/>
      <c r="J22" s="119"/>
      <c r="K22" s="119">
        <f t="shared" si="1"/>
        <v>109</v>
      </c>
      <c r="L22" s="152">
        <f t="shared" si="2"/>
        <v>94.58</v>
      </c>
      <c r="M22" s="113"/>
    </row>
    <row r="23" spans="1:13" ht="14.25" customHeight="1" x14ac:dyDescent="0.2">
      <c r="A23" s="106" t="s">
        <v>5228</v>
      </c>
      <c r="B23" s="105" t="s">
        <v>2063</v>
      </c>
      <c r="C23" s="117" t="s">
        <v>5251</v>
      </c>
      <c r="D23" s="149" t="s">
        <v>2065</v>
      </c>
      <c r="E23" s="105">
        <v>1</v>
      </c>
      <c r="F23" s="133">
        <v>40.74</v>
      </c>
      <c r="G23" s="133">
        <v>48.5</v>
      </c>
      <c r="H23" s="109">
        <f t="shared" si="0"/>
        <v>48.5</v>
      </c>
      <c r="I23" s="119"/>
      <c r="J23" s="119"/>
      <c r="K23" s="119">
        <f t="shared" si="1"/>
        <v>48.5</v>
      </c>
      <c r="L23" s="152">
        <f t="shared" si="2"/>
        <v>40.74</v>
      </c>
      <c r="M23" s="113"/>
    </row>
    <row r="24" spans="1:13" ht="14.25" customHeight="1" x14ac:dyDescent="0.2">
      <c r="A24" s="106" t="s">
        <v>5228</v>
      </c>
      <c r="B24" s="105" t="s">
        <v>3909</v>
      </c>
      <c r="C24" s="117" t="s">
        <v>5251</v>
      </c>
      <c r="D24" s="149" t="s">
        <v>3911</v>
      </c>
      <c r="E24" s="105">
        <v>1</v>
      </c>
      <c r="F24" s="133">
        <v>7.06</v>
      </c>
      <c r="G24" s="133">
        <v>8.25</v>
      </c>
      <c r="H24" s="109">
        <f t="shared" si="0"/>
        <v>8.25</v>
      </c>
      <c r="I24" s="119"/>
      <c r="J24" s="119"/>
      <c r="K24" s="119">
        <f t="shared" si="1"/>
        <v>8.25</v>
      </c>
      <c r="L24" s="152">
        <f t="shared" si="2"/>
        <v>7.06</v>
      </c>
      <c r="M24" s="113"/>
    </row>
    <row r="25" spans="1:13" ht="14.25" customHeight="1" x14ac:dyDescent="0.2">
      <c r="A25" s="106" t="s">
        <v>5228</v>
      </c>
      <c r="B25" s="105" t="s">
        <v>3753</v>
      </c>
      <c r="C25" s="117" t="s">
        <v>5251</v>
      </c>
      <c r="D25" s="149" t="s">
        <v>3755</v>
      </c>
      <c r="E25" s="105">
        <v>1</v>
      </c>
      <c r="F25" s="133">
        <v>18.98</v>
      </c>
      <c r="G25" s="133">
        <v>22</v>
      </c>
      <c r="H25" s="109">
        <f t="shared" si="0"/>
        <v>22</v>
      </c>
      <c r="I25" s="119"/>
      <c r="J25" s="119"/>
      <c r="K25" s="119">
        <f t="shared" si="1"/>
        <v>22</v>
      </c>
      <c r="L25" s="152">
        <f t="shared" si="2"/>
        <v>18.98</v>
      </c>
      <c r="M25" s="113"/>
    </row>
    <row r="26" spans="1:13" ht="14.25" customHeight="1" x14ac:dyDescent="0.2">
      <c r="A26" s="106" t="s">
        <v>5228</v>
      </c>
      <c r="B26" s="105" t="s">
        <v>3457</v>
      </c>
      <c r="C26" s="105" t="s">
        <v>5252</v>
      </c>
      <c r="D26" s="149" t="s">
        <v>3458</v>
      </c>
      <c r="E26" s="105">
        <v>2</v>
      </c>
      <c r="F26" s="133">
        <v>51.97</v>
      </c>
      <c r="G26" s="133">
        <v>60</v>
      </c>
      <c r="H26" s="109">
        <f t="shared" si="0"/>
        <v>120</v>
      </c>
      <c r="I26" s="119"/>
      <c r="J26" s="119"/>
      <c r="K26" s="119">
        <f t="shared" si="1"/>
        <v>120</v>
      </c>
      <c r="L26" s="152">
        <f t="shared" si="2"/>
        <v>103.94</v>
      </c>
      <c r="M26" s="113"/>
    </row>
    <row r="27" spans="1:13" ht="14.25" customHeight="1" x14ac:dyDescent="0.2">
      <c r="A27" s="106" t="s">
        <v>5228</v>
      </c>
      <c r="B27" s="105" t="s">
        <v>1826</v>
      </c>
      <c r="C27" s="105" t="s">
        <v>5253</v>
      </c>
      <c r="D27" s="149" t="s">
        <v>1827</v>
      </c>
      <c r="E27" s="105">
        <v>1</v>
      </c>
      <c r="F27" s="133">
        <v>90</v>
      </c>
      <c r="G27" s="133">
        <v>120</v>
      </c>
      <c r="H27" s="109">
        <f t="shared" si="0"/>
        <v>120</v>
      </c>
      <c r="I27" s="119"/>
      <c r="J27" s="119">
        <v>20</v>
      </c>
      <c r="K27" s="119">
        <f t="shared" si="1"/>
        <v>100</v>
      </c>
      <c r="L27" s="152">
        <f t="shared" si="2"/>
        <v>90</v>
      </c>
      <c r="M27" s="113"/>
    </row>
    <row r="28" spans="1:13" ht="14.25" customHeight="1" x14ac:dyDescent="0.2">
      <c r="A28" s="106" t="s">
        <v>5228</v>
      </c>
      <c r="B28" s="105" t="s">
        <v>5233</v>
      </c>
      <c r="C28" s="105" t="s">
        <v>5254</v>
      </c>
      <c r="D28" s="149" t="s">
        <v>5393</v>
      </c>
      <c r="E28" s="105">
        <v>1</v>
      </c>
      <c r="F28" s="133">
        <v>37.5</v>
      </c>
      <c r="G28" s="133">
        <v>43.25</v>
      </c>
      <c r="H28" s="109">
        <f t="shared" si="0"/>
        <v>43.25</v>
      </c>
      <c r="I28" s="119"/>
      <c r="J28" s="119"/>
      <c r="K28" s="119">
        <f t="shared" si="1"/>
        <v>43.25</v>
      </c>
      <c r="L28" s="152">
        <f t="shared" si="2"/>
        <v>37.5</v>
      </c>
      <c r="M28" s="113"/>
    </row>
    <row r="29" spans="1:13" ht="14.25" customHeight="1" x14ac:dyDescent="0.2">
      <c r="A29" s="106" t="s">
        <v>5228</v>
      </c>
      <c r="B29" s="105" t="s">
        <v>3225</v>
      </c>
      <c r="C29" s="105" t="s">
        <v>5254</v>
      </c>
      <c r="D29" s="149" t="s">
        <v>3227</v>
      </c>
      <c r="E29" s="105">
        <v>1</v>
      </c>
      <c r="F29" s="133">
        <v>21.88</v>
      </c>
      <c r="G29" s="133">
        <v>24.5</v>
      </c>
      <c r="H29" s="109">
        <f t="shared" si="0"/>
        <v>24.5</v>
      </c>
      <c r="I29" s="119"/>
      <c r="J29" s="119"/>
      <c r="K29" s="119">
        <f t="shared" si="1"/>
        <v>24.5</v>
      </c>
      <c r="L29" s="152">
        <f t="shared" si="2"/>
        <v>21.88</v>
      </c>
      <c r="M29" s="113"/>
    </row>
    <row r="30" spans="1:13" ht="14.25" customHeight="1" x14ac:dyDescent="0.2">
      <c r="A30" s="106" t="s">
        <v>5228</v>
      </c>
      <c r="B30" s="105" t="s">
        <v>2196</v>
      </c>
      <c r="C30" s="105" t="s">
        <v>5254</v>
      </c>
      <c r="D30" s="149" t="s">
        <v>2198</v>
      </c>
      <c r="E30" s="105">
        <v>1</v>
      </c>
      <c r="F30" s="133">
        <v>21.88</v>
      </c>
      <c r="G30" s="133">
        <v>25.25</v>
      </c>
      <c r="H30" s="109">
        <f t="shared" si="0"/>
        <v>25.25</v>
      </c>
      <c r="I30" s="119"/>
      <c r="J30" s="119"/>
      <c r="K30" s="119">
        <f t="shared" si="1"/>
        <v>25.25</v>
      </c>
      <c r="L30" s="152">
        <f t="shared" si="2"/>
        <v>21.88</v>
      </c>
      <c r="M30" s="113"/>
    </row>
    <row r="31" spans="1:13" ht="14.25" customHeight="1" x14ac:dyDescent="0.2">
      <c r="A31" s="106" t="s">
        <v>5228</v>
      </c>
      <c r="B31" s="105" t="s">
        <v>4156</v>
      </c>
      <c r="C31" s="105" t="s">
        <v>5254</v>
      </c>
      <c r="D31" s="149" t="s">
        <v>4157</v>
      </c>
      <c r="E31" s="105">
        <v>1</v>
      </c>
      <c r="F31" s="133">
        <v>6.03</v>
      </c>
      <c r="G31" s="133">
        <v>7</v>
      </c>
      <c r="H31" s="109">
        <f t="shared" si="0"/>
        <v>7</v>
      </c>
      <c r="I31" s="119"/>
      <c r="J31" s="119"/>
      <c r="K31" s="119">
        <f t="shared" si="1"/>
        <v>7</v>
      </c>
      <c r="L31" s="152">
        <f t="shared" si="2"/>
        <v>6.03</v>
      </c>
      <c r="M31" s="113"/>
    </row>
    <row r="32" spans="1:13" ht="14.25" customHeight="1" x14ac:dyDescent="0.2">
      <c r="A32" s="106" t="s">
        <v>5228</v>
      </c>
      <c r="B32" s="105" t="s">
        <v>3360</v>
      </c>
      <c r="C32" s="105" t="s">
        <v>5254</v>
      </c>
      <c r="D32" s="149" t="s">
        <v>3361</v>
      </c>
      <c r="E32" s="105">
        <v>1</v>
      </c>
      <c r="F32" s="133">
        <v>6.03</v>
      </c>
      <c r="G32" s="133">
        <v>7</v>
      </c>
      <c r="H32" s="109">
        <f t="shared" si="0"/>
        <v>7</v>
      </c>
      <c r="I32" s="119"/>
      <c r="J32" s="119"/>
      <c r="K32" s="119">
        <f t="shared" si="1"/>
        <v>7</v>
      </c>
      <c r="L32" s="152">
        <f t="shared" si="2"/>
        <v>6.03</v>
      </c>
      <c r="M32" s="113"/>
    </row>
    <row r="33" spans="1:13" ht="14.25" customHeight="1" x14ac:dyDescent="0.2">
      <c r="A33" s="106" t="s">
        <v>5228</v>
      </c>
      <c r="B33" s="105" t="s">
        <v>4330</v>
      </c>
      <c r="C33" s="105" t="s">
        <v>5254</v>
      </c>
      <c r="D33" s="149" t="s">
        <v>4360</v>
      </c>
      <c r="E33" s="105">
        <v>2</v>
      </c>
      <c r="F33" s="133">
        <v>69.510000000000005</v>
      </c>
      <c r="G33" s="133">
        <v>80</v>
      </c>
      <c r="H33" s="109">
        <f t="shared" si="0"/>
        <v>160</v>
      </c>
      <c r="I33" s="119"/>
      <c r="J33" s="119"/>
      <c r="K33" s="119">
        <f t="shared" si="1"/>
        <v>160</v>
      </c>
      <c r="L33" s="152">
        <f t="shared" si="2"/>
        <v>139.02000000000001</v>
      </c>
      <c r="M33" s="113"/>
    </row>
    <row r="34" spans="1:13" ht="14.25" customHeight="1" x14ac:dyDescent="0.2">
      <c r="A34" s="106" t="s">
        <v>5228</v>
      </c>
      <c r="B34" s="105" t="s">
        <v>3569</v>
      </c>
      <c r="C34" s="105" t="s">
        <v>5254</v>
      </c>
      <c r="D34" s="149" t="s">
        <v>3571</v>
      </c>
      <c r="E34" s="105">
        <v>1</v>
      </c>
      <c r="F34" s="133">
        <v>21.88</v>
      </c>
      <c r="G34" s="133">
        <v>25.25</v>
      </c>
      <c r="H34" s="109">
        <f t="shared" si="0"/>
        <v>25.25</v>
      </c>
      <c r="I34" s="119"/>
      <c r="J34" s="119"/>
      <c r="K34" s="119">
        <f t="shared" si="1"/>
        <v>25.25</v>
      </c>
      <c r="L34" s="152">
        <f t="shared" si="2"/>
        <v>21.88</v>
      </c>
      <c r="M34" s="113"/>
    </row>
    <row r="35" spans="1:13" ht="14.25" customHeight="1" x14ac:dyDescent="0.2">
      <c r="A35" s="106" t="s">
        <v>5228</v>
      </c>
      <c r="B35" s="105" t="s">
        <v>3909</v>
      </c>
      <c r="C35" s="105" t="s">
        <v>5254</v>
      </c>
      <c r="D35" s="149" t="s">
        <v>3911</v>
      </c>
      <c r="E35" s="105">
        <v>2</v>
      </c>
      <c r="F35" s="133">
        <v>7.06</v>
      </c>
      <c r="G35" s="133">
        <v>8.25</v>
      </c>
      <c r="H35" s="109">
        <f t="shared" si="0"/>
        <v>16.5</v>
      </c>
      <c r="I35" s="119"/>
      <c r="J35" s="119"/>
      <c r="K35" s="119">
        <f t="shared" si="1"/>
        <v>16.5</v>
      </c>
      <c r="L35" s="152">
        <f t="shared" si="2"/>
        <v>14.12</v>
      </c>
      <c r="M35" s="113"/>
    </row>
    <row r="36" spans="1:13" ht="14.25" customHeight="1" x14ac:dyDescent="0.2">
      <c r="A36" s="106" t="s">
        <v>5228</v>
      </c>
      <c r="B36" s="105" t="s">
        <v>2963</v>
      </c>
      <c r="C36" s="105" t="s">
        <v>5255</v>
      </c>
      <c r="D36" s="149" t="s">
        <v>2964</v>
      </c>
      <c r="E36" s="105">
        <v>1</v>
      </c>
      <c r="F36" s="133">
        <v>160.51</v>
      </c>
      <c r="G36" s="133">
        <v>184.75</v>
      </c>
      <c r="H36" s="109">
        <f t="shared" si="0"/>
        <v>184.75</v>
      </c>
      <c r="I36" s="119"/>
      <c r="J36" s="119"/>
      <c r="K36" s="119">
        <f t="shared" si="1"/>
        <v>184.75</v>
      </c>
      <c r="L36" s="152">
        <f t="shared" si="2"/>
        <v>160.51</v>
      </c>
      <c r="M36" s="113"/>
    </row>
    <row r="37" spans="1:13" ht="14.25" customHeight="1" x14ac:dyDescent="0.2">
      <c r="A37" s="106" t="s">
        <v>5228</v>
      </c>
      <c r="B37" s="105" t="s">
        <v>3905</v>
      </c>
      <c r="C37" s="105" t="s">
        <v>5255</v>
      </c>
      <c r="D37" s="149" t="s">
        <v>3907</v>
      </c>
      <c r="E37" s="105">
        <v>2</v>
      </c>
      <c r="F37" s="133">
        <v>19.61</v>
      </c>
      <c r="G37" s="133">
        <v>22.75</v>
      </c>
      <c r="H37" s="109">
        <f t="shared" si="0"/>
        <v>45.5</v>
      </c>
      <c r="I37" s="119"/>
      <c r="J37" s="119"/>
      <c r="K37" s="119">
        <f t="shared" si="1"/>
        <v>45.5</v>
      </c>
      <c r="L37" s="152">
        <f t="shared" si="2"/>
        <v>39.22</v>
      </c>
      <c r="M37" s="113"/>
    </row>
    <row r="38" spans="1:13" ht="14.25" customHeight="1" x14ac:dyDescent="0.2">
      <c r="A38" s="106" t="s">
        <v>5228</v>
      </c>
      <c r="B38" s="105" t="s">
        <v>2742</v>
      </c>
      <c r="C38" s="105" t="s">
        <v>5256</v>
      </c>
      <c r="D38" s="149" t="s">
        <v>2743</v>
      </c>
      <c r="E38" s="105">
        <v>1</v>
      </c>
      <c r="F38" s="133">
        <v>16.03</v>
      </c>
      <c r="G38" s="133">
        <v>18.5</v>
      </c>
      <c r="H38" s="109">
        <f t="shared" si="0"/>
        <v>18.5</v>
      </c>
      <c r="I38" s="119"/>
      <c r="J38" s="119"/>
      <c r="K38" s="119">
        <f t="shared" si="1"/>
        <v>18.5</v>
      </c>
      <c r="L38" s="152">
        <f t="shared" si="2"/>
        <v>16.03</v>
      </c>
      <c r="M38" s="113"/>
    </row>
    <row r="39" spans="1:13" ht="14.25" customHeight="1" x14ac:dyDescent="0.2">
      <c r="A39" s="106" t="s">
        <v>5228</v>
      </c>
      <c r="B39" s="105" t="s">
        <v>1854</v>
      </c>
      <c r="C39" s="105" t="s">
        <v>5257</v>
      </c>
      <c r="D39" s="149" t="s">
        <v>1855</v>
      </c>
      <c r="E39" s="105">
        <v>1</v>
      </c>
      <c r="F39" s="133">
        <v>7.62</v>
      </c>
      <c r="G39" s="133">
        <v>8.75</v>
      </c>
      <c r="H39" s="109">
        <f t="shared" si="0"/>
        <v>8.75</v>
      </c>
      <c r="I39" s="119"/>
      <c r="J39" s="119"/>
      <c r="K39" s="119">
        <f t="shared" si="1"/>
        <v>8.75</v>
      </c>
      <c r="L39" s="152">
        <f t="shared" si="2"/>
        <v>7.62</v>
      </c>
      <c r="M39" s="113"/>
    </row>
    <row r="40" spans="1:13" ht="14.25" customHeight="1" x14ac:dyDescent="0.2">
      <c r="A40" s="106" t="s">
        <v>5228</v>
      </c>
      <c r="B40" s="105" t="s">
        <v>4328</v>
      </c>
      <c r="C40" s="105" t="s">
        <v>5258</v>
      </c>
      <c r="D40" s="149" t="s">
        <v>4358</v>
      </c>
      <c r="E40" s="105">
        <v>2</v>
      </c>
      <c r="F40" s="133">
        <v>23.63</v>
      </c>
      <c r="G40" s="133">
        <v>27.25</v>
      </c>
      <c r="H40" s="109">
        <f t="shared" si="0"/>
        <v>54.5</v>
      </c>
      <c r="I40" s="119"/>
      <c r="J40" s="119"/>
      <c r="K40" s="119">
        <f t="shared" si="1"/>
        <v>54.5</v>
      </c>
      <c r="L40" s="152">
        <f t="shared" si="2"/>
        <v>47.26</v>
      </c>
      <c r="M40" s="113"/>
    </row>
    <row r="41" spans="1:13" ht="14.25" customHeight="1" x14ac:dyDescent="0.2">
      <c r="A41" s="106" t="s">
        <v>5228</v>
      </c>
      <c r="B41" s="105" t="s">
        <v>3060</v>
      </c>
      <c r="C41" s="105" t="s">
        <v>5258</v>
      </c>
      <c r="D41" s="149" t="s">
        <v>3062</v>
      </c>
      <c r="E41" s="105">
        <v>2</v>
      </c>
      <c r="F41" s="133">
        <v>44.8</v>
      </c>
      <c r="G41" s="133">
        <v>51.75</v>
      </c>
      <c r="H41" s="109">
        <f t="shared" si="0"/>
        <v>103.5</v>
      </c>
      <c r="I41" s="119"/>
      <c r="J41" s="119"/>
      <c r="K41" s="119">
        <f t="shared" si="1"/>
        <v>103.5</v>
      </c>
      <c r="L41" s="152">
        <f t="shared" si="2"/>
        <v>89.6</v>
      </c>
      <c r="M41" s="113"/>
    </row>
    <row r="42" spans="1:13" ht="14.25" customHeight="1" x14ac:dyDescent="0.2">
      <c r="A42" s="106" t="s">
        <v>5228</v>
      </c>
      <c r="B42" s="105" t="s">
        <v>5234</v>
      </c>
      <c r="C42" s="105" t="s">
        <v>5258</v>
      </c>
      <c r="D42" s="149" t="s">
        <v>5394</v>
      </c>
      <c r="E42" s="105">
        <v>1</v>
      </c>
      <c r="F42" s="133">
        <v>61.5</v>
      </c>
      <c r="G42" s="133">
        <v>70.75</v>
      </c>
      <c r="H42" s="109">
        <f t="shared" si="0"/>
        <v>70.75</v>
      </c>
      <c r="I42" s="119"/>
      <c r="J42" s="119"/>
      <c r="K42" s="119">
        <f t="shared" si="1"/>
        <v>70.75</v>
      </c>
      <c r="L42" s="152">
        <f t="shared" si="2"/>
        <v>61.5</v>
      </c>
      <c r="M42" s="113"/>
    </row>
    <row r="43" spans="1:13" ht="14.25" customHeight="1" x14ac:dyDescent="0.2">
      <c r="A43" s="153" t="s">
        <v>5228</v>
      </c>
      <c r="B43" s="154" t="s">
        <v>1843</v>
      </c>
      <c r="C43" s="154" t="s">
        <v>5258</v>
      </c>
      <c r="D43" s="155" t="s">
        <v>1844</v>
      </c>
      <c r="E43" s="154">
        <v>1</v>
      </c>
      <c r="F43" s="236"/>
      <c r="G43" s="236">
        <v>73.25</v>
      </c>
      <c r="H43" s="237">
        <f t="shared" si="0"/>
        <v>73.25</v>
      </c>
      <c r="I43" s="147"/>
      <c r="J43" s="147"/>
      <c r="K43" s="147">
        <f t="shared" si="1"/>
        <v>73.25</v>
      </c>
      <c r="L43" s="148">
        <f t="shared" si="2"/>
        <v>0</v>
      </c>
      <c r="M43" s="113"/>
    </row>
    <row r="44" spans="1:13" ht="14.25" customHeight="1" x14ac:dyDescent="0.2">
      <c r="A44" s="106" t="s">
        <v>5228</v>
      </c>
      <c r="B44" s="105" t="s">
        <v>1854</v>
      </c>
      <c r="C44" s="105" t="s">
        <v>5259</v>
      </c>
      <c r="D44" s="149" t="s">
        <v>1855</v>
      </c>
      <c r="E44" s="105">
        <v>1</v>
      </c>
      <c r="F44" s="133">
        <v>7.62</v>
      </c>
      <c r="G44" s="133">
        <v>8.75</v>
      </c>
      <c r="H44" s="109">
        <f t="shared" si="0"/>
        <v>8.75</v>
      </c>
      <c r="I44" s="119"/>
      <c r="J44" s="119"/>
      <c r="K44" s="119">
        <f t="shared" si="1"/>
        <v>8.75</v>
      </c>
      <c r="L44" s="152">
        <f t="shared" si="2"/>
        <v>7.62</v>
      </c>
      <c r="M44" s="113"/>
    </row>
    <row r="45" spans="1:13" ht="14.25" customHeight="1" x14ac:dyDescent="0.2">
      <c r="A45" s="106" t="s">
        <v>5228</v>
      </c>
      <c r="B45" s="105" t="s">
        <v>2855</v>
      </c>
      <c r="C45" s="105" t="s">
        <v>5259</v>
      </c>
      <c r="D45" s="149" t="s">
        <v>2856</v>
      </c>
      <c r="E45" s="105">
        <v>2</v>
      </c>
      <c r="F45" s="133">
        <v>6.73</v>
      </c>
      <c r="G45" s="133">
        <v>7.75</v>
      </c>
      <c r="H45" s="109">
        <f t="shared" si="0"/>
        <v>15.5</v>
      </c>
      <c r="I45" s="119"/>
      <c r="J45" s="119"/>
      <c r="K45" s="119">
        <f t="shared" si="1"/>
        <v>15.5</v>
      </c>
      <c r="L45" s="152">
        <f t="shared" si="2"/>
        <v>13.46</v>
      </c>
      <c r="M45" s="113"/>
    </row>
    <row r="46" spans="1:13" ht="14.25" customHeight="1" x14ac:dyDescent="0.2">
      <c r="A46" s="106" t="s">
        <v>5228</v>
      </c>
      <c r="B46" s="105" t="s">
        <v>1924</v>
      </c>
      <c r="C46" s="105" t="s">
        <v>5260</v>
      </c>
      <c r="D46" s="149" t="s">
        <v>1926</v>
      </c>
      <c r="E46" s="105">
        <v>1</v>
      </c>
      <c r="F46" s="133">
        <v>10.64</v>
      </c>
      <c r="G46" s="133">
        <v>12.25</v>
      </c>
      <c r="H46" s="109">
        <f t="shared" si="0"/>
        <v>12.25</v>
      </c>
      <c r="I46" s="119"/>
      <c r="J46" s="119"/>
      <c r="K46" s="119">
        <f t="shared" si="1"/>
        <v>12.25</v>
      </c>
      <c r="L46" s="152">
        <f t="shared" si="2"/>
        <v>10.64</v>
      </c>
      <c r="M46" s="113"/>
    </row>
    <row r="47" spans="1:13" ht="14.25" customHeight="1" x14ac:dyDescent="0.2">
      <c r="A47" s="106" t="s">
        <v>5228</v>
      </c>
      <c r="B47" s="105" t="s">
        <v>1915</v>
      </c>
      <c r="C47" s="105" t="s">
        <v>5260</v>
      </c>
      <c r="D47" s="149" t="s">
        <v>1917</v>
      </c>
      <c r="E47" s="105">
        <v>1</v>
      </c>
      <c r="F47" s="133">
        <v>7.85</v>
      </c>
      <c r="G47" s="133">
        <v>12</v>
      </c>
      <c r="H47" s="109">
        <f t="shared" si="0"/>
        <v>12</v>
      </c>
      <c r="I47" s="119"/>
      <c r="J47" s="119"/>
      <c r="K47" s="119">
        <f t="shared" si="1"/>
        <v>12</v>
      </c>
      <c r="L47" s="152">
        <f t="shared" si="2"/>
        <v>7.85</v>
      </c>
      <c r="M47" s="113"/>
    </row>
    <row r="48" spans="1:13" ht="14.25" customHeight="1" x14ac:dyDescent="0.2">
      <c r="A48" s="106" t="s">
        <v>5228</v>
      </c>
      <c r="B48" s="105" t="s">
        <v>2363</v>
      </c>
      <c r="C48" s="105" t="s">
        <v>5260</v>
      </c>
      <c r="D48" s="149" t="s">
        <v>2365</v>
      </c>
      <c r="E48" s="105">
        <v>1</v>
      </c>
      <c r="F48" s="133">
        <v>12.66</v>
      </c>
      <c r="G48" s="133">
        <v>14.25</v>
      </c>
      <c r="H48" s="109">
        <f t="shared" si="0"/>
        <v>14.25</v>
      </c>
      <c r="I48" s="119"/>
      <c r="J48" s="119"/>
      <c r="K48" s="119">
        <f t="shared" si="1"/>
        <v>14.25</v>
      </c>
      <c r="L48" s="152">
        <f t="shared" si="2"/>
        <v>12.66</v>
      </c>
      <c r="M48" s="113"/>
    </row>
    <row r="49" spans="1:13" ht="14.25" customHeight="1" x14ac:dyDescent="0.2">
      <c r="A49" s="106" t="s">
        <v>5228</v>
      </c>
      <c r="B49" s="105" t="s">
        <v>4367</v>
      </c>
      <c r="C49" s="105" t="s">
        <v>5261</v>
      </c>
      <c r="D49" s="149" t="s">
        <v>4431</v>
      </c>
      <c r="E49" s="105">
        <v>4</v>
      </c>
      <c r="F49" s="133">
        <v>20.399999999999999</v>
      </c>
      <c r="G49" s="133">
        <v>23.46</v>
      </c>
      <c r="H49" s="109">
        <f t="shared" si="0"/>
        <v>93.84</v>
      </c>
      <c r="I49" s="119"/>
      <c r="J49" s="119"/>
      <c r="K49" s="119">
        <f t="shared" si="1"/>
        <v>93.84</v>
      </c>
      <c r="L49" s="152">
        <f t="shared" si="2"/>
        <v>81.599999999999994</v>
      </c>
      <c r="M49" s="113"/>
    </row>
    <row r="50" spans="1:13" ht="14.25" customHeight="1" x14ac:dyDescent="0.2">
      <c r="A50" s="106" t="s">
        <v>5228</v>
      </c>
      <c r="B50" s="105" t="s">
        <v>3002</v>
      </c>
      <c r="C50" s="105" t="s">
        <v>5262</v>
      </c>
      <c r="D50" s="149" t="s">
        <v>3004</v>
      </c>
      <c r="E50" s="105">
        <v>1</v>
      </c>
      <c r="F50" s="133">
        <v>28.25</v>
      </c>
      <c r="G50" s="133">
        <v>32.5</v>
      </c>
      <c r="H50" s="109">
        <f t="shared" si="0"/>
        <v>32.5</v>
      </c>
      <c r="I50" s="119"/>
      <c r="J50" s="119"/>
      <c r="K50" s="119">
        <f t="shared" si="1"/>
        <v>32.5</v>
      </c>
      <c r="L50" s="152">
        <f t="shared" si="2"/>
        <v>28.25</v>
      </c>
      <c r="M50" s="113"/>
    </row>
    <row r="51" spans="1:13" ht="14.25" customHeight="1" x14ac:dyDescent="0.2">
      <c r="A51" s="106" t="s">
        <v>5228</v>
      </c>
      <c r="B51" s="105" t="s">
        <v>4997</v>
      </c>
      <c r="C51" s="105" t="s">
        <v>5263</v>
      </c>
      <c r="D51" s="149" t="s">
        <v>5023</v>
      </c>
      <c r="E51" s="105">
        <v>4</v>
      </c>
      <c r="F51" s="133">
        <v>3.22</v>
      </c>
      <c r="G51" s="133">
        <v>5</v>
      </c>
      <c r="H51" s="109">
        <f t="shared" si="0"/>
        <v>20</v>
      </c>
      <c r="I51" s="119"/>
      <c r="J51" s="119"/>
      <c r="K51" s="119">
        <f t="shared" si="1"/>
        <v>20</v>
      </c>
      <c r="L51" s="152">
        <f t="shared" si="2"/>
        <v>12.88</v>
      </c>
      <c r="M51" s="113"/>
    </row>
    <row r="52" spans="1:13" ht="14.25" customHeight="1" x14ac:dyDescent="0.2">
      <c r="A52" s="106" t="s">
        <v>5228</v>
      </c>
      <c r="B52" s="105" t="s">
        <v>4567</v>
      </c>
      <c r="C52" s="105" t="s">
        <v>5263</v>
      </c>
      <c r="D52" s="149" t="s">
        <v>4672</v>
      </c>
      <c r="E52" s="105">
        <v>1</v>
      </c>
      <c r="F52" s="133">
        <v>7.06</v>
      </c>
      <c r="G52" s="133">
        <v>8.25</v>
      </c>
      <c r="H52" s="109">
        <f t="shared" si="0"/>
        <v>8.25</v>
      </c>
      <c r="I52" s="119"/>
      <c r="J52" s="119"/>
      <c r="K52" s="119">
        <f t="shared" si="1"/>
        <v>8.25</v>
      </c>
      <c r="L52" s="152">
        <f t="shared" si="2"/>
        <v>7.06</v>
      </c>
      <c r="M52" s="113"/>
    </row>
    <row r="53" spans="1:13" ht="14.25" customHeight="1" x14ac:dyDescent="0.2">
      <c r="A53" s="106" t="s">
        <v>5228</v>
      </c>
      <c r="B53" s="105" t="s">
        <v>4946</v>
      </c>
      <c r="C53" s="105" t="s">
        <v>5264</v>
      </c>
      <c r="D53" s="149" t="s">
        <v>4983</v>
      </c>
      <c r="E53" s="105">
        <v>1</v>
      </c>
      <c r="F53" s="133">
        <v>6.4</v>
      </c>
      <c r="G53" s="133">
        <v>7.5</v>
      </c>
      <c r="H53" s="109">
        <f t="shared" si="0"/>
        <v>7.5</v>
      </c>
      <c r="I53" s="119"/>
      <c r="J53" s="119"/>
      <c r="K53" s="119">
        <f t="shared" si="1"/>
        <v>7.5</v>
      </c>
      <c r="L53" s="152">
        <f t="shared" si="2"/>
        <v>6.4</v>
      </c>
      <c r="M53" s="113"/>
    </row>
    <row r="54" spans="1:13" ht="14.25" customHeight="1" x14ac:dyDescent="0.2">
      <c r="A54" s="106" t="s">
        <v>5228</v>
      </c>
      <c r="B54" s="105" t="s">
        <v>1846</v>
      </c>
      <c r="C54" s="105" t="s">
        <v>5264</v>
      </c>
      <c r="D54" s="149" t="s">
        <v>1847</v>
      </c>
      <c r="E54" s="105">
        <v>1</v>
      </c>
      <c r="F54" s="133">
        <v>61.93</v>
      </c>
      <c r="G54" s="133">
        <v>71.25</v>
      </c>
      <c r="H54" s="109">
        <f t="shared" si="0"/>
        <v>71.25</v>
      </c>
      <c r="I54" s="119"/>
      <c r="J54" s="119"/>
      <c r="K54" s="119">
        <f t="shared" si="1"/>
        <v>71.25</v>
      </c>
      <c r="L54" s="152">
        <f t="shared" si="2"/>
        <v>61.93</v>
      </c>
      <c r="M54" s="113"/>
    </row>
    <row r="55" spans="1:13" ht="14.25" customHeight="1" x14ac:dyDescent="0.2">
      <c r="A55" s="106" t="s">
        <v>5202</v>
      </c>
      <c r="B55" s="105" t="s">
        <v>2633</v>
      </c>
      <c r="C55" s="105" t="s">
        <v>5265</v>
      </c>
      <c r="D55" s="149" t="s">
        <v>2635</v>
      </c>
      <c r="E55" s="105">
        <v>4</v>
      </c>
      <c r="F55" s="133">
        <v>14</v>
      </c>
      <c r="G55" s="133">
        <v>16</v>
      </c>
      <c r="H55" s="109">
        <f t="shared" si="0"/>
        <v>64</v>
      </c>
      <c r="I55" s="119"/>
      <c r="J55" s="119"/>
      <c r="K55" s="119">
        <f t="shared" si="1"/>
        <v>64</v>
      </c>
      <c r="L55" s="152">
        <f t="shared" si="2"/>
        <v>56</v>
      </c>
      <c r="M55" s="113"/>
    </row>
    <row r="56" spans="1:13" ht="14.25" customHeight="1" x14ac:dyDescent="0.2">
      <c r="A56" s="106" t="s">
        <v>5202</v>
      </c>
      <c r="B56" s="105" t="s">
        <v>5035</v>
      </c>
      <c r="C56" s="105" t="s">
        <v>5265</v>
      </c>
      <c r="D56" s="149" t="s">
        <v>5079</v>
      </c>
      <c r="E56" s="105">
        <v>1</v>
      </c>
      <c r="F56" s="133">
        <v>22.19</v>
      </c>
      <c r="G56" s="133">
        <v>25.75</v>
      </c>
      <c r="H56" s="109">
        <f t="shared" si="0"/>
        <v>25.75</v>
      </c>
      <c r="I56" s="119"/>
      <c r="J56" s="119"/>
      <c r="K56" s="119">
        <f t="shared" si="1"/>
        <v>25.75</v>
      </c>
      <c r="L56" s="152">
        <f t="shared" si="2"/>
        <v>22.19</v>
      </c>
      <c r="M56" s="113"/>
    </row>
    <row r="57" spans="1:13" ht="14.25" customHeight="1" x14ac:dyDescent="0.2">
      <c r="A57" s="106" t="s">
        <v>5202</v>
      </c>
      <c r="B57" s="105" t="s">
        <v>1905</v>
      </c>
      <c r="C57" s="105" t="s">
        <v>5266</v>
      </c>
      <c r="D57" s="149" t="s">
        <v>1906</v>
      </c>
      <c r="E57" s="105">
        <v>1</v>
      </c>
      <c r="F57" s="133">
        <v>15.12</v>
      </c>
      <c r="G57" s="133">
        <v>17.5</v>
      </c>
      <c r="H57" s="109">
        <f t="shared" si="0"/>
        <v>17.5</v>
      </c>
      <c r="I57" s="119"/>
      <c r="J57" s="119"/>
      <c r="K57" s="119">
        <f t="shared" si="1"/>
        <v>17.5</v>
      </c>
      <c r="L57" s="152">
        <f t="shared" si="2"/>
        <v>15.12</v>
      </c>
      <c r="M57" s="113"/>
    </row>
    <row r="58" spans="1:13" ht="14.25" customHeight="1" x14ac:dyDescent="0.2">
      <c r="A58" s="106" t="s">
        <v>5202</v>
      </c>
      <c r="B58" s="105" t="s">
        <v>2139</v>
      </c>
      <c r="C58" s="105" t="s">
        <v>5267</v>
      </c>
      <c r="D58" s="149" t="s">
        <v>2140</v>
      </c>
      <c r="E58" s="105">
        <v>1</v>
      </c>
      <c r="F58" s="133">
        <v>16.03</v>
      </c>
      <c r="G58" s="133">
        <v>18.5</v>
      </c>
      <c r="H58" s="109">
        <f t="shared" si="0"/>
        <v>18.5</v>
      </c>
      <c r="I58" s="119"/>
      <c r="J58" s="119"/>
      <c r="K58" s="119">
        <f t="shared" si="1"/>
        <v>18.5</v>
      </c>
      <c r="L58" s="152">
        <f t="shared" si="2"/>
        <v>16.03</v>
      </c>
      <c r="M58" s="113"/>
    </row>
    <row r="59" spans="1:13" ht="14.25" customHeight="1" x14ac:dyDescent="0.2">
      <c r="A59" s="106" t="s">
        <v>5202</v>
      </c>
      <c r="B59" s="105" t="s">
        <v>2008</v>
      </c>
      <c r="C59" s="105" t="s">
        <v>5268</v>
      </c>
      <c r="D59" s="149" t="s">
        <v>2010</v>
      </c>
      <c r="E59" s="105">
        <v>1</v>
      </c>
      <c r="F59" s="133">
        <v>44.8</v>
      </c>
      <c r="G59" s="133">
        <v>51.75</v>
      </c>
      <c r="H59" s="109">
        <f t="shared" si="0"/>
        <v>51.75</v>
      </c>
      <c r="I59" s="119"/>
      <c r="J59" s="119"/>
      <c r="K59" s="119">
        <f t="shared" si="1"/>
        <v>51.75</v>
      </c>
      <c r="L59" s="152">
        <f t="shared" si="2"/>
        <v>44.8</v>
      </c>
      <c r="M59" s="113"/>
    </row>
    <row r="60" spans="1:13" ht="14.25" customHeight="1" x14ac:dyDescent="0.2">
      <c r="A60" s="106" t="s">
        <v>5202</v>
      </c>
      <c r="B60" s="105" t="s">
        <v>4181</v>
      </c>
      <c r="C60" s="105" t="s">
        <v>5268</v>
      </c>
      <c r="D60" s="149" t="s">
        <v>4183</v>
      </c>
      <c r="E60" s="105">
        <v>2</v>
      </c>
      <c r="F60" s="133">
        <v>13.1</v>
      </c>
      <c r="G60" s="133">
        <v>15</v>
      </c>
      <c r="H60" s="109">
        <f t="shared" si="0"/>
        <v>30</v>
      </c>
      <c r="I60" s="119"/>
      <c r="J60" s="119"/>
      <c r="K60" s="119">
        <f t="shared" si="1"/>
        <v>30</v>
      </c>
      <c r="L60" s="152">
        <f t="shared" si="2"/>
        <v>26.2</v>
      </c>
      <c r="M60" s="113"/>
    </row>
    <row r="61" spans="1:13" ht="14.25" customHeight="1" x14ac:dyDescent="0.2">
      <c r="A61" s="106" t="s">
        <v>5202</v>
      </c>
      <c r="B61" s="105" t="s">
        <v>2043</v>
      </c>
      <c r="C61" s="105" t="s">
        <v>5268</v>
      </c>
      <c r="D61" s="149" t="s">
        <v>2044</v>
      </c>
      <c r="E61" s="105">
        <v>6</v>
      </c>
      <c r="F61" s="133">
        <v>6.92</v>
      </c>
      <c r="G61" s="133">
        <v>7.75</v>
      </c>
      <c r="H61" s="109">
        <f t="shared" si="0"/>
        <v>46.5</v>
      </c>
      <c r="I61" s="119"/>
      <c r="J61" s="119"/>
      <c r="K61" s="119">
        <f t="shared" si="1"/>
        <v>46.5</v>
      </c>
      <c r="L61" s="152">
        <f t="shared" si="2"/>
        <v>41.519999999999996</v>
      </c>
      <c r="M61" s="113"/>
    </row>
    <row r="62" spans="1:13" ht="14.25" customHeight="1" x14ac:dyDescent="0.2">
      <c r="A62" s="106" t="s">
        <v>5202</v>
      </c>
      <c r="B62" s="105" t="s">
        <v>4537</v>
      </c>
      <c r="C62" s="105" t="s">
        <v>5269</v>
      </c>
      <c r="D62" s="149" t="s">
        <v>4642</v>
      </c>
      <c r="E62" s="105">
        <v>1</v>
      </c>
      <c r="F62" s="133">
        <v>56.66</v>
      </c>
      <c r="G62" s="133">
        <v>65.25</v>
      </c>
      <c r="H62" s="109">
        <f t="shared" si="0"/>
        <v>65.25</v>
      </c>
      <c r="I62" s="119"/>
      <c r="J62" s="119"/>
      <c r="K62" s="119">
        <f t="shared" si="1"/>
        <v>65.25</v>
      </c>
      <c r="L62" s="152">
        <f t="shared" si="2"/>
        <v>56.66</v>
      </c>
      <c r="M62" s="113"/>
    </row>
    <row r="63" spans="1:13" ht="14.25" customHeight="1" x14ac:dyDescent="0.2">
      <c r="A63" s="106" t="s">
        <v>5202</v>
      </c>
      <c r="B63" s="105" t="s">
        <v>3119</v>
      </c>
      <c r="C63" s="105" t="s">
        <v>5269</v>
      </c>
      <c r="D63" s="149" t="s">
        <v>3120</v>
      </c>
      <c r="E63" s="105">
        <v>1</v>
      </c>
      <c r="F63" s="133">
        <v>96.67</v>
      </c>
      <c r="G63" s="133">
        <v>111.25</v>
      </c>
      <c r="H63" s="109">
        <f t="shared" si="0"/>
        <v>111.25</v>
      </c>
      <c r="I63" s="119"/>
      <c r="J63" s="119"/>
      <c r="K63" s="119">
        <f t="shared" si="1"/>
        <v>111.25</v>
      </c>
      <c r="L63" s="152">
        <f t="shared" si="2"/>
        <v>96.67</v>
      </c>
      <c r="M63" s="113"/>
    </row>
    <row r="64" spans="1:13" ht="14.25" customHeight="1" x14ac:dyDescent="0.2">
      <c r="A64" s="106" t="s">
        <v>5202</v>
      </c>
      <c r="B64" s="105" t="s">
        <v>2615</v>
      </c>
      <c r="C64" s="105" t="s">
        <v>5269</v>
      </c>
      <c r="D64" s="149" t="s">
        <v>2617</v>
      </c>
      <c r="E64" s="105">
        <v>1</v>
      </c>
      <c r="F64" s="133">
        <v>57.25</v>
      </c>
      <c r="G64" s="133">
        <v>66</v>
      </c>
      <c r="H64" s="109">
        <f t="shared" si="0"/>
        <v>66</v>
      </c>
      <c r="I64" s="119"/>
      <c r="J64" s="119"/>
      <c r="K64" s="119">
        <f t="shared" si="1"/>
        <v>66</v>
      </c>
      <c r="L64" s="152">
        <f t="shared" si="2"/>
        <v>57.25</v>
      </c>
      <c r="M64" s="113"/>
    </row>
    <row r="65" spans="1:13" ht="14.25" customHeight="1" x14ac:dyDescent="0.2">
      <c r="A65" s="106" t="s">
        <v>5202</v>
      </c>
      <c r="B65" s="105" t="s">
        <v>2008</v>
      </c>
      <c r="C65" s="105" t="s">
        <v>5269</v>
      </c>
      <c r="D65" s="149" t="s">
        <v>2010</v>
      </c>
      <c r="E65" s="105">
        <v>1</v>
      </c>
      <c r="F65" s="133">
        <v>44.8</v>
      </c>
      <c r="G65" s="133">
        <v>51.75</v>
      </c>
      <c r="H65" s="109">
        <f t="shared" si="0"/>
        <v>51.75</v>
      </c>
      <c r="I65" s="119"/>
      <c r="J65" s="119"/>
      <c r="K65" s="119">
        <f t="shared" si="1"/>
        <v>51.75</v>
      </c>
      <c r="L65" s="152">
        <f t="shared" si="2"/>
        <v>44.8</v>
      </c>
      <c r="M65" s="113"/>
    </row>
    <row r="66" spans="1:13" ht="14.25" customHeight="1" x14ac:dyDescent="0.2">
      <c r="A66" s="106" t="s">
        <v>5202</v>
      </c>
      <c r="B66" s="105" t="s">
        <v>5235</v>
      </c>
      <c r="C66" s="105" t="s">
        <v>5269</v>
      </c>
      <c r="D66" s="149" t="s">
        <v>5395</v>
      </c>
      <c r="E66" s="105">
        <v>1</v>
      </c>
      <c r="F66" s="133">
        <v>27</v>
      </c>
      <c r="G66" s="133">
        <v>31.25</v>
      </c>
      <c r="H66" s="109">
        <f t="shared" si="0"/>
        <v>31.25</v>
      </c>
      <c r="I66" s="119"/>
      <c r="J66" s="119"/>
      <c r="K66" s="119">
        <f t="shared" si="1"/>
        <v>31.25</v>
      </c>
      <c r="L66" s="152">
        <f t="shared" si="2"/>
        <v>27</v>
      </c>
      <c r="M66" s="113"/>
    </row>
    <row r="67" spans="1:13" ht="14.25" customHeight="1" x14ac:dyDescent="0.2">
      <c r="A67" s="106" t="s">
        <v>5202</v>
      </c>
      <c r="B67" s="105" t="s">
        <v>3225</v>
      </c>
      <c r="C67" s="105" t="s">
        <v>5270</v>
      </c>
      <c r="D67" s="149" t="s">
        <v>3227</v>
      </c>
      <c r="E67" s="105">
        <v>1</v>
      </c>
      <c r="F67" s="133">
        <v>21.88</v>
      </c>
      <c r="G67" s="133">
        <v>24.5</v>
      </c>
      <c r="H67" s="109">
        <f t="shared" si="0"/>
        <v>24.5</v>
      </c>
      <c r="I67" s="119"/>
      <c r="J67" s="119"/>
      <c r="K67" s="119">
        <f t="shared" si="1"/>
        <v>24.5</v>
      </c>
      <c r="L67" s="152">
        <f t="shared" si="2"/>
        <v>21.88</v>
      </c>
      <c r="M67" s="113"/>
    </row>
    <row r="68" spans="1:13" ht="14.25" customHeight="1" x14ac:dyDescent="0.2">
      <c r="A68" s="106" t="s">
        <v>5202</v>
      </c>
      <c r="B68" s="105" t="s">
        <v>2193</v>
      </c>
      <c r="C68" s="105" t="s">
        <v>5270</v>
      </c>
      <c r="D68" s="149" t="s">
        <v>2195</v>
      </c>
      <c r="E68" s="105">
        <v>1</v>
      </c>
      <c r="F68" s="133">
        <v>20.68</v>
      </c>
      <c r="G68" s="133">
        <v>24</v>
      </c>
      <c r="H68" s="109">
        <f t="shared" si="0"/>
        <v>24</v>
      </c>
      <c r="I68" s="119"/>
      <c r="J68" s="119"/>
      <c r="K68" s="119">
        <f t="shared" si="1"/>
        <v>24</v>
      </c>
      <c r="L68" s="152">
        <f t="shared" si="2"/>
        <v>20.68</v>
      </c>
      <c r="M68" s="113"/>
    </row>
    <row r="69" spans="1:13" ht="14.25" customHeight="1" x14ac:dyDescent="0.2">
      <c r="A69" s="106" t="s">
        <v>5202</v>
      </c>
      <c r="B69" s="105" t="s">
        <v>2971</v>
      </c>
      <c r="C69" s="105" t="s">
        <v>5271</v>
      </c>
      <c r="D69" s="149" t="s">
        <v>2973</v>
      </c>
      <c r="E69" s="105">
        <v>1</v>
      </c>
      <c r="F69" s="133">
        <v>29</v>
      </c>
      <c r="G69" s="133">
        <v>33.75</v>
      </c>
      <c r="H69" s="109">
        <f t="shared" si="0"/>
        <v>33.75</v>
      </c>
      <c r="I69" s="119"/>
      <c r="J69" s="119"/>
      <c r="K69" s="119">
        <f t="shared" si="1"/>
        <v>33.75</v>
      </c>
      <c r="L69" s="152">
        <f t="shared" si="2"/>
        <v>29</v>
      </c>
      <c r="M69" s="113"/>
    </row>
    <row r="70" spans="1:13" ht="14.25" customHeight="1" x14ac:dyDescent="0.2">
      <c r="A70" s="106" t="s">
        <v>5202</v>
      </c>
      <c r="B70" s="105" t="s">
        <v>2491</v>
      </c>
      <c r="C70" s="105" t="s">
        <v>5272</v>
      </c>
      <c r="D70" s="149" t="s">
        <v>2492</v>
      </c>
      <c r="E70" s="105">
        <v>1</v>
      </c>
      <c r="F70" s="133">
        <v>61.5</v>
      </c>
      <c r="G70" s="133">
        <v>66.5</v>
      </c>
      <c r="H70" s="109">
        <f t="shared" ref="H70:H133" si="3">E70*G70</f>
        <v>66.5</v>
      </c>
      <c r="I70" s="119"/>
      <c r="J70" s="119"/>
      <c r="K70" s="119">
        <f t="shared" si="1"/>
        <v>66.5</v>
      </c>
      <c r="L70" s="152">
        <f t="shared" si="2"/>
        <v>61.5</v>
      </c>
      <c r="M70" s="113"/>
    </row>
    <row r="71" spans="1:13" ht="14.25" customHeight="1" x14ac:dyDescent="0.2">
      <c r="A71" s="106" t="s">
        <v>5202</v>
      </c>
      <c r="B71" s="105" t="s">
        <v>3765</v>
      </c>
      <c r="C71" s="105" t="s">
        <v>5272</v>
      </c>
      <c r="D71" s="149" t="s">
        <v>3766</v>
      </c>
      <c r="E71" s="105">
        <v>2</v>
      </c>
      <c r="F71" s="133">
        <v>65.95</v>
      </c>
      <c r="G71" s="133">
        <v>76</v>
      </c>
      <c r="H71" s="109">
        <f t="shared" si="3"/>
        <v>152</v>
      </c>
      <c r="I71" s="119"/>
      <c r="J71" s="119"/>
      <c r="K71" s="119">
        <f t="shared" ref="K71:K134" si="4">H71+I71-J71</f>
        <v>152</v>
      </c>
      <c r="L71" s="152">
        <f t="shared" ref="L71:L134" si="5">E71*F71</f>
        <v>131.9</v>
      </c>
      <c r="M71" s="113"/>
    </row>
    <row r="72" spans="1:13" ht="14.25" customHeight="1" x14ac:dyDescent="0.2">
      <c r="A72" s="106" t="s">
        <v>5202</v>
      </c>
      <c r="B72" s="105" t="s">
        <v>2423</v>
      </c>
      <c r="C72" s="105" t="s">
        <v>5273</v>
      </c>
      <c r="D72" s="149" t="s">
        <v>2425</v>
      </c>
      <c r="E72" s="105">
        <v>1</v>
      </c>
      <c r="F72" s="133">
        <v>18.53</v>
      </c>
      <c r="G72" s="133">
        <v>21.5</v>
      </c>
      <c r="H72" s="109">
        <f t="shared" si="3"/>
        <v>21.5</v>
      </c>
      <c r="I72" s="119"/>
      <c r="J72" s="119"/>
      <c r="K72" s="119">
        <f t="shared" si="4"/>
        <v>21.5</v>
      </c>
      <c r="L72" s="152">
        <f t="shared" si="5"/>
        <v>18.53</v>
      </c>
      <c r="M72" s="113"/>
    </row>
    <row r="73" spans="1:13" ht="14.25" customHeight="1" x14ac:dyDescent="0.2">
      <c r="A73" s="106" t="s">
        <v>5202</v>
      </c>
      <c r="B73" s="105" t="s">
        <v>3793</v>
      </c>
      <c r="C73" s="105" t="s">
        <v>5274</v>
      </c>
      <c r="D73" s="149" t="s">
        <v>3795</v>
      </c>
      <c r="E73" s="105">
        <v>1</v>
      </c>
      <c r="F73" s="133">
        <v>8.3800000000000008</v>
      </c>
      <c r="G73" s="133">
        <v>9.75</v>
      </c>
      <c r="H73" s="109">
        <f t="shared" si="3"/>
        <v>9.75</v>
      </c>
      <c r="I73" s="119"/>
      <c r="J73" s="119"/>
      <c r="K73" s="119">
        <f t="shared" si="4"/>
        <v>9.75</v>
      </c>
      <c r="L73" s="152">
        <f t="shared" si="5"/>
        <v>8.3800000000000008</v>
      </c>
      <c r="M73" s="113"/>
    </row>
    <row r="74" spans="1:13" ht="14.25" customHeight="1" x14ac:dyDescent="0.2">
      <c r="A74" s="106" t="s">
        <v>5202</v>
      </c>
      <c r="B74" s="105" t="s">
        <v>4150</v>
      </c>
      <c r="C74" s="105" t="s">
        <v>5275</v>
      </c>
      <c r="D74" s="149" t="s">
        <v>4152</v>
      </c>
      <c r="E74" s="105">
        <v>1</v>
      </c>
      <c r="F74" s="133">
        <v>14.82</v>
      </c>
      <c r="G74" s="133">
        <v>17.25</v>
      </c>
      <c r="H74" s="109">
        <f t="shared" si="3"/>
        <v>17.25</v>
      </c>
      <c r="I74" s="119"/>
      <c r="J74" s="119"/>
      <c r="K74" s="119">
        <f t="shared" si="4"/>
        <v>17.25</v>
      </c>
      <c r="L74" s="152">
        <f t="shared" si="5"/>
        <v>14.82</v>
      </c>
      <c r="M74" s="113"/>
    </row>
    <row r="75" spans="1:13" ht="14.25" customHeight="1" x14ac:dyDescent="0.2">
      <c r="A75" s="106" t="s">
        <v>5202</v>
      </c>
      <c r="B75" s="105" t="s">
        <v>4718</v>
      </c>
      <c r="C75" s="105" t="s">
        <v>5276</v>
      </c>
      <c r="D75" s="149" t="s">
        <v>4753</v>
      </c>
      <c r="E75" s="105">
        <v>1</v>
      </c>
      <c r="F75" s="133">
        <v>14.5</v>
      </c>
      <c r="G75" s="133">
        <v>16.75</v>
      </c>
      <c r="H75" s="109">
        <f t="shared" si="3"/>
        <v>16.75</v>
      </c>
      <c r="I75" s="119"/>
      <c r="J75" s="119"/>
      <c r="K75" s="119">
        <f t="shared" si="4"/>
        <v>16.75</v>
      </c>
      <c r="L75" s="152">
        <f t="shared" si="5"/>
        <v>14.5</v>
      </c>
      <c r="M75" s="113"/>
    </row>
    <row r="76" spans="1:13" ht="14.25" customHeight="1" x14ac:dyDescent="0.2">
      <c r="A76" s="106" t="s">
        <v>5202</v>
      </c>
      <c r="B76" s="105" t="s">
        <v>5236</v>
      </c>
      <c r="C76" s="105" t="s">
        <v>5277</v>
      </c>
      <c r="D76" s="149" t="s">
        <v>5396</v>
      </c>
      <c r="E76" s="105">
        <v>1</v>
      </c>
      <c r="F76" s="133">
        <v>49.1</v>
      </c>
      <c r="G76" s="133">
        <v>56.5</v>
      </c>
      <c r="H76" s="109">
        <f t="shared" si="3"/>
        <v>56.5</v>
      </c>
      <c r="I76" s="119"/>
      <c r="J76" s="119"/>
      <c r="K76" s="119">
        <f t="shared" si="4"/>
        <v>56.5</v>
      </c>
      <c r="L76" s="152">
        <f t="shared" si="5"/>
        <v>49.1</v>
      </c>
      <c r="M76" s="113"/>
    </row>
    <row r="77" spans="1:13" ht="14.25" customHeight="1" x14ac:dyDescent="0.2">
      <c r="A77" s="106" t="s">
        <v>5202</v>
      </c>
      <c r="B77" s="105" t="s">
        <v>3092</v>
      </c>
      <c r="C77" s="105" t="s">
        <v>5277</v>
      </c>
      <c r="D77" s="149" t="s">
        <v>3093</v>
      </c>
      <c r="E77" s="105">
        <v>4</v>
      </c>
      <c r="F77" s="133">
        <v>7.48</v>
      </c>
      <c r="G77" s="133">
        <v>8.75</v>
      </c>
      <c r="H77" s="109">
        <f t="shared" si="3"/>
        <v>35</v>
      </c>
      <c r="I77" s="119"/>
      <c r="J77" s="119"/>
      <c r="K77" s="119">
        <f t="shared" si="4"/>
        <v>35</v>
      </c>
      <c r="L77" s="152">
        <f t="shared" si="5"/>
        <v>29.92</v>
      </c>
      <c r="M77" s="113"/>
    </row>
    <row r="78" spans="1:13" ht="14.25" customHeight="1" x14ac:dyDescent="0.2">
      <c r="A78" s="106" t="s">
        <v>5202</v>
      </c>
      <c r="B78" s="105" t="s">
        <v>4804</v>
      </c>
      <c r="C78" s="105" t="s">
        <v>5277</v>
      </c>
      <c r="D78" s="149" t="s">
        <v>4872</v>
      </c>
      <c r="E78" s="105">
        <v>2</v>
      </c>
      <c r="F78" s="133">
        <v>7.48</v>
      </c>
      <c r="G78" s="133">
        <v>8.75</v>
      </c>
      <c r="H78" s="109">
        <f t="shared" si="3"/>
        <v>17.5</v>
      </c>
      <c r="I78" s="119"/>
      <c r="J78" s="119"/>
      <c r="K78" s="119">
        <f t="shared" si="4"/>
        <v>17.5</v>
      </c>
      <c r="L78" s="152">
        <f t="shared" si="5"/>
        <v>14.96</v>
      </c>
      <c r="M78" s="113"/>
    </row>
    <row r="79" spans="1:13" ht="14.25" customHeight="1" x14ac:dyDescent="0.2">
      <c r="A79" s="106" t="s">
        <v>5202</v>
      </c>
      <c r="B79" s="105" t="s">
        <v>3280</v>
      </c>
      <c r="C79" s="105" t="s">
        <v>5277</v>
      </c>
      <c r="D79" s="149" t="s">
        <v>3281</v>
      </c>
      <c r="E79" s="105">
        <v>1</v>
      </c>
      <c r="F79" s="133">
        <v>40.06</v>
      </c>
      <c r="G79" s="133">
        <v>46.25</v>
      </c>
      <c r="H79" s="109">
        <f t="shared" si="3"/>
        <v>46.25</v>
      </c>
      <c r="I79" s="119"/>
      <c r="J79" s="119"/>
      <c r="K79" s="119">
        <f t="shared" si="4"/>
        <v>46.25</v>
      </c>
      <c r="L79" s="152">
        <f t="shared" si="5"/>
        <v>40.06</v>
      </c>
      <c r="M79" s="113"/>
    </row>
    <row r="80" spans="1:13" ht="14.25" customHeight="1" x14ac:dyDescent="0.2">
      <c r="A80" s="106" t="s">
        <v>5202</v>
      </c>
      <c r="B80" s="105" t="s">
        <v>2367</v>
      </c>
      <c r="C80" s="105" t="s">
        <v>5278</v>
      </c>
      <c r="D80" s="149" t="s">
        <v>2369</v>
      </c>
      <c r="E80" s="105">
        <v>6</v>
      </c>
      <c r="F80" s="133">
        <v>6.38</v>
      </c>
      <c r="G80" s="133">
        <v>7.5</v>
      </c>
      <c r="H80" s="109">
        <f t="shared" si="3"/>
        <v>45</v>
      </c>
      <c r="I80" s="119"/>
      <c r="J80" s="119"/>
      <c r="K80" s="119">
        <f t="shared" si="4"/>
        <v>45</v>
      </c>
      <c r="L80" s="152">
        <f t="shared" si="5"/>
        <v>38.28</v>
      </c>
      <c r="M80" s="113"/>
    </row>
    <row r="81" spans="1:13" ht="14.25" customHeight="1" x14ac:dyDescent="0.2">
      <c r="A81" s="106" t="s">
        <v>5202</v>
      </c>
      <c r="B81" s="105" t="s">
        <v>1830</v>
      </c>
      <c r="C81" s="105" t="s">
        <v>5279</v>
      </c>
      <c r="D81" s="149" t="s">
        <v>1831</v>
      </c>
      <c r="E81" s="105">
        <v>1</v>
      </c>
      <c r="F81" s="133">
        <v>16.84</v>
      </c>
      <c r="G81" s="133">
        <v>19.5</v>
      </c>
      <c r="H81" s="109">
        <f t="shared" si="3"/>
        <v>19.5</v>
      </c>
      <c r="I81" s="119"/>
      <c r="J81" s="119"/>
      <c r="K81" s="119">
        <f t="shared" si="4"/>
        <v>19.5</v>
      </c>
      <c r="L81" s="152">
        <f t="shared" si="5"/>
        <v>16.84</v>
      </c>
      <c r="M81" s="113"/>
    </row>
    <row r="82" spans="1:13" ht="14.25" customHeight="1" x14ac:dyDescent="0.2">
      <c r="A82" s="153" t="s">
        <v>5202</v>
      </c>
      <c r="B82" s="154" t="s">
        <v>1843</v>
      </c>
      <c r="C82" s="154" t="s">
        <v>5279</v>
      </c>
      <c r="D82" s="155" t="s">
        <v>1844</v>
      </c>
      <c r="E82" s="154">
        <v>1</v>
      </c>
      <c r="F82" s="236"/>
      <c r="G82" s="236">
        <v>73.25</v>
      </c>
      <c r="H82" s="237">
        <f t="shared" si="3"/>
        <v>73.25</v>
      </c>
      <c r="I82" s="147"/>
      <c r="J82" s="147"/>
      <c r="K82" s="147">
        <f t="shared" si="4"/>
        <v>73.25</v>
      </c>
      <c r="L82" s="148">
        <f t="shared" si="5"/>
        <v>0</v>
      </c>
      <c r="M82" s="113"/>
    </row>
    <row r="83" spans="1:13" ht="14.25" customHeight="1" x14ac:dyDescent="0.2">
      <c r="A83" s="106" t="s">
        <v>5202</v>
      </c>
      <c r="B83" s="105" t="s">
        <v>2360</v>
      </c>
      <c r="C83" s="105" t="s">
        <v>5279</v>
      </c>
      <c r="D83" s="149" t="s">
        <v>2361</v>
      </c>
      <c r="E83" s="105">
        <v>1</v>
      </c>
      <c r="F83" s="133">
        <v>17.649999999999999</v>
      </c>
      <c r="G83" s="133">
        <v>20.5</v>
      </c>
      <c r="H83" s="109">
        <f t="shared" si="3"/>
        <v>20.5</v>
      </c>
      <c r="I83" s="119"/>
      <c r="J83" s="119"/>
      <c r="K83" s="119">
        <f t="shared" si="4"/>
        <v>20.5</v>
      </c>
      <c r="L83" s="152">
        <f t="shared" si="5"/>
        <v>17.649999999999999</v>
      </c>
      <c r="M83" s="113"/>
    </row>
    <row r="84" spans="1:13" ht="14.25" customHeight="1" x14ac:dyDescent="0.2">
      <c r="A84" s="106" t="s">
        <v>5202</v>
      </c>
      <c r="B84" s="105" t="s">
        <v>3836</v>
      </c>
      <c r="C84" s="105" t="s">
        <v>5280</v>
      </c>
      <c r="D84" s="149" t="s">
        <v>3838</v>
      </c>
      <c r="E84" s="105">
        <v>1</v>
      </c>
      <c r="F84" s="133">
        <v>23</v>
      </c>
      <c r="G84" s="133">
        <v>26.5</v>
      </c>
      <c r="H84" s="109">
        <f t="shared" si="3"/>
        <v>26.5</v>
      </c>
      <c r="I84" s="119"/>
      <c r="J84" s="119"/>
      <c r="K84" s="119">
        <f t="shared" si="4"/>
        <v>26.5</v>
      </c>
      <c r="L84" s="152">
        <f t="shared" si="5"/>
        <v>23</v>
      </c>
      <c r="M84" s="113"/>
    </row>
    <row r="85" spans="1:13" ht="14.25" customHeight="1" x14ac:dyDescent="0.2">
      <c r="A85" s="106" t="s">
        <v>5202</v>
      </c>
      <c r="B85" s="105" t="s">
        <v>1958</v>
      </c>
      <c r="C85" s="105" t="s">
        <v>5281</v>
      </c>
      <c r="D85" s="149" t="s">
        <v>1960</v>
      </c>
      <c r="E85" s="105">
        <v>1</v>
      </c>
      <c r="F85" s="133">
        <v>20.399999999999999</v>
      </c>
      <c r="G85" s="133">
        <v>23.5</v>
      </c>
      <c r="H85" s="109">
        <f t="shared" si="3"/>
        <v>23.5</v>
      </c>
      <c r="I85" s="119"/>
      <c r="J85" s="119"/>
      <c r="K85" s="119">
        <f t="shared" si="4"/>
        <v>23.5</v>
      </c>
      <c r="L85" s="152">
        <f t="shared" si="5"/>
        <v>20.399999999999999</v>
      </c>
      <c r="M85" s="113"/>
    </row>
    <row r="86" spans="1:13" ht="14.25" customHeight="1" x14ac:dyDescent="0.2">
      <c r="A86" s="106" t="s">
        <v>5202</v>
      </c>
      <c r="B86" s="105" t="s">
        <v>3974</v>
      </c>
      <c r="C86" s="105" t="s">
        <v>5281</v>
      </c>
      <c r="D86" s="149" t="s">
        <v>3975</v>
      </c>
      <c r="E86" s="105">
        <v>1</v>
      </c>
      <c r="F86" s="133">
        <v>59.51</v>
      </c>
      <c r="G86" s="133">
        <v>68.5</v>
      </c>
      <c r="H86" s="109">
        <f t="shared" si="3"/>
        <v>68.5</v>
      </c>
      <c r="I86" s="119"/>
      <c r="J86" s="119"/>
      <c r="K86" s="119">
        <f t="shared" si="4"/>
        <v>68.5</v>
      </c>
      <c r="L86" s="152">
        <f t="shared" si="5"/>
        <v>59.51</v>
      </c>
      <c r="M86" s="113"/>
    </row>
    <row r="87" spans="1:13" ht="14.25" customHeight="1" x14ac:dyDescent="0.2">
      <c r="A87" s="106" t="s">
        <v>5202</v>
      </c>
      <c r="B87" s="105" t="s">
        <v>4997</v>
      </c>
      <c r="C87" s="105" t="s">
        <v>5282</v>
      </c>
      <c r="D87" s="149" t="s">
        <v>5023</v>
      </c>
      <c r="E87" s="105">
        <v>1</v>
      </c>
      <c r="F87" s="133">
        <v>3.22</v>
      </c>
      <c r="G87" s="133">
        <v>5</v>
      </c>
      <c r="H87" s="109">
        <f t="shared" si="3"/>
        <v>5</v>
      </c>
      <c r="I87" s="119"/>
      <c r="J87" s="119"/>
      <c r="K87" s="119">
        <f t="shared" si="4"/>
        <v>5</v>
      </c>
      <c r="L87" s="152">
        <f t="shared" si="5"/>
        <v>3.22</v>
      </c>
      <c r="M87" s="113"/>
    </row>
    <row r="88" spans="1:13" ht="14.25" customHeight="1" x14ac:dyDescent="0.2">
      <c r="A88" s="106" t="s">
        <v>5202</v>
      </c>
      <c r="B88" s="105" t="s">
        <v>2727</v>
      </c>
      <c r="C88" s="105" t="s">
        <v>5283</v>
      </c>
      <c r="D88" s="149" t="s">
        <v>2729</v>
      </c>
      <c r="E88" s="105">
        <v>1</v>
      </c>
      <c r="F88" s="133">
        <v>7.75</v>
      </c>
      <c r="G88" s="133">
        <v>9</v>
      </c>
      <c r="H88" s="109">
        <f t="shared" si="3"/>
        <v>9</v>
      </c>
      <c r="I88" s="119"/>
      <c r="J88" s="119"/>
      <c r="K88" s="119">
        <f t="shared" si="4"/>
        <v>9</v>
      </c>
      <c r="L88" s="152">
        <f t="shared" si="5"/>
        <v>7.75</v>
      </c>
      <c r="M88" s="113"/>
    </row>
    <row r="89" spans="1:13" ht="14.25" customHeight="1" x14ac:dyDescent="0.2">
      <c r="A89" s="106" t="s">
        <v>5202</v>
      </c>
      <c r="B89" s="105" t="s">
        <v>5237</v>
      </c>
      <c r="C89" s="105" t="s">
        <v>5284</v>
      </c>
      <c r="D89" s="149" t="s">
        <v>5397</v>
      </c>
      <c r="E89" s="105">
        <v>1</v>
      </c>
      <c r="F89" s="133">
        <v>57.22</v>
      </c>
      <c r="G89" s="133">
        <v>66</v>
      </c>
      <c r="H89" s="109">
        <f t="shared" si="3"/>
        <v>66</v>
      </c>
      <c r="I89" s="119"/>
      <c r="J89" s="119"/>
      <c r="K89" s="119">
        <f t="shared" si="4"/>
        <v>66</v>
      </c>
      <c r="L89" s="152">
        <f t="shared" si="5"/>
        <v>57.22</v>
      </c>
      <c r="M89" s="113"/>
    </row>
    <row r="90" spans="1:13" ht="14.25" customHeight="1" x14ac:dyDescent="0.2">
      <c r="A90" s="106" t="s">
        <v>5202</v>
      </c>
      <c r="B90" s="105" t="s">
        <v>1977</v>
      </c>
      <c r="C90" s="105" t="s">
        <v>5285</v>
      </c>
      <c r="D90" s="149" t="s">
        <v>1979</v>
      </c>
      <c r="E90" s="105">
        <v>5</v>
      </c>
      <c r="F90" s="133">
        <v>0.76</v>
      </c>
      <c r="G90" s="133">
        <v>1</v>
      </c>
      <c r="H90" s="109">
        <f t="shared" si="3"/>
        <v>5</v>
      </c>
      <c r="I90" s="119"/>
      <c r="J90" s="119"/>
      <c r="K90" s="119">
        <f t="shared" si="4"/>
        <v>5</v>
      </c>
      <c r="L90" s="152">
        <f t="shared" si="5"/>
        <v>3.8</v>
      </c>
      <c r="M90" s="113"/>
    </row>
    <row r="91" spans="1:13" ht="14.25" customHeight="1" x14ac:dyDescent="0.2">
      <c r="A91" s="106" t="s">
        <v>5202</v>
      </c>
      <c r="B91" s="105" t="s">
        <v>5238</v>
      </c>
      <c r="C91" s="105" t="s">
        <v>5286</v>
      </c>
      <c r="D91" s="149" t="s">
        <v>5398</v>
      </c>
      <c r="E91" s="105">
        <v>1</v>
      </c>
      <c r="F91" s="133">
        <v>8.75</v>
      </c>
      <c r="G91" s="133">
        <v>10.25</v>
      </c>
      <c r="H91" s="109">
        <f t="shared" si="3"/>
        <v>10.25</v>
      </c>
      <c r="I91" s="119"/>
      <c r="J91" s="119"/>
      <c r="K91" s="119">
        <f t="shared" si="4"/>
        <v>10.25</v>
      </c>
      <c r="L91" s="152">
        <f t="shared" si="5"/>
        <v>8.75</v>
      </c>
      <c r="M91" s="113"/>
    </row>
    <row r="92" spans="1:13" ht="14.25" customHeight="1" x14ac:dyDescent="0.2">
      <c r="A92" s="106" t="s">
        <v>5202</v>
      </c>
      <c r="B92" s="105" t="s">
        <v>2313</v>
      </c>
      <c r="C92" s="105" t="s">
        <v>5287</v>
      </c>
      <c r="D92" s="149" t="s">
        <v>2314</v>
      </c>
      <c r="E92" s="105">
        <v>1</v>
      </c>
      <c r="F92" s="133">
        <v>34.380000000000003</v>
      </c>
      <c r="G92" s="133">
        <v>39.75</v>
      </c>
      <c r="H92" s="109">
        <f t="shared" si="3"/>
        <v>39.75</v>
      </c>
      <c r="I92" s="119"/>
      <c r="J92" s="119"/>
      <c r="K92" s="119">
        <f t="shared" si="4"/>
        <v>39.75</v>
      </c>
      <c r="L92" s="152">
        <f t="shared" si="5"/>
        <v>34.380000000000003</v>
      </c>
      <c r="M92" s="113"/>
    </row>
    <row r="93" spans="1:13" ht="14.25" customHeight="1" x14ac:dyDescent="0.2">
      <c r="A93" s="106" t="s">
        <v>5202</v>
      </c>
      <c r="B93" s="105" t="s">
        <v>2848</v>
      </c>
      <c r="C93" s="105" t="s">
        <v>5288</v>
      </c>
      <c r="D93" s="149" t="s">
        <v>2850</v>
      </c>
      <c r="E93" s="105">
        <v>1</v>
      </c>
      <c r="F93" s="133">
        <v>16.55</v>
      </c>
      <c r="G93" s="133">
        <v>19.25</v>
      </c>
      <c r="H93" s="109">
        <f t="shared" si="3"/>
        <v>19.25</v>
      </c>
      <c r="I93" s="119"/>
      <c r="J93" s="119"/>
      <c r="K93" s="119">
        <f t="shared" si="4"/>
        <v>19.25</v>
      </c>
      <c r="L93" s="152">
        <f t="shared" si="5"/>
        <v>16.55</v>
      </c>
      <c r="M93" s="113"/>
    </row>
    <row r="94" spans="1:13" ht="14.25" customHeight="1" x14ac:dyDescent="0.2">
      <c r="A94" s="106" t="s">
        <v>5202</v>
      </c>
      <c r="B94" s="105" t="s">
        <v>5239</v>
      </c>
      <c r="C94" s="105" t="s">
        <v>5289</v>
      </c>
      <c r="D94" s="149" t="s">
        <v>5399</v>
      </c>
      <c r="E94" s="105">
        <v>3</v>
      </c>
      <c r="F94" s="133">
        <v>150</v>
      </c>
      <c r="G94" s="133">
        <v>350</v>
      </c>
      <c r="H94" s="109">
        <f t="shared" si="3"/>
        <v>1050</v>
      </c>
      <c r="I94" s="119"/>
      <c r="J94" s="119"/>
      <c r="K94" s="119">
        <f t="shared" si="4"/>
        <v>1050</v>
      </c>
      <c r="L94" s="152">
        <f t="shared" si="5"/>
        <v>450</v>
      </c>
      <c r="M94" s="113"/>
    </row>
    <row r="95" spans="1:13" ht="14.25" customHeight="1" x14ac:dyDescent="0.2">
      <c r="A95" s="106" t="s">
        <v>5202</v>
      </c>
      <c r="B95" s="105" t="s">
        <v>2323</v>
      </c>
      <c r="C95" s="105" t="s">
        <v>5290</v>
      </c>
      <c r="D95" s="149" t="s">
        <v>2325</v>
      </c>
      <c r="E95" s="105">
        <v>1</v>
      </c>
      <c r="F95" s="133">
        <v>19.100000000000001</v>
      </c>
      <c r="G95" s="133">
        <v>22</v>
      </c>
      <c r="H95" s="109">
        <f t="shared" si="3"/>
        <v>22</v>
      </c>
      <c r="I95" s="119"/>
      <c r="J95" s="119"/>
      <c r="K95" s="119">
        <f t="shared" si="4"/>
        <v>22</v>
      </c>
      <c r="L95" s="152">
        <f t="shared" si="5"/>
        <v>19.100000000000001</v>
      </c>
      <c r="M95" s="113"/>
    </row>
    <row r="96" spans="1:13" ht="14.25" customHeight="1" x14ac:dyDescent="0.2">
      <c r="A96" s="106" t="s">
        <v>5202</v>
      </c>
      <c r="B96" s="105" t="s">
        <v>3446</v>
      </c>
      <c r="C96" s="105" t="s">
        <v>5290</v>
      </c>
      <c r="D96" s="149" t="s">
        <v>3447</v>
      </c>
      <c r="E96" s="105">
        <v>1</v>
      </c>
      <c r="F96" s="133">
        <v>33.75</v>
      </c>
      <c r="G96" s="133">
        <v>39</v>
      </c>
      <c r="H96" s="109">
        <f t="shared" si="3"/>
        <v>39</v>
      </c>
      <c r="I96" s="119"/>
      <c r="J96" s="119"/>
      <c r="K96" s="119">
        <f t="shared" si="4"/>
        <v>39</v>
      </c>
      <c r="L96" s="152">
        <f t="shared" si="5"/>
        <v>33.75</v>
      </c>
      <c r="M96" s="113"/>
    </row>
    <row r="97" spans="1:13" ht="14.25" customHeight="1" x14ac:dyDescent="0.2">
      <c r="A97" s="106" t="s">
        <v>5202</v>
      </c>
      <c r="B97" s="105" t="s">
        <v>2271</v>
      </c>
      <c r="C97" s="105" t="s">
        <v>5290</v>
      </c>
      <c r="D97" s="149" t="s">
        <v>2273</v>
      </c>
      <c r="E97" s="105">
        <v>1</v>
      </c>
      <c r="F97" s="133">
        <v>16.03</v>
      </c>
      <c r="G97" s="133">
        <v>18.5</v>
      </c>
      <c r="H97" s="109">
        <f t="shared" si="3"/>
        <v>18.5</v>
      </c>
      <c r="I97" s="119"/>
      <c r="J97" s="119"/>
      <c r="K97" s="119">
        <f t="shared" si="4"/>
        <v>18.5</v>
      </c>
      <c r="L97" s="152">
        <f t="shared" si="5"/>
        <v>16.03</v>
      </c>
      <c r="M97" s="113"/>
    </row>
    <row r="98" spans="1:13" ht="14.25" customHeight="1" x14ac:dyDescent="0.2">
      <c r="A98" s="106" t="s">
        <v>5202</v>
      </c>
      <c r="B98" s="105" t="s">
        <v>2008</v>
      </c>
      <c r="C98" s="105" t="s">
        <v>5291</v>
      </c>
      <c r="D98" s="149" t="s">
        <v>2010</v>
      </c>
      <c r="E98" s="105">
        <v>1</v>
      </c>
      <c r="F98" s="133">
        <v>44.8</v>
      </c>
      <c r="G98" s="133">
        <v>51.75</v>
      </c>
      <c r="H98" s="109">
        <f t="shared" si="3"/>
        <v>51.75</v>
      </c>
      <c r="I98" s="119"/>
      <c r="J98" s="119"/>
      <c r="K98" s="119">
        <f t="shared" si="4"/>
        <v>51.75</v>
      </c>
      <c r="L98" s="152">
        <f t="shared" si="5"/>
        <v>44.8</v>
      </c>
      <c r="M98" s="113"/>
    </row>
    <row r="99" spans="1:13" ht="14.25" customHeight="1" x14ac:dyDescent="0.2">
      <c r="A99" s="106" t="s">
        <v>5202</v>
      </c>
      <c r="B99" s="105" t="s">
        <v>1915</v>
      </c>
      <c r="C99" s="105" t="s">
        <v>5292</v>
      </c>
      <c r="D99" s="149" t="s">
        <v>1917</v>
      </c>
      <c r="E99" s="105">
        <v>1</v>
      </c>
      <c r="F99" s="133">
        <v>7.85</v>
      </c>
      <c r="G99" s="133">
        <v>12</v>
      </c>
      <c r="H99" s="109">
        <f t="shared" si="3"/>
        <v>12</v>
      </c>
      <c r="I99" s="119"/>
      <c r="J99" s="119"/>
      <c r="K99" s="119">
        <f t="shared" si="4"/>
        <v>12</v>
      </c>
      <c r="L99" s="152">
        <f t="shared" si="5"/>
        <v>7.85</v>
      </c>
      <c r="M99" s="113"/>
    </row>
    <row r="100" spans="1:13" ht="14.25" customHeight="1" x14ac:dyDescent="0.2">
      <c r="A100" s="106" t="s">
        <v>5202</v>
      </c>
      <c r="B100" s="105" t="s">
        <v>5240</v>
      </c>
      <c r="C100" s="105" t="s">
        <v>5293</v>
      </c>
      <c r="D100" s="149" t="s">
        <v>5400</v>
      </c>
      <c r="E100" s="105">
        <v>1</v>
      </c>
      <c r="F100" s="133">
        <v>26</v>
      </c>
      <c r="G100" s="133">
        <v>30</v>
      </c>
      <c r="H100" s="109">
        <f t="shared" si="3"/>
        <v>30</v>
      </c>
      <c r="I100" s="119"/>
      <c r="J100" s="119"/>
      <c r="K100" s="119">
        <f t="shared" si="4"/>
        <v>30</v>
      </c>
      <c r="L100" s="152">
        <f t="shared" si="5"/>
        <v>26</v>
      </c>
      <c r="M100" s="113"/>
    </row>
    <row r="101" spans="1:13" ht="14.25" customHeight="1" x14ac:dyDescent="0.2">
      <c r="A101" s="106" t="s">
        <v>5202</v>
      </c>
      <c r="B101" s="105" t="s">
        <v>1977</v>
      </c>
      <c r="C101" s="105" t="s">
        <v>5294</v>
      </c>
      <c r="D101" s="149" t="s">
        <v>1979</v>
      </c>
      <c r="E101" s="105">
        <v>2</v>
      </c>
      <c r="F101" s="133">
        <v>0.76</v>
      </c>
      <c r="G101" s="133">
        <v>1</v>
      </c>
      <c r="H101" s="109">
        <f t="shared" si="3"/>
        <v>2</v>
      </c>
      <c r="I101" s="119"/>
      <c r="J101" s="119"/>
      <c r="K101" s="119">
        <f t="shared" si="4"/>
        <v>2</v>
      </c>
      <c r="L101" s="152">
        <f t="shared" si="5"/>
        <v>1.52</v>
      </c>
      <c r="M101" s="113"/>
    </row>
    <row r="102" spans="1:13" ht="14.25" customHeight="1" x14ac:dyDescent="0.2">
      <c r="A102" s="106" t="s">
        <v>5202</v>
      </c>
      <c r="B102" s="105" t="s">
        <v>1977</v>
      </c>
      <c r="C102" s="105" t="s">
        <v>5295</v>
      </c>
      <c r="D102" s="149" t="s">
        <v>1979</v>
      </c>
      <c r="E102" s="105">
        <v>5</v>
      </c>
      <c r="F102" s="133">
        <v>0.76</v>
      </c>
      <c r="G102" s="133">
        <v>1</v>
      </c>
      <c r="H102" s="109">
        <f t="shared" si="3"/>
        <v>5</v>
      </c>
      <c r="I102" s="119"/>
      <c r="J102" s="119"/>
      <c r="K102" s="119">
        <f t="shared" si="4"/>
        <v>5</v>
      </c>
      <c r="L102" s="152">
        <f t="shared" si="5"/>
        <v>3.8</v>
      </c>
      <c r="M102" s="113"/>
    </row>
    <row r="103" spans="1:13" ht="14.25" customHeight="1" x14ac:dyDescent="0.2">
      <c r="A103" s="106" t="s">
        <v>5203</v>
      </c>
      <c r="B103" s="105" t="s">
        <v>1977</v>
      </c>
      <c r="C103" s="105" t="s">
        <v>5296</v>
      </c>
      <c r="D103" s="149" t="s">
        <v>1979</v>
      </c>
      <c r="E103" s="105">
        <v>2</v>
      </c>
      <c r="F103" s="133">
        <v>0.76</v>
      </c>
      <c r="G103" s="133">
        <v>1</v>
      </c>
      <c r="H103" s="109">
        <f t="shared" si="3"/>
        <v>2</v>
      </c>
      <c r="I103" s="119"/>
      <c r="J103" s="119"/>
      <c r="K103" s="119">
        <f t="shared" si="4"/>
        <v>2</v>
      </c>
      <c r="L103" s="152">
        <f t="shared" si="5"/>
        <v>1.52</v>
      </c>
      <c r="M103" s="113"/>
    </row>
    <row r="104" spans="1:13" ht="14.25" customHeight="1" x14ac:dyDescent="0.2">
      <c r="A104" s="106" t="s">
        <v>5203</v>
      </c>
      <c r="B104" s="105" t="s">
        <v>2633</v>
      </c>
      <c r="C104" s="105" t="s">
        <v>5297</v>
      </c>
      <c r="D104" s="149" t="s">
        <v>2635</v>
      </c>
      <c r="E104" s="105">
        <v>1</v>
      </c>
      <c r="F104" s="133">
        <v>14</v>
      </c>
      <c r="G104" s="133">
        <v>16</v>
      </c>
      <c r="H104" s="109">
        <f t="shared" si="3"/>
        <v>16</v>
      </c>
      <c r="I104" s="119"/>
      <c r="J104" s="119"/>
      <c r="K104" s="119">
        <f t="shared" si="4"/>
        <v>16</v>
      </c>
      <c r="L104" s="152">
        <f t="shared" si="5"/>
        <v>14</v>
      </c>
      <c r="M104" s="113"/>
    </row>
    <row r="105" spans="1:13" ht="14.25" customHeight="1" x14ac:dyDescent="0.2">
      <c r="A105" s="106" t="s">
        <v>5203</v>
      </c>
      <c r="B105" s="105" t="s">
        <v>3356</v>
      </c>
      <c r="C105" s="105" t="s">
        <v>5297</v>
      </c>
      <c r="D105" s="149" t="s">
        <v>3358</v>
      </c>
      <c r="E105" s="105">
        <v>1</v>
      </c>
      <c r="F105" s="133">
        <v>6.03</v>
      </c>
      <c r="G105" s="133">
        <v>7</v>
      </c>
      <c r="H105" s="109">
        <f t="shared" si="3"/>
        <v>7</v>
      </c>
      <c r="I105" s="119"/>
      <c r="J105" s="119"/>
      <c r="K105" s="119">
        <f t="shared" si="4"/>
        <v>7</v>
      </c>
      <c r="L105" s="152">
        <f t="shared" si="5"/>
        <v>6.03</v>
      </c>
      <c r="M105" s="113"/>
    </row>
    <row r="106" spans="1:13" ht="14.25" customHeight="1" x14ac:dyDescent="0.2">
      <c r="A106" s="106" t="s">
        <v>5203</v>
      </c>
      <c r="B106" s="105" t="s">
        <v>2919</v>
      </c>
      <c r="C106" s="105" t="s">
        <v>5298</v>
      </c>
      <c r="D106" s="149" t="s">
        <v>2921</v>
      </c>
      <c r="E106" s="105">
        <v>1</v>
      </c>
      <c r="F106" s="133">
        <v>92.8</v>
      </c>
      <c r="G106" s="133">
        <v>106.75</v>
      </c>
      <c r="H106" s="109">
        <f t="shared" si="3"/>
        <v>106.75</v>
      </c>
      <c r="I106" s="119"/>
      <c r="J106" s="119"/>
      <c r="K106" s="119">
        <f t="shared" si="4"/>
        <v>106.75</v>
      </c>
      <c r="L106" s="152">
        <f t="shared" si="5"/>
        <v>92.8</v>
      </c>
      <c r="M106" s="113"/>
    </row>
    <row r="107" spans="1:13" ht="14.25" customHeight="1" x14ac:dyDescent="0.2">
      <c r="A107" s="106" t="s">
        <v>5203</v>
      </c>
      <c r="B107" s="105" t="s">
        <v>2115</v>
      </c>
      <c r="C107" s="105" t="s">
        <v>5299</v>
      </c>
      <c r="D107" s="149" t="s">
        <v>2117</v>
      </c>
      <c r="E107" s="105">
        <v>1</v>
      </c>
      <c r="F107" s="133">
        <v>84.8</v>
      </c>
      <c r="G107" s="133">
        <v>94</v>
      </c>
      <c r="H107" s="109">
        <f t="shared" si="3"/>
        <v>94</v>
      </c>
      <c r="I107" s="119"/>
      <c r="J107" s="119"/>
      <c r="K107" s="119">
        <f t="shared" si="4"/>
        <v>94</v>
      </c>
      <c r="L107" s="152">
        <f t="shared" si="5"/>
        <v>84.8</v>
      </c>
      <c r="M107" s="113"/>
    </row>
    <row r="108" spans="1:13" ht="14.25" customHeight="1" x14ac:dyDescent="0.2">
      <c r="A108" s="106" t="s">
        <v>5203</v>
      </c>
      <c r="B108" s="105" t="s">
        <v>2471</v>
      </c>
      <c r="C108" s="105" t="s">
        <v>5299</v>
      </c>
      <c r="D108" s="149" t="s">
        <v>2472</v>
      </c>
      <c r="E108" s="105">
        <v>1</v>
      </c>
      <c r="F108" s="133">
        <v>35.549999999999997</v>
      </c>
      <c r="G108" s="133">
        <v>41</v>
      </c>
      <c r="H108" s="109">
        <f t="shared" si="3"/>
        <v>41</v>
      </c>
      <c r="I108" s="119"/>
      <c r="J108" s="119"/>
      <c r="K108" s="119">
        <f t="shared" si="4"/>
        <v>41</v>
      </c>
      <c r="L108" s="152">
        <f t="shared" si="5"/>
        <v>35.549999999999997</v>
      </c>
      <c r="M108" s="113"/>
    </row>
    <row r="109" spans="1:13" ht="14.25" customHeight="1" x14ac:dyDescent="0.2">
      <c r="A109" s="106" t="s">
        <v>5203</v>
      </c>
      <c r="B109" s="105" t="s">
        <v>4138</v>
      </c>
      <c r="C109" s="105" t="s">
        <v>5299</v>
      </c>
      <c r="D109" s="149" t="s">
        <v>4140</v>
      </c>
      <c r="E109" s="105">
        <v>1</v>
      </c>
      <c r="F109" s="133">
        <v>36.58</v>
      </c>
      <c r="G109" s="133">
        <v>42.25</v>
      </c>
      <c r="H109" s="109">
        <f t="shared" si="3"/>
        <v>42.25</v>
      </c>
      <c r="I109" s="119"/>
      <c r="J109" s="119"/>
      <c r="K109" s="119">
        <f t="shared" si="4"/>
        <v>42.25</v>
      </c>
      <c r="L109" s="152">
        <f t="shared" si="5"/>
        <v>36.58</v>
      </c>
      <c r="M109" s="113"/>
    </row>
    <row r="110" spans="1:13" ht="14.25" customHeight="1" x14ac:dyDescent="0.2">
      <c r="A110" s="106" t="s">
        <v>5203</v>
      </c>
      <c r="B110" s="105" t="s">
        <v>4258</v>
      </c>
      <c r="C110" s="105" t="s">
        <v>5299</v>
      </c>
      <c r="D110" s="149" t="s">
        <v>4260</v>
      </c>
      <c r="E110" s="105">
        <v>1</v>
      </c>
      <c r="F110" s="133">
        <v>36.58</v>
      </c>
      <c r="G110" s="133">
        <v>42.25</v>
      </c>
      <c r="H110" s="109">
        <f t="shared" si="3"/>
        <v>42.25</v>
      </c>
      <c r="I110" s="119"/>
      <c r="J110" s="119"/>
      <c r="K110" s="119">
        <f t="shared" si="4"/>
        <v>42.25</v>
      </c>
      <c r="L110" s="152">
        <f t="shared" si="5"/>
        <v>36.58</v>
      </c>
      <c r="M110" s="113"/>
    </row>
    <row r="111" spans="1:13" ht="14.25" customHeight="1" x14ac:dyDescent="0.2">
      <c r="A111" s="106" t="s">
        <v>5203</v>
      </c>
      <c r="B111" s="105" t="s">
        <v>4556</v>
      </c>
      <c r="C111" s="105" t="s">
        <v>5299</v>
      </c>
      <c r="D111" s="149" t="s">
        <v>4661</v>
      </c>
      <c r="E111" s="105">
        <v>1</v>
      </c>
      <c r="F111" s="133">
        <v>35.549999999999997</v>
      </c>
      <c r="G111" s="133">
        <v>41</v>
      </c>
      <c r="H111" s="109">
        <f t="shared" si="3"/>
        <v>41</v>
      </c>
      <c r="I111" s="119"/>
      <c r="J111" s="119"/>
      <c r="K111" s="119">
        <f t="shared" si="4"/>
        <v>41</v>
      </c>
      <c r="L111" s="152">
        <f t="shared" si="5"/>
        <v>35.549999999999997</v>
      </c>
      <c r="M111" s="113"/>
    </row>
    <row r="112" spans="1:13" ht="14.25" customHeight="1" x14ac:dyDescent="0.2">
      <c r="A112" s="106" t="s">
        <v>5203</v>
      </c>
      <c r="B112" s="105" t="s">
        <v>3017</v>
      </c>
      <c r="C112" s="105" t="s">
        <v>5299</v>
      </c>
      <c r="D112" s="149" t="s">
        <v>3019</v>
      </c>
      <c r="E112" s="105">
        <v>1</v>
      </c>
      <c r="F112" s="133">
        <v>54</v>
      </c>
      <c r="G112" s="133">
        <v>62.25</v>
      </c>
      <c r="H112" s="109">
        <f t="shared" si="3"/>
        <v>62.25</v>
      </c>
      <c r="I112" s="119"/>
      <c r="J112" s="119"/>
      <c r="K112" s="119">
        <f t="shared" si="4"/>
        <v>62.25</v>
      </c>
      <c r="L112" s="152">
        <f t="shared" si="5"/>
        <v>54</v>
      </c>
      <c r="M112" s="113"/>
    </row>
    <row r="113" spans="1:13" ht="14.25" customHeight="1" x14ac:dyDescent="0.2">
      <c r="A113" s="106" t="s">
        <v>5203</v>
      </c>
      <c r="B113" s="105" t="s">
        <v>5241</v>
      </c>
      <c r="C113" s="105" t="s">
        <v>5300</v>
      </c>
      <c r="D113" s="149" t="s">
        <v>5401</v>
      </c>
      <c r="E113" s="105">
        <v>1</v>
      </c>
      <c r="F113" s="133">
        <v>36.659999999999997</v>
      </c>
      <c r="G113" s="133">
        <v>42.25</v>
      </c>
      <c r="H113" s="109">
        <f t="shared" si="3"/>
        <v>42.25</v>
      </c>
      <c r="I113" s="119"/>
      <c r="J113" s="119"/>
      <c r="K113" s="119">
        <f t="shared" si="4"/>
        <v>42.25</v>
      </c>
      <c r="L113" s="152">
        <f t="shared" si="5"/>
        <v>36.659999999999997</v>
      </c>
      <c r="M113" s="113"/>
    </row>
    <row r="114" spans="1:13" ht="14.25" customHeight="1" x14ac:dyDescent="0.2">
      <c r="A114" s="106" t="s">
        <v>5203</v>
      </c>
      <c r="B114" s="105" t="s">
        <v>4163</v>
      </c>
      <c r="C114" s="105" t="s">
        <v>5301</v>
      </c>
      <c r="D114" s="149" t="s">
        <v>4165</v>
      </c>
      <c r="E114" s="105">
        <v>1</v>
      </c>
      <c r="F114" s="133">
        <v>9.2799999999999994</v>
      </c>
      <c r="G114" s="133">
        <v>10.75</v>
      </c>
      <c r="H114" s="109">
        <f t="shared" si="3"/>
        <v>10.75</v>
      </c>
      <c r="I114" s="119"/>
      <c r="J114" s="119"/>
      <c r="K114" s="119">
        <f t="shared" si="4"/>
        <v>10.75</v>
      </c>
      <c r="L114" s="152">
        <f t="shared" si="5"/>
        <v>9.2799999999999994</v>
      </c>
      <c r="M114" s="113"/>
    </row>
    <row r="115" spans="1:13" ht="14.25" customHeight="1" x14ac:dyDescent="0.2">
      <c r="A115" s="106" t="s">
        <v>5203</v>
      </c>
      <c r="B115" s="105" t="s">
        <v>4806</v>
      </c>
      <c r="C115" s="105" t="s">
        <v>5302</v>
      </c>
      <c r="D115" s="149" t="s">
        <v>4874</v>
      </c>
      <c r="E115" s="105">
        <v>1</v>
      </c>
      <c r="F115" s="133">
        <v>8.58</v>
      </c>
      <c r="G115" s="133">
        <v>10</v>
      </c>
      <c r="H115" s="109">
        <f t="shared" si="3"/>
        <v>10</v>
      </c>
      <c r="I115" s="119"/>
      <c r="J115" s="119"/>
      <c r="K115" s="119">
        <f t="shared" si="4"/>
        <v>10</v>
      </c>
      <c r="L115" s="152">
        <f t="shared" si="5"/>
        <v>8.58</v>
      </c>
      <c r="M115" s="113"/>
    </row>
    <row r="116" spans="1:13" ht="14.25" customHeight="1" x14ac:dyDescent="0.2">
      <c r="A116" s="106" t="s">
        <v>5203</v>
      </c>
      <c r="B116" s="105" t="s">
        <v>4946</v>
      </c>
      <c r="C116" s="105" t="s">
        <v>5302</v>
      </c>
      <c r="D116" s="149" t="s">
        <v>4983</v>
      </c>
      <c r="E116" s="105">
        <v>1</v>
      </c>
      <c r="F116" s="133">
        <v>6.4</v>
      </c>
      <c r="G116" s="133">
        <v>7.5</v>
      </c>
      <c r="H116" s="109">
        <f t="shared" si="3"/>
        <v>7.5</v>
      </c>
      <c r="I116" s="119"/>
      <c r="J116" s="119"/>
      <c r="K116" s="119">
        <f t="shared" si="4"/>
        <v>7.5</v>
      </c>
      <c r="L116" s="152">
        <f t="shared" si="5"/>
        <v>6.4</v>
      </c>
      <c r="M116" s="113"/>
    </row>
    <row r="117" spans="1:13" ht="14.25" customHeight="1" x14ac:dyDescent="0.2">
      <c r="A117" s="106" t="s">
        <v>5203</v>
      </c>
      <c r="B117" s="105" t="s">
        <v>2453</v>
      </c>
      <c r="C117" s="105" t="s">
        <v>5303</v>
      </c>
      <c r="D117" s="149" t="s">
        <v>2454</v>
      </c>
      <c r="E117" s="105">
        <v>1</v>
      </c>
      <c r="F117" s="133">
        <v>57.4</v>
      </c>
      <c r="G117" s="133">
        <v>66</v>
      </c>
      <c r="H117" s="109">
        <f t="shared" si="3"/>
        <v>66</v>
      </c>
      <c r="I117" s="119"/>
      <c r="J117" s="119"/>
      <c r="K117" s="119">
        <f t="shared" si="4"/>
        <v>66</v>
      </c>
      <c r="L117" s="152">
        <f t="shared" si="5"/>
        <v>57.4</v>
      </c>
      <c r="M117" s="113"/>
    </row>
    <row r="118" spans="1:13" ht="14.25" customHeight="1" x14ac:dyDescent="0.2">
      <c r="A118" s="106" t="s">
        <v>5203</v>
      </c>
      <c r="B118" s="105" t="s">
        <v>2423</v>
      </c>
      <c r="C118" s="105" t="s">
        <v>5303</v>
      </c>
      <c r="D118" s="149" t="s">
        <v>2425</v>
      </c>
      <c r="E118" s="105">
        <v>2</v>
      </c>
      <c r="F118" s="133">
        <v>18.53</v>
      </c>
      <c r="G118" s="133">
        <v>21.5</v>
      </c>
      <c r="H118" s="109">
        <f t="shared" si="3"/>
        <v>43</v>
      </c>
      <c r="I118" s="119"/>
      <c r="J118" s="119"/>
      <c r="K118" s="119">
        <f t="shared" si="4"/>
        <v>43</v>
      </c>
      <c r="L118" s="152">
        <f t="shared" si="5"/>
        <v>37.06</v>
      </c>
      <c r="M118" s="113"/>
    </row>
    <row r="119" spans="1:13" ht="14.25" customHeight="1" x14ac:dyDescent="0.2">
      <c r="A119" s="106" t="s">
        <v>5203</v>
      </c>
      <c r="B119" s="105" t="s">
        <v>3060</v>
      </c>
      <c r="C119" s="105" t="s">
        <v>5303</v>
      </c>
      <c r="D119" s="149" t="s">
        <v>3062</v>
      </c>
      <c r="E119" s="105">
        <v>1</v>
      </c>
      <c r="F119" s="133">
        <v>44.8</v>
      </c>
      <c r="G119" s="133">
        <v>51.75</v>
      </c>
      <c r="H119" s="109">
        <f t="shared" si="3"/>
        <v>51.75</v>
      </c>
      <c r="I119" s="119"/>
      <c r="J119" s="119"/>
      <c r="K119" s="119">
        <f t="shared" si="4"/>
        <v>51.75</v>
      </c>
      <c r="L119" s="152">
        <f t="shared" si="5"/>
        <v>44.8</v>
      </c>
      <c r="M119" s="113"/>
    </row>
    <row r="120" spans="1:13" ht="14.25" customHeight="1" x14ac:dyDescent="0.2">
      <c r="A120" s="106" t="s">
        <v>5203</v>
      </c>
      <c r="B120" s="105" t="s">
        <v>4946</v>
      </c>
      <c r="C120" s="105" t="s">
        <v>5304</v>
      </c>
      <c r="D120" s="149" t="s">
        <v>4983</v>
      </c>
      <c r="E120" s="105">
        <v>1</v>
      </c>
      <c r="F120" s="133">
        <v>6.4</v>
      </c>
      <c r="G120" s="133">
        <v>7.5</v>
      </c>
      <c r="H120" s="109">
        <f t="shared" si="3"/>
        <v>7.5</v>
      </c>
      <c r="I120" s="119"/>
      <c r="J120" s="119"/>
      <c r="K120" s="119">
        <f t="shared" si="4"/>
        <v>7.5</v>
      </c>
      <c r="L120" s="152">
        <f t="shared" si="5"/>
        <v>6.4</v>
      </c>
      <c r="M120" s="113"/>
    </row>
    <row r="121" spans="1:13" ht="14.25" customHeight="1" x14ac:dyDescent="0.2">
      <c r="A121" s="106" t="s">
        <v>5203</v>
      </c>
      <c r="B121" s="105" t="s">
        <v>2895</v>
      </c>
      <c r="C121" s="105" t="s">
        <v>5305</v>
      </c>
      <c r="D121" s="149" t="s">
        <v>2897</v>
      </c>
      <c r="E121" s="105">
        <v>4</v>
      </c>
      <c r="F121" s="133">
        <v>9.17</v>
      </c>
      <c r="G121" s="133">
        <v>10.75</v>
      </c>
      <c r="H121" s="109">
        <f t="shared" si="3"/>
        <v>43</v>
      </c>
      <c r="I121" s="119"/>
      <c r="J121" s="119"/>
      <c r="K121" s="119">
        <f t="shared" si="4"/>
        <v>43</v>
      </c>
      <c r="L121" s="152">
        <f t="shared" si="5"/>
        <v>36.68</v>
      </c>
      <c r="M121" s="113"/>
    </row>
    <row r="122" spans="1:13" ht="14.25" customHeight="1" x14ac:dyDescent="0.2">
      <c r="A122" s="106" t="s">
        <v>5203</v>
      </c>
      <c r="B122" s="105" t="s">
        <v>5242</v>
      </c>
      <c r="C122" s="105" t="s">
        <v>5305</v>
      </c>
      <c r="D122" s="149" t="s">
        <v>5402</v>
      </c>
      <c r="E122" s="105">
        <v>1</v>
      </c>
      <c r="F122" s="133">
        <v>8.6</v>
      </c>
      <c r="G122" s="133">
        <v>10</v>
      </c>
      <c r="H122" s="109">
        <f t="shared" si="3"/>
        <v>10</v>
      </c>
      <c r="I122" s="119"/>
      <c r="J122" s="119"/>
      <c r="K122" s="119">
        <f t="shared" si="4"/>
        <v>10</v>
      </c>
      <c r="L122" s="152">
        <f t="shared" si="5"/>
        <v>8.6</v>
      </c>
      <c r="M122" s="113"/>
    </row>
    <row r="123" spans="1:13" ht="14.25" customHeight="1" x14ac:dyDescent="0.2">
      <c r="A123" s="106" t="s">
        <v>5203</v>
      </c>
      <c r="B123" s="105" t="s">
        <v>2453</v>
      </c>
      <c r="C123" s="105" t="s">
        <v>5306</v>
      </c>
      <c r="D123" s="149" t="s">
        <v>2454</v>
      </c>
      <c r="E123" s="105">
        <v>1</v>
      </c>
      <c r="F123" s="133">
        <v>57.4</v>
      </c>
      <c r="G123" s="133">
        <v>66</v>
      </c>
      <c r="H123" s="109">
        <f t="shared" si="3"/>
        <v>66</v>
      </c>
      <c r="I123" s="119"/>
      <c r="J123" s="119"/>
      <c r="K123" s="119">
        <f t="shared" si="4"/>
        <v>66</v>
      </c>
      <c r="L123" s="152">
        <f t="shared" si="5"/>
        <v>57.4</v>
      </c>
      <c r="M123" s="113"/>
    </row>
    <row r="124" spans="1:13" ht="14.25" customHeight="1" x14ac:dyDescent="0.2">
      <c r="A124" s="106" t="s">
        <v>5203</v>
      </c>
      <c r="B124" s="105" t="s">
        <v>4806</v>
      </c>
      <c r="C124" s="105" t="s">
        <v>5307</v>
      </c>
      <c r="D124" s="149" t="s">
        <v>4874</v>
      </c>
      <c r="E124" s="105">
        <v>2</v>
      </c>
      <c r="F124" s="133">
        <v>8.58</v>
      </c>
      <c r="G124" s="133">
        <v>10</v>
      </c>
      <c r="H124" s="109">
        <f t="shared" si="3"/>
        <v>20</v>
      </c>
      <c r="I124" s="119"/>
      <c r="J124" s="119"/>
      <c r="K124" s="119">
        <f t="shared" si="4"/>
        <v>20</v>
      </c>
      <c r="L124" s="152">
        <f t="shared" si="5"/>
        <v>17.16</v>
      </c>
      <c r="M124" s="113"/>
    </row>
    <row r="125" spans="1:13" ht="14.25" customHeight="1" x14ac:dyDescent="0.2">
      <c r="A125" s="106" t="s">
        <v>5203</v>
      </c>
      <c r="B125" s="105" t="s">
        <v>1977</v>
      </c>
      <c r="C125" s="105" t="s">
        <v>5308</v>
      </c>
      <c r="D125" s="149" t="s">
        <v>1979</v>
      </c>
      <c r="E125" s="105">
        <v>2</v>
      </c>
      <c r="F125" s="133">
        <v>0.76</v>
      </c>
      <c r="G125" s="133">
        <v>1</v>
      </c>
      <c r="H125" s="109">
        <f t="shared" si="3"/>
        <v>2</v>
      </c>
      <c r="I125" s="119"/>
      <c r="J125" s="119"/>
      <c r="K125" s="119">
        <f t="shared" si="4"/>
        <v>2</v>
      </c>
      <c r="L125" s="152">
        <f t="shared" si="5"/>
        <v>1.52</v>
      </c>
      <c r="M125" s="113"/>
    </row>
    <row r="126" spans="1:13" ht="14.25" customHeight="1" x14ac:dyDescent="0.2">
      <c r="A126" s="106" t="s">
        <v>5203</v>
      </c>
      <c r="B126" s="105" t="s">
        <v>4029</v>
      </c>
      <c r="C126" s="105" t="s">
        <v>5309</v>
      </c>
      <c r="D126" s="149" t="s">
        <v>4031</v>
      </c>
      <c r="E126" s="105">
        <v>1</v>
      </c>
      <c r="F126" s="133">
        <v>30.2</v>
      </c>
      <c r="G126" s="133">
        <v>34.75</v>
      </c>
      <c r="H126" s="109">
        <f t="shared" si="3"/>
        <v>34.75</v>
      </c>
      <c r="I126" s="119"/>
      <c r="J126" s="119"/>
      <c r="K126" s="119">
        <f t="shared" si="4"/>
        <v>34.75</v>
      </c>
      <c r="L126" s="152">
        <f t="shared" si="5"/>
        <v>30.2</v>
      </c>
      <c r="M126" s="113"/>
    </row>
    <row r="127" spans="1:13" ht="14.25" customHeight="1" x14ac:dyDescent="0.2">
      <c r="A127" s="106" t="s">
        <v>5203</v>
      </c>
      <c r="B127" s="105" t="s">
        <v>2895</v>
      </c>
      <c r="C127" s="105" t="s">
        <v>5309</v>
      </c>
      <c r="D127" s="149" t="s">
        <v>2897</v>
      </c>
      <c r="E127" s="105">
        <v>1</v>
      </c>
      <c r="F127" s="133">
        <v>9.17</v>
      </c>
      <c r="G127" s="133">
        <v>10.75</v>
      </c>
      <c r="H127" s="109">
        <f t="shared" si="3"/>
        <v>10.75</v>
      </c>
      <c r="I127" s="119"/>
      <c r="J127" s="119"/>
      <c r="K127" s="119">
        <f t="shared" si="4"/>
        <v>10.75</v>
      </c>
      <c r="L127" s="152">
        <f t="shared" si="5"/>
        <v>9.17</v>
      </c>
      <c r="M127" s="113"/>
    </row>
    <row r="128" spans="1:13" ht="14.25" customHeight="1" x14ac:dyDescent="0.2">
      <c r="A128" s="106" t="s">
        <v>5203</v>
      </c>
      <c r="B128" s="105" t="s">
        <v>4520</v>
      </c>
      <c r="C128" s="105" t="s">
        <v>5309</v>
      </c>
      <c r="D128" s="149" t="s">
        <v>4625</v>
      </c>
      <c r="E128" s="105">
        <v>1</v>
      </c>
      <c r="F128" s="133">
        <v>60</v>
      </c>
      <c r="G128" s="133">
        <v>75</v>
      </c>
      <c r="H128" s="109">
        <f t="shared" si="3"/>
        <v>75</v>
      </c>
      <c r="I128" s="119"/>
      <c r="J128" s="119"/>
      <c r="K128" s="119">
        <f t="shared" si="4"/>
        <v>75</v>
      </c>
      <c r="L128" s="152">
        <f t="shared" si="5"/>
        <v>60</v>
      </c>
      <c r="M128" s="113"/>
    </row>
    <row r="129" spans="1:13" ht="14.25" customHeight="1" x14ac:dyDescent="0.2">
      <c r="A129" s="106" t="s">
        <v>5203</v>
      </c>
      <c r="B129" s="105" t="s">
        <v>1826</v>
      </c>
      <c r="C129" s="105" t="s">
        <v>5309</v>
      </c>
      <c r="D129" s="149" t="s">
        <v>1827</v>
      </c>
      <c r="E129" s="105">
        <v>1</v>
      </c>
      <c r="F129" s="133">
        <v>90</v>
      </c>
      <c r="G129" s="133">
        <v>120</v>
      </c>
      <c r="H129" s="109">
        <f t="shared" si="3"/>
        <v>120</v>
      </c>
      <c r="I129" s="119"/>
      <c r="J129" s="119"/>
      <c r="K129" s="119">
        <f t="shared" si="4"/>
        <v>120</v>
      </c>
      <c r="L129" s="152">
        <f t="shared" si="5"/>
        <v>90</v>
      </c>
      <c r="M129" s="113"/>
    </row>
    <row r="130" spans="1:13" ht="14.25" customHeight="1" x14ac:dyDescent="0.2">
      <c r="A130" s="106" t="s">
        <v>5203</v>
      </c>
      <c r="B130" s="105" t="s">
        <v>4800</v>
      </c>
      <c r="C130" s="105" t="s">
        <v>5310</v>
      </c>
      <c r="D130" s="149" t="s">
        <v>4868</v>
      </c>
      <c r="E130" s="105">
        <v>1</v>
      </c>
      <c r="F130" s="133">
        <v>50.88</v>
      </c>
      <c r="G130" s="133">
        <v>58.75</v>
      </c>
      <c r="H130" s="109">
        <f t="shared" si="3"/>
        <v>58.75</v>
      </c>
      <c r="I130" s="119"/>
      <c r="J130" s="119"/>
      <c r="K130" s="119">
        <f t="shared" si="4"/>
        <v>58.75</v>
      </c>
      <c r="L130" s="152">
        <f t="shared" si="5"/>
        <v>50.88</v>
      </c>
      <c r="M130" s="113"/>
    </row>
    <row r="131" spans="1:13" ht="14.25" customHeight="1" x14ac:dyDescent="0.2">
      <c r="A131" s="106" t="s">
        <v>5203</v>
      </c>
      <c r="B131" s="105" t="s">
        <v>4806</v>
      </c>
      <c r="C131" s="105" t="s">
        <v>5311</v>
      </c>
      <c r="D131" s="149" t="s">
        <v>4874</v>
      </c>
      <c r="E131" s="105">
        <v>2</v>
      </c>
      <c r="F131" s="133">
        <v>8.58</v>
      </c>
      <c r="G131" s="133">
        <v>10</v>
      </c>
      <c r="H131" s="109">
        <f t="shared" si="3"/>
        <v>20</v>
      </c>
      <c r="I131" s="119"/>
      <c r="J131" s="119"/>
      <c r="K131" s="119">
        <f t="shared" si="4"/>
        <v>20</v>
      </c>
      <c r="L131" s="152">
        <f t="shared" si="5"/>
        <v>17.16</v>
      </c>
      <c r="M131" s="113"/>
    </row>
    <row r="132" spans="1:13" ht="14.25" customHeight="1" x14ac:dyDescent="0.2">
      <c r="A132" s="106" t="s">
        <v>5203</v>
      </c>
      <c r="B132" s="105" t="s">
        <v>1977</v>
      </c>
      <c r="C132" s="105" t="s">
        <v>5312</v>
      </c>
      <c r="D132" s="149" t="s">
        <v>1979</v>
      </c>
      <c r="E132" s="105">
        <v>7</v>
      </c>
      <c r="F132" s="133">
        <v>0.76</v>
      </c>
      <c r="G132" s="133">
        <v>1</v>
      </c>
      <c r="H132" s="109">
        <f t="shared" si="3"/>
        <v>7</v>
      </c>
      <c r="I132" s="119"/>
      <c r="J132" s="119"/>
      <c r="K132" s="119">
        <f t="shared" si="4"/>
        <v>7</v>
      </c>
      <c r="L132" s="152">
        <f t="shared" si="5"/>
        <v>5.32</v>
      </c>
      <c r="M132" s="113"/>
    </row>
    <row r="133" spans="1:13" ht="14.25" customHeight="1" x14ac:dyDescent="0.2">
      <c r="A133" s="106" t="s">
        <v>5203</v>
      </c>
      <c r="B133" s="105" t="s">
        <v>3793</v>
      </c>
      <c r="C133" s="105" t="s">
        <v>5313</v>
      </c>
      <c r="D133" s="149" t="s">
        <v>3795</v>
      </c>
      <c r="E133" s="105">
        <v>1</v>
      </c>
      <c r="F133" s="133">
        <v>8.3800000000000008</v>
      </c>
      <c r="G133" s="133">
        <v>9.75</v>
      </c>
      <c r="H133" s="109">
        <f t="shared" si="3"/>
        <v>9.75</v>
      </c>
      <c r="I133" s="119"/>
      <c r="J133" s="119"/>
      <c r="K133" s="119">
        <f t="shared" si="4"/>
        <v>9.75</v>
      </c>
      <c r="L133" s="152">
        <f t="shared" si="5"/>
        <v>8.3800000000000008</v>
      </c>
      <c r="M133" s="113"/>
    </row>
    <row r="134" spans="1:13" ht="14.25" customHeight="1" x14ac:dyDescent="0.2">
      <c r="A134" s="106" t="s">
        <v>5203</v>
      </c>
      <c r="B134" s="105" t="s">
        <v>2884</v>
      </c>
      <c r="C134" s="105" t="s">
        <v>5314</v>
      </c>
      <c r="D134" s="149" t="s">
        <v>2886</v>
      </c>
      <c r="E134" s="105">
        <v>4</v>
      </c>
      <c r="F134" s="133">
        <v>302.13</v>
      </c>
      <c r="G134" s="133">
        <v>362.75</v>
      </c>
      <c r="H134" s="109">
        <f t="shared" ref="H134:H197" si="6">E134*G134</f>
        <v>1451</v>
      </c>
      <c r="I134" s="119"/>
      <c r="J134" s="119"/>
      <c r="K134" s="119">
        <f t="shared" si="4"/>
        <v>1451</v>
      </c>
      <c r="L134" s="152">
        <f t="shared" si="5"/>
        <v>1208.52</v>
      </c>
      <c r="M134" s="113"/>
    </row>
    <row r="135" spans="1:13" ht="14.25" customHeight="1" x14ac:dyDescent="0.2">
      <c r="A135" s="106" t="s">
        <v>5203</v>
      </c>
      <c r="B135" s="105" t="s">
        <v>2115</v>
      </c>
      <c r="C135" s="105" t="s">
        <v>5315</v>
      </c>
      <c r="D135" s="149" t="s">
        <v>2117</v>
      </c>
      <c r="E135" s="105">
        <v>1</v>
      </c>
      <c r="F135" s="133">
        <v>84.8</v>
      </c>
      <c r="G135" s="133">
        <v>94</v>
      </c>
      <c r="H135" s="109">
        <f t="shared" si="6"/>
        <v>94</v>
      </c>
      <c r="I135" s="119"/>
      <c r="J135" s="119"/>
      <c r="K135" s="119">
        <f t="shared" ref="K135:K198" si="7">H135+I135-J135</f>
        <v>94</v>
      </c>
      <c r="L135" s="152">
        <f t="shared" ref="L135:L198" si="8">E135*F135</f>
        <v>84.8</v>
      </c>
      <c r="M135" s="113"/>
    </row>
    <row r="136" spans="1:13" ht="14.25" customHeight="1" x14ac:dyDescent="0.2">
      <c r="A136" s="106" t="s">
        <v>5203</v>
      </c>
      <c r="B136" s="105" t="s">
        <v>3356</v>
      </c>
      <c r="C136" s="105" t="s">
        <v>5316</v>
      </c>
      <c r="D136" s="149" t="s">
        <v>3358</v>
      </c>
      <c r="E136" s="105">
        <v>1</v>
      </c>
      <c r="F136" s="133">
        <v>6.03</v>
      </c>
      <c r="G136" s="133">
        <v>7</v>
      </c>
      <c r="H136" s="109">
        <f t="shared" si="6"/>
        <v>7</v>
      </c>
      <c r="I136" s="119"/>
      <c r="J136" s="119"/>
      <c r="K136" s="119">
        <f t="shared" si="7"/>
        <v>7</v>
      </c>
      <c r="L136" s="152">
        <f t="shared" si="8"/>
        <v>6.03</v>
      </c>
      <c r="M136" s="113"/>
    </row>
    <row r="137" spans="1:13" ht="14.25" customHeight="1" x14ac:dyDescent="0.2">
      <c r="A137" s="106" t="s">
        <v>5229</v>
      </c>
      <c r="B137" s="105" t="s">
        <v>2762</v>
      </c>
      <c r="C137" s="105" t="s">
        <v>5317</v>
      </c>
      <c r="D137" s="149" t="s">
        <v>2764</v>
      </c>
      <c r="E137" s="105">
        <v>2</v>
      </c>
      <c r="F137" s="133">
        <v>18.57</v>
      </c>
      <c r="G137" s="133">
        <v>21.5</v>
      </c>
      <c r="H137" s="109">
        <f t="shared" si="6"/>
        <v>43</v>
      </c>
      <c r="I137" s="119"/>
      <c r="J137" s="119"/>
      <c r="K137" s="119">
        <f t="shared" si="7"/>
        <v>43</v>
      </c>
      <c r="L137" s="152">
        <f t="shared" si="8"/>
        <v>37.14</v>
      </c>
      <c r="M137" s="113"/>
    </row>
    <row r="138" spans="1:13" ht="14.25" customHeight="1" x14ac:dyDescent="0.2">
      <c r="A138" s="106" t="s">
        <v>5229</v>
      </c>
      <c r="B138" s="105" t="s">
        <v>2690</v>
      </c>
      <c r="C138" s="105" t="s">
        <v>5317</v>
      </c>
      <c r="D138" s="149" t="s">
        <v>2692</v>
      </c>
      <c r="E138" s="105">
        <v>2</v>
      </c>
      <c r="F138" s="133">
        <v>32.86</v>
      </c>
      <c r="G138" s="133">
        <v>38</v>
      </c>
      <c r="H138" s="109">
        <f t="shared" si="6"/>
        <v>76</v>
      </c>
      <c r="I138" s="119"/>
      <c r="J138" s="119"/>
      <c r="K138" s="119">
        <f t="shared" si="7"/>
        <v>76</v>
      </c>
      <c r="L138" s="152">
        <f t="shared" si="8"/>
        <v>65.72</v>
      </c>
      <c r="M138" s="113"/>
    </row>
    <row r="139" spans="1:13" ht="14.25" customHeight="1" x14ac:dyDescent="0.2">
      <c r="A139" s="106" t="s">
        <v>5229</v>
      </c>
      <c r="B139" s="105" t="s">
        <v>2245</v>
      </c>
      <c r="C139" s="105" t="s">
        <v>5317</v>
      </c>
      <c r="D139" s="149" t="s">
        <v>2246</v>
      </c>
      <c r="E139" s="105">
        <v>16</v>
      </c>
      <c r="F139" s="133">
        <v>4.74</v>
      </c>
      <c r="G139" s="133">
        <v>5.5</v>
      </c>
      <c r="H139" s="109">
        <f t="shared" si="6"/>
        <v>88</v>
      </c>
      <c r="I139" s="119"/>
      <c r="J139" s="119"/>
      <c r="K139" s="119">
        <f t="shared" si="7"/>
        <v>88</v>
      </c>
      <c r="L139" s="152">
        <f t="shared" si="8"/>
        <v>75.84</v>
      </c>
      <c r="M139" s="113"/>
    </row>
    <row r="140" spans="1:13" ht="14.25" customHeight="1" x14ac:dyDescent="0.2">
      <c r="A140" s="106" t="s">
        <v>5229</v>
      </c>
      <c r="B140" s="105" t="s">
        <v>3457</v>
      </c>
      <c r="C140" s="105" t="s">
        <v>5317</v>
      </c>
      <c r="D140" s="149" t="s">
        <v>3458</v>
      </c>
      <c r="E140" s="105">
        <v>2</v>
      </c>
      <c r="F140" s="133">
        <v>51.97</v>
      </c>
      <c r="G140" s="133">
        <v>60</v>
      </c>
      <c r="H140" s="109">
        <f t="shared" si="6"/>
        <v>120</v>
      </c>
      <c r="I140" s="119"/>
      <c r="J140" s="119"/>
      <c r="K140" s="119">
        <f t="shared" si="7"/>
        <v>120</v>
      </c>
      <c r="L140" s="152">
        <f t="shared" si="8"/>
        <v>103.94</v>
      </c>
      <c r="M140" s="113"/>
    </row>
    <row r="141" spans="1:13" ht="14.25" customHeight="1" x14ac:dyDescent="0.2">
      <c r="A141" s="106" t="s">
        <v>5229</v>
      </c>
      <c r="B141" s="105" t="s">
        <v>3326</v>
      </c>
      <c r="C141" s="105" t="s">
        <v>5317</v>
      </c>
      <c r="D141" s="149" t="s">
        <v>3327</v>
      </c>
      <c r="E141" s="105">
        <v>12</v>
      </c>
      <c r="F141" s="133">
        <v>6.02</v>
      </c>
      <c r="G141" s="133">
        <v>7.25</v>
      </c>
      <c r="H141" s="109">
        <f t="shared" si="6"/>
        <v>87</v>
      </c>
      <c r="I141" s="119"/>
      <c r="J141" s="119"/>
      <c r="K141" s="119">
        <f t="shared" si="7"/>
        <v>87</v>
      </c>
      <c r="L141" s="152">
        <f t="shared" si="8"/>
        <v>72.239999999999995</v>
      </c>
      <c r="M141" s="113"/>
    </row>
    <row r="142" spans="1:13" ht="14.25" customHeight="1" x14ac:dyDescent="0.2">
      <c r="A142" s="106" t="s">
        <v>5229</v>
      </c>
      <c r="B142" s="105" t="s">
        <v>2581</v>
      </c>
      <c r="C142" s="105" t="s">
        <v>5317</v>
      </c>
      <c r="D142" s="149" t="s">
        <v>2583</v>
      </c>
      <c r="E142" s="105">
        <v>12</v>
      </c>
      <c r="F142" s="133">
        <v>6.02</v>
      </c>
      <c r="G142" s="133">
        <v>7.25</v>
      </c>
      <c r="H142" s="109">
        <f t="shared" si="6"/>
        <v>87</v>
      </c>
      <c r="I142" s="119"/>
      <c r="J142" s="119"/>
      <c r="K142" s="119">
        <f t="shared" si="7"/>
        <v>87</v>
      </c>
      <c r="L142" s="152">
        <f t="shared" si="8"/>
        <v>72.239999999999995</v>
      </c>
      <c r="M142" s="113"/>
    </row>
    <row r="143" spans="1:13" ht="14.25" customHeight="1" x14ac:dyDescent="0.2">
      <c r="A143" s="106" t="s">
        <v>5229</v>
      </c>
      <c r="B143" s="105" t="s">
        <v>2521</v>
      </c>
      <c r="C143" s="105" t="s">
        <v>5317</v>
      </c>
      <c r="D143" s="149" t="s">
        <v>2522</v>
      </c>
      <c r="E143" s="105">
        <v>12</v>
      </c>
      <c r="F143" s="133">
        <v>6.12</v>
      </c>
      <c r="G143" s="133">
        <v>7.25</v>
      </c>
      <c r="H143" s="109">
        <f t="shared" si="6"/>
        <v>87</v>
      </c>
      <c r="I143" s="119"/>
      <c r="J143" s="119"/>
      <c r="K143" s="119">
        <f t="shared" si="7"/>
        <v>87</v>
      </c>
      <c r="L143" s="152">
        <f t="shared" si="8"/>
        <v>73.44</v>
      </c>
      <c r="M143" s="113"/>
    </row>
    <row r="144" spans="1:13" ht="14.25" customHeight="1" x14ac:dyDescent="0.2">
      <c r="A144" s="106" t="s">
        <v>5229</v>
      </c>
      <c r="B144" s="105" t="s">
        <v>2878</v>
      </c>
      <c r="C144" s="105" t="s">
        <v>5317</v>
      </c>
      <c r="D144" s="149" t="s">
        <v>2880</v>
      </c>
      <c r="E144" s="105">
        <v>1</v>
      </c>
      <c r="F144" s="133">
        <v>60.4</v>
      </c>
      <c r="G144" s="133">
        <v>70</v>
      </c>
      <c r="H144" s="109">
        <f t="shared" si="6"/>
        <v>70</v>
      </c>
      <c r="I144" s="119"/>
      <c r="J144" s="119"/>
      <c r="K144" s="119">
        <f t="shared" si="7"/>
        <v>70</v>
      </c>
      <c r="L144" s="152">
        <f t="shared" si="8"/>
        <v>60.4</v>
      </c>
      <c r="M144" s="113"/>
    </row>
    <row r="145" spans="1:13" ht="14.25" customHeight="1" x14ac:dyDescent="0.2">
      <c r="A145" s="106" t="s">
        <v>5229</v>
      </c>
      <c r="B145" s="105" t="s">
        <v>4282</v>
      </c>
      <c r="C145" s="105" t="s">
        <v>5317</v>
      </c>
      <c r="D145" s="149" t="s">
        <v>4284</v>
      </c>
      <c r="E145" s="105">
        <v>1</v>
      </c>
      <c r="F145" s="133">
        <v>53.2</v>
      </c>
      <c r="G145" s="133">
        <v>61.25</v>
      </c>
      <c r="H145" s="109">
        <f t="shared" si="6"/>
        <v>61.25</v>
      </c>
      <c r="I145" s="119"/>
      <c r="J145" s="119"/>
      <c r="K145" s="119">
        <f t="shared" si="7"/>
        <v>61.25</v>
      </c>
      <c r="L145" s="152">
        <f t="shared" si="8"/>
        <v>53.2</v>
      </c>
      <c r="M145" s="113"/>
    </row>
    <row r="146" spans="1:13" ht="14.25" customHeight="1" x14ac:dyDescent="0.2">
      <c r="A146" s="106" t="s">
        <v>5229</v>
      </c>
      <c r="B146" s="105" t="s">
        <v>2293</v>
      </c>
      <c r="C146" s="105" t="s">
        <v>5317</v>
      </c>
      <c r="D146" s="149" t="s">
        <v>2295</v>
      </c>
      <c r="E146" s="105">
        <v>2</v>
      </c>
      <c r="F146" s="133">
        <v>27.84</v>
      </c>
      <c r="G146" s="133">
        <v>45</v>
      </c>
      <c r="H146" s="109">
        <f t="shared" si="6"/>
        <v>90</v>
      </c>
      <c r="I146" s="119"/>
      <c r="J146" s="119"/>
      <c r="K146" s="119">
        <f t="shared" si="7"/>
        <v>90</v>
      </c>
      <c r="L146" s="152">
        <f t="shared" si="8"/>
        <v>55.68</v>
      </c>
      <c r="M146" s="113"/>
    </row>
    <row r="147" spans="1:13" ht="14.25" customHeight="1" x14ac:dyDescent="0.2">
      <c r="A147" s="106" t="s">
        <v>5229</v>
      </c>
      <c r="B147" s="105" t="s">
        <v>4806</v>
      </c>
      <c r="C147" s="105" t="s">
        <v>5317</v>
      </c>
      <c r="D147" s="149" t="s">
        <v>4874</v>
      </c>
      <c r="E147" s="105">
        <v>2</v>
      </c>
      <c r="F147" s="133">
        <v>8.58</v>
      </c>
      <c r="G147" s="133">
        <v>10</v>
      </c>
      <c r="H147" s="109">
        <f t="shared" si="6"/>
        <v>20</v>
      </c>
      <c r="I147" s="119"/>
      <c r="J147" s="119"/>
      <c r="K147" s="119">
        <f t="shared" si="7"/>
        <v>20</v>
      </c>
      <c r="L147" s="152">
        <f t="shared" si="8"/>
        <v>17.16</v>
      </c>
      <c r="M147" s="113"/>
    </row>
    <row r="148" spans="1:13" ht="14.25" customHeight="1" x14ac:dyDescent="0.2">
      <c r="A148" s="106" t="s">
        <v>5229</v>
      </c>
      <c r="B148" s="105" t="s">
        <v>3195</v>
      </c>
      <c r="C148" s="105" t="s">
        <v>5317</v>
      </c>
      <c r="D148" s="149" t="s">
        <v>3196</v>
      </c>
      <c r="E148" s="105">
        <v>1</v>
      </c>
      <c r="F148" s="133">
        <v>64.58</v>
      </c>
      <c r="G148" s="133">
        <v>74.5</v>
      </c>
      <c r="H148" s="109">
        <f t="shared" si="6"/>
        <v>74.5</v>
      </c>
      <c r="I148" s="119"/>
      <c r="J148" s="119"/>
      <c r="K148" s="119">
        <f t="shared" si="7"/>
        <v>74.5</v>
      </c>
      <c r="L148" s="152">
        <f t="shared" si="8"/>
        <v>64.58</v>
      </c>
      <c r="M148" s="113"/>
    </row>
    <row r="149" spans="1:13" ht="14.25" customHeight="1" x14ac:dyDescent="0.2">
      <c r="A149" s="106" t="s">
        <v>5229</v>
      </c>
      <c r="B149" s="105" t="s">
        <v>3169</v>
      </c>
      <c r="C149" s="105" t="s">
        <v>5317</v>
      </c>
      <c r="D149" s="149" t="s">
        <v>3170</v>
      </c>
      <c r="E149" s="105">
        <v>8</v>
      </c>
      <c r="F149" s="133">
        <v>5.41</v>
      </c>
      <c r="G149" s="133">
        <v>6.25</v>
      </c>
      <c r="H149" s="109">
        <f t="shared" si="6"/>
        <v>50</v>
      </c>
      <c r="I149" s="119"/>
      <c r="J149" s="119"/>
      <c r="K149" s="119">
        <f t="shared" si="7"/>
        <v>50</v>
      </c>
      <c r="L149" s="152">
        <f t="shared" si="8"/>
        <v>43.28</v>
      </c>
      <c r="M149" s="113"/>
    </row>
    <row r="150" spans="1:13" x14ac:dyDescent="0.2">
      <c r="A150" s="106" t="s">
        <v>5229</v>
      </c>
      <c r="B150" s="105" t="s">
        <v>2794</v>
      </c>
      <c r="C150" s="105" t="s">
        <v>5317</v>
      </c>
      <c r="D150" s="149" t="s">
        <v>2795</v>
      </c>
      <c r="E150" s="105">
        <v>1</v>
      </c>
      <c r="F150" s="133">
        <v>23.15</v>
      </c>
      <c r="G150" s="133">
        <v>27</v>
      </c>
      <c r="H150" s="109">
        <f t="shared" si="6"/>
        <v>27</v>
      </c>
      <c r="I150" s="119"/>
      <c r="J150" s="119"/>
      <c r="K150" s="119">
        <f t="shared" si="7"/>
        <v>27</v>
      </c>
      <c r="L150" s="152">
        <f t="shared" si="8"/>
        <v>23.15</v>
      </c>
      <c r="M150" s="113"/>
    </row>
    <row r="151" spans="1:13" x14ac:dyDescent="0.2">
      <c r="A151" s="106" t="s">
        <v>5229</v>
      </c>
      <c r="B151" s="105" t="s">
        <v>2639</v>
      </c>
      <c r="C151" s="105" t="s">
        <v>5318</v>
      </c>
      <c r="D151" s="149" t="s">
        <v>2640</v>
      </c>
      <c r="E151" s="105">
        <v>2</v>
      </c>
      <c r="F151" s="133">
        <v>17.059999999999999</v>
      </c>
      <c r="G151" s="133">
        <v>19.75</v>
      </c>
      <c r="H151" s="109">
        <f t="shared" si="6"/>
        <v>39.5</v>
      </c>
      <c r="I151" s="119"/>
      <c r="J151" s="119"/>
      <c r="K151" s="119">
        <f t="shared" si="7"/>
        <v>39.5</v>
      </c>
      <c r="L151" s="152">
        <f t="shared" si="8"/>
        <v>34.119999999999997</v>
      </c>
      <c r="M151" s="113"/>
    </row>
    <row r="152" spans="1:13" x14ac:dyDescent="0.2">
      <c r="A152" s="106" t="s">
        <v>5229</v>
      </c>
      <c r="B152" s="105" t="s">
        <v>2360</v>
      </c>
      <c r="C152" s="105" t="s">
        <v>5319</v>
      </c>
      <c r="D152" s="149" t="s">
        <v>2361</v>
      </c>
      <c r="E152" s="105">
        <v>1</v>
      </c>
      <c r="F152" s="133">
        <v>17.649999999999999</v>
      </c>
      <c r="G152" s="133">
        <v>20.5</v>
      </c>
      <c r="H152" s="109">
        <f t="shared" si="6"/>
        <v>20.5</v>
      </c>
      <c r="I152" s="119"/>
      <c r="J152" s="119"/>
      <c r="K152" s="119">
        <f t="shared" si="7"/>
        <v>20.5</v>
      </c>
      <c r="L152" s="152">
        <f t="shared" si="8"/>
        <v>17.649999999999999</v>
      </c>
      <c r="M152" s="113"/>
    </row>
    <row r="153" spans="1:13" x14ac:dyDescent="0.2">
      <c r="A153" s="106" t="s">
        <v>5229</v>
      </c>
      <c r="B153" s="105" t="s">
        <v>1877</v>
      </c>
      <c r="C153" s="105" t="s">
        <v>5320</v>
      </c>
      <c r="D153" s="149" t="s">
        <v>1878</v>
      </c>
      <c r="E153" s="105">
        <v>1</v>
      </c>
      <c r="F153" s="133">
        <v>20.399999999999999</v>
      </c>
      <c r="G153" s="133">
        <v>23.5</v>
      </c>
      <c r="H153" s="109">
        <f t="shared" si="6"/>
        <v>23.5</v>
      </c>
      <c r="I153" s="119"/>
      <c r="J153" s="119"/>
      <c r="K153" s="119">
        <f t="shared" si="7"/>
        <v>23.5</v>
      </c>
      <c r="L153" s="152">
        <f t="shared" si="8"/>
        <v>20.399999999999999</v>
      </c>
      <c r="M153" s="113"/>
    </row>
    <row r="154" spans="1:13" x14ac:dyDescent="0.2">
      <c r="A154" s="106" t="s">
        <v>5229</v>
      </c>
      <c r="B154" s="105" t="s">
        <v>2576</v>
      </c>
      <c r="C154" s="105" t="s">
        <v>5321</v>
      </c>
      <c r="D154" s="149" t="s">
        <v>2578</v>
      </c>
      <c r="E154" s="105">
        <v>1</v>
      </c>
      <c r="F154" s="133">
        <v>49.75</v>
      </c>
      <c r="G154" s="133">
        <v>57.25</v>
      </c>
      <c r="H154" s="109">
        <f t="shared" si="6"/>
        <v>57.25</v>
      </c>
      <c r="I154" s="119"/>
      <c r="J154" s="119"/>
      <c r="K154" s="119">
        <f t="shared" si="7"/>
        <v>57.25</v>
      </c>
      <c r="L154" s="152">
        <f t="shared" si="8"/>
        <v>49.75</v>
      </c>
      <c r="M154" s="113"/>
    </row>
    <row r="155" spans="1:13" x14ac:dyDescent="0.2">
      <c r="A155" s="106" t="s">
        <v>5229</v>
      </c>
      <c r="B155" s="105" t="s">
        <v>3674</v>
      </c>
      <c r="C155" s="105" t="s">
        <v>5322</v>
      </c>
      <c r="D155" s="149" t="s">
        <v>3675</v>
      </c>
      <c r="E155" s="105">
        <v>2</v>
      </c>
      <c r="F155" s="133">
        <v>18.64</v>
      </c>
      <c r="G155" s="133">
        <v>21.5</v>
      </c>
      <c r="H155" s="109">
        <f t="shared" si="6"/>
        <v>43</v>
      </c>
      <c r="I155" s="119"/>
      <c r="J155" s="119"/>
      <c r="K155" s="119">
        <f t="shared" si="7"/>
        <v>43</v>
      </c>
      <c r="L155" s="152">
        <f t="shared" si="8"/>
        <v>37.28</v>
      </c>
      <c r="M155" s="113"/>
    </row>
    <row r="156" spans="1:13" x14ac:dyDescent="0.2">
      <c r="A156" s="106" t="s">
        <v>5229</v>
      </c>
      <c r="B156" s="105" t="s">
        <v>1834</v>
      </c>
      <c r="C156" s="105" t="s">
        <v>5322</v>
      </c>
      <c r="D156" s="149" t="s">
        <v>1836</v>
      </c>
      <c r="E156" s="105">
        <v>2</v>
      </c>
      <c r="F156" s="133">
        <v>14.43</v>
      </c>
      <c r="G156" s="133">
        <v>17</v>
      </c>
      <c r="H156" s="109">
        <f t="shared" si="6"/>
        <v>34</v>
      </c>
      <c r="I156" s="119"/>
      <c r="J156" s="119"/>
      <c r="K156" s="119">
        <f t="shared" si="7"/>
        <v>34</v>
      </c>
      <c r="L156" s="152">
        <f t="shared" si="8"/>
        <v>28.86</v>
      </c>
      <c r="M156" s="113"/>
    </row>
    <row r="157" spans="1:13" x14ac:dyDescent="0.2">
      <c r="A157" s="106" t="s">
        <v>5229</v>
      </c>
      <c r="B157" s="105" t="s">
        <v>4803</v>
      </c>
      <c r="C157" s="105" t="s">
        <v>5322</v>
      </c>
      <c r="D157" s="149" t="s">
        <v>4871</v>
      </c>
      <c r="E157" s="105">
        <v>2</v>
      </c>
      <c r="F157" s="133">
        <v>3.94</v>
      </c>
      <c r="G157" s="133">
        <v>5</v>
      </c>
      <c r="H157" s="109">
        <f t="shared" si="6"/>
        <v>10</v>
      </c>
      <c r="I157" s="119"/>
      <c r="J157" s="119"/>
      <c r="K157" s="119">
        <f t="shared" si="7"/>
        <v>10</v>
      </c>
      <c r="L157" s="152">
        <f t="shared" si="8"/>
        <v>7.88</v>
      </c>
      <c r="M157" s="113"/>
    </row>
    <row r="158" spans="1:13" x14ac:dyDescent="0.2">
      <c r="A158" s="106" t="s">
        <v>5229</v>
      </c>
      <c r="B158" s="105" t="s">
        <v>2895</v>
      </c>
      <c r="C158" s="105" t="s">
        <v>5322</v>
      </c>
      <c r="D158" s="149" t="s">
        <v>2897</v>
      </c>
      <c r="E158" s="105">
        <v>2</v>
      </c>
      <c r="F158" s="133">
        <v>9.17</v>
      </c>
      <c r="G158" s="133">
        <v>10.75</v>
      </c>
      <c r="H158" s="109">
        <f t="shared" si="6"/>
        <v>21.5</v>
      </c>
      <c r="I158" s="119"/>
      <c r="J158" s="119"/>
      <c r="K158" s="119">
        <f t="shared" si="7"/>
        <v>21.5</v>
      </c>
      <c r="L158" s="152">
        <f t="shared" si="8"/>
        <v>18.34</v>
      </c>
      <c r="M158" s="113"/>
    </row>
    <row r="159" spans="1:13" x14ac:dyDescent="0.2">
      <c r="A159" s="106" t="s">
        <v>5229</v>
      </c>
      <c r="B159" s="105" t="s">
        <v>3072</v>
      </c>
      <c r="C159" s="105" t="s">
        <v>5322</v>
      </c>
      <c r="D159" s="149" t="s">
        <v>3074</v>
      </c>
      <c r="E159" s="105">
        <v>1</v>
      </c>
      <c r="F159" s="133">
        <v>16.91</v>
      </c>
      <c r="G159" s="133">
        <v>18.600000000000001</v>
      </c>
      <c r="H159" s="109">
        <f t="shared" si="6"/>
        <v>18.600000000000001</v>
      </c>
      <c r="I159" s="119"/>
      <c r="J159" s="119"/>
      <c r="K159" s="119">
        <f t="shared" si="7"/>
        <v>18.600000000000001</v>
      </c>
      <c r="L159" s="152">
        <f t="shared" si="8"/>
        <v>16.91</v>
      </c>
      <c r="M159" s="113"/>
    </row>
    <row r="160" spans="1:13" x14ac:dyDescent="0.2">
      <c r="A160" s="106" t="s">
        <v>5229</v>
      </c>
      <c r="B160" s="105" t="s">
        <v>3437</v>
      </c>
      <c r="C160" s="105" t="s">
        <v>5322</v>
      </c>
      <c r="D160" s="149" t="s">
        <v>3439</v>
      </c>
      <c r="E160" s="105">
        <v>1</v>
      </c>
      <c r="F160" s="133">
        <v>13.12</v>
      </c>
      <c r="G160" s="133">
        <v>15.25</v>
      </c>
      <c r="H160" s="109">
        <f t="shared" si="6"/>
        <v>15.25</v>
      </c>
      <c r="I160" s="119"/>
      <c r="J160" s="119"/>
      <c r="K160" s="119">
        <f t="shared" si="7"/>
        <v>15.25</v>
      </c>
      <c r="L160" s="152">
        <f t="shared" si="8"/>
        <v>13.12</v>
      </c>
      <c r="M160" s="113"/>
    </row>
    <row r="161" spans="1:13" x14ac:dyDescent="0.2">
      <c r="A161" s="106" t="s">
        <v>5229</v>
      </c>
      <c r="B161" s="105" t="s">
        <v>3569</v>
      </c>
      <c r="C161" s="105" t="s">
        <v>5322</v>
      </c>
      <c r="D161" s="149" t="s">
        <v>3571</v>
      </c>
      <c r="E161" s="105">
        <v>1</v>
      </c>
      <c r="F161" s="133">
        <v>21.88</v>
      </c>
      <c r="G161" s="133">
        <v>25.25</v>
      </c>
      <c r="H161" s="109">
        <f t="shared" si="6"/>
        <v>25.25</v>
      </c>
      <c r="I161" s="119"/>
      <c r="J161" s="119"/>
      <c r="K161" s="119">
        <f t="shared" si="7"/>
        <v>25.25</v>
      </c>
      <c r="L161" s="152">
        <f t="shared" si="8"/>
        <v>21.88</v>
      </c>
      <c r="M161" s="113"/>
    </row>
    <row r="162" spans="1:13" x14ac:dyDescent="0.2">
      <c r="A162" s="106" t="s">
        <v>5229</v>
      </c>
      <c r="B162" s="105" t="s">
        <v>3225</v>
      </c>
      <c r="C162" s="105" t="s">
        <v>5322</v>
      </c>
      <c r="D162" s="149" t="s">
        <v>3227</v>
      </c>
      <c r="E162" s="105">
        <v>1</v>
      </c>
      <c r="F162" s="133">
        <v>21.88</v>
      </c>
      <c r="G162" s="133">
        <v>24.5</v>
      </c>
      <c r="H162" s="109">
        <f t="shared" si="6"/>
        <v>24.5</v>
      </c>
      <c r="I162" s="119"/>
      <c r="J162" s="119"/>
      <c r="K162" s="119">
        <f t="shared" si="7"/>
        <v>24.5</v>
      </c>
      <c r="L162" s="152">
        <f t="shared" si="8"/>
        <v>21.88</v>
      </c>
      <c r="M162" s="113"/>
    </row>
    <row r="163" spans="1:13" x14ac:dyDescent="0.2">
      <c r="A163" s="106" t="s">
        <v>5229</v>
      </c>
      <c r="B163" s="105" t="s">
        <v>4520</v>
      </c>
      <c r="C163" s="105" t="s">
        <v>5322</v>
      </c>
      <c r="D163" s="149" t="s">
        <v>4625</v>
      </c>
      <c r="E163" s="105">
        <v>1</v>
      </c>
      <c r="F163" s="133">
        <v>60</v>
      </c>
      <c r="G163" s="133">
        <v>75</v>
      </c>
      <c r="H163" s="109">
        <f t="shared" si="6"/>
        <v>75</v>
      </c>
      <c r="I163" s="119"/>
      <c r="J163" s="119"/>
      <c r="K163" s="119">
        <f t="shared" si="7"/>
        <v>75</v>
      </c>
      <c r="L163" s="152">
        <f t="shared" si="8"/>
        <v>60</v>
      </c>
      <c r="M163" s="113"/>
    </row>
    <row r="164" spans="1:13" x14ac:dyDescent="0.2">
      <c r="A164" s="106" t="s">
        <v>5229</v>
      </c>
      <c r="B164" s="105" t="s">
        <v>3225</v>
      </c>
      <c r="C164" s="105" t="s">
        <v>5323</v>
      </c>
      <c r="D164" s="149" t="s">
        <v>3227</v>
      </c>
      <c r="E164" s="105">
        <v>1</v>
      </c>
      <c r="F164" s="133">
        <v>21.88</v>
      </c>
      <c r="G164" s="133">
        <v>24.5</v>
      </c>
      <c r="H164" s="109">
        <f t="shared" si="6"/>
        <v>24.5</v>
      </c>
      <c r="I164" s="119"/>
      <c r="J164" s="119"/>
      <c r="K164" s="119">
        <f t="shared" si="7"/>
        <v>24.5</v>
      </c>
      <c r="L164" s="152">
        <f t="shared" si="8"/>
        <v>21.88</v>
      </c>
      <c r="M164" s="113"/>
    </row>
    <row r="165" spans="1:13" x14ac:dyDescent="0.2">
      <c r="A165" s="106" t="s">
        <v>5229</v>
      </c>
      <c r="B165" s="105" t="s">
        <v>3225</v>
      </c>
      <c r="C165" s="105" t="s">
        <v>5324</v>
      </c>
      <c r="D165" s="149" t="s">
        <v>3227</v>
      </c>
      <c r="E165" s="105">
        <v>1</v>
      </c>
      <c r="F165" s="133">
        <v>21.88</v>
      </c>
      <c r="G165" s="133">
        <v>24.5</v>
      </c>
      <c r="H165" s="109">
        <f t="shared" si="6"/>
        <v>24.5</v>
      </c>
      <c r="I165" s="119"/>
      <c r="J165" s="119"/>
      <c r="K165" s="119">
        <f t="shared" si="7"/>
        <v>24.5</v>
      </c>
      <c r="L165" s="152">
        <f t="shared" si="8"/>
        <v>21.88</v>
      </c>
      <c r="M165" s="113"/>
    </row>
    <row r="166" spans="1:13" x14ac:dyDescent="0.2">
      <c r="A166" s="106" t="s">
        <v>5229</v>
      </c>
      <c r="B166" s="105" t="s">
        <v>3060</v>
      </c>
      <c r="C166" s="105" t="s">
        <v>5325</v>
      </c>
      <c r="D166" s="149" t="s">
        <v>3062</v>
      </c>
      <c r="E166" s="105">
        <v>1</v>
      </c>
      <c r="F166" s="133">
        <v>44.8</v>
      </c>
      <c r="G166" s="133">
        <v>51.75</v>
      </c>
      <c r="H166" s="109">
        <f t="shared" si="6"/>
        <v>51.75</v>
      </c>
      <c r="I166" s="119"/>
      <c r="J166" s="119"/>
      <c r="K166" s="119">
        <f t="shared" si="7"/>
        <v>51.75</v>
      </c>
      <c r="L166" s="152">
        <f t="shared" si="8"/>
        <v>44.8</v>
      </c>
      <c r="M166" s="113"/>
    </row>
    <row r="167" spans="1:13" x14ac:dyDescent="0.2">
      <c r="A167" s="106" t="s">
        <v>5229</v>
      </c>
      <c r="B167" s="105" t="s">
        <v>2516</v>
      </c>
      <c r="C167" s="105" t="s">
        <v>5325</v>
      </c>
      <c r="D167" s="149" t="s">
        <v>2518</v>
      </c>
      <c r="E167" s="105">
        <v>1</v>
      </c>
      <c r="F167" s="133">
        <v>71.06</v>
      </c>
      <c r="G167" s="133">
        <v>81.75</v>
      </c>
      <c r="H167" s="109">
        <f t="shared" si="6"/>
        <v>81.75</v>
      </c>
      <c r="I167" s="119"/>
      <c r="J167" s="119"/>
      <c r="K167" s="119">
        <f t="shared" si="7"/>
        <v>81.75</v>
      </c>
      <c r="L167" s="152">
        <f t="shared" si="8"/>
        <v>71.06</v>
      </c>
      <c r="M167" s="113"/>
    </row>
    <row r="168" spans="1:13" x14ac:dyDescent="0.2">
      <c r="A168" s="106" t="s">
        <v>5229</v>
      </c>
      <c r="B168" s="105" t="s">
        <v>2139</v>
      </c>
      <c r="C168" s="105" t="s">
        <v>5325</v>
      </c>
      <c r="D168" s="149" t="s">
        <v>2140</v>
      </c>
      <c r="E168" s="105">
        <v>1</v>
      </c>
      <c r="F168" s="133">
        <v>16.03</v>
      </c>
      <c r="G168" s="133">
        <v>18.5</v>
      </c>
      <c r="H168" s="109">
        <f t="shared" si="6"/>
        <v>18.5</v>
      </c>
      <c r="I168" s="119"/>
      <c r="J168" s="119"/>
      <c r="K168" s="119">
        <f t="shared" si="7"/>
        <v>18.5</v>
      </c>
      <c r="L168" s="152">
        <f t="shared" si="8"/>
        <v>16.03</v>
      </c>
      <c r="M168" s="113"/>
    </row>
    <row r="169" spans="1:13" x14ac:dyDescent="0.2">
      <c r="A169" s="106" t="s">
        <v>5229</v>
      </c>
      <c r="B169" s="105" t="s">
        <v>5243</v>
      </c>
      <c r="C169" s="105" t="s">
        <v>5326</v>
      </c>
      <c r="D169" s="149" t="s">
        <v>5403</v>
      </c>
      <c r="E169" s="105">
        <v>1</v>
      </c>
      <c r="F169" s="133">
        <v>22.19</v>
      </c>
      <c r="G169" s="133">
        <v>25.75</v>
      </c>
      <c r="H169" s="109">
        <f t="shared" si="6"/>
        <v>25.75</v>
      </c>
      <c r="I169" s="119"/>
      <c r="J169" s="119"/>
      <c r="K169" s="119">
        <f t="shared" si="7"/>
        <v>25.75</v>
      </c>
      <c r="L169" s="152">
        <f t="shared" si="8"/>
        <v>22.19</v>
      </c>
      <c r="M169" s="113"/>
    </row>
    <row r="170" spans="1:13" x14ac:dyDescent="0.2">
      <c r="A170" s="106" t="s">
        <v>5229</v>
      </c>
      <c r="B170" s="105" t="s">
        <v>2798</v>
      </c>
      <c r="C170" s="105" t="s">
        <v>5327</v>
      </c>
      <c r="D170" s="149" t="s">
        <v>2800</v>
      </c>
      <c r="E170" s="105">
        <v>1</v>
      </c>
      <c r="F170" s="133">
        <v>51.97</v>
      </c>
      <c r="G170" s="133">
        <v>60</v>
      </c>
      <c r="H170" s="109">
        <f t="shared" si="6"/>
        <v>60</v>
      </c>
      <c r="I170" s="119"/>
      <c r="J170" s="119"/>
      <c r="K170" s="119">
        <f t="shared" si="7"/>
        <v>60</v>
      </c>
      <c r="L170" s="152">
        <f t="shared" si="8"/>
        <v>51.97</v>
      </c>
      <c r="M170" s="113"/>
    </row>
    <row r="171" spans="1:13" x14ac:dyDescent="0.2">
      <c r="A171" s="106" t="s">
        <v>5229</v>
      </c>
      <c r="B171" s="105" t="s">
        <v>3457</v>
      </c>
      <c r="C171" s="105" t="s">
        <v>5327</v>
      </c>
      <c r="D171" s="149" t="s">
        <v>3458</v>
      </c>
      <c r="E171" s="105">
        <v>1</v>
      </c>
      <c r="F171" s="133">
        <v>51.97</v>
      </c>
      <c r="G171" s="133">
        <v>60</v>
      </c>
      <c r="H171" s="109">
        <f t="shared" si="6"/>
        <v>60</v>
      </c>
      <c r="I171" s="119"/>
      <c r="J171" s="119"/>
      <c r="K171" s="119">
        <f t="shared" si="7"/>
        <v>60</v>
      </c>
      <c r="L171" s="152">
        <f t="shared" si="8"/>
        <v>51.97</v>
      </c>
      <c r="M171" s="113"/>
    </row>
    <row r="172" spans="1:13" x14ac:dyDescent="0.2">
      <c r="A172" s="106" t="s">
        <v>5229</v>
      </c>
      <c r="B172" s="105" t="s">
        <v>4076</v>
      </c>
      <c r="C172" s="105" t="s">
        <v>5328</v>
      </c>
      <c r="D172" s="149" t="s">
        <v>4078</v>
      </c>
      <c r="E172" s="105">
        <v>1</v>
      </c>
      <c r="F172" s="133">
        <v>8.75</v>
      </c>
      <c r="G172" s="133">
        <v>10.25</v>
      </c>
      <c r="H172" s="109">
        <f t="shared" si="6"/>
        <v>10.25</v>
      </c>
      <c r="I172" s="119"/>
      <c r="J172" s="119"/>
      <c r="K172" s="119">
        <f t="shared" si="7"/>
        <v>10.25</v>
      </c>
      <c r="L172" s="152">
        <f t="shared" si="8"/>
        <v>8.75</v>
      </c>
      <c r="M172" s="113"/>
    </row>
    <row r="173" spans="1:13" x14ac:dyDescent="0.2">
      <c r="A173" s="106" t="s">
        <v>5229</v>
      </c>
      <c r="B173" s="105" t="s">
        <v>1861</v>
      </c>
      <c r="C173" s="105" t="s">
        <v>5329</v>
      </c>
      <c r="D173" s="149" t="s">
        <v>1862</v>
      </c>
      <c r="E173" s="105">
        <v>2</v>
      </c>
      <c r="F173" s="133">
        <v>15.65</v>
      </c>
      <c r="G173" s="133">
        <v>18</v>
      </c>
      <c r="H173" s="109">
        <f t="shared" si="6"/>
        <v>36</v>
      </c>
      <c r="I173" s="119"/>
      <c r="J173" s="119"/>
      <c r="K173" s="119">
        <f t="shared" si="7"/>
        <v>36</v>
      </c>
      <c r="L173" s="152">
        <f t="shared" si="8"/>
        <v>31.3</v>
      </c>
      <c r="M173" s="113"/>
    </row>
    <row r="174" spans="1:13" x14ac:dyDescent="0.2">
      <c r="A174" s="106" t="s">
        <v>5229</v>
      </c>
      <c r="B174" s="105" t="s">
        <v>2360</v>
      </c>
      <c r="C174" s="105" t="s">
        <v>5329</v>
      </c>
      <c r="D174" s="149" t="s">
        <v>2361</v>
      </c>
      <c r="E174" s="105">
        <v>1</v>
      </c>
      <c r="F174" s="133">
        <v>17.649999999999999</v>
      </c>
      <c r="G174" s="133">
        <v>20.5</v>
      </c>
      <c r="H174" s="109">
        <f t="shared" si="6"/>
        <v>20.5</v>
      </c>
      <c r="I174" s="119"/>
      <c r="J174" s="119"/>
      <c r="K174" s="119">
        <f t="shared" si="7"/>
        <v>20.5</v>
      </c>
      <c r="L174" s="152">
        <f t="shared" si="8"/>
        <v>17.649999999999999</v>
      </c>
      <c r="M174" s="113"/>
    </row>
    <row r="175" spans="1:13" x14ac:dyDescent="0.2">
      <c r="A175" s="106" t="s">
        <v>5229</v>
      </c>
      <c r="B175" s="105" t="s">
        <v>3314</v>
      </c>
      <c r="C175" s="105" t="s">
        <v>5329</v>
      </c>
      <c r="D175" s="149" t="s">
        <v>3316</v>
      </c>
      <c r="E175" s="105">
        <v>1</v>
      </c>
      <c r="F175" s="133">
        <v>16.579999999999998</v>
      </c>
      <c r="G175" s="133">
        <v>19</v>
      </c>
      <c r="H175" s="109">
        <f t="shared" si="6"/>
        <v>19</v>
      </c>
      <c r="I175" s="119"/>
      <c r="J175" s="119"/>
      <c r="K175" s="119">
        <f t="shared" si="7"/>
        <v>19</v>
      </c>
      <c r="L175" s="152">
        <f t="shared" si="8"/>
        <v>16.579999999999998</v>
      </c>
      <c r="M175" s="113"/>
    </row>
    <row r="176" spans="1:13" x14ac:dyDescent="0.2">
      <c r="A176" s="106" t="s">
        <v>5229</v>
      </c>
      <c r="B176" s="105" t="s">
        <v>3267</v>
      </c>
      <c r="C176" s="105" t="s">
        <v>5329</v>
      </c>
      <c r="D176" s="149" t="s">
        <v>3268</v>
      </c>
      <c r="E176" s="105">
        <v>2</v>
      </c>
      <c r="F176" s="133">
        <v>11.5</v>
      </c>
      <c r="G176" s="133">
        <v>13.5</v>
      </c>
      <c r="H176" s="109">
        <f t="shared" si="6"/>
        <v>27</v>
      </c>
      <c r="I176" s="119"/>
      <c r="J176" s="119"/>
      <c r="K176" s="119">
        <f t="shared" si="7"/>
        <v>27</v>
      </c>
      <c r="L176" s="152">
        <f t="shared" si="8"/>
        <v>23</v>
      </c>
      <c r="M176" s="113"/>
    </row>
    <row r="177" spans="1:13" x14ac:dyDescent="0.2">
      <c r="A177" s="106" t="s">
        <v>5229</v>
      </c>
      <c r="B177" s="105" t="s">
        <v>1911</v>
      </c>
      <c r="C177" s="105" t="s">
        <v>5330</v>
      </c>
      <c r="D177" s="149" t="s">
        <v>1912</v>
      </c>
      <c r="E177" s="105">
        <v>1</v>
      </c>
      <c r="F177" s="133">
        <v>31.6</v>
      </c>
      <c r="G177" s="133">
        <v>36.5</v>
      </c>
      <c r="H177" s="109">
        <f t="shared" si="6"/>
        <v>36.5</v>
      </c>
      <c r="I177" s="119"/>
      <c r="J177" s="119"/>
      <c r="K177" s="119">
        <f t="shared" si="7"/>
        <v>36.5</v>
      </c>
      <c r="L177" s="152">
        <f t="shared" si="8"/>
        <v>31.6</v>
      </c>
      <c r="M177" s="113"/>
    </row>
    <row r="178" spans="1:13" x14ac:dyDescent="0.2">
      <c r="A178" s="106" t="s">
        <v>5229</v>
      </c>
      <c r="B178" s="105" t="s">
        <v>2371</v>
      </c>
      <c r="C178" s="105" t="s">
        <v>5331</v>
      </c>
      <c r="D178" s="149" t="s">
        <v>2372</v>
      </c>
      <c r="E178" s="105">
        <v>1</v>
      </c>
      <c r="F178" s="133">
        <v>39.880000000000003</v>
      </c>
      <c r="G178" s="133">
        <v>46</v>
      </c>
      <c r="H178" s="109">
        <f t="shared" si="6"/>
        <v>46</v>
      </c>
      <c r="I178" s="119"/>
      <c r="J178" s="119"/>
      <c r="K178" s="119">
        <f t="shared" si="7"/>
        <v>46</v>
      </c>
      <c r="L178" s="152">
        <f t="shared" si="8"/>
        <v>39.880000000000003</v>
      </c>
      <c r="M178" s="113"/>
    </row>
    <row r="179" spans="1:13" x14ac:dyDescent="0.2">
      <c r="A179" s="106" t="s">
        <v>5229</v>
      </c>
      <c r="B179" s="105" t="s">
        <v>3683</v>
      </c>
      <c r="C179" s="105" t="s">
        <v>5331</v>
      </c>
      <c r="D179" s="149" t="s">
        <v>3684</v>
      </c>
      <c r="E179" s="105">
        <v>1</v>
      </c>
      <c r="F179" s="133">
        <v>43.5</v>
      </c>
      <c r="G179" s="133">
        <v>50</v>
      </c>
      <c r="H179" s="109">
        <f t="shared" si="6"/>
        <v>50</v>
      </c>
      <c r="I179" s="119"/>
      <c r="J179" s="119"/>
      <c r="K179" s="119">
        <f t="shared" si="7"/>
        <v>50</v>
      </c>
      <c r="L179" s="152">
        <f t="shared" si="8"/>
        <v>43.5</v>
      </c>
      <c r="M179" s="113"/>
    </row>
    <row r="180" spans="1:13" x14ac:dyDescent="0.2">
      <c r="A180" s="106" t="s">
        <v>5229</v>
      </c>
      <c r="B180" s="105" t="s">
        <v>3778</v>
      </c>
      <c r="C180" s="105" t="s">
        <v>5332</v>
      </c>
      <c r="D180" s="149" t="s">
        <v>3780</v>
      </c>
      <c r="E180" s="105">
        <v>1</v>
      </c>
      <c r="F180" s="133">
        <v>38.25</v>
      </c>
      <c r="G180" s="133">
        <v>44</v>
      </c>
      <c r="H180" s="109">
        <f t="shared" si="6"/>
        <v>44</v>
      </c>
      <c r="I180" s="119"/>
      <c r="J180" s="119"/>
      <c r="K180" s="119">
        <f t="shared" si="7"/>
        <v>44</v>
      </c>
      <c r="L180" s="152">
        <f t="shared" si="8"/>
        <v>38.25</v>
      </c>
      <c r="M180" s="113"/>
    </row>
    <row r="181" spans="1:13" x14ac:dyDescent="0.2">
      <c r="A181" s="106" t="s">
        <v>5229</v>
      </c>
      <c r="B181" s="105" t="s">
        <v>4330</v>
      </c>
      <c r="C181" s="105" t="s">
        <v>5333</v>
      </c>
      <c r="D181" s="149" t="s">
        <v>4360</v>
      </c>
      <c r="E181" s="105">
        <v>1</v>
      </c>
      <c r="F181" s="133">
        <v>69.510000000000005</v>
      </c>
      <c r="G181" s="133">
        <v>80</v>
      </c>
      <c r="H181" s="109">
        <f t="shared" si="6"/>
        <v>80</v>
      </c>
      <c r="I181" s="119"/>
      <c r="J181" s="119"/>
      <c r="K181" s="119">
        <f t="shared" si="7"/>
        <v>80</v>
      </c>
      <c r="L181" s="152">
        <f t="shared" si="8"/>
        <v>69.510000000000005</v>
      </c>
      <c r="M181" s="113"/>
    </row>
    <row r="182" spans="1:13" x14ac:dyDescent="0.2">
      <c r="A182" s="106" t="s">
        <v>5229</v>
      </c>
      <c r="B182" s="105" t="s">
        <v>3047</v>
      </c>
      <c r="C182" s="105" t="s">
        <v>5334</v>
      </c>
      <c r="D182" s="149" t="s">
        <v>3048</v>
      </c>
      <c r="E182" s="105">
        <v>2</v>
      </c>
      <c r="F182" s="133">
        <v>35.68</v>
      </c>
      <c r="G182" s="133">
        <v>41.25</v>
      </c>
      <c r="H182" s="109">
        <f t="shared" si="6"/>
        <v>82.5</v>
      </c>
      <c r="I182" s="119"/>
      <c r="J182" s="119"/>
      <c r="K182" s="119">
        <f t="shared" si="7"/>
        <v>82.5</v>
      </c>
      <c r="L182" s="152">
        <f t="shared" si="8"/>
        <v>71.36</v>
      </c>
      <c r="M182" s="113"/>
    </row>
    <row r="183" spans="1:13" x14ac:dyDescent="0.2">
      <c r="A183" s="106" t="s">
        <v>5229</v>
      </c>
      <c r="B183" s="105" t="s">
        <v>3457</v>
      </c>
      <c r="C183" s="105" t="s">
        <v>5334</v>
      </c>
      <c r="D183" s="149" t="s">
        <v>3458</v>
      </c>
      <c r="E183" s="105">
        <v>2</v>
      </c>
      <c r="F183" s="133">
        <v>51.97</v>
      </c>
      <c r="G183" s="133">
        <v>60</v>
      </c>
      <c r="H183" s="109">
        <f t="shared" si="6"/>
        <v>120</v>
      </c>
      <c r="I183" s="119"/>
      <c r="J183" s="119"/>
      <c r="K183" s="119">
        <f t="shared" si="7"/>
        <v>120</v>
      </c>
      <c r="L183" s="152">
        <f t="shared" si="8"/>
        <v>103.94</v>
      </c>
      <c r="M183" s="113"/>
    </row>
    <row r="184" spans="1:13" x14ac:dyDescent="0.2">
      <c r="A184" s="106" t="s">
        <v>5229</v>
      </c>
      <c r="B184" s="105" t="s">
        <v>2298</v>
      </c>
      <c r="C184" s="105" t="s">
        <v>5334</v>
      </c>
      <c r="D184" s="149" t="s">
        <v>2299</v>
      </c>
      <c r="E184" s="105">
        <v>4</v>
      </c>
      <c r="F184" s="133">
        <v>20.8</v>
      </c>
      <c r="G184" s="133">
        <v>24</v>
      </c>
      <c r="H184" s="109">
        <f t="shared" si="6"/>
        <v>96</v>
      </c>
      <c r="I184" s="119"/>
      <c r="J184" s="119"/>
      <c r="K184" s="119">
        <f t="shared" si="7"/>
        <v>96</v>
      </c>
      <c r="L184" s="152">
        <f t="shared" si="8"/>
        <v>83.2</v>
      </c>
      <c r="M184" s="113"/>
    </row>
    <row r="185" spans="1:13" x14ac:dyDescent="0.2">
      <c r="A185" s="106" t="s">
        <v>5229</v>
      </c>
      <c r="B185" s="105" t="s">
        <v>4282</v>
      </c>
      <c r="C185" s="105" t="s">
        <v>5334</v>
      </c>
      <c r="D185" s="149" t="s">
        <v>4284</v>
      </c>
      <c r="E185" s="105">
        <v>1</v>
      </c>
      <c r="F185" s="133">
        <v>53.2</v>
      </c>
      <c r="G185" s="133">
        <v>61.25</v>
      </c>
      <c r="H185" s="109">
        <f t="shared" si="6"/>
        <v>61.25</v>
      </c>
      <c r="I185" s="119"/>
      <c r="J185" s="119"/>
      <c r="K185" s="119">
        <f t="shared" si="7"/>
        <v>61.25</v>
      </c>
      <c r="L185" s="152">
        <f t="shared" si="8"/>
        <v>53.2</v>
      </c>
      <c r="M185" s="113"/>
    </row>
    <row r="186" spans="1:13" x14ac:dyDescent="0.2">
      <c r="A186" s="106" t="s">
        <v>5229</v>
      </c>
      <c r="B186" s="105" t="s">
        <v>3043</v>
      </c>
      <c r="C186" s="105" t="s">
        <v>5334</v>
      </c>
      <c r="D186" s="149" t="s">
        <v>3044</v>
      </c>
      <c r="E186" s="105">
        <v>1</v>
      </c>
      <c r="F186" s="133">
        <v>301.87</v>
      </c>
      <c r="G186" s="133">
        <v>347.25</v>
      </c>
      <c r="H186" s="109">
        <f t="shared" si="6"/>
        <v>347.25</v>
      </c>
      <c r="I186" s="119"/>
      <c r="J186" s="119"/>
      <c r="K186" s="119">
        <f t="shared" si="7"/>
        <v>347.25</v>
      </c>
      <c r="L186" s="152">
        <f t="shared" si="8"/>
        <v>301.87</v>
      </c>
      <c r="M186" s="113"/>
    </row>
    <row r="187" spans="1:13" x14ac:dyDescent="0.2">
      <c r="A187" s="106" t="s">
        <v>5229</v>
      </c>
      <c r="B187" s="105" t="s">
        <v>2245</v>
      </c>
      <c r="C187" s="105" t="s">
        <v>5334</v>
      </c>
      <c r="D187" s="149" t="s">
        <v>2246</v>
      </c>
      <c r="E187" s="105">
        <v>16</v>
      </c>
      <c r="F187" s="133">
        <v>4.74</v>
      </c>
      <c r="G187" s="133">
        <v>5.5</v>
      </c>
      <c r="H187" s="109">
        <f t="shared" si="6"/>
        <v>88</v>
      </c>
      <c r="I187" s="119"/>
      <c r="J187" s="119"/>
      <c r="K187" s="119">
        <f t="shared" si="7"/>
        <v>88</v>
      </c>
      <c r="L187" s="152">
        <f t="shared" si="8"/>
        <v>75.84</v>
      </c>
      <c r="M187" s="113"/>
    </row>
    <row r="188" spans="1:13" x14ac:dyDescent="0.2">
      <c r="A188" s="106" t="s">
        <v>5229</v>
      </c>
      <c r="B188" s="105" t="s">
        <v>3050</v>
      </c>
      <c r="C188" s="105" t="s">
        <v>5334</v>
      </c>
      <c r="D188" s="149" t="s">
        <v>3051</v>
      </c>
      <c r="E188" s="105">
        <v>12</v>
      </c>
      <c r="F188" s="133">
        <v>6.02</v>
      </c>
      <c r="G188" s="133">
        <v>7.25</v>
      </c>
      <c r="H188" s="109">
        <f t="shared" si="6"/>
        <v>87</v>
      </c>
      <c r="I188" s="119"/>
      <c r="J188" s="119"/>
      <c r="K188" s="119">
        <f t="shared" si="7"/>
        <v>87</v>
      </c>
      <c r="L188" s="152">
        <f t="shared" si="8"/>
        <v>72.239999999999995</v>
      </c>
      <c r="M188" s="113"/>
    </row>
    <row r="189" spans="1:13" x14ac:dyDescent="0.2">
      <c r="A189" s="106" t="s">
        <v>5229</v>
      </c>
      <c r="B189" s="105" t="s">
        <v>2581</v>
      </c>
      <c r="C189" s="105" t="s">
        <v>5334</v>
      </c>
      <c r="D189" s="149" t="s">
        <v>2583</v>
      </c>
      <c r="E189" s="105">
        <v>12</v>
      </c>
      <c r="F189" s="133">
        <v>6.02</v>
      </c>
      <c r="G189" s="133">
        <v>7.25</v>
      </c>
      <c r="H189" s="109">
        <f t="shared" si="6"/>
        <v>87</v>
      </c>
      <c r="I189" s="119"/>
      <c r="J189" s="119"/>
      <c r="K189" s="119">
        <f t="shared" si="7"/>
        <v>87</v>
      </c>
      <c r="L189" s="152">
        <f t="shared" si="8"/>
        <v>72.239999999999995</v>
      </c>
      <c r="M189" s="113"/>
    </row>
    <row r="190" spans="1:13" x14ac:dyDescent="0.2">
      <c r="A190" s="106" t="s">
        <v>5229</v>
      </c>
      <c r="B190" s="105" t="s">
        <v>2941</v>
      </c>
      <c r="C190" s="105" t="s">
        <v>5334</v>
      </c>
      <c r="D190" s="149" t="s">
        <v>2943</v>
      </c>
      <c r="E190" s="105">
        <v>9</v>
      </c>
      <c r="F190" s="133">
        <v>7.14</v>
      </c>
      <c r="G190" s="133">
        <v>8.25</v>
      </c>
      <c r="H190" s="109">
        <f t="shared" si="6"/>
        <v>74.25</v>
      </c>
      <c r="I190" s="119"/>
      <c r="J190" s="119"/>
      <c r="K190" s="119">
        <f t="shared" si="7"/>
        <v>74.25</v>
      </c>
      <c r="L190" s="152">
        <f t="shared" si="8"/>
        <v>64.259999999999991</v>
      </c>
      <c r="M190" s="113"/>
    </row>
    <row r="191" spans="1:13" x14ac:dyDescent="0.2">
      <c r="A191" s="106" t="s">
        <v>5230</v>
      </c>
      <c r="B191" s="105" t="s">
        <v>3356</v>
      </c>
      <c r="C191" s="105" t="s">
        <v>5335</v>
      </c>
      <c r="D191" s="149" t="s">
        <v>3358</v>
      </c>
      <c r="E191" s="105">
        <v>1</v>
      </c>
      <c r="F191" s="133">
        <v>6.03</v>
      </c>
      <c r="G191" s="133">
        <v>7</v>
      </c>
      <c r="H191" s="109">
        <f t="shared" si="6"/>
        <v>7</v>
      </c>
      <c r="I191" s="119"/>
      <c r="J191" s="119"/>
      <c r="K191" s="119">
        <f t="shared" si="7"/>
        <v>7</v>
      </c>
      <c r="L191" s="152">
        <f t="shared" si="8"/>
        <v>6.03</v>
      </c>
      <c r="M191" s="113"/>
    </row>
    <row r="192" spans="1:13" x14ac:dyDescent="0.2">
      <c r="A192" s="106" t="s">
        <v>5230</v>
      </c>
      <c r="B192" s="105" t="s">
        <v>4367</v>
      </c>
      <c r="C192" s="105" t="s">
        <v>5335</v>
      </c>
      <c r="D192" s="149" t="s">
        <v>4431</v>
      </c>
      <c r="E192" s="105">
        <v>2</v>
      </c>
      <c r="F192" s="133">
        <v>20.399999999999999</v>
      </c>
      <c r="G192" s="133">
        <v>23.46</v>
      </c>
      <c r="H192" s="109">
        <f t="shared" si="6"/>
        <v>46.92</v>
      </c>
      <c r="I192" s="119"/>
      <c r="J192" s="119"/>
      <c r="K192" s="119">
        <f t="shared" si="7"/>
        <v>46.92</v>
      </c>
      <c r="L192" s="152">
        <f t="shared" si="8"/>
        <v>40.799999999999997</v>
      </c>
      <c r="M192" s="113"/>
    </row>
    <row r="193" spans="1:13" x14ac:dyDescent="0.2">
      <c r="A193" s="106" t="s">
        <v>5230</v>
      </c>
      <c r="B193" s="105" t="s">
        <v>4997</v>
      </c>
      <c r="C193" s="105" t="s">
        <v>5336</v>
      </c>
      <c r="D193" s="149" t="s">
        <v>5023</v>
      </c>
      <c r="E193" s="105">
        <v>3</v>
      </c>
      <c r="F193" s="133">
        <v>3.22</v>
      </c>
      <c r="G193" s="133">
        <v>5</v>
      </c>
      <c r="H193" s="109">
        <f t="shared" si="6"/>
        <v>15</v>
      </c>
      <c r="I193" s="119"/>
      <c r="J193" s="119"/>
      <c r="K193" s="119">
        <f t="shared" si="7"/>
        <v>15</v>
      </c>
      <c r="L193" s="152">
        <f t="shared" si="8"/>
        <v>9.66</v>
      </c>
      <c r="M193" s="113"/>
    </row>
    <row r="194" spans="1:13" x14ac:dyDescent="0.2">
      <c r="A194" s="106" t="s">
        <v>5230</v>
      </c>
      <c r="B194" s="105" t="s">
        <v>4521</v>
      </c>
      <c r="C194" s="105" t="s">
        <v>5337</v>
      </c>
      <c r="D194" s="149" t="s">
        <v>4626</v>
      </c>
      <c r="E194" s="105">
        <v>2</v>
      </c>
      <c r="F194" s="133">
        <v>8.6</v>
      </c>
      <c r="G194" s="133">
        <v>10</v>
      </c>
      <c r="H194" s="109">
        <f t="shared" si="6"/>
        <v>20</v>
      </c>
      <c r="I194" s="119"/>
      <c r="J194" s="119"/>
      <c r="K194" s="119">
        <f t="shared" si="7"/>
        <v>20</v>
      </c>
      <c r="L194" s="152">
        <f t="shared" si="8"/>
        <v>17.2</v>
      </c>
      <c r="M194" s="113"/>
    </row>
    <row r="195" spans="1:13" x14ac:dyDescent="0.2">
      <c r="A195" s="106" t="s">
        <v>5230</v>
      </c>
      <c r="B195" s="105" t="s">
        <v>2043</v>
      </c>
      <c r="C195" s="105" t="s">
        <v>5338</v>
      </c>
      <c r="D195" s="149" t="s">
        <v>2044</v>
      </c>
      <c r="E195" s="105">
        <v>1</v>
      </c>
      <c r="F195" s="133">
        <v>6.92</v>
      </c>
      <c r="G195" s="133">
        <v>7.75</v>
      </c>
      <c r="H195" s="109">
        <f t="shared" si="6"/>
        <v>7.75</v>
      </c>
      <c r="I195" s="119"/>
      <c r="J195" s="119"/>
      <c r="K195" s="119">
        <f t="shared" si="7"/>
        <v>7.75</v>
      </c>
      <c r="L195" s="152">
        <f t="shared" si="8"/>
        <v>6.92</v>
      </c>
      <c r="M195" s="113"/>
    </row>
    <row r="196" spans="1:13" x14ac:dyDescent="0.2">
      <c r="A196" s="106" t="s">
        <v>5230</v>
      </c>
      <c r="B196" s="105" t="s">
        <v>5244</v>
      </c>
      <c r="C196" s="105" t="s">
        <v>5338</v>
      </c>
      <c r="D196" s="149" t="s">
        <v>5404</v>
      </c>
      <c r="E196" s="105">
        <v>1</v>
      </c>
      <c r="F196" s="133">
        <v>36.840000000000003</v>
      </c>
      <c r="G196" s="133">
        <v>42.5</v>
      </c>
      <c r="H196" s="109">
        <f t="shared" si="6"/>
        <v>42.5</v>
      </c>
      <c r="I196" s="119"/>
      <c r="J196" s="119"/>
      <c r="K196" s="119">
        <f t="shared" si="7"/>
        <v>42.5</v>
      </c>
      <c r="L196" s="152">
        <f t="shared" si="8"/>
        <v>36.840000000000003</v>
      </c>
      <c r="M196" s="113"/>
    </row>
    <row r="197" spans="1:13" x14ac:dyDescent="0.2">
      <c r="A197" s="106" t="s">
        <v>5230</v>
      </c>
      <c r="B197" s="105" t="s">
        <v>4567</v>
      </c>
      <c r="C197" s="105" t="s">
        <v>5339</v>
      </c>
      <c r="D197" s="149" t="s">
        <v>4672</v>
      </c>
      <c r="E197" s="105">
        <v>3</v>
      </c>
      <c r="F197" s="133">
        <v>7.06</v>
      </c>
      <c r="G197" s="133">
        <v>8.25</v>
      </c>
      <c r="H197" s="109">
        <f t="shared" si="6"/>
        <v>24.75</v>
      </c>
      <c r="I197" s="119"/>
      <c r="J197" s="119"/>
      <c r="K197" s="119">
        <f t="shared" si="7"/>
        <v>24.75</v>
      </c>
      <c r="L197" s="152">
        <f t="shared" si="8"/>
        <v>21.18</v>
      </c>
      <c r="M197" s="113"/>
    </row>
    <row r="198" spans="1:13" x14ac:dyDescent="0.2">
      <c r="A198" s="106" t="s">
        <v>5230</v>
      </c>
      <c r="B198" s="105" t="s">
        <v>3513</v>
      </c>
      <c r="C198" s="105" t="s">
        <v>5339</v>
      </c>
      <c r="D198" s="149" t="s">
        <v>3514</v>
      </c>
      <c r="E198" s="105">
        <v>1</v>
      </c>
      <c r="F198" s="133">
        <v>51.3</v>
      </c>
      <c r="G198" s="133">
        <v>59</v>
      </c>
      <c r="H198" s="109">
        <f t="shared" ref="H198:H261" si="9">E198*G198</f>
        <v>59</v>
      </c>
      <c r="I198" s="119"/>
      <c r="J198" s="119"/>
      <c r="K198" s="119">
        <f t="shared" si="7"/>
        <v>59</v>
      </c>
      <c r="L198" s="152">
        <f t="shared" si="8"/>
        <v>51.3</v>
      </c>
      <c r="M198" s="113"/>
    </row>
    <row r="199" spans="1:13" x14ac:dyDescent="0.2">
      <c r="A199" s="106" t="s">
        <v>5230</v>
      </c>
      <c r="B199" s="105" t="s">
        <v>4328</v>
      </c>
      <c r="C199" s="105" t="s">
        <v>5340</v>
      </c>
      <c r="D199" s="149" t="s">
        <v>4358</v>
      </c>
      <c r="E199" s="105">
        <v>1</v>
      </c>
      <c r="F199" s="133">
        <v>23.63</v>
      </c>
      <c r="G199" s="133">
        <v>27.25</v>
      </c>
      <c r="H199" s="109">
        <f t="shared" si="9"/>
        <v>27.25</v>
      </c>
      <c r="I199" s="119"/>
      <c r="J199" s="119"/>
      <c r="K199" s="119">
        <f t="shared" ref="K199:K262" si="10">H199+I199-J199</f>
        <v>27.25</v>
      </c>
      <c r="L199" s="152">
        <f t="shared" ref="L199:L262" si="11">E199*F199</f>
        <v>23.63</v>
      </c>
      <c r="M199" s="113"/>
    </row>
    <row r="200" spans="1:13" x14ac:dyDescent="0.2">
      <c r="A200" s="106" t="s">
        <v>5230</v>
      </c>
      <c r="B200" s="105" t="s">
        <v>3909</v>
      </c>
      <c r="C200" s="105" t="s">
        <v>5341</v>
      </c>
      <c r="D200" s="149" t="s">
        <v>3911</v>
      </c>
      <c r="E200" s="105">
        <v>1</v>
      </c>
      <c r="F200" s="133">
        <v>7.06</v>
      </c>
      <c r="G200" s="133">
        <v>8.25</v>
      </c>
      <c r="H200" s="109">
        <f t="shared" si="9"/>
        <v>8.25</v>
      </c>
      <c r="I200" s="119"/>
      <c r="J200" s="119"/>
      <c r="K200" s="119">
        <f t="shared" si="10"/>
        <v>8.25</v>
      </c>
      <c r="L200" s="152">
        <f t="shared" si="11"/>
        <v>7.06</v>
      </c>
      <c r="M200" s="113"/>
    </row>
    <row r="201" spans="1:13" x14ac:dyDescent="0.2">
      <c r="A201" s="106" t="s">
        <v>5230</v>
      </c>
      <c r="B201" s="105" t="s">
        <v>3341</v>
      </c>
      <c r="C201" s="105" t="s">
        <v>5342</v>
      </c>
      <c r="D201" s="149" t="s">
        <v>3342</v>
      </c>
      <c r="E201" s="105">
        <v>1</v>
      </c>
      <c r="F201" s="133">
        <v>88</v>
      </c>
      <c r="G201" s="133">
        <v>101.25</v>
      </c>
      <c r="H201" s="109">
        <f t="shared" si="9"/>
        <v>101.25</v>
      </c>
      <c r="I201" s="119"/>
      <c r="J201" s="119"/>
      <c r="K201" s="119">
        <f t="shared" si="10"/>
        <v>101.25</v>
      </c>
      <c r="L201" s="152">
        <f t="shared" si="11"/>
        <v>88</v>
      </c>
      <c r="M201" s="113"/>
    </row>
    <row r="202" spans="1:13" x14ac:dyDescent="0.2">
      <c r="A202" s="106" t="s">
        <v>5230</v>
      </c>
      <c r="B202" s="105" t="s">
        <v>5245</v>
      </c>
      <c r="C202" s="105" t="s">
        <v>5343</v>
      </c>
      <c r="D202" s="149" t="s">
        <v>5405</v>
      </c>
      <c r="E202" s="105">
        <v>2</v>
      </c>
      <c r="F202" s="133">
        <v>28.94</v>
      </c>
      <c r="G202" s="133">
        <v>33.5</v>
      </c>
      <c r="H202" s="109">
        <f t="shared" si="9"/>
        <v>67</v>
      </c>
      <c r="I202" s="119"/>
      <c r="J202" s="119"/>
      <c r="K202" s="119">
        <f t="shared" si="10"/>
        <v>67</v>
      </c>
      <c r="L202" s="152">
        <f t="shared" si="11"/>
        <v>57.88</v>
      </c>
      <c r="M202" s="113"/>
    </row>
    <row r="203" spans="1:13" x14ac:dyDescent="0.2">
      <c r="A203" s="106" t="s">
        <v>5230</v>
      </c>
      <c r="B203" s="105" t="s">
        <v>2919</v>
      </c>
      <c r="C203" s="105" t="s">
        <v>5343</v>
      </c>
      <c r="D203" s="149" t="s">
        <v>2921</v>
      </c>
      <c r="E203" s="105">
        <v>1</v>
      </c>
      <c r="F203" s="133">
        <v>92.8</v>
      </c>
      <c r="G203" s="133">
        <v>106.75</v>
      </c>
      <c r="H203" s="109">
        <f t="shared" si="9"/>
        <v>106.75</v>
      </c>
      <c r="I203" s="119"/>
      <c r="J203" s="119"/>
      <c r="K203" s="119">
        <f t="shared" si="10"/>
        <v>106.75</v>
      </c>
      <c r="L203" s="152">
        <f t="shared" si="11"/>
        <v>92.8</v>
      </c>
      <c r="M203" s="113"/>
    </row>
    <row r="204" spans="1:13" x14ac:dyDescent="0.2">
      <c r="A204" s="106" t="s">
        <v>5230</v>
      </c>
      <c r="B204" s="105" t="s">
        <v>4946</v>
      </c>
      <c r="C204" s="105" t="s">
        <v>5344</v>
      </c>
      <c r="D204" s="149" t="s">
        <v>4983</v>
      </c>
      <c r="E204" s="105">
        <v>1</v>
      </c>
      <c r="F204" s="133">
        <v>6.4</v>
      </c>
      <c r="G204" s="133">
        <v>7.5</v>
      </c>
      <c r="H204" s="109">
        <f t="shared" si="9"/>
        <v>7.5</v>
      </c>
      <c r="I204" s="119"/>
      <c r="J204" s="119"/>
      <c r="K204" s="119">
        <f t="shared" si="10"/>
        <v>7.5</v>
      </c>
      <c r="L204" s="152">
        <f t="shared" si="11"/>
        <v>6.4</v>
      </c>
      <c r="M204" s="113"/>
    </row>
    <row r="205" spans="1:13" x14ac:dyDescent="0.2">
      <c r="A205" s="106" t="s">
        <v>5230</v>
      </c>
      <c r="B205" s="105" t="s">
        <v>2590</v>
      </c>
      <c r="C205" s="105" t="s">
        <v>5345</v>
      </c>
      <c r="D205" s="149" t="s">
        <v>2591</v>
      </c>
      <c r="E205" s="105">
        <v>1</v>
      </c>
      <c r="F205" s="133">
        <v>90.24</v>
      </c>
      <c r="G205" s="133">
        <v>103.75</v>
      </c>
      <c r="H205" s="109">
        <f t="shared" si="9"/>
        <v>103.75</v>
      </c>
      <c r="I205" s="119"/>
      <c r="J205" s="119"/>
      <c r="K205" s="119">
        <f t="shared" si="10"/>
        <v>103.75</v>
      </c>
      <c r="L205" s="152">
        <f t="shared" si="11"/>
        <v>90.24</v>
      </c>
      <c r="M205" s="113"/>
    </row>
    <row r="206" spans="1:13" x14ac:dyDescent="0.2">
      <c r="A206" s="106" t="s">
        <v>5230</v>
      </c>
      <c r="B206" s="105" t="s">
        <v>2798</v>
      </c>
      <c r="C206" s="105" t="s">
        <v>5345</v>
      </c>
      <c r="D206" s="149" t="s">
        <v>2800</v>
      </c>
      <c r="E206" s="105">
        <v>2</v>
      </c>
      <c r="F206" s="133">
        <v>51.97</v>
      </c>
      <c r="G206" s="133">
        <v>60</v>
      </c>
      <c r="H206" s="109">
        <f t="shared" si="9"/>
        <v>120</v>
      </c>
      <c r="I206" s="119"/>
      <c r="J206" s="119"/>
      <c r="K206" s="119">
        <f t="shared" si="10"/>
        <v>120</v>
      </c>
      <c r="L206" s="152">
        <f t="shared" si="11"/>
        <v>103.94</v>
      </c>
      <c r="M206" s="113"/>
    </row>
    <row r="207" spans="1:13" x14ac:dyDescent="0.2">
      <c r="A207" s="106" t="s">
        <v>5230</v>
      </c>
      <c r="B207" s="105" t="s">
        <v>2584</v>
      </c>
      <c r="C207" s="105" t="s">
        <v>5345</v>
      </c>
      <c r="D207" s="149" t="s">
        <v>2585</v>
      </c>
      <c r="E207" s="105">
        <v>2</v>
      </c>
      <c r="F207" s="133">
        <v>17.899999999999999</v>
      </c>
      <c r="G207" s="133">
        <v>20.75</v>
      </c>
      <c r="H207" s="109">
        <f t="shared" si="9"/>
        <v>41.5</v>
      </c>
      <c r="I207" s="119"/>
      <c r="J207" s="119"/>
      <c r="K207" s="119">
        <f t="shared" si="10"/>
        <v>41.5</v>
      </c>
      <c r="L207" s="152">
        <f t="shared" si="11"/>
        <v>35.799999999999997</v>
      </c>
      <c r="M207" s="113"/>
    </row>
    <row r="208" spans="1:13" x14ac:dyDescent="0.2">
      <c r="A208" s="106" t="s">
        <v>5230</v>
      </c>
      <c r="B208" s="105" t="s">
        <v>2516</v>
      </c>
      <c r="C208" s="105" t="s">
        <v>5346</v>
      </c>
      <c r="D208" s="149" t="s">
        <v>2518</v>
      </c>
      <c r="E208" s="105">
        <v>1</v>
      </c>
      <c r="F208" s="133">
        <v>71.06</v>
      </c>
      <c r="G208" s="133">
        <v>81.75</v>
      </c>
      <c r="H208" s="109">
        <f t="shared" si="9"/>
        <v>81.75</v>
      </c>
      <c r="I208" s="119"/>
      <c r="J208" s="119"/>
      <c r="K208" s="119">
        <f t="shared" si="10"/>
        <v>81.75</v>
      </c>
      <c r="L208" s="152">
        <f t="shared" si="11"/>
        <v>71.06</v>
      </c>
      <c r="M208" s="113"/>
    </row>
    <row r="209" spans="1:13" x14ac:dyDescent="0.2">
      <c r="A209" s="106" t="s">
        <v>5230</v>
      </c>
      <c r="B209" s="105" t="s">
        <v>3912</v>
      </c>
      <c r="C209" s="105" t="s">
        <v>5347</v>
      </c>
      <c r="D209" s="149" t="s">
        <v>3913</v>
      </c>
      <c r="E209" s="105">
        <v>1</v>
      </c>
      <c r="F209" s="133">
        <v>15.25</v>
      </c>
      <c r="G209" s="133">
        <v>17.75</v>
      </c>
      <c r="H209" s="109">
        <f t="shared" si="9"/>
        <v>17.75</v>
      </c>
      <c r="I209" s="119"/>
      <c r="J209" s="119"/>
      <c r="K209" s="119">
        <f t="shared" si="10"/>
        <v>17.75</v>
      </c>
      <c r="L209" s="152">
        <f t="shared" si="11"/>
        <v>15.25</v>
      </c>
      <c r="M209" s="113"/>
    </row>
    <row r="210" spans="1:13" x14ac:dyDescent="0.2">
      <c r="A210" s="106" t="s">
        <v>5230</v>
      </c>
      <c r="B210" s="105" t="s">
        <v>1977</v>
      </c>
      <c r="C210" s="105" t="s">
        <v>5348</v>
      </c>
      <c r="D210" s="149" t="s">
        <v>1979</v>
      </c>
      <c r="E210" s="105">
        <v>2</v>
      </c>
      <c r="F210" s="133">
        <v>0.76</v>
      </c>
      <c r="G210" s="133">
        <v>1</v>
      </c>
      <c r="H210" s="109">
        <f t="shared" si="9"/>
        <v>2</v>
      </c>
      <c r="I210" s="119"/>
      <c r="J210" s="119"/>
      <c r="K210" s="119">
        <f t="shared" si="10"/>
        <v>2</v>
      </c>
      <c r="L210" s="152">
        <f t="shared" si="11"/>
        <v>1.52</v>
      </c>
      <c r="M210" s="113"/>
    </row>
    <row r="211" spans="1:13" x14ac:dyDescent="0.2">
      <c r="A211" s="106" t="s">
        <v>5230</v>
      </c>
      <c r="B211" s="105" t="s">
        <v>2018</v>
      </c>
      <c r="C211" s="105" t="s">
        <v>5349</v>
      </c>
      <c r="D211" s="149" t="s">
        <v>2019</v>
      </c>
      <c r="E211" s="105">
        <v>1</v>
      </c>
      <c r="F211" s="133">
        <v>30.79</v>
      </c>
      <c r="G211" s="133">
        <v>36.75</v>
      </c>
      <c r="H211" s="109">
        <f t="shared" si="9"/>
        <v>36.75</v>
      </c>
      <c r="I211" s="119"/>
      <c r="J211" s="119"/>
      <c r="K211" s="119">
        <f t="shared" si="10"/>
        <v>36.75</v>
      </c>
      <c r="L211" s="152">
        <f t="shared" si="11"/>
        <v>30.79</v>
      </c>
      <c r="M211" s="113"/>
    </row>
    <row r="212" spans="1:13" x14ac:dyDescent="0.2">
      <c r="A212" s="106" t="s">
        <v>5230</v>
      </c>
      <c r="B212" s="105" t="s">
        <v>2338</v>
      </c>
      <c r="C212" s="105" t="s">
        <v>5349</v>
      </c>
      <c r="D212" s="149" t="s">
        <v>2339</v>
      </c>
      <c r="E212" s="105">
        <v>1</v>
      </c>
      <c r="F212" s="133">
        <v>31.6</v>
      </c>
      <c r="G212" s="133">
        <v>36.33</v>
      </c>
      <c r="H212" s="109">
        <f t="shared" si="9"/>
        <v>36.33</v>
      </c>
      <c r="I212" s="119"/>
      <c r="J212" s="119"/>
      <c r="K212" s="119">
        <f t="shared" si="10"/>
        <v>36.33</v>
      </c>
      <c r="L212" s="152">
        <f t="shared" si="11"/>
        <v>31.6</v>
      </c>
      <c r="M212" s="113"/>
    </row>
    <row r="213" spans="1:13" x14ac:dyDescent="0.2">
      <c r="A213" s="106" t="s">
        <v>5230</v>
      </c>
      <c r="B213" s="105" t="s">
        <v>3753</v>
      </c>
      <c r="C213" s="105" t="s">
        <v>5350</v>
      </c>
      <c r="D213" s="149" t="s">
        <v>3755</v>
      </c>
      <c r="E213" s="105">
        <v>1</v>
      </c>
      <c r="F213" s="133">
        <v>18.98</v>
      </c>
      <c r="G213" s="133">
        <v>22</v>
      </c>
      <c r="H213" s="109">
        <f t="shared" si="9"/>
        <v>22</v>
      </c>
      <c r="I213" s="119"/>
      <c r="J213" s="119"/>
      <c r="K213" s="119">
        <f t="shared" si="10"/>
        <v>22</v>
      </c>
      <c r="L213" s="152">
        <f t="shared" si="11"/>
        <v>18.98</v>
      </c>
      <c r="M213" s="113"/>
    </row>
    <row r="214" spans="1:13" x14ac:dyDescent="0.2">
      <c r="A214" s="106" t="s">
        <v>5204</v>
      </c>
      <c r="B214" s="105" t="s">
        <v>3942</v>
      </c>
      <c r="C214" s="105" t="s">
        <v>5351</v>
      </c>
      <c r="D214" s="149" t="s">
        <v>3943</v>
      </c>
      <c r="E214" s="105">
        <v>1</v>
      </c>
      <c r="F214" s="133">
        <v>30.04</v>
      </c>
      <c r="G214" s="133">
        <v>34.75</v>
      </c>
      <c r="H214" s="109">
        <f t="shared" si="9"/>
        <v>34.75</v>
      </c>
      <c r="I214" s="119"/>
      <c r="J214" s="119"/>
      <c r="K214" s="119">
        <f t="shared" si="10"/>
        <v>34.75</v>
      </c>
      <c r="L214" s="152">
        <f t="shared" si="11"/>
        <v>30.04</v>
      </c>
      <c r="M214" s="113"/>
    </row>
    <row r="215" spans="1:13" x14ac:dyDescent="0.2">
      <c r="A215" s="106" t="s">
        <v>5204</v>
      </c>
      <c r="B215" s="105" t="s">
        <v>4806</v>
      </c>
      <c r="C215" s="105" t="s">
        <v>5351</v>
      </c>
      <c r="D215" s="149" t="s">
        <v>4874</v>
      </c>
      <c r="E215" s="105">
        <v>1</v>
      </c>
      <c r="F215" s="133">
        <v>8.58</v>
      </c>
      <c r="G215" s="133">
        <v>10</v>
      </c>
      <c r="H215" s="109">
        <f t="shared" si="9"/>
        <v>10</v>
      </c>
      <c r="I215" s="119"/>
      <c r="J215" s="119"/>
      <c r="K215" s="119">
        <f t="shared" si="10"/>
        <v>10</v>
      </c>
      <c r="L215" s="152">
        <f t="shared" si="11"/>
        <v>8.58</v>
      </c>
      <c r="M215" s="113"/>
    </row>
    <row r="216" spans="1:13" x14ac:dyDescent="0.2">
      <c r="A216" s="106" t="s">
        <v>5204</v>
      </c>
      <c r="B216" s="105" t="s">
        <v>3072</v>
      </c>
      <c r="C216" s="105" t="s">
        <v>5351</v>
      </c>
      <c r="D216" s="149" t="s">
        <v>3074</v>
      </c>
      <c r="E216" s="105">
        <v>1</v>
      </c>
      <c r="F216" s="133">
        <v>16.91</v>
      </c>
      <c r="G216" s="133">
        <v>18.600000000000001</v>
      </c>
      <c r="H216" s="109">
        <f t="shared" si="9"/>
        <v>18.600000000000001</v>
      </c>
      <c r="I216" s="119"/>
      <c r="J216" s="119"/>
      <c r="K216" s="119">
        <f t="shared" si="10"/>
        <v>18.600000000000001</v>
      </c>
      <c r="L216" s="152">
        <f t="shared" si="11"/>
        <v>16.91</v>
      </c>
      <c r="M216" s="113"/>
    </row>
    <row r="217" spans="1:13" x14ac:dyDescent="0.2">
      <c r="A217" s="106" t="s">
        <v>5204</v>
      </c>
      <c r="B217" s="105" t="s">
        <v>1854</v>
      </c>
      <c r="C217" s="105" t="s">
        <v>5352</v>
      </c>
      <c r="D217" s="149" t="s">
        <v>1855</v>
      </c>
      <c r="E217" s="105">
        <v>1</v>
      </c>
      <c r="F217" s="133">
        <v>7.62</v>
      </c>
      <c r="G217" s="133">
        <v>8.75</v>
      </c>
      <c r="H217" s="109">
        <f t="shared" si="9"/>
        <v>8.75</v>
      </c>
      <c r="I217" s="119"/>
      <c r="J217" s="119"/>
      <c r="K217" s="119">
        <f t="shared" si="10"/>
        <v>8.75</v>
      </c>
      <c r="L217" s="152">
        <f t="shared" si="11"/>
        <v>7.62</v>
      </c>
      <c r="M217" s="113"/>
    </row>
    <row r="218" spans="1:13" x14ac:dyDescent="0.2">
      <c r="A218" s="106" t="s">
        <v>5204</v>
      </c>
      <c r="B218" s="105" t="s">
        <v>5238</v>
      </c>
      <c r="C218" s="105" t="s">
        <v>5353</v>
      </c>
      <c r="D218" s="149" t="s">
        <v>5398</v>
      </c>
      <c r="E218" s="105">
        <v>1</v>
      </c>
      <c r="F218" s="133">
        <v>8.75</v>
      </c>
      <c r="G218" s="133">
        <v>10.25</v>
      </c>
      <c r="H218" s="109">
        <f t="shared" si="9"/>
        <v>10.25</v>
      </c>
      <c r="I218" s="119"/>
      <c r="J218" s="119"/>
      <c r="K218" s="119">
        <f t="shared" si="10"/>
        <v>10.25</v>
      </c>
      <c r="L218" s="152">
        <f t="shared" si="11"/>
        <v>8.75</v>
      </c>
      <c r="M218" s="113"/>
    </row>
    <row r="219" spans="1:13" x14ac:dyDescent="0.2">
      <c r="A219" s="106" t="s">
        <v>5204</v>
      </c>
      <c r="B219" s="105" t="s">
        <v>3765</v>
      </c>
      <c r="C219" s="105" t="s">
        <v>5354</v>
      </c>
      <c r="D219" s="149" t="s">
        <v>3766</v>
      </c>
      <c r="E219" s="105">
        <v>2</v>
      </c>
      <c r="F219" s="133">
        <v>65.95</v>
      </c>
      <c r="G219" s="133">
        <v>76</v>
      </c>
      <c r="H219" s="109">
        <f t="shared" si="9"/>
        <v>152</v>
      </c>
      <c r="I219" s="119"/>
      <c r="J219" s="119"/>
      <c r="K219" s="119">
        <f t="shared" si="10"/>
        <v>152</v>
      </c>
      <c r="L219" s="152">
        <f t="shared" si="11"/>
        <v>131.9</v>
      </c>
      <c r="M219" s="113"/>
    </row>
    <row r="220" spans="1:13" x14ac:dyDescent="0.2">
      <c r="A220" s="106" t="s">
        <v>5204</v>
      </c>
      <c r="B220" s="105" t="s">
        <v>5246</v>
      </c>
      <c r="C220" s="105" t="s">
        <v>5354</v>
      </c>
      <c r="D220" s="149" t="s">
        <v>5406</v>
      </c>
      <c r="E220" s="105">
        <v>5</v>
      </c>
      <c r="F220" s="133">
        <v>32.76</v>
      </c>
      <c r="G220" s="133">
        <v>37.75</v>
      </c>
      <c r="H220" s="109">
        <f t="shared" si="9"/>
        <v>188.75</v>
      </c>
      <c r="I220" s="119"/>
      <c r="J220" s="119"/>
      <c r="K220" s="119">
        <f t="shared" si="10"/>
        <v>188.75</v>
      </c>
      <c r="L220" s="152">
        <f t="shared" si="11"/>
        <v>163.79999999999998</v>
      </c>
      <c r="M220" s="113"/>
    </row>
    <row r="221" spans="1:13" x14ac:dyDescent="0.2">
      <c r="A221" s="106" t="s">
        <v>5204</v>
      </c>
      <c r="B221" s="105" t="s">
        <v>3195</v>
      </c>
      <c r="C221" s="105" t="s">
        <v>5355</v>
      </c>
      <c r="D221" s="149" t="s">
        <v>3196</v>
      </c>
      <c r="E221" s="105">
        <v>1</v>
      </c>
      <c r="F221" s="133">
        <v>64.58</v>
      </c>
      <c r="G221" s="133">
        <v>74.5</v>
      </c>
      <c r="H221" s="109">
        <f t="shared" si="9"/>
        <v>74.5</v>
      </c>
      <c r="I221" s="119"/>
      <c r="J221" s="119"/>
      <c r="K221" s="119">
        <f t="shared" si="10"/>
        <v>74.5</v>
      </c>
      <c r="L221" s="152">
        <f t="shared" si="11"/>
        <v>64.58</v>
      </c>
      <c r="M221" s="113"/>
    </row>
    <row r="222" spans="1:13" x14ac:dyDescent="0.2">
      <c r="A222" s="106" t="s">
        <v>5204</v>
      </c>
      <c r="B222" s="105" t="s">
        <v>2240</v>
      </c>
      <c r="C222" s="105" t="s">
        <v>5356</v>
      </c>
      <c r="D222" s="149" t="s">
        <v>2241</v>
      </c>
      <c r="E222" s="105">
        <v>1</v>
      </c>
      <c r="F222" s="133">
        <v>18.649999999999999</v>
      </c>
      <c r="G222" s="133">
        <v>21.5</v>
      </c>
      <c r="H222" s="109">
        <f t="shared" si="9"/>
        <v>21.5</v>
      </c>
      <c r="I222" s="119"/>
      <c r="J222" s="119"/>
      <c r="K222" s="119">
        <f t="shared" si="10"/>
        <v>21.5</v>
      </c>
      <c r="L222" s="152">
        <f t="shared" si="11"/>
        <v>18.649999999999999</v>
      </c>
      <c r="M222" s="113"/>
    </row>
    <row r="223" spans="1:13" x14ac:dyDescent="0.2">
      <c r="A223" s="106" t="s">
        <v>5204</v>
      </c>
      <c r="B223" s="105" t="s">
        <v>2301</v>
      </c>
      <c r="C223" s="105" t="s">
        <v>5357</v>
      </c>
      <c r="D223" s="149" t="s">
        <v>2302</v>
      </c>
      <c r="E223" s="105">
        <v>2</v>
      </c>
      <c r="F223" s="133">
        <v>132.80000000000001</v>
      </c>
      <c r="G223" s="133">
        <v>152.75</v>
      </c>
      <c r="H223" s="109">
        <f t="shared" si="9"/>
        <v>305.5</v>
      </c>
      <c r="I223" s="119"/>
      <c r="J223" s="119"/>
      <c r="K223" s="119">
        <f t="shared" si="10"/>
        <v>305.5</v>
      </c>
      <c r="L223" s="152">
        <f t="shared" si="11"/>
        <v>265.60000000000002</v>
      </c>
      <c r="M223" s="113"/>
    </row>
    <row r="224" spans="1:13" x14ac:dyDescent="0.2">
      <c r="A224" s="106" t="s">
        <v>5204</v>
      </c>
      <c r="B224" s="105" t="s">
        <v>2298</v>
      </c>
      <c r="C224" s="105" t="s">
        <v>5357</v>
      </c>
      <c r="D224" s="149" t="s">
        <v>2299</v>
      </c>
      <c r="E224" s="105">
        <v>3</v>
      </c>
      <c r="F224" s="133">
        <v>20.8</v>
      </c>
      <c r="G224" s="133">
        <v>24</v>
      </c>
      <c r="H224" s="109">
        <f t="shared" si="9"/>
        <v>72</v>
      </c>
      <c r="I224" s="119"/>
      <c r="J224" s="119"/>
      <c r="K224" s="119">
        <f t="shared" si="10"/>
        <v>72</v>
      </c>
      <c r="L224" s="152">
        <f t="shared" si="11"/>
        <v>62.400000000000006</v>
      </c>
      <c r="M224" s="113"/>
    </row>
    <row r="225" spans="1:13" x14ac:dyDescent="0.2">
      <c r="A225" s="106" t="s">
        <v>5204</v>
      </c>
      <c r="B225" s="105" t="s">
        <v>2245</v>
      </c>
      <c r="C225" s="105" t="s">
        <v>5357</v>
      </c>
      <c r="D225" s="149" t="s">
        <v>2246</v>
      </c>
      <c r="E225" s="105">
        <v>16</v>
      </c>
      <c r="F225" s="133">
        <v>4.74</v>
      </c>
      <c r="G225" s="133">
        <v>5.5</v>
      </c>
      <c r="H225" s="109">
        <f t="shared" si="9"/>
        <v>88</v>
      </c>
      <c r="I225" s="119"/>
      <c r="J225" s="119"/>
      <c r="K225" s="119">
        <f t="shared" si="10"/>
        <v>88</v>
      </c>
      <c r="L225" s="152">
        <f t="shared" si="11"/>
        <v>75.84</v>
      </c>
      <c r="M225" s="113"/>
    </row>
    <row r="226" spans="1:13" x14ac:dyDescent="0.2">
      <c r="A226" s="106" t="s">
        <v>5204</v>
      </c>
      <c r="B226" s="105" t="s">
        <v>2878</v>
      </c>
      <c r="C226" s="105" t="s">
        <v>5357</v>
      </c>
      <c r="D226" s="149" t="s">
        <v>2880</v>
      </c>
      <c r="E226" s="105">
        <v>1</v>
      </c>
      <c r="F226" s="133">
        <v>60.4</v>
      </c>
      <c r="G226" s="133">
        <v>70</v>
      </c>
      <c r="H226" s="109">
        <f t="shared" si="9"/>
        <v>70</v>
      </c>
      <c r="I226" s="119"/>
      <c r="J226" s="119"/>
      <c r="K226" s="119">
        <f t="shared" si="10"/>
        <v>70</v>
      </c>
      <c r="L226" s="152">
        <f t="shared" si="11"/>
        <v>60.4</v>
      </c>
      <c r="M226" s="113"/>
    </row>
    <row r="227" spans="1:13" x14ac:dyDescent="0.2">
      <c r="A227" s="106" t="s">
        <v>5204</v>
      </c>
      <c r="B227" s="105" t="s">
        <v>3437</v>
      </c>
      <c r="C227" s="105" t="s">
        <v>5358</v>
      </c>
      <c r="D227" s="149" t="s">
        <v>3439</v>
      </c>
      <c r="E227" s="105">
        <v>1</v>
      </c>
      <c r="F227" s="133">
        <v>13.12</v>
      </c>
      <c r="G227" s="133">
        <v>15.25</v>
      </c>
      <c r="H227" s="109">
        <f t="shared" si="9"/>
        <v>15.25</v>
      </c>
      <c r="I227" s="119"/>
      <c r="J227" s="119"/>
      <c r="K227" s="119">
        <f t="shared" si="10"/>
        <v>15.25</v>
      </c>
      <c r="L227" s="152">
        <f t="shared" si="11"/>
        <v>13.12</v>
      </c>
      <c r="M227" s="113"/>
    </row>
    <row r="228" spans="1:13" x14ac:dyDescent="0.2">
      <c r="A228" s="106" t="s">
        <v>5204</v>
      </c>
      <c r="B228" s="105" t="s">
        <v>4718</v>
      </c>
      <c r="C228" s="105" t="s">
        <v>5359</v>
      </c>
      <c r="D228" s="149" t="s">
        <v>4753</v>
      </c>
      <c r="E228" s="105">
        <v>1</v>
      </c>
      <c r="F228" s="133">
        <v>14.5</v>
      </c>
      <c r="G228" s="133">
        <v>16.75</v>
      </c>
      <c r="H228" s="109">
        <f t="shared" si="9"/>
        <v>16.75</v>
      </c>
      <c r="I228" s="119"/>
      <c r="J228" s="119"/>
      <c r="K228" s="119">
        <f t="shared" si="10"/>
        <v>16.75</v>
      </c>
      <c r="L228" s="152">
        <f t="shared" si="11"/>
        <v>14.5</v>
      </c>
      <c r="M228" s="113"/>
    </row>
    <row r="229" spans="1:13" x14ac:dyDescent="0.2">
      <c r="A229" s="106" t="s">
        <v>5204</v>
      </c>
      <c r="B229" s="105" t="s">
        <v>3434</v>
      </c>
      <c r="C229" s="105" t="s">
        <v>5359</v>
      </c>
      <c r="D229" s="149" t="s">
        <v>3436</v>
      </c>
      <c r="E229" s="105">
        <v>1</v>
      </c>
      <c r="F229" s="133">
        <v>7.41</v>
      </c>
      <c r="G229" s="133">
        <v>8.75</v>
      </c>
      <c r="H229" s="109">
        <f t="shared" si="9"/>
        <v>8.75</v>
      </c>
      <c r="I229" s="119"/>
      <c r="J229" s="119"/>
      <c r="K229" s="119">
        <f t="shared" si="10"/>
        <v>8.75</v>
      </c>
      <c r="L229" s="152">
        <f t="shared" si="11"/>
        <v>7.41</v>
      </c>
      <c r="M229" s="113"/>
    </row>
    <row r="230" spans="1:13" x14ac:dyDescent="0.2">
      <c r="A230" s="106" t="s">
        <v>5204</v>
      </c>
      <c r="B230" s="105" t="s">
        <v>2690</v>
      </c>
      <c r="C230" s="105" t="s">
        <v>5360</v>
      </c>
      <c r="D230" s="149" t="s">
        <v>2692</v>
      </c>
      <c r="E230" s="105">
        <v>2</v>
      </c>
      <c r="F230" s="133">
        <v>32.86</v>
      </c>
      <c r="G230" s="133">
        <v>38</v>
      </c>
      <c r="H230" s="109">
        <f t="shared" si="9"/>
        <v>76</v>
      </c>
      <c r="I230" s="119"/>
      <c r="J230" s="119"/>
      <c r="K230" s="119">
        <f t="shared" si="10"/>
        <v>76</v>
      </c>
      <c r="L230" s="152">
        <f t="shared" si="11"/>
        <v>65.72</v>
      </c>
      <c r="M230" s="113"/>
    </row>
    <row r="231" spans="1:13" x14ac:dyDescent="0.2">
      <c r="A231" s="106" t="s">
        <v>5204</v>
      </c>
      <c r="B231" s="105" t="s">
        <v>3047</v>
      </c>
      <c r="C231" s="105" t="s">
        <v>5360</v>
      </c>
      <c r="D231" s="149" t="s">
        <v>3048</v>
      </c>
      <c r="E231" s="105">
        <v>1</v>
      </c>
      <c r="F231" s="133">
        <v>35.68</v>
      </c>
      <c r="G231" s="133">
        <v>41.25</v>
      </c>
      <c r="H231" s="109">
        <f t="shared" si="9"/>
        <v>41.25</v>
      </c>
      <c r="I231" s="119"/>
      <c r="J231" s="119"/>
      <c r="K231" s="119">
        <f t="shared" si="10"/>
        <v>41.25</v>
      </c>
      <c r="L231" s="152">
        <f t="shared" si="11"/>
        <v>35.68</v>
      </c>
      <c r="M231" s="113"/>
    </row>
    <row r="232" spans="1:13" x14ac:dyDescent="0.2">
      <c r="A232" s="106" t="s">
        <v>5204</v>
      </c>
      <c r="B232" s="105" t="s">
        <v>4035</v>
      </c>
      <c r="C232" s="105" t="s">
        <v>5361</v>
      </c>
      <c r="D232" s="149" t="s">
        <v>4036</v>
      </c>
      <c r="E232" s="105">
        <v>2</v>
      </c>
      <c r="F232" s="133">
        <v>62.8</v>
      </c>
      <c r="G232" s="133">
        <v>72.25</v>
      </c>
      <c r="H232" s="109">
        <f t="shared" si="9"/>
        <v>144.5</v>
      </c>
      <c r="I232" s="119"/>
      <c r="J232" s="119"/>
      <c r="K232" s="119">
        <f t="shared" si="10"/>
        <v>144.5</v>
      </c>
      <c r="L232" s="152">
        <f t="shared" si="11"/>
        <v>125.6</v>
      </c>
      <c r="M232" s="113"/>
    </row>
    <row r="233" spans="1:13" x14ac:dyDescent="0.2">
      <c r="A233" s="106" t="s">
        <v>5204</v>
      </c>
      <c r="B233" s="105" t="s">
        <v>4282</v>
      </c>
      <c r="C233" s="105" t="s">
        <v>5362</v>
      </c>
      <c r="D233" s="149" t="s">
        <v>4284</v>
      </c>
      <c r="E233" s="105">
        <v>1</v>
      </c>
      <c r="F233" s="133">
        <v>53.2</v>
      </c>
      <c r="G233" s="133">
        <v>61.25</v>
      </c>
      <c r="H233" s="109">
        <f t="shared" si="9"/>
        <v>61.25</v>
      </c>
      <c r="I233" s="119"/>
      <c r="J233" s="119"/>
      <c r="K233" s="119">
        <f t="shared" si="10"/>
        <v>61.25</v>
      </c>
      <c r="L233" s="152">
        <f t="shared" si="11"/>
        <v>53.2</v>
      </c>
      <c r="M233" s="113"/>
    </row>
    <row r="234" spans="1:13" x14ac:dyDescent="0.2">
      <c r="A234" s="106" t="s">
        <v>5204</v>
      </c>
      <c r="B234" s="105" t="s">
        <v>4716</v>
      </c>
      <c r="C234" s="105" t="s">
        <v>5363</v>
      </c>
      <c r="D234" s="149" t="s">
        <v>4751</v>
      </c>
      <c r="E234" s="105">
        <v>4</v>
      </c>
      <c r="F234" s="133">
        <v>0.81</v>
      </c>
      <c r="G234" s="133">
        <v>1</v>
      </c>
      <c r="H234" s="109">
        <f t="shared" si="9"/>
        <v>4</v>
      </c>
      <c r="I234" s="119"/>
      <c r="J234" s="119"/>
      <c r="K234" s="119">
        <f t="shared" si="10"/>
        <v>4</v>
      </c>
      <c r="L234" s="152">
        <f t="shared" si="11"/>
        <v>3.24</v>
      </c>
      <c r="M234" s="113"/>
    </row>
    <row r="235" spans="1:13" x14ac:dyDescent="0.2">
      <c r="A235" s="106" t="s">
        <v>5204</v>
      </c>
      <c r="B235" s="105" t="s">
        <v>4946</v>
      </c>
      <c r="C235" s="105" t="s">
        <v>5364</v>
      </c>
      <c r="D235" s="149" t="s">
        <v>4983</v>
      </c>
      <c r="E235" s="105">
        <v>1</v>
      </c>
      <c r="F235" s="133">
        <v>6.4</v>
      </c>
      <c r="G235" s="133">
        <v>7.5</v>
      </c>
      <c r="H235" s="109">
        <f t="shared" si="9"/>
        <v>7.5</v>
      </c>
      <c r="I235" s="119"/>
      <c r="J235" s="119"/>
      <c r="K235" s="119">
        <f t="shared" si="10"/>
        <v>7.5</v>
      </c>
      <c r="L235" s="152">
        <f t="shared" si="11"/>
        <v>6.4</v>
      </c>
      <c r="M235" s="113"/>
    </row>
    <row r="236" spans="1:13" x14ac:dyDescent="0.2">
      <c r="A236" s="106" t="s">
        <v>5204</v>
      </c>
      <c r="B236" s="105" t="s">
        <v>2301</v>
      </c>
      <c r="C236" s="105" t="s">
        <v>5365</v>
      </c>
      <c r="D236" s="149" t="s">
        <v>2302</v>
      </c>
      <c r="E236" s="105">
        <v>1</v>
      </c>
      <c r="F236" s="133">
        <v>132.80000000000001</v>
      </c>
      <c r="G236" s="133">
        <v>152.75</v>
      </c>
      <c r="H236" s="109">
        <f t="shared" si="9"/>
        <v>152.75</v>
      </c>
      <c r="I236" s="119"/>
      <c r="J236" s="119"/>
      <c r="K236" s="119">
        <f t="shared" si="10"/>
        <v>152.75</v>
      </c>
      <c r="L236" s="152">
        <f t="shared" si="11"/>
        <v>132.80000000000001</v>
      </c>
      <c r="M236" s="113"/>
    </row>
    <row r="237" spans="1:13" x14ac:dyDescent="0.2">
      <c r="A237" s="106" t="s">
        <v>5204</v>
      </c>
      <c r="B237" s="105" t="s">
        <v>3072</v>
      </c>
      <c r="C237" s="105" t="s">
        <v>5366</v>
      </c>
      <c r="D237" s="149" t="s">
        <v>3074</v>
      </c>
      <c r="E237" s="105">
        <v>1</v>
      </c>
      <c r="F237" s="133">
        <v>16.91</v>
      </c>
      <c r="G237" s="133">
        <v>18.600000000000001</v>
      </c>
      <c r="H237" s="109">
        <f t="shared" si="9"/>
        <v>18.600000000000001</v>
      </c>
      <c r="I237" s="119"/>
      <c r="J237" s="119"/>
      <c r="K237" s="119">
        <f t="shared" si="10"/>
        <v>18.600000000000001</v>
      </c>
      <c r="L237" s="152">
        <f t="shared" si="11"/>
        <v>16.91</v>
      </c>
      <c r="M237" s="113"/>
    </row>
    <row r="238" spans="1:13" x14ac:dyDescent="0.2">
      <c r="A238" s="106" t="s">
        <v>5204</v>
      </c>
      <c r="B238" s="105" t="s">
        <v>4946</v>
      </c>
      <c r="C238" s="105" t="s">
        <v>5367</v>
      </c>
      <c r="D238" s="149" t="s">
        <v>4983</v>
      </c>
      <c r="E238" s="105">
        <v>1</v>
      </c>
      <c r="F238" s="133">
        <v>6.4</v>
      </c>
      <c r="G238" s="133">
        <v>7.5</v>
      </c>
      <c r="H238" s="109">
        <f t="shared" si="9"/>
        <v>7.5</v>
      </c>
      <c r="I238" s="119"/>
      <c r="J238" s="119"/>
      <c r="K238" s="119">
        <f t="shared" si="10"/>
        <v>7.5</v>
      </c>
      <c r="L238" s="152">
        <f t="shared" si="11"/>
        <v>6.4</v>
      </c>
      <c r="M238" s="113"/>
    </row>
    <row r="239" spans="1:13" x14ac:dyDescent="0.2">
      <c r="A239" s="106" t="s">
        <v>5204</v>
      </c>
      <c r="B239" s="105" t="s">
        <v>1969</v>
      </c>
      <c r="C239" s="105" t="s">
        <v>5368</v>
      </c>
      <c r="D239" s="149" t="s">
        <v>1970</v>
      </c>
      <c r="E239" s="105">
        <v>2</v>
      </c>
      <c r="F239" s="133">
        <v>3.6</v>
      </c>
      <c r="G239" s="133">
        <v>4.25</v>
      </c>
      <c r="H239" s="109">
        <f t="shared" si="9"/>
        <v>8.5</v>
      </c>
      <c r="I239" s="119"/>
      <c r="J239" s="119"/>
      <c r="K239" s="119">
        <f t="shared" si="10"/>
        <v>8.5</v>
      </c>
      <c r="L239" s="152">
        <f t="shared" si="11"/>
        <v>7.2</v>
      </c>
      <c r="M239" s="113"/>
    </row>
    <row r="240" spans="1:13" x14ac:dyDescent="0.2">
      <c r="A240" s="106" t="s">
        <v>5204</v>
      </c>
      <c r="B240" s="105" t="s">
        <v>2307</v>
      </c>
      <c r="C240" s="105" t="s">
        <v>5369</v>
      </c>
      <c r="D240" s="149" t="s">
        <v>2309</v>
      </c>
      <c r="E240" s="105">
        <v>1</v>
      </c>
      <c r="F240" s="133">
        <v>31.6</v>
      </c>
      <c r="G240" s="133">
        <v>36.5</v>
      </c>
      <c r="H240" s="109">
        <f t="shared" si="9"/>
        <v>36.5</v>
      </c>
      <c r="I240" s="119"/>
      <c r="J240" s="119"/>
      <c r="K240" s="119">
        <f t="shared" si="10"/>
        <v>36.5</v>
      </c>
      <c r="L240" s="152">
        <f t="shared" si="11"/>
        <v>31.6</v>
      </c>
      <c r="M240" s="113"/>
    </row>
    <row r="241" spans="1:13" x14ac:dyDescent="0.2">
      <c r="A241" s="106" t="s">
        <v>5204</v>
      </c>
      <c r="B241" s="105" t="s">
        <v>2441</v>
      </c>
      <c r="C241" s="105" t="s">
        <v>5370</v>
      </c>
      <c r="D241" s="149" t="s">
        <v>2443</v>
      </c>
      <c r="E241" s="105">
        <v>4</v>
      </c>
      <c r="F241" s="133">
        <v>0.81</v>
      </c>
      <c r="G241" s="133">
        <v>1</v>
      </c>
      <c r="H241" s="109">
        <f t="shared" si="9"/>
        <v>4</v>
      </c>
      <c r="I241" s="119"/>
      <c r="J241" s="119"/>
      <c r="K241" s="119">
        <f t="shared" si="10"/>
        <v>4</v>
      </c>
      <c r="L241" s="152">
        <f t="shared" si="11"/>
        <v>3.24</v>
      </c>
      <c r="M241" s="113"/>
    </row>
    <row r="242" spans="1:13" x14ac:dyDescent="0.2">
      <c r="A242" s="106" t="s">
        <v>5204</v>
      </c>
      <c r="B242" s="105" t="s">
        <v>2307</v>
      </c>
      <c r="C242" s="105" t="s">
        <v>5371</v>
      </c>
      <c r="D242" s="149" t="s">
        <v>2309</v>
      </c>
      <c r="E242" s="105">
        <v>1</v>
      </c>
      <c r="F242" s="133">
        <v>31.6</v>
      </c>
      <c r="G242" s="133">
        <v>36.5</v>
      </c>
      <c r="H242" s="109">
        <f t="shared" si="9"/>
        <v>36.5</v>
      </c>
      <c r="I242" s="119"/>
      <c r="J242" s="119"/>
      <c r="K242" s="119">
        <f t="shared" si="10"/>
        <v>36.5</v>
      </c>
      <c r="L242" s="152">
        <f t="shared" si="11"/>
        <v>31.6</v>
      </c>
      <c r="M242" s="113"/>
    </row>
    <row r="243" spans="1:13" x14ac:dyDescent="0.2">
      <c r="A243" s="106" t="s">
        <v>5231</v>
      </c>
      <c r="B243" s="105" t="s">
        <v>3348</v>
      </c>
      <c r="C243" s="105" t="s">
        <v>5372</v>
      </c>
      <c r="D243" s="149" t="s">
        <v>3349</v>
      </c>
      <c r="E243" s="105">
        <v>3</v>
      </c>
      <c r="F243" s="133">
        <v>14.91</v>
      </c>
      <c r="G243" s="133">
        <v>17.25</v>
      </c>
      <c r="H243" s="109">
        <f t="shared" si="9"/>
        <v>51.75</v>
      </c>
      <c r="I243" s="119"/>
      <c r="J243" s="119"/>
      <c r="K243" s="119">
        <f t="shared" si="10"/>
        <v>51.75</v>
      </c>
      <c r="L243" s="152">
        <f t="shared" si="11"/>
        <v>44.730000000000004</v>
      </c>
      <c r="M243" s="113"/>
    </row>
    <row r="244" spans="1:13" x14ac:dyDescent="0.2">
      <c r="A244" s="106" t="s">
        <v>5231</v>
      </c>
      <c r="B244" s="105" t="s">
        <v>3983</v>
      </c>
      <c r="C244" s="105" t="s">
        <v>5372</v>
      </c>
      <c r="D244" s="149" t="s">
        <v>3984</v>
      </c>
      <c r="E244" s="105">
        <v>1</v>
      </c>
      <c r="F244" s="133">
        <v>13.87</v>
      </c>
      <c r="G244" s="133">
        <v>17.75</v>
      </c>
      <c r="H244" s="109">
        <f t="shared" si="9"/>
        <v>17.75</v>
      </c>
      <c r="I244" s="119"/>
      <c r="J244" s="119"/>
      <c r="K244" s="119">
        <f t="shared" si="10"/>
        <v>17.75</v>
      </c>
      <c r="L244" s="152">
        <f t="shared" si="11"/>
        <v>13.87</v>
      </c>
      <c r="M244" s="113"/>
    </row>
    <row r="245" spans="1:13" x14ac:dyDescent="0.2">
      <c r="A245" s="106" t="s">
        <v>5231</v>
      </c>
      <c r="B245" s="105" t="s">
        <v>5247</v>
      </c>
      <c r="C245" s="105" t="s">
        <v>5373</v>
      </c>
      <c r="D245" s="149" t="s">
        <v>5407</v>
      </c>
      <c r="E245" s="105">
        <v>1</v>
      </c>
      <c r="F245" s="133">
        <v>32</v>
      </c>
      <c r="G245" s="133">
        <v>37</v>
      </c>
      <c r="H245" s="109">
        <f t="shared" si="9"/>
        <v>37</v>
      </c>
      <c r="I245" s="119"/>
      <c r="J245" s="119"/>
      <c r="K245" s="119">
        <f t="shared" si="10"/>
        <v>37</v>
      </c>
      <c r="L245" s="152">
        <f t="shared" si="11"/>
        <v>32</v>
      </c>
      <c r="M245" s="113"/>
    </row>
    <row r="246" spans="1:13" x14ac:dyDescent="0.2">
      <c r="A246" s="106" t="s">
        <v>5231</v>
      </c>
      <c r="B246" s="105" t="s">
        <v>1905</v>
      </c>
      <c r="C246" s="105" t="s">
        <v>5374</v>
      </c>
      <c r="D246" s="149" t="s">
        <v>1906</v>
      </c>
      <c r="E246" s="105">
        <v>1</v>
      </c>
      <c r="F246" s="133">
        <v>15.12</v>
      </c>
      <c r="G246" s="133">
        <v>17.5</v>
      </c>
      <c r="H246" s="109">
        <f t="shared" si="9"/>
        <v>17.5</v>
      </c>
      <c r="I246" s="119"/>
      <c r="J246" s="119"/>
      <c r="K246" s="119">
        <f t="shared" si="10"/>
        <v>17.5</v>
      </c>
      <c r="L246" s="152">
        <f t="shared" si="11"/>
        <v>15.12</v>
      </c>
      <c r="M246" s="113"/>
    </row>
    <row r="247" spans="1:13" x14ac:dyDescent="0.2">
      <c r="A247" s="106" t="s">
        <v>5231</v>
      </c>
      <c r="B247" s="105" t="s">
        <v>3143</v>
      </c>
      <c r="C247" s="105" t="s">
        <v>5375</v>
      </c>
      <c r="D247" s="149" t="s">
        <v>3145</v>
      </c>
      <c r="E247" s="105">
        <v>1</v>
      </c>
      <c r="F247" s="133">
        <v>17.649999999999999</v>
      </c>
      <c r="G247" s="133">
        <v>18.75</v>
      </c>
      <c r="H247" s="109">
        <f t="shared" si="9"/>
        <v>18.75</v>
      </c>
      <c r="I247" s="119"/>
      <c r="J247" s="119"/>
      <c r="K247" s="119">
        <f t="shared" si="10"/>
        <v>18.75</v>
      </c>
      <c r="L247" s="152">
        <f t="shared" si="11"/>
        <v>17.649999999999999</v>
      </c>
      <c r="M247" s="113"/>
    </row>
    <row r="248" spans="1:13" x14ac:dyDescent="0.2">
      <c r="A248" s="106" t="s">
        <v>5231</v>
      </c>
      <c r="B248" s="105" t="s">
        <v>3917</v>
      </c>
      <c r="C248" s="105" t="s">
        <v>5376</v>
      </c>
      <c r="D248" s="149" t="s">
        <v>3919</v>
      </c>
      <c r="E248" s="105">
        <v>6</v>
      </c>
      <c r="F248" s="133">
        <v>6.37</v>
      </c>
      <c r="G248" s="133">
        <v>7.5</v>
      </c>
      <c r="H248" s="109">
        <f t="shared" si="9"/>
        <v>45</v>
      </c>
      <c r="I248" s="119"/>
      <c r="J248" s="119"/>
      <c r="K248" s="119">
        <f t="shared" si="10"/>
        <v>45</v>
      </c>
      <c r="L248" s="152">
        <f t="shared" si="11"/>
        <v>38.22</v>
      </c>
      <c r="M248" s="113"/>
    </row>
    <row r="249" spans="1:13" x14ac:dyDescent="0.2">
      <c r="A249" s="106" t="s">
        <v>5231</v>
      </c>
      <c r="B249" s="105" t="s">
        <v>2826</v>
      </c>
      <c r="C249" s="105" t="s">
        <v>5376</v>
      </c>
      <c r="D249" s="149" t="s">
        <v>2827</v>
      </c>
      <c r="E249" s="105">
        <v>4</v>
      </c>
      <c r="F249" s="133">
        <v>3.72</v>
      </c>
      <c r="G249" s="133">
        <v>4.5</v>
      </c>
      <c r="H249" s="109">
        <f t="shared" si="9"/>
        <v>18</v>
      </c>
      <c r="I249" s="119"/>
      <c r="J249" s="119"/>
      <c r="K249" s="119">
        <f t="shared" si="10"/>
        <v>18</v>
      </c>
      <c r="L249" s="152">
        <f t="shared" si="11"/>
        <v>14.88</v>
      </c>
      <c r="M249" s="113"/>
    </row>
    <row r="250" spans="1:13" x14ac:dyDescent="0.2">
      <c r="A250" s="106" t="s">
        <v>5231</v>
      </c>
      <c r="B250" s="105" t="s">
        <v>3434</v>
      </c>
      <c r="C250" s="105" t="s">
        <v>5376</v>
      </c>
      <c r="D250" s="149" t="s">
        <v>3436</v>
      </c>
      <c r="E250" s="105">
        <v>1</v>
      </c>
      <c r="F250" s="133">
        <v>7.41</v>
      </c>
      <c r="G250" s="133">
        <v>8.75</v>
      </c>
      <c r="H250" s="109">
        <f t="shared" si="9"/>
        <v>8.75</v>
      </c>
      <c r="I250" s="119"/>
      <c r="J250" s="119"/>
      <c r="K250" s="119">
        <f t="shared" si="10"/>
        <v>8.75</v>
      </c>
      <c r="L250" s="152">
        <f t="shared" si="11"/>
        <v>7.41</v>
      </c>
      <c r="M250" s="113"/>
    </row>
    <row r="251" spans="1:13" x14ac:dyDescent="0.2">
      <c r="A251" s="106" t="s">
        <v>5231</v>
      </c>
      <c r="B251" s="105" t="s">
        <v>3793</v>
      </c>
      <c r="C251" s="105" t="s">
        <v>5376</v>
      </c>
      <c r="D251" s="149" t="s">
        <v>3795</v>
      </c>
      <c r="E251" s="105">
        <v>1</v>
      </c>
      <c r="F251" s="133">
        <v>8.3800000000000008</v>
      </c>
      <c r="G251" s="133">
        <v>9.75</v>
      </c>
      <c r="H251" s="109">
        <f t="shared" si="9"/>
        <v>9.75</v>
      </c>
      <c r="I251" s="119"/>
      <c r="J251" s="119"/>
      <c r="K251" s="119">
        <f t="shared" si="10"/>
        <v>9.75</v>
      </c>
      <c r="L251" s="152">
        <f t="shared" si="11"/>
        <v>8.3800000000000008</v>
      </c>
      <c r="M251" s="113"/>
    </row>
    <row r="252" spans="1:13" x14ac:dyDescent="0.2">
      <c r="A252" s="106" t="s">
        <v>5231</v>
      </c>
      <c r="B252" s="105" t="s">
        <v>2809</v>
      </c>
      <c r="C252" s="105" t="s">
        <v>5377</v>
      </c>
      <c r="D252" s="149" t="s">
        <v>2810</v>
      </c>
      <c r="E252" s="105">
        <v>1</v>
      </c>
      <c r="F252" s="133">
        <v>53.81</v>
      </c>
      <c r="G252" s="133">
        <v>62</v>
      </c>
      <c r="H252" s="109">
        <f t="shared" si="9"/>
        <v>62</v>
      </c>
      <c r="I252" s="119"/>
      <c r="J252" s="119"/>
      <c r="K252" s="119">
        <f t="shared" si="10"/>
        <v>62</v>
      </c>
      <c r="L252" s="152">
        <f t="shared" si="11"/>
        <v>53.81</v>
      </c>
      <c r="M252" s="113"/>
    </row>
    <row r="253" spans="1:13" x14ac:dyDescent="0.2">
      <c r="A253" s="106" t="s">
        <v>5231</v>
      </c>
      <c r="B253" s="105" t="s">
        <v>3457</v>
      </c>
      <c r="C253" s="105" t="s">
        <v>5377</v>
      </c>
      <c r="D253" s="149" t="s">
        <v>3458</v>
      </c>
      <c r="E253" s="105">
        <v>2</v>
      </c>
      <c r="F253" s="133">
        <v>51.97</v>
      </c>
      <c r="G253" s="133">
        <v>60</v>
      </c>
      <c r="H253" s="109">
        <f t="shared" si="9"/>
        <v>120</v>
      </c>
      <c r="I253" s="119"/>
      <c r="J253" s="119"/>
      <c r="K253" s="119">
        <f t="shared" si="10"/>
        <v>120</v>
      </c>
      <c r="L253" s="152">
        <f t="shared" si="11"/>
        <v>103.94</v>
      </c>
      <c r="M253" s="113"/>
    </row>
    <row r="254" spans="1:13" x14ac:dyDescent="0.2">
      <c r="A254" s="106" t="s">
        <v>5231</v>
      </c>
      <c r="B254" s="105" t="s">
        <v>1924</v>
      </c>
      <c r="C254" s="105" t="s">
        <v>5378</v>
      </c>
      <c r="D254" s="149" t="s">
        <v>1926</v>
      </c>
      <c r="E254" s="105">
        <v>6</v>
      </c>
      <c r="F254" s="133">
        <v>10.64</v>
      </c>
      <c r="G254" s="133">
        <v>12.25</v>
      </c>
      <c r="H254" s="109">
        <f t="shared" si="9"/>
        <v>73.5</v>
      </c>
      <c r="I254" s="119"/>
      <c r="J254" s="119"/>
      <c r="K254" s="119">
        <f t="shared" si="10"/>
        <v>73.5</v>
      </c>
      <c r="L254" s="152">
        <f t="shared" si="11"/>
        <v>63.84</v>
      </c>
      <c r="M254" s="113"/>
    </row>
    <row r="255" spans="1:13" x14ac:dyDescent="0.2">
      <c r="A255" s="106" t="s">
        <v>5231</v>
      </c>
      <c r="B255" s="105" t="s">
        <v>1929</v>
      </c>
      <c r="C255" s="105" t="s">
        <v>5378</v>
      </c>
      <c r="D255" s="149" t="s">
        <v>1930</v>
      </c>
      <c r="E255" s="105">
        <v>1</v>
      </c>
      <c r="F255" s="133">
        <v>13.92</v>
      </c>
      <c r="G255" s="133">
        <v>22</v>
      </c>
      <c r="H255" s="109">
        <f t="shared" si="9"/>
        <v>22</v>
      </c>
      <c r="I255" s="119"/>
      <c r="J255" s="119"/>
      <c r="K255" s="119">
        <f t="shared" si="10"/>
        <v>22</v>
      </c>
      <c r="L255" s="152">
        <f t="shared" si="11"/>
        <v>13.92</v>
      </c>
      <c r="M255" s="113"/>
    </row>
    <row r="256" spans="1:13" x14ac:dyDescent="0.2">
      <c r="A256" s="106" t="s">
        <v>5231</v>
      </c>
      <c r="B256" s="105" t="s">
        <v>4328</v>
      </c>
      <c r="C256" s="105" t="s">
        <v>5379</v>
      </c>
      <c r="D256" s="149" t="s">
        <v>4358</v>
      </c>
      <c r="E256" s="105">
        <v>2</v>
      </c>
      <c r="F256" s="133">
        <v>23.63</v>
      </c>
      <c r="G256" s="133">
        <v>27.25</v>
      </c>
      <c r="H256" s="109">
        <f t="shared" si="9"/>
        <v>54.5</v>
      </c>
      <c r="I256" s="119"/>
      <c r="J256" s="119"/>
      <c r="K256" s="119">
        <f t="shared" si="10"/>
        <v>54.5</v>
      </c>
      <c r="L256" s="152">
        <f t="shared" si="11"/>
        <v>47.26</v>
      </c>
      <c r="M256" s="113"/>
    </row>
    <row r="257" spans="1:13" x14ac:dyDescent="0.2">
      <c r="A257" s="106" t="s">
        <v>5231</v>
      </c>
      <c r="B257" s="105" t="s">
        <v>1854</v>
      </c>
      <c r="C257" s="105" t="s">
        <v>5380</v>
      </c>
      <c r="D257" s="149" t="s">
        <v>1855</v>
      </c>
      <c r="E257" s="105">
        <v>1</v>
      </c>
      <c r="F257" s="133">
        <v>7.62</v>
      </c>
      <c r="G257" s="133">
        <v>8.75</v>
      </c>
      <c r="H257" s="109">
        <f t="shared" si="9"/>
        <v>8.75</v>
      </c>
      <c r="I257" s="119"/>
      <c r="J257" s="119"/>
      <c r="K257" s="119">
        <f t="shared" si="10"/>
        <v>8.75</v>
      </c>
      <c r="L257" s="152">
        <f t="shared" si="11"/>
        <v>7.62</v>
      </c>
      <c r="M257" s="113"/>
    </row>
    <row r="258" spans="1:13" x14ac:dyDescent="0.2">
      <c r="A258" s="106" t="s">
        <v>5231</v>
      </c>
      <c r="B258" s="105" t="s">
        <v>4806</v>
      </c>
      <c r="C258" s="105" t="s">
        <v>5381</v>
      </c>
      <c r="D258" s="149" t="s">
        <v>4874</v>
      </c>
      <c r="E258" s="105">
        <v>1</v>
      </c>
      <c r="F258" s="133">
        <v>8.58</v>
      </c>
      <c r="G258" s="133">
        <v>10</v>
      </c>
      <c r="H258" s="109">
        <f t="shared" si="9"/>
        <v>10</v>
      </c>
      <c r="I258" s="119"/>
      <c r="J258" s="119"/>
      <c r="K258" s="119">
        <f t="shared" si="10"/>
        <v>10</v>
      </c>
      <c r="L258" s="152">
        <f t="shared" si="11"/>
        <v>8.58</v>
      </c>
      <c r="M258" s="113"/>
    </row>
    <row r="259" spans="1:13" x14ac:dyDescent="0.2">
      <c r="A259" s="106" t="s">
        <v>5231</v>
      </c>
      <c r="B259" s="105" t="s">
        <v>3437</v>
      </c>
      <c r="C259" s="105" t="s">
        <v>5382</v>
      </c>
      <c r="D259" s="149" t="s">
        <v>3439</v>
      </c>
      <c r="E259" s="105">
        <v>1</v>
      </c>
      <c r="F259" s="133">
        <v>13.12</v>
      </c>
      <c r="G259" s="133">
        <v>15.25</v>
      </c>
      <c r="H259" s="109">
        <f t="shared" si="9"/>
        <v>15.25</v>
      </c>
      <c r="I259" s="119"/>
      <c r="J259" s="119"/>
      <c r="K259" s="119">
        <f t="shared" si="10"/>
        <v>15.25</v>
      </c>
      <c r="L259" s="152">
        <f t="shared" si="11"/>
        <v>13.12</v>
      </c>
      <c r="M259" s="113"/>
    </row>
    <row r="260" spans="1:13" x14ac:dyDescent="0.2">
      <c r="A260" s="106" t="s">
        <v>5231</v>
      </c>
      <c r="B260" s="105" t="s">
        <v>3360</v>
      </c>
      <c r="C260" s="105" t="s">
        <v>5383</v>
      </c>
      <c r="D260" s="149" t="s">
        <v>3361</v>
      </c>
      <c r="E260" s="105">
        <v>1</v>
      </c>
      <c r="F260" s="133">
        <v>6.03</v>
      </c>
      <c r="G260" s="133">
        <v>7</v>
      </c>
      <c r="H260" s="109">
        <f t="shared" si="9"/>
        <v>7</v>
      </c>
      <c r="I260" s="119"/>
      <c r="J260" s="119"/>
      <c r="K260" s="119">
        <f t="shared" si="10"/>
        <v>7</v>
      </c>
      <c r="L260" s="152">
        <f t="shared" si="11"/>
        <v>6.03</v>
      </c>
      <c r="M260" s="113"/>
    </row>
    <row r="261" spans="1:13" x14ac:dyDescent="0.2">
      <c r="A261" s="106" t="s">
        <v>5231</v>
      </c>
      <c r="B261" s="105" t="s">
        <v>2872</v>
      </c>
      <c r="C261" s="105" t="s">
        <v>5384</v>
      </c>
      <c r="D261" s="149" t="s">
        <v>2873</v>
      </c>
      <c r="E261" s="105">
        <v>6</v>
      </c>
      <c r="F261" s="133">
        <v>4.4800000000000004</v>
      </c>
      <c r="G261" s="133">
        <v>5.25</v>
      </c>
      <c r="H261" s="109">
        <f t="shared" si="9"/>
        <v>31.5</v>
      </c>
      <c r="I261" s="119"/>
      <c r="J261" s="119"/>
      <c r="K261" s="119">
        <f t="shared" si="10"/>
        <v>31.5</v>
      </c>
      <c r="L261" s="152">
        <f t="shared" si="11"/>
        <v>26.880000000000003</v>
      </c>
      <c r="M261" s="113"/>
    </row>
    <row r="262" spans="1:13" x14ac:dyDescent="0.2">
      <c r="A262" s="106" t="s">
        <v>5231</v>
      </c>
      <c r="B262" s="105" t="s">
        <v>2162</v>
      </c>
      <c r="C262" s="105" t="s">
        <v>5385</v>
      </c>
      <c r="D262" s="149" t="s">
        <v>2163</v>
      </c>
      <c r="E262" s="105">
        <v>1</v>
      </c>
      <c r="F262" s="133">
        <v>67.290000000000006</v>
      </c>
      <c r="G262" s="133">
        <v>77.5</v>
      </c>
      <c r="H262" s="109">
        <f t="shared" ref="H262:H325" si="12">E262*G262</f>
        <v>77.5</v>
      </c>
      <c r="I262" s="119"/>
      <c r="J262" s="119"/>
      <c r="K262" s="119">
        <f t="shared" si="10"/>
        <v>77.5</v>
      </c>
      <c r="L262" s="152">
        <f t="shared" si="11"/>
        <v>67.290000000000006</v>
      </c>
      <c r="M262" s="113"/>
    </row>
    <row r="263" spans="1:13" x14ac:dyDescent="0.2">
      <c r="A263" s="106" t="s">
        <v>5231</v>
      </c>
      <c r="B263" s="105" t="s">
        <v>5248</v>
      </c>
      <c r="C263" s="105" t="s">
        <v>5386</v>
      </c>
      <c r="D263" s="149" t="s">
        <v>5408</v>
      </c>
      <c r="E263" s="105">
        <v>1</v>
      </c>
      <c r="F263" s="133">
        <v>5.8</v>
      </c>
      <c r="G263" s="133">
        <v>7</v>
      </c>
      <c r="H263" s="109">
        <f t="shared" si="12"/>
        <v>7</v>
      </c>
      <c r="I263" s="119"/>
      <c r="J263" s="119"/>
      <c r="K263" s="119">
        <f t="shared" ref="K263:K326" si="13">H263+I263-J263</f>
        <v>7</v>
      </c>
      <c r="L263" s="152">
        <f t="shared" ref="L263:L326" si="14">E263*F263</f>
        <v>5.8</v>
      </c>
      <c r="M263" s="113"/>
    </row>
    <row r="264" spans="1:13" x14ac:dyDescent="0.2">
      <c r="A264" s="106" t="s">
        <v>5231</v>
      </c>
      <c r="B264" s="105" t="s">
        <v>5248</v>
      </c>
      <c r="C264" s="105" t="s">
        <v>5387</v>
      </c>
      <c r="D264" s="149" t="s">
        <v>5408</v>
      </c>
      <c r="E264" s="105">
        <v>1</v>
      </c>
      <c r="F264" s="133">
        <v>5.8</v>
      </c>
      <c r="G264" s="133">
        <v>7</v>
      </c>
      <c r="H264" s="109">
        <f t="shared" si="12"/>
        <v>7</v>
      </c>
      <c r="I264" s="119"/>
      <c r="J264" s="119"/>
      <c r="K264" s="119">
        <f t="shared" si="13"/>
        <v>7</v>
      </c>
      <c r="L264" s="152">
        <f t="shared" si="14"/>
        <v>5.8</v>
      </c>
      <c r="M264" s="113"/>
    </row>
    <row r="265" spans="1:13" x14ac:dyDescent="0.2">
      <c r="A265" s="106" t="s">
        <v>5231</v>
      </c>
      <c r="B265" s="105" t="s">
        <v>1977</v>
      </c>
      <c r="C265" s="105" t="s">
        <v>5388</v>
      </c>
      <c r="D265" s="149" t="s">
        <v>1979</v>
      </c>
      <c r="E265" s="105">
        <v>5</v>
      </c>
      <c r="F265" s="133">
        <v>0.76</v>
      </c>
      <c r="G265" s="133">
        <v>1</v>
      </c>
      <c r="H265" s="109">
        <f t="shared" si="12"/>
        <v>5</v>
      </c>
      <c r="I265" s="119"/>
      <c r="J265" s="119"/>
      <c r="K265" s="119">
        <f t="shared" si="13"/>
        <v>5</v>
      </c>
      <c r="L265" s="152">
        <f t="shared" si="14"/>
        <v>3.8</v>
      </c>
      <c r="M265" s="113"/>
    </row>
    <row r="266" spans="1:13" x14ac:dyDescent="0.2">
      <c r="A266" s="106" t="s">
        <v>5231</v>
      </c>
      <c r="B266" s="105" t="s">
        <v>2742</v>
      </c>
      <c r="C266" s="105" t="s">
        <v>5389</v>
      </c>
      <c r="D266" s="149" t="s">
        <v>2743</v>
      </c>
      <c r="E266" s="105">
        <v>1</v>
      </c>
      <c r="F266" s="133">
        <v>16.03</v>
      </c>
      <c r="G266" s="133">
        <v>18.5</v>
      </c>
      <c r="H266" s="109">
        <f t="shared" si="12"/>
        <v>18.5</v>
      </c>
      <c r="I266" s="119"/>
      <c r="J266" s="119"/>
      <c r="K266" s="119">
        <f t="shared" si="13"/>
        <v>18.5</v>
      </c>
      <c r="L266" s="152">
        <f t="shared" si="14"/>
        <v>16.03</v>
      </c>
      <c r="M266" s="113"/>
    </row>
    <row r="267" spans="1:13" x14ac:dyDescent="0.2">
      <c r="A267" s="106" t="s">
        <v>5231</v>
      </c>
      <c r="B267" s="105" t="s">
        <v>1967</v>
      </c>
      <c r="C267" s="105" t="s">
        <v>5389</v>
      </c>
      <c r="D267" s="149" t="s">
        <v>1968</v>
      </c>
      <c r="E267" s="105">
        <v>2</v>
      </c>
      <c r="F267" s="133">
        <v>8.1999999999999993</v>
      </c>
      <c r="G267" s="133">
        <v>10</v>
      </c>
      <c r="H267" s="109">
        <f t="shared" si="12"/>
        <v>20</v>
      </c>
      <c r="I267" s="119"/>
      <c r="J267" s="119"/>
      <c r="K267" s="119">
        <f t="shared" si="13"/>
        <v>20</v>
      </c>
      <c r="L267" s="152">
        <f t="shared" si="14"/>
        <v>16.399999999999999</v>
      </c>
      <c r="M267" s="113"/>
    </row>
    <row r="268" spans="1:13" x14ac:dyDescent="0.2">
      <c r="A268" s="106" t="s">
        <v>5231</v>
      </c>
      <c r="B268" s="105" t="s">
        <v>1861</v>
      </c>
      <c r="C268" s="105" t="s">
        <v>5390</v>
      </c>
      <c r="D268" s="149" t="s">
        <v>1862</v>
      </c>
      <c r="E268" s="105">
        <v>1</v>
      </c>
      <c r="F268" s="133">
        <v>15.65</v>
      </c>
      <c r="G268" s="133">
        <v>18</v>
      </c>
      <c r="H268" s="109">
        <f t="shared" si="12"/>
        <v>18</v>
      </c>
      <c r="I268" s="119"/>
      <c r="J268" s="119"/>
      <c r="K268" s="119">
        <f t="shared" si="13"/>
        <v>18</v>
      </c>
      <c r="L268" s="152">
        <f t="shared" si="14"/>
        <v>15.65</v>
      </c>
      <c r="M268" s="113"/>
    </row>
    <row r="269" spans="1:13" x14ac:dyDescent="0.2">
      <c r="A269" s="106" t="s">
        <v>5231</v>
      </c>
      <c r="B269" s="105" t="s">
        <v>5249</v>
      </c>
      <c r="C269" s="105" t="s">
        <v>5391</v>
      </c>
      <c r="D269" s="149" t="s">
        <v>5409</v>
      </c>
      <c r="E269" s="105">
        <v>1</v>
      </c>
      <c r="F269" s="133">
        <v>127.35</v>
      </c>
      <c r="G269" s="133">
        <v>146.5</v>
      </c>
      <c r="H269" s="109">
        <f t="shared" si="12"/>
        <v>146.5</v>
      </c>
      <c r="I269" s="119"/>
      <c r="J269" s="119"/>
      <c r="K269" s="119">
        <f t="shared" si="13"/>
        <v>146.5</v>
      </c>
      <c r="L269" s="152">
        <f t="shared" si="14"/>
        <v>127.35</v>
      </c>
      <c r="M269" s="113"/>
    </row>
    <row r="270" spans="1:13" x14ac:dyDescent="0.2">
      <c r="A270" s="106" t="s">
        <v>5231</v>
      </c>
      <c r="B270" s="105" t="s">
        <v>5250</v>
      </c>
      <c r="C270" s="105" t="s">
        <v>5391</v>
      </c>
      <c r="D270" s="149" t="s">
        <v>5410</v>
      </c>
      <c r="E270" s="105">
        <v>1</v>
      </c>
      <c r="F270" s="133">
        <v>57.77</v>
      </c>
      <c r="G270" s="133">
        <v>66.5</v>
      </c>
      <c r="H270" s="109">
        <f t="shared" si="12"/>
        <v>66.5</v>
      </c>
      <c r="I270" s="119"/>
      <c r="J270" s="119"/>
      <c r="K270" s="119">
        <f t="shared" si="13"/>
        <v>66.5</v>
      </c>
      <c r="L270" s="152">
        <f t="shared" si="14"/>
        <v>57.77</v>
      </c>
      <c r="M270" s="113"/>
    </row>
    <row r="271" spans="1:13" x14ac:dyDescent="0.2">
      <c r="A271" s="106" t="s">
        <v>5231</v>
      </c>
      <c r="B271" s="105" t="s">
        <v>2794</v>
      </c>
      <c r="C271" s="105" t="s">
        <v>5391</v>
      </c>
      <c r="D271" s="149" t="s">
        <v>2795</v>
      </c>
      <c r="E271" s="105">
        <v>1</v>
      </c>
      <c r="F271" s="133">
        <v>23.15</v>
      </c>
      <c r="G271" s="133">
        <v>27</v>
      </c>
      <c r="H271" s="109">
        <f t="shared" si="12"/>
        <v>27</v>
      </c>
      <c r="I271" s="119"/>
      <c r="J271" s="119"/>
      <c r="K271" s="119">
        <f t="shared" si="13"/>
        <v>27</v>
      </c>
      <c r="L271" s="152">
        <f t="shared" si="14"/>
        <v>23.15</v>
      </c>
      <c r="M271" s="113"/>
    </row>
    <row r="272" spans="1:13" x14ac:dyDescent="0.2">
      <c r="A272" s="106" t="s">
        <v>5231</v>
      </c>
      <c r="B272" s="105" t="s">
        <v>2082</v>
      </c>
      <c r="C272" s="105" t="s">
        <v>5391</v>
      </c>
      <c r="D272" s="149" t="s">
        <v>2083</v>
      </c>
      <c r="E272" s="105">
        <v>2</v>
      </c>
      <c r="F272" s="133">
        <v>10.95</v>
      </c>
      <c r="G272" s="133">
        <v>12.75</v>
      </c>
      <c r="H272" s="109">
        <f t="shared" si="12"/>
        <v>25.5</v>
      </c>
      <c r="I272" s="119"/>
      <c r="J272" s="119"/>
      <c r="K272" s="119">
        <f t="shared" si="13"/>
        <v>25.5</v>
      </c>
      <c r="L272" s="152">
        <f t="shared" si="14"/>
        <v>21.9</v>
      </c>
      <c r="M272" s="113"/>
    </row>
    <row r="273" spans="1:13" x14ac:dyDescent="0.2">
      <c r="A273" s="106" t="s">
        <v>5231</v>
      </c>
      <c r="B273" s="105" t="s">
        <v>2786</v>
      </c>
      <c r="C273" s="105" t="s">
        <v>5391</v>
      </c>
      <c r="D273" s="149" t="s">
        <v>2787</v>
      </c>
      <c r="E273" s="105">
        <v>1</v>
      </c>
      <c r="F273" s="133">
        <v>67.88</v>
      </c>
      <c r="G273" s="133">
        <v>78.25</v>
      </c>
      <c r="H273" s="109">
        <f t="shared" si="12"/>
        <v>78.25</v>
      </c>
      <c r="I273" s="119"/>
      <c r="J273" s="119"/>
      <c r="K273" s="119">
        <f t="shared" si="13"/>
        <v>78.25</v>
      </c>
      <c r="L273" s="152">
        <f t="shared" si="14"/>
        <v>67.88</v>
      </c>
      <c r="M273" s="113"/>
    </row>
    <row r="274" spans="1:13" x14ac:dyDescent="0.2">
      <c r="A274" s="106" t="s">
        <v>5413</v>
      </c>
      <c r="B274" s="105" t="s">
        <v>3158</v>
      </c>
      <c r="C274" s="105" t="s">
        <v>5419</v>
      </c>
      <c r="D274" s="149" t="s">
        <v>3159</v>
      </c>
      <c r="E274" s="105">
        <v>1</v>
      </c>
      <c r="F274" s="133">
        <v>1160.3499999999999</v>
      </c>
      <c r="G274" s="133">
        <v>1334.5</v>
      </c>
      <c r="H274" s="109">
        <f t="shared" si="12"/>
        <v>1334.5</v>
      </c>
      <c r="I274" s="119"/>
      <c r="J274" s="119"/>
      <c r="K274" s="119">
        <f t="shared" si="13"/>
        <v>1334.5</v>
      </c>
      <c r="L274" s="152">
        <f t="shared" si="14"/>
        <v>1160.3499999999999</v>
      </c>
      <c r="M274" s="113"/>
    </row>
    <row r="275" spans="1:13" x14ac:dyDescent="0.2">
      <c r="A275" s="106" t="s">
        <v>5413</v>
      </c>
      <c r="B275" s="105" t="s">
        <v>2521</v>
      </c>
      <c r="C275" s="105" t="s">
        <v>5419</v>
      </c>
      <c r="D275" s="149" t="s">
        <v>2522</v>
      </c>
      <c r="E275" s="105">
        <v>45</v>
      </c>
      <c r="F275" s="133">
        <v>6.12</v>
      </c>
      <c r="G275" s="133">
        <v>7.25</v>
      </c>
      <c r="H275" s="109">
        <f t="shared" si="12"/>
        <v>326.25</v>
      </c>
      <c r="I275" s="119"/>
      <c r="J275" s="119"/>
      <c r="K275" s="119">
        <f t="shared" si="13"/>
        <v>326.25</v>
      </c>
      <c r="L275" s="152">
        <f t="shared" si="14"/>
        <v>275.39999999999998</v>
      </c>
      <c r="M275" s="113"/>
    </row>
    <row r="276" spans="1:13" x14ac:dyDescent="0.2">
      <c r="A276" s="106" t="s">
        <v>5413</v>
      </c>
      <c r="B276" s="105" t="s">
        <v>3326</v>
      </c>
      <c r="C276" s="105" t="s">
        <v>5419</v>
      </c>
      <c r="D276" s="149" t="s">
        <v>3327</v>
      </c>
      <c r="E276" s="105">
        <v>29</v>
      </c>
      <c r="F276" s="133">
        <v>6.02</v>
      </c>
      <c r="G276" s="133">
        <v>7.25</v>
      </c>
      <c r="H276" s="109">
        <f t="shared" si="12"/>
        <v>210.25</v>
      </c>
      <c r="I276" s="119"/>
      <c r="J276" s="119"/>
      <c r="K276" s="119">
        <f t="shared" si="13"/>
        <v>210.25</v>
      </c>
      <c r="L276" s="152">
        <f t="shared" si="14"/>
        <v>174.57999999999998</v>
      </c>
      <c r="M276" s="113"/>
    </row>
    <row r="277" spans="1:13" x14ac:dyDescent="0.2">
      <c r="A277" s="106" t="s">
        <v>5413</v>
      </c>
      <c r="B277" s="105" t="s">
        <v>2707</v>
      </c>
      <c r="C277" s="105" t="s">
        <v>5419</v>
      </c>
      <c r="D277" s="149" t="s">
        <v>2709</v>
      </c>
      <c r="E277" s="105">
        <v>1</v>
      </c>
      <c r="F277" s="133">
        <v>250.75</v>
      </c>
      <c r="G277" s="133">
        <v>288.5</v>
      </c>
      <c r="H277" s="109">
        <f t="shared" si="12"/>
        <v>288.5</v>
      </c>
      <c r="I277" s="119"/>
      <c r="J277" s="119"/>
      <c r="K277" s="119">
        <f t="shared" si="13"/>
        <v>288.5</v>
      </c>
      <c r="L277" s="152">
        <f t="shared" si="14"/>
        <v>250.75</v>
      </c>
      <c r="M277" s="113"/>
    </row>
    <row r="278" spans="1:13" x14ac:dyDescent="0.2">
      <c r="A278" s="106" t="s">
        <v>5413</v>
      </c>
      <c r="B278" s="105" t="s">
        <v>2581</v>
      </c>
      <c r="C278" s="105" t="s">
        <v>5419</v>
      </c>
      <c r="D278" s="149" t="s">
        <v>2583</v>
      </c>
      <c r="E278" s="105">
        <v>24</v>
      </c>
      <c r="F278" s="133">
        <v>6.02</v>
      </c>
      <c r="G278" s="133">
        <v>7.25</v>
      </c>
      <c r="H278" s="109">
        <f t="shared" si="12"/>
        <v>174</v>
      </c>
      <c r="I278" s="119"/>
      <c r="J278" s="119"/>
      <c r="K278" s="119">
        <f t="shared" si="13"/>
        <v>174</v>
      </c>
      <c r="L278" s="152">
        <f t="shared" si="14"/>
        <v>144.47999999999999</v>
      </c>
      <c r="M278" s="113"/>
    </row>
    <row r="279" spans="1:13" x14ac:dyDescent="0.2">
      <c r="A279" s="106" t="s">
        <v>5413</v>
      </c>
      <c r="B279" s="105" t="s">
        <v>3050</v>
      </c>
      <c r="C279" s="105" t="s">
        <v>5419</v>
      </c>
      <c r="D279" s="149" t="s">
        <v>3051</v>
      </c>
      <c r="E279" s="105">
        <v>24</v>
      </c>
      <c r="F279" s="133">
        <v>6.02</v>
      </c>
      <c r="G279" s="133">
        <v>7.25</v>
      </c>
      <c r="H279" s="109">
        <f t="shared" si="12"/>
        <v>174</v>
      </c>
      <c r="I279" s="119"/>
      <c r="J279" s="119"/>
      <c r="K279" s="119">
        <f t="shared" si="13"/>
        <v>174</v>
      </c>
      <c r="L279" s="152">
        <f t="shared" si="14"/>
        <v>144.47999999999999</v>
      </c>
      <c r="M279" s="113"/>
    </row>
    <row r="280" spans="1:13" x14ac:dyDescent="0.2">
      <c r="A280" s="106" t="s">
        <v>5413</v>
      </c>
      <c r="B280" s="105" t="s">
        <v>3825</v>
      </c>
      <c r="C280" s="105" t="s">
        <v>5419</v>
      </c>
      <c r="D280" s="149" t="s">
        <v>3827</v>
      </c>
      <c r="E280" s="105">
        <v>2</v>
      </c>
      <c r="F280" s="133">
        <v>63.2</v>
      </c>
      <c r="G280" s="133">
        <v>72.75</v>
      </c>
      <c r="H280" s="109">
        <f t="shared" si="12"/>
        <v>145.5</v>
      </c>
      <c r="I280" s="119"/>
      <c r="J280" s="119"/>
      <c r="K280" s="119">
        <f t="shared" si="13"/>
        <v>145.5</v>
      </c>
      <c r="L280" s="152">
        <f t="shared" si="14"/>
        <v>126.4</v>
      </c>
      <c r="M280" s="113"/>
    </row>
    <row r="281" spans="1:13" x14ac:dyDescent="0.2">
      <c r="A281" s="106" t="s">
        <v>5413</v>
      </c>
      <c r="B281" s="105" t="s">
        <v>3043</v>
      </c>
      <c r="C281" s="105" t="s">
        <v>5419</v>
      </c>
      <c r="D281" s="149" t="s">
        <v>3044</v>
      </c>
      <c r="E281" s="105">
        <v>2</v>
      </c>
      <c r="F281" s="133">
        <v>301.87</v>
      </c>
      <c r="G281" s="133">
        <v>347.25</v>
      </c>
      <c r="H281" s="109">
        <f t="shared" si="12"/>
        <v>694.5</v>
      </c>
      <c r="I281" s="119"/>
      <c r="J281" s="119"/>
      <c r="K281" s="119">
        <f t="shared" si="13"/>
        <v>694.5</v>
      </c>
      <c r="L281" s="152">
        <f t="shared" si="14"/>
        <v>603.74</v>
      </c>
      <c r="M281" s="113"/>
    </row>
    <row r="282" spans="1:13" x14ac:dyDescent="0.2">
      <c r="A282" s="106" t="s">
        <v>5413</v>
      </c>
      <c r="B282" s="105" t="s">
        <v>3039</v>
      </c>
      <c r="C282" s="105" t="s">
        <v>5419</v>
      </c>
      <c r="D282" s="149" t="s">
        <v>3040</v>
      </c>
      <c r="E282" s="105">
        <v>1</v>
      </c>
      <c r="F282" s="133">
        <v>1670</v>
      </c>
      <c r="G282" s="133">
        <v>1920.5</v>
      </c>
      <c r="H282" s="109">
        <f t="shared" si="12"/>
        <v>1920.5</v>
      </c>
      <c r="I282" s="119"/>
      <c r="J282" s="119"/>
      <c r="K282" s="119">
        <f t="shared" si="13"/>
        <v>1920.5</v>
      </c>
      <c r="L282" s="152">
        <f t="shared" si="14"/>
        <v>1670</v>
      </c>
      <c r="M282" s="113"/>
    </row>
    <row r="283" spans="1:13" x14ac:dyDescent="0.2">
      <c r="A283" s="106" t="s">
        <v>5413</v>
      </c>
      <c r="B283" s="105" t="s">
        <v>3457</v>
      </c>
      <c r="C283" s="105" t="s">
        <v>5419</v>
      </c>
      <c r="D283" s="149" t="s">
        <v>3458</v>
      </c>
      <c r="E283" s="105">
        <v>2</v>
      </c>
      <c r="F283" s="133">
        <v>51.97</v>
      </c>
      <c r="G283" s="133">
        <v>60</v>
      </c>
      <c r="H283" s="109">
        <f t="shared" si="12"/>
        <v>120</v>
      </c>
      <c r="I283" s="119"/>
      <c r="J283" s="119"/>
      <c r="K283" s="119">
        <f t="shared" si="13"/>
        <v>120</v>
      </c>
      <c r="L283" s="152">
        <f t="shared" si="14"/>
        <v>103.94</v>
      </c>
      <c r="M283" s="113"/>
    </row>
    <row r="284" spans="1:13" x14ac:dyDescent="0.2">
      <c r="A284" s="106" t="s">
        <v>5413</v>
      </c>
      <c r="B284" s="105" t="s">
        <v>2798</v>
      </c>
      <c r="C284" s="105" t="s">
        <v>5419</v>
      </c>
      <c r="D284" s="149" t="s">
        <v>2800</v>
      </c>
      <c r="E284" s="105">
        <v>2</v>
      </c>
      <c r="F284" s="133">
        <v>51.97</v>
      </c>
      <c r="G284" s="133">
        <v>60</v>
      </c>
      <c r="H284" s="109">
        <f t="shared" si="12"/>
        <v>120</v>
      </c>
      <c r="I284" s="119"/>
      <c r="J284" s="119"/>
      <c r="K284" s="119">
        <f t="shared" si="13"/>
        <v>120</v>
      </c>
      <c r="L284" s="152">
        <f t="shared" si="14"/>
        <v>103.94</v>
      </c>
      <c r="M284" s="113"/>
    </row>
    <row r="285" spans="1:13" x14ac:dyDescent="0.2">
      <c r="A285" s="106" t="s">
        <v>5413</v>
      </c>
      <c r="B285" s="105" t="s">
        <v>3047</v>
      </c>
      <c r="C285" s="105" t="s">
        <v>5419</v>
      </c>
      <c r="D285" s="149" t="s">
        <v>3048</v>
      </c>
      <c r="E285" s="105">
        <v>4</v>
      </c>
      <c r="F285" s="133">
        <v>35.68</v>
      </c>
      <c r="G285" s="133">
        <v>41.25</v>
      </c>
      <c r="H285" s="109">
        <f t="shared" si="12"/>
        <v>165</v>
      </c>
      <c r="I285" s="119"/>
      <c r="J285" s="119"/>
      <c r="K285" s="119">
        <f t="shared" si="13"/>
        <v>165</v>
      </c>
      <c r="L285" s="152">
        <f t="shared" si="14"/>
        <v>142.72</v>
      </c>
      <c r="M285" s="113"/>
    </row>
    <row r="286" spans="1:13" x14ac:dyDescent="0.2">
      <c r="A286" s="106" t="s">
        <v>5413</v>
      </c>
      <c r="B286" s="105" t="s">
        <v>2298</v>
      </c>
      <c r="C286" s="105" t="s">
        <v>5419</v>
      </c>
      <c r="D286" s="149" t="s">
        <v>2299</v>
      </c>
      <c r="E286" s="105">
        <v>4</v>
      </c>
      <c r="F286" s="133">
        <v>20.8</v>
      </c>
      <c r="G286" s="133">
        <v>24</v>
      </c>
      <c r="H286" s="109">
        <f t="shared" si="12"/>
        <v>96</v>
      </c>
      <c r="I286" s="119"/>
      <c r="J286" s="119"/>
      <c r="K286" s="119">
        <f t="shared" si="13"/>
        <v>96</v>
      </c>
      <c r="L286" s="152">
        <f t="shared" si="14"/>
        <v>83.2</v>
      </c>
      <c r="M286" s="113"/>
    </row>
    <row r="287" spans="1:13" x14ac:dyDescent="0.2">
      <c r="A287" s="106" t="s">
        <v>5413</v>
      </c>
      <c r="B287" s="105" t="s">
        <v>3765</v>
      </c>
      <c r="C287" s="105" t="s">
        <v>5419</v>
      </c>
      <c r="D287" s="149" t="s">
        <v>3766</v>
      </c>
      <c r="E287" s="105">
        <v>5</v>
      </c>
      <c r="F287" s="133">
        <v>68.569999999999993</v>
      </c>
      <c r="G287" s="133">
        <v>79</v>
      </c>
      <c r="H287" s="109">
        <f t="shared" si="12"/>
        <v>395</v>
      </c>
      <c r="I287" s="119"/>
      <c r="J287" s="119"/>
      <c r="K287" s="119">
        <f t="shared" si="13"/>
        <v>395</v>
      </c>
      <c r="L287" s="152">
        <f t="shared" si="14"/>
        <v>342.84999999999997</v>
      </c>
      <c r="M287" s="113"/>
    </row>
    <row r="288" spans="1:13" x14ac:dyDescent="0.2">
      <c r="A288" s="106" t="s">
        <v>5413</v>
      </c>
      <c r="B288" s="105" t="s">
        <v>2301</v>
      </c>
      <c r="C288" s="105" t="s">
        <v>5419</v>
      </c>
      <c r="D288" s="149" t="s">
        <v>2302</v>
      </c>
      <c r="E288" s="105">
        <v>2</v>
      </c>
      <c r="F288" s="133">
        <v>132.80000000000001</v>
      </c>
      <c r="G288" s="133">
        <v>152.75</v>
      </c>
      <c r="H288" s="109">
        <f t="shared" si="12"/>
        <v>305.5</v>
      </c>
      <c r="I288" s="119"/>
      <c r="J288" s="119"/>
      <c r="K288" s="119">
        <f t="shared" si="13"/>
        <v>305.5</v>
      </c>
      <c r="L288" s="152">
        <f t="shared" si="14"/>
        <v>265.60000000000002</v>
      </c>
      <c r="M288" s="113"/>
    </row>
    <row r="289" spans="1:13" x14ac:dyDescent="0.2">
      <c r="A289" s="106" t="s">
        <v>5413</v>
      </c>
      <c r="B289" s="105" t="s">
        <v>3443</v>
      </c>
      <c r="C289" s="105" t="s">
        <v>5419</v>
      </c>
      <c r="D289" s="149" t="s">
        <v>3444</v>
      </c>
      <c r="E289" s="105">
        <v>1</v>
      </c>
      <c r="F289" s="133">
        <v>89.91</v>
      </c>
      <c r="G289" s="133">
        <v>103.5</v>
      </c>
      <c r="H289" s="109">
        <f t="shared" si="12"/>
        <v>103.5</v>
      </c>
      <c r="I289" s="119"/>
      <c r="J289" s="119"/>
      <c r="K289" s="119">
        <f t="shared" si="13"/>
        <v>103.5</v>
      </c>
      <c r="L289" s="152">
        <f t="shared" si="14"/>
        <v>89.91</v>
      </c>
      <c r="M289" s="113"/>
    </row>
    <row r="290" spans="1:13" x14ac:dyDescent="0.2">
      <c r="A290" s="106" t="s">
        <v>5413</v>
      </c>
      <c r="B290" s="105" t="s">
        <v>2367</v>
      </c>
      <c r="C290" s="105" t="s">
        <v>5419</v>
      </c>
      <c r="D290" s="149" t="s">
        <v>2369</v>
      </c>
      <c r="E290" s="105">
        <v>6</v>
      </c>
      <c r="F290" s="133">
        <v>6.38</v>
      </c>
      <c r="G290" s="133">
        <v>7.5</v>
      </c>
      <c r="H290" s="109">
        <f t="shared" si="12"/>
        <v>45</v>
      </c>
      <c r="I290" s="119"/>
      <c r="J290" s="119"/>
      <c r="K290" s="119">
        <f t="shared" si="13"/>
        <v>45</v>
      </c>
      <c r="L290" s="152">
        <f t="shared" si="14"/>
        <v>38.28</v>
      </c>
      <c r="M290" s="113"/>
    </row>
    <row r="291" spans="1:13" x14ac:dyDescent="0.2">
      <c r="A291" s="106" t="s">
        <v>5413</v>
      </c>
      <c r="B291" s="105" t="s">
        <v>3169</v>
      </c>
      <c r="C291" s="105" t="s">
        <v>5419</v>
      </c>
      <c r="D291" s="149" t="s">
        <v>3170</v>
      </c>
      <c r="E291" s="105">
        <v>4</v>
      </c>
      <c r="F291" s="133">
        <v>5.41</v>
      </c>
      <c r="G291" s="133">
        <v>6.25</v>
      </c>
      <c r="H291" s="109">
        <f t="shared" si="12"/>
        <v>25</v>
      </c>
      <c r="I291" s="119"/>
      <c r="J291" s="119"/>
      <c r="K291" s="119">
        <f t="shared" si="13"/>
        <v>25</v>
      </c>
      <c r="L291" s="152">
        <f t="shared" si="14"/>
        <v>21.64</v>
      </c>
      <c r="M291" s="113"/>
    </row>
    <row r="292" spans="1:13" x14ac:dyDescent="0.2">
      <c r="A292" s="106" t="s">
        <v>5413</v>
      </c>
      <c r="B292" s="105" t="s">
        <v>1924</v>
      </c>
      <c r="C292" s="105" t="s">
        <v>5420</v>
      </c>
      <c r="D292" s="149" t="s">
        <v>1926</v>
      </c>
      <c r="E292" s="105">
        <v>1</v>
      </c>
      <c r="F292" s="133">
        <v>10.64</v>
      </c>
      <c r="G292" s="133">
        <v>12.25</v>
      </c>
      <c r="H292" s="109">
        <f t="shared" si="12"/>
        <v>12.25</v>
      </c>
      <c r="I292" s="119"/>
      <c r="J292" s="119"/>
      <c r="K292" s="119">
        <f t="shared" si="13"/>
        <v>12.25</v>
      </c>
      <c r="L292" s="152">
        <f t="shared" si="14"/>
        <v>10.64</v>
      </c>
      <c r="M292" s="113"/>
    </row>
    <row r="293" spans="1:13" x14ac:dyDescent="0.2">
      <c r="A293" s="106" t="s">
        <v>5413</v>
      </c>
      <c r="B293" s="105" t="s">
        <v>3446</v>
      </c>
      <c r="C293" s="105" t="s">
        <v>5420</v>
      </c>
      <c r="D293" s="149" t="s">
        <v>3447</v>
      </c>
      <c r="E293" s="105">
        <v>1</v>
      </c>
      <c r="F293" s="133">
        <v>33.75</v>
      </c>
      <c r="G293" s="133">
        <v>39</v>
      </c>
      <c r="H293" s="109">
        <f t="shared" si="12"/>
        <v>39</v>
      </c>
      <c r="I293" s="119"/>
      <c r="J293" s="119"/>
      <c r="K293" s="119">
        <f t="shared" si="13"/>
        <v>39</v>
      </c>
      <c r="L293" s="152">
        <f t="shared" si="14"/>
        <v>33.75</v>
      </c>
      <c r="M293" s="113"/>
    </row>
    <row r="294" spans="1:13" x14ac:dyDescent="0.2">
      <c r="A294" s="106" t="s">
        <v>5413</v>
      </c>
      <c r="B294" s="105" t="s">
        <v>2423</v>
      </c>
      <c r="C294" s="105" t="s">
        <v>5420</v>
      </c>
      <c r="D294" s="149" t="s">
        <v>2425</v>
      </c>
      <c r="E294" s="105">
        <v>1</v>
      </c>
      <c r="F294" s="133">
        <v>18.53</v>
      </c>
      <c r="G294" s="133">
        <v>21.5</v>
      </c>
      <c r="H294" s="109">
        <f t="shared" si="12"/>
        <v>21.5</v>
      </c>
      <c r="I294" s="119"/>
      <c r="J294" s="119"/>
      <c r="K294" s="119">
        <f t="shared" si="13"/>
        <v>21.5</v>
      </c>
      <c r="L294" s="152">
        <f t="shared" si="14"/>
        <v>18.53</v>
      </c>
      <c r="M294" s="113"/>
    </row>
    <row r="295" spans="1:13" x14ac:dyDescent="0.2">
      <c r="A295" s="106" t="s">
        <v>5413</v>
      </c>
      <c r="B295" s="105" t="s">
        <v>4567</v>
      </c>
      <c r="C295" s="105" t="s">
        <v>5421</v>
      </c>
      <c r="D295" s="149" t="s">
        <v>4672</v>
      </c>
      <c r="E295" s="105">
        <v>2</v>
      </c>
      <c r="F295" s="133">
        <v>7.06</v>
      </c>
      <c r="G295" s="133">
        <v>8.25</v>
      </c>
      <c r="H295" s="109">
        <f t="shared" si="12"/>
        <v>16.5</v>
      </c>
      <c r="I295" s="119"/>
      <c r="J295" s="119"/>
      <c r="K295" s="119">
        <f t="shared" si="13"/>
        <v>16.5</v>
      </c>
      <c r="L295" s="152">
        <f t="shared" si="14"/>
        <v>14.12</v>
      </c>
      <c r="M295" s="113"/>
    </row>
    <row r="296" spans="1:13" x14ac:dyDescent="0.2">
      <c r="A296" s="106" t="s">
        <v>5413</v>
      </c>
      <c r="B296" s="105" t="s">
        <v>4327</v>
      </c>
      <c r="C296" s="105" t="s">
        <v>5422</v>
      </c>
      <c r="D296" s="149" t="s">
        <v>4357</v>
      </c>
      <c r="E296" s="105">
        <v>1</v>
      </c>
      <c r="F296" s="133">
        <v>145.18</v>
      </c>
      <c r="G296" s="133">
        <v>167</v>
      </c>
      <c r="H296" s="109">
        <f t="shared" si="12"/>
        <v>167</v>
      </c>
      <c r="I296" s="119"/>
      <c r="J296" s="119"/>
      <c r="K296" s="119">
        <f t="shared" si="13"/>
        <v>167</v>
      </c>
      <c r="L296" s="152">
        <f t="shared" si="14"/>
        <v>145.18</v>
      </c>
      <c r="M296" s="113"/>
    </row>
    <row r="297" spans="1:13" x14ac:dyDescent="0.2">
      <c r="A297" s="106" t="s">
        <v>5413</v>
      </c>
      <c r="B297" s="105" t="s">
        <v>4806</v>
      </c>
      <c r="C297" s="105" t="s">
        <v>5423</v>
      </c>
      <c r="D297" s="149" t="s">
        <v>4874</v>
      </c>
      <c r="E297" s="105">
        <v>3</v>
      </c>
      <c r="F297" s="133">
        <v>8.58</v>
      </c>
      <c r="G297" s="133">
        <v>10</v>
      </c>
      <c r="H297" s="109">
        <f t="shared" si="12"/>
        <v>30</v>
      </c>
      <c r="I297" s="119"/>
      <c r="J297" s="119"/>
      <c r="K297" s="119">
        <f t="shared" si="13"/>
        <v>30</v>
      </c>
      <c r="L297" s="152">
        <f t="shared" si="14"/>
        <v>25.740000000000002</v>
      </c>
      <c r="M297" s="113"/>
    </row>
    <row r="298" spans="1:13" x14ac:dyDescent="0.2">
      <c r="A298" s="106" t="s">
        <v>5413</v>
      </c>
      <c r="B298" s="105" t="s">
        <v>2977</v>
      </c>
      <c r="C298" s="105" t="s">
        <v>5423</v>
      </c>
      <c r="D298" s="149" t="s">
        <v>2978</v>
      </c>
      <c r="E298" s="105">
        <v>2</v>
      </c>
      <c r="F298" s="133">
        <v>24.04</v>
      </c>
      <c r="G298" s="133">
        <v>27.75</v>
      </c>
      <c r="H298" s="109">
        <f t="shared" si="12"/>
        <v>55.5</v>
      </c>
      <c r="I298" s="119"/>
      <c r="J298" s="119"/>
      <c r="K298" s="119">
        <f t="shared" si="13"/>
        <v>55.5</v>
      </c>
      <c r="L298" s="152">
        <f t="shared" si="14"/>
        <v>48.08</v>
      </c>
      <c r="M298" s="113"/>
    </row>
    <row r="299" spans="1:13" x14ac:dyDescent="0.2">
      <c r="A299" s="106" t="s">
        <v>5413</v>
      </c>
      <c r="B299" s="105" t="s">
        <v>4199</v>
      </c>
      <c r="C299" s="105" t="s">
        <v>5424</v>
      </c>
      <c r="D299" s="149" t="s">
        <v>4200</v>
      </c>
      <c r="E299" s="105">
        <v>1</v>
      </c>
      <c r="F299" s="133">
        <v>24.24</v>
      </c>
      <c r="G299" s="133">
        <v>29.25</v>
      </c>
      <c r="H299" s="109">
        <f t="shared" si="12"/>
        <v>29.25</v>
      </c>
      <c r="I299" s="119"/>
      <c r="J299" s="119"/>
      <c r="K299" s="119">
        <f t="shared" si="13"/>
        <v>29.25</v>
      </c>
      <c r="L299" s="152">
        <f t="shared" si="14"/>
        <v>24.24</v>
      </c>
      <c r="M299" s="113"/>
    </row>
    <row r="300" spans="1:13" x14ac:dyDescent="0.2">
      <c r="A300" s="106" t="s">
        <v>5413</v>
      </c>
      <c r="B300" s="105" t="s">
        <v>2438</v>
      </c>
      <c r="C300" s="105" t="s">
        <v>5424</v>
      </c>
      <c r="D300" s="149" t="s">
        <v>2440</v>
      </c>
      <c r="E300" s="105">
        <v>1</v>
      </c>
      <c r="F300" s="133">
        <v>15.12</v>
      </c>
      <c r="G300" s="133">
        <v>17.5</v>
      </c>
      <c r="H300" s="109">
        <f t="shared" si="12"/>
        <v>17.5</v>
      </c>
      <c r="I300" s="119"/>
      <c r="J300" s="119"/>
      <c r="K300" s="119">
        <f t="shared" si="13"/>
        <v>17.5</v>
      </c>
      <c r="L300" s="152">
        <f t="shared" si="14"/>
        <v>15.12</v>
      </c>
      <c r="M300" s="113"/>
    </row>
    <row r="301" spans="1:13" x14ac:dyDescent="0.2">
      <c r="A301" s="106" t="s">
        <v>5413</v>
      </c>
      <c r="B301" s="105" t="s">
        <v>1977</v>
      </c>
      <c r="C301" s="105" t="s">
        <v>5425</v>
      </c>
      <c r="D301" s="149" t="s">
        <v>1979</v>
      </c>
      <c r="E301" s="105">
        <v>5</v>
      </c>
      <c r="F301" s="133">
        <v>0.76</v>
      </c>
      <c r="G301" s="133">
        <v>1</v>
      </c>
      <c r="H301" s="109">
        <f t="shared" si="12"/>
        <v>5</v>
      </c>
      <c r="I301" s="119"/>
      <c r="J301" s="119"/>
      <c r="K301" s="119">
        <f t="shared" si="13"/>
        <v>5</v>
      </c>
      <c r="L301" s="152">
        <f t="shared" si="14"/>
        <v>3.8</v>
      </c>
      <c r="M301" s="113"/>
    </row>
    <row r="302" spans="1:13" x14ac:dyDescent="0.2">
      <c r="A302" s="106" t="s">
        <v>5413</v>
      </c>
      <c r="B302" s="105" t="s">
        <v>2872</v>
      </c>
      <c r="C302" s="105" t="s">
        <v>5426</v>
      </c>
      <c r="D302" s="149" t="s">
        <v>2873</v>
      </c>
      <c r="E302" s="105">
        <v>1</v>
      </c>
      <c r="F302" s="133">
        <v>4.4800000000000004</v>
      </c>
      <c r="G302" s="133">
        <v>5.25</v>
      </c>
      <c r="H302" s="109">
        <f t="shared" si="12"/>
        <v>5.25</v>
      </c>
      <c r="I302" s="119"/>
      <c r="J302" s="119"/>
      <c r="K302" s="119">
        <f t="shared" si="13"/>
        <v>5.25</v>
      </c>
      <c r="L302" s="152">
        <f t="shared" si="14"/>
        <v>4.4800000000000004</v>
      </c>
      <c r="M302" s="113"/>
    </row>
    <row r="303" spans="1:13" x14ac:dyDescent="0.2">
      <c r="A303" s="106" t="s">
        <v>5413</v>
      </c>
      <c r="B303" s="105" t="s">
        <v>3437</v>
      </c>
      <c r="C303" s="105" t="s">
        <v>5427</v>
      </c>
      <c r="D303" s="149" t="s">
        <v>3439</v>
      </c>
      <c r="E303" s="105">
        <v>1</v>
      </c>
      <c r="F303" s="133">
        <v>13.12</v>
      </c>
      <c r="G303" s="133">
        <v>15.25</v>
      </c>
      <c r="H303" s="109">
        <f t="shared" si="12"/>
        <v>15.25</v>
      </c>
      <c r="I303" s="119"/>
      <c r="J303" s="119"/>
      <c r="K303" s="119">
        <f t="shared" si="13"/>
        <v>15.25</v>
      </c>
      <c r="L303" s="152">
        <f t="shared" si="14"/>
        <v>13.12</v>
      </c>
      <c r="M303" s="113"/>
    </row>
    <row r="304" spans="1:13" x14ac:dyDescent="0.2">
      <c r="A304" s="106" t="s">
        <v>5413</v>
      </c>
      <c r="B304" s="105" t="s">
        <v>5414</v>
      </c>
      <c r="C304" s="105" t="s">
        <v>5428</v>
      </c>
      <c r="D304" s="149" t="s">
        <v>5465</v>
      </c>
      <c r="E304" s="105">
        <v>1</v>
      </c>
      <c r="F304" s="133">
        <v>125</v>
      </c>
      <c r="G304" s="133">
        <v>137.5</v>
      </c>
      <c r="H304" s="109">
        <f t="shared" si="12"/>
        <v>137.5</v>
      </c>
      <c r="I304" s="119"/>
      <c r="J304" s="119"/>
      <c r="K304" s="119">
        <f t="shared" si="13"/>
        <v>137.5</v>
      </c>
      <c r="L304" s="152">
        <f t="shared" si="14"/>
        <v>125</v>
      </c>
      <c r="M304" s="113"/>
    </row>
    <row r="305" spans="1:13" x14ac:dyDescent="0.2">
      <c r="A305" s="106" t="s">
        <v>5413</v>
      </c>
      <c r="B305" s="105" t="s">
        <v>5240</v>
      </c>
      <c r="C305" s="105" t="s">
        <v>5429</v>
      </c>
      <c r="D305" s="149" t="s">
        <v>5400</v>
      </c>
      <c r="E305" s="105">
        <v>4</v>
      </c>
      <c r="F305" s="133">
        <v>26</v>
      </c>
      <c r="G305" s="133">
        <v>30</v>
      </c>
      <c r="H305" s="109">
        <f t="shared" si="12"/>
        <v>120</v>
      </c>
      <c r="I305" s="119"/>
      <c r="J305" s="119"/>
      <c r="K305" s="119">
        <f t="shared" si="13"/>
        <v>120</v>
      </c>
      <c r="L305" s="152">
        <f t="shared" si="14"/>
        <v>104</v>
      </c>
      <c r="M305" s="113"/>
    </row>
    <row r="306" spans="1:13" x14ac:dyDescent="0.2">
      <c r="A306" s="106" t="s">
        <v>5413</v>
      </c>
      <c r="B306" s="105" t="s">
        <v>3721</v>
      </c>
      <c r="C306" s="105" t="s">
        <v>5430</v>
      </c>
      <c r="D306" s="149" t="s">
        <v>3723</v>
      </c>
      <c r="E306" s="105">
        <v>1</v>
      </c>
      <c r="F306" s="133">
        <v>42.87</v>
      </c>
      <c r="G306" s="133">
        <v>49.5</v>
      </c>
      <c r="H306" s="109">
        <f t="shared" si="12"/>
        <v>49.5</v>
      </c>
      <c r="I306" s="119"/>
      <c r="J306" s="119"/>
      <c r="K306" s="119">
        <f t="shared" si="13"/>
        <v>49.5</v>
      </c>
      <c r="L306" s="152">
        <f t="shared" si="14"/>
        <v>42.87</v>
      </c>
      <c r="M306" s="113"/>
    </row>
    <row r="307" spans="1:13" x14ac:dyDescent="0.2">
      <c r="A307" s="106" t="s">
        <v>5413</v>
      </c>
      <c r="B307" s="105" t="s">
        <v>4083</v>
      </c>
      <c r="C307" s="105" t="s">
        <v>5431</v>
      </c>
      <c r="D307" s="149" t="s">
        <v>4084</v>
      </c>
      <c r="E307" s="105">
        <v>1</v>
      </c>
      <c r="F307" s="133">
        <v>200.03</v>
      </c>
      <c r="G307" s="133">
        <v>230</v>
      </c>
      <c r="H307" s="109">
        <f t="shared" si="12"/>
        <v>230</v>
      </c>
      <c r="I307" s="119"/>
      <c r="J307" s="119"/>
      <c r="K307" s="119">
        <f t="shared" si="13"/>
        <v>230</v>
      </c>
      <c r="L307" s="152">
        <f t="shared" si="14"/>
        <v>200.03</v>
      </c>
      <c r="M307" s="113"/>
    </row>
    <row r="308" spans="1:13" x14ac:dyDescent="0.2">
      <c r="A308" s="106" t="s">
        <v>5413</v>
      </c>
      <c r="B308" s="105" t="s">
        <v>1929</v>
      </c>
      <c r="C308" s="105" t="s">
        <v>5431</v>
      </c>
      <c r="D308" s="149" t="s">
        <v>1930</v>
      </c>
      <c r="E308" s="105">
        <v>4</v>
      </c>
      <c r="F308" s="133">
        <v>13.92</v>
      </c>
      <c r="G308" s="133">
        <v>22</v>
      </c>
      <c r="H308" s="109">
        <f t="shared" si="12"/>
        <v>88</v>
      </c>
      <c r="I308" s="119"/>
      <c r="J308" s="119"/>
      <c r="K308" s="119">
        <f t="shared" si="13"/>
        <v>88</v>
      </c>
      <c r="L308" s="152">
        <f t="shared" si="14"/>
        <v>55.68</v>
      </c>
      <c r="M308" s="113"/>
    </row>
    <row r="309" spans="1:13" x14ac:dyDescent="0.2">
      <c r="A309" s="106" t="s">
        <v>5413</v>
      </c>
      <c r="B309" s="105" t="s">
        <v>4806</v>
      </c>
      <c r="C309" s="105" t="s">
        <v>5431</v>
      </c>
      <c r="D309" s="149" t="s">
        <v>4874</v>
      </c>
      <c r="E309" s="105">
        <v>12</v>
      </c>
      <c r="F309" s="133">
        <v>8.58</v>
      </c>
      <c r="G309" s="133">
        <v>10</v>
      </c>
      <c r="H309" s="109">
        <f t="shared" si="12"/>
        <v>120</v>
      </c>
      <c r="I309" s="119"/>
      <c r="J309" s="119"/>
      <c r="K309" s="119">
        <f t="shared" si="13"/>
        <v>120</v>
      </c>
      <c r="L309" s="152">
        <f t="shared" si="14"/>
        <v>102.96000000000001</v>
      </c>
      <c r="M309" s="113"/>
    </row>
    <row r="310" spans="1:13" x14ac:dyDescent="0.2">
      <c r="A310" s="106" t="s">
        <v>5413</v>
      </c>
      <c r="B310" s="105" t="s">
        <v>5415</v>
      </c>
      <c r="C310" s="105" t="s">
        <v>5432</v>
      </c>
      <c r="D310" s="149" t="s">
        <v>5466</v>
      </c>
      <c r="E310" s="105">
        <v>2</v>
      </c>
      <c r="F310" s="133">
        <v>3.7</v>
      </c>
      <c r="G310" s="133">
        <v>5</v>
      </c>
      <c r="H310" s="109">
        <f t="shared" si="12"/>
        <v>10</v>
      </c>
      <c r="I310" s="119"/>
      <c r="J310" s="119"/>
      <c r="K310" s="119">
        <f t="shared" si="13"/>
        <v>10</v>
      </c>
      <c r="L310" s="152">
        <f t="shared" si="14"/>
        <v>7.4</v>
      </c>
      <c r="M310" s="113"/>
    </row>
    <row r="311" spans="1:13" x14ac:dyDescent="0.2">
      <c r="A311" s="106" t="s">
        <v>5413</v>
      </c>
      <c r="B311" s="105" t="s">
        <v>4806</v>
      </c>
      <c r="C311" s="105" t="s">
        <v>5433</v>
      </c>
      <c r="D311" s="149" t="s">
        <v>4874</v>
      </c>
      <c r="E311" s="105">
        <v>2</v>
      </c>
      <c r="F311" s="133">
        <v>8.58</v>
      </c>
      <c r="G311" s="133">
        <v>10</v>
      </c>
      <c r="H311" s="109">
        <f t="shared" si="12"/>
        <v>20</v>
      </c>
      <c r="I311" s="119"/>
      <c r="J311" s="119"/>
      <c r="K311" s="119">
        <f t="shared" si="13"/>
        <v>20</v>
      </c>
      <c r="L311" s="152">
        <f t="shared" si="14"/>
        <v>17.16</v>
      </c>
      <c r="M311" s="113"/>
    </row>
    <row r="312" spans="1:13" x14ac:dyDescent="0.2">
      <c r="A312" s="106" t="s">
        <v>5413</v>
      </c>
      <c r="B312" s="105" t="s">
        <v>1915</v>
      </c>
      <c r="C312" s="105" t="s">
        <v>5433</v>
      </c>
      <c r="D312" s="149" t="s">
        <v>1917</v>
      </c>
      <c r="E312" s="105">
        <v>1</v>
      </c>
      <c r="F312" s="133">
        <v>7.85</v>
      </c>
      <c r="G312" s="133">
        <v>12</v>
      </c>
      <c r="H312" s="109">
        <f t="shared" si="12"/>
        <v>12</v>
      </c>
      <c r="I312" s="119"/>
      <c r="J312" s="119"/>
      <c r="K312" s="119">
        <f t="shared" si="13"/>
        <v>12</v>
      </c>
      <c r="L312" s="152">
        <f t="shared" si="14"/>
        <v>7.85</v>
      </c>
      <c r="M312" s="113"/>
    </row>
    <row r="313" spans="1:13" x14ac:dyDescent="0.2">
      <c r="A313" s="106" t="s">
        <v>5413</v>
      </c>
      <c r="B313" s="105" t="s">
        <v>1826</v>
      </c>
      <c r="C313" s="105" t="s">
        <v>5434</v>
      </c>
      <c r="D313" s="149" t="s">
        <v>1827</v>
      </c>
      <c r="E313" s="105">
        <v>1</v>
      </c>
      <c r="F313" s="133">
        <v>90</v>
      </c>
      <c r="G313" s="133">
        <v>120</v>
      </c>
      <c r="H313" s="109">
        <f t="shared" si="12"/>
        <v>120</v>
      </c>
      <c r="I313" s="119"/>
      <c r="J313" s="119"/>
      <c r="K313" s="119">
        <f t="shared" si="13"/>
        <v>120</v>
      </c>
      <c r="L313" s="152">
        <f t="shared" si="14"/>
        <v>90</v>
      </c>
      <c r="M313" s="113"/>
    </row>
    <row r="314" spans="1:13" x14ac:dyDescent="0.2">
      <c r="A314" s="106" t="s">
        <v>5413</v>
      </c>
      <c r="B314" s="105" t="s">
        <v>2226</v>
      </c>
      <c r="C314" s="105" t="s">
        <v>5434</v>
      </c>
      <c r="D314" s="149" t="s">
        <v>2228</v>
      </c>
      <c r="E314" s="105">
        <v>1</v>
      </c>
      <c r="F314" s="133">
        <v>19.47</v>
      </c>
      <c r="G314" s="133">
        <v>23</v>
      </c>
      <c r="H314" s="109">
        <f t="shared" si="12"/>
        <v>23</v>
      </c>
      <c r="I314" s="119"/>
      <c r="J314" s="119"/>
      <c r="K314" s="119">
        <f t="shared" si="13"/>
        <v>23</v>
      </c>
      <c r="L314" s="152">
        <f t="shared" si="14"/>
        <v>19.47</v>
      </c>
      <c r="M314" s="113"/>
    </row>
    <row r="315" spans="1:13" x14ac:dyDescent="0.2">
      <c r="A315" s="106" t="s">
        <v>5413</v>
      </c>
      <c r="B315" s="105" t="s">
        <v>1854</v>
      </c>
      <c r="C315" s="105" t="s">
        <v>5435</v>
      </c>
      <c r="D315" s="149" t="s">
        <v>1855</v>
      </c>
      <c r="E315" s="105">
        <v>1</v>
      </c>
      <c r="F315" s="133">
        <v>7.62</v>
      </c>
      <c r="G315" s="133">
        <v>8.75</v>
      </c>
      <c r="H315" s="109">
        <f t="shared" si="12"/>
        <v>8.75</v>
      </c>
      <c r="I315" s="119"/>
      <c r="J315" s="119"/>
      <c r="K315" s="119">
        <f t="shared" si="13"/>
        <v>8.75</v>
      </c>
      <c r="L315" s="152">
        <f t="shared" si="14"/>
        <v>7.62</v>
      </c>
      <c r="M315" s="113"/>
    </row>
    <row r="316" spans="1:13" x14ac:dyDescent="0.2">
      <c r="A316" s="106" t="s">
        <v>5413</v>
      </c>
      <c r="B316" s="105" t="s">
        <v>4716</v>
      </c>
      <c r="C316" s="105" t="s">
        <v>5436</v>
      </c>
      <c r="D316" s="149" t="s">
        <v>4751</v>
      </c>
      <c r="E316" s="105">
        <v>1</v>
      </c>
      <c r="F316" s="133">
        <v>0.81</v>
      </c>
      <c r="G316" s="133">
        <v>1</v>
      </c>
      <c r="H316" s="109">
        <f t="shared" si="12"/>
        <v>1</v>
      </c>
      <c r="I316" s="119"/>
      <c r="J316" s="119"/>
      <c r="K316" s="119">
        <f t="shared" si="13"/>
        <v>1</v>
      </c>
      <c r="L316" s="152">
        <f t="shared" si="14"/>
        <v>0.81</v>
      </c>
      <c r="M316" s="113"/>
    </row>
    <row r="317" spans="1:13" x14ac:dyDescent="0.2">
      <c r="A317" s="106" t="s">
        <v>5413</v>
      </c>
      <c r="B317" s="105" t="s">
        <v>1977</v>
      </c>
      <c r="C317" s="105" t="s">
        <v>5436</v>
      </c>
      <c r="D317" s="149" t="s">
        <v>1979</v>
      </c>
      <c r="E317" s="105">
        <v>4</v>
      </c>
      <c r="F317" s="133">
        <v>0.76</v>
      </c>
      <c r="G317" s="133">
        <v>1</v>
      </c>
      <c r="H317" s="109">
        <f t="shared" si="12"/>
        <v>4</v>
      </c>
      <c r="I317" s="119"/>
      <c r="J317" s="119"/>
      <c r="K317" s="119">
        <f t="shared" si="13"/>
        <v>4</v>
      </c>
      <c r="L317" s="152">
        <f t="shared" si="14"/>
        <v>3.04</v>
      </c>
      <c r="M317" s="113"/>
    </row>
    <row r="318" spans="1:13" x14ac:dyDescent="0.2">
      <c r="A318" s="106" t="s">
        <v>5413</v>
      </c>
      <c r="B318" s="105" t="s">
        <v>5416</v>
      </c>
      <c r="C318" s="105" t="s">
        <v>5437</v>
      </c>
      <c r="D318" s="149" t="s">
        <v>5467</v>
      </c>
      <c r="E318" s="105">
        <v>15</v>
      </c>
      <c r="F318" s="133">
        <v>1</v>
      </c>
      <c r="G318" s="133">
        <v>1.25</v>
      </c>
      <c r="H318" s="109">
        <f t="shared" si="12"/>
        <v>18.75</v>
      </c>
      <c r="I318" s="119"/>
      <c r="J318" s="119"/>
      <c r="K318" s="119">
        <f t="shared" si="13"/>
        <v>18.75</v>
      </c>
      <c r="L318" s="152">
        <f t="shared" si="14"/>
        <v>15</v>
      </c>
      <c r="M318" s="113"/>
    </row>
    <row r="319" spans="1:13" x14ac:dyDescent="0.2">
      <c r="A319" s="106" t="s">
        <v>5413</v>
      </c>
      <c r="B319" s="105" t="s">
        <v>4948</v>
      </c>
      <c r="C319" s="105" t="s">
        <v>5438</v>
      </c>
      <c r="D319" s="149" t="s">
        <v>4985</v>
      </c>
      <c r="E319" s="105">
        <v>1</v>
      </c>
      <c r="F319" s="133">
        <v>97.36</v>
      </c>
      <c r="G319" s="133">
        <v>112</v>
      </c>
      <c r="H319" s="109">
        <f t="shared" si="12"/>
        <v>112</v>
      </c>
      <c r="I319" s="119"/>
      <c r="J319" s="119"/>
      <c r="K319" s="119">
        <f t="shared" si="13"/>
        <v>112</v>
      </c>
      <c r="L319" s="152">
        <f t="shared" si="14"/>
        <v>97.36</v>
      </c>
      <c r="M319" s="113"/>
    </row>
    <row r="320" spans="1:13" x14ac:dyDescent="0.2">
      <c r="A320" s="106" t="s">
        <v>5413</v>
      </c>
      <c r="B320" s="105" t="s">
        <v>2035</v>
      </c>
      <c r="C320" s="105" t="s">
        <v>5438</v>
      </c>
      <c r="D320" s="149" t="s">
        <v>2036</v>
      </c>
      <c r="E320" s="105">
        <v>3</v>
      </c>
      <c r="F320" s="133">
        <v>23.15</v>
      </c>
      <c r="G320" s="133">
        <v>26.75</v>
      </c>
      <c r="H320" s="109">
        <f t="shared" si="12"/>
        <v>80.25</v>
      </c>
      <c r="I320" s="119"/>
      <c r="J320" s="119"/>
      <c r="K320" s="119">
        <f t="shared" si="13"/>
        <v>80.25</v>
      </c>
      <c r="L320" s="152">
        <f t="shared" si="14"/>
        <v>69.449999999999989</v>
      </c>
      <c r="M320" s="113"/>
    </row>
    <row r="321" spans="1:13" x14ac:dyDescent="0.2">
      <c r="A321" s="106" t="s">
        <v>5413</v>
      </c>
      <c r="B321" s="105" t="s">
        <v>2782</v>
      </c>
      <c r="C321" s="105" t="s">
        <v>5438</v>
      </c>
      <c r="D321" s="149" t="s">
        <v>2783</v>
      </c>
      <c r="E321" s="105">
        <v>2</v>
      </c>
      <c r="F321" s="133">
        <v>27.9</v>
      </c>
      <c r="G321" s="133">
        <v>32.25</v>
      </c>
      <c r="H321" s="109">
        <f t="shared" si="12"/>
        <v>64.5</v>
      </c>
      <c r="I321" s="119"/>
      <c r="J321" s="119"/>
      <c r="K321" s="119">
        <f t="shared" si="13"/>
        <v>64.5</v>
      </c>
      <c r="L321" s="152">
        <f t="shared" si="14"/>
        <v>55.8</v>
      </c>
      <c r="M321" s="113"/>
    </row>
    <row r="322" spans="1:13" x14ac:dyDescent="0.2">
      <c r="A322" s="106" t="s">
        <v>5413</v>
      </c>
      <c r="B322" s="105" t="s">
        <v>2890</v>
      </c>
      <c r="C322" s="105" t="s">
        <v>5439</v>
      </c>
      <c r="D322" s="149" t="s">
        <v>2892</v>
      </c>
      <c r="E322" s="105">
        <v>1</v>
      </c>
      <c r="F322" s="133">
        <v>54.38</v>
      </c>
      <c r="G322" s="133">
        <v>62.75</v>
      </c>
      <c r="H322" s="109">
        <f t="shared" si="12"/>
        <v>62.75</v>
      </c>
      <c r="I322" s="119"/>
      <c r="J322" s="119"/>
      <c r="K322" s="119">
        <f t="shared" si="13"/>
        <v>62.75</v>
      </c>
      <c r="L322" s="152">
        <f t="shared" si="14"/>
        <v>54.38</v>
      </c>
      <c r="M322" s="113"/>
    </row>
    <row r="323" spans="1:13" x14ac:dyDescent="0.2">
      <c r="A323" s="106" t="s">
        <v>5413</v>
      </c>
      <c r="B323" s="105" t="s">
        <v>5417</v>
      </c>
      <c r="C323" s="105" t="s">
        <v>5439</v>
      </c>
      <c r="D323" s="149" t="s">
        <v>5468</v>
      </c>
      <c r="E323" s="105">
        <v>1</v>
      </c>
      <c r="F323" s="133">
        <v>90.69</v>
      </c>
      <c r="G323" s="133">
        <v>104.5</v>
      </c>
      <c r="H323" s="109">
        <f t="shared" si="12"/>
        <v>104.5</v>
      </c>
      <c r="I323" s="119"/>
      <c r="J323" s="119"/>
      <c r="K323" s="119">
        <f t="shared" si="13"/>
        <v>104.5</v>
      </c>
      <c r="L323" s="152">
        <f t="shared" si="14"/>
        <v>90.69</v>
      </c>
      <c r="M323" s="113"/>
    </row>
    <row r="324" spans="1:13" x14ac:dyDescent="0.2">
      <c r="A324" s="106" t="s">
        <v>5413</v>
      </c>
      <c r="B324" s="105" t="s">
        <v>3314</v>
      </c>
      <c r="C324" s="105" t="s">
        <v>5440</v>
      </c>
      <c r="D324" s="149" t="s">
        <v>3316</v>
      </c>
      <c r="E324" s="105">
        <v>1</v>
      </c>
      <c r="F324" s="133">
        <v>16.579999999999998</v>
      </c>
      <c r="G324" s="133">
        <v>19</v>
      </c>
      <c r="H324" s="109">
        <f t="shared" si="12"/>
        <v>19</v>
      </c>
      <c r="I324" s="119"/>
      <c r="J324" s="119"/>
      <c r="K324" s="119">
        <f t="shared" si="13"/>
        <v>19</v>
      </c>
      <c r="L324" s="152">
        <f t="shared" si="14"/>
        <v>16.579999999999998</v>
      </c>
      <c r="M324" s="113"/>
    </row>
    <row r="325" spans="1:13" x14ac:dyDescent="0.2">
      <c r="A325" s="106" t="s">
        <v>5413</v>
      </c>
      <c r="B325" s="105" t="s">
        <v>2495</v>
      </c>
      <c r="C325" s="105" t="s">
        <v>5441</v>
      </c>
      <c r="D325" s="149" t="s">
        <v>2496</v>
      </c>
      <c r="E325" s="105">
        <v>2</v>
      </c>
      <c r="F325" s="133">
        <v>35.75</v>
      </c>
      <c r="G325" s="133">
        <v>41.25</v>
      </c>
      <c r="H325" s="109">
        <f t="shared" si="12"/>
        <v>82.5</v>
      </c>
      <c r="I325" s="119"/>
      <c r="J325" s="119"/>
      <c r="K325" s="119">
        <f t="shared" si="13"/>
        <v>82.5</v>
      </c>
      <c r="L325" s="152">
        <f t="shared" si="14"/>
        <v>71.5</v>
      </c>
      <c r="M325" s="113"/>
    </row>
    <row r="326" spans="1:13" x14ac:dyDescent="0.2">
      <c r="A326" s="106" t="s">
        <v>5413</v>
      </c>
      <c r="B326" s="105" t="s">
        <v>2491</v>
      </c>
      <c r="C326" s="105" t="s">
        <v>5441</v>
      </c>
      <c r="D326" s="149" t="s">
        <v>2492</v>
      </c>
      <c r="E326" s="105">
        <v>2</v>
      </c>
      <c r="F326" s="133">
        <v>61.5</v>
      </c>
      <c r="G326" s="133">
        <v>66.5</v>
      </c>
      <c r="H326" s="109">
        <f t="shared" ref="H326:H389" si="15">E326*G326</f>
        <v>133</v>
      </c>
      <c r="I326" s="119"/>
      <c r="J326" s="119"/>
      <c r="K326" s="119">
        <f t="shared" si="13"/>
        <v>133</v>
      </c>
      <c r="L326" s="152">
        <f t="shared" si="14"/>
        <v>123</v>
      </c>
      <c r="M326" s="113"/>
    </row>
    <row r="327" spans="1:13" x14ac:dyDescent="0.2">
      <c r="A327" s="106" t="s">
        <v>5413</v>
      </c>
      <c r="B327" s="105" t="s">
        <v>2878</v>
      </c>
      <c r="C327" s="105" t="s">
        <v>5441</v>
      </c>
      <c r="D327" s="149" t="s">
        <v>2880</v>
      </c>
      <c r="E327" s="105">
        <v>1</v>
      </c>
      <c r="F327" s="133">
        <v>60.4</v>
      </c>
      <c r="G327" s="133">
        <v>70</v>
      </c>
      <c r="H327" s="109">
        <f t="shared" si="15"/>
        <v>70</v>
      </c>
      <c r="I327" s="119"/>
      <c r="J327" s="119"/>
      <c r="K327" s="119">
        <f t="shared" ref="K327:K390" si="16">H327+I327-J327</f>
        <v>70</v>
      </c>
      <c r="L327" s="152">
        <f t="shared" ref="L327:L390" si="17">E327*F327</f>
        <v>60.4</v>
      </c>
      <c r="M327" s="113"/>
    </row>
    <row r="328" spans="1:13" x14ac:dyDescent="0.2">
      <c r="A328" s="106" t="s">
        <v>5413</v>
      </c>
      <c r="B328" s="105" t="s">
        <v>2245</v>
      </c>
      <c r="C328" s="105" t="s">
        <v>5441</v>
      </c>
      <c r="D328" s="149" t="s">
        <v>2246</v>
      </c>
      <c r="E328" s="105">
        <v>32</v>
      </c>
      <c r="F328" s="133">
        <v>4.74</v>
      </c>
      <c r="G328" s="133">
        <v>5.5</v>
      </c>
      <c r="H328" s="109">
        <f t="shared" si="15"/>
        <v>176</v>
      </c>
      <c r="I328" s="119"/>
      <c r="J328" s="119"/>
      <c r="K328" s="119">
        <f t="shared" si="16"/>
        <v>176</v>
      </c>
      <c r="L328" s="152">
        <f t="shared" si="17"/>
        <v>151.68</v>
      </c>
      <c r="M328" s="113"/>
    </row>
    <row r="329" spans="1:13" x14ac:dyDescent="0.2">
      <c r="A329" s="106" t="s">
        <v>5413</v>
      </c>
      <c r="B329" s="105" t="s">
        <v>4806</v>
      </c>
      <c r="C329" s="105" t="s">
        <v>5442</v>
      </c>
      <c r="D329" s="149" t="s">
        <v>4874</v>
      </c>
      <c r="E329" s="105">
        <v>1</v>
      </c>
      <c r="F329" s="133">
        <v>8.58</v>
      </c>
      <c r="G329" s="133">
        <v>10</v>
      </c>
      <c r="H329" s="109">
        <f t="shared" si="15"/>
        <v>10</v>
      </c>
      <c r="I329" s="119"/>
      <c r="J329" s="119"/>
      <c r="K329" s="119">
        <f t="shared" si="16"/>
        <v>10</v>
      </c>
      <c r="L329" s="152">
        <f t="shared" si="17"/>
        <v>8.58</v>
      </c>
      <c r="M329" s="113"/>
    </row>
    <row r="330" spans="1:13" x14ac:dyDescent="0.2">
      <c r="A330" s="106" t="s">
        <v>5413</v>
      </c>
      <c r="B330" s="105" t="s">
        <v>2610</v>
      </c>
      <c r="C330" s="105" t="s">
        <v>5442</v>
      </c>
      <c r="D330" s="149" t="s">
        <v>2612</v>
      </c>
      <c r="E330" s="105">
        <v>1</v>
      </c>
      <c r="F330" s="133">
        <v>53.9</v>
      </c>
      <c r="G330" s="133">
        <v>59.25</v>
      </c>
      <c r="H330" s="109">
        <f t="shared" si="15"/>
        <v>59.25</v>
      </c>
      <c r="I330" s="119"/>
      <c r="J330" s="119"/>
      <c r="K330" s="119">
        <f t="shared" si="16"/>
        <v>59.25</v>
      </c>
      <c r="L330" s="152">
        <f t="shared" si="17"/>
        <v>53.9</v>
      </c>
      <c r="M330" s="113"/>
    </row>
    <row r="331" spans="1:13" x14ac:dyDescent="0.2">
      <c r="A331" s="106" t="s">
        <v>5413</v>
      </c>
      <c r="B331" s="105" t="s">
        <v>1877</v>
      </c>
      <c r="C331" s="105" t="s">
        <v>5443</v>
      </c>
      <c r="D331" s="149" t="s">
        <v>1878</v>
      </c>
      <c r="E331" s="105">
        <v>1</v>
      </c>
      <c r="F331" s="133">
        <v>20.399999999999999</v>
      </c>
      <c r="G331" s="133">
        <v>23.5</v>
      </c>
      <c r="H331" s="109">
        <f t="shared" si="15"/>
        <v>23.5</v>
      </c>
      <c r="I331" s="119"/>
      <c r="J331" s="119"/>
      <c r="K331" s="119">
        <f t="shared" si="16"/>
        <v>23.5</v>
      </c>
      <c r="L331" s="152">
        <f t="shared" si="17"/>
        <v>20.399999999999999</v>
      </c>
      <c r="M331" s="113"/>
    </row>
    <row r="332" spans="1:13" x14ac:dyDescent="0.2">
      <c r="A332" s="106" t="s">
        <v>5413</v>
      </c>
      <c r="B332" s="105" t="s">
        <v>3072</v>
      </c>
      <c r="C332" s="105" t="s">
        <v>5444</v>
      </c>
      <c r="D332" s="149" t="s">
        <v>3074</v>
      </c>
      <c r="E332" s="105">
        <v>1</v>
      </c>
      <c r="F332" s="133">
        <v>16.91</v>
      </c>
      <c r="G332" s="133">
        <v>18.600000000000001</v>
      </c>
      <c r="H332" s="109">
        <f t="shared" si="15"/>
        <v>18.600000000000001</v>
      </c>
      <c r="I332" s="119"/>
      <c r="J332" s="119"/>
      <c r="K332" s="119">
        <f t="shared" si="16"/>
        <v>18.600000000000001</v>
      </c>
      <c r="L332" s="152">
        <f t="shared" si="17"/>
        <v>16.91</v>
      </c>
      <c r="M332" s="113"/>
    </row>
    <row r="333" spans="1:13" x14ac:dyDescent="0.2">
      <c r="A333" s="106" t="s">
        <v>5413</v>
      </c>
      <c r="B333" s="105" t="s">
        <v>2423</v>
      </c>
      <c r="C333" s="105" t="s">
        <v>5444</v>
      </c>
      <c r="D333" s="149" t="s">
        <v>2425</v>
      </c>
      <c r="E333" s="105">
        <v>1</v>
      </c>
      <c r="F333" s="133">
        <v>18.53</v>
      </c>
      <c r="G333" s="133">
        <v>21.5</v>
      </c>
      <c r="H333" s="109">
        <f t="shared" si="15"/>
        <v>21.5</v>
      </c>
      <c r="I333" s="119"/>
      <c r="J333" s="119"/>
      <c r="K333" s="119">
        <f t="shared" si="16"/>
        <v>21.5</v>
      </c>
      <c r="L333" s="152">
        <f t="shared" si="17"/>
        <v>18.53</v>
      </c>
      <c r="M333" s="113"/>
    </row>
    <row r="334" spans="1:13" x14ac:dyDescent="0.2">
      <c r="A334" s="106" t="s">
        <v>5413</v>
      </c>
      <c r="B334" s="105" t="s">
        <v>1826</v>
      </c>
      <c r="C334" s="105" t="s">
        <v>5445</v>
      </c>
      <c r="D334" s="149" t="s">
        <v>1827</v>
      </c>
      <c r="E334" s="105">
        <v>9</v>
      </c>
      <c r="F334" s="133">
        <v>90</v>
      </c>
      <c r="G334" s="133">
        <v>120</v>
      </c>
      <c r="H334" s="109">
        <f t="shared" si="15"/>
        <v>1080</v>
      </c>
      <c r="I334" s="119"/>
      <c r="J334" s="119"/>
      <c r="K334" s="119">
        <f t="shared" si="16"/>
        <v>1080</v>
      </c>
      <c r="L334" s="152">
        <f t="shared" si="17"/>
        <v>810</v>
      </c>
      <c r="M334" s="113"/>
    </row>
    <row r="335" spans="1:13" x14ac:dyDescent="0.2">
      <c r="A335" s="106" t="s">
        <v>5413</v>
      </c>
      <c r="B335" s="105" t="s">
        <v>1893</v>
      </c>
      <c r="C335" s="105" t="s">
        <v>5445</v>
      </c>
      <c r="D335" s="149" t="s">
        <v>1894</v>
      </c>
      <c r="E335" s="105">
        <v>18</v>
      </c>
      <c r="F335" s="133">
        <v>27.85</v>
      </c>
      <c r="G335" s="133">
        <v>32.25</v>
      </c>
      <c r="H335" s="109">
        <f t="shared" si="15"/>
        <v>580.5</v>
      </c>
      <c r="I335" s="119"/>
      <c r="J335" s="119"/>
      <c r="K335" s="119">
        <f t="shared" si="16"/>
        <v>580.5</v>
      </c>
      <c r="L335" s="152">
        <f t="shared" si="17"/>
        <v>501.3</v>
      </c>
      <c r="M335" s="113"/>
    </row>
    <row r="336" spans="1:13" x14ac:dyDescent="0.2">
      <c r="A336" s="106" t="s">
        <v>5413</v>
      </c>
      <c r="B336" s="105" t="s">
        <v>4330</v>
      </c>
      <c r="C336" s="105" t="s">
        <v>5445</v>
      </c>
      <c r="D336" s="149" t="s">
        <v>4360</v>
      </c>
      <c r="E336" s="105">
        <v>2</v>
      </c>
      <c r="F336" s="133">
        <v>69.510000000000005</v>
      </c>
      <c r="G336" s="133">
        <v>80</v>
      </c>
      <c r="H336" s="109">
        <f t="shared" si="15"/>
        <v>160</v>
      </c>
      <c r="I336" s="119"/>
      <c r="J336" s="119"/>
      <c r="K336" s="119">
        <f t="shared" si="16"/>
        <v>160</v>
      </c>
      <c r="L336" s="152">
        <f t="shared" si="17"/>
        <v>139.02000000000001</v>
      </c>
      <c r="M336" s="113"/>
    </row>
    <row r="337" spans="1:13" x14ac:dyDescent="0.2">
      <c r="A337" s="106" t="s">
        <v>5411</v>
      </c>
      <c r="B337" s="105" t="s">
        <v>3072</v>
      </c>
      <c r="C337" s="105" t="s">
        <v>5446</v>
      </c>
      <c r="D337" s="149" t="s">
        <v>3074</v>
      </c>
      <c r="E337" s="105">
        <v>1</v>
      </c>
      <c r="F337" s="133">
        <v>16.91</v>
      </c>
      <c r="G337" s="133">
        <v>18.600000000000001</v>
      </c>
      <c r="H337" s="109">
        <f t="shared" si="15"/>
        <v>18.600000000000001</v>
      </c>
      <c r="I337" s="119"/>
      <c r="J337" s="119"/>
      <c r="K337" s="119">
        <f t="shared" si="16"/>
        <v>18.600000000000001</v>
      </c>
      <c r="L337" s="152">
        <f t="shared" si="17"/>
        <v>16.91</v>
      </c>
      <c r="M337" s="113"/>
    </row>
    <row r="338" spans="1:13" x14ac:dyDescent="0.2">
      <c r="A338" s="106" t="s">
        <v>5411</v>
      </c>
      <c r="B338" s="105" t="s">
        <v>3065</v>
      </c>
      <c r="C338" s="105" t="s">
        <v>5447</v>
      </c>
      <c r="D338" s="149" t="s">
        <v>3067</v>
      </c>
      <c r="E338" s="105">
        <v>1</v>
      </c>
      <c r="F338" s="133">
        <v>13.39</v>
      </c>
      <c r="G338" s="133">
        <v>15.5</v>
      </c>
      <c r="H338" s="109">
        <f t="shared" si="15"/>
        <v>15.5</v>
      </c>
      <c r="I338" s="119"/>
      <c r="J338" s="119"/>
      <c r="K338" s="119">
        <f t="shared" si="16"/>
        <v>15.5</v>
      </c>
      <c r="L338" s="152">
        <f t="shared" si="17"/>
        <v>13.39</v>
      </c>
      <c r="M338" s="113"/>
    </row>
    <row r="339" spans="1:13" x14ac:dyDescent="0.2">
      <c r="A339" s="106" t="s">
        <v>5411</v>
      </c>
      <c r="B339" s="105" t="s">
        <v>2872</v>
      </c>
      <c r="C339" s="105" t="s">
        <v>5448</v>
      </c>
      <c r="D339" s="149" t="s">
        <v>2873</v>
      </c>
      <c r="E339" s="105">
        <v>1</v>
      </c>
      <c r="F339" s="133">
        <v>4.4800000000000004</v>
      </c>
      <c r="G339" s="133">
        <v>5.25</v>
      </c>
      <c r="H339" s="109">
        <f t="shared" si="15"/>
        <v>5.25</v>
      </c>
      <c r="I339" s="119"/>
      <c r="J339" s="119"/>
      <c r="K339" s="119">
        <f t="shared" si="16"/>
        <v>5.25</v>
      </c>
      <c r="L339" s="152">
        <f t="shared" si="17"/>
        <v>4.4800000000000004</v>
      </c>
      <c r="M339" s="113"/>
    </row>
    <row r="340" spans="1:13" x14ac:dyDescent="0.2">
      <c r="A340" s="106" t="s">
        <v>5411</v>
      </c>
      <c r="B340" s="105" t="s">
        <v>2890</v>
      </c>
      <c r="C340" s="105" t="s">
        <v>5449</v>
      </c>
      <c r="D340" s="149" t="s">
        <v>2892</v>
      </c>
      <c r="E340" s="105">
        <v>1</v>
      </c>
      <c r="F340" s="133">
        <v>54.38</v>
      </c>
      <c r="G340" s="133">
        <v>62.75</v>
      </c>
      <c r="H340" s="109">
        <f t="shared" si="15"/>
        <v>62.75</v>
      </c>
      <c r="I340" s="119"/>
      <c r="J340" s="119"/>
      <c r="K340" s="119">
        <f t="shared" si="16"/>
        <v>62.75</v>
      </c>
      <c r="L340" s="152">
        <f t="shared" si="17"/>
        <v>54.38</v>
      </c>
      <c r="M340" s="113"/>
    </row>
    <row r="341" spans="1:13" x14ac:dyDescent="0.2">
      <c r="A341" s="106" t="s">
        <v>5411</v>
      </c>
      <c r="B341" s="105" t="s">
        <v>1826</v>
      </c>
      <c r="C341" s="105" t="s">
        <v>5449</v>
      </c>
      <c r="D341" s="149" t="s">
        <v>1827</v>
      </c>
      <c r="E341" s="105">
        <v>1</v>
      </c>
      <c r="F341" s="133">
        <v>90</v>
      </c>
      <c r="G341" s="133">
        <v>120</v>
      </c>
      <c r="H341" s="109">
        <f t="shared" si="15"/>
        <v>120</v>
      </c>
      <c r="I341" s="119"/>
      <c r="J341" s="119"/>
      <c r="K341" s="119">
        <f t="shared" si="16"/>
        <v>120</v>
      </c>
      <c r="L341" s="152">
        <f t="shared" si="17"/>
        <v>90</v>
      </c>
      <c r="M341" s="113"/>
    </row>
    <row r="342" spans="1:13" x14ac:dyDescent="0.2">
      <c r="A342" s="106" t="s">
        <v>5411</v>
      </c>
      <c r="B342" s="105" t="s">
        <v>5248</v>
      </c>
      <c r="C342" s="105" t="s">
        <v>5450</v>
      </c>
      <c r="D342" s="149" t="s">
        <v>5408</v>
      </c>
      <c r="E342" s="105">
        <v>2</v>
      </c>
      <c r="F342" s="133">
        <v>5.8</v>
      </c>
      <c r="G342" s="133">
        <v>7</v>
      </c>
      <c r="H342" s="109">
        <f t="shared" si="15"/>
        <v>14</v>
      </c>
      <c r="I342" s="119"/>
      <c r="J342" s="119"/>
      <c r="K342" s="119">
        <f t="shared" si="16"/>
        <v>14</v>
      </c>
      <c r="L342" s="152">
        <f t="shared" si="17"/>
        <v>11.6</v>
      </c>
      <c r="M342" s="113"/>
    </row>
    <row r="343" spans="1:13" x14ac:dyDescent="0.2">
      <c r="A343" s="106" t="s">
        <v>5411</v>
      </c>
      <c r="B343" s="105" t="s">
        <v>2872</v>
      </c>
      <c r="C343" s="105" t="s">
        <v>5450</v>
      </c>
      <c r="D343" s="149" t="s">
        <v>2873</v>
      </c>
      <c r="E343" s="105">
        <v>1</v>
      </c>
      <c r="F343" s="133">
        <v>4.4800000000000004</v>
      </c>
      <c r="G343" s="133">
        <v>5.25</v>
      </c>
      <c r="H343" s="109">
        <f t="shared" si="15"/>
        <v>5.25</v>
      </c>
      <c r="I343" s="119"/>
      <c r="J343" s="119"/>
      <c r="K343" s="119">
        <f t="shared" si="16"/>
        <v>5.25</v>
      </c>
      <c r="L343" s="152">
        <f t="shared" si="17"/>
        <v>4.4800000000000004</v>
      </c>
      <c r="M343" s="113"/>
    </row>
    <row r="344" spans="1:13" x14ac:dyDescent="0.2">
      <c r="A344" s="106" t="s">
        <v>5411</v>
      </c>
      <c r="B344" s="105" t="s">
        <v>1857</v>
      </c>
      <c r="C344" s="105" t="s">
        <v>5450</v>
      </c>
      <c r="D344" s="149" t="s">
        <v>1858</v>
      </c>
      <c r="E344" s="105">
        <v>1</v>
      </c>
      <c r="F344" s="133">
        <v>15.12</v>
      </c>
      <c r="G344" s="133">
        <v>17.5</v>
      </c>
      <c r="H344" s="109">
        <f t="shared" si="15"/>
        <v>17.5</v>
      </c>
      <c r="I344" s="119"/>
      <c r="J344" s="119"/>
      <c r="K344" s="119">
        <f t="shared" si="16"/>
        <v>17.5</v>
      </c>
      <c r="L344" s="152">
        <f t="shared" si="17"/>
        <v>15.12</v>
      </c>
      <c r="M344" s="113"/>
    </row>
    <row r="345" spans="1:13" x14ac:dyDescent="0.2">
      <c r="A345" s="106" t="s">
        <v>5411</v>
      </c>
      <c r="B345" s="105" t="s">
        <v>4797</v>
      </c>
      <c r="C345" s="105" t="s">
        <v>5450</v>
      </c>
      <c r="D345" s="149" t="s">
        <v>4866</v>
      </c>
      <c r="E345" s="105">
        <v>2</v>
      </c>
      <c r="F345" s="133">
        <v>50.88</v>
      </c>
      <c r="G345" s="133">
        <v>58.75</v>
      </c>
      <c r="H345" s="109">
        <f t="shared" si="15"/>
        <v>117.5</v>
      </c>
      <c r="I345" s="119"/>
      <c r="J345" s="119"/>
      <c r="K345" s="119">
        <f t="shared" si="16"/>
        <v>117.5</v>
      </c>
      <c r="L345" s="152">
        <f t="shared" si="17"/>
        <v>101.76</v>
      </c>
      <c r="M345" s="113"/>
    </row>
    <row r="346" spans="1:13" x14ac:dyDescent="0.2">
      <c r="A346" s="106" t="s">
        <v>5411</v>
      </c>
      <c r="B346" s="105" t="s">
        <v>1861</v>
      </c>
      <c r="C346" s="105" t="s">
        <v>5450</v>
      </c>
      <c r="D346" s="149" t="s">
        <v>1862</v>
      </c>
      <c r="E346" s="105">
        <v>2</v>
      </c>
      <c r="F346" s="133">
        <v>15.65</v>
      </c>
      <c r="G346" s="133">
        <v>18</v>
      </c>
      <c r="H346" s="109">
        <f t="shared" si="15"/>
        <v>36</v>
      </c>
      <c r="I346" s="119"/>
      <c r="J346" s="119"/>
      <c r="K346" s="119">
        <f t="shared" si="16"/>
        <v>36</v>
      </c>
      <c r="L346" s="152">
        <f t="shared" si="17"/>
        <v>31.3</v>
      </c>
      <c r="M346" s="113"/>
    </row>
    <row r="347" spans="1:13" x14ac:dyDescent="0.2">
      <c r="A347" s="106" t="s">
        <v>5411</v>
      </c>
      <c r="B347" s="105" t="s">
        <v>3983</v>
      </c>
      <c r="C347" s="105" t="s">
        <v>5450</v>
      </c>
      <c r="D347" s="149" t="s">
        <v>3984</v>
      </c>
      <c r="E347" s="105">
        <v>4</v>
      </c>
      <c r="F347" s="133">
        <v>13.87</v>
      </c>
      <c r="G347" s="133">
        <v>17.75</v>
      </c>
      <c r="H347" s="109">
        <f t="shared" si="15"/>
        <v>71</v>
      </c>
      <c r="I347" s="119"/>
      <c r="J347" s="119"/>
      <c r="K347" s="119">
        <f t="shared" si="16"/>
        <v>71</v>
      </c>
      <c r="L347" s="152">
        <f t="shared" si="17"/>
        <v>55.48</v>
      </c>
      <c r="M347" s="113"/>
    </row>
    <row r="348" spans="1:13" x14ac:dyDescent="0.2">
      <c r="A348" s="106" t="s">
        <v>5411</v>
      </c>
      <c r="B348" s="105" t="s">
        <v>2627</v>
      </c>
      <c r="C348" s="105" t="s">
        <v>5450</v>
      </c>
      <c r="D348" s="149" t="s">
        <v>2628</v>
      </c>
      <c r="E348" s="105">
        <v>12</v>
      </c>
      <c r="F348" s="133">
        <v>6.82</v>
      </c>
      <c r="G348" s="133">
        <v>8</v>
      </c>
      <c r="H348" s="109">
        <f t="shared" si="15"/>
        <v>96</v>
      </c>
      <c r="I348" s="119"/>
      <c r="J348" s="119"/>
      <c r="K348" s="119">
        <f t="shared" si="16"/>
        <v>96</v>
      </c>
      <c r="L348" s="152">
        <f t="shared" si="17"/>
        <v>81.84</v>
      </c>
      <c r="M348" s="113"/>
    </row>
    <row r="349" spans="1:13" x14ac:dyDescent="0.2">
      <c r="A349" s="106" t="s">
        <v>5411</v>
      </c>
      <c r="B349" s="105" t="s">
        <v>2643</v>
      </c>
      <c r="C349" s="105" t="s">
        <v>5450</v>
      </c>
      <c r="D349" s="149" t="s">
        <v>2645</v>
      </c>
      <c r="E349" s="105">
        <v>6</v>
      </c>
      <c r="F349" s="133">
        <v>14.42</v>
      </c>
      <c r="G349" s="133">
        <v>16.75</v>
      </c>
      <c r="H349" s="109">
        <f t="shared" si="15"/>
        <v>100.5</v>
      </c>
      <c r="I349" s="119"/>
      <c r="J349" s="119"/>
      <c r="K349" s="119">
        <f t="shared" si="16"/>
        <v>100.5</v>
      </c>
      <c r="L349" s="152">
        <f t="shared" si="17"/>
        <v>86.52</v>
      </c>
      <c r="M349" s="113"/>
    </row>
    <row r="350" spans="1:13" x14ac:dyDescent="0.2">
      <c r="A350" s="106" t="s">
        <v>5411</v>
      </c>
      <c r="B350" s="105" t="s">
        <v>5248</v>
      </c>
      <c r="C350" s="105" t="s">
        <v>5451</v>
      </c>
      <c r="D350" s="149" t="s">
        <v>5408</v>
      </c>
      <c r="E350" s="105">
        <v>1</v>
      </c>
      <c r="F350" s="133">
        <v>5.8</v>
      </c>
      <c r="G350" s="133">
        <v>7</v>
      </c>
      <c r="H350" s="109">
        <f t="shared" si="15"/>
        <v>7</v>
      </c>
      <c r="I350" s="119"/>
      <c r="J350" s="119"/>
      <c r="K350" s="119">
        <f t="shared" si="16"/>
        <v>7</v>
      </c>
      <c r="L350" s="152">
        <f t="shared" si="17"/>
        <v>5.8</v>
      </c>
      <c r="M350" s="113"/>
    </row>
    <row r="351" spans="1:13" x14ac:dyDescent="0.2">
      <c r="A351" s="106" t="s">
        <v>5411</v>
      </c>
      <c r="B351" s="105" t="s">
        <v>2441</v>
      </c>
      <c r="C351" s="105" t="s">
        <v>5451</v>
      </c>
      <c r="D351" s="149" t="s">
        <v>2443</v>
      </c>
      <c r="E351" s="105">
        <v>1</v>
      </c>
      <c r="F351" s="133">
        <v>0.81</v>
      </c>
      <c r="G351" s="133">
        <v>1</v>
      </c>
      <c r="H351" s="109">
        <f t="shared" si="15"/>
        <v>1</v>
      </c>
      <c r="I351" s="119"/>
      <c r="J351" s="119"/>
      <c r="K351" s="119">
        <f t="shared" si="16"/>
        <v>1</v>
      </c>
      <c r="L351" s="152">
        <f t="shared" si="17"/>
        <v>0.81</v>
      </c>
      <c r="M351" s="113"/>
    </row>
    <row r="352" spans="1:13" x14ac:dyDescent="0.2">
      <c r="A352" s="106" t="s">
        <v>5411</v>
      </c>
      <c r="B352" s="105" t="s">
        <v>2453</v>
      </c>
      <c r="C352" s="105" t="s">
        <v>5452</v>
      </c>
      <c r="D352" s="149" t="s">
        <v>2454</v>
      </c>
      <c r="E352" s="105">
        <v>1</v>
      </c>
      <c r="F352" s="133">
        <v>57.4</v>
      </c>
      <c r="G352" s="133">
        <v>66</v>
      </c>
      <c r="H352" s="109">
        <f t="shared" si="15"/>
        <v>66</v>
      </c>
      <c r="I352" s="119"/>
      <c r="J352" s="119"/>
      <c r="K352" s="119">
        <f t="shared" si="16"/>
        <v>66</v>
      </c>
      <c r="L352" s="152">
        <f t="shared" si="17"/>
        <v>57.4</v>
      </c>
      <c r="M352" s="113"/>
    </row>
    <row r="353" spans="1:13" x14ac:dyDescent="0.2">
      <c r="A353" s="106" t="s">
        <v>5411</v>
      </c>
      <c r="B353" s="105" t="s">
        <v>4567</v>
      </c>
      <c r="C353" s="105" t="s">
        <v>5453</v>
      </c>
      <c r="D353" s="149" t="s">
        <v>4672</v>
      </c>
      <c r="E353" s="105">
        <v>1</v>
      </c>
      <c r="F353" s="133">
        <v>7.06</v>
      </c>
      <c r="G353" s="133">
        <v>8.25</v>
      </c>
      <c r="H353" s="109">
        <f t="shared" si="15"/>
        <v>8.25</v>
      </c>
      <c r="I353" s="119"/>
      <c r="J353" s="119"/>
      <c r="K353" s="119">
        <f t="shared" si="16"/>
        <v>8.25</v>
      </c>
      <c r="L353" s="152">
        <f t="shared" si="17"/>
        <v>7.06</v>
      </c>
      <c r="M353" s="113"/>
    </row>
    <row r="354" spans="1:13" x14ac:dyDescent="0.2">
      <c r="A354" s="106" t="s">
        <v>5411</v>
      </c>
      <c r="B354" s="105" t="s">
        <v>2671</v>
      </c>
      <c r="C354" s="105" t="s">
        <v>5453</v>
      </c>
      <c r="D354" s="149" t="s">
        <v>2673</v>
      </c>
      <c r="E354" s="105">
        <v>1</v>
      </c>
      <c r="F354" s="133">
        <v>18.2</v>
      </c>
      <c r="G354" s="133">
        <v>21</v>
      </c>
      <c r="H354" s="109">
        <f t="shared" si="15"/>
        <v>21</v>
      </c>
      <c r="I354" s="119"/>
      <c r="J354" s="119"/>
      <c r="K354" s="119">
        <f t="shared" si="16"/>
        <v>21</v>
      </c>
      <c r="L354" s="152">
        <f t="shared" si="17"/>
        <v>18.2</v>
      </c>
      <c r="M354" s="113"/>
    </row>
    <row r="355" spans="1:13" x14ac:dyDescent="0.2">
      <c r="A355" s="106" t="s">
        <v>5411</v>
      </c>
      <c r="B355" s="105" t="s">
        <v>5418</v>
      </c>
      <c r="C355" s="105" t="s">
        <v>5454</v>
      </c>
      <c r="D355" s="149" t="s">
        <v>5469</v>
      </c>
      <c r="E355" s="105">
        <v>2</v>
      </c>
      <c r="F355" s="133">
        <v>83.55</v>
      </c>
      <c r="G355" s="133">
        <v>97.25</v>
      </c>
      <c r="H355" s="109">
        <f t="shared" si="15"/>
        <v>194.5</v>
      </c>
      <c r="I355" s="119"/>
      <c r="J355" s="119"/>
      <c r="K355" s="119">
        <f t="shared" si="16"/>
        <v>194.5</v>
      </c>
      <c r="L355" s="152">
        <f t="shared" si="17"/>
        <v>167.1</v>
      </c>
      <c r="M355" s="113"/>
    </row>
    <row r="356" spans="1:13" x14ac:dyDescent="0.2">
      <c r="A356" s="106" t="s">
        <v>5411</v>
      </c>
      <c r="B356" s="105" t="s">
        <v>2727</v>
      </c>
      <c r="C356" s="105" t="s">
        <v>5455</v>
      </c>
      <c r="D356" s="149" t="s">
        <v>2729</v>
      </c>
      <c r="E356" s="105">
        <v>1</v>
      </c>
      <c r="F356" s="133">
        <v>7.75</v>
      </c>
      <c r="G356" s="133">
        <v>9</v>
      </c>
      <c r="H356" s="109">
        <f t="shared" si="15"/>
        <v>9</v>
      </c>
      <c r="I356" s="119"/>
      <c r="J356" s="119"/>
      <c r="K356" s="119">
        <f t="shared" si="16"/>
        <v>9</v>
      </c>
      <c r="L356" s="152">
        <f t="shared" si="17"/>
        <v>7.75</v>
      </c>
      <c r="M356" s="113"/>
    </row>
    <row r="357" spans="1:13" x14ac:dyDescent="0.2">
      <c r="A357" s="106" t="s">
        <v>5411</v>
      </c>
      <c r="B357" s="105" t="s">
        <v>2855</v>
      </c>
      <c r="C357" s="105" t="s">
        <v>5455</v>
      </c>
      <c r="D357" s="149" t="s">
        <v>2856</v>
      </c>
      <c r="E357" s="105">
        <v>1</v>
      </c>
      <c r="F357" s="133">
        <v>6.73</v>
      </c>
      <c r="G357" s="133">
        <v>7.75</v>
      </c>
      <c r="H357" s="109">
        <f t="shared" si="15"/>
        <v>7.75</v>
      </c>
      <c r="I357" s="119"/>
      <c r="J357" s="119"/>
      <c r="K357" s="119">
        <f t="shared" si="16"/>
        <v>7.75</v>
      </c>
      <c r="L357" s="152">
        <f t="shared" si="17"/>
        <v>6.73</v>
      </c>
      <c r="M357" s="113"/>
    </row>
    <row r="358" spans="1:13" x14ac:dyDescent="0.2">
      <c r="A358" s="106" t="s">
        <v>5411</v>
      </c>
      <c r="B358" s="105" t="s">
        <v>5415</v>
      </c>
      <c r="C358" s="105" t="s">
        <v>5456</v>
      </c>
      <c r="D358" s="149" t="s">
        <v>5466</v>
      </c>
      <c r="E358" s="105">
        <v>1</v>
      </c>
      <c r="F358" s="133">
        <v>3.7</v>
      </c>
      <c r="G358" s="133">
        <v>5</v>
      </c>
      <c r="H358" s="109">
        <f t="shared" si="15"/>
        <v>5</v>
      </c>
      <c r="I358" s="119"/>
      <c r="J358" s="119"/>
      <c r="K358" s="119">
        <f t="shared" si="16"/>
        <v>5</v>
      </c>
      <c r="L358" s="152">
        <f t="shared" si="17"/>
        <v>3.7</v>
      </c>
      <c r="M358" s="113"/>
    </row>
    <row r="359" spans="1:13" x14ac:dyDescent="0.2">
      <c r="A359" s="106" t="s">
        <v>5411</v>
      </c>
      <c r="B359" s="105" t="s">
        <v>3569</v>
      </c>
      <c r="C359" s="105" t="s">
        <v>5457</v>
      </c>
      <c r="D359" s="149" t="s">
        <v>3571</v>
      </c>
      <c r="E359" s="105">
        <v>1</v>
      </c>
      <c r="F359" s="133">
        <v>21.88</v>
      </c>
      <c r="G359" s="133">
        <v>25.25</v>
      </c>
      <c r="H359" s="109">
        <f t="shared" si="15"/>
        <v>25.25</v>
      </c>
      <c r="I359" s="119"/>
      <c r="J359" s="119"/>
      <c r="K359" s="119">
        <f t="shared" si="16"/>
        <v>25.25</v>
      </c>
      <c r="L359" s="152">
        <f t="shared" si="17"/>
        <v>21.88</v>
      </c>
      <c r="M359" s="113"/>
    </row>
    <row r="360" spans="1:13" x14ac:dyDescent="0.2">
      <c r="A360" s="106" t="s">
        <v>5411</v>
      </c>
      <c r="B360" s="105" t="s">
        <v>4720</v>
      </c>
      <c r="C360" s="105" t="s">
        <v>5458</v>
      </c>
      <c r="D360" s="149" t="s">
        <v>4755</v>
      </c>
      <c r="E360" s="105">
        <v>1</v>
      </c>
      <c r="F360" s="133">
        <v>25.03</v>
      </c>
      <c r="G360" s="133">
        <v>29</v>
      </c>
      <c r="H360" s="109">
        <f t="shared" si="15"/>
        <v>29</v>
      </c>
      <c r="I360" s="119"/>
      <c r="J360" s="119"/>
      <c r="K360" s="119">
        <f t="shared" si="16"/>
        <v>29</v>
      </c>
      <c r="L360" s="152">
        <f t="shared" si="17"/>
        <v>25.03</v>
      </c>
      <c r="M360" s="113"/>
    </row>
    <row r="361" spans="1:13" x14ac:dyDescent="0.2">
      <c r="A361" s="106" t="s">
        <v>5411</v>
      </c>
      <c r="B361" s="105" t="s">
        <v>3912</v>
      </c>
      <c r="C361" s="105" t="s">
        <v>5459</v>
      </c>
      <c r="D361" s="149" t="s">
        <v>3913</v>
      </c>
      <c r="E361" s="105">
        <v>1</v>
      </c>
      <c r="F361" s="133">
        <v>15.25</v>
      </c>
      <c r="G361" s="133">
        <v>17.75</v>
      </c>
      <c r="H361" s="109">
        <f t="shared" si="15"/>
        <v>17.75</v>
      </c>
      <c r="I361" s="119"/>
      <c r="J361" s="119"/>
      <c r="K361" s="119">
        <f t="shared" si="16"/>
        <v>17.75</v>
      </c>
      <c r="L361" s="152">
        <f t="shared" si="17"/>
        <v>15.25</v>
      </c>
      <c r="M361" s="113"/>
    </row>
    <row r="362" spans="1:13" x14ac:dyDescent="0.2">
      <c r="A362" s="106" t="s">
        <v>5411</v>
      </c>
      <c r="B362" s="105" t="s">
        <v>4997</v>
      </c>
      <c r="C362" s="105" t="s">
        <v>5460</v>
      </c>
      <c r="D362" s="149" t="s">
        <v>5023</v>
      </c>
      <c r="E362" s="105">
        <v>1</v>
      </c>
      <c r="F362" s="133">
        <v>3.22</v>
      </c>
      <c r="G362" s="133">
        <v>5</v>
      </c>
      <c r="H362" s="109">
        <f t="shared" si="15"/>
        <v>5</v>
      </c>
      <c r="I362" s="119"/>
      <c r="J362" s="119"/>
      <c r="K362" s="119">
        <f t="shared" si="16"/>
        <v>5</v>
      </c>
      <c r="L362" s="152">
        <f t="shared" si="17"/>
        <v>3.22</v>
      </c>
      <c r="M362" s="113"/>
    </row>
    <row r="363" spans="1:13" x14ac:dyDescent="0.2">
      <c r="A363" s="106" t="s">
        <v>5411</v>
      </c>
      <c r="B363" s="105" t="s">
        <v>2327</v>
      </c>
      <c r="C363" s="105" t="s">
        <v>5461</v>
      </c>
      <c r="D363" s="149" t="s">
        <v>2329</v>
      </c>
      <c r="E363" s="105">
        <v>1</v>
      </c>
      <c r="F363" s="133">
        <v>23.07</v>
      </c>
      <c r="G363" s="133">
        <v>26.75</v>
      </c>
      <c r="H363" s="109">
        <f t="shared" si="15"/>
        <v>26.75</v>
      </c>
      <c r="I363" s="119"/>
      <c r="J363" s="119"/>
      <c r="K363" s="119">
        <f t="shared" si="16"/>
        <v>26.75</v>
      </c>
      <c r="L363" s="152">
        <f t="shared" si="17"/>
        <v>23.07</v>
      </c>
      <c r="M363" s="113"/>
    </row>
    <row r="364" spans="1:13" x14ac:dyDescent="0.2">
      <c r="A364" s="106" t="s">
        <v>5411</v>
      </c>
      <c r="B364" s="105" t="s">
        <v>3446</v>
      </c>
      <c r="C364" s="105" t="s">
        <v>5462</v>
      </c>
      <c r="D364" s="149" t="s">
        <v>3447</v>
      </c>
      <c r="E364" s="105">
        <v>2</v>
      </c>
      <c r="F364" s="133">
        <v>33.75</v>
      </c>
      <c r="G364" s="133">
        <v>39</v>
      </c>
      <c r="H364" s="109">
        <f t="shared" si="15"/>
        <v>78</v>
      </c>
      <c r="I364" s="119"/>
      <c r="J364" s="119"/>
      <c r="K364" s="119">
        <f t="shared" si="16"/>
        <v>78</v>
      </c>
      <c r="L364" s="152">
        <f t="shared" si="17"/>
        <v>67.5</v>
      </c>
      <c r="M364" s="113"/>
    </row>
    <row r="365" spans="1:13" x14ac:dyDescent="0.2">
      <c r="A365" s="106" t="s">
        <v>5411</v>
      </c>
      <c r="B365" s="105" t="s">
        <v>1924</v>
      </c>
      <c r="C365" s="105" t="s">
        <v>5462</v>
      </c>
      <c r="D365" s="149" t="s">
        <v>1926</v>
      </c>
      <c r="E365" s="105">
        <v>1</v>
      </c>
      <c r="F365" s="133">
        <v>10.64</v>
      </c>
      <c r="G365" s="133">
        <v>12.25</v>
      </c>
      <c r="H365" s="109">
        <f t="shared" si="15"/>
        <v>12.25</v>
      </c>
      <c r="I365" s="119"/>
      <c r="J365" s="119"/>
      <c r="K365" s="119">
        <f t="shared" si="16"/>
        <v>12.25</v>
      </c>
      <c r="L365" s="152">
        <f t="shared" si="17"/>
        <v>10.64</v>
      </c>
      <c r="M365" s="113"/>
    </row>
    <row r="366" spans="1:13" x14ac:dyDescent="0.2">
      <c r="A366" s="106" t="s">
        <v>5411</v>
      </c>
      <c r="B366" s="105" t="s">
        <v>1854</v>
      </c>
      <c r="C366" s="105" t="s">
        <v>5463</v>
      </c>
      <c r="D366" s="149" t="s">
        <v>1855</v>
      </c>
      <c r="E366" s="105">
        <v>1</v>
      </c>
      <c r="F366" s="133">
        <v>7.62</v>
      </c>
      <c r="G366" s="133">
        <v>8.75</v>
      </c>
      <c r="H366" s="109">
        <f t="shared" si="15"/>
        <v>8.75</v>
      </c>
      <c r="I366" s="119"/>
      <c r="J366" s="119"/>
      <c r="K366" s="119">
        <f t="shared" si="16"/>
        <v>8.75</v>
      </c>
      <c r="L366" s="152">
        <f t="shared" si="17"/>
        <v>7.62</v>
      </c>
      <c r="M366" s="113"/>
    </row>
    <row r="367" spans="1:13" x14ac:dyDescent="0.2">
      <c r="A367" s="106" t="s">
        <v>5411</v>
      </c>
      <c r="B367" s="105" t="s">
        <v>2884</v>
      </c>
      <c r="C367" s="105" t="s">
        <v>5464</v>
      </c>
      <c r="D367" s="149" t="s">
        <v>2886</v>
      </c>
      <c r="E367" s="105">
        <v>4</v>
      </c>
      <c r="F367" s="133">
        <v>302.13</v>
      </c>
      <c r="G367" s="133">
        <v>362.75</v>
      </c>
      <c r="H367" s="109">
        <f t="shared" si="15"/>
        <v>1451</v>
      </c>
      <c r="I367" s="119"/>
      <c r="J367" s="119"/>
      <c r="K367" s="119">
        <f t="shared" si="16"/>
        <v>1451</v>
      </c>
      <c r="L367" s="152">
        <f t="shared" si="17"/>
        <v>1208.52</v>
      </c>
      <c r="M367" s="113"/>
    </row>
    <row r="368" spans="1:13" x14ac:dyDescent="0.2">
      <c r="A368" s="106" t="s">
        <v>5411</v>
      </c>
      <c r="B368" s="105" t="s">
        <v>5470</v>
      </c>
      <c r="C368" s="105" t="s">
        <v>5480</v>
      </c>
      <c r="D368" s="149" t="s">
        <v>5482</v>
      </c>
      <c r="E368" s="105">
        <v>2</v>
      </c>
      <c r="F368" s="133">
        <v>195</v>
      </c>
      <c r="G368" s="133">
        <v>250</v>
      </c>
      <c r="H368" s="109">
        <f t="shared" si="15"/>
        <v>500</v>
      </c>
      <c r="I368" s="119"/>
      <c r="J368" s="119"/>
      <c r="K368" s="119">
        <f t="shared" si="16"/>
        <v>500</v>
      </c>
      <c r="L368" s="152">
        <f t="shared" si="17"/>
        <v>390</v>
      </c>
      <c r="M368" s="113"/>
    </row>
    <row r="369" spans="1:13" x14ac:dyDescent="0.2">
      <c r="A369" s="106" t="s">
        <v>5411</v>
      </c>
      <c r="B369" s="105" t="s">
        <v>5471</v>
      </c>
      <c r="C369" s="105" t="s">
        <v>5480</v>
      </c>
      <c r="D369" s="149" t="s">
        <v>5483</v>
      </c>
      <c r="E369" s="105">
        <v>6</v>
      </c>
      <c r="F369" s="133">
        <v>34</v>
      </c>
      <c r="G369" s="133">
        <v>40</v>
      </c>
      <c r="H369" s="109">
        <f t="shared" si="15"/>
        <v>240</v>
      </c>
      <c r="I369" s="119"/>
      <c r="J369" s="119"/>
      <c r="K369" s="119">
        <f t="shared" si="16"/>
        <v>240</v>
      </c>
      <c r="L369" s="152">
        <f t="shared" si="17"/>
        <v>204</v>
      </c>
      <c r="M369" s="113"/>
    </row>
    <row r="370" spans="1:13" x14ac:dyDescent="0.2">
      <c r="A370" s="106" t="s">
        <v>5411</v>
      </c>
      <c r="B370" s="105" t="s">
        <v>5472</v>
      </c>
      <c r="C370" s="105" t="s">
        <v>5480</v>
      </c>
      <c r="D370" s="149" t="s">
        <v>5484</v>
      </c>
      <c r="E370" s="105">
        <v>12</v>
      </c>
      <c r="F370" s="133">
        <v>23</v>
      </c>
      <c r="G370" s="133">
        <v>30</v>
      </c>
      <c r="H370" s="109">
        <f t="shared" si="15"/>
        <v>360</v>
      </c>
      <c r="I370" s="119"/>
      <c r="J370" s="119"/>
      <c r="K370" s="119">
        <f t="shared" si="16"/>
        <v>360</v>
      </c>
      <c r="L370" s="152">
        <f t="shared" si="17"/>
        <v>276</v>
      </c>
      <c r="M370" s="113"/>
    </row>
    <row r="371" spans="1:13" x14ac:dyDescent="0.2">
      <c r="A371" s="106" t="s">
        <v>5411</v>
      </c>
      <c r="B371" s="105" t="s">
        <v>5473</v>
      </c>
      <c r="C371" s="105" t="s">
        <v>5481</v>
      </c>
      <c r="D371" s="149" t="s">
        <v>5485</v>
      </c>
      <c r="E371" s="105">
        <v>2</v>
      </c>
      <c r="F371" s="133">
        <v>40</v>
      </c>
      <c r="G371" s="133">
        <v>65</v>
      </c>
      <c r="H371" s="109">
        <f t="shared" si="15"/>
        <v>130</v>
      </c>
      <c r="I371" s="119"/>
      <c r="J371" s="119"/>
      <c r="K371" s="119">
        <f t="shared" si="16"/>
        <v>130</v>
      </c>
      <c r="L371" s="152">
        <f t="shared" si="17"/>
        <v>80</v>
      </c>
      <c r="M371" s="113"/>
    </row>
    <row r="372" spans="1:13" x14ac:dyDescent="0.2">
      <c r="A372" s="106" t="s">
        <v>5411</v>
      </c>
      <c r="B372" s="105" t="s">
        <v>5474</v>
      </c>
      <c r="C372" s="105" t="s">
        <v>5481</v>
      </c>
      <c r="D372" s="149" t="s">
        <v>5486</v>
      </c>
      <c r="E372" s="105">
        <v>18</v>
      </c>
      <c r="F372" s="133">
        <v>50</v>
      </c>
      <c r="G372" s="133">
        <v>65</v>
      </c>
      <c r="H372" s="109">
        <f t="shared" si="15"/>
        <v>1170</v>
      </c>
      <c r="I372" s="119"/>
      <c r="J372" s="119"/>
      <c r="K372" s="119">
        <f t="shared" si="16"/>
        <v>1170</v>
      </c>
      <c r="L372" s="152">
        <f t="shared" si="17"/>
        <v>900</v>
      </c>
      <c r="M372" s="113"/>
    </row>
    <row r="373" spans="1:13" x14ac:dyDescent="0.2">
      <c r="A373" s="106" t="s">
        <v>5411</v>
      </c>
      <c r="B373" s="105" t="s">
        <v>5475</v>
      </c>
      <c r="C373" s="105" t="s">
        <v>5481</v>
      </c>
      <c r="D373" s="149" t="s">
        <v>5487</v>
      </c>
      <c r="E373" s="105">
        <v>18</v>
      </c>
      <c r="F373" s="133">
        <v>60</v>
      </c>
      <c r="G373" s="133">
        <v>75</v>
      </c>
      <c r="H373" s="109">
        <f t="shared" si="15"/>
        <v>1350</v>
      </c>
      <c r="I373" s="119"/>
      <c r="J373" s="119"/>
      <c r="K373" s="119">
        <f t="shared" si="16"/>
        <v>1350</v>
      </c>
      <c r="L373" s="152">
        <f t="shared" si="17"/>
        <v>1080</v>
      </c>
      <c r="M373" s="113"/>
    </row>
    <row r="374" spans="1:13" x14ac:dyDescent="0.2">
      <c r="A374" s="106" t="s">
        <v>5411</v>
      </c>
      <c r="B374" s="105" t="s">
        <v>5476</v>
      </c>
      <c r="C374" s="105" t="s">
        <v>5481</v>
      </c>
      <c r="D374" s="149" t="s">
        <v>5488</v>
      </c>
      <c r="E374" s="105">
        <v>18</v>
      </c>
      <c r="F374" s="133">
        <v>40</v>
      </c>
      <c r="G374" s="133">
        <v>60</v>
      </c>
      <c r="H374" s="109">
        <f t="shared" si="15"/>
        <v>1080</v>
      </c>
      <c r="I374" s="119"/>
      <c r="J374" s="119"/>
      <c r="K374" s="119">
        <f t="shared" si="16"/>
        <v>1080</v>
      </c>
      <c r="L374" s="152">
        <f t="shared" si="17"/>
        <v>720</v>
      </c>
      <c r="M374" s="113"/>
    </row>
    <row r="375" spans="1:13" x14ac:dyDescent="0.2">
      <c r="A375" s="106" t="s">
        <v>5411</v>
      </c>
      <c r="B375" s="105" t="s">
        <v>5477</v>
      </c>
      <c r="C375" s="105" t="s">
        <v>5481</v>
      </c>
      <c r="D375" s="149" t="s">
        <v>5489</v>
      </c>
      <c r="E375" s="105">
        <v>18</v>
      </c>
      <c r="F375" s="133">
        <v>47</v>
      </c>
      <c r="G375" s="133">
        <v>60</v>
      </c>
      <c r="H375" s="109">
        <f t="shared" si="15"/>
        <v>1080</v>
      </c>
      <c r="I375" s="119"/>
      <c r="J375" s="119"/>
      <c r="K375" s="119">
        <f t="shared" si="16"/>
        <v>1080</v>
      </c>
      <c r="L375" s="152">
        <f t="shared" si="17"/>
        <v>846</v>
      </c>
      <c r="M375" s="113"/>
    </row>
    <row r="376" spans="1:13" x14ac:dyDescent="0.2">
      <c r="A376" s="106" t="s">
        <v>5411</v>
      </c>
      <c r="B376" s="105" t="s">
        <v>5478</v>
      </c>
      <c r="C376" s="105" t="s">
        <v>5481</v>
      </c>
      <c r="D376" s="149" t="s">
        <v>5490</v>
      </c>
      <c r="E376" s="105">
        <v>1</v>
      </c>
      <c r="F376" s="133">
        <v>90</v>
      </c>
      <c r="G376" s="133">
        <v>120</v>
      </c>
      <c r="H376" s="109">
        <f t="shared" si="15"/>
        <v>120</v>
      </c>
      <c r="I376" s="119"/>
      <c r="J376" s="119"/>
      <c r="K376" s="119">
        <f t="shared" si="16"/>
        <v>120</v>
      </c>
      <c r="L376" s="152">
        <f t="shared" si="17"/>
        <v>90</v>
      </c>
      <c r="M376" s="113"/>
    </row>
    <row r="377" spans="1:13" x14ac:dyDescent="0.2">
      <c r="A377" s="106" t="s">
        <v>5411</v>
      </c>
      <c r="B377" s="105" t="s">
        <v>5479</v>
      </c>
      <c r="C377" s="105" t="s">
        <v>5481</v>
      </c>
      <c r="D377" s="149" t="s">
        <v>5491</v>
      </c>
      <c r="E377" s="105">
        <v>3</v>
      </c>
      <c r="F377" s="133">
        <v>190</v>
      </c>
      <c r="G377" s="133">
        <v>250</v>
      </c>
      <c r="H377" s="109">
        <f t="shared" si="15"/>
        <v>750</v>
      </c>
      <c r="I377" s="119"/>
      <c r="J377" s="119"/>
      <c r="K377" s="119">
        <f t="shared" si="16"/>
        <v>750</v>
      </c>
      <c r="L377" s="152">
        <f t="shared" si="17"/>
        <v>570</v>
      </c>
      <c r="M377" s="113"/>
    </row>
    <row r="378" spans="1:13" x14ac:dyDescent="0.2">
      <c r="A378" s="106" t="s">
        <v>5492</v>
      </c>
      <c r="B378" s="105" t="s">
        <v>3437</v>
      </c>
      <c r="C378" s="105" t="s">
        <v>5501</v>
      </c>
      <c r="D378" s="149" t="s">
        <v>3439</v>
      </c>
      <c r="E378" s="105">
        <v>1</v>
      </c>
      <c r="F378" s="133">
        <v>13.12</v>
      </c>
      <c r="G378" s="133">
        <v>15.25</v>
      </c>
      <c r="H378" s="109">
        <f t="shared" si="15"/>
        <v>15.25</v>
      </c>
      <c r="I378" s="119"/>
      <c r="J378" s="119"/>
      <c r="K378" s="119">
        <f t="shared" si="16"/>
        <v>15.25</v>
      </c>
      <c r="L378" s="152">
        <f t="shared" si="17"/>
        <v>13.12</v>
      </c>
      <c r="M378" s="113"/>
    </row>
    <row r="379" spans="1:13" x14ac:dyDescent="0.2">
      <c r="A379" s="106" t="s">
        <v>5492</v>
      </c>
      <c r="B379" s="105" t="s">
        <v>1834</v>
      </c>
      <c r="C379" s="105" t="s">
        <v>5501</v>
      </c>
      <c r="D379" s="149" t="s">
        <v>1836</v>
      </c>
      <c r="E379" s="105">
        <v>1</v>
      </c>
      <c r="F379" s="133">
        <v>14.43</v>
      </c>
      <c r="G379" s="133">
        <v>17</v>
      </c>
      <c r="H379" s="109">
        <f t="shared" si="15"/>
        <v>17</v>
      </c>
      <c r="I379" s="119"/>
      <c r="J379" s="119"/>
      <c r="K379" s="119">
        <f t="shared" si="16"/>
        <v>17</v>
      </c>
      <c r="L379" s="152">
        <f t="shared" si="17"/>
        <v>14.43</v>
      </c>
      <c r="M379" s="113"/>
    </row>
    <row r="380" spans="1:13" x14ac:dyDescent="0.2">
      <c r="A380" s="106" t="s">
        <v>5492</v>
      </c>
      <c r="B380" s="105" t="s">
        <v>3909</v>
      </c>
      <c r="C380" s="105" t="s">
        <v>5501</v>
      </c>
      <c r="D380" s="149" t="s">
        <v>3911</v>
      </c>
      <c r="E380" s="105">
        <v>1</v>
      </c>
      <c r="F380" s="133">
        <v>7.06</v>
      </c>
      <c r="G380" s="133">
        <v>8.25</v>
      </c>
      <c r="H380" s="109">
        <f t="shared" si="15"/>
        <v>8.25</v>
      </c>
      <c r="I380" s="119"/>
      <c r="J380" s="119"/>
      <c r="K380" s="119">
        <f t="shared" si="16"/>
        <v>8.25</v>
      </c>
      <c r="L380" s="152">
        <f t="shared" si="17"/>
        <v>7.06</v>
      </c>
      <c r="M380" s="113"/>
    </row>
    <row r="381" spans="1:13" x14ac:dyDescent="0.2">
      <c r="A381" s="106" t="s">
        <v>5492</v>
      </c>
      <c r="B381" s="105" t="s">
        <v>4478</v>
      </c>
      <c r="C381" s="105" t="s">
        <v>5501</v>
      </c>
      <c r="D381" s="149" t="s">
        <v>4510</v>
      </c>
      <c r="E381" s="105">
        <v>1</v>
      </c>
      <c r="F381" s="133">
        <v>14.25</v>
      </c>
      <c r="G381" s="133">
        <v>16.5</v>
      </c>
      <c r="H381" s="109">
        <f t="shared" si="15"/>
        <v>16.5</v>
      </c>
      <c r="I381" s="119"/>
      <c r="J381" s="119"/>
      <c r="K381" s="119">
        <f t="shared" si="16"/>
        <v>16.5</v>
      </c>
      <c r="L381" s="152">
        <f t="shared" si="17"/>
        <v>14.25</v>
      </c>
      <c r="M381" s="113"/>
    </row>
    <row r="382" spans="1:13" x14ac:dyDescent="0.2">
      <c r="A382" s="106" t="s">
        <v>5492</v>
      </c>
      <c r="B382" s="105" t="s">
        <v>2441</v>
      </c>
      <c r="C382" s="105" t="s">
        <v>5502</v>
      </c>
      <c r="D382" s="149" t="s">
        <v>2443</v>
      </c>
      <c r="E382" s="105">
        <v>2</v>
      </c>
      <c r="F382" s="133">
        <v>0.81</v>
      </c>
      <c r="G382" s="133">
        <v>1</v>
      </c>
      <c r="H382" s="109">
        <f t="shared" si="15"/>
        <v>2</v>
      </c>
      <c r="I382" s="119"/>
      <c r="J382" s="119"/>
      <c r="K382" s="119">
        <f t="shared" si="16"/>
        <v>2</v>
      </c>
      <c r="L382" s="152">
        <f t="shared" si="17"/>
        <v>1.62</v>
      </c>
      <c r="M382" s="113"/>
    </row>
    <row r="383" spans="1:13" x14ac:dyDescent="0.2">
      <c r="A383" s="106" t="s">
        <v>5492</v>
      </c>
      <c r="B383" s="105" t="s">
        <v>5248</v>
      </c>
      <c r="C383" s="105" t="s">
        <v>5503</v>
      </c>
      <c r="D383" s="149" t="s">
        <v>5408</v>
      </c>
      <c r="E383" s="105">
        <v>1</v>
      </c>
      <c r="F383" s="133">
        <v>5.8</v>
      </c>
      <c r="G383" s="133">
        <v>7</v>
      </c>
      <c r="H383" s="109">
        <f t="shared" si="15"/>
        <v>7</v>
      </c>
      <c r="I383" s="119"/>
      <c r="J383" s="119"/>
      <c r="K383" s="119">
        <f t="shared" si="16"/>
        <v>7</v>
      </c>
      <c r="L383" s="152">
        <f t="shared" si="17"/>
        <v>5.8</v>
      </c>
      <c r="M383" s="113"/>
    </row>
    <row r="384" spans="1:13" x14ac:dyDescent="0.2">
      <c r="A384" s="106" t="s">
        <v>5492</v>
      </c>
      <c r="B384" s="105" t="s">
        <v>2189</v>
      </c>
      <c r="C384" s="105" t="s">
        <v>5504</v>
      </c>
      <c r="D384" s="149" t="s">
        <v>2190</v>
      </c>
      <c r="E384" s="105">
        <v>1</v>
      </c>
      <c r="F384" s="133">
        <v>65</v>
      </c>
      <c r="G384" s="133">
        <v>71.5</v>
      </c>
      <c r="H384" s="109">
        <f t="shared" si="15"/>
        <v>71.5</v>
      </c>
      <c r="I384" s="119"/>
      <c r="J384" s="119"/>
      <c r="K384" s="119">
        <f t="shared" si="16"/>
        <v>71.5</v>
      </c>
      <c r="L384" s="152">
        <f t="shared" si="17"/>
        <v>65</v>
      </c>
      <c r="M384" s="113"/>
    </row>
    <row r="385" spans="1:13" x14ac:dyDescent="0.2">
      <c r="A385" s="106" t="s">
        <v>5492</v>
      </c>
      <c r="B385" s="105" t="s">
        <v>2377</v>
      </c>
      <c r="C385" s="105" t="s">
        <v>5505</v>
      </c>
      <c r="D385" s="149" t="s">
        <v>2378</v>
      </c>
      <c r="E385" s="105">
        <v>2</v>
      </c>
      <c r="F385" s="133">
        <v>8.1999999999999993</v>
      </c>
      <c r="G385" s="133">
        <v>9.5</v>
      </c>
      <c r="H385" s="109">
        <f t="shared" si="15"/>
        <v>19</v>
      </c>
      <c r="I385" s="119"/>
      <c r="J385" s="119"/>
      <c r="K385" s="119">
        <f t="shared" si="16"/>
        <v>19</v>
      </c>
      <c r="L385" s="152">
        <f t="shared" si="17"/>
        <v>16.399999999999999</v>
      </c>
      <c r="M385" s="113"/>
    </row>
    <row r="386" spans="1:13" x14ac:dyDescent="0.2">
      <c r="A386" s="106" t="s">
        <v>5492</v>
      </c>
      <c r="B386" s="105" t="s">
        <v>1920</v>
      </c>
      <c r="C386" s="105" t="s">
        <v>5506</v>
      </c>
      <c r="D386" s="149" t="s">
        <v>1921</v>
      </c>
      <c r="E386" s="105">
        <v>9</v>
      </c>
      <c r="F386" s="133">
        <v>13.32</v>
      </c>
      <c r="G386" s="133">
        <v>15.5</v>
      </c>
      <c r="H386" s="109">
        <f t="shared" si="15"/>
        <v>139.5</v>
      </c>
      <c r="I386" s="119"/>
      <c r="J386" s="119"/>
      <c r="K386" s="119">
        <f t="shared" si="16"/>
        <v>139.5</v>
      </c>
      <c r="L386" s="152">
        <f t="shared" si="17"/>
        <v>119.88</v>
      </c>
      <c r="M386" s="113"/>
    </row>
    <row r="387" spans="1:13" x14ac:dyDescent="0.2">
      <c r="A387" s="106" t="s">
        <v>5492</v>
      </c>
      <c r="B387" s="105" t="s">
        <v>2205</v>
      </c>
      <c r="C387" s="105" t="s">
        <v>5507</v>
      </c>
      <c r="D387" s="149" t="s">
        <v>2207</v>
      </c>
      <c r="E387" s="105">
        <v>1</v>
      </c>
      <c r="F387" s="133">
        <v>41.86</v>
      </c>
      <c r="G387" s="133">
        <v>48.25</v>
      </c>
      <c r="H387" s="109">
        <f t="shared" si="15"/>
        <v>48.25</v>
      </c>
      <c r="I387" s="119"/>
      <c r="J387" s="119"/>
      <c r="K387" s="119">
        <f t="shared" si="16"/>
        <v>48.25</v>
      </c>
      <c r="L387" s="152">
        <f t="shared" si="17"/>
        <v>41.86</v>
      </c>
      <c r="M387" s="113"/>
    </row>
    <row r="388" spans="1:13" x14ac:dyDescent="0.2">
      <c r="A388" s="106" t="s">
        <v>5492</v>
      </c>
      <c r="B388" s="105" t="s">
        <v>5248</v>
      </c>
      <c r="C388" s="105" t="s">
        <v>5508</v>
      </c>
      <c r="D388" s="149" t="s">
        <v>5408</v>
      </c>
      <c r="E388" s="105">
        <v>1</v>
      </c>
      <c r="F388" s="133">
        <v>5.8</v>
      </c>
      <c r="G388" s="133">
        <v>7</v>
      </c>
      <c r="H388" s="109">
        <f t="shared" si="15"/>
        <v>7</v>
      </c>
      <c r="I388" s="119"/>
      <c r="J388" s="119"/>
      <c r="K388" s="119">
        <f t="shared" si="16"/>
        <v>7</v>
      </c>
      <c r="L388" s="152">
        <f t="shared" si="17"/>
        <v>5.8</v>
      </c>
      <c r="M388" s="113"/>
    </row>
    <row r="389" spans="1:13" x14ac:dyDescent="0.2">
      <c r="A389" s="106" t="s">
        <v>5492</v>
      </c>
      <c r="B389" s="105" t="s">
        <v>4945</v>
      </c>
      <c r="C389" s="105" t="s">
        <v>5509</v>
      </c>
      <c r="D389" s="149" t="s">
        <v>4982</v>
      </c>
      <c r="E389" s="105">
        <v>4</v>
      </c>
      <c r="F389" s="133">
        <v>22.45</v>
      </c>
      <c r="G389" s="133">
        <v>26</v>
      </c>
      <c r="H389" s="109">
        <f t="shared" si="15"/>
        <v>104</v>
      </c>
      <c r="I389" s="119"/>
      <c r="J389" s="119"/>
      <c r="K389" s="119">
        <f t="shared" si="16"/>
        <v>104</v>
      </c>
      <c r="L389" s="152">
        <f t="shared" si="17"/>
        <v>89.8</v>
      </c>
      <c r="M389" s="113"/>
    </row>
    <row r="390" spans="1:13" x14ac:dyDescent="0.2">
      <c r="A390" s="106" t="s">
        <v>5492</v>
      </c>
      <c r="B390" s="105" t="s">
        <v>5031</v>
      </c>
      <c r="C390" s="105" t="s">
        <v>5509</v>
      </c>
      <c r="D390" s="149" t="s">
        <v>5075</v>
      </c>
      <c r="E390" s="105">
        <v>2</v>
      </c>
      <c r="F390" s="133">
        <v>21.08</v>
      </c>
      <c r="G390" s="133">
        <v>25.25</v>
      </c>
      <c r="H390" s="109">
        <f t="shared" ref="H390:H453" si="18">E390*G390</f>
        <v>50.5</v>
      </c>
      <c r="I390" s="119"/>
      <c r="J390" s="119"/>
      <c r="K390" s="119">
        <f t="shared" si="16"/>
        <v>50.5</v>
      </c>
      <c r="L390" s="152">
        <f t="shared" si="17"/>
        <v>42.16</v>
      </c>
      <c r="M390" s="113"/>
    </row>
    <row r="391" spans="1:13" x14ac:dyDescent="0.2">
      <c r="A391" s="106" t="s">
        <v>5492</v>
      </c>
      <c r="B391" s="105" t="s">
        <v>2307</v>
      </c>
      <c r="C391" s="105" t="s">
        <v>5510</v>
      </c>
      <c r="D391" s="149" t="s">
        <v>2309</v>
      </c>
      <c r="E391" s="105">
        <v>1</v>
      </c>
      <c r="F391" s="133">
        <v>31.6</v>
      </c>
      <c r="G391" s="133">
        <v>36.5</v>
      </c>
      <c r="H391" s="109">
        <f t="shared" si="18"/>
        <v>36.5</v>
      </c>
      <c r="I391" s="119"/>
      <c r="J391" s="119"/>
      <c r="K391" s="119">
        <f t="shared" ref="K391:K454" si="19">H391+I391-J391</f>
        <v>36.5</v>
      </c>
      <c r="L391" s="152">
        <f t="shared" ref="L391:L454" si="20">E391*F391</f>
        <v>31.6</v>
      </c>
      <c r="M391" s="113"/>
    </row>
    <row r="392" spans="1:13" x14ac:dyDescent="0.2">
      <c r="A392" s="106" t="s">
        <v>5492</v>
      </c>
      <c r="B392" s="105" t="s">
        <v>3437</v>
      </c>
      <c r="C392" s="105" t="s">
        <v>5511</v>
      </c>
      <c r="D392" s="149" t="s">
        <v>3439</v>
      </c>
      <c r="E392" s="105">
        <v>1</v>
      </c>
      <c r="F392" s="133">
        <v>13.12</v>
      </c>
      <c r="G392" s="133">
        <v>15.25</v>
      </c>
      <c r="H392" s="109">
        <f t="shared" si="18"/>
        <v>15.25</v>
      </c>
      <c r="I392" s="119"/>
      <c r="J392" s="119"/>
      <c r="K392" s="119">
        <f t="shared" si="19"/>
        <v>15.25</v>
      </c>
      <c r="L392" s="152">
        <f t="shared" si="20"/>
        <v>13.12</v>
      </c>
      <c r="M392" s="113"/>
    </row>
    <row r="393" spans="1:13" x14ac:dyDescent="0.2">
      <c r="A393" s="106" t="s">
        <v>5492</v>
      </c>
      <c r="B393" s="105" t="s">
        <v>2636</v>
      </c>
      <c r="C393" s="105" t="s">
        <v>5512</v>
      </c>
      <c r="D393" s="149" t="s">
        <v>2637</v>
      </c>
      <c r="E393" s="105">
        <v>1</v>
      </c>
      <c r="F393" s="133">
        <v>14.42</v>
      </c>
      <c r="G393" s="133">
        <v>16.75</v>
      </c>
      <c r="H393" s="109">
        <f t="shared" si="18"/>
        <v>16.75</v>
      </c>
      <c r="I393" s="119"/>
      <c r="J393" s="119"/>
      <c r="K393" s="119">
        <f t="shared" si="19"/>
        <v>16.75</v>
      </c>
      <c r="L393" s="152">
        <f t="shared" si="20"/>
        <v>14.42</v>
      </c>
      <c r="M393" s="113"/>
    </row>
    <row r="394" spans="1:13" x14ac:dyDescent="0.2">
      <c r="A394" s="106" t="s">
        <v>5492</v>
      </c>
      <c r="B394" s="105" t="s">
        <v>3983</v>
      </c>
      <c r="C394" s="105" t="s">
        <v>5512</v>
      </c>
      <c r="D394" s="149" t="s">
        <v>3984</v>
      </c>
      <c r="E394" s="105">
        <v>1</v>
      </c>
      <c r="F394" s="133">
        <v>13.87</v>
      </c>
      <c r="G394" s="133">
        <v>17.75</v>
      </c>
      <c r="H394" s="109">
        <f t="shared" si="18"/>
        <v>17.75</v>
      </c>
      <c r="I394" s="119"/>
      <c r="J394" s="119"/>
      <c r="K394" s="119">
        <f t="shared" si="19"/>
        <v>17.75</v>
      </c>
      <c r="L394" s="152">
        <f t="shared" si="20"/>
        <v>13.87</v>
      </c>
      <c r="M394" s="113"/>
    </row>
    <row r="395" spans="1:13" x14ac:dyDescent="0.2">
      <c r="A395" s="106" t="s">
        <v>5492</v>
      </c>
      <c r="B395" s="105" t="s">
        <v>4952</v>
      </c>
      <c r="C395" s="105" t="s">
        <v>5513</v>
      </c>
      <c r="D395" s="149" t="s">
        <v>4989</v>
      </c>
      <c r="E395" s="105">
        <v>2</v>
      </c>
      <c r="F395" s="133">
        <v>9.26</v>
      </c>
      <c r="G395" s="133">
        <v>11</v>
      </c>
      <c r="H395" s="109">
        <f t="shared" si="18"/>
        <v>22</v>
      </c>
      <c r="I395" s="119"/>
      <c r="J395" s="119"/>
      <c r="K395" s="119">
        <f t="shared" si="19"/>
        <v>22</v>
      </c>
      <c r="L395" s="152">
        <f t="shared" si="20"/>
        <v>18.52</v>
      </c>
      <c r="M395" s="113"/>
    </row>
    <row r="396" spans="1:13" x14ac:dyDescent="0.2">
      <c r="A396" s="106" t="s">
        <v>5492</v>
      </c>
      <c r="B396" s="105" t="s">
        <v>2762</v>
      </c>
      <c r="C396" s="105" t="s">
        <v>5513</v>
      </c>
      <c r="D396" s="149" t="s">
        <v>2764</v>
      </c>
      <c r="E396" s="105">
        <v>2</v>
      </c>
      <c r="F396" s="133">
        <v>18.57</v>
      </c>
      <c r="G396" s="133">
        <v>21.5</v>
      </c>
      <c r="H396" s="109">
        <f t="shared" si="18"/>
        <v>43</v>
      </c>
      <c r="I396" s="119"/>
      <c r="J396" s="119"/>
      <c r="K396" s="119">
        <f t="shared" si="19"/>
        <v>43</v>
      </c>
      <c r="L396" s="152">
        <f t="shared" si="20"/>
        <v>37.14</v>
      </c>
      <c r="M396" s="113"/>
    </row>
    <row r="397" spans="1:13" x14ac:dyDescent="0.2">
      <c r="A397" s="106" t="s">
        <v>5492</v>
      </c>
      <c r="B397" s="105" t="s">
        <v>3569</v>
      </c>
      <c r="C397" s="105" t="s">
        <v>5514</v>
      </c>
      <c r="D397" s="149" t="s">
        <v>3571</v>
      </c>
      <c r="E397" s="105">
        <v>1</v>
      </c>
      <c r="F397" s="133">
        <v>21.88</v>
      </c>
      <c r="G397" s="133">
        <v>25.25</v>
      </c>
      <c r="H397" s="109">
        <f t="shared" si="18"/>
        <v>25.25</v>
      </c>
      <c r="I397" s="119"/>
      <c r="J397" s="119"/>
      <c r="K397" s="119">
        <f t="shared" si="19"/>
        <v>25.25</v>
      </c>
      <c r="L397" s="152">
        <f t="shared" si="20"/>
        <v>21.88</v>
      </c>
      <c r="M397" s="113"/>
    </row>
    <row r="398" spans="1:13" x14ac:dyDescent="0.2">
      <c r="A398" s="106" t="s">
        <v>5492</v>
      </c>
      <c r="B398" s="105" t="s">
        <v>4804</v>
      </c>
      <c r="C398" s="105" t="s">
        <v>5514</v>
      </c>
      <c r="D398" s="149" t="s">
        <v>4872</v>
      </c>
      <c r="E398" s="105">
        <v>1</v>
      </c>
      <c r="F398" s="133">
        <v>7.48</v>
      </c>
      <c r="G398" s="133">
        <v>8.75</v>
      </c>
      <c r="H398" s="109">
        <f t="shared" si="18"/>
        <v>8.75</v>
      </c>
      <c r="I398" s="119"/>
      <c r="J398" s="119"/>
      <c r="K398" s="119">
        <f t="shared" si="19"/>
        <v>8.75</v>
      </c>
      <c r="L398" s="152">
        <f t="shared" si="20"/>
        <v>7.48</v>
      </c>
      <c r="M398" s="113"/>
    </row>
    <row r="399" spans="1:13" x14ac:dyDescent="0.2">
      <c r="A399" s="106" t="s">
        <v>5492</v>
      </c>
      <c r="B399" s="105" t="s">
        <v>3092</v>
      </c>
      <c r="C399" s="105" t="s">
        <v>5514</v>
      </c>
      <c r="D399" s="149" t="s">
        <v>3093</v>
      </c>
      <c r="E399" s="105">
        <v>1</v>
      </c>
      <c r="F399" s="133">
        <v>7.48</v>
      </c>
      <c r="G399" s="133">
        <v>8.75</v>
      </c>
      <c r="H399" s="109">
        <f t="shared" si="18"/>
        <v>8.75</v>
      </c>
      <c r="I399" s="119"/>
      <c r="J399" s="119"/>
      <c r="K399" s="119">
        <f t="shared" si="19"/>
        <v>8.75</v>
      </c>
      <c r="L399" s="152">
        <f t="shared" si="20"/>
        <v>7.48</v>
      </c>
      <c r="M399" s="113"/>
    </row>
    <row r="400" spans="1:13" x14ac:dyDescent="0.2">
      <c r="A400" s="106" t="s">
        <v>5492</v>
      </c>
      <c r="B400" s="105" t="s">
        <v>3446</v>
      </c>
      <c r="C400" s="105" t="s">
        <v>5514</v>
      </c>
      <c r="D400" s="149" t="s">
        <v>3447</v>
      </c>
      <c r="E400" s="105">
        <v>1</v>
      </c>
      <c r="F400" s="133">
        <v>33.75</v>
      </c>
      <c r="G400" s="133">
        <v>39</v>
      </c>
      <c r="H400" s="109">
        <f t="shared" si="18"/>
        <v>39</v>
      </c>
      <c r="I400" s="119"/>
      <c r="J400" s="119"/>
      <c r="K400" s="119">
        <f t="shared" si="19"/>
        <v>39</v>
      </c>
      <c r="L400" s="152">
        <f t="shared" si="20"/>
        <v>33.75</v>
      </c>
      <c r="M400" s="113"/>
    </row>
    <row r="401" spans="1:13" x14ac:dyDescent="0.2">
      <c r="A401" s="106" t="s">
        <v>5492</v>
      </c>
      <c r="B401" s="105" t="s">
        <v>3434</v>
      </c>
      <c r="C401" s="105" t="s">
        <v>5514</v>
      </c>
      <c r="D401" s="149" t="s">
        <v>3436</v>
      </c>
      <c r="E401" s="105">
        <v>1</v>
      </c>
      <c r="F401" s="133">
        <v>7.41</v>
      </c>
      <c r="G401" s="133">
        <v>8.75</v>
      </c>
      <c r="H401" s="109">
        <f t="shared" si="18"/>
        <v>8.75</v>
      </c>
      <c r="I401" s="119"/>
      <c r="J401" s="119"/>
      <c r="K401" s="119">
        <f t="shared" si="19"/>
        <v>8.75</v>
      </c>
      <c r="L401" s="152">
        <f t="shared" si="20"/>
        <v>7.41</v>
      </c>
      <c r="M401" s="113"/>
    </row>
    <row r="402" spans="1:13" x14ac:dyDescent="0.2">
      <c r="A402" s="106" t="s">
        <v>5492</v>
      </c>
      <c r="B402" s="105" t="s">
        <v>2226</v>
      </c>
      <c r="C402" s="105" t="s">
        <v>5514</v>
      </c>
      <c r="D402" s="149" t="s">
        <v>2228</v>
      </c>
      <c r="E402" s="105">
        <v>1</v>
      </c>
      <c r="F402" s="133">
        <v>19.47</v>
      </c>
      <c r="G402" s="133">
        <v>23</v>
      </c>
      <c r="H402" s="109">
        <f t="shared" si="18"/>
        <v>23</v>
      </c>
      <c r="I402" s="119"/>
      <c r="J402" s="119"/>
      <c r="K402" s="119">
        <f t="shared" si="19"/>
        <v>23</v>
      </c>
      <c r="L402" s="152">
        <f t="shared" si="20"/>
        <v>19.47</v>
      </c>
      <c r="M402" s="113"/>
    </row>
    <row r="403" spans="1:13" x14ac:dyDescent="0.2">
      <c r="A403" s="106" t="s">
        <v>5492</v>
      </c>
      <c r="B403" s="105" t="s">
        <v>2416</v>
      </c>
      <c r="C403" s="105" t="s">
        <v>5515</v>
      </c>
      <c r="D403" s="149" t="s">
        <v>2417</v>
      </c>
      <c r="E403" s="105">
        <v>1</v>
      </c>
      <c r="F403" s="133">
        <v>20.88</v>
      </c>
      <c r="G403" s="133">
        <v>24</v>
      </c>
      <c r="H403" s="109">
        <f t="shared" si="18"/>
        <v>24</v>
      </c>
      <c r="I403" s="119"/>
      <c r="J403" s="119"/>
      <c r="K403" s="119">
        <f t="shared" si="19"/>
        <v>24</v>
      </c>
      <c r="L403" s="152">
        <f t="shared" si="20"/>
        <v>20.88</v>
      </c>
      <c r="M403" s="113"/>
    </row>
    <row r="404" spans="1:13" x14ac:dyDescent="0.2">
      <c r="A404" s="106" t="s">
        <v>5492</v>
      </c>
      <c r="B404" s="105" t="s">
        <v>1929</v>
      </c>
      <c r="C404" s="105" t="s">
        <v>5515</v>
      </c>
      <c r="D404" s="149" t="s">
        <v>1930</v>
      </c>
      <c r="E404" s="105">
        <v>3</v>
      </c>
      <c r="F404" s="133">
        <v>13.92</v>
      </c>
      <c r="G404" s="133">
        <v>22</v>
      </c>
      <c r="H404" s="109">
        <f t="shared" si="18"/>
        <v>66</v>
      </c>
      <c r="I404" s="119"/>
      <c r="J404" s="119"/>
      <c r="K404" s="119">
        <f t="shared" si="19"/>
        <v>66</v>
      </c>
      <c r="L404" s="152">
        <f t="shared" si="20"/>
        <v>41.76</v>
      </c>
      <c r="M404" s="113"/>
    </row>
    <row r="405" spans="1:13" x14ac:dyDescent="0.2">
      <c r="A405" s="106" t="s">
        <v>5492</v>
      </c>
      <c r="B405" s="105" t="s">
        <v>2794</v>
      </c>
      <c r="C405" s="105" t="s">
        <v>5516</v>
      </c>
      <c r="D405" s="149" t="s">
        <v>2795</v>
      </c>
      <c r="E405" s="105">
        <v>1</v>
      </c>
      <c r="F405" s="133">
        <v>23.15</v>
      </c>
      <c r="G405" s="133">
        <v>27</v>
      </c>
      <c r="H405" s="109">
        <f t="shared" si="18"/>
        <v>27</v>
      </c>
      <c r="I405" s="119"/>
      <c r="J405" s="119"/>
      <c r="K405" s="119">
        <f t="shared" si="19"/>
        <v>27</v>
      </c>
      <c r="L405" s="152">
        <f t="shared" si="20"/>
        <v>23.15</v>
      </c>
      <c r="M405" s="113"/>
    </row>
    <row r="406" spans="1:13" x14ac:dyDescent="0.2">
      <c r="A406" s="106" t="s">
        <v>5492</v>
      </c>
      <c r="B406" s="105" t="s">
        <v>5415</v>
      </c>
      <c r="C406" s="105" t="s">
        <v>5517</v>
      </c>
      <c r="D406" s="149" t="s">
        <v>5466</v>
      </c>
      <c r="E406" s="105">
        <v>2</v>
      </c>
      <c r="F406" s="133">
        <v>3.7</v>
      </c>
      <c r="G406" s="133">
        <v>5</v>
      </c>
      <c r="H406" s="109">
        <f t="shared" si="18"/>
        <v>10</v>
      </c>
      <c r="I406" s="119"/>
      <c r="J406" s="119"/>
      <c r="K406" s="119">
        <f t="shared" si="19"/>
        <v>10</v>
      </c>
      <c r="L406" s="152">
        <f t="shared" si="20"/>
        <v>7.4</v>
      </c>
      <c r="M406" s="113"/>
    </row>
    <row r="407" spans="1:13" x14ac:dyDescent="0.2">
      <c r="A407" s="106" t="s">
        <v>5492</v>
      </c>
      <c r="B407" s="105" t="s">
        <v>4054</v>
      </c>
      <c r="C407" s="105" t="s">
        <v>5518</v>
      </c>
      <c r="D407" s="149" t="s">
        <v>4056</v>
      </c>
      <c r="E407" s="105">
        <v>1</v>
      </c>
      <c r="F407" s="133">
        <v>12.69</v>
      </c>
      <c r="G407" s="133">
        <v>14.75</v>
      </c>
      <c r="H407" s="109">
        <f t="shared" si="18"/>
        <v>14.75</v>
      </c>
      <c r="I407" s="119"/>
      <c r="J407" s="119"/>
      <c r="K407" s="119">
        <f t="shared" si="19"/>
        <v>14.75</v>
      </c>
      <c r="L407" s="152">
        <f t="shared" si="20"/>
        <v>12.69</v>
      </c>
      <c r="M407" s="113"/>
    </row>
    <row r="408" spans="1:13" x14ac:dyDescent="0.2">
      <c r="A408" s="106" t="s">
        <v>5492</v>
      </c>
      <c r="B408" s="105" t="s">
        <v>5248</v>
      </c>
      <c r="C408" s="105" t="s">
        <v>5519</v>
      </c>
      <c r="D408" s="149" t="s">
        <v>5408</v>
      </c>
      <c r="E408" s="105">
        <v>1</v>
      </c>
      <c r="F408" s="133">
        <v>5.8</v>
      </c>
      <c r="G408" s="133">
        <v>7</v>
      </c>
      <c r="H408" s="109">
        <f t="shared" si="18"/>
        <v>7</v>
      </c>
      <c r="I408" s="119"/>
      <c r="J408" s="119"/>
      <c r="K408" s="119">
        <f t="shared" si="19"/>
        <v>7</v>
      </c>
      <c r="L408" s="152">
        <f t="shared" si="20"/>
        <v>5.8</v>
      </c>
      <c r="M408" s="113"/>
    </row>
    <row r="409" spans="1:13" x14ac:dyDescent="0.2">
      <c r="A409" s="106" t="s">
        <v>5492</v>
      </c>
      <c r="B409" s="105" t="s">
        <v>2872</v>
      </c>
      <c r="C409" s="105" t="s">
        <v>5519</v>
      </c>
      <c r="D409" s="149" t="s">
        <v>2873</v>
      </c>
      <c r="E409" s="105">
        <v>1</v>
      </c>
      <c r="F409" s="133">
        <v>4.4800000000000004</v>
      </c>
      <c r="G409" s="133">
        <v>5.25</v>
      </c>
      <c r="H409" s="109">
        <f t="shared" si="18"/>
        <v>5.25</v>
      </c>
      <c r="I409" s="119"/>
      <c r="J409" s="119"/>
      <c r="K409" s="119">
        <f t="shared" si="19"/>
        <v>5.25</v>
      </c>
      <c r="L409" s="152">
        <f t="shared" si="20"/>
        <v>4.4800000000000004</v>
      </c>
      <c r="M409" s="113"/>
    </row>
    <row r="410" spans="1:13" x14ac:dyDescent="0.2">
      <c r="A410" s="106" t="s">
        <v>5492</v>
      </c>
      <c r="B410" s="105" t="s">
        <v>4150</v>
      </c>
      <c r="C410" s="105" t="s">
        <v>5520</v>
      </c>
      <c r="D410" s="149" t="s">
        <v>4152</v>
      </c>
      <c r="E410" s="105">
        <v>1</v>
      </c>
      <c r="F410" s="133">
        <v>14.82</v>
      </c>
      <c r="G410" s="133">
        <v>17.25</v>
      </c>
      <c r="H410" s="109">
        <f t="shared" si="18"/>
        <v>17.25</v>
      </c>
      <c r="I410" s="119"/>
      <c r="J410" s="119"/>
      <c r="K410" s="119">
        <f t="shared" si="19"/>
        <v>17.25</v>
      </c>
      <c r="L410" s="152">
        <f t="shared" si="20"/>
        <v>14.82</v>
      </c>
      <c r="M410" s="113"/>
    </row>
    <row r="411" spans="1:13" x14ac:dyDescent="0.2">
      <c r="A411" s="106" t="s">
        <v>5492</v>
      </c>
      <c r="B411" s="105" t="s">
        <v>1857</v>
      </c>
      <c r="C411" s="105" t="s">
        <v>5521</v>
      </c>
      <c r="D411" s="149" t="s">
        <v>1858</v>
      </c>
      <c r="E411" s="105">
        <v>1</v>
      </c>
      <c r="F411" s="133">
        <v>15.12</v>
      </c>
      <c r="G411" s="133">
        <v>17.5</v>
      </c>
      <c r="H411" s="109">
        <f t="shared" si="18"/>
        <v>17.5</v>
      </c>
      <c r="I411" s="119"/>
      <c r="J411" s="119"/>
      <c r="K411" s="119">
        <f t="shared" si="19"/>
        <v>17.5</v>
      </c>
      <c r="L411" s="152">
        <f t="shared" si="20"/>
        <v>15.12</v>
      </c>
      <c r="M411" s="113"/>
    </row>
    <row r="412" spans="1:13" x14ac:dyDescent="0.2">
      <c r="A412" s="106" t="s">
        <v>5492</v>
      </c>
      <c r="B412" s="105" t="s">
        <v>1854</v>
      </c>
      <c r="C412" s="105" t="s">
        <v>5522</v>
      </c>
      <c r="D412" s="149" t="s">
        <v>1855</v>
      </c>
      <c r="E412" s="105">
        <v>1</v>
      </c>
      <c r="F412" s="133">
        <v>7.62</v>
      </c>
      <c r="G412" s="133">
        <v>8.75</v>
      </c>
      <c r="H412" s="109">
        <f t="shared" si="18"/>
        <v>8.75</v>
      </c>
      <c r="I412" s="119"/>
      <c r="J412" s="119"/>
      <c r="K412" s="119">
        <f t="shared" si="19"/>
        <v>8.75</v>
      </c>
      <c r="L412" s="152">
        <f t="shared" si="20"/>
        <v>7.62</v>
      </c>
      <c r="M412" s="113"/>
    </row>
    <row r="413" spans="1:13" x14ac:dyDescent="0.2">
      <c r="A413" s="106" t="s">
        <v>5492</v>
      </c>
      <c r="B413" s="105" t="s">
        <v>3437</v>
      </c>
      <c r="C413" s="105" t="s">
        <v>5523</v>
      </c>
      <c r="D413" s="149" t="s">
        <v>3439</v>
      </c>
      <c r="E413" s="105">
        <v>1</v>
      </c>
      <c r="F413" s="133">
        <v>13.12</v>
      </c>
      <c r="G413" s="133">
        <v>15.25</v>
      </c>
      <c r="H413" s="109">
        <f t="shared" si="18"/>
        <v>15.25</v>
      </c>
      <c r="I413" s="119"/>
      <c r="J413" s="119"/>
      <c r="K413" s="119">
        <f t="shared" si="19"/>
        <v>15.25</v>
      </c>
      <c r="L413" s="152">
        <f t="shared" si="20"/>
        <v>13.12</v>
      </c>
      <c r="M413" s="113"/>
    </row>
    <row r="414" spans="1:13" x14ac:dyDescent="0.2">
      <c r="A414" s="106" t="s">
        <v>5492</v>
      </c>
      <c r="B414" s="105" t="s">
        <v>3836</v>
      </c>
      <c r="C414" s="105" t="s">
        <v>5523</v>
      </c>
      <c r="D414" s="149" t="s">
        <v>3838</v>
      </c>
      <c r="E414" s="105">
        <v>1</v>
      </c>
      <c r="F414" s="133">
        <v>23</v>
      </c>
      <c r="G414" s="133">
        <v>26.5</v>
      </c>
      <c r="H414" s="109">
        <f t="shared" si="18"/>
        <v>26.5</v>
      </c>
      <c r="I414" s="119"/>
      <c r="J414" s="119"/>
      <c r="K414" s="119">
        <f t="shared" si="19"/>
        <v>26.5</v>
      </c>
      <c r="L414" s="152">
        <f t="shared" si="20"/>
        <v>23</v>
      </c>
      <c r="M414" s="113"/>
    </row>
    <row r="415" spans="1:13" x14ac:dyDescent="0.2">
      <c r="A415" s="106" t="s">
        <v>5492</v>
      </c>
      <c r="B415" s="105" t="s">
        <v>5416</v>
      </c>
      <c r="C415" s="105" t="s">
        <v>5523</v>
      </c>
      <c r="D415" s="149" t="s">
        <v>5467</v>
      </c>
      <c r="E415" s="105">
        <v>4</v>
      </c>
      <c r="F415" s="133">
        <v>1</v>
      </c>
      <c r="G415" s="133">
        <v>1.25</v>
      </c>
      <c r="H415" s="109">
        <f t="shared" si="18"/>
        <v>5</v>
      </c>
      <c r="I415" s="119"/>
      <c r="J415" s="119"/>
      <c r="K415" s="119">
        <f t="shared" si="19"/>
        <v>5</v>
      </c>
      <c r="L415" s="152">
        <f t="shared" si="20"/>
        <v>4</v>
      </c>
      <c r="M415" s="113"/>
    </row>
    <row r="416" spans="1:13" x14ac:dyDescent="0.2">
      <c r="A416" s="106" t="s">
        <v>5492</v>
      </c>
      <c r="B416" s="105" t="s">
        <v>2307</v>
      </c>
      <c r="C416" s="105" t="s">
        <v>5524</v>
      </c>
      <c r="D416" s="149" t="s">
        <v>2309</v>
      </c>
      <c r="E416" s="105">
        <v>1</v>
      </c>
      <c r="F416" s="133">
        <v>31.6</v>
      </c>
      <c r="G416" s="133">
        <v>36.5</v>
      </c>
      <c r="H416" s="109">
        <f t="shared" si="18"/>
        <v>36.5</v>
      </c>
      <c r="I416" s="119"/>
      <c r="J416" s="119"/>
      <c r="K416" s="119">
        <f t="shared" si="19"/>
        <v>36.5</v>
      </c>
      <c r="L416" s="152">
        <f t="shared" si="20"/>
        <v>31.6</v>
      </c>
      <c r="M416" s="113"/>
    </row>
    <row r="417" spans="1:13" x14ac:dyDescent="0.2">
      <c r="A417" s="106" t="s">
        <v>5492</v>
      </c>
      <c r="B417" s="105" t="s">
        <v>4520</v>
      </c>
      <c r="C417" s="105" t="s">
        <v>5525</v>
      </c>
      <c r="D417" s="149" t="s">
        <v>4625</v>
      </c>
      <c r="E417" s="105">
        <v>2</v>
      </c>
      <c r="F417" s="133">
        <v>60</v>
      </c>
      <c r="G417" s="133">
        <v>75</v>
      </c>
      <c r="H417" s="109">
        <f t="shared" si="18"/>
        <v>150</v>
      </c>
      <c r="I417" s="119"/>
      <c r="J417" s="119"/>
      <c r="K417" s="119">
        <f t="shared" si="19"/>
        <v>150</v>
      </c>
      <c r="L417" s="152">
        <f t="shared" si="20"/>
        <v>120</v>
      </c>
      <c r="M417" s="113"/>
    </row>
    <row r="418" spans="1:13" x14ac:dyDescent="0.2">
      <c r="A418" s="106" t="s">
        <v>5492</v>
      </c>
      <c r="B418" s="105" t="s">
        <v>1826</v>
      </c>
      <c r="C418" s="105" t="s">
        <v>5525</v>
      </c>
      <c r="D418" s="149" t="s">
        <v>1827</v>
      </c>
      <c r="E418" s="105">
        <v>1</v>
      </c>
      <c r="F418" s="133">
        <v>90</v>
      </c>
      <c r="G418" s="133">
        <v>120</v>
      </c>
      <c r="H418" s="109">
        <f t="shared" si="18"/>
        <v>120</v>
      </c>
      <c r="I418" s="119"/>
      <c r="J418" s="119"/>
      <c r="K418" s="119">
        <f t="shared" si="19"/>
        <v>120</v>
      </c>
      <c r="L418" s="152">
        <f t="shared" si="20"/>
        <v>90</v>
      </c>
      <c r="M418" s="113"/>
    </row>
    <row r="419" spans="1:13" x14ac:dyDescent="0.2">
      <c r="A419" s="106" t="s">
        <v>5492</v>
      </c>
      <c r="B419" s="105" t="s">
        <v>3437</v>
      </c>
      <c r="C419" s="105" t="s">
        <v>5526</v>
      </c>
      <c r="D419" s="149" t="s">
        <v>3439</v>
      </c>
      <c r="E419" s="105">
        <v>1</v>
      </c>
      <c r="F419" s="133">
        <v>13.12</v>
      </c>
      <c r="G419" s="133">
        <v>15.25</v>
      </c>
      <c r="H419" s="109">
        <f t="shared" si="18"/>
        <v>15.25</v>
      </c>
      <c r="I419" s="119"/>
      <c r="J419" s="119"/>
      <c r="K419" s="119">
        <f t="shared" si="19"/>
        <v>15.25</v>
      </c>
      <c r="L419" s="152">
        <f t="shared" si="20"/>
        <v>13.12</v>
      </c>
      <c r="M419" s="113"/>
    </row>
    <row r="420" spans="1:13" x14ac:dyDescent="0.2">
      <c r="A420" s="106" t="s">
        <v>5492</v>
      </c>
      <c r="B420" s="105" t="s">
        <v>2115</v>
      </c>
      <c r="C420" s="105" t="s">
        <v>5527</v>
      </c>
      <c r="D420" s="149" t="s">
        <v>2117</v>
      </c>
      <c r="E420" s="105">
        <v>1</v>
      </c>
      <c r="F420" s="133">
        <v>84.8</v>
      </c>
      <c r="G420" s="133">
        <v>94</v>
      </c>
      <c r="H420" s="109">
        <f t="shared" si="18"/>
        <v>94</v>
      </c>
      <c r="I420" s="119"/>
      <c r="J420" s="119"/>
      <c r="K420" s="119">
        <f t="shared" si="19"/>
        <v>94</v>
      </c>
      <c r="L420" s="152">
        <f t="shared" si="20"/>
        <v>84.8</v>
      </c>
      <c r="M420" s="113"/>
    </row>
    <row r="421" spans="1:13" x14ac:dyDescent="0.2">
      <c r="A421" s="106" t="s">
        <v>5492</v>
      </c>
      <c r="B421" s="105" t="s">
        <v>5496</v>
      </c>
      <c r="C421" s="105" t="s">
        <v>5528</v>
      </c>
      <c r="D421" s="149" t="s">
        <v>5572</v>
      </c>
      <c r="E421" s="105">
        <v>1</v>
      </c>
      <c r="F421" s="133">
        <v>20000</v>
      </c>
      <c r="G421" s="133">
        <v>21000</v>
      </c>
      <c r="H421" s="109">
        <f t="shared" si="18"/>
        <v>21000</v>
      </c>
      <c r="I421" s="119"/>
      <c r="J421" s="119"/>
      <c r="K421" s="119">
        <f t="shared" si="19"/>
        <v>21000</v>
      </c>
      <c r="L421" s="152">
        <f t="shared" si="20"/>
        <v>20000</v>
      </c>
      <c r="M421" s="113"/>
    </row>
    <row r="422" spans="1:13" x14ac:dyDescent="0.2">
      <c r="A422" s="106" t="s">
        <v>5492</v>
      </c>
      <c r="B422" s="105" t="s">
        <v>1967</v>
      </c>
      <c r="C422" s="105" t="s">
        <v>5529</v>
      </c>
      <c r="D422" s="149" t="s">
        <v>1968</v>
      </c>
      <c r="E422" s="105">
        <v>1</v>
      </c>
      <c r="F422" s="133">
        <v>8.1999999999999993</v>
      </c>
      <c r="G422" s="133">
        <v>10</v>
      </c>
      <c r="H422" s="109">
        <f t="shared" si="18"/>
        <v>10</v>
      </c>
      <c r="I422" s="119"/>
      <c r="J422" s="119"/>
      <c r="K422" s="119">
        <f t="shared" si="19"/>
        <v>10</v>
      </c>
      <c r="L422" s="152">
        <f t="shared" si="20"/>
        <v>8.1999999999999993</v>
      </c>
      <c r="M422" s="113"/>
    </row>
    <row r="423" spans="1:13" x14ac:dyDescent="0.2">
      <c r="A423" s="106" t="s">
        <v>5492</v>
      </c>
      <c r="B423" s="105" t="s">
        <v>2031</v>
      </c>
      <c r="C423" s="105" t="s">
        <v>5529</v>
      </c>
      <c r="D423" s="149" t="s">
        <v>2033</v>
      </c>
      <c r="E423" s="105">
        <v>1</v>
      </c>
      <c r="F423" s="133">
        <v>20.399999999999999</v>
      </c>
      <c r="G423" s="133">
        <v>24</v>
      </c>
      <c r="H423" s="109">
        <f t="shared" si="18"/>
        <v>24</v>
      </c>
      <c r="I423" s="119"/>
      <c r="J423" s="119"/>
      <c r="K423" s="119">
        <f t="shared" si="19"/>
        <v>24</v>
      </c>
      <c r="L423" s="152">
        <f t="shared" si="20"/>
        <v>20.399999999999999</v>
      </c>
      <c r="M423" s="113"/>
    </row>
    <row r="424" spans="1:13" x14ac:dyDescent="0.2">
      <c r="A424" s="106" t="s">
        <v>5492</v>
      </c>
      <c r="B424" s="105" t="s">
        <v>3267</v>
      </c>
      <c r="C424" s="105" t="s">
        <v>5529</v>
      </c>
      <c r="D424" s="149" t="s">
        <v>3268</v>
      </c>
      <c r="E424" s="105">
        <v>2</v>
      </c>
      <c r="F424" s="133">
        <v>11.5</v>
      </c>
      <c r="G424" s="133">
        <v>13.5</v>
      </c>
      <c r="H424" s="109">
        <f t="shared" si="18"/>
        <v>27</v>
      </c>
      <c r="I424" s="119"/>
      <c r="J424" s="119"/>
      <c r="K424" s="119">
        <f t="shared" si="19"/>
        <v>27</v>
      </c>
      <c r="L424" s="152">
        <f t="shared" si="20"/>
        <v>23</v>
      </c>
      <c r="M424" s="113"/>
    </row>
    <row r="425" spans="1:13" x14ac:dyDescent="0.2">
      <c r="A425" s="106" t="s">
        <v>5492</v>
      </c>
      <c r="B425" s="105" t="s">
        <v>3314</v>
      </c>
      <c r="C425" s="105" t="s">
        <v>5529</v>
      </c>
      <c r="D425" s="149" t="s">
        <v>3316</v>
      </c>
      <c r="E425" s="105">
        <v>1</v>
      </c>
      <c r="F425" s="133">
        <v>16.579999999999998</v>
      </c>
      <c r="G425" s="133">
        <v>19</v>
      </c>
      <c r="H425" s="109">
        <f t="shared" si="18"/>
        <v>19</v>
      </c>
      <c r="I425" s="119"/>
      <c r="J425" s="119"/>
      <c r="K425" s="119">
        <f t="shared" si="19"/>
        <v>19</v>
      </c>
      <c r="L425" s="152">
        <f t="shared" si="20"/>
        <v>16.579999999999998</v>
      </c>
      <c r="M425" s="113"/>
    </row>
    <row r="426" spans="1:13" x14ac:dyDescent="0.2">
      <c r="A426" s="106" t="s">
        <v>5492</v>
      </c>
      <c r="B426" s="105" t="s">
        <v>2569</v>
      </c>
      <c r="C426" s="105" t="s">
        <v>5529</v>
      </c>
      <c r="D426" s="149" t="s">
        <v>2570</v>
      </c>
      <c r="E426" s="105">
        <v>1</v>
      </c>
      <c r="F426" s="133">
        <v>34.270000000000003</v>
      </c>
      <c r="G426" s="133">
        <v>39.5</v>
      </c>
      <c r="H426" s="109">
        <f t="shared" si="18"/>
        <v>39.5</v>
      </c>
      <c r="I426" s="119"/>
      <c r="J426" s="119"/>
      <c r="K426" s="119">
        <f t="shared" si="19"/>
        <v>39.5</v>
      </c>
      <c r="L426" s="152">
        <f t="shared" si="20"/>
        <v>34.270000000000003</v>
      </c>
      <c r="M426" s="113"/>
    </row>
    <row r="427" spans="1:13" x14ac:dyDescent="0.2">
      <c r="A427" s="106" t="s">
        <v>5492</v>
      </c>
      <c r="B427" s="105" t="s">
        <v>2226</v>
      </c>
      <c r="C427" s="105" t="s">
        <v>5529</v>
      </c>
      <c r="D427" s="149" t="s">
        <v>2228</v>
      </c>
      <c r="E427" s="105">
        <v>1</v>
      </c>
      <c r="F427" s="133">
        <v>19.47</v>
      </c>
      <c r="G427" s="133">
        <v>23</v>
      </c>
      <c r="H427" s="109">
        <f t="shared" si="18"/>
        <v>23</v>
      </c>
      <c r="I427" s="119"/>
      <c r="J427" s="119"/>
      <c r="K427" s="119">
        <f t="shared" si="19"/>
        <v>23</v>
      </c>
      <c r="L427" s="152">
        <f t="shared" si="20"/>
        <v>19.47</v>
      </c>
      <c r="M427" s="113"/>
    </row>
    <row r="428" spans="1:13" x14ac:dyDescent="0.2">
      <c r="A428" s="106" t="s">
        <v>5492</v>
      </c>
      <c r="B428" s="105" t="s">
        <v>2996</v>
      </c>
      <c r="C428" s="105" t="s">
        <v>5529</v>
      </c>
      <c r="D428" s="149" t="s">
        <v>2997</v>
      </c>
      <c r="E428" s="105">
        <v>1</v>
      </c>
      <c r="F428" s="133">
        <v>46.3</v>
      </c>
      <c r="G428" s="133">
        <v>53.25</v>
      </c>
      <c r="H428" s="109">
        <f t="shared" si="18"/>
        <v>53.25</v>
      </c>
      <c r="I428" s="119"/>
      <c r="J428" s="119"/>
      <c r="K428" s="119">
        <f t="shared" si="19"/>
        <v>53.25</v>
      </c>
      <c r="L428" s="152">
        <f t="shared" si="20"/>
        <v>46.3</v>
      </c>
      <c r="M428" s="113"/>
    </row>
    <row r="429" spans="1:13" x14ac:dyDescent="0.2">
      <c r="A429" s="106" t="s">
        <v>5492</v>
      </c>
      <c r="B429" s="105" t="s">
        <v>4330</v>
      </c>
      <c r="C429" s="105" t="s">
        <v>5529</v>
      </c>
      <c r="D429" s="149" t="s">
        <v>4360</v>
      </c>
      <c r="E429" s="105">
        <v>1</v>
      </c>
      <c r="F429" s="133">
        <v>69.510000000000005</v>
      </c>
      <c r="G429" s="133">
        <v>80</v>
      </c>
      <c r="H429" s="109">
        <f t="shared" si="18"/>
        <v>80</v>
      </c>
      <c r="I429" s="119"/>
      <c r="J429" s="119"/>
      <c r="K429" s="119">
        <f t="shared" si="19"/>
        <v>80</v>
      </c>
      <c r="L429" s="152">
        <f t="shared" si="20"/>
        <v>69.510000000000005</v>
      </c>
      <c r="M429" s="113"/>
    </row>
    <row r="430" spans="1:13" x14ac:dyDescent="0.2">
      <c r="A430" s="106" t="s">
        <v>5492</v>
      </c>
      <c r="B430" s="105" t="s">
        <v>5497</v>
      </c>
      <c r="C430" s="105" t="s">
        <v>5529</v>
      </c>
      <c r="D430" s="149" t="s">
        <v>5573</v>
      </c>
      <c r="E430" s="105">
        <v>2</v>
      </c>
      <c r="F430" s="133">
        <v>30</v>
      </c>
      <c r="G430" s="133">
        <v>40</v>
      </c>
      <c r="H430" s="109">
        <f t="shared" si="18"/>
        <v>80</v>
      </c>
      <c r="I430" s="119"/>
      <c r="J430" s="119"/>
      <c r="K430" s="119">
        <f t="shared" si="19"/>
        <v>80</v>
      </c>
      <c r="L430" s="152">
        <f t="shared" si="20"/>
        <v>60</v>
      </c>
      <c r="M430" s="113"/>
    </row>
    <row r="431" spans="1:13" x14ac:dyDescent="0.2">
      <c r="A431" s="106" t="s">
        <v>5492</v>
      </c>
      <c r="B431" s="105" t="s">
        <v>3158</v>
      </c>
      <c r="C431" s="105" t="s">
        <v>5530</v>
      </c>
      <c r="D431" s="149" t="s">
        <v>3159</v>
      </c>
      <c r="E431" s="105">
        <v>1</v>
      </c>
      <c r="F431" s="133">
        <v>1160.3499999999999</v>
      </c>
      <c r="G431" s="133">
        <v>1334.5</v>
      </c>
      <c r="H431" s="109">
        <f t="shared" si="18"/>
        <v>1334.5</v>
      </c>
      <c r="I431" s="119"/>
      <c r="J431" s="119"/>
      <c r="K431" s="119">
        <f t="shared" si="19"/>
        <v>1334.5</v>
      </c>
      <c r="L431" s="152">
        <f t="shared" si="20"/>
        <v>1160.3499999999999</v>
      </c>
      <c r="M431" s="113"/>
    </row>
    <row r="432" spans="1:13" x14ac:dyDescent="0.2">
      <c r="A432" s="106" t="s">
        <v>5492</v>
      </c>
      <c r="B432" s="105" t="s">
        <v>2245</v>
      </c>
      <c r="C432" s="105" t="s">
        <v>5530</v>
      </c>
      <c r="D432" s="149" t="s">
        <v>2246</v>
      </c>
      <c r="E432" s="105">
        <v>32</v>
      </c>
      <c r="F432" s="133">
        <v>4.74</v>
      </c>
      <c r="G432" s="133">
        <v>5.5</v>
      </c>
      <c r="H432" s="109">
        <f t="shared" si="18"/>
        <v>176</v>
      </c>
      <c r="I432" s="119"/>
      <c r="J432" s="119"/>
      <c r="K432" s="119">
        <f t="shared" si="19"/>
        <v>176</v>
      </c>
      <c r="L432" s="152">
        <f t="shared" si="20"/>
        <v>151.68</v>
      </c>
      <c r="M432" s="113"/>
    </row>
    <row r="433" spans="1:13" x14ac:dyDescent="0.2">
      <c r="A433" s="106" t="s">
        <v>5492</v>
      </c>
      <c r="B433" s="105" t="s">
        <v>5498</v>
      </c>
      <c r="C433" s="105" t="s">
        <v>5530</v>
      </c>
      <c r="D433" s="149" t="s">
        <v>5574</v>
      </c>
      <c r="E433" s="105">
        <v>1</v>
      </c>
      <c r="F433" s="133">
        <v>110.5</v>
      </c>
      <c r="G433" s="133">
        <v>127.75</v>
      </c>
      <c r="H433" s="109">
        <f t="shared" si="18"/>
        <v>127.75</v>
      </c>
      <c r="I433" s="119"/>
      <c r="J433" s="119"/>
      <c r="K433" s="119">
        <f t="shared" si="19"/>
        <v>127.75</v>
      </c>
      <c r="L433" s="152">
        <f t="shared" si="20"/>
        <v>110.5</v>
      </c>
      <c r="M433" s="113"/>
    </row>
    <row r="434" spans="1:13" x14ac:dyDescent="0.2">
      <c r="A434" s="106" t="s">
        <v>5492</v>
      </c>
      <c r="B434" s="105" t="s">
        <v>3195</v>
      </c>
      <c r="C434" s="105" t="s">
        <v>5530</v>
      </c>
      <c r="D434" s="149" t="s">
        <v>3196</v>
      </c>
      <c r="E434" s="105">
        <v>1</v>
      </c>
      <c r="F434" s="133">
        <v>64.58</v>
      </c>
      <c r="G434" s="133">
        <v>74.5</v>
      </c>
      <c r="H434" s="109">
        <f t="shared" si="18"/>
        <v>74.5</v>
      </c>
      <c r="I434" s="119"/>
      <c r="J434" s="119"/>
      <c r="K434" s="119">
        <f t="shared" si="19"/>
        <v>74.5</v>
      </c>
      <c r="L434" s="152">
        <f t="shared" si="20"/>
        <v>64.58</v>
      </c>
      <c r="M434" s="113"/>
    </row>
    <row r="435" spans="1:13" x14ac:dyDescent="0.2">
      <c r="A435" s="106" t="s">
        <v>5492</v>
      </c>
      <c r="B435" s="105" t="s">
        <v>3457</v>
      </c>
      <c r="C435" s="105" t="s">
        <v>5530</v>
      </c>
      <c r="D435" s="149" t="s">
        <v>3458</v>
      </c>
      <c r="E435" s="105">
        <v>3</v>
      </c>
      <c r="F435" s="133">
        <v>51.97</v>
      </c>
      <c r="G435" s="133">
        <v>60</v>
      </c>
      <c r="H435" s="109">
        <f t="shared" si="18"/>
        <v>180</v>
      </c>
      <c r="I435" s="119"/>
      <c r="J435" s="119"/>
      <c r="K435" s="119">
        <f t="shared" si="19"/>
        <v>180</v>
      </c>
      <c r="L435" s="152">
        <f t="shared" si="20"/>
        <v>155.91</v>
      </c>
      <c r="M435" s="113"/>
    </row>
    <row r="436" spans="1:13" x14ac:dyDescent="0.2">
      <c r="A436" s="106" t="s">
        <v>5492</v>
      </c>
      <c r="B436" s="105" t="s">
        <v>2301</v>
      </c>
      <c r="C436" s="105" t="s">
        <v>5530</v>
      </c>
      <c r="D436" s="149" t="s">
        <v>2302</v>
      </c>
      <c r="E436" s="105">
        <v>3</v>
      </c>
      <c r="F436" s="133">
        <v>132.80000000000001</v>
      </c>
      <c r="G436" s="133">
        <v>152.75</v>
      </c>
      <c r="H436" s="109">
        <f t="shared" si="18"/>
        <v>458.25</v>
      </c>
      <c r="I436" s="119"/>
      <c r="J436" s="119"/>
      <c r="K436" s="119">
        <f t="shared" si="19"/>
        <v>458.25</v>
      </c>
      <c r="L436" s="152">
        <f t="shared" si="20"/>
        <v>398.40000000000003</v>
      </c>
      <c r="M436" s="113"/>
    </row>
    <row r="437" spans="1:13" x14ac:dyDescent="0.2">
      <c r="A437" s="106" t="s">
        <v>5492</v>
      </c>
      <c r="B437" s="105" t="s">
        <v>3448</v>
      </c>
      <c r="C437" s="105" t="s">
        <v>5530</v>
      </c>
      <c r="D437" s="149" t="s">
        <v>3450</v>
      </c>
      <c r="E437" s="105">
        <v>4</v>
      </c>
      <c r="F437" s="133">
        <v>15.91</v>
      </c>
      <c r="G437" s="133">
        <v>18.5</v>
      </c>
      <c r="H437" s="109">
        <f t="shared" si="18"/>
        <v>74</v>
      </c>
      <c r="I437" s="119"/>
      <c r="J437" s="119"/>
      <c r="K437" s="119">
        <f t="shared" si="19"/>
        <v>74</v>
      </c>
      <c r="L437" s="152">
        <f t="shared" si="20"/>
        <v>63.64</v>
      </c>
      <c r="M437" s="113"/>
    </row>
    <row r="438" spans="1:13" x14ac:dyDescent="0.2">
      <c r="A438" s="106" t="s">
        <v>5492</v>
      </c>
      <c r="B438" s="105" t="s">
        <v>2809</v>
      </c>
      <c r="C438" s="105" t="s">
        <v>5530</v>
      </c>
      <c r="D438" s="149" t="s">
        <v>2810</v>
      </c>
      <c r="E438" s="105">
        <v>2</v>
      </c>
      <c r="F438" s="133">
        <v>53.81</v>
      </c>
      <c r="G438" s="133">
        <v>62</v>
      </c>
      <c r="H438" s="109">
        <f t="shared" si="18"/>
        <v>124</v>
      </c>
      <c r="I438" s="119"/>
      <c r="J438" s="119"/>
      <c r="K438" s="119">
        <f t="shared" si="19"/>
        <v>124</v>
      </c>
      <c r="L438" s="152">
        <f t="shared" si="20"/>
        <v>107.62</v>
      </c>
      <c r="M438" s="113"/>
    </row>
    <row r="439" spans="1:13" x14ac:dyDescent="0.2">
      <c r="A439" s="106" t="s">
        <v>5492</v>
      </c>
      <c r="B439" s="105" t="s">
        <v>5248</v>
      </c>
      <c r="C439" s="105" t="s">
        <v>5531</v>
      </c>
      <c r="D439" s="149" t="s">
        <v>5408</v>
      </c>
      <c r="E439" s="105">
        <v>1</v>
      </c>
      <c r="F439" s="133">
        <v>5.8</v>
      </c>
      <c r="G439" s="133">
        <v>7</v>
      </c>
      <c r="H439" s="109">
        <f t="shared" si="18"/>
        <v>7</v>
      </c>
      <c r="I439" s="119"/>
      <c r="J439" s="119"/>
      <c r="K439" s="119">
        <f t="shared" si="19"/>
        <v>7</v>
      </c>
      <c r="L439" s="152">
        <f t="shared" si="20"/>
        <v>5.8</v>
      </c>
      <c r="M439" s="113"/>
    </row>
    <row r="440" spans="1:13" x14ac:dyDescent="0.2">
      <c r="A440" s="106" t="s">
        <v>5492</v>
      </c>
      <c r="B440" s="105" t="s">
        <v>1806</v>
      </c>
      <c r="C440" s="105" t="s">
        <v>5532</v>
      </c>
      <c r="D440" s="149" t="s">
        <v>1807</v>
      </c>
      <c r="E440" s="105">
        <v>1</v>
      </c>
      <c r="F440" s="133">
        <v>15.65</v>
      </c>
      <c r="G440" s="133">
        <v>18</v>
      </c>
      <c r="H440" s="109">
        <f t="shared" si="18"/>
        <v>18</v>
      </c>
      <c r="I440" s="119"/>
      <c r="J440" s="119"/>
      <c r="K440" s="119">
        <f t="shared" si="19"/>
        <v>18</v>
      </c>
      <c r="L440" s="152">
        <f t="shared" si="20"/>
        <v>15.65</v>
      </c>
      <c r="M440" s="113"/>
    </row>
    <row r="441" spans="1:13" x14ac:dyDescent="0.2">
      <c r="A441" s="106" t="s">
        <v>5492</v>
      </c>
      <c r="B441" s="105" t="s">
        <v>2423</v>
      </c>
      <c r="C441" s="105" t="s">
        <v>5533</v>
      </c>
      <c r="D441" s="149" t="s">
        <v>2425</v>
      </c>
      <c r="E441" s="105">
        <v>1</v>
      </c>
      <c r="F441" s="133">
        <v>18.53</v>
      </c>
      <c r="G441" s="133">
        <v>21.5</v>
      </c>
      <c r="H441" s="109">
        <f t="shared" si="18"/>
        <v>21.5</v>
      </c>
      <c r="I441" s="119"/>
      <c r="J441" s="119"/>
      <c r="K441" s="119">
        <f t="shared" si="19"/>
        <v>21.5</v>
      </c>
      <c r="L441" s="152">
        <f t="shared" si="20"/>
        <v>18.53</v>
      </c>
      <c r="M441" s="113"/>
    </row>
    <row r="442" spans="1:13" x14ac:dyDescent="0.2">
      <c r="A442" s="106" t="s">
        <v>5492</v>
      </c>
      <c r="B442" s="105" t="s">
        <v>3909</v>
      </c>
      <c r="C442" s="105" t="s">
        <v>5533</v>
      </c>
      <c r="D442" s="149" t="s">
        <v>3911</v>
      </c>
      <c r="E442" s="105">
        <v>1</v>
      </c>
      <c r="F442" s="133">
        <v>7.06</v>
      </c>
      <c r="G442" s="133">
        <v>8.25</v>
      </c>
      <c r="H442" s="109">
        <f t="shared" si="18"/>
        <v>8.25</v>
      </c>
      <c r="I442" s="119"/>
      <c r="J442" s="119"/>
      <c r="K442" s="119">
        <f t="shared" si="19"/>
        <v>8.25</v>
      </c>
      <c r="L442" s="152">
        <f t="shared" si="20"/>
        <v>7.06</v>
      </c>
      <c r="M442" s="113"/>
    </row>
    <row r="443" spans="1:13" x14ac:dyDescent="0.2">
      <c r="A443" s="106" t="s">
        <v>5492</v>
      </c>
      <c r="B443" s="105" t="s">
        <v>2680</v>
      </c>
      <c r="C443" s="105" t="s">
        <v>5533</v>
      </c>
      <c r="D443" s="149" t="s">
        <v>2681</v>
      </c>
      <c r="E443" s="105">
        <v>1</v>
      </c>
      <c r="F443" s="133">
        <v>18.2</v>
      </c>
      <c r="G443" s="133">
        <v>21</v>
      </c>
      <c r="H443" s="109">
        <f t="shared" si="18"/>
        <v>21</v>
      </c>
      <c r="I443" s="119"/>
      <c r="J443" s="119"/>
      <c r="K443" s="119">
        <f t="shared" si="19"/>
        <v>21</v>
      </c>
      <c r="L443" s="152">
        <f t="shared" si="20"/>
        <v>18.2</v>
      </c>
      <c r="M443" s="113"/>
    </row>
    <row r="444" spans="1:13" x14ac:dyDescent="0.2">
      <c r="A444" s="106" t="s">
        <v>5492</v>
      </c>
      <c r="B444" s="105" t="s">
        <v>1857</v>
      </c>
      <c r="C444" s="105" t="s">
        <v>5534</v>
      </c>
      <c r="D444" s="149" t="s">
        <v>1858</v>
      </c>
      <c r="E444" s="105">
        <v>1</v>
      </c>
      <c r="F444" s="133">
        <v>15.12</v>
      </c>
      <c r="G444" s="133">
        <v>17.5</v>
      </c>
      <c r="H444" s="109">
        <f t="shared" si="18"/>
        <v>17.5</v>
      </c>
      <c r="I444" s="119"/>
      <c r="J444" s="119"/>
      <c r="K444" s="119">
        <f t="shared" si="19"/>
        <v>17.5</v>
      </c>
      <c r="L444" s="152">
        <f t="shared" si="20"/>
        <v>15.12</v>
      </c>
      <c r="M444" s="113"/>
    </row>
    <row r="445" spans="1:13" x14ac:dyDescent="0.2">
      <c r="A445" s="106" t="s">
        <v>5492</v>
      </c>
      <c r="B445" s="105" t="s">
        <v>3909</v>
      </c>
      <c r="C445" s="105" t="s">
        <v>5534</v>
      </c>
      <c r="D445" s="149" t="s">
        <v>3911</v>
      </c>
      <c r="E445" s="105">
        <v>1</v>
      </c>
      <c r="F445" s="133">
        <v>7.06</v>
      </c>
      <c r="G445" s="133">
        <v>8.25</v>
      </c>
      <c r="H445" s="109">
        <f t="shared" si="18"/>
        <v>8.25</v>
      </c>
      <c r="I445" s="119"/>
      <c r="J445" s="119"/>
      <c r="K445" s="119">
        <f t="shared" si="19"/>
        <v>8.25</v>
      </c>
      <c r="L445" s="152">
        <f t="shared" si="20"/>
        <v>7.06</v>
      </c>
      <c r="M445" s="113"/>
    </row>
    <row r="446" spans="1:13" x14ac:dyDescent="0.2">
      <c r="A446" s="106" t="s">
        <v>5492</v>
      </c>
      <c r="B446" s="105" t="s">
        <v>5499</v>
      </c>
      <c r="C446" s="105" t="s">
        <v>5534</v>
      </c>
      <c r="D446" s="149" t="s">
        <v>5575</v>
      </c>
      <c r="E446" s="105">
        <v>1</v>
      </c>
      <c r="F446" s="133">
        <v>10.64</v>
      </c>
      <c r="G446" s="133">
        <v>12.25</v>
      </c>
      <c r="H446" s="109">
        <f t="shared" si="18"/>
        <v>12.25</v>
      </c>
      <c r="I446" s="119"/>
      <c r="J446" s="119"/>
      <c r="K446" s="119">
        <f t="shared" si="19"/>
        <v>12.25</v>
      </c>
      <c r="L446" s="152">
        <f t="shared" si="20"/>
        <v>10.64</v>
      </c>
      <c r="M446" s="113"/>
    </row>
    <row r="447" spans="1:13" x14ac:dyDescent="0.2">
      <c r="A447" s="106" t="s">
        <v>5492</v>
      </c>
      <c r="B447" s="105" t="s">
        <v>1924</v>
      </c>
      <c r="C447" s="105" t="s">
        <v>5534</v>
      </c>
      <c r="D447" s="149" t="s">
        <v>1926</v>
      </c>
      <c r="E447" s="105">
        <v>1</v>
      </c>
      <c r="F447" s="133">
        <v>10.64</v>
      </c>
      <c r="G447" s="133">
        <v>12.25</v>
      </c>
      <c r="H447" s="109">
        <f t="shared" si="18"/>
        <v>12.25</v>
      </c>
      <c r="I447" s="119"/>
      <c r="J447" s="119"/>
      <c r="K447" s="119">
        <f t="shared" si="19"/>
        <v>12.25</v>
      </c>
      <c r="L447" s="152">
        <f t="shared" si="20"/>
        <v>10.64</v>
      </c>
      <c r="M447" s="113"/>
    </row>
    <row r="448" spans="1:13" x14ac:dyDescent="0.2">
      <c r="A448" s="106" t="s">
        <v>5492</v>
      </c>
      <c r="B448" s="105" t="s">
        <v>3690</v>
      </c>
      <c r="C448" s="105" t="s">
        <v>5535</v>
      </c>
      <c r="D448" s="149" t="s">
        <v>3691</v>
      </c>
      <c r="E448" s="105">
        <v>1</v>
      </c>
      <c r="F448" s="133">
        <v>53.64</v>
      </c>
      <c r="G448" s="133">
        <v>61.75</v>
      </c>
      <c r="H448" s="109">
        <f t="shared" si="18"/>
        <v>61.75</v>
      </c>
      <c r="I448" s="119"/>
      <c r="J448" s="119"/>
      <c r="K448" s="119">
        <f t="shared" si="19"/>
        <v>61.75</v>
      </c>
      <c r="L448" s="152">
        <f t="shared" si="20"/>
        <v>53.64</v>
      </c>
      <c r="M448" s="113"/>
    </row>
    <row r="449" spans="1:13" x14ac:dyDescent="0.2">
      <c r="A449" s="106" t="s">
        <v>5492</v>
      </c>
      <c r="B449" s="105" t="s">
        <v>5247</v>
      </c>
      <c r="C449" s="105" t="s">
        <v>5536</v>
      </c>
      <c r="D449" s="149" t="s">
        <v>5407</v>
      </c>
      <c r="E449" s="105">
        <v>1</v>
      </c>
      <c r="F449" s="133">
        <v>32</v>
      </c>
      <c r="G449" s="133">
        <v>37</v>
      </c>
      <c r="H449" s="109">
        <f t="shared" si="18"/>
        <v>37</v>
      </c>
      <c r="I449" s="119"/>
      <c r="J449" s="119"/>
      <c r="K449" s="119">
        <f t="shared" si="19"/>
        <v>37</v>
      </c>
      <c r="L449" s="152">
        <f t="shared" si="20"/>
        <v>32</v>
      </c>
      <c r="M449" s="113"/>
    </row>
    <row r="450" spans="1:13" x14ac:dyDescent="0.2">
      <c r="A450" s="106" t="s">
        <v>5492</v>
      </c>
      <c r="B450" s="105" t="s">
        <v>2317</v>
      </c>
      <c r="C450" s="105" t="s">
        <v>5537</v>
      </c>
      <c r="D450" s="149" t="s">
        <v>2319</v>
      </c>
      <c r="E450" s="105">
        <v>1</v>
      </c>
      <c r="F450" s="133">
        <v>47.5</v>
      </c>
      <c r="G450" s="133">
        <v>54.75</v>
      </c>
      <c r="H450" s="109">
        <f t="shared" si="18"/>
        <v>54.75</v>
      </c>
      <c r="I450" s="119"/>
      <c r="J450" s="119"/>
      <c r="K450" s="119">
        <f t="shared" si="19"/>
        <v>54.75</v>
      </c>
      <c r="L450" s="152">
        <f t="shared" si="20"/>
        <v>47.5</v>
      </c>
      <c r="M450" s="113"/>
    </row>
    <row r="451" spans="1:13" x14ac:dyDescent="0.2">
      <c r="A451" s="106" t="s">
        <v>5492</v>
      </c>
      <c r="B451" s="105" t="s">
        <v>4567</v>
      </c>
      <c r="C451" s="105" t="s">
        <v>5538</v>
      </c>
      <c r="D451" s="149" t="s">
        <v>4672</v>
      </c>
      <c r="E451" s="105">
        <v>1</v>
      </c>
      <c r="F451" s="133">
        <v>7.06</v>
      </c>
      <c r="G451" s="133">
        <v>8.25</v>
      </c>
      <c r="H451" s="109">
        <f t="shared" si="18"/>
        <v>8.25</v>
      </c>
      <c r="I451" s="119"/>
      <c r="J451" s="119"/>
      <c r="K451" s="119">
        <f t="shared" si="19"/>
        <v>8.25</v>
      </c>
      <c r="L451" s="152">
        <f t="shared" si="20"/>
        <v>7.06</v>
      </c>
      <c r="M451" s="113"/>
    </row>
    <row r="452" spans="1:13" x14ac:dyDescent="0.2">
      <c r="A452" s="106" t="s">
        <v>5494</v>
      </c>
      <c r="B452" s="105" t="s">
        <v>5248</v>
      </c>
      <c r="C452" s="105" t="s">
        <v>5539</v>
      </c>
      <c r="D452" s="149" t="s">
        <v>5408</v>
      </c>
      <c r="E452" s="105">
        <v>1</v>
      </c>
      <c r="F452" s="133">
        <v>5.8</v>
      </c>
      <c r="G452" s="133">
        <v>7</v>
      </c>
      <c r="H452" s="109">
        <f t="shared" si="18"/>
        <v>7</v>
      </c>
      <c r="I452" s="119"/>
      <c r="J452" s="119"/>
      <c r="K452" s="119">
        <f t="shared" si="19"/>
        <v>7</v>
      </c>
      <c r="L452" s="152">
        <f t="shared" si="20"/>
        <v>5.8</v>
      </c>
      <c r="M452" s="113"/>
    </row>
    <row r="453" spans="1:13" x14ac:dyDescent="0.2">
      <c r="A453" s="106" t="s">
        <v>5494</v>
      </c>
      <c r="B453" s="105" t="s">
        <v>3060</v>
      </c>
      <c r="C453" s="105" t="s">
        <v>5540</v>
      </c>
      <c r="D453" s="149" t="s">
        <v>3062</v>
      </c>
      <c r="E453" s="105">
        <v>1</v>
      </c>
      <c r="F453" s="133">
        <v>44.8</v>
      </c>
      <c r="G453" s="133">
        <v>51.75</v>
      </c>
      <c r="H453" s="109">
        <f t="shared" si="18"/>
        <v>51.75</v>
      </c>
      <c r="I453" s="119"/>
      <c r="J453" s="119"/>
      <c r="K453" s="119">
        <f t="shared" si="19"/>
        <v>51.75</v>
      </c>
      <c r="L453" s="152">
        <f t="shared" si="20"/>
        <v>44.8</v>
      </c>
      <c r="M453" s="113"/>
    </row>
    <row r="454" spans="1:13" x14ac:dyDescent="0.2">
      <c r="A454" s="106" t="s">
        <v>5494</v>
      </c>
      <c r="B454" s="105" t="s">
        <v>4997</v>
      </c>
      <c r="C454" s="105" t="s">
        <v>5541</v>
      </c>
      <c r="D454" s="149" t="s">
        <v>5023</v>
      </c>
      <c r="E454" s="105">
        <v>1</v>
      </c>
      <c r="F454" s="133">
        <v>3.22</v>
      </c>
      <c r="G454" s="133">
        <v>5</v>
      </c>
      <c r="H454" s="109">
        <f t="shared" ref="H454:H517" si="21">E454*G454</f>
        <v>5</v>
      </c>
      <c r="I454" s="119"/>
      <c r="J454" s="119"/>
      <c r="K454" s="119">
        <f t="shared" si="19"/>
        <v>5</v>
      </c>
      <c r="L454" s="152">
        <f t="shared" si="20"/>
        <v>3.22</v>
      </c>
      <c r="M454" s="113"/>
    </row>
    <row r="455" spans="1:13" x14ac:dyDescent="0.2">
      <c r="A455" s="106" t="s">
        <v>5494</v>
      </c>
      <c r="B455" s="105" t="s">
        <v>3236</v>
      </c>
      <c r="C455" s="105" t="s">
        <v>5542</v>
      </c>
      <c r="D455" s="149" t="s">
        <v>3237</v>
      </c>
      <c r="E455" s="105">
        <v>1</v>
      </c>
      <c r="F455" s="133">
        <v>22.73</v>
      </c>
      <c r="G455" s="133">
        <v>26.25</v>
      </c>
      <c r="H455" s="109">
        <f t="shared" si="21"/>
        <v>26.25</v>
      </c>
      <c r="I455" s="119"/>
      <c r="J455" s="119"/>
      <c r="K455" s="119">
        <f t="shared" ref="K455:K518" si="22">H455+I455-J455</f>
        <v>26.25</v>
      </c>
      <c r="L455" s="152">
        <f t="shared" ref="L455:L518" si="23">E455*F455</f>
        <v>22.73</v>
      </c>
      <c r="M455" s="113"/>
    </row>
    <row r="456" spans="1:13" x14ac:dyDescent="0.2">
      <c r="A456" s="106" t="s">
        <v>5494</v>
      </c>
      <c r="B456" s="105" t="s">
        <v>4567</v>
      </c>
      <c r="C456" s="105" t="s">
        <v>5543</v>
      </c>
      <c r="D456" s="149" t="s">
        <v>4672</v>
      </c>
      <c r="E456" s="105">
        <v>2</v>
      </c>
      <c r="F456" s="133">
        <v>7.06</v>
      </c>
      <c r="G456" s="133">
        <v>8.25</v>
      </c>
      <c r="H456" s="109">
        <f t="shared" si="21"/>
        <v>16.5</v>
      </c>
      <c r="I456" s="119"/>
      <c r="J456" s="119"/>
      <c r="K456" s="119">
        <f t="shared" si="22"/>
        <v>16.5</v>
      </c>
      <c r="L456" s="152">
        <f t="shared" si="23"/>
        <v>14.12</v>
      </c>
      <c r="M456" s="113"/>
    </row>
    <row r="457" spans="1:13" x14ac:dyDescent="0.2">
      <c r="A457" s="106" t="s">
        <v>5494</v>
      </c>
      <c r="B457" s="105" t="s">
        <v>3434</v>
      </c>
      <c r="C457" s="105" t="s">
        <v>5543</v>
      </c>
      <c r="D457" s="149" t="s">
        <v>3436</v>
      </c>
      <c r="E457" s="105">
        <v>1</v>
      </c>
      <c r="F457" s="133">
        <v>7.41</v>
      </c>
      <c r="G457" s="133">
        <v>8.75</v>
      </c>
      <c r="H457" s="109">
        <f t="shared" si="21"/>
        <v>8.75</v>
      </c>
      <c r="I457" s="119"/>
      <c r="J457" s="119"/>
      <c r="K457" s="119">
        <f t="shared" si="22"/>
        <v>8.75</v>
      </c>
      <c r="L457" s="152">
        <f t="shared" si="23"/>
        <v>7.41</v>
      </c>
      <c r="M457" s="113"/>
    </row>
    <row r="458" spans="1:13" x14ac:dyDescent="0.2">
      <c r="A458" s="106" t="s">
        <v>5494</v>
      </c>
      <c r="B458" s="105" t="s">
        <v>3909</v>
      </c>
      <c r="C458" s="105" t="s">
        <v>5543</v>
      </c>
      <c r="D458" s="149" t="s">
        <v>3911</v>
      </c>
      <c r="E458" s="105">
        <v>1</v>
      </c>
      <c r="F458" s="133">
        <v>7.06</v>
      </c>
      <c r="G458" s="133">
        <v>8.25</v>
      </c>
      <c r="H458" s="109">
        <f t="shared" si="21"/>
        <v>8.25</v>
      </c>
      <c r="I458" s="119"/>
      <c r="J458" s="119"/>
      <c r="K458" s="119">
        <f t="shared" si="22"/>
        <v>8.25</v>
      </c>
      <c r="L458" s="152">
        <f t="shared" si="23"/>
        <v>7.06</v>
      </c>
      <c r="M458" s="113"/>
    </row>
    <row r="459" spans="1:13" x14ac:dyDescent="0.2">
      <c r="A459" s="106" t="s">
        <v>5494</v>
      </c>
      <c r="B459" s="105" t="s">
        <v>2240</v>
      </c>
      <c r="C459" s="105" t="s">
        <v>5544</v>
      </c>
      <c r="D459" s="149" t="s">
        <v>2241</v>
      </c>
      <c r="E459" s="105">
        <v>1</v>
      </c>
      <c r="F459" s="133">
        <v>18.649999999999999</v>
      </c>
      <c r="G459" s="133">
        <v>21.5</v>
      </c>
      <c r="H459" s="109">
        <f t="shared" si="21"/>
        <v>21.5</v>
      </c>
      <c r="I459" s="119"/>
      <c r="J459" s="119"/>
      <c r="K459" s="119">
        <f t="shared" si="22"/>
        <v>21.5</v>
      </c>
      <c r="L459" s="152">
        <f t="shared" si="23"/>
        <v>18.649999999999999</v>
      </c>
      <c r="M459" s="113"/>
    </row>
    <row r="460" spans="1:13" x14ac:dyDescent="0.2">
      <c r="A460" s="106" t="s">
        <v>5494</v>
      </c>
      <c r="B460" s="105" t="s">
        <v>5415</v>
      </c>
      <c r="C460" s="105" t="s">
        <v>5544</v>
      </c>
      <c r="D460" s="149" t="s">
        <v>5466</v>
      </c>
      <c r="E460" s="105">
        <v>1</v>
      </c>
      <c r="F460" s="133">
        <v>3.7</v>
      </c>
      <c r="G460" s="133">
        <v>5</v>
      </c>
      <c r="H460" s="109">
        <f t="shared" si="21"/>
        <v>5</v>
      </c>
      <c r="I460" s="119"/>
      <c r="J460" s="119"/>
      <c r="K460" s="119">
        <f t="shared" si="22"/>
        <v>5</v>
      </c>
      <c r="L460" s="152">
        <f t="shared" si="23"/>
        <v>3.7</v>
      </c>
      <c r="M460" s="113"/>
    </row>
    <row r="461" spans="1:13" x14ac:dyDescent="0.2">
      <c r="A461" s="106" t="s">
        <v>5494</v>
      </c>
      <c r="B461" s="105" t="s">
        <v>1877</v>
      </c>
      <c r="C461" s="105" t="s">
        <v>5545</v>
      </c>
      <c r="D461" s="149" t="s">
        <v>1878</v>
      </c>
      <c r="E461" s="105">
        <v>1</v>
      </c>
      <c r="F461" s="133">
        <v>20.399999999999999</v>
      </c>
      <c r="G461" s="133">
        <v>23.5</v>
      </c>
      <c r="H461" s="109">
        <f t="shared" si="21"/>
        <v>23.5</v>
      </c>
      <c r="I461" s="119"/>
      <c r="J461" s="119"/>
      <c r="K461" s="119">
        <f t="shared" si="22"/>
        <v>23.5</v>
      </c>
      <c r="L461" s="152">
        <f t="shared" si="23"/>
        <v>20.399999999999999</v>
      </c>
      <c r="M461" s="113"/>
    </row>
    <row r="462" spans="1:13" x14ac:dyDescent="0.2">
      <c r="A462" s="106" t="s">
        <v>5494</v>
      </c>
      <c r="B462" s="105" t="s">
        <v>1854</v>
      </c>
      <c r="C462" s="105" t="s">
        <v>5546</v>
      </c>
      <c r="D462" s="149" t="s">
        <v>1855</v>
      </c>
      <c r="E462" s="105">
        <v>1</v>
      </c>
      <c r="F462" s="133">
        <v>7.62</v>
      </c>
      <c r="G462" s="133">
        <v>8.75</v>
      </c>
      <c r="H462" s="109">
        <f t="shared" si="21"/>
        <v>8.75</v>
      </c>
      <c r="I462" s="119"/>
      <c r="J462" s="119"/>
      <c r="K462" s="119">
        <f t="shared" si="22"/>
        <v>8.75</v>
      </c>
      <c r="L462" s="152">
        <f t="shared" si="23"/>
        <v>7.62</v>
      </c>
      <c r="M462" s="113"/>
    </row>
    <row r="463" spans="1:13" x14ac:dyDescent="0.2">
      <c r="A463" s="106" t="s">
        <v>5494</v>
      </c>
      <c r="B463" s="105" t="s">
        <v>4167</v>
      </c>
      <c r="C463" s="105" t="s">
        <v>5547</v>
      </c>
      <c r="D463" s="149" t="s">
        <v>4169</v>
      </c>
      <c r="E463" s="105">
        <v>1</v>
      </c>
      <c r="F463" s="133">
        <v>29</v>
      </c>
      <c r="G463" s="133">
        <v>33.75</v>
      </c>
      <c r="H463" s="109">
        <f t="shared" si="21"/>
        <v>33.75</v>
      </c>
      <c r="I463" s="119"/>
      <c r="J463" s="119"/>
      <c r="K463" s="119">
        <f t="shared" si="22"/>
        <v>33.75</v>
      </c>
      <c r="L463" s="152">
        <f t="shared" si="23"/>
        <v>29</v>
      </c>
      <c r="M463" s="113"/>
    </row>
    <row r="464" spans="1:13" x14ac:dyDescent="0.2">
      <c r="A464" s="106" t="s">
        <v>5494</v>
      </c>
      <c r="B464" s="105" t="s">
        <v>1798</v>
      </c>
      <c r="C464" s="105" t="s">
        <v>5547</v>
      </c>
      <c r="D464" s="149" t="s">
        <v>1799</v>
      </c>
      <c r="E464" s="105">
        <v>1</v>
      </c>
      <c r="F464" s="133">
        <v>8.1999999999999993</v>
      </c>
      <c r="G464" s="133">
        <v>9.5</v>
      </c>
      <c r="H464" s="109">
        <f t="shared" si="21"/>
        <v>9.5</v>
      </c>
      <c r="I464" s="119"/>
      <c r="J464" s="119"/>
      <c r="K464" s="119">
        <f t="shared" si="22"/>
        <v>9.5</v>
      </c>
      <c r="L464" s="152">
        <f t="shared" si="23"/>
        <v>8.1999999999999993</v>
      </c>
      <c r="M464" s="113"/>
    </row>
    <row r="465" spans="1:13" x14ac:dyDescent="0.2">
      <c r="A465" s="106" t="s">
        <v>5494</v>
      </c>
      <c r="B465" s="105" t="s">
        <v>4567</v>
      </c>
      <c r="C465" s="105" t="s">
        <v>5548</v>
      </c>
      <c r="D465" s="149" t="s">
        <v>4672</v>
      </c>
      <c r="E465" s="105">
        <v>1</v>
      </c>
      <c r="F465" s="133">
        <v>7.06</v>
      </c>
      <c r="G465" s="133">
        <v>8.25</v>
      </c>
      <c r="H465" s="109">
        <f t="shared" si="21"/>
        <v>8.25</v>
      </c>
      <c r="I465" s="119"/>
      <c r="J465" s="119"/>
      <c r="K465" s="119">
        <f t="shared" si="22"/>
        <v>8.25</v>
      </c>
      <c r="L465" s="152">
        <f t="shared" si="23"/>
        <v>7.06</v>
      </c>
      <c r="M465" s="113"/>
    </row>
    <row r="466" spans="1:13" x14ac:dyDescent="0.2">
      <c r="A466" s="106" t="s">
        <v>5494</v>
      </c>
      <c r="B466" s="105" t="s">
        <v>1826</v>
      </c>
      <c r="C466" s="105" t="s">
        <v>5549</v>
      </c>
      <c r="D466" s="149" t="s">
        <v>1827</v>
      </c>
      <c r="E466" s="105">
        <v>2</v>
      </c>
      <c r="F466" s="133">
        <v>90</v>
      </c>
      <c r="G466" s="133">
        <v>120</v>
      </c>
      <c r="H466" s="109">
        <f t="shared" si="21"/>
        <v>240</v>
      </c>
      <c r="I466" s="119"/>
      <c r="J466" s="119"/>
      <c r="K466" s="119">
        <f t="shared" si="22"/>
        <v>240</v>
      </c>
      <c r="L466" s="152">
        <f t="shared" si="23"/>
        <v>180</v>
      </c>
      <c r="M466" s="113"/>
    </row>
    <row r="467" spans="1:13" x14ac:dyDescent="0.2">
      <c r="A467" s="106" t="s">
        <v>5494</v>
      </c>
      <c r="B467" s="105" t="s">
        <v>4997</v>
      </c>
      <c r="C467" s="105" t="s">
        <v>5550</v>
      </c>
      <c r="D467" s="149" t="s">
        <v>5023</v>
      </c>
      <c r="E467" s="105">
        <v>2</v>
      </c>
      <c r="F467" s="133">
        <v>3.22</v>
      </c>
      <c r="G467" s="133">
        <v>5</v>
      </c>
      <c r="H467" s="109">
        <f t="shared" si="21"/>
        <v>10</v>
      </c>
      <c r="I467" s="119"/>
      <c r="J467" s="119"/>
      <c r="K467" s="119">
        <f t="shared" si="22"/>
        <v>10</v>
      </c>
      <c r="L467" s="152">
        <f t="shared" si="23"/>
        <v>6.44</v>
      </c>
      <c r="M467" s="113"/>
    </row>
    <row r="468" spans="1:13" x14ac:dyDescent="0.2">
      <c r="A468" s="106" t="s">
        <v>5494</v>
      </c>
      <c r="B468" s="105" t="s">
        <v>3065</v>
      </c>
      <c r="C468" s="105" t="s">
        <v>5551</v>
      </c>
      <c r="D468" s="149" t="s">
        <v>3067</v>
      </c>
      <c r="E468" s="105">
        <v>3</v>
      </c>
      <c r="F468" s="133">
        <v>13.39</v>
      </c>
      <c r="G468" s="133">
        <v>15.5</v>
      </c>
      <c r="H468" s="109">
        <f t="shared" si="21"/>
        <v>46.5</v>
      </c>
      <c r="I468" s="119"/>
      <c r="J468" s="119"/>
      <c r="K468" s="119">
        <f t="shared" si="22"/>
        <v>46.5</v>
      </c>
      <c r="L468" s="152">
        <f t="shared" si="23"/>
        <v>40.17</v>
      </c>
      <c r="M468" s="113"/>
    </row>
    <row r="469" spans="1:13" x14ac:dyDescent="0.2">
      <c r="A469" s="106" t="s">
        <v>5494</v>
      </c>
      <c r="B469" s="105" t="s">
        <v>2162</v>
      </c>
      <c r="C469" s="105" t="s">
        <v>5551</v>
      </c>
      <c r="D469" s="149" t="s">
        <v>2163</v>
      </c>
      <c r="E469" s="105">
        <v>1</v>
      </c>
      <c r="F469" s="133">
        <v>67.290000000000006</v>
      </c>
      <c r="G469" s="133">
        <v>77.5</v>
      </c>
      <c r="H469" s="109">
        <f t="shared" si="21"/>
        <v>77.5</v>
      </c>
      <c r="I469" s="119"/>
      <c r="J469" s="119"/>
      <c r="K469" s="119">
        <f t="shared" si="22"/>
        <v>77.5</v>
      </c>
      <c r="L469" s="152">
        <f t="shared" si="23"/>
        <v>67.290000000000006</v>
      </c>
      <c r="M469" s="113"/>
    </row>
    <row r="470" spans="1:13" x14ac:dyDescent="0.2">
      <c r="A470" s="106" t="s">
        <v>5494</v>
      </c>
      <c r="B470" s="105" t="s">
        <v>2298</v>
      </c>
      <c r="C470" s="105" t="s">
        <v>5551</v>
      </c>
      <c r="D470" s="149" t="s">
        <v>2299</v>
      </c>
      <c r="E470" s="105">
        <v>3</v>
      </c>
      <c r="F470" s="133">
        <v>20.8</v>
      </c>
      <c r="G470" s="133">
        <v>24</v>
      </c>
      <c r="H470" s="109">
        <f t="shared" si="21"/>
        <v>72</v>
      </c>
      <c r="I470" s="119"/>
      <c r="J470" s="119"/>
      <c r="K470" s="119">
        <f t="shared" si="22"/>
        <v>72</v>
      </c>
      <c r="L470" s="152">
        <f t="shared" si="23"/>
        <v>62.400000000000006</v>
      </c>
      <c r="M470" s="113"/>
    </row>
    <row r="471" spans="1:13" x14ac:dyDescent="0.2">
      <c r="A471" s="106" t="s">
        <v>5494</v>
      </c>
      <c r="B471" s="105" t="s">
        <v>2220</v>
      </c>
      <c r="C471" s="105" t="s">
        <v>5551</v>
      </c>
      <c r="D471" s="149" t="s">
        <v>2222</v>
      </c>
      <c r="E471" s="105">
        <v>1</v>
      </c>
      <c r="F471" s="133">
        <v>35.15</v>
      </c>
      <c r="G471" s="133">
        <v>41</v>
      </c>
      <c r="H471" s="109">
        <f t="shared" si="21"/>
        <v>41</v>
      </c>
      <c r="I471" s="119"/>
      <c r="J471" s="119"/>
      <c r="K471" s="119">
        <f t="shared" si="22"/>
        <v>41</v>
      </c>
      <c r="L471" s="152">
        <f t="shared" si="23"/>
        <v>35.15</v>
      </c>
      <c r="M471" s="113"/>
    </row>
    <row r="472" spans="1:13" x14ac:dyDescent="0.2">
      <c r="A472" s="106" t="s">
        <v>5494</v>
      </c>
      <c r="B472" s="105" t="s">
        <v>3083</v>
      </c>
      <c r="C472" s="105" t="s">
        <v>5551</v>
      </c>
      <c r="D472" s="149" t="s">
        <v>3085</v>
      </c>
      <c r="E472" s="105">
        <v>3</v>
      </c>
      <c r="F472" s="133">
        <v>29.95</v>
      </c>
      <c r="G472" s="133">
        <v>34.5</v>
      </c>
      <c r="H472" s="109">
        <f t="shared" si="21"/>
        <v>103.5</v>
      </c>
      <c r="I472" s="119"/>
      <c r="J472" s="119"/>
      <c r="K472" s="119">
        <f t="shared" si="22"/>
        <v>103.5</v>
      </c>
      <c r="L472" s="152">
        <f t="shared" si="23"/>
        <v>89.85</v>
      </c>
      <c r="M472" s="113"/>
    </row>
    <row r="473" spans="1:13" x14ac:dyDescent="0.2">
      <c r="A473" s="106" t="s">
        <v>5494</v>
      </c>
      <c r="B473" s="105" t="s">
        <v>3690</v>
      </c>
      <c r="C473" s="105" t="s">
        <v>5552</v>
      </c>
      <c r="D473" s="149" t="s">
        <v>3691</v>
      </c>
      <c r="E473" s="105">
        <v>2</v>
      </c>
      <c r="F473" s="133">
        <v>53.64</v>
      </c>
      <c r="G473" s="133">
        <v>61.75</v>
      </c>
      <c r="H473" s="109">
        <f t="shared" si="21"/>
        <v>123.5</v>
      </c>
      <c r="I473" s="119"/>
      <c r="J473" s="119"/>
      <c r="K473" s="119">
        <f t="shared" si="22"/>
        <v>123.5</v>
      </c>
      <c r="L473" s="152">
        <f t="shared" si="23"/>
        <v>107.28</v>
      </c>
      <c r="M473" s="113"/>
    </row>
    <row r="474" spans="1:13" x14ac:dyDescent="0.2">
      <c r="A474" s="106" t="s">
        <v>5494</v>
      </c>
      <c r="B474" s="105" t="s">
        <v>4112</v>
      </c>
      <c r="C474" s="105" t="s">
        <v>5552</v>
      </c>
      <c r="D474" s="149" t="s">
        <v>4113</v>
      </c>
      <c r="E474" s="105">
        <v>2</v>
      </c>
      <c r="F474" s="133">
        <v>19.66</v>
      </c>
      <c r="G474" s="133">
        <v>23</v>
      </c>
      <c r="H474" s="109">
        <f t="shared" si="21"/>
        <v>46</v>
      </c>
      <c r="I474" s="119"/>
      <c r="J474" s="119"/>
      <c r="K474" s="119">
        <f t="shared" si="22"/>
        <v>46</v>
      </c>
      <c r="L474" s="152">
        <f t="shared" si="23"/>
        <v>39.32</v>
      </c>
      <c r="M474" s="113"/>
    </row>
    <row r="475" spans="1:13" x14ac:dyDescent="0.2">
      <c r="A475" s="106" t="s">
        <v>5494</v>
      </c>
      <c r="B475" s="105" t="s">
        <v>1977</v>
      </c>
      <c r="C475" s="105" t="s">
        <v>5553</v>
      </c>
      <c r="D475" s="149" t="s">
        <v>1979</v>
      </c>
      <c r="E475" s="105">
        <v>5</v>
      </c>
      <c r="F475" s="133">
        <v>0.76</v>
      </c>
      <c r="G475" s="133">
        <v>1</v>
      </c>
      <c r="H475" s="109">
        <f t="shared" si="21"/>
        <v>5</v>
      </c>
      <c r="I475" s="119"/>
      <c r="J475" s="119"/>
      <c r="K475" s="119">
        <f t="shared" si="22"/>
        <v>5</v>
      </c>
      <c r="L475" s="152">
        <f t="shared" si="23"/>
        <v>3.8</v>
      </c>
      <c r="M475" s="113"/>
    </row>
    <row r="476" spans="1:13" x14ac:dyDescent="0.2">
      <c r="A476" s="106" t="s">
        <v>5494</v>
      </c>
      <c r="B476" s="105" t="s">
        <v>1905</v>
      </c>
      <c r="C476" s="105" t="s">
        <v>5554</v>
      </c>
      <c r="D476" s="149" t="s">
        <v>1906</v>
      </c>
      <c r="E476" s="105">
        <v>1</v>
      </c>
      <c r="F476" s="133">
        <v>15.12</v>
      </c>
      <c r="G476" s="133">
        <v>17.5</v>
      </c>
      <c r="H476" s="109">
        <f t="shared" si="21"/>
        <v>17.5</v>
      </c>
      <c r="I476" s="119"/>
      <c r="J476" s="119"/>
      <c r="K476" s="119">
        <f t="shared" si="22"/>
        <v>17.5</v>
      </c>
      <c r="L476" s="152">
        <f t="shared" si="23"/>
        <v>15.12</v>
      </c>
      <c r="M476" s="113"/>
    </row>
    <row r="477" spans="1:13" x14ac:dyDescent="0.2">
      <c r="A477" s="106" t="s">
        <v>5494</v>
      </c>
      <c r="B477" s="105" t="s">
        <v>3909</v>
      </c>
      <c r="C477" s="105" t="s">
        <v>5555</v>
      </c>
      <c r="D477" s="149" t="s">
        <v>3911</v>
      </c>
      <c r="E477" s="105">
        <v>1</v>
      </c>
      <c r="F477" s="133">
        <v>7.06</v>
      </c>
      <c r="G477" s="133">
        <v>8.25</v>
      </c>
      <c r="H477" s="109">
        <f t="shared" si="21"/>
        <v>8.25</v>
      </c>
      <c r="I477" s="119"/>
      <c r="J477" s="119"/>
      <c r="K477" s="119">
        <f t="shared" si="22"/>
        <v>8.25</v>
      </c>
      <c r="L477" s="152">
        <f t="shared" si="23"/>
        <v>7.06</v>
      </c>
      <c r="M477" s="113"/>
    </row>
    <row r="478" spans="1:13" x14ac:dyDescent="0.2">
      <c r="A478" s="106" t="s">
        <v>5494</v>
      </c>
      <c r="B478" s="105" t="s">
        <v>2895</v>
      </c>
      <c r="C478" s="105" t="s">
        <v>5556</v>
      </c>
      <c r="D478" s="149" t="s">
        <v>2897</v>
      </c>
      <c r="E478" s="105">
        <v>2</v>
      </c>
      <c r="F478" s="133">
        <v>9.17</v>
      </c>
      <c r="G478" s="133">
        <v>10.75</v>
      </c>
      <c r="H478" s="109">
        <f t="shared" si="21"/>
        <v>21.5</v>
      </c>
      <c r="I478" s="119"/>
      <c r="J478" s="119"/>
      <c r="K478" s="119">
        <f t="shared" si="22"/>
        <v>21.5</v>
      </c>
      <c r="L478" s="152">
        <f t="shared" si="23"/>
        <v>18.34</v>
      </c>
      <c r="M478" s="113"/>
    </row>
    <row r="479" spans="1:13" x14ac:dyDescent="0.2">
      <c r="A479" s="106" t="s">
        <v>5494</v>
      </c>
      <c r="B479" s="105" t="s">
        <v>2857</v>
      </c>
      <c r="C479" s="105" t="s">
        <v>5556</v>
      </c>
      <c r="D479" s="149" t="s">
        <v>2859</v>
      </c>
      <c r="E479" s="105">
        <v>9</v>
      </c>
      <c r="F479" s="133">
        <v>6.97</v>
      </c>
      <c r="G479" s="133">
        <v>8</v>
      </c>
      <c r="H479" s="109">
        <f t="shared" si="21"/>
        <v>72</v>
      </c>
      <c r="I479" s="119"/>
      <c r="J479" s="119"/>
      <c r="K479" s="119">
        <f t="shared" si="22"/>
        <v>72</v>
      </c>
      <c r="L479" s="152">
        <f t="shared" si="23"/>
        <v>62.73</v>
      </c>
      <c r="M479" s="113"/>
    </row>
    <row r="480" spans="1:13" x14ac:dyDescent="0.2">
      <c r="A480" s="106" t="s">
        <v>5495</v>
      </c>
      <c r="B480" s="105" t="s">
        <v>4199</v>
      </c>
      <c r="C480" s="105" t="s">
        <v>5557</v>
      </c>
      <c r="D480" s="149" t="s">
        <v>4200</v>
      </c>
      <c r="E480" s="105">
        <v>1</v>
      </c>
      <c r="F480" s="133">
        <v>24.24</v>
      </c>
      <c r="G480" s="133">
        <v>29.25</v>
      </c>
      <c r="H480" s="109">
        <f t="shared" si="21"/>
        <v>29.25</v>
      </c>
      <c r="I480" s="119"/>
      <c r="J480" s="119"/>
      <c r="K480" s="119">
        <f t="shared" si="22"/>
        <v>29.25</v>
      </c>
      <c r="L480" s="152">
        <f t="shared" si="23"/>
        <v>24.24</v>
      </c>
      <c r="M480" s="113"/>
    </row>
    <row r="481" spans="1:13" x14ac:dyDescent="0.2">
      <c r="A481" s="106" t="s">
        <v>5495</v>
      </c>
      <c r="B481" s="105" t="s">
        <v>2240</v>
      </c>
      <c r="C481" s="105" t="s">
        <v>5557</v>
      </c>
      <c r="D481" s="149" t="s">
        <v>2241</v>
      </c>
      <c r="E481" s="105">
        <v>1</v>
      </c>
      <c r="F481" s="133">
        <v>18.649999999999999</v>
      </c>
      <c r="G481" s="133">
        <v>21.5</v>
      </c>
      <c r="H481" s="109">
        <f t="shared" si="21"/>
        <v>21.5</v>
      </c>
      <c r="I481" s="119"/>
      <c r="J481" s="119"/>
      <c r="K481" s="119">
        <f t="shared" si="22"/>
        <v>21.5</v>
      </c>
      <c r="L481" s="152">
        <f t="shared" si="23"/>
        <v>18.649999999999999</v>
      </c>
      <c r="M481" s="113"/>
    </row>
    <row r="482" spans="1:13" x14ac:dyDescent="0.2">
      <c r="A482" s="106" t="s">
        <v>5495</v>
      </c>
      <c r="B482" s="105" t="s">
        <v>2115</v>
      </c>
      <c r="C482" s="105" t="s">
        <v>5557</v>
      </c>
      <c r="D482" s="149" t="s">
        <v>2117</v>
      </c>
      <c r="E482" s="105">
        <v>1</v>
      </c>
      <c r="F482" s="133">
        <v>84.8</v>
      </c>
      <c r="G482" s="133">
        <v>94</v>
      </c>
      <c r="H482" s="109">
        <f t="shared" si="21"/>
        <v>94</v>
      </c>
      <c r="I482" s="119"/>
      <c r="J482" s="119"/>
      <c r="K482" s="119">
        <f t="shared" si="22"/>
        <v>94</v>
      </c>
      <c r="L482" s="152">
        <f t="shared" si="23"/>
        <v>84.8</v>
      </c>
      <c r="M482" s="113"/>
    </row>
    <row r="483" spans="1:13" x14ac:dyDescent="0.2">
      <c r="A483" s="106" t="s">
        <v>5495</v>
      </c>
      <c r="B483" s="105" t="s">
        <v>2240</v>
      </c>
      <c r="C483" s="105" t="s">
        <v>5558</v>
      </c>
      <c r="D483" s="149" t="s">
        <v>2241</v>
      </c>
      <c r="E483" s="105">
        <v>1</v>
      </c>
      <c r="F483" s="133">
        <v>18.649999999999999</v>
      </c>
      <c r="G483" s="133">
        <v>21.5</v>
      </c>
      <c r="H483" s="109">
        <f t="shared" si="21"/>
        <v>21.5</v>
      </c>
      <c r="I483" s="119"/>
      <c r="J483" s="119"/>
      <c r="K483" s="119">
        <f t="shared" si="22"/>
        <v>21.5</v>
      </c>
      <c r="L483" s="152">
        <f t="shared" si="23"/>
        <v>18.649999999999999</v>
      </c>
      <c r="M483" s="113"/>
    </row>
    <row r="484" spans="1:13" x14ac:dyDescent="0.2">
      <c r="A484" s="106" t="s">
        <v>5495</v>
      </c>
      <c r="B484" s="105" t="s">
        <v>1857</v>
      </c>
      <c r="C484" s="105" t="s">
        <v>5559</v>
      </c>
      <c r="D484" s="149" t="s">
        <v>1858</v>
      </c>
      <c r="E484" s="105">
        <v>2</v>
      </c>
      <c r="F484" s="133">
        <v>15.12</v>
      </c>
      <c r="G484" s="133">
        <v>17.5</v>
      </c>
      <c r="H484" s="109">
        <f t="shared" si="21"/>
        <v>35</v>
      </c>
      <c r="I484" s="119"/>
      <c r="J484" s="119"/>
      <c r="K484" s="119">
        <f t="shared" si="22"/>
        <v>35</v>
      </c>
      <c r="L484" s="152">
        <f t="shared" si="23"/>
        <v>30.24</v>
      </c>
      <c r="M484" s="113"/>
    </row>
    <row r="485" spans="1:13" x14ac:dyDescent="0.2">
      <c r="A485" s="106" t="s">
        <v>5495</v>
      </c>
      <c r="B485" s="105" t="s">
        <v>1977</v>
      </c>
      <c r="C485" s="105" t="s">
        <v>5560</v>
      </c>
      <c r="D485" s="149" t="s">
        <v>1979</v>
      </c>
      <c r="E485" s="105">
        <v>2</v>
      </c>
      <c r="F485" s="133">
        <v>0.76</v>
      </c>
      <c r="G485" s="133">
        <v>1</v>
      </c>
      <c r="H485" s="109">
        <f t="shared" si="21"/>
        <v>2</v>
      </c>
      <c r="I485" s="119"/>
      <c r="J485" s="119"/>
      <c r="K485" s="119">
        <f t="shared" si="22"/>
        <v>2</v>
      </c>
      <c r="L485" s="152">
        <f t="shared" si="23"/>
        <v>1.52</v>
      </c>
      <c r="M485" s="113"/>
    </row>
    <row r="486" spans="1:13" x14ac:dyDescent="0.2">
      <c r="A486" s="106" t="s">
        <v>5495</v>
      </c>
      <c r="B486" s="105" t="s">
        <v>2338</v>
      </c>
      <c r="C486" s="105" t="s">
        <v>5561</v>
      </c>
      <c r="D486" s="149" t="s">
        <v>2339</v>
      </c>
      <c r="E486" s="105">
        <v>1</v>
      </c>
      <c r="F486" s="133">
        <v>31.6</v>
      </c>
      <c r="G486" s="133">
        <v>36.33</v>
      </c>
      <c r="H486" s="109">
        <f t="shared" si="21"/>
        <v>36.33</v>
      </c>
      <c r="I486" s="119"/>
      <c r="J486" s="119"/>
      <c r="K486" s="119">
        <f t="shared" si="22"/>
        <v>36.33</v>
      </c>
      <c r="L486" s="152">
        <f t="shared" si="23"/>
        <v>31.6</v>
      </c>
      <c r="M486" s="113"/>
    </row>
    <row r="487" spans="1:13" x14ac:dyDescent="0.2">
      <c r="A487" s="106" t="s">
        <v>5495</v>
      </c>
      <c r="B487" s="105" t="s">
        <v>2435</v>
      </c>
      <c r="C487" s="105" t="s">
        <v>5562</v>
      </c>
      <c r="D487" s="149" t="s">
        <v>2437</v>
      </c>
      <c r="E487" s="105">
        <v>1</v>
      </c>
      <c r="F487" s="133">
        <v>18.2</v>
      </c>
      <c r="G487" s="133">
        <v>21</v>
      </c>
      <c r="H487" s="109">
        <f t="shared" si="21"/>
        <v>21</v>
      </c>
      <c r="I487" s="119"/>
      <c r="J487" s="119"/>
      <c r="K487" s="119">
        <f t="shared" si="22"/>
        <v>21</v>
      </c>
      <c r="L487" s="152">
        <f t="shared" si="23"/>
        <v>18.2</v>
      </c>
      <c r="M487" s="113"/>
    </row>
    <row r="488" spans="1:13" x14ac:dyDescent="0.2">
      <c r="A488" s="106" t="s">
        <v>5495</v>
      </c>
      <c r="B488" s="105" t="s">
        <v>4367</v>
      </c>
      <c r="C488" s="105" t="s">
        <v>5563</v>
      </c>
      <c r="D488" s="149" t="s">
        <v>4431</v>
      </c>
      <c r="E488" s="105">
        <v>1</v>
      </c>
      <c r="F488" s="133">
        <v>20.399999999999999</v>
      </c>
      <c r="G488" s="133">
        <v>23.46</v>
      </c>
      <c r="H488" s="109">
        <f t="shared" si="21"/>
        <v>23.46</v>
      </c>
      <c r="I488" s="119"/>
      <c r="J488" s="119"/>
      <c r="K488" s="119">
        <f t="shared" si="22"/>
        <v>23.46</v>
      </c>
      <c r="L488" s="152">
        <f t="shared" si="23"/>
        <v>20.399999999999999</v>
      </c>
      <c r="M488" s="113"/>
    </row>
    <row r="489" spans="1:13" x14ac:dyDescent="0.2">
      <c r="A489" s="106" t="s">
        <v>5495</v>
      </c>
      <c r="B489" s="105" t="s">
        <v>4368</v>
      </c>
      <c r="C489" s="105" t="s">
        <v>5564</v>
      </c>
      <c r="D489" s="149" t="s">
        <v>4432</v>
      </c>
      <c r="E489" s="105">
        <v>1</v>
      </c>
      <c r="F489" s="133">
        <v>9.27</v>
      </c>
      <c r="G489" s="133">
        <v>10.75</v>
      </c>
      <c r="H489" s="109">
        <f t="shared" si="21"/>
        <v>10.75</v>
      </c>
      <c r="I489" s="119"/>
      <c r="J489" s="119"/>
      <c r="K489" s="119">
        <f t="shared" si="22"/>
        <v>10.75</v>
      </c>
      <c r="L489" s="152">
        <f t="shared" si="23"/>
        <v>9.27</v>
      </c>
      <c r="M489" s="113"/>
    </row>
    <row r="490" spans="1:13" x14ac:dyDescent="0.2">
      <c r="A490" s="106" t="s">
        <v>5495</v>
      </c>
      <c r="B490" s="105" t="s">
        <v>5500</v>
      </c>
      <c r="C490" s="105" t="s">
        <v>5565</v>
      </c>
      <c r="D490" s="149" t="s">
        <v>5576</v>
      </c>
      <c r="E490" s="105">
        <v>1</v>
      </c>
      <c r="F490" s="133">
        <v>65.77</v>
      </c>
      <c r="G490" s="133">
        <v>75.75</v>
      </c>
      <c r="H490" s="109">
        <f t="shared" si="21"/>
        <v>75.75</v>
      </c>
      <c r="I490" s="119"/>
      <c r="J490" s="119"/>
      <c r="K490" s="119">
        <f t="shared" si="22"/>
        <v>75.75</v>
      </c>
      <c r="L490" s="152">
        <f t="shared" si="23"/>
        <v>65.77</v>
      </c>
      <c r="M490" s="113"/>
    </row>
    <row r="491" spans="1:13" x14ac:dyDescent="0.2">
      <c r="A491" s="106" t="s">
        <v>5495</v>
      </c>
      <c r="B491" s="105" t="s">
        <v>4163</v>
      </c>
      <c r="C491" s="105" t="s">
        <v>5565</v>
      </c>
      <c r="D491" s="149" t="s">
        <v>4165</v>
      </c>
      <c r="E491" s="105">
        <v>1</v>
      </c>
      <c r="F491" s="133">
        <v>9.2799999999999994</v>
      </c>
      <c r="G491" s="133">
        <v>10.75</v>
      </c>
      <c r="H491" s="109">
        <f t="shared" si="21"/>
        <v>10.75</v>
      </c>
      <c r="I491" s="119"/>
      <c r="J491" s="119"/>
      <c r="K491" s="119">
        <f t="shared" si="22"/>
        <v>10.75</v>
      </c>
      <c r="L491" s="152">
        <f t="shared" si="23"/>
        <v>9.2799999999999994</v>
      </c>
      <c r="M491" s="113"/>
    </row>
    <row r="492" spans="1:13" x14ac:dyDescent="0.2">
      <c r="A492" s="106" t="s">
        <v>5495</v>
      </c>
      <c r="B492" s="105" t="s">
        <v>4796</v>
      </c>
      <c r="C492" s="105" t="s">
        <v>5565</v>
      </c>
      <c r="D492" s="149" t="s">
        <v>4865</v>
      </c>
      <c r="E492" s="105">
        <v>1</v>
      </c>
      <c r="F492" s="133">
        <v>23.21</v>
      </c>
      <c r="G492" s="133">
        <v>26.75</v>
      </c>
      <c r="H492" s="109">
        <f t="shared" si="21"/>
        <v>26.75</v>
      </c>
      <c r="I492" s="119"/>
      <c r="J492" s="119"/>
      <c r="K492" s="119">
        <f t="shared" si="22"/>
        <v>26.75</v>
      </c>
      <c r="L492" s="152">
        <f t="shared" si="23"/>
        <v>23.21</v>
      </c>
      <c r="M492" s="113"/>
    </row>
    <row r="493" spans="1:13" x14ac:dyDescent="0.2">
      <c r="A493" s="106" t="s">
        <v>5495</v>
      </c>
      <c r="B493" s="105" t="s">
        <v>4368</v>
      </c>
      <c r="C493" s="105" t="s">
        <v>5565</v>
      </c>
      <c r="D493" s="149" t="s">
        <v>4432</v>
      </c>
      <c r="E493" s="105">
        <v>1</v>
      </c>
      <c r="F493" s="133">
        <v>9.27</v>
      </c>
      <c r="G493" s="133">
        <v>10.75</v>
      </c>
      <c r="H493" s="109">
        <f t="shared" si="21"/>
        <v>10.75</v>
      </c>
      <c r="I493" s="119"/>
      <c r="J493" s="119"/>
      <c r="K493" s="119">
        <f t="shared" si="22"/>
        <v>10.75</v>
      </c>
      <c r="L493" s="152">
        <f t="shared" si="23"/>
        <v>9.27</v>
      </c>
      <c r="M493" s="113"/>
    </row>
    <row r="494" spans="1:13" x14ac:dyDescent="0.2">
      <c r="A494" s="106" t="s">
        <v>5495</v>
      </c>
      <c r="B494" s="105" t="s">
        <v>3974</v>
      </c>
      <c r="C494" s="105" t="s">
        <v>5566</v>
      </c>
      <c r="D494" s="149" t="s">
        <v>3975</v>
      </c>
      <c r="E494" s="105">
        <v>1</v>
      </c>
      <c r="F494" s="133">
        <v>59.51</v>
      </c>
      <c r="G494" s="133">
        <v>68.5</v>
      </c>
      <c r="H494" s="109">
        <f t="shared" si="21"/>
        <v>68.5</v>
      </c>
      <c r="I494" s="119"/>
      <c r="J494" s="119"/>
      <c r="K494" s="119">
        <f t="shared" si="22"/>
        <v>68.5</v>
      </c>
      <c r="L494" s="152">
        <f t="shared" si="23"/>
        <v>59.51</v>
      </c>
      <c r="M494" s="113"/>
    </row>
    <row r="495" spans="1:13" x14ac:dyDescent="0.2">
      <c r="A495" s="106" t="s">
        <v>5495</v>
      </c>
      <c r="B495" s="105" t="s">
        <v>3314</v>
      </c>
      <c r="C495" s="105" t="s">
        <v>5566</v>
      </c>
      <c r="D495" s="149" t="s">
        <v>3316</v>
      </c>
      <c r="E495" s="105">
        <v>1</v>
      </c>
      <c r="F495" s="133">
        <v>16.579999999999998</v>
      </c>
      <c r="G495" s="133">
        <v>19</v>
      </c>
      <c r="H495" s="109">
        <f t="shared" si="21"/>
        <v>19</v>
      </c>
      <c r="I495" s="119"/>
      <c r="J495" s="119"/>
      <c r="K495" s="119">
        <f t="shared" si="22"/>
        <v>19</v>
      </c>
      <c r="L495" s="152">
        <f t="shared" si="23"/>
        <v>16.579999999999998</v>
      </c>
      <c r="M495" s="113"/>
    </row>
    <row r="496" spans="1:13" x14ac:dyDescent="0.2">
      <c r="A496" s="106" t="s">
        <v>5495</v>
      </c>
      <c r="B496" s="105" t="s">
        <v>4568</v>
      </c>
      <c r="C496" s="105" t="s">
        <v>5567</v>
      </c>
      <c r="D496" s="149" t="s">
        <v>4673</v>
      </c>
      <c r="E496" s="105">
        <v>1</v>
      </c>
      <c r="F496" s="133">
        <v>34.47</v>
      </c>
      <c r="G496" s="133">
        <v>39.75</v>
      </c>
      <c r="H496" s="109">
        <f t="shared" si="21"/>
        <v>39.75</v>
      </c>
      <c r="I496" s="119"/>
      <c r="J496" s="119"/>
      <c r="K496" s="119">
        <f t="shared" si="22"/>
        <v>39.75</v>
      </c>
      <c r="L496" s="152">
        <f t="shared" si="23"/>
        <v>34.47</v>
      </c>
      <c r="M496" s="113"/>
    </row>
    <row r="497" spans="1:13" x14ac:dyDescent="0.2">
      <c r="A497" s="106" t="s">
        <v>5495</v>
      </c>
      <c r="B497" s="105" t="s">
        <v>1861</v>
      </c>
      <c r="C497" s="105" t="s">
        <v>5568</v>
      </c>
      <c r="D497" s="149" t="s">
        <v>1862</v>
      </c>
      <c r="E497" s="105">
        <v>1</v>
      </c>
      <c r="F497" s="133">
        <v>15.65</v>
      </c>
      <c r="G497" s="133">
        <v>18</v>
      </c>
      <c r="H497" s="109">
        <f t="shared" si="21"/>
        <v>18</v>
      </c>
      <c r="I497" s="119"/>
      <c r="J497" s="119"/>
      <c r="K497" s="119">
        <f t="shared" si="22"/>
        <v>18</v>
      </c>
      <c r="L497" s="152">
        <f t="shared" si="23"/>
        <v>15.65</v>
      </c>
      <c r="M497" s="113"/>
    </row>
    <row r="498" spans="1:13" x14ac:dyDescent="0.2">
      <c r="A498" s="106" t="s">
        <v>5495</v>
      </c>
      <c r="B498" s="105" t="s">
        <v>2438</v>
      </c>
      <c r="C498" s="105" t="s">
        <v>5568</v>
      </c>
      <c r="D498" s="149" t="s">
        <v>2440</v>
      </c>
      <c r="E498" s="105">
        <v>1</v>
      </c>
      <c r="F498" s="133">
        <v>15.12</v>
      </c>
      <c r="G498" s="133">
        <v>17.5</v>
      </c>
      <c r="H498" s="109">
        <f t="shared" si="21"/>
        <v>17.5</v>
      </c>
      <c r="I498" s="119"/>
      <c r="J498" s="119"/>
      <c r="K498" s="119">
        <f t="shared" si="22"/>
        <v>17.5</v>
      </c>
      <c r="L498" s="152">
        <f t="shared" si="23"/>
        <v>15.12</v>
      </c>
      <c r="M498" s="113"/>
    </row>
    <row r="499" spans="1:13" x14ac:dyDescent="0.2">
      <c r="A499" s="106" t="s">
        <v>5495</v>
      </c>
      <c r="B499" s="105" t="s">
        <v>3314</v>
      </c>
      <c r="C499" s="105" t="s">
        <v>5568</v>
      </c>
      <c r="D499" s="149" t="s">
        <v>3316</v>
      </c>
      <c r="E499" s="105">
        <v>1</v>
      </c>
      <c r="F499" s="133">
        <v>16.579999999999998</v>
      </c>
      <c r="G499" s="133">
        <v>19</v>
      </c>
      <c r="H499" s="109">
        <f t="shared" si="21"/>
        <v>19</v>
      </c>
      <c r="I499" s="119"/>
      <c r="J499" s="119"/>
      <c r="K499" s="119">
        <f t="shared" si="22"/>
        <v>19</v>
      </c>
      <c r="L499" s="152">
        <f t="shared" si="23"/>
        <v>16.579999999999998</v>
      </c>
      <c r="M499" s="113"/>
    </row>
    <row r="500" spans="1:13" x14ac:dyDescent="0.2">
      <c r="A500" s="106" t="s">
        <v>5495</v>
      </c>
      <c r="B500" s="105" t="s">
        <v>3314</v>
      </c>
      <c r="C500" s="105" t="s">
        <v>5569</v>
      </c>
      <c r="D500" s="149" t="s">
        <v>3316</v>
      </c>
      <c r="E500" s="105">
        <v>1</v>
      </c>
      <c r="F500" s="133">
        <v>16.579999999999998</v>
      </c>
      <c r="G500" s="133">
        <v>19</v>
      </c>
      <c r="H500" s="109">
        <f t="shared" si="21"/>
        <v>19</v>
      </c>
      <c r="I500" s="119"/>
      <c r="J500" s="119"/>
      <c r="K500" s="119">
        <f t="shared" si="22"/>
        <v>19</v>
      </c>
      <c r="L500" s="152">
        <f t="shared" si="23"/>
        <v>16.579999999999998</v>
      </c>
      <c r="M500" s="113"/>
    </row>
    <row r="501" spans="1:13" x14ac:dyDescent="0.2">
      <c r="A501" s="106" t="s">
        <v>5495</v>
      </c>
      <c r="B501" s="105" t="s">
        <v>3314</v>
      </c>
      <c r="C501" s="105" t="s">
        <v>5570</v>
      </c>
      <c r="D501" s="149" t="s">
        <v>3316</v>
      </c>
      <c r="E501" s="105">
        <v>1</v>
      </c>
      <c r="F501" s="133">
        <v>16.579999999999998</v>
      </c>
      <c r="G501" s="133">
        <v>19</v>
      </c>
      <c r="H501" s="109">
        <f t="shared" si="21"/>
        <v>19</v>
      </c>
      <c r="I501" s="119"/>
      <c r="J501" s="119"/>
      <c r="K501" s="119">
        <f t="shared" si="22"/>
        <v>19</v>
      </c>
      <c r="L501" s="152">
        <f t="shared" si="23"/>
        <v>16.579999999999998</v>
      </c>
      <c r="M501" s="113"/>
    </row>
    <row r="502" spans="1:13" x14ac:dyDescent="0.2">
      <c r="A502" s="106" t="s">
        <v>5495</v>
      </c>
      <c r="B502" s="105" t="s">
        <v>1826</v>
      </c>
      <c r="C502" s="105" t="s">
        <v>5571</v>
      </c>
      <c r="D502" s="149" t="s">
        <v>1827</v>
      </c>
      <c r="E502" s="105">
        <v>4</v>
      </c>
      <c r="F502" s="133">
        <v>90</v>
      </c>
      <c r="G502" s="133">
        <v>120</v>
      </c>
      <c r="H502" s="109">
        <f t="shared" si="21"/>
        <v>480</v>
      </c>
      <c r="I502" s="119"/>
      <c r="J502" s="119"/>
      <c r="K502" s="119">
        <f t="shared" si="22"/>
        <v>480</v>
      </c>
      <c r="L502" s="152">
        <f t="shared" si="23"/>
        <v>360</v>
      </c>
      <c r="M502" s="113"/>
    </row>
    <row r="503" spans="1:13" x14ac:dyDescent="0.2">
      <c r="A503" s="106" t="s">
        <v>5577</v>
      </c>
      <c r="B503" s="105" t="s">
        <v>3169</v>
      </c>
      <c r="C503" s="105" t="s">
        <v>5595</v>
      </c>
      <c r="D503" s="149" t="s">
        <v>3170</v>
      </c>
      <c r="E503" s="105">
        <v>6</v>
      </c>
      <c r="F503" s="133">
        <v>5.41</v>
      </c>
      <c r="G503" s="133">
        <v>6.25</v>
      </c>
      <c r="H503" s="109">
        <f t="shared" si="21"/>
        <v>37.5</v>
      </c>
      <c r="I503" s="119"/>
      <c r="J503" s="119"/>
      <c r="K503" s="119">
        <f t="shared" si="22"/>
        <v>37.5</v>
      </c>
      <c r="L503" s="152">
        <f t="shared" si="23"/>
        <v>32.46</v>
      </c>
      <c r="M503" s="113"/>
    </row>
    <row r="504" spans="1:13" x14ac:dyDescent="0.2">
      <c r="A504" s="106" t="s">
        <v>5577</v>
      </c>
      <c r="B504" s="105" t="s">
        <v>2367</v>
      </c>
      <c r="C504" s="105" t="s">
        <v>5595</v>
      </c>
      <c r="D504" s="149" t="s">
        <v>2369</v>
      </c>
      <c r="E504" s="105">
        <v>6</v>
      </c>
      <c r="F504" s="133">
        <v>6.38</v>
      </c>
      <c r="G504" s="133">
        <v>7.5</v>
      </c>
      <c r="H504" s="109">
        <f t="shared" si="21"/>
        <v>45</v>
      </c>
      <c r="I504" s="119"/>
      <c r="J504" s="119"/>
      <c r="K504" s="119">
        <f t="shared" si="22"/>
        <v>45</v>
      </c>
      <c r="L504" s="152">
        <f t="shared" si="23"/>
        <v>38.28</v>
      </c>
      <c r="M504" s="113"/>
    </row>
    <row r="505" spans="1:13" x14ac:dyDescent="0.2">
      <c r="A505" s="106" t="s">
        <v>5577</v>
      </c>
      <c r="B505" s="105" t="s">
        <v>2809</v>
      </c>
      <c r="C505" s="105" t="s">
        <v>5595</v>
      </c>
      <c r="D505" s="149" t="s">
        <v>2810</v>
      </c>
      <c r="E505" s="105">
        <v>2</v>
      </c>
      <c r="F505" s="133">
        <v>53.81</v>
      </c>
      <c r="G505" s="133">
        <v>62</v>
      </c>
      <c r="H505" s="109">
        <f t="shared" si="21"/>
        <v>124</v>
      </c>
      <c r="I505" s="119"/>
      <c r="J505" s="119"/>
      <c r="K505" s="119">
        <f t="shared" si="22"/>
        <v>124</v>
      </c>
      <c r="L505" s="152">
        <f t="shared" si="23"/>
        <v>107.62</v>
      </c>
      <c r="M505" s="113"/>
    </row>
    <row r="506" spans="1:13" x14ac:dyDescent="0.2">
      <c r="A506" s="106" t="s">
        <v>5577</v>
      </c>
      <c r="B506" s="105" t="s">
        <v>4150</v>
      </c>
      <c r="C506" s="105" t="s">
        <v>5596</v>
      </c>
      <c r="D506" s="149" t="s">
        <v>4152</v>
      </c>
      <c r="E506" s="105">
        <v>1</v>
      </c>
      <c r="F506" s="133">
        <v>14.82</v>
      </c>
      <c r="G506" s="133">
        <v>17.25</v>
      </c>
      <c r="H506" s="109">
        <f t="shared" si="21"/>
        <v>17.25</v>
      </c>
      <c r="I506" s="119"/>
      <c r="J506" s="119"/>
      <c r="K506" s="119">
        <f t="shared" si="22"/>
        <v>17.25</v>
      </c>
      <c r="L506" s="152">
        <f t="shared" si="23"/>
        <v>14.82</v>
      </c>
      <c r="M506" s="113"/>
    </row>
    <row r="507" spans="1:13" x14ac:dyDescent="0.2">
      <c r="A507" s="106" t="s">
        <v>5577</v>
      </c>
      <c r="B507" s="105" t="s">
        <v>3652</v>
      </c>
      <c r="C507" s="105" t="s">
        <v>5597</v>
      </c>
      <c r="D507" s="149" t="s">
        <v>3653</v>
      </c>
      <c r="E507" s="105">
        <v>1</v>
      </c>
      <c r="F507" s="133">
        <v>75</v>
      </c>
      <c r="G507" s="133">
        <v>83</v>
      </c>
      <c r="H507" s="109">
        <f t="shared" si="21"/>
        <v>83</v>
      </c>
      <c r="I507" s="119"/>
      <c r="J507" s="119"/>
      <c r="K507" s="119">
        <f t="shared" si="22"/>
        <v>83</v>
      </c>
      <c r="L507" s="152">
        <f t="shared" si="23"/>
        <v>75</v>
      </c>
      <c r="M507" s="113"/>
    </row>
    <row r="508" spans="1:13" x14ac:dyDescent="0.2">
      <c r="A508" s="106" t="s">
        <v>5577</v>
      </c>
      <c r="B508" s="105" t="s">
        <v>3047</v>
      </c>
      <c r="C508" s="105" t="s">
        <v>5597</v>
      </c>
      <c r="D508" s="149" t="s">
        <v>3048</v>
      </c>
      <c r="E508" s="105">
        <v>1</v>
      </c>
      <c r="F508" s="133">
        <v>35.68</v>
      </c>
      <c r="G508" s="133">
        <v>41.25</v>
      </c>
      <c r="H508" s="109">
        <f t="shared" si="21"/>
        <v>41.25</v>
      </c>
      <c r="I508" s="119"/>
      <c r="J508" s="119"/>
      <c r="K508" s="119">
        <f t="shared" si="22"/>
        <v>41.25</v>
      </c>
      <c r="L508" s="152">
        <f t="shared" si="23"/>
        <v>35.68</v>
      </c>
      <c r="M508" s="113"/>
    </row>
    <row r="509" spans="1:13" x14ac:dyDescent="0.2">
      <c r="A509" s="106" t="s">
        <v>5577</v>
      </c>
      <c r="B509" s="105" t="s">
        <v>3092</v>
      </c>
      <c r="C509" s="105" t="s">
        <v>5598</v>
      </c>
      <c r="D509" s="149" t="s">
        <v>3093</v>
      </c>
      <c r="E509" s="105">
        <v>3</v>
      </c>
      <c r="F509" s="133">
        <v>7.48</v>
      </c>
      <c r="G509" s="133">
        <v>8.75</v>
      </c>
      <c r="H509" s="109">
        <f t="shared" si="21"/>
        <v>26.25</v>
      </c>
      <c r="I509" s="119"/>
      <c r="J509" s="119"/>
      <c r="K509" s="119">
        <f t="shared" si="22"/>
        <v>26.25</v>
      </c>
      <c r="L509" s="152">
        <f t="shared" si="23"/>
        <v>22.44</v>
      </c>
      <c r="M509" s="113"/>
    </row>
    <row r="510" spans="1:13" x14ac:dyDescent="0.2">
      <c r="A510" s="106" t="s">
        <v>5577</v>
      </c>
      <c r="B510" s="105" t="s">
        <v>1962</v>
      </c>
      <c r="C510" s="105" t="s">
        <v>5598</v>
      </c>
      <c r="D510" s="149" t="s">
        <v>1964</v>
      </c>
      <c r="E510" s="105">
        <v>1</v>
      </c>
      <c r="F510" s="133">
        <v>7.48</v>
      </c>
      <c r="G510" s="133">
        <v>8.75</v>
      </c>
      <c r="H510" s="109">
        <f t="shared" si="21"/>
        <v>8.75</v>
      </c>
      <c r="I510" s="119"/>
      <c r="J510" s="119"/>
      <c r="K510" s="119">
        <f t="shared" si="22"/>
        <v>8.75</v>
      </c>
      <c r="L510" s="152">
        <f t="shared" si="23"/>
        <v>7.48</v>
      </c>
      <c r="M510" s="113"/>
    </row>
    <row r="511" spans="1:13" x14ac:dyDescent="0.2">
      <c r="A511" s="106" t="s">
        <v>5577</v>
      </c>
      <c r="B511" s="105" t="s">
        <v>4804</v>
      </c>
      <c r="C511" s="105" t="s">
        <v>5598</v>
      </c>
      <c r="D511" s="149" t="s">
        <v>4872</v>
      </c>
      <c r="E511" s="105">
        <v>1</v>
      </c>
      <c r="F511" s="133">
        <v>7.48</v>
      </c>
      <c r="G511" s="133">
        <v>8.75</v>
      </c>
      <c r="H511" s="109">
        <f t="shared" si="21"/>
        <v>8.75</v>
      </c>
      <c r="I511" s="119"/>
      <c r="J511" s="119"/>
      <c r="K511" s="119">
        <f t="shared" si="22"/>
        <v>8.75</v>
      </c>
      <c r="L511" s="152">
        <f t="shared" si="23"/>
        <v>7.48</v>
      </c>
      <c r="M511" s="113"/>
    </row>
    <row r="512" spans="1:13" x14ac:dyDescent="0.2">
      <c r="A512" s="106" t="s">
        <v>5577</v>
      </c>
      <c r="B512" s="105" t="s">
        <v>1924</v>
      </c>
      <c r="C512" s="105" t="s">
        <v>5599</v>
      </c>
      <c r="D512" s="149" t="s">
        <v>1926</v>
      </c>
      <c r="E512" s="105">
        <v>2</v>
      </c>
      <c r="F512" s="133">
        <v>10.64</v>
      </c>
      <c r="G512" s="133">
        <v>12.25</v>
      </c>
      <c r="H512" s="109">
        <f t="shared" si="21"/>
        <v>24.5</v>
      </c>
      <c r="I512" s="119"/>
      <c r="J512" s="119"/>
      <c r="K512" s="119">
        <f t="shared" si="22"/>
        <v>24.5</v>
      </c>
      <c r="L512" s="152">
        <f t="shared" si="23"/>
        <v>21.28</v>
      </c>
      <c r="M512" s="113"/>
    </row>
    <row r="513" spans="1:13" x14ac:dyDescent="0.2">
      <c r="A513" s="106" t="s">
        <v>5577</v>
      </c>
      <c r="B513" s="105" t="s">
        <v>2371</v>
      </c>
      <c r="C513" s="105" t="s">
        <v>5600</v>
      </c>
      <c r="D513" s="149" t="s">
        <v>2372</v>
      </c>
      <c r="E513" s="105">
        <v>1</v>
      </c>
      <c r="F513" s="133">
        <v>39.880000000000003</v>
      </c>
      <c r="G513" s="133">
        <v>46</v>
      </c>
      <c r="H513" s="109">
        <f t="shared" si="21"/>
        <v>46</v>
      </c>
      <c r="I513" s="119"/>
      <c r="J513" s="119"/>
      <c r="K513" s="119">
        <f t="shared" si="22"/>
        <v>46</v>
      </c>
      <c r="L513" s="152">
        <f t="shared" si="23"/>
        <v>39.880000000000003</v>
      </c>
      <c r="M513" s="113"/>
    </row>
    <row r="514" spans="1:13" x14ac:dyDescent="0.2">
      <c r="A514" s="106" t="s">
        <v>5577</v>
      </c>
      <c r="B514" s="105" t="s">
        <v>3695</v>
      </c>
      <c r="C514" s="105" t="s">
        <v>5600</v>
      </c>
      <c r="D514" s="149" t="s">
        <v>3697</v>
      </c>
      <c r="E514" s="105">
        <v>1</v>
      </c>
      <c r="F514" s="133">
        <v>43.5</v>
      </c>
      <c r="G514" s="133">
        <v>50</v>
      </c>
      <c r="H514" s="109">
        <f t="shared" si="21"/>
        <v>50</v>
      </c>
      <c r="I514" s="119"/>
      <c r="J514" s="119"/>
      <c r="K514" s="119">
        <f t="shared" si="22"/>
        <v>50</v>
      </c>
      <c r="L514" s="152">
        <f t="shared" si="23"/>
        <v>43.5</v>
      </c>
      <c r="M514" s="113"/>
    </row>
    <row r="515" spans="1:13" x14ac:dyDescent="0.2">
      <c r="A515" s="106" t="s">
        <v>5577</v>
      </c>
      <c r="B515" s="105" t="s">
        <v>1977</v>
      </c>
      <c r="C515" s="105" t="s">
        <v>5601</v>
      </c>
      <c r="D515" s="149" t="s">
        <v>1979</v>
      </c>
      <c r="E515" s="105">
        <v>2</v>
      </c>
      <c r="F515" s="133">
        <v>0.76</v>
      </c>
      <c r="G515" s="133">
        <v>1</v>
      </c>
      <c r="H515" s="109">
        <f t="shared" si="21"/>
        <v>2</v>
      </c>
      <c r="I515" s="119"/>
      <c r="J515" s="119"/>
      <c r="K515" s="119">
        <f t="shared" si="22"/>
        <v>2</v>
      </c>
      <c r="L515" s="152">
        <f t="shared" si="23"/>
        <v>1.52</v>
      </c>
      <c r="M515" s="113"/>
    </row>
    <row r="516" spans="1:13" x14ac:dyDescent="0.2">
      <c r="A516" s="106" t="s">
        <v>5577</v>
      </c>
      <c r="B516" s="105" t="s">
        <v>4716</v>
      </c>
      <c r="C516" s="105" t="s">
        <v>5601</v>
      </c>
      <c r="D516" s="149" t="s">
        <v>4751</v>
      </c>
      <c r="E516" s="105">
        <v>4</v>
      </c>
      <c r="F516" s="133">
        <v>0.81</v>
      </c>
      <c r="G516" s="133">
        <v>1</v>
      </c>
      <c r="H516" s="109">
        <f t="shared" si="21"/>
        <v>4</v>
      </c>
      <c r="I516" s="119"/>
      <c r="J516" s="119"/>
      <c r="K516" s="119">
        <f t="shared" si="22"/>
        <v>4</v>
      </c>
      <c r="L516" s="152">
        <f t="shared" si="23"/>
        <v>3.24</v>
      </c>
      <c r="M516" s="113"/>
    </row>
    <row r="517" spans="1:13" x14ac:dyDescent="0.2">
      <c r="A517" s="106" t="s">
        <v>5577</v>
      </c>
      <c r="B517" s="105" t="s">
        <v>1924</v>
      </c>
      <c r="C517" s="105" t="s">
        <v>5602</v>
      </c>
      <c r="D517" s="149" t="s">
        <v>1926</v>
      </c>
      <c r="E517" s="105">
        <v>1</v>
      </c>
      <c r="F517" s="133">
        <v>10.64</v>
      </c>
      <c r="G517" s="133">
        <v>12.25</v>
      </c>
      <c r="H517" s="109">
        <f t="shared" si="21"/>
        <v>12.25</v>
      </c>
      <c r="I517" s="119"/>
      <c r="J517" s="119"/>
      <c r="K517" s="119">
        <f t="shared" si="22"/>
        <v>12.25</v>
      </c>
      <c r="L517" s="152">
        <f t="shared" si="23"/>
        <v>10.64</v>
      </c>
      <c r="M517" s="113"/>
    </row>
    <row r="518" spans="1:13" x14ac:dyDescent="0.2">
      <c r="A518" s="106" t="s">
        <v>5577</v>
      </c>
      <c r="B518" s="105" t="s">
        <v>2031</v>
      </c>
      <c r="C518" s="105" t="s">
        <v>5603</v>
      </c>
      <c r="D518" s="149" t="s">
        <v>2033</v>
      </c>
      <c r="E518" s="105">
        <v>3</v>
      </c>
      <c r="F518" s="133">
        <v>20.399999999999999</v>
      </c>
      <c r="G518" s="133">
        <v>24</v>
      </c>
      <c r="H518" s="109">
        <f t="shared" ref="H518:H581" si="24">E518*G518</f>
        <v>72</v>
      </c>
      <c r="I518" s="119"/>
      <c r="J518" s="119"/>
      <c r="K518" s="119">
        <f t="shared" si="22"/>
        <v>72</v>
      </c>
      <c r="L518" s="152">
        <f t="shared" si="23"/>
        <v>61.199999999999996</v>
      </c>
      <c r="M518" s="113"/>
    </row>
    <row r="519" spans="1:13" x14ac:dyDescent="0.2">
      <c r="A519" s="106" t="s">
        <v>5577</v>
      </c>
      <c r="B519" s="105" t="s">
        <v>4330</v>
      </c>
      <c r="C519" s="105" t="s">
        <v>5603</v>
      </c>
      <c r="D519" s="149" t="s">
        <v>4360</v>
      </c>
      <c r="E519" s="105">
        <v>2</v>
      </c>
      <c r="F519" s="133">
        <v>69.510000000000005</v>
      </c>
      <c r="G519" s="133">
        <v>80</v>
      </c>
      <c r="H519" s="109">
        <f t="shared" si="24"/>
        <v>160</v>
      </c>
      <c r="I519" s="119"/>
      <c r="J519" s="119"/>
      <c r="K519" s="119">
        <f t="shared" ref="K519:K582" si="25">H519+I519-J519</f>
        <v>160</v>
      </c>
      <c r="L519" s="152">
        <f t="shared" ref="L519:L582" si="26">E519*F519</f>
        <v>139.02000000000001</v>
      </c>
      <c r="M519" s="113"/>
    </row>
    <row r="520" spans="1:13" x14ac:dyDescent="0.2">
      <c r="A520" s="106" t="s">
        <v>5577</v>
      </c>
      <c r="B520" s="105" t="s">
        <v>4718</v>
      </c>
      <c r="C520" s="105" t="s">
        <v>5604</v>
      </c>
      <c r="D520" s="149" t="s">
        <v>4753</v>
      </c>
      <c r="E520" s="105">
        <v>1</v>
      </c>
      <c r="F520" s="133">
        <v>14.5</v>
      </c>
      <c r="G520" s="133">
        <v>16.75</v>
      </c>
      <c r="H520" s="109">
        <f t="shared" si="24"/>
        <v>16.75</v>
      </c>
      <c r="I520" s="119"/>
      <c r="J520" s="119"/>
      <c r="K520" s="119">
        <f t="shared" si="25"/>
        <v>16.75</v>
      </c>
      <c r="L520" s="152">
        <f t="shared" si="26"/>
        <v>14.5</v>
      </c>
      <c r="M520" s="113"/>
    </row>
    <row r="521" spans="1:13" x14ac:dyDescent="0.2">
      <c r="A521" s="106" t="s">
        <v>5577</v>
      </c>
      <c r="B521" s="105" t="s">
        <v>5416</v>
      </c>
      <c r="C521" s="105" t="s">
        <v>5604</v>
      </c>
      <c r="D521" s="149" t="s">
        <v>5467</v>
      </c>
      <c r="E521" s="105">
        <v>5</v>
      </c>
      <c r="F521" s="133">
        <v>1</v>
      </c>
      <c r="G521" s="133">
        <v>1.25</v>
      </c>
      <c r="H521" s="109">
        <f t="shared" si="24"/>
        <v>6.25</v>
      </c>
      <c r="I521" s="119"/>
      <c r="J521" s="119"/>
      <c r="K521" s="119">
        <f t="shared" si="25"/>
        <v>6.25</v>
      </c>
      <c r="L521" s="152">
        <f t="shared" si="26"/>
        <v>5</v>
      </c>
      <c r="M521" s="113"/>
    </row>
    <row r="522" spans="1:13" x14ac:dyDescent="0.2">
      <c r="A522" s="106" t="s">
        <v>5577</v>
      </c>
      <c r="B522" s="105" t="s">
        <v>2441</v>
      </c>
      <c r="C522" s="105" t="s">
        <v>5604</v>
      </c>
      <c r="D522" s="149" t="s">
        <v>2443</v>
      </c>
      <c r="E522" s="105">
        <v>2</v>
      </c>
      <c r="F522" s="133">
        <v>0.81</v>
      </c>
      <c r="G522" s="133">
        <v>1</v>
      </c>
      <c r="H522" s="109">
        <f t="shared" si="24"/>
        <v>2</v>
      </c>
      <c r="I522" s="119"/>
      <c r="J522" s="119"/>
      <c r="K522" s="119">
        <f t="shared" si="25"/>
        <v>2</v>
      </c>
      <c r="L522" s="152">
        <f t="shared" si="26"/>
        <v>1.62</v>
      </c>
      <c r="M522" s="113"/>
    </row>
    <row r="523" spans="1:13" x14ac:dyDescent="0.2">
      <c r="A523" s="106" t="s">
        <v>5577</v>
      </c>
      <c r="B523" s="105" t="s">
        <v>2237</v>
      </c>
      <c r="C523" s="105" t="s">
        <v>5605</v>
      </c>
      <c r="D523" s="149" t="s">
        <v>2239</v>
      </c>
      <c r="E523" s="105">
        <v>1</v>
      </c>
      <c r="F523" s="133">
        <v>13.32</v>
      </c>
      <c r="G523" s="133">
        <v>15.5</v>
      </c>
      <c r="H523" s="109">
        <f t="shared" si="24"/>
        <v>15.5</v>
      </c>
      <c r="I523" s="119"/>
      <c r="J523" s="119"/>
      <c r="K523" s="119">
        <f t="shared" si="25"/>
        <v>15.5</v>
      </c>
      <c r="L523" s="152">
        <f t="shared" si="26"/>
        <v>13.32</v>
      </c>
      <c r="M523" s="113"/>
    </row>
    <row r="524" spans="1:13" x14ac:dyDescent="0.2">
      <c r="A524" s="106" t="s">
        <v>5577</v>
      </c>
      <c r="B524" s="105" t="s">
        <v>4368</v>
      </c>
      <c r="C524" s="105" t="s">
        <v>5605</v>
      </c>
      <c r="D524" s="149" t="s">
        <v>4432</v>
      </c>
      <c r="E524" s="105">
        <v>1</v>
      </c>
      <c r="F524" s="133">
        <v>9.27</v>
      </c>
      <c r="G524" s="133">
        <v>10.75</v>
      </c>
      <c r="H524" s="109">
        <f t="shared" si="24"/>
        <v>10.75</v>
      </c>
      <c r="I524" s="119"/>
      <c r="J524" s="119"/>
      <c r="K524" s="119">
        <f t="shared" si="25"/>
        <v>10.75</v>
      </c>
      <c r="L524" s="152">
        <f t="shared" si="26"/>
        <v>9.27</v>
      </c>
      <c r="M524" s="113"/>
    </row>
    <row r="525" spans="1:13" x14ac:dyDescent="0.2">
      <c r="A525" s="106" t="s">
        <v>5577</v>
      </c>
      <c r="B525" s="105" t="s">
        <v>1857</v>
      </c>
      <c r="C525" s="105" t="s">
        <v>5606</v>
      </c>
      <c r="D525" s="149" t="s">
        <v>1858</v>
      </c>
      <c r="E525" s="105">
        <v>1</v>
      </c>
      <c r="F525" s="133">
        <v>15.12</v>
      </c>
      <c r="G525" s="133">
        <v>17.5</v>
      </c>
      <c r="H525" s="109">
        <f t="shared" si="24"/>
        <v>17.5</v>
      </c>
      <c r="I525" s="119"/>
      <c r="J525" s="119"/>
      <c r="K525" s="119">
        <f t="shared" si="25"/>
        <v>17.5</v>
      </c>
      <c r="L525" s="152">
        <f t="shared" si="26"/>
        <v>15.12</v>
      </c>
      <c r="M525" s="113"/>
    </row>
    <row r="526" spans="1:13" x14ac:dyDescent="0.2">
      <c r="A526" s="106" t="s">
        <v>5577</v>
      </c>
      <c r="B526" s="105" t="s">
        <v>3225</v>
      </c>
      <c r="C526" s="105" t="s">
        <v>5607</v>
      </c>
      <c r="D526" s="149" t="s">
        <v>3227</v>
      </c>
      <c r="E526" s="105">
        <v>1</v>
      </c>
      <c r="F526" s="133">
        <v>21.88</v>
      </c>
      <c r="G526" s="133">
        <v>24.5</v>
      </c>
      <c r="H526" s="109">
        <f t="shared" si="24"/>
        <v>24.5</v>
      </c>
      <c r="I526" s="119"/>
      <c r="J526" s="119"/>
      <c r="K526" s="119">
        <f t="shared" si="25"/>
        <v>24.5</v>
      </c>
      <c r="L526" s="152">
        <f t="shared" si="26"/>
        <v>21.88</v>
      </c>
      <c r="M526" s="113"/>
    </row>
    <row r="527" spans="1:13" x14ac:dyDescent="0.2">
      <c r="A527" s="106" t="s">
        <v>5577</v>
      </c>
      <c r="B527" s="105" t="s">
        <v>5591</v>
      </c>
      <c r="C527" s="105" t="s">
        <v>5607</v>
      </c>
      <c r="D527" s="149" t="s">
        <v>5636</v>
      </c>
      <c r="E527" s="105">
        <v>1</v>
      </c>
      <c r="F527" s="133">
        <v>5.85</v>
      </c>
      <c r="G527" s="133">
        <v>7</v>
      </c>
      <c r="H527" s="109">
        <f t="shared" si="24"/>
        <v>7</v>
      </c>
      <c r="I527" s="119"/>
      <c r="J527" s="119"/>
      <c r="K527" s="119">
        <f t="shared" si="25"/>
        <v>7</v>
      </c>
      <c r="L527" s="152">
        <f t="shared" si="26"/>
        <v>5.85</v>
      </c>
      <c r="M527" s="113"/>
    </row>
    <row r="528" spans="1:13" x14ac:dyDescent="0.2">
      <c r="A528" s="106" t="s">
        <v>5577</v>
      </c>
      <c r="B528" s="105" t="s">
        <v>2008</v>
      </c>
      <c r="C528" s="105" t="s">
        <v>5608</v>
      </c>
      <c r="D528" s="149" t="s">
        <v>2010</v>
      </c>
      <c r="E528" s="105">
        <v>1</v>
      </c>
      <c r="F528" s="133">
        <v>44.8</v>
      </c>
      <c r="G528" s="133">
        <v>51.75</v>
      </c>
      <c r="H528" s="109">
        <f t="shared" si="24"/>
        <v>51.75</v>
      </c>
      <c r="I528" s="119"/>
      <c r="J528" s="119"/>
      <c r="K528" s="119">
        <f t="shared" si="25"/>
        <v>51.75</v>
      </c>
      <c r="L528" s="152">
        <f t="shared" si="26"/>
        <v>44.8</v>
      </c>
      <c r="M528" s="113"/>
    </row>
    <row r="529" spans="1:13" x14ac:dyDescent="0.2">
      <c r="A529" s="106" t="s">
        <v>5577</v>
      </c>
      <c r="B529" s="105" t="s">
        <v>5592</v>
      </c>
      <c r="C529" s="105" t="s">
        <v>5609</v>
      </c>
      <c r="D529" s="149" t="s">
        <v>5637</v>
      </c>
      <c r="E529" s="105">
        <v>1</v>
      </c>
      <c r="F529" s="133">
        <v>6.18</v>
      </c>
      <c r="G529" s="133">
        <v>7.25</v>
      </c>
      <c r="H529" s="109">
        <f t="shared" si="24"/>
        <v>7.25</v>
      </c>
      <c r="I529" s="119"/>
      <c r="J529" s="119"/>
      <c r="K529" s="119">
        <f t="shared" si="25"/>
        <v>7.25</v>
      </c>
      <c r="L529" s="152">
        <f t="shared" si="26"/>
        <v>6.18</v>
      </c>
      <c r="M529" s="113"/>
    </row>
    <row r="530" spans="1:13" x14ac:dyDescent="0.2">
      <c r="A530" s="106" t="s">
        <v>5578</v>
      </c>
      <c r="B530" s="105" t="s">
        <v>5592</v>
      </c>
      <c r="C530" s="105" t="s">
        <v>5610</v>
      </c>
      <c r="D530" s="149" t="s">
        <v>5637</v>
      </c>
      <c r="E530" s="105">
        <v>1</v>
      </c>
      <c r="F530" s="133">
        <v>6.18</v>
      </c>
      <c r="G530" s="133">
        <v>7.25</v>
      </c>
      <c r="H530" s="109">
        <f t="shared" si="24"/>
        <v>7.25</v>
      </c>
      <c r="I530" s="119"/>
      <c r="J530" s="119"/>
      <c r="K530" s="119">
        <f t="shared" si="25"/>
        <v>7.25</v>
      </c>
      <c r="L530" s="152">
        <f t="shared" si="26"/>
        <v>6.18</v>
      </c>
      <c r="M530" s="113"/>
    </row>
    <row r="531" spans="1:13" x14ac:dyDescent="0.2">
      <c r="A531" s="106" t="s">
        <v>5578</v>
      </c>
      <c r="B531" s="105" t="s">
        <v>2441</v>
      </c>
      <c r="C531" s="105" t="s">
        <v>5611</v>
      </c>
      <c r="D531" s="149" t="s">
        <v>2443</v>
      </c>
      <c r="E531" s="105">
        <v>3</v>
      </c>
      <c r="F531" s="133">
        <v>0.81</v>
      </c>
      <c r="G531" s="133">
        <v>1</v>
      </c>
      <c r="H531" s="109">
        <f t="shared" si="24"/>
        <v>3</v>
      </c>
      <c r="I531" s="119"/>
      <c r="J531" s="119"/>
      <c r="K531" s="119">
        <f t="shared" si="25"/>
        <v>3</v>
      </c>
      <c r="L531" s="152">
        <f t="shared" si="26"/>
        <v>2.4300000000000002</v>
      </c>
      <c r="M531" s="113"/>
    </row>
    <row r="532" spans="1:13" x14ac:dyDescent="0.2">
      <c r="A532" s="106" t="s">
        <v>5578</v>
      </c>
      <c r="B532" s="105" t="s">
        <v>1806</v>
      </c>
      <c r="C532" s="105" t="s">
        <v>5612</v>
      </c>
      <c r="D532" s="149" t="s">
        <v>1807</v>
      </c>
      <c r="E532" s="105">
        <v>1</v>
      </c>
      <c r="F532" s="133">
        <v>15.65</v>
      </c>
      <c r="G532" s="133">
        <v>18</v>
      </c>
      <c r="H532" s="109">
        <f t="shared" si="24"/>
        <v>18</v>
      </c>
      <c r="I532" s="119"/>
      <c r="J532" s="119"/>
      <c r="K532" s="119">
        <f t="shared" si="25"/>
        <v>18</v>
      </c>
      <c r="L532" s="152">
        <f t="shared" si="26"/>
        <v>15.65</v>
      </c>
      <c r="M532" s="113"/>
    </row>
    <row r="533" spans="1:13" x14ac:dyDescent="0.2">
      <c r="A533" s="106" t="s">
        <v>5578</v>
      </c>
      <c r="B533" s="105" t="s">
        <v>2702</v>
      </c>
      <c r="C533" s="105" t="s">
        <v>5613</v>
      </c>
      <c r="D533" s="149" t="s">
        <v>2703</v>
      </c>
      <c r="E533" s="105">
        <v>2</v>
      </c>
      <c r="F533" s="133">
        <v>51.5</v>
      </c>
      <c r="G533" s="133">
        <v>59.25</v>
      </c>
      <c r="H533" s="109">
        <f t="shared" si="24"/>
        <v>118.5</v>
      </c>
      <c r="I533" s="119"/>
      <c r="J533" s="119"/>
      <c r="K533" s="119">
        <f t="shared" si="25"/>
        <v>118.5</v>
      </c>
      <c r="L533" s="152">
        <f t="shared" si="26"/>
        <v>103</v>
      </c>
      <c r="M533" s="113"/>
    </row>
    <row r="534" spans="1:13" x14ac:dyDescent="0.2">
      <c r="A534" s="106" t="s">
        <v>5578</v>
      </c>
      <c r="B534" s="105" t="s">
        <v>3457</v>
      </c>
      <c r="C534" s="105" t="s">
        <v>5613</v>
      </c>
      <c r="D534" s="149" t="s">
        <v>3458</v>
      </c>
      <c r="E534" s="105">
        <v>2</v>
      </c>
      <c r="F534" s="133">
        <v>51.97</v>
      </c>
      <c r="G534" s="133">
        <v>60</v>
      </c>
      <c r="H534" s="109">
        <f t="shared" si="24"/>
        <v>120</v>
      </c>
      <c r="I534" s="119"/>
      <c r="J534" s="119"/>
      <c r="K534" s="119">
        <f t="shared" si="25"/>
        <v>120</v>
      </c>
      <c r="L534" s="152">
        <f t="shared" si="26"/>
        <v>103.94</v>
      </c>
      <c r="M534" s="113"/>
    </row>
    <row r="535" spans="1:13" x14ac:dyDescent="0.2">
      <c r="A535" s="106" t="s">
        <v>5578</v>
      </c>
      <c r="B535" s="105" t="s">
        <v>3314</v>
      </c>
      <c r="C535" s="105" t="s">
        <v>5614</v>
      </c>
      <c r="D535" s="149" t="s">
        <v>3316</v>
      </c>
      <c r="E535" s="105">
        <v>1</v>
      </c>
      <c r="F535" s="133">
        <v>16.579999999999998</v>
      </c>
      <c r="G535" s="133">
        <v>19</v>
      </c>
      <c r="H535" s="109">
        <f t="shared" si="24"/>
        <v>19</v>
      </c>
      <c r="I535" s="119"/>
      <c r="J535" s="119"/>
      <c r="K535" s="119">
        <f t="shared" si="25"/>
        <v>19</v>
      </c>
      <c r="L535" s="152">
        <f t="shared" si="26"/>
        <v>16.579999999999998</v>
      </c>
      <c r="M535" s="113"/>
    </row>
    <row r="536" spans="1:13" x14ac:dyDescent="0.2">
      <c r="A536" s="106" t="s">
        <v>5578</v>
      </c>
      <c r="B536" s="105" t="s">
        <v>1877</v>
      </c>
      <c r="C536" s="105" t="s">
        <v>5615</v>
      </c>
      <c r="D536" s="149" t="s">
        <v>1878</v>
      </c>
      <c r="E536" s="105">
        <v>1</v>
      </c>
      <c r="F536" s="133">
        <v>20.399999999999999</v>
      </c>
      <c r="G536" s="133">
        <v>23.5</v>
      </c>
      <c r="H536" s="109">
        <f t="shared" si="24"/>
        <v>23.5</v>
      </c>
      <c r="I536" s="119"/>
      <c r="J536" s="119"/>
      <c r="K536" s="119">
        <f t="shared" si="25"/>
        <v>23.5</v>
      </c>
      <c r="L536" s="152">
        <f t="shared" si="26"/>
        <v>20.399999999999999</v>
      </c>
      <c r="M536" s="113"/>
    </row>
    <row r="537" spans="1:13" x14ac:dyDescent="0.2">
      <c r="A537" s="106" t="s">
        <v>5578</v>
      </c>
      <c r="B537" s="105" t="s">
        <v>3793</v>
      </c>
      <c r="C537" s="105" t="s">
        <v>5616</v>
      </c>
      <c r="D537" s="149" t="s">
        <v>3795</v>
      </c>
      <c r="E537" s="105">
        <v>1</v>
      </c>
      <c r="F537" s="133">
        <v>8.3800000000000008</v>
      </c>
      <c r="G537" s="133">
        <v>9.75</v>
      </c>
      <c r="H537" s="109">
        <f t="shared" si="24"/>
        <v>9.75</v>
      </c>
      <c r="I537" s="119"/>
      <c r="J537" s="119"/>
      <c r="K537" s="119">
        <f t="shared" si="25"/>
        <v>9.75</v>
      </c>
      <c r="L537" s="152">
        <f t="shared" si="26"/>
        <v>8.3800000000000008</v>
      </c>
      <c r="M537" s="113"/>
    </row>
    <row r="538" spans="1:13" x14ac:dyDescent="0.2">
      <c r="A538" s="106" t="s">
        <v>5578</v>
      </c>
      <c r="B538" s="105" t="s">
        <v>3124</v>
      </c>
      <c r="C538" s="105" t="s">
        <v>5617</v>
      </c>
      <c r="D538" s="149" t="s">
        <v>3126</v>
      </c>
      <c r="E538" s="105">
        <v>1</v>
      </c>
      <c r="F538" s="133">
        <v>81.849999999999994</v>
      </c>
      <c r="G538" s="133">
        <v>90</v>
      </c>
      <c r="H538" s="109">
        <f t="shared" si="24"/>
        <v>90</v>
      </c>
      <c r="I538" s="119"/>
      <c r="J538" s="119"/>
      <c r="K538" s="119">
        <f t="shared" si="25"/>
        <v>90</v>
      </c>
      <c r="L538" s="152">
        <f t="shared" si="26"/>
        <v>81.849999999999994</v>
      </c>
      <c r="M538" s="113"/>
    </row>
    <row r="539" spans="1:13" x14ac:dyDescent="0.2">
      <c r="A539" s="106" t="s">
        <v>5578</v>
      </c>
      <c r="B539" s="105" t="s">
        <v>3942</v>
      </c>
      <c r="C539" s="105" t="s">
        <v>5618</v>
      </c>
      <c r="D539" s="149" t="s">
        <v>3943</v>
      </c>
      <c r="E539" s="105">
        <v>2</v>
      </c>
      <c r="F539" s="133">
        <v>30.04</v>
      </c>
      <c r="G539" s="133">
        <v>34.75</v>
      </c>
      <c r="H539" s="109">
        <f t="shared" si="24"/>
        <v>69.5</v>
      </c>
      <c r="I539" s="119"/>
      <c r="J539" s="119"/>
      <c r="K539" s="119">
        <f t="shared" si="25"/>
        <v>69.5</v>
      </c>
      <c r="L539" s="152">
        <f t="shared" si="26"/>
        <v>60.08</v>
      </c>
      <c r="M539" s="113"/>
    </row>
    <row r="540" spans="1:13" x14ac:dyDescent="0.2">
      <c r="A540" s="106" t="s">
        <v>5578</v>
      </c>
      <c r="B540" s="105" t="s">
        <v>3446</v>
      </c>
      <c r="C540" s="105" t="s">
        <v>5618</v>
      </c>
      <c r="D540" s="149" t="s">
        <v>3447</v>
      </c>
      <c r="E540" s="105">
        <v>2</v>
      </c>
      <c r="F540" s="133">
        <v>33.75</v>
      </c>
      <c r="G540" s="133">
        <v>39</v>
      </c>
      <c r="H540" s="109">
        <f t="shared" si="24"/>
        <v>78</v>
      </c>
      <c r="I540" s="119"/>
      <c r="J540" s="119"/>
      <c r="K540" s="119">
        <f t="shared" si="25"/>
        <v>78</v>
      </c>
      <c r="L540" s="152">
        <f t="shared" si="26"/>
        <v>67.5</v>
      </c>
      <c r="M540" s="113"/>
    </row>
    <row r="541" spans="1:13" x14ac:dyDescent="0.2">
      <c r="A541" s="106" t="s">
        <v>5578</v>
      </c>
      <c r="B541" s="105" t="s">
        <v>3974</v>
      </c>
      <c r="C541" s="105" t="s">
        <v>5618</v>
      </c>
      <c r="D541" s="149" t="s">
        <v>3975</v>
      </c>
      <c r="E541" s="105">
        <v>1</v>
      </c>
      <c r="F541" s="133">
        <v>59.51</v>
      </c>
      <c r="G541" s="133">
        <v>68.5</v>
      </c>
      <c r="H541" s="109">
        <f t="shared" si="24"/>
        <v>68.5</v>
      </c>
      <c r="I541" s="119"/>
      <c r="J541" s="119"/>
      <c r="K541" s="119">
        <f t="shared" si="25"/>
        <v>68.5</v>
      </c>
      <c r="L541" s="152">
        <f t="shared" si="26"/>
        <v>59.51</v>
      </c>
      <c r="M541" s="113"/>
    </row>
    <row r="542" spans="1:13" x14ac:dyDescent="0.2">
      <c r="A542" s="106" t="s">
        <v>5578</v>
      </c>
      <c r="B542" s="105" t="s">
        <v>5114</v>
      </c>
      <c r="C542" s="105" t="s">
        <v>5619</v>
      </c>
      <c r="D542" s="149" t="s">
        <v>5162</v>
      </c>
      <c r="E542" s="105">
        <v>1</v>
      </c>
      <c r="F542" s="133">
        <v>74</v>
      </c>
      <c r="G542" s="133">
        <v>85.25</v>
      </c>
      <c r="H542" s="109">
        <f t="shared" si="24"/>
        <v>85.25</v>
      </c>
      <c r="I542" s="119"/>
      <c r="J542" s="119"/>
      <c r="K542" s="119">
        <f t="shared" si="25"/>
        <v>85.25</v>
      </c>
      <c r="L542" s="152">
        <f t="shared" si="26"/>
        <v>74</v>
      </c>
      <c r="M542" s="113"/>
    </row>
    <row r="543" spans="1:13" x14ac:dyDescent="0.2">
      <c r="A543" s="106" t="s">
        <v>5578</v>
      </c>
      <c r="B543" s="105" t="s">
        <v>3765</v>
      </c>
      <c r="C543" s="105" t="s">
        <v>5620</v>
      </c>
      <c r="D543" s="149" t="s">
        <v>3766</v>
      </c>
      <c r="E543" s="105">
        <v>1</v>
      </c>
      <c r="F543" s="133">
        <v>68.569999999999993</v>
      </c>
      <c r="G543" s="133">
        <v>79</v>
      </c>
      <c r="H543" s="109">
        <f t="shared" si="24"/>
        <v>79</v>
      </c>
      <c r="I543" s="119"/>
      <c r="J543" s="119"/>
      <c r="K543" s="119">
        <f t="shared" si="25"/>
        <v>79</v>
      </c>
      <c r="L543" s="152">
        <f t="shared" si="26"/>
        <v>68.569999999999993</v>
      </c>
      <c r="M543" s="113"/>
    </row>
    <row r="544" spans="1:13" x14ac:dyDescent="0.2">
      <c r="A544" s="106" t="s">
        <v>5578</v>
      </c>
      <c r="B544" s="105" t="s">
        <v>2495</v>
      </c>
      <c r="C544" s="105" t="s">
        <v>5620</v>
      </c>
      <c r="D544" s="149" t="s">
        <v>2496</v>
      </c>
      <c r="E544" s="105">
        <v>1</v>
      </c>
      <c r="F544" s="133">
        <v>35.75</v>
      </c>
      <c r="G544" s="133">
        <v>41.25</v>
      </c>
      <c r="H544" s="109">
        <f t="shared" si="24"/>
        <v>41.25</v>
      </c>
      <c r="I544" s="119"/>
      <c r="J544" s="119"/>
      <c r="K544" s="119">
        <f t="shared" si="25"/>
        <v>41.25</v>
      </c>
      <c r="L544" s="152">
        <f t="shared" si="26"/>
        <v>35.75</v>
      </c>
      <c r="M544" s="113"/>
    </row>
    <row r="545" spans="1:13" x14ac:dyDescent="0.2">
      <c r="A545" s="106" t="s">
        <v>5578</v>
      </c>
      <c r="B545" s="105" t="s">
        <v>3105</v>
      </c>
      <c r="C545" s="105" t="s">
        <v>5621</v>
      </c>
      <c r="D545" s="149" t="s">
        <v>3106</v>
      </c>
      <c r="E545" s="105">
        <v>1</v>
      </c>
      <c r="F545" s="133">
        <v>40.950000000000003</v>
      </c>
      <c r="G545" s="133">
        <v>45</v>
      </c>
      <c r="H545" s="109">
        <f t="shared" si="24"/>
        <v>45</v>
      </c>
      <c r="I545" s="119"/>
      <c r="J545" s="119"/>
      <c r="K545" s="119">
        <f t="shared" si="25"/>
        <v>45</v>
      </c>
      <c r="L545" s="152">
        <f t="shared" si="26"/>
        <v>40.950000000000003</v>
      </c>
      <c r="M545" s="113"/>
    </row>
    <row r="546" spans="1:13" x14ac:dyDescent="0.2">
      <c r="A546" s="106" t="s">
        <v>5578</v>
      </c>
      <c r="B546" s="105" t="s">
        <v>5591</v>
      </c>
      <c r="C546" s="105" t="s">
        <v>5622</v>
      </c>
      <c r="D546" s="149" t="s">
        <v>5636</v>
      </c>
      <c r="E546" s="105">
        <v>2</v>
      </c>
      <c r="F546" s="133">
        <v>5.85</v>
      </c>
      <c r="G546" s="133">
        <v>7</v>
      </c>
      <c r="H546" s="109">
        <f t="shared" si="24"/>
        <v>14</v>
      </c>
      <c r="I546" s="119"/>
      <c r="J546" s="119"/>
      <c r="K546" s="119">
        <f t="shared" si="25"/>
        <v>14</v>
      </c>
      <c r="L546" s="152">
        <f t="shared" si="26"/>
        <v>11.7</v>
      </c>
      <c r="M546" s="113"/>
    </row>
    <row r="547" spans="1:13" x14ac:dyDescent="0.2">
      <c r="A547" s="106" t="s">
        <v>5578</v>
      </c>
      <c r="B547" s="105" t="s">
        <v>4715</v>
      </c>
      <c r="C547" s="105" t="s">
        <v>5622</v>
      </c>
      <c r="D547" s="149" t="s">
        <v>4750</v>
      </c>
      <c r="E547" s="105">
        <v>2</v>
      </c>
      <c r="F547" s="133">
        <v>6.15</v>
      </c>
      <c r="G547" s="133">
        <v>7.25</v>
      </c>
      <c r="H547" s="109">
        <f t="shared" si="24"/>
        <v>14.5</v>
      </c>
      <c r="I547" s="119"/>
      <c r="J547" s="119"/>
      <c r="K547" s="119">
        <f t="shared" si="25"/>
        <v>14.5</v>
      </c>
      <c r="L547" s="152">
        <f t="shared" si="26"/>
        <v>12.3</v>
      </c>
      <c r="M547" s="113"/>
    </row>
    <row r="548" spans="1:13" x14ac:dyDescent="0.2">
      <c r="A548" s="106" t="s">
        <v>5578</v>
      </c>
      <c r="B548" s="105" t="s">
        <v>5592</v>
      </c>
      <c r="C548" s="105" t="s">
        <v>5623</v>
      </c>
      <c r="D548" s="149" t="s">
        <v>5637</v>
      </c>
      <c r="E548" s="105">
        <v>1</v>
      </c>
      <c r="F548" s="133">
        <v>6.18</v>
      </c>
      <c r="G548" s="133">
        <v>7.25</v>
      </c>
      <c r="H548" s="109">
        <f t="shared" si="24"/>
        <v>7.25</v>
      </c>
      <c r="I548" s="119"/>
      <c r="J548" s="119"/>
      <c r="K548" s="119">
        <f t="shared" si="25"/>
        <v>7.25</v>
      </c>
      <c r="L548" s="152">
        <f t="shared" si="26"/>
        <v>6.18</v>
      </c>
      <c r="M548" s="113"/>
    </row>
    <row r="549" spans="1:13" x14ac:dyDescent="0.2">
      <c r="A549" s="106" t="s">
        <v>5578</v>
      </c>
      <c r="B549" s="105" t="s">
        <v>2173</v>
      </c>
      <c r="C549" s="105" t="s">
        <v>5624</v>
      </c>
      <c r="D549" s="149" t="s">
        <v>2175</v>
      </c>
      <c r="E549" s="105">
        <v>4</v>
      </c>
      <c r="F549" s="133">
        <v>140</v>
      </c>
      <c r="G549" s="133">
        <v>161</v>
      </c>
      <c r="H549" s="109">
        <f t="shared" si="24"/>
        <v>644</v>
      </c>
      <c r="I549" s="119"/>
      <c r="J549" s="119"/>
      <c r="K549" s="119">
        <f t="shared" si="25"/>
        <v>644</v>
      </c>
      <c r="L549" s="152">
        <f t="shared" si="26"/>
        <v>560</v>
      </c>
      <c r="M549" s="113"/>
    </row>
    <row r="550" spans="1:13" x14ac:dyDescent="0.2">
      <c r="A550" s="106" t="s">
        <v>5578</v>
      </c>
      <c r="B550" s="105" t="s">
        <v>2220</v>
      </c>
      <c r="C550" s="105" t="s">
        <v>5624</v>
      </c>
      <c r="D550" s="149" t="s">
        <v>2222</v>
      </c>
      <c r="E550" s="105">
        <v>2</v>
      </c>
      <c r="F550" s="133">
        <v>35.15</v>
      </c>
      <c r="G550" s="133">
        <v>41</v>
      </c>
      <c r="H550" s="109">
        <f t="shared" si="24"/>
        <v>82</v>
      </c>
      <c r="I550" s="119"/>
      <c r="J550" s="119"/>
      <c r="K550" s="119">
        <f t="shared" si="25"/>
        <v>82</v>
      </c>
      <c r="L550" s="152">
        <f t="shared" si="26"/>
        <v>70.3</v>
      </c>
      <c r="M550" s="113"/>
    </row>
    <row r="551" spans="1:13" x14ac:dyDescent="0.2">
      <c r="A551" s="106" t="s">
        <v>5578</v>
      </c>
      <c r="B551" s="105" t="s">
        <v>2162</v>
      </c>
      <c r="C551" s="105" t="s">
        <v>5624</v>
      </c>
      <c r="D551" s="149" t="s">
        <v>2163</v>
      </c>
      <c r="E551" s="105">
        <v>2</v>
      </c>
      <c r="F551" s="133">
        <v>67.290000000000006</v>
      </c>
      <c r="G551" s="133">
        <v>77.5</v>
      </c>
      <c r="H551" s="109">
        <f t="shared" si="24"/>
        <v>155</v>
      </c>
      <c r="I551" s="119"/>
      <c r="J551" s="119"/>
      <c r="K551" s="119">
        <f t="shared" si="25"/>
        <v>155</v>
      </c>
      <c r="L551" s="152">
        <f t="shared" si="26"/>
        <v>134.58000000000001</v>
      </c>
      <c r="M551" s="113"/>
    </row>
    <row r="552" spans="1:13" x14ac:dyDescent="0.2">
      <c r="A552" s="106" t="s">
        <v>5578</v>
      </c>
      <c r="B552" s="105" t="s">
        <v>5593</v>
      </c>
      <c r="C552" s="105" t="s">
        <v>5624</v>
      </c>
      <c r="D552" s="149" t="s">
        <v>5638</v>
      </c>
      <c r="E552" s="105">
        <v>1</v>
      </c>
      <c r="F552" s="133">
        <v>134.53</v>
      </c>
      <c r="G552" s="133">
        <v>154.75</v>
      </c>
      <c r="H552" s="109">
        <f t="shared" si="24"/>
        <v>154.75</v>
      </c>
      <c r="I552" s="119"/>
      <c r="J552" s="119"/>
      <c r="K552" s="119">
        <f t="shared" si="25"/>
        <v>154.75</v>
      </c>
      <c r="L552" s="152">
        <f t="shared" si="26"/>
        <v>134.53</v>
      </c>
      <c r="M552" s="113"/>
    </row>
    <row r="553" spans="1:13" x14ac:dyDescent="0.2">
      <c r="A553" s="106" t="s">
        <v>5578</v>
      </c>
      <c r="B553" s="105" t="s">
        <v>2809</v>
      </c>
      <c r="C553" s="105" t="s">
        <v>5624</v>
      </c>
      <c r="D553" s="149" t="s">
        <v>2810</v>
      </c>
      <c r="E553" s="105">
        <v>3</v>
      </c>
      <c r="F553" s="133">
        <v>53.81</v>
      </c>
      <c r="G553" s="133">
        <v>62</v>
      </c>
      <c r="H553" s="109">
        <f t="shared" si="24"/>
        <v>186</v>
      </c>
      <c r="I553" s="119"/>
      <c r="J553" s="119"/>
      <c r="K553" s="119">
        <f t="shared" si="25"/>
        <v>186</v>
      </c>
      <c r="L553" s="152">
        <f t="shared" si="26"/>
        <v>161.43</v>
      </c>
      <c r="M553" s="113"/>
    </row>
    <row r="554" spans="1:13" x14ac:dyDescent="0.2">
      <c r="A554" s="106" t="s">
        <v>5578</v>
      </c>
      <c r="B554" s="105" t="s">
        <v>3050</v>
      </c>
      <c r="C554" s="105" t="s">
        <v>5624</v>
      </c>
      <c r="D554" s="149" t="s">
        <v>3051</v>
      </c>
      <c r="E554" s="105">
        <v>10</v>
      </c>
      <c r="F554" s="133">
        <v>6.02</v>
      </c>
      <c r="G554" s="133">
        <v>7.25</v>
      </c>
      <c r="H554" s="109">
        <f t="shared" si="24"/>
        <v>72.5</v>
      </c>
      <c r="I554" s="119"/>
      <c r="J554" s="119"/>
      <c r="K554" s="119">
        <f t="shared" si="25"/>
        <v>72.5</v>
      </c>
      <c r="L554" s="152">
        <f t="shared" si="26"/>
        <v>60.199999999999996</v>
      </c>
      <c r="M554" s="113"/>
    </row>
    <row r="555" spans="1:13" x14ac:dyDescent="0.2">
      <c r="A555" s="106" t="s">
        <v>5578</v>
      </c>
      <c r="B555" s="105" t="s">
        <v>2805</v>
      </c>
      <c r="C555" s="105" t="s">
        <v>5624</v>
      </c>
      <c r="D555" s="149" t="s">
        <v>2806</v>
      </c>
      <c r="E555" s="105">
        <v>1</v>
      </c>
      <c r="F555" s="133">
        <v>55.8</v>
      </c>
      <c r="G555" s="133">
        <v>64.25</v>
      </c>
      <c r="H555" s="109">
        <f t="shared" si="24"/>
        <v>64.25</v>
      </c>
      <c r="I555" s="119"/>
      <c r="J555" s="119"/>
      <c r="K555" s="119">
        <f t="shared" si="25"/>
        <v>64.25</v>
      </c>
      <c r="L555" s="152">
        <f t="shared" si="26"/>
        <v>55.8</v>
      </c>
      <c r="M555" s="113"/>
    </row>
    <row r="556" spans="1:13" x14ac:dyDescent="0.2">
      <c r="A556" s="106" t="s">
        <v>5578</v>
      </c>
      <c r="B556" s="105" t="s">
        <v>2193</v>
      </c>
      <c r="C556" s="105" t="s">
        <v>5625</v>
      </c>
      <c r="D556" s="149" t="s">
        <v>2195</v>
      </c>
      <c r="E556" s="105">
        <v>1</v>
      </c>
      <c r="F556" s="133">
        <v>20.68</v>
      </c>
      <c r="G556" s="133">
        <v>24</v>
      </c>
      <c r="H556" s="109">
        <f t="shared" si="24"/>
        <v>24</v>
      </c>
      <c r="I556" s="119"/>
      <c r="J556" s="119"/>
      <c r="K556" s="119">
        <f t="shared" si="25"/>
        <v>24</v>
      </c>
      <c r="L556" s="152">
        <f t="shared" si="26"/>
        <v>20.68</v>
      </c>
      <c r="M556" s="113"/>
    </row>
    <row r="557" spans="1:13" x14ac:dyDescent="0.2">
      <c r="A557" s="106" t="s">
        <v>5578</v>
      </c>
      <c r="B557" s="105" t="s">
        <v>4800</v>
      </c>
      <c r="C557" s="105" t="s">
        <v>5625</v>
      </c>
      <c r="D557" s="149" t="s">
        <v>4868</v>
      </c>
      <c r="E557" s="105">
        <v>1</v>
      </c>
      <c r="F557" s="133">
        <v>50.88</v>
      </c>
      <c r="G557" s="133">
        <v>58.75</v>
      </c>
      <c r="H557" s="109">
        <f t="shared" si="24"/>
        <v>58.75</v>
      </c>
      <c r="I557" s="119"/>
      <c r="J557" s="119"/>
      <c r="K557" s="119">
        <f t="shared" si="25"/>
        <v>58.75</v>
      </c>
      <c r="L557" s="152">
        <f t="shared" si="26"/>
        <v>50.88</v>
      </c>
      <c r="M557" s="113"/>
    </row>
    <row r="558" spans="1:13" x14ac:dyDescent="0.2">
      <c r="A558" s="106" t="s">
        <v>5578</v>
      </c>
      <c r="B558" s="105" t="s">
        <v>3793</v>
      </c>
      <c r="C558" s="105" t="s">
        <v>5626</v>
      </c>
      <c r="D558" s="149" t="s">
        <v>3795</v>
      </c>
      <c r="E558" s="105">
        <v>1</v>
      </c>
      <c r="F558" s="133">
        <v>8.3800000000000008</v>
      </c>
      <c r="G558" s="133">
        <v>9.75</v>
      </c>
      <c r="H558" s="109">
        <f t="shared" si="24"/>
        <v>9.75</v>
      </c>
      <c r="I558" s="119"/>
      <c r="J558" s="119"/>
      <c r="K558" s="119">
        <f t="shared" si="25"/>
        <v>9.75</v>
      </c>
      <c r="L558" s="152">
        <f t="shared" si="26"/>
        <v>8.3800000000000008</v>
      </c>
      <c r="M558" s="113"/>
    </row>
    <row r="559" spans="1:13" x14ac:dyDescent="0.2">
      <c r="A559" s="106" t="s">
        <v>5578</v>
      </c>
      <c r="B559" s="105" t="s">
        <v>3634</v>
      </c>
      <c r="C559" s="105" t="s">
        <v>5626</v>
      </c>
      <c r="D559" s="149" t="s">
        <v>3636</v>
      </c>
      <c r="E559" s="105">
        <v>1</v>
      </c>
      <c r="F559" s="133">
        <v>8.5299999999999994</v>
      </c>
      <c r="G559" s="133">
        <v>10</v>
      </c>
      <c r="H559" s="109">
        <f t="shared" si="24"/>
        <v>10</v>
      </c>
      <c r="I559" s="119"/>
      <c r="J559" s="119"/>
      <c r="K559" s="119">
        <f t="shared" si="25"/>
        <v>10</v>
      </c>
      <c r="L559" s="152">
        <f t="shared" si="26"/>
        <v>8.5299999999999994</v>
      </c>
      <c r="M559" s="113"/>
    </row>
    <row r="560" spans="1:13" x14ac:dyDescent="0.2">
      <c r="A560" s="106" t="s">
        <v>5578</v>
      </c>
      <c r="B560" s="105" t="s">
        <v>2377</v>
      </c>
      <c r="C560" s="105" t="s">
        <v>5626</v>
      </c>
      <c r="D560" s="149" t="s">
        <v>2378</v>
      </c>
      <c r="E560" s="105">
        <v>1</v>
      </c>
      <c r="F560" s="133">
        <v>8.1999999999999993</v>
      </c>
      <c r="G560" s="133">
        <v>9.5</v>
      </c>
      <c r="H560" s="109">
        <f t="shared" si="24"/>
        <v>9.5</v>
      </c>
      <c r="I560" s="119"/>
      <c r="J560" s="119"/>
      <c r="K560" s="119">
        <f t="shared" si="25"/>
        <v>9.5</v>
      </c>
      <c r="L560" s="152">
        <f t="shared" si="26"/>
        <v>8.1999999999999993</v>
      </c>
      <c r="M560" s="113"/>
    </row>
    <row r="561" spans="1:13" x14ac:dyDescent="0.2">
      <c r="A561" s="106" t="s">
        <v>5578</v>
      </c>
      <c r="B561" s="105" t="s">
        <v>2220</v>
      </c>
      <c r="C561" s="105" t="s">
        <v>5627</v>
      </c>
      <c r="D561" s="149" t="s">
        <v>2222</v>
      </c>
      <c r="E561" s="105">
        <v>2</v>
      </c>
      <c r="F561" s="133">
        <v>35.15</v>
      </c>
      <c r="G561" s="133">
        <v>41</v>
      </c>
      <c r="H561" s="109">
        <f t="shared" si="24"/>
        <v>82</v>
      </c>
      <c r="I561" s="119"/>
      <c r="J561" s="119"/>
      <c r="K561" s="119">
        <f t="shared" si="25"/>
        <v>82</v>
      </c>
      <c r="L561" s="152">
        <f t="shared" si="26"/>
        <v>70.3</v>
      </c>
      <c r="M561" s="113"/>
    </row>
    <row r="562" spans="1:13" x14ac:dyDescent="0.2">
      <c r="A562" s="106" t="s">
        <v>5578</v>
      </c>
      <c r="B562" s="105" t="s">
        <v>2809</v>
      </c>
      <c r="C562" s="105" t="s">
        <v>5627</v>
      </c>
      <c r="D562" s="149" t="s">
        <v>2810</v>
      </c>
      <c r="E562" s="105">
        <v>1</v>
      </c>
      <c r="F562" s="133">
        <v>53.81</v>
      </c>
      <c r="G562" s="133">
        <v>62</v>
      </c>
      <c r="H562" s="109">
        <f t="shared" si="24"/>
        <v>62</v>
      </c>
      <c r="I562" s="119"/>
      <c r="J562" s="119"/>
      <c r="K562" s="119">
        <f t="shared" si="25"/>
        <v>62</v>
      </c>
      <c r="L562" s="152">
        <f t="shared" si="26"/>
        <v>53.81</v>
      </c>
      <c r="M562" s="113"/>
    </row>
    <row r="563" spans="1:13" x14ac:dyDescent="0.2">
      <c r="A563" s="106" t="s">
        <v>5578</v>
      </c>
      <c r="B563" s="105" t="s">
        <v>2162</v>
      </c>
      <c r="C563" s="105" t="s">
        <v>5627</v>
      </c>
      <c r="D563" s="149" t="s">
        <v>2163</v>
      </c>
      <c r="E563" s="105">
        <v>2</v>
      </c>
      <c r="F563" s="133">
        <v>67.290000000000006</v>
      </c>
      <c r="G563" s="133">
        <v>77.5</v>
      </c>
      <c r="H563" s="109">
        <f t="shared" si="24"/>
        <v>155</v>
      </c>
      <c r="I563" s="119"/>
      <c r="J563" s="119"/>
      <c r="K563" s="119">
        <f t="shared" si="25"/>
        <v>155</v>
      </c>
      <c r="L563" s="152">
        <f t="shared" si="26"/>
        <v>134.58000000000001</v>
      </c>
      <c r="M563" s="113"/>
    </row>
    <row r="564" spans="1:13" x14ac:dyDescent="0.2">
      <c r="A564" s="106" t="s">
        <v>5578</v>
      </c>
      <c r="B564" s="105" t="s">
        <v>2298</v>
      </c>
      <c r="C564" s="105" t="s">
        <v>5627</v>
      </c>
      <c r="D564" s="149" t="s">
        <v>2299</v>
      </c>
      <c r="E564" s="105">
        <v>3</v>
      </c>
      <c r="F564" s="133">
        <v>20.8</v>
      </c>
      <c r="G564" s="133">
        <v>24</v>
      </c>
      <c r="H564" s="109">
        <f t="shared" si="24"/>
        <v>72</v>
      </c>
      <c r="I564" s="119"/>
      <c r="J564" s="119"/>
      <c r="K564" s="119">
        <f t="shared" si="25"/>
        <v>72</v>
      </c>
      <c r="L564" s="152">
        <f t="shared" si="26"/>
        <v>62.400000000000006</v>
      </c>
      <c r="M564" s="113"/>
    </row>
    <row r="565" spans="1:13" x14ac:dyDescent="0.2">
      <c r="A565" s="106" t="s">
        <v>5578</v>
      </c>
      <c r="B565" s="105" t="s">
        <v>5594</v>
      </c>
      <c r="C565" s="105" t="s">
        <v>5627</v>
      </c>
      <c r="D565" s="149" t="s">
        <v>5639</v>
      </c>
      <c r="E565" s="105">
        <v>2</v>
      </c>
      <c r="F565" s="133">
        <v>94.76</v>
      </c>
      <c r="G565" s="133">
        <v>109</v>
      </c>
      <c r="H565" s="109">
        <f t="shared" si="24"/>
        <v>218</v>
      </c>
      <c r="I565" s="119"/>
      <c r="J565" s="119"/>
      <c r="K565" s="119">
        <f t="shared" si="25"/>
        <v>218</v>
      </c>
      <c r="L565" s="152">
        <f t="shared" si="26"/>
        <v>189.52</v>
      </c>
      <c r="M565" s="113"/>
    </row>
    <row r="566" spans="1:13" x14ac:dyDescent="0.2">
      <c r="A566" s="106" t="s">
        <v>5578</v>
      </c>
      <c r="B566" s="105" t="s">
        <v>1877</v>
      </c>
      <c r="C566" s="105" t="s">
        <v>5628</v>
      </c>
      <c r="D566" s="149" t="s">
        <v>1878</v>
      </c>
      <c r="E566" s="105">
        <v>1</v>
      </c>
      <c r="F566" s="133">
        <v>20.399999999999999</v>
      </c>
      <c r="G566" s="133">
        <v>23.5</v>
      </c>
      <c r="H566" s="109">
        <f t="shared" si="24"/>
        <v>23.5</v>
      </c>
      <c r="I566" s="119"/>
      <c r="J566" s="119"/>
      <c r="K566" s="119">
        <f t="shared" si="25"/>
        <v>23.5</v>
      </c>
      <c r="L566" s="152">
        <f t="shared" si="26"/>
        <v>20.399999999999999</v>
      </c>
      <c r="M566" s="113"/>
    </row>
    <row r="567" spans="1:13" x14ac:dyDescent="0.2">
      <c r="A567" s="106" t="s">
        <v>5578</v>
      </c>
      <c r="B567" s="105" t="s">
        <v>3437</v>
      </c>
      <c r="C567" s="105" t="s">
        <v>5629</v>
      </c>
      <c r="D567" s="149" t="s">
        <v>3439</v>
      </c>
      <c r="E567" s="105">
        <v>1</v>
      </c>
      <c r="F567" s="133">
        <v>13.12</v>
      </c>
      <c r="G567" s="133">
        <v>15.25</v>
      </c>
      <c r="H567" s="109">
        <f t="shared" si="24"/>
        <v>15.25</v>
      </c>
      <c r="I567" s="119"/>
      <c r="J567" s="119"/>
      <c r="K567" s="119">
        <f t="shared" si="25"/>
        <v>15.25</v>
      </c>
      <c r="L567" s="152">
        <f t="shared" si="26"/>
        <v>13.12</v>
      </c>
      <c r="M567" s="113"/>
    </row>
    <row r="568" spans="1:13" x14ac:dyDescent="0.2">
      <c r="A568" s="106" t="s">
        <v>5578</v>
      </c>
      <c r="B568" s="105" t="s">
        <v>1798</v>
      </c>
      <c r="C568" s="105" t="s">
        <v>5630</v>
      </c>
      <c r="D568" s="149" t="s">
        <v>1799</v>
      </c>
      <c r="E568" s="105">
        <v>1</v>
      </c>
      <c r="F568" s="133">
        <v>8.1999999999999993</v>
      </c>
      <c r="G568" s="133">
        <v>9.5</v>
      </c>
      <c r="H568" s="109">
        <f t="shared" si="24"/>
        <v>9.5</v>
      </c>
      <c r="I568" s="119"/>
      <c r="J568" s="119"/>
      <c r="K568" s="119">
        <f t="shared" si="25"/>
        <v>9.5</v>
      </c>
      <c r="L568" s="152">
        <f t="shared" si="26"/>
        <v>8.1999999999999993</v>
      </c>
      <c r="M568" s="113"/>
    </row>
    <row r="569" spans="1:13" x14ac:dyDescent="0.2">
      <c r="A569" s="106" t="s">
        <v>5578</v>
      </c>
      <c r="B569" s="105" t="s">
        <v>4567</v>
      </c>
      <c r="C569" s="105" t="s">
        <v>5631</v>
      </c>
      <c r="D569" s="149" t="s">
        <v>4672</v>
      </c>
      <c r="E569" s="105">
        <v>3</v>
      </c>
      <c r="F569" s="133">
        <v>7.06</v>
      </c>
      <c r="G569" s="133">
        <v>8.25</v>
      </c>
      <c r="H569" s="109">
        <f t="shared" si="24"/>
        <v>24.75</v>
      </c>
      <c r="I569" s="119"/>
      <c r="J569" s="119"/>
      <c r="K569" s="119">
        <f t="shared" si="25"/>
        <v>24.75</v>
      </c>
      <c r="L569" s="152">
        <f t="shared" si="26"/>
        <v>21.18</v>
      </c>
      <c r="M569" s="113"/>
    </row>
    <row r="570" spans="1:13" x14ac:dyDescent="0.2">
      <c r="A570" s="106" t="s">
        <v>5578</v>
      </c>
      <c r="B570" s="105" t="s">
        <v>3765</v>
      </c>
      <c r="C570" s="105" t="s">
        <v>5632</v>
      </c>
      <c r="D570" s="149" t="s">
        <v>3766</v>
      </c>
      <c r="E570" s="105">
        <v>7</v>
      </c>
      <c r="F570" s="133">
        <v>68.569999999999993</v>
      </c>
      <c r="G570" s="133">
        <v>79</v>
      </c>
      <c r="H570" s="109">
        <f t="shared" si="24"/>
        <v>553</v>
      </c>
      <c r="I570" s="119"/>
      <c r="J570" s="119"/>
      <c r="K570" s="119">
        <f t="shared" si="25"/>
        <v>553</v>
      </c>
      <c r="L570" s="152">
        <f t="shared" si="26"/>
        <v>479.98999999999995</v>
      </c>
      <c r="M570" s="113"/>
    </row>
    <row r="571" spans="1:13" x14ac:dyDescent="0.2">
      <c r="A571" s="106" t="s">
        <v>5578</v>
      </c>
      <c r="B571" s="105" t="s">
        <v>5497</v>
      </c>
      <c r="C571" s="105" t="s">
        <v>5633</v>
      </c>
      <c r="D571" s="149" t="s">
        <v>5573</v>
      </c>
      <c r="E571" s="105">
        <v>1</v>
      </c>
      <c r="F571" s="133">
        <v>30</v>
      </c>
      <c r="G571" s="133">
        <v>40</v>
      </c>
      <c r="H571" s="109">
        <f t="shared" si="24"/>
        <v>40</v>
      </c>
      <c r="I571" s="119"/>
      <c r="J571" s="119"/>
      <c r="K571" s="119">
        <f t="shared" si="25"/>
        <v>40</v>
      </c>
      <c r="L571" s="152">
        <f t="shared" si="26"/>
        <v>30</v>
      </c>
      <c r="M571" s="113"/>
    </row>
    <row r="572" spans="1:13" x14ac:dyDescent="0.2">
      <c r="A572" s="106" t="s">
        <v>5578</v>
      </c>
      <c r="B572" s="105" t="s">
        <v>2317</v>
      </c>
      <c r="C572" s="105" t="s">
        <v>5634</v>
      </c>
      <c r="D572" s="149" t="s">
        <v>2319</v>
      </c>
      <c r="E572" s="105">
        <v>1</v>
      </c>
      <c r="F572" s="133">
        <v>47.5</v>
      </c>
      <c r="G572" s="133">
        <v>54.75</v>
      </c>
      <c r="H572" s="109">
        <f t="shared" si="24"/>
        <v>54.75</v>
      </c>
      <c r="I572" s="119"/>
      <c r="J572" s="119"/>
      <c r="K572" s="119">
        <f t="shared" si="25"/>
        <v>54.75</v>
      </c>
      <c r="L572" s="152">
        <f t="shared" si="26"/>
        <v>47.5</v>
      </c>
      <c r="M572" s="113"/>
    </row>
    <row r="573" spans="1:13" x14ac:dyDescent="0.2">
      <c r="A573" s="106" t="s">
        <v>5578</v>
      </c>
      <c r="B573" s="105" t="s">
        <v>5592</v>
      </c>
      <c r="C573" s="105" t="s">
        <v>5635</v>
      </c>
      <c r="D573" s="149" t="s">
        <v>5637</v>
      </c>
      <c r="E573" s="105">
        <v>1</v>
      </c>
      <c r="F573" s="133">
        <v>6.18</v>
      </c>
      <c r="G573" s="133">
        <v>7.25</v>
      </c>
      <c r="H573" s="109">
        <f t="shared" si="24"/>
        <v>7.25</v>
      </c>
      <c r="I573" s="119"/>
      <c r="J573" s="119"/>
      <c r="K573" s="119">
        <f t="shared" si="25"/>
        <v>7.25</v>
      </c>
      <c r="L573" s="152">
        <f t="shared" si="26"/>
        <v>6.18</v>
      </c>
      <c r="M573" s="113"/>
    </row>
    <row r="574" spans="1:13" x14ac:dyDescent="0.2">
      <c r="A574" s="106" t="s">
        <v>5640</v>
      </c>
      <c r="B574" s="105" t="s">
        <v>3897</v>
      </c>
      <c r="C574" s="105" t="s">
        <v>5657</v>
      </c>
      <c r="D574" s="149" t="s">
        <v>3899</v>
      </c>
      <c r="E574" s="105">
        <v>1</v>
      </c>
      <c r="F574" s="133">
        <v>25.69</v>
      </c>
      <c r="G574" s="133">
        <v>29.75</v>
      </c>
      <c r="H574" s="109">
        <f t="shared" si="24"/>
        <v>29.75</v>
      </c>
      <c r="I574" s="119"/>
      <c r="J574" s="119"/>
      <c r="K574" s="119">
        <f t="shared" si="25"/>
        <v>29.75</v>
      </c>
      <c r="L574" s="152">
        <f t="shared" si="26"/>
        <v>25.69</v>
      </c>
      <c r="M574" s="113"/>
    </row>
    <row r="575" spans="1:13" x14ac:dyDescent="0.2">
      <c r="A575" s="106" t="s">
        <v>5640</v>
      </c>
      <c r="B575" s="105" t="s">
        <v>1826</v>
      </c>
      <c r="C575" s="105" t="s">
        <v>5658</v>
      </c>
      <c r="D575" s="149" t="s">
        <v>1827</v>
      </c>
      <c r="E575" s="105">
        <v>2</v>
      </c>
      <c r="F575" s="133">
        <v>90</v>
      </c>
      <c r="G575" s="133">
        <v>120</v>
      </c>
      <c r="H575" s="109">
        <f t="shared" si="24"/>
        <v>240</v>
      </c>
      <c r="I575" s="119"/>
      <c r="J575" s="119"/>
      <c r="K575" s="119">
        <f t="shared" si="25"/>
        <v>240</v>
      </c>
      <c r="L575" s="152">
        <f t="shared" si="26"/>
        <v>180</v>
      </c>
      <c r="M575" s="113"/>
    </row>
    <row r="576" spans="1:13" x14ac:dyDescent="0.2">
      <c r="A576" s="106" t="s">
        <v>5640</v>
      </c>
      <c r="B576" s="105" t="s">
        <v>2380</v>
      </c>
      <c r="C576" s="105" t="s">
        <v>5659</v>
      </c>
      <c r="D576" s="149" t="s">
        <v>2381</v>
      </c>
      <c r="E576" s="105">
        <v>1</v>
      </c>
      <c r="F576" s="133">
        <v>22.73</v>
      </c>
      <c r="G576" s="133">
        <v>26.25</v>
      </c>
      <c r="H576" s="109">
        <f t="shared" si="24"/>
        <v>26.25</v>
      </c>
      <c r="I576" s="119"/>
      <c r="J576" s="119"/>
      <c r="K576" s="119">
        <f t="shared" si="25"/>
        <v>26.25</v>
      </c>
      <c r="L576" s="152">
        <f t="shared" si="26"/>
        <v>22.73</v>
      </c>
      <c r="M576" s="113"/>
    </row>
    <row r="577" spans="1:13" x14ac:dyDescent="0.2">
      <c r="A577" s="106" t="s">
        <v>5640</v>
      </c>
      <c r="B577" s="105" t="s">
        <v>2110</v>
      </c>
      <c r="C577" s="105" t="s">
        <v>5660</v>
      </c>
      <c r="D577" s="149" t="s">
        <v>2112</v>
      </c>
      <c r="E577" s="105">
        <v>1</v>
      </c>
      <c r="F577" s="133">
        <v>23.13</v>
      </c>
      <c r="G577" s="133">
        <v>30.25</v>
      </c>
      <c r="H577" s="109">
        <f t="shared" si="24"/>
        <v>30.25</v>
      </c>
      <c r="I577" s="119"/>
      <c r="J577" s="119"/>
      <c r="K577" s="119">
        <f t="shared" si="25"/>
        <v>30.25</v>
      </c>
      <c r="L577" s="152">
        <f t="shared" si="26"/>
        <v>23.13</v>
      </c>
      <c r="M577" s="113"/>
    </row>
    <row r="578" spans="1:13" x14ac:dyDescent="0.2">
      <c r="A578" s="106" t="s">
        <v>5640</v>
      </c>
      <c r="B578" s="105" t="s">
        <v>2226</v>
      </c>
      <c r="C578" s="105" t="s">
        <v>5660</v>
      </c>
      <c r="D578" s="149" t="s">
        <v>2228</v>
      </c>
      <c r="E578" s="105">
        <v>1</v>
      </c>
      <c r="F578" s="133">
        <v>19.47</v>
      </c>
      <c r="G578" s="133">
        <v>23</v>
      </c>
      <c r="H578" s="109">
        <f t="shared" si="24"/>
        <v>23</v>
      </c>
      <c r="I578" s="119"/>
      <c r="J578" s="119"/>
      <c r="K578" s="119">
        <f t="shared" si="25"/>
        <v>23</v>
      </c>
      <c r="L578" s="152">
        <f t="shared" si="26"/>
        <v>19.47</v>
      </c>
      <c r="M578" s="113"/>
    </row>
    <row r="579" spans="1:13" x14ac:dyDescent="0.2">
      <c r="A579" s="106" t="s">
        <v>5640</v>
      </c>
      <c r="B579" s="105" t="s">
        <v>3793</v>
      </c>
      <c r="C579" s="105" t="s">
        <v>5660</v>
      </c>
      <c r="D579" s="149" t="s">
        <v>3795</v>
      </c>
      <c r="E579" s="105">
        <v>1</v>
      </c>
      <c r="F579" s="133">
        <v>8.3800000000000008</v>
      </c>
      <c r="G579" s="133">
        <v>9.75</v>
      </c>
      <c r="H579" s="109">
        <f t="shared" si="24"/>
        <v>9.75</v>
      </c>
      <c r="I579" s="119"/>
      <c r="J579" s="119"/>
      <c r="K579" s="119">
        <f t="shared" si="25"/>
        <v>9.75</v>
      </c>
      <c r="L579" s="152">
        <f t="shared" si="26"/>
        <v>8.3800000000000008</v>
      </c>
      <c r="M579" s="113"/>
    </row>
    <row r="580" spans="1:13" x14ac:dyDescent="0.2">
      <c r="A580" s="106" t="s">
        <v>5640</v>
      </c>
      <c r="B580" s="105" t="s">
        <v>3539</v>
      </c>
      <c r="C580" s="105" t="s">
        <v>5660</v>
      </c>
      <c r="D580" s="149" t="s">
        <v>3540</v>
      </c>
      <c r="E580" s="105">
        <v>1</v>
      </c>
      <c r="F580" s="133">
        <v>68.540000000000006</v>
      </c>
      <c r="G580" s="133">
        <v>79</v>
      </c>
      <c r="H580" s="109">
        <f t="shared" si="24"/>
        <v>79</v>
      </c>
      <c r="I580" s="119"/>
      <c r="J580" s="119"/>
      <c r="K580" s="119">
        <f t="shared" si="25"/>
        <v>79</v>
      </c>
      <c r="L580" s="152">
        <f t="shared" si="26"/>
        <v>68.540000000000006</v>
      </c>
      <c r="M580" s="113"/>
    </row>
    <row r="581" spans="1:13" x14ac:dyDescent="0.2">
      <c r="A581" s="106" t="s">
        <v>5640</v>
      </c>
      <c r="B581" s="105" t="s">
        <v>1826</v>
      </c>
      <c r="C581" s="105" t="s">
        <v>5661</v>
      </c>
      <c r="D581" s="149" t="s">
        <v>1827</v>
      </c>
      <c r="E581" s="105">
        <v>1</v>
      </c>
      <c r="F581" s="133">
        <v>90</v>
      </c>
      <c r="G581" s="133">
        <v>120</v>
      </c>
      <c r="H581" s="109">
        <f t="shared" si="24"/>
        <v>120</v>
      </c>
      <c r="I581" s="119"/>
      <c r="J581" s="119"/>
      <c r="K581" s="119">
        <f t="shared" si="25"/>
        <v>120</v>
      </c>
      <c r="L581" s="152">
        <f t="shared" si="26"/>
        <v>90</v>
      </c>
      <c r="M581" s="113"/>
    </row>
    <row r="582" spans="1:13" x14ac:dyDescent="0.2">
      <c r="A582" s="106" t="s">
        <v>5640</v>
      </c>
      <c r="B582" s="105" t="s">
        <v>4520</v>
      </c>
      <c r="C582" s="105" t="s">
        <v>5661</v>
      </c>
      <c r="D582" s="149" t="s">
        <v>4625</v>
      </c>
      <c r="E582" s="105">
        <v>1</v>
      </c>
      <c r="F582" s="133">
        <v>60</v>
      </c>
      <c r="G582" s="133">
        <v>75</v>
      </c>
      <c r="H582" s="109">
        <f t="shared" ref="H582:H645" si="27">E582*G582</f>
        <v>75</v>
      </c>
      <c r="I582" s="119"/>
      <c r="J582" s="119"/>
      <c r="K582" s="119">
        <f t="shared" si="25"/>
        <v>75</v>
      </c>
      <c r="L582" s="152">
        <f t="shared" si="26"/>
        <v>60</v>
      </c>
      <c r="M582" s="113"/>
    </row>
    <row r="583" spans="1:13" x14ac:dyDescent="0.2">
      <c r="A583" s="106" t="s">
        <v>5640</v>
      </c>
      <c r="B583" s="105" t="s">
        <v>1865</v>
      </c>
      <c r="C583" s="105" t="s">
        <v>5661</v>
      </c>
      <c r="D583" s="149" t="s">
        <v>1866</v>
      </c>
      <c r="E583" s="105">
        <v>1</v>
      </c>
      <c r="F583" s="133">
        <v>300</v>
      </c>
      <c r="G583" s="133">
        <v>450</v>
      </c>
      <c r="H583" s="109">
        <f t="shared" si="27"/>
        <v>450</v>
      </c>
      <c r="I583" s="119"/>
      <c r="J583" s="119"/>
      <c r="K583" s="119">
        <f t="shared" ref="K583:K646" si="28">H583+I583-J583</f>
        <v>450</v>
      </c>
      <c r="L583" s="152">
        <f t="shared" ref="L583:L646" si="29">E583*F583</f>
        <v>300</v>
      </c>
      <c r="M583" s="113"/>
    </row>
    <row r="584" spans="1:13" x14ac:dyDescent="0.2">
      <c r="A584" s="106" t="s">
        <v>5640</v>
      </c>
      <c r="B584" s="105" t="s">
        <v>5654</v>
      </c>
      <c r="C584" s="105" t="s">
        <v>5662</v>
      </c>
      <c r="D584" s="149" t="s">
        <v>5677</v>
      </c>
      <c r="E584" s="105">
        <v>1</v>
      </c>
      <c r="F584" s="133">
        <v>50.5</v>
      </c>
      <c r="G584" s="133">
        <v>58.25</v>
      </c>
      <c r="H584" s="109">
        <f t="shared" si="27"/>
        <v>58.25</v>
      </c>
      <c r="I584" s="119"/>
      <c r="J584" s="119"/>
      <c r="K584" s="119">
        <f t="shared" si="28"/>
        <v>58.25</v>
      </c>
      <c r="L584" s="152">
        <f t="shared" si="29"/>
        <v>50.5</v>
      </c>
      <c r="M584" s="113"/>
    </row>
    <row r="585" spans="1:13" x14ac:dyDescent="0.2">
      <c r="A585" s="106" t="s">
        <v>5640</v>
      </c>
      <c r="B585" s="105" t="s">
        <v>5655</v>
      </c>
      <c r="C585" s="105" t="s">
        <v>5663</v>
      </c>
      <c r="D585" s="149" t="s">
        <v>5678</v>
      </c>
      <c r="E585" s="105">
        <v>1</v>
      </c>
      <c r="F585" s="133">
        <v>23.82</v>
      </c>
      <c r="G585" s="133">
        <v>27.5</v>
      </c>
      <c r="H585" s="109">
        <f t="shared" si="27"/>
        <v>27.5</v>
      </c>
      <c r="I585" s="119"/>
      <c r="J585" s="119"/>
      <c r="K585" s="119">
        <f t="shared" si="28"/>
        <v>27.5</v>
      </c>
      <c r="L585" s="152">
        <f t="shared" si="29"/>
        <v>23.82</v>
      </c>
      <c r="M585" s="113"/>
    </row>
    <row r="586" spans="1:13" x14ac:dyDescent="0.2">
      <c r="A586" s="106" t="s">
        <v>5640</v>
      </c>
      <c r="B586" s="105" t="s">
        <v>5591</v>
      </c>
      <c r="C586" s="105" t="s">
        <v>5664</v>
      </c>
      <c r="D586" s="149" t="s">
        <v>5636</v>
      </c>
      <c r="E586" s="105">
        <v>1</v>
      </c>
      <c r="F586" s="133">
        <v>5.85</v>
      </c>
      <c r="G586" s="133">
        <v>7</v>
      </c>
      <c r="H586" s="109">
        <f t="shared" si="27"/>
        <v>7</v>
      </c>
      <c r="I586" s="119"/>
      <c r="J586" s="119"/>
      <c r="K586" s="119">
        <f t="shared" si="28"/>
        <v>7</v>
      </c>
      <c r="L586" s="152">
        <f t="shared" si="29"/>
        <v>5.85</v>
      </c>
      <c r="M586" s="113"/>
    </row>
    <row r="587" spans="1:13" x14ac:dyDescent="0.2">
      <c r="A587" s="106" t="s">
        <v>5640</v>
      </c>
      <c r="B587" s="105" t="s">
        <v>5248</v>
      </c>
      <c r="C587" s="105" t="s">
        <v>5664</v>
      </c>
      <c r="D587" s="149" t="s">
        <v>5408</v>
      </c>
      <c r="E587" s="105">
        <v>1</v>
      </c>
      <c r="F587" s="133">
        <v>5.8</v>
      </c>
      <c r="G587" s="133">
        <v>7</v>
      </c>
      <c r="H587" s="109">
        <f t="shared" si="27"/>
        <v>7</v>
      </c>
      <c r="I587" s="119"/>
      <c r="J587" s="119"/>
      <c r="K587" s="119">
        <f t="shared" si="28"/>
        <v>7</v>
      </c>
      <c r="L587" s="152">
        <f t="shared" si="29"/>
        <v>5.8</v>
      </c>
      <c r="M587" s="113"/>
    </row>
    <row r="588" spans="1:13" x14ac:dyDescent="0.2">
      <c r="A588" s="106" t="s">
        <v>5640</v>
      </c>
      <c r="B588" s="105" t="s">
        <v>2441</v>
      </c>
      <c r="C588" s="105" t="s">
        <v>5665</v>
      </c>
      <c r="D588" s="149" t="s">
        <v>2443</v>
      </c>
      <c r="E588" s="105">
        <v>2</v>
      </c>
      <c r="F588" s="133">
        <v>0.81</v>
      </c>
      <c r="G588" s="133">
        <v>1</v>
      </c>
      <c r="H588" s="109">
        <f t="shared" si="27"/>
        <v>2</v>
      </c>
      <c r="I588" s="119"/>
      <c r="J588" s="119"/>
      <c r="K588" s="119">
        <f t="shared" si="28"/>
        <v>2</v>
      </c>
      <c r="L588" s="152">
        <f t="shared" si="29"/>
        <v>1.62</v>
      </c>
      <c r="M588" s="113"/>
    </row>
    <row r="589" spans="1:13" x14ac:dyDescent="0.2">
      <c r="A589" s="106" t="s">
        <v>5640</v>
      </c>
      <c r="B589" s="105" t="s">
        <v>2996</v>
      </c>
      <c r="C589" s="105" t="s">
        <v>5666</v>
      </c>
      <c r="D589" s="149" t="s">
        <v>2997</v>
      </c>
      <c r="E589" s="105">
        <v>2</v>
      </c>
      <c r="F589" s="133">
        <v>46.3</v>
      </c>
      <c r="G589" s="133">
        <v>53.25</v>
      </c>
      <c r="H589" s="109">
        <f t="shared" si="27"/>
        <v>106.5</v>
      </c>
      <c r="I589" s="119"/>
      <c r="J589" s="119"/>
      <c r="K589" s="119">
        <f t="shared" si="28"/>
        <v>106.5</v>
      </c>
      <c r="L589" s="152">
        <f t="shared" si="29"/>
        <v>92.6</v>
      </c>
      <c r="M589" s="113"/>
    </row>
    <row r="590" spans="1:13" x14ac:dyDescent="0.2">
      <c r="A590" s="106" t="s">
        <v>5640</v>
      </c>
      <c r="B590" s="105" t="s">
        <v>3641</v>
      </c>
      <c r="C590" s="105" t="s">
        <v>5667</v>
      </c>
      <c r="D590" s="149" t="s">
        <v>3642</v>
      </c>
      <c r="E590" s="105">
        <v>3</v>
      </c>
      <c r="F590" s="133">
        <v>12.39</v>
      </c>
      <c r="G590" s="133">
        <v>14.5</v>
      </c>
      <c r="H590" s="109">
        <f t="shared" si="27"/>
        <v>43.5</v>
      </c>
      <c r="I590" s="119"/>
      <c r="J590" s="119"/>
      <c r="K590" s="119">
        <f t="shared" si="28"/>
        <v>43.5</v>
      </c>
      <c r="L590" s="152">
        <f t="shared" si="29"/>
        <v>37.17</v>
      </c>
      <c r="M590" s="113"/>
    </row>
    <row r="591" spans="1:13" x14ac:dyDescent="0.2">
      <c r="A591" s="106" t="s">
        <v>5640</v>
      </c>
      <c r="B591" s="105" t="s">
        <v>3569</v>
      </c>
      <c r="C591" s="105" t="s">
        <v>5668</v>
      </c>
      <c r="D591" s="149" t="s">
        <v>3571</v>
      </c>
      <c r="E591" s="105">
        <v>1</v>
      </c>
      <c r="F591" s="133">
        <v>21.88</v>
      </c>
      <c r="G591" s="133">
        <v>25.25</v>
      </c>
      <c r="H591" s="109">
        <f t="shared" si="27"/>
        <v>25.25</v>
      </c>
      <c r="I591" s="119"/>
      <c r="J591" s="119"/>
      <c r="K591" s="119">
        <f t="shared" si="28"/>
        <v>25.25</v>
      </c>
      <c r="L591" s="152">
        <f t="shared" si="29"/>
        <v>21.88</v>
      </c>
      <c r="M591" s="113"/>
    </row>
    <row r="592" spans="1:13" x14ac:dyDescent="0.2">
      <c r="A592" s="106" t="s">
        <v>5640</v>
      </c>
      <c r="B592" s="105" t="s">
        <v>2908</v>
      </c>
      <c r="C592" s="105" t="s">
        <v>5669</v>
      </c>
      <c r="D592" s="149" t="s">
        <v>2910</v>
      </c>
      <c r="E592" s="105">
        <v>4</v>
      </c>
      <c r="F592" s="133">
        <v>0.76</v>
      </c>
      <c r="G592" s="133">
        <v>1</v>
      </c>
      <c r="H592" s="109">
        <f t="shared" si="27"/>
        <v>4</v>
      </c>
      <c r="I592" s="119"/>
      <c r="J592" s="119"/>
      <c r="K592" s="119">
        <f t="shared" si="28"/>
        <v>4</v>
      </c>
      <c r="L592" s="152">
        <f t="shared" si="29"/>
        <v>3.04</v>
      </c>
      <c r="M592" s="113"/>
    </row>
    <row r="593" spans="1:13" x14ac:dyDescent="0.2">
      <c r="A593" s="106" t="s">
        <v>5640</v>
      </c>
      <c r="B593" s="105" t="s">
        <v>3312</v>
      </c>
      <c r="C593" s="105" t="s">
        <v>5670</v>
      </c>
      <c r="D593" s="149" t="s">
        <v>3313</v>
      </c>
      <c r="E593" s="105">
        <v>1</v>
      </c>
      <c r="F593" s="133">
        <v>60.75</v>
      </c>
      <c r="G593" s="133">
        <v>67.25</v>
      </c>
      <c r="H593" s="109">
        <f t="shared" si="27"/>
        <v>67.25</v>
      </c>
      <c r="I593" s="119"/>
      <c r="J593" s="119"/>
      <c r="K593" s="119">
        <f t="shared" si="28"/>
        <v>67.25</v>
      </c>
      <c r="L593" s="152">
        <f t="shared" si="29"/>
        <v>60.75</v>
      </c>
      <c r="M593" s="113"/>
    </row>
    <row r="594" spans="1:13" x14ac:dyDescent="0.2">
      <c r="A594" s="106" t="s">
        <v>5640</v>
      </c>
      <c r="B594" s="105" t="s">
        <v>4567</v>
      </c>
      <c r="C594" s="105" t="s">
        <v>5671</v>
      </c>
      <c r="D594" s="149" t="s">
        <v>4672</v>
      </c>
      <c r="E594" s="105">
        <v>1</v>
      </c>
      <c r="F594" s="133">
        <v>7.06</v>
      </c>
      <c r="G594" s="133">
        <v>8.25</v>
      </c>
      <c r="H594" s="109">
        <f t="shared" si="27"/>
        <v>8.25</v>
      </c>
      <c r="I594" s="119"/>
      <c r="J594" s="119"/>
      <c r="K594" s="119">
        <f t="shared" si="28"/>
        <v>8.25</v>
      </c>
      <c r="L594" s="152">
        <f t="shared" si="29"/>
        <v>7.06</v>
      </c>
      <c r="M594" s="113"/>
    </row>
    <row r="595" spans="1:13" x14ac:dyDescent="0.2">
      <c r="A595" s="106" t="s">
        <v>5640</v>
      </c>
      <c r="B595" s="105" t="s">
        <v>4112</v>
      </c>
      <c r="C595" s="105" t="s">
        <v>5672</v>
      </c>
      <c r="D595" s="149" t="s">
        <v>4113</v>
      </c>
      <c r="E595" s="105">
        <v>4</v>
      </c>
      <c r="F595" s="133">
        <v>19.66</v>
      </c>
      <c r="G595" s="133">
        <v>23</v>
      </c>
      <c r="H595" s="109">
        <f t="shared" si="27"/>
        <v>92</v>
      </c>
      <c r="I595" s="119"/>
      <c r="J595" s="119"/>
      <c r="K595" s="119">
        <f t="shared" si="28"/>
        <v>92</v>
      </c>
      <c r="L595" s="152">
        <f t="shared" si="29"/>
        <v>78.64</v>
      </c>
      <c r="M595" s="113"/>
    </row>
    <row r="596" spans="1:13" x14ac:dyDescent="0.2">
      <c r="A596" s="106" t="s">
        <v>5640</v>
      </c>
      <c r="B596" s="105" t="s">
        <v>5034</v>
      </c>
      <c r="C596" s="105" t="s">
        <v>5672</v>
      </c>
      <c r="D596" s="149" t="s">
        <v>5078</v>
      </c>
      <c r="E596" s="105">
        <v>4</v>
      </c>
      <c r="F596" s="133">
        <v>36.51</v>
      </c>
      <c r="G596" s="133">
        <v>42</v>
      </c>
      <c r="H596" s="109">
        <f t="shared" si="27"/>
        <v>168</v>
      </c>
      <c r="I596" s="119"/>
      <c r="J596" s="119"/>
      <c r="K596" s="119">
        <f t="shared" si="28"/>
        <v>168</v>
      </c>
      <c r="L596" s="152">
        <f t="shared" si="29"/>
        <v>146.04</v>
      </c>
      <c r="M596" s="113"/>
    </row>
    <row r="597" spans="1:13" x14ac:dyDescent="0.2">
      <c r="A597" s="106" t="s">
        <v>5640</v>
      </c>
      <c r="B597" s="105" t="s">
        <v>2367</v>
      </c>
      <c r="C597" s="105" t="s">
        <v>5673</v>
      </c>
      <c r="D597" s="149" t="s">
        <v>2369</v>
      </c>
      <c r="E597" s="105">
        <v>6</v>
      </c>
      <c r="F597" s="133">
        <v>6.38</v>
      </c>
      <c r="G597" s="133">
        <v>7.5</v>
      </c>
      <c r="H597" s="109">
        <f t="shared" si="27"/>
        <v>45</v>
      </c>
      <c r="I597" s="119"/>
      <c r="J597" s="119"/>
      <c r="K597" s="119">
        <f t="shared" si="28"/>
        <v>45</v>
      </c>
      <c r="L597" s="152">
        <f t="shared" si="29"/>
        <v>38.28</v>
      </c>
      <c r="M597" s="113"/>
    </row>
    <row r="598" spans="1:13" x14ac:dyDescent="0.2">
      <c r="A598" s="106" t="s">
        <v>5640</v>
      </c>
      <c r="B598" s="105" t="s">
        <v>3169</v>
      </c>
      <c r="C598" s="105" t="s">
        <v>5673</v>
      </c>
      <c r="D598" s="149" t="s">
        <v>3170</v>
      </c>
      <c r="E598" s="105">
        <v>5</v>
      </c>
      <c r="F598" s="133">
        <v>5.41</v>
      </c>
      <c r="G598" s="133">
        <v>6.25</v>
      </c>
      <c r="H598" s="109">
        <f t="shared" si="27"/>
        <v>31.25</v>
      </c>
      <c r="I598" s="119"/>
      <c r="J598" s="119"/>
      <c r="K598" s="119">
        <f t="shared" si="28"/>
        <v>31.25</v>
      </c>
      <c r="L598" s="152">
        <f t="shared" si="29"/>
        <v>27.05</v>
      </c>
      <c r="M598" s="113"/>
    </row>
    <row r="599" spans="1:13" x14ac:dyDescent="0.2">
      <c r="A599" s="106" t="s">
        <v>5640</v>
      </c>
      <c r="B599" s="105" t="s">
        <v>5591</v>
      </c>
      <c r="C599" s="105" t="s">
        <v>5674</v>
      </c>
      <c r="D599" s="149" t="s">
        <v>5636</v>
      </c>
      <c r="E599" s="105">
        <v>1</v>
      </c>
      <c r="F599" s="133">
        <v>5.85</v>
      </c>
      <c r="G599" s="133">
        <v>7</v>
      </c>
      <c r="H599" s="109">
        <f t="shared" si="27"/>
        <v>7</v>
      </c>
      <c r="I599" s="119"/>
      <c r="J599" s="119"/>
      <c r="K599" s="119">
        <f t="shared" si="28"/>
        <v>7</v>
      </c>
      <c r="L599" s="152">
        <f t="shared" si="29"/>
        <v>5.85</v>
      </c>
      <c r="M599" s="113"/>
    </row>
    <row r="600" spans="1:13" x14ac:dyDescent="0.2">
      <c r="A600" s="106" t="s">
        <v>5640</v>
      </c>
      <c r="B600" s="105" t="s">
        <v>5475</v>
      </c>
      <c r="C600" s="105" t="s">
        <v>5675</v>
      </c>
      <c r="D600" s="149" t="s">
        <v>5487</v>
      </c>
      <c r="E600" s="105">
        <v>5</v>
      </c>
      <c r="F600" s="133">
        <v>60</v>
      </c>
      <c r="G600" s="133">
        <v>75</v>
      </c>
      <c r="H600" s="109">
        <f t="shared" si="27"/>
        <v>375</v>
      </c>
      <c r="I600" s="119"/>
      <c r="J600" s="119"/>
      <c r="K600" s="119">
        <f t="shared" si="28"/>
        <v>375</v>
      </c>
      <c r="L600" s="152">
        <f t="shared" si="29"/>
        <v>300</v>
      </c>
      <c r="M600" s="113"/>
    </row>
    <row r="601" spans="1:13" x14ac:dyDescent="0.2">
      <c r="A601" s="106" t="s">
        <v>5640</v>
      </c>
      <c r="B601" s="105" t="s">
        <v>5476</v>
      </c>
      <c r="C601" s="105" t="s">
        <v>5675</v>
      </c>
      <c r="D601" s="149" t="s">
        <v>5488</v>
      </c>
      <c r="E601" s="105">
        <v>5</v>
      </c>
      <c r="F601" s="133">
        <v>40</v>
      </c>
      <c r="G601" s="133">
        <v>60</v>
      </c>
      <c r="H601" s="109">
        <f t="shared" si="27"/>
        <v>300</v>
      </c>
      <c r="I601" s="119"/>
      <c r="J601" s="119"/>
      <c r="K601" s="119">
        <f t="shared" si="28"/>
        <v>300</v>
      </c>
      <c r="L601" s="152">
        <f t="shared" si="29"/>
        <v>200</v>
      </c>
      <c r="M601" s="113"/>
    </row>
    <row r="602" spans="1:13" x14ac:dyDescent="0.2">
      <c r="A602" s="106" t="s">
        <v>5640</v>
      </c>
      <c r="B602" s="105" t="s">
        <v>5477</v>
      </c>
      <c r="C602" s="105" t="s">
        <v>5675</v>
      </c>
      <c r="D602" s="149" t="s">
        <v>5489</v>
      </c>
      <c r="E602" s="105">
        <v>3</v>
      </c>
      <c r="F602" s="133">
        <v>47</v>
      </c>
      <c r="G602" s="133">
        <v>60</v>
      </c>
      <c r="H602" s="109">
        <f t="shared" si="27"/>
        <v>180</v>
      </c>
      <c r="I602" s="119"/>
      <c r="J602" s="119"/>
      <c r="K602" s="119">
        <f t="shared" si="28"/>
        <v>180</v>
      </c>
      <c r="L602" s="152">
        <f t="shared" si="29"/>
        <v>141</v>
      </c>
      <c r="M602" s="113"/>
    </row>
    <row r="603" spans="1:13" x14ac:dyDescent="0.2">
      <c r="A603" s="106" t="s">
        <v>5640</v>
      </c>
      <c r="B603" s="105" t="s">
        <v>5470</v>
      </c>
      <c r="C603" s="105" t="s">
        <v>5675</v>
      </c>
      <c r="D603" s="149" t="s">
        <v>5482</v>
      </c>
      <c r="E603" s="105">
        <v>1</v>
      </c>
      <c r="F603" s="133">
        <v>195</v>
      </c>
      <c r="G603" s="133">
        <v>250</v>
      </c>
      <c r="H603" s="109">
        <f t="shared" si="27"/>
        <v>250</v>
      </c>
      <c r="I603" s="119"/>
      <c r="J603" s="119"/>
      <c r="K603" s="119">
        <f t="shared" si="28"/>
        <v>250</v>
      </c>
      <c r="L603" s="152">
        <f t="shared" si="29"/>
        <v>195</v>
      </c>
      <c r="M603" s="113"/>
    </row>
    <row r="604" spans="1:13" x14ac:dyDescent="0.2">
      <c r="A604" s="106" t="s">
        <v>5640</v>
      </c>
      <c r="B604" s="105" t="s">
        <v>5656</v>
      </c>
      <c r="C604" s="105" t="s">
        <v>5675</v>
      </c>
      <c r="D604" s="149" t="s">
        <v>5679</v>
      </c>
      <c r="E604" s="105">
        <v>1</v>
      </c>
      <c r="F604" s="133">
        <v>280</v>
      </c>
      <c r="G604" s="133">
        <v>350</v>
      </c>
      <c r="H604" s="109">
        <f t="shared" si="27"/>
        <v>350</v>
      </c>
      <c r="I604" s="119"/>
      <c r="J604" s="119"/>
      <c r="K604" s="119">
        <f t="shared" si="28"/>
        <v>350</v>
      </c>
      <c r="L604" s="152">
        <f t="shared" si="29"/>
        <v>280</v>
      </c>
      <c r="M604" s="113"/>
    </row>
    <row r="605" spans="1:13" x14ac:dyDescent="0.2">
      <c r="A605" s="106" t="s">
        <v>5640</v>
      </c>
      <c r="B605" s="105" t="s">
        <v>1826</v>
      </c>
      <c r="C605" s="105" t="s">
        <v>5675</v>
      </c>
      <c r="D605" s="149" t="s">
        <v>1827</v>
      </c>
      <c r="E605" s="105">
        <v>10</v>
      </c>
      <c r="F605" s="133">
        <v>90</v>
      </c>
      <c r="G605" s="133">
        <v>120</v>
      </c>
      <c r="H605" s="109">
        <f t="shared" si="27"/>
        <v>1200</v>
      </c>
      <c r="I605" s="119"/>
      <c r="J605" s="119">
        <v>162.5</v>
      </c>
      <c r="K605" s="119">
        <f t="shared" si="28"/>
        <v>1037.5</v>
      </c>
      <c r="L605" s="152">
        <f t="shared" si="29"/>
        <v>900</v>
      </c>
      <c r="M605" s="113"/>
    </row>
    <row r="606" spans="1:13" x14ac:dyDescent="0.2">
      <c r="A606" s="106" t="s">
        <v>5640</v>
      </c>
      <c r="B606" s="105" t="s">
        <v>4520</v>
      </c>
      <c r="C606" s="105" t="s">
        <v>5675</v>
      </c>
      <c r="D606" s="149" t="s">
        <v>4625</v>
      </c>
      <c r="E606" s="105">
        <v>4</v>
      </c>
      <c r="F606" s="133">
        <v>60</v>
      </c>
      <c r="G606" s="133">
        <v>75</v>
      </c>
      <c r="H606" s="109">
        <f t="shared" si="27"/>
        <v>300</v>
      </c>
      <c r="I606" s="119"/>
      <c r="J606" s="119"/>
      <c r="K606" s="119">
        <f t="shared" si="28"/>
        <v>300</v>
      </c>
      <c r="L606" s="152">
        <f t="shared" si="29"/>
        <v>240</v>
      </c>
      <c r="M606" s="113"/>
    </row>
    <row r="607" spans="1:13" x14ac:dyDescent="0.2">
      <c r="A607" s="106" t="s">
        <v>5640</v>
      </c>
      <c r="B607" s="105" t="s">
        <v>5497</v>
      </c>
      <c r="C607" s="105" t="s">
        <v>5675</v>
      </c>
      <c r="D607" s="149" t="s">
        <v>5573</v>
      </c>
      <c r="E607" s="105">
        <v>4</v>
      </c>
      <c r="F607" s="133">
        <v>30</v>
      </c>
      <c r="G607" s="133">
        <v>40</v>
      </c>
      <c r="H607" s="109">
        <f t="shared" si="27"/>
        <v>160</v>
      </c>
      <c r="I607" s="119"/>
      <c r="J607" s="119"/>
      <c r="K607" s="119">
        <f t="shared" si="28"/>
        <v>160</v>
      </c>
      <c r="L607" s="152">
        <f t="shared" si="29"/>
        <v>120</v>
      </c>
      <c r="M607" s="113"/>
    </row>
    <row r="608" spans="1:13" x14ac:dyDescent="0.2">
      <c r="A608" s="106" t="s">
        <v>5640</v>
      </c>
      <c r="B608" s="105" t="s">
        <v>2240</v>
      </c>
      <c r="C608" s="105" t="s">
        <v>5676</v>
      </c>
      <c r="D608" s="149" t="s">
        <v>2241</v>
      </c>
      <c r="E608" s="105">
        <v>1</v>
      </c>
      <c r="F608" s="133">
        <v>18.649999999999999</v>
      </c>
      <c r="G608" s="133">
        <v>21.5</v>
      </c>
      <c r="H608" s="109">
        <f t="shared" si="27"/>
        <v>21.5</v>
      </c>
      <c r="I608" s="119"/>
      <c r="J608" s="119"/>
      <c r="K608" s="119">
        <f t="shared" si="28"/>
        <v>21.5</v>
      </c>
      <c r="L608" s="152">
        <f t="shared" si="29"/>
        <v>18.649999999999999</v>
      </c>
      <c r="M608" s="113"/>
    </row>
    <row r="609" spans="1:13" x14ac:dyDescent="0.2">
      <c r="A609" s="106" t="s">
        <v>5680</v>
      </c>
      <c r="B609" s="105" t="s">
        <v>3942</v>
      </c>
      <c r="C609" s="105" t="s">
        <v>5699</v>
      </c>
      <c r="D609" s="149" t="s">
        <v>3943</v>
      </c>
      <c r="E609" s="105">
        <v>1</v>
      </c>
      <c r="F609" s="133">
        <v>30.04</v>
      </c>
      <c r="G609" s="133">
        <v>34.75</v>
      </c>
      <c r="H609" s="109">
        <f t="shared" si="27"/>
        <v>34.75</v>
      </c>
      <c r="I609" s="119"/>
      <c r="J609" s="119">
        <v>0</v>
      </c>
      <c r="K609" s="119">
        <f t="shared" si="28"/>
        <v>34.75</v>
      </c>
      <c r="L609" s="152">
        <f t="shared" si="29"/>
        <v>30.04</v>
      </c>
      <c r="M609" s="113"/>
    </row>
    <row r="610" spans="1:13" x14ac:dyDescent="0.2">
      <c r="A610" s="106" t="s">
        <v>5680</v>
      </c>
      <c r="B610" s="105" t="s">
        <v>5592</v>
      </c>
      <c r="C610" s="105" t="s">
        <v>5700</v>
      </c>
      <c r="D610" s="149" t="s">
        <v>5637</v>
      </c>
      <c r="E610" s="105">
        <v>1</v>
      </c>
      <c r="F610" s="133">
        <v>6.18</v>
      </c>
      <c r="G610" s="133">
        <v>7.25</v>
      </c>
      <c r="H610" s="109">
        <f t="shared" si="27"/>
        <v>7.25</v>
      </c>
      <c r="I610" s="119"/>
      <c r="J610" s="119">
        <v>0</v>
      </c>
      <c r="K610" s="119">
        <f t="shared" si="28"/>
        <v>7.25</v>
      </c>
      <c r="L610" s="152">
        <f t="shared" si="29"/>
        <v>6.18</v>
      </c>
      <c r="M610" s="113"/>
    </row>
    <row r="611" spans="1:13" x14ac:dyDescent="0.2">
      <c r="A611" s="106" t="s">
        <v>5680</v>
      </c>
      <c r="B611" s="105" t="s">
        <v>4715</v>
      </c>
      <c r="C611" s="105" t="s">
        <v>5700</v>
      </c>
      <c r="D611" s="149" t="s">
        <v>4750</v>
      </c>
      <c r="E611" s="105">
        <v>1</v>
      </c>
      <c r="F611" s="133">
        <v>6.15</v>
      </c>
      <c r="G611" s="133">
        <v>7.25</v>
      </c>
      <c r="H611" s="109">
        <f t="shared" si="27"/>
        <v>7.25</v>
      </c>
      <c r="I611" s="119"/>
      <c r="J611" s="119">
        <v>0</v>
      </c>
      <c r="K611" s="119">
        <f t="shared" si="28"/>
        <v>7.25</v>
      </c>
      <c r="L611" s="152">
        <f t="shared" si="29"/>
        <v>6.15</v>
      </c>
      <c r="M611" s="113"/>
    </row>
    <row r="612" spans="1:13" x14ac:dyDescent="0.2">
      <c r="A612" s="106" t="s">
        <v>5680</v>
      </c>
      <c r="B612" s="105" t="s">
        <v>2941</v>
      </c>
      <c r="C612" s="105" t="s">
        <v>5701</v>
      </c>
      <c r="D612" s="149" t="s">
        <v>2943</v>
      </c>
      <c r="E612" s="105">
        <v>2</v>
      </c>
      <c r="F612" s="133">
        <v>7.14</v>
      </c>
      <c r="G612" s="133">
        <v>8.25</v>
      </c>
      <c r="H612" s="109">
        <f t="shared" si="27"/>
        <v>16.5</v>
      </c>
      <c r="I612" s="119"/>
      <c r="J612" s="119">
        <v>0</v>
      </c>
      <c r="K612" s="119">
        <f t="shared" si="28"/>
        <v>16.5</v>
      </c>
      <c r="L612" s="152">
        <f t="shared" si="29"/>
        <v>14.28</v>
      </c>
      <c r="M612" s="113"/>
    </row>
    <row r="613" spans="1:13" x14ac:dyDescent="0.2">
      <c r="A613" s="106" t="s">
        <v>5680</v>
      </c>
      <c r="B613" s="105" t="s">
        <v>3413</v>
      </c>
      <c r="C613" s="105" t="s">
        <v>5702</v>
      </c>
      <c r="D613" s="149" t="s">
        <v>3414</v>
      </c>
      <c r="E613" s="105">
        <v>1</v>
      </c>
      <c r="F613" s="133">
        <v>33.1</v>
      </c>
      <c r="G613" s="133">
        <v>38.25</v>
      </c>
      <c r="H613" s="109">
        <f t="shared" si="27"/>
        <v>38.25</v>
      </c>
      <c r="I613" s="119"/>
      <c r="J613" s="119">
        <v>0</v>
      </c>
      <c r="K613" s="119">
        <f t="shared" si="28"/>
        <v>38.25</v>
      </c>
      <c r="L613" s="152">
        <f t="shared" si="29"/>
        <v>33.1</v>
      </c>
      <c r="M613" s="113"/>
    </row>
    <row r="614" spans="1:13" x14ac:dyDescent="0.2">
      <c r="A614" s="106" t="s">
        <v>5680</v>
      </c>
      <c r="B614" s="105" t="s">
        <v>4568</v>
      </c>
      <c r="C614" s="105" t="s">
        <v>5702</v>
      </c>
      <c r="D614" s="149" t="s">
        <v>4673</v>
      </c>
      <c r="E614" s="105">
        <v>1</v>
      </c>
      <c r="F614" s="133">
        <v>34.47</v>
      </c>
      <c r="G614" s="133">
        <v>39.75</v>
      </c>
      <c r="H614" s="109">
        <f t="shared" si="27"/>
        <v>39.75</v>
      </c>
      <c r="I614" s="119"/>
      <c r="J614" s="119">
        <v>0</v>
      </c>
      <c r="K614" s="119">
        <f t="shared" si="28"/>
        <v>39.75</v>
      </c>
      <c r="L614" s="152">
        <f t="shared" si="29"/>
        <v>34.47</v>
      </c>
      <c r="M614" s="113"/>
    </row>
    <row r="615" spans="1:13" x14ac:dyDescent="0.2">
      <c r="A615" s="106" t="s">
        <v>5680</v>
      </c>
      <c r="B615" s="105" t="s">
        <v>2022</v>
      </c>
      <c r="C615" s="105" t="s">
        <v>5703</v>
      </c>
      <c r="D615" s="149" t="s">
        <v>2024</v>
      </c>
      <c r="E615" s="105">
        <v>1</v>
      </c>
      <c r="F615" s="133">
        <v>29.9</v>
      </c>
      <c r="G615" s="133">
        <v>34.5</v>
      </c>
      <c r="H615" s="109">
        <f t="shared" si="27"/>
        <v>34.5</v>
      </c>
      <c r="I615" s="119"/>
      <c r="J615" s="119">
        <v>0</v>
      </c>
      <c r="K615" s="119">
        <f t="shared" si="28"/>
        <v>34.5</v>
      </c>
      <c r="L615" s="152">
        <f t="shared" si="29"/>
        <v>29.9</v>
      </c>
      <c r="M615" s="113"/>
    </row>
    <row r="616" spans="1:13" x14ac:dyDescent="0.2">
      <c r="A616" s="106" t="s">
        <v>5680</v>
      </c>
      <c r="B616" s="105" t="s">
        <v>5248</v>
      </c>
      <c r="C616" s="105" t="s">
        <v>5704</v>
      </c>
      <c r="D616" s="149" t="s">
        <v>5408</v>
      </c>
      <c r="E616" s="105">
        <v>1</v>
      </c>
      <c r="F616" s="133">
        <v>5.8</v>
      </c>
      <c r="G616" s="133">
        <v>7</v>
      </c>
      <c r="H616" s="109">
        <f t="shared" si="27"/>
        <v>7</v>
      </c>
      <c r="I616" s="119"/>
      <c r="J616" s="119">
        <v>0</v>
      </c>
      <c r="K616" s="119">
        <f t="shared" si="28"/>
        <v>7</v>
      </c>
      <c r="L616" s="152">
        <f t="shared" si="29"/>
        <v>5.8</v>
      </c>
      <c r="M616" s="113"/>
    </row>
    <row r="617" spans="1:13" x14ac:dyDescent="0.2">
      <c r="A617" s="106" t="s">
        <v>5680</v>
      </c>
      <c r="B617" s="105" t="s">
        <v>1877</v>
      </c>
      <c r="C617" s="105" t="s">
        <v>5705</v>
      </c>
      <c r="D617" s="149" t="s">
        <v>1878</v>
      </c>
      <c r="E617" s="105">
        <v>2</v>
      </c>
      <c r="F617" s="133">
        <v>20.399999999999999</v>
      </c>
      <c r="G617" s="133">
        <v>23.5</v>
      </c>
      <c r="H617" s="109">
        <f t="shared" si="27"/>
        <v>47</v>
      </c>
      <c r="I617" s="119"/>
      <c r="J617" s="119">
        <v>0</v>
      </c>
      <c r="K617" s="119">
        <f t="shared" si="28"/>
        <v>47</v>
      </c>
      <c r="L617" s="152">
        <f t="shared" si="29"/>
        <v>40.799999999999997</v>
      </c>
      <c r="M617" s="113"/>
    </row>
    <row r="618" spans="1:13" x14ac:dyDescent="0.2">
      <c r="A618" s="106" t="s">
        <v>5680</v>
      </c>
      <c r="B618" s="105" t="s">
        <v>2488</v>
      </c>
      <c r="C618" s="105" t="s">
        <v>5706</v>
      </c>
      <c r="D618" s="149" t="s">
        <v>2489</v>
      </c>
      <c r="E618" s="105">
        <v>2</v>
      </c>
      <c r="F618" s="133">
        <v>31.19</v>
      </c>
      <c r="G618" s="133">
        <v>36</v>
      </c>
      <c r="H618" s="109">
        <f t="shared" si="27"/>
        <v>72</v>
      </c>
      <c r="I618" s="119"/>
      <c r="J618" s="119">
        <v>0</v>
      </c>
      <c r="K618" s="119">
        <f t="shared" si="28"/>
        <v>72</v>
      </c>
      <c r="L618" s="152">
        <f t="shared" si="29"/>
        <v>62.38</v>
      </c>
      <c r="M618" s="113"/>
    </row>
    <row r="619" spans="1:13" x14ac:dyDescent="0.2">
      <c r="A619" s="106" t="s">
        <v>5680</v>
      </c>
      <c r="B619" s="105" t="s">
        <v>3083</v>
      </c>
      <c r="C619" s="105" t="s">
        <v>5706</v>
      </c>
      <c r="D619" s="149" t="s">
        <v>3085</v>
      </c>
      <c r="E619" s="105">
        <v>2</v>
      </c>
      <c r="F619" s="133">
        <v>29.95</v>
      </c>
      <c r="G619" s="133">
        <v>34.5</v>
      </c>
      <c r="H619" s="109">
        <f t="shared" si="27"/>
        <v>69</v>
      </c>
      <c r="I619" s="119"/>
      <c r="J619" s="119">
        <v>0</v>
      </c>
      <c r="K619" s="119">
        <f t="shared" si="28"/>
        <v>69</v>
      </c>
      <c r="L619" s="152">
        <f t="shared" si="29"/>
        <v>59.9</v>
      </c>
      <c r="M619" s="113"/>
    </row>
    <row r="620" spans="1:13" x14ac:dyDescent="0.2">
      <c r="A620" s="106" t="s">
        <v>5680</v>
      </c>
      <c r="B620" s="105" t="s">
        <v>3448</v>
      </c>
      <c r="C620" s="105" t="s">
        <v>5706</v>
      </c>
      <c r="D620" s="149" t="s">
        <v>3450</v>
      </c>
      <c r="E620" s="105">
        <v>2</v>
      </c>
      <c r="F620" s="133">
        <v>15.91</v>
      </c>
      <c r="G620" s="133">
        <v>18.5</v>
      </c>
      <c r="H620" s="109">
        <f t="shared" si="27"/>
        <v>37</v>
      </c>
      <c r="I620" s="119"/>
      <c r="J620" s="119">
        <v>0</v>
      </c>
      <c r="K620" s="119">
        <f t="shared" si="28"/>
        <v>37</v>
      </c>
      <c r="L620" s="152">
        <f t="shared" si="29"/>
        <v>31.82</v>
      </c>
      <c r="M620" s="113"/>
    </row>
    <row r="621" spans="1:13" x14ac:dyDescent="0.2">
      <c r="A621" s="106" t="s">
        <v>5680</v>
      </c>
      <c r="B621" s="105" t="s">
        <v>2581</v>
      </c>
      <c r="C621" s="105" t="s">
        <v>5706</v>
      </c>
      <c r="D621" s="149" t="s">
        <v>2583</v>
      </c>
      <c r="E621" s="105">
        <v>12</v>
      </c>
      <c r="F621" s="133">
        <v>6.02</v>
      </c>
      <c r="G621" s="133">
        <v>7.25</v>
      </c>
      <c r="H621" s="109">
        <f t="shared" si="27"/>
        <v>87</v>
      </c>
      <c r="I621" s="119"/>
      <c r="J621" s="119">
        <v>0</v>
      </c>
      <c r="K621" s="119">
        <f t="shared" si="28"/>
        <v>87</v>
      </c>
      <c r="L621" s="152">
        <f t="shared" si="29"/>
        <v>72.239999999999995</v>
      </c>
      <c r="M621" s="113"/>
    </row>
    <row r="622" spans="1:13" x14ac:dyDescent="0.2">
      <c r="A622" s="106" t="s">
        <v>5680</v>
      </c>
      <c r="B622" s="105" t="s">
        <v>2293</v>
      </c>
      <c r="C622" s="105" t="s">
        <v>5706</v>
      </c>
      <c r="D622" s="149" t="s">
        <v>2295</v>
      </c>
      <c r="E622" s="105">
        <v>2</v>
      </c>
      <c r="F622" s="133">
        <v>27.84</v>
      </c>
      <c r="G622" s="133">
        <v>45</v>
      </c>
      <c r="H622" s="109">
        <f t="shared" si="27"/>
        <v>90</v>
      </c>
      <c r="I622" s="119"/>
      <c r="J622" s="119">
        <v>0</v>
      </c>
      <c r="K622" s="119">
        <f t="shared" si="28"/>
        <v>90</v>
      </c>
      <c r="L622" s="152">
        <f t="shared" si="29"/>
        <v>55.68</v>
      </c>
      <c r="M622" s="113"/>
    </row>
    <row r="623" spans="1:13" x14ac:dyDescent="0.2">
      <c r="A623" s="106" t="s">
        <v>5680</v>
      </c>
      <c r="B623" s="105" t="s">
        <v>2590</v>
      </c>
      <c r="C623" s="105" t="s">
        <v>5706</v>
      </c>
      <c r="D623" s="149" t="s">
        <v>2591</v>
      </c>
      <c r="E623" s="105">
        <v>1</v>
      </c>
      <c r="F623" s="133">
        <v>90.24</v>
      </c>
      <c r="G623" s="133">
        <v>103.75</v>
      </c>
      <c r="H623" s="109">
        <f t="shared" si="27"/>
        <v>103.75</v>
      </c>
      <c r="I623" s="119"/>
      <c r="J623" s="119">
        <v>0</v>
      </c>
      <c r="K623" s="119">
        <f t="shared" si="28"/>
        <v>103.75</v>
      </c>
      <c r="L623" s="152">
        <f t="shared" si="29"/>
        <v>90.24</v>
      </c>
      <c r="M623" s="113"/>
    </row>
    <row r="624" spans="1:13" x14ac:dyDescent="0.2">
      <c r="A624" s="106" t="s">
        <v>5680</v>
      </c>
      <c r="B624" s="105" t="s">
        <v>2115</v>
      </c>
      <c r="C624" s="105" t="s">
        <v>5706</v>
      </c>
      <c r="D624" s="149" t="s">
        <v>2117</v>
      </c>
      <c r="E624" s="105">
        <v>1</v>
      </c>
      <c r="F624" s="133">
        <v>84.8</v>
      </c>
      <c r="G624" s="133">
        <v>94</v>
      </c>
      <c r="H624" s="109">
        <f t="shared" si="27"/>
        <v>94</v>
      </c>
      <c r="I624" s="119"/>
      <c r="J624" s="119">
        <v>0</v>
      </c>
      <c r="K624" s="119">
        <f t="shared" si="28"/>
        <v>94</v>
      </c>
      <c r="L624" s="152">
        <f t="shared" si="29"/>
        <v>84.8</v>
      </c>
      <c r="M624" s="113"/>
    </row>
    <row r="625" spans="1:13" x14ac:dyDescent="0.2">
      <c r="A625" s="106" t="s">
        <v>5680</v>
      </c>
      <c r="B625" s="105" t="s">
        <v>5247</v>
      </c>
      <c r="C625" s="105" t="s">
        <v>5707</v>
      </c>
      <c r="D625" s="149" t="s">
        <v>5407</v>
      </c>
      <c r="E625" s="105">
        <v>2</v>
      </c>
      <c r="F625" s="133">
        <v>32</v>
      </c>
      <c r="G625" s="133">
        <v>37</v>
      </c>
      <c r="H625" s="109">
        <f t="shared" si="27"/>
        <v>74</v>
      </c>
      <c r="I625" s="119"/>
      <c r="J625" s="119">
        <v>0</v>
      </c>
      <c r="K625" s="119">
        <f t="shared" si="28"/>
        <v>74</v>
      </c>
      <c r="L625" s="152">
        <f t="shared" si="29"/>
        <v>64</v>
      </c>
      <c r="M625" s="113"/>
    </row>
    <row r="626" spans="1:13" x14ac:dyDescent="0.2">
      <c r="A626" s="106" t="s">
        <v>5680</v>
      </c>
      <c r="B626" s="105" t="s">
        <v>2813</v>
      </c>
      <c r="C626" s="105" t="s">
        <v>5707</v>
      </c>
      <c r="D626" s="149" t="s">
        <v>2814</v>
      </c>
      <c r="E626" s="105">
        <v>1</v>
      </c>
      <c r="F626" s="133">
        <v>149</v>
      </c>
      <c r="G626" s="133">
        <v>171.5</v>
      </c>
      <c r="H626" s="109">
        <f t="shared" si="27"/>
        <v>171.5</v>
      </c>
      <c r="I626" s="119"/>
      <c r="J626" s="119">
        <v>0</v>
      </c>
      <c r="K626" s="119">
        <f t="shared" si="28"/>
        <v>171.5</v>
      </c>
      <c r="L626" s="152">
        <f t="shared" si="29"/>
        <v>149</v>
      </c>
      <c r="M626" s="113"/>
    </row>
    <row r="627" spans="1:13" x14ac:dyDescent="0.2">
      <c r="A627" s="106" t="s">
        <v>5680</v>
      </c>
      <c r="B627" s="105" t="s">
        <v>3437</v>
      </c>
      <c r="C627" s="105" t="s">
        <v>5708</v>
      </c>
      <c r="D627" s="149" t="s">
        <v>3439</v>
      </c>
      <c r="E627" s="105">
        <v>1</v>
      </c>
      <c r="F627" s="133">
        <v>13.12</v>
      </c>
      <c r="G627" s="133">
        <v>15.25</v>
      </c>
      <c r="H627" s="109">
        <f t="shared" si="27"/>
        <v>15.25</v>
      </c>
      <c r="I627" s="119"/>
      <c r="J627" s="119">
        <v>0</v>
      </c>
      <c r="K627" s="119">
        <f t="shared" si="28"/>
        <v>15.25</v>
      </c>
      <c r="L627" s="152">
        <f t="shared" si="29"/>
        <v>13.12</v>
      </c>
      <c r="M627" s="113"/>
    </row>
    <row r="628" spans="1:13" x14ac:dyDescent="0.2">
      <c r="A628" s="106" t="s">
        <v>5680</v>
      </c>
      <c r="B628" s="105" t="s">
        <v>1861</v>
      </c>
      <c r="C628" s="105" t="s">
        <v>5709</v>
      </c>
      <c r="D628" s="149" t="s">
        <v>1862</v>
      </c>
      <c r="E628" s="105">
        <v>1</v>
      </c>
      <c r="F628" s="133">
        <v>15.65</v>
      </c>
      <c r="G628" s="133">
        <v>18</v>
      </c>
      <c r="H628" s="109">
        <f t="shared" si="27"/>
        <v>18</v>
      </c>
      <c r="I628" s="119"/>
      <c r="J628" s="119">
        <v>0</v>
      </c>
      <c r="K628" s="119">
        <f t="shared" si="28"/>
        <v>18</v>
      </c>
      <c r="L628" s="152">
        <f t="shared" si="29"/>
        <v>15.65</v>
      </c>
      <c r="M628" s="113"/>
    </row>
    <row r="629" spans="1:13" x14ac:dyDescent="0.2">
      <c r="A629" s="106" t="s">
        <v>5680</v>
      </c>
      <c r="B629" s="105" t="s">
        <v>4567</v>
      </c>
      <c r="C629" s="105" t="s">
        <v>5709</v>
      </c>
      <c r="D629" s="149" t="s">
        <v>4672</v>
      </c>
      <c r="E629" s="105">
        <v>1</v>
      </c>
      <c r="F629" s="133">
        <v>7.06</v>
      </c>
      <c r="G629" s="133">
        <v>8.25</v>
      </c>
      <c r="H629" s="109">
        <f t="shared" si="27"/>
        <v>8.25</v>
      </c>
      <c r="I629" s="119"/>
      <c r="J629" s="119">
        <v>0</v>
      </c>
      <c r="K629" s="119">
        <f t="shared" si="28"/>
        <v>8.25</v>
      </c>
      <c r="L629" s="152">
        <f t="shared" si="29"/>
        <v>7.06</v>
      </c>
      <c r="M629" s="113"/>
    </row>
    <row r="630" spans="1:13" x14ac:dyDescent="0.2">
      <c r="A630" s="106" t="s">
        <v>5680</v>
      </c>
      <c r="B630" s="105" t="s">
        <v>3897</v>
      </c>
      <c r="C630" s="105" t="s">
        <v>5710</v>
      </c>
      <c r="D630" s="149" t="s">
        <v>3899</v>
      </c>
      <c r="E630" s="105">
        <v>1</v>
      </c>
      <c r="F630" s="133">
        <v>25.69</v>
      </c>
      <c r="G630" s="133">
        <v>29.75</v>
      </c>
      <c r="H630" s="109">
        <f t="shared" si="27"/>
        <v>29.75</v>
      </c>
      <c r="I630" s="119"/>
      <c r="J630" s="119">
        <v>0</v>
      </c>
      <c r="K630" s="119">
        <f t="shared" si="28"/>
        <v>29.75</v>
      </c>
      <c r="L630" s="152">
        <f t="shared" si="29"/>
        <v>25.69</v>
      </c>
      <c r="M630" s="113"/>
    </row>
    <row r="631" spans="1:13" x14ac:dyDescent="0.2">
      <c r="A631" s="106" t="s">
        <v>5680</v>
      </c>
      <c r="B631" s="105" t="s">
        <v>3437</v>
      </c>
      <c r="C631" s="105" t="s">
        <v>5711</v>
      </c>
      <c r="D631" s="149" t="s">
        <v>3439</v>
      </c>
      <c r="E631" s="105">
        <v>1</v>
      </c>
      <c r="F631" s="133">
        <v>13.12</v>
      </c>
      <c r="G631" s="133">
        <v>15.25</v>
      </c>
      <c r="H631" s="109">
        <f t="shared" si="27"/>
        <v>15.25</v>
      </c>
      <c r="I631" s="119"/>
      <c r="J631" s="119">
        <v>0</v>
      </c>
      <c r="K631" s="119">
        <f t="shared" si="28"/>
        <v>15.25</v>
      </c>
      <c r="L631" s="152">
        <f t="shared" si="29"/>
        <v>13.12</v>
      </c>
      <c r="M631" s="113"/>
    </row>
    <row r="632" spans="1:13" x14ac:dyDescent="0.2">
      <c r="A632" s="106" t="s">
        <v>5680</v>
      </c>
      <c r="B632" s="105" t="s">
        <v>5591</v>
      </c>
      <c r="C632" s="105" t="s">
        <v>5711</v>
      </c>
      <c r="D632" s="149" t="s">
        <v>5636</v>
      </c>
      <c r="E632" s="105">
        <v>1</v>
      </c>
      <c r="F632" s="133">
        <v>5.85</v>
      </c>
      <c r="G632" s="133">
        <v>7</v>
      </c>
      <c r="H632" s="109">
        <f t="shared" si="27"/>
        <v>7</v>
      </c>
      <c r="I632" s="119"/>
      <c r="J632" s="119">
        <v>0</v>
      </c>
      <c r="K632" s="119">
        <f t="shared" si="28"/>
        <v>7</v>
      </c>
      <c r="L632" s="152">
        <f t="shared" si="29"/>
        <v>5.85</v>
      </c>
      <c r="M632" s="113"/>
    </row>
    <row r="633" spans="1:13" x14ac:dyDescent="0.2">
      <c r="A633" s="106" t="s">
        <v>5680</v>
      </c>
      <c r="B633" s="105" t="s">
        <v>5591</v>
      </c>
      <c r="C633" s="105" t="s">
        <v>5712</v>
      </c>
      <c r="D633" s="149" t="s">
        <v>5636</v>
      </c>
      <c r="E633" s="105">
        <v>2</v>
      </c>
      <c r="F633" s="133">
        <v>5.85</v>
      </c>
      <c r="G633" s="133">
        <v>7</v>
      </c>
      <c r="H633" s="109">
        <f t="shared" si="27"/>
        <v>14</v>
      </c>
      <c r="I633" s="119"/>
      <c r="J633" s="119">
        <v>0</v>
      </c>
      <c r="K633" s="119">
        <f t="shared" si="28"/>
        <v>14</v>
      </c>
      <c r="L633" s="152">
        <f t="shared" si="29"/>
        <v>11.7</v>
      </c>
      <c r="M633" s="113"/>
    </row>
    <row r="634" spans="1:13" x14ac:dyDescent="0.2">
      <c r="A634" s="106" t="s">
        <v>5680</v>
      </c>
      <c r="B634" s="105" t="s">
        <v>4715</v>
      </c>
      <c r="C634" s="105" t="s">
        <v>5712</v>
      </c>
      <c r="D634" s="149" t="s">
        <v>4750</v>
      </c>
      <c r="E634" s="105">
        <v>1</v>
      </c>
      <c r="F634" s="133">
        <v>6.15</v>
      </c>
      <c r="G634" s="133">
        <v>7.25</v>
      </c>
      <c r="H634" s="109">
        <f t="shared" si="27"/>
        <v>7.25</v>
      </c>
      <c r="I634" s="119"/>
      <c r="J634" s="119">
        <v>0</v>
      </c>
      <c r="K634" s="119">
        <f t="shared" si="28"/>
        <v>7.25</v>
      </c>
      <c r="L634" s="152">
        <f t="shared" si="29"/>
        <v>6.15</v>
      </c>
      <c r="M634" s="113"/>
    </row>
    <row r="635" spans="1:13" x14ac:dyDescent="0.2">
      <c r="A635" s="106" t="s">
        <v>5680</v>
      </c>
      <c r="B635" s="105" t="s">
        <v>3434</v>
      </c>
      <c r="C635" s="105" t="s">
        <v>5712</v>
      </c>
      <c r="D635" s="149" t="s">
        <v>3436</v>
      </c>
      <c r="E635" s="105">
        <v>1</v>
      </c>
      <c r="F635" s="133">
        <v>7.41</v>
      </c>
      <c r="G635" s="133">
        <v>8.75</v>
      </c>
      <c r="H635" s="109">
        <f t="shared" si="27"/>
        <v>8.75</v>
      </c>
      <c r="I635" s="119"/>
      <c r="J635" s="119">
        <v>0</v>
      </c>
      <c r="K635" s="119">
        <f t="shared" si="28"/>
        <v>8.75</v>
      </c>
      <c r="L635" s="152">
        <f t="shared" si="29"/>
        <v>7.41</v>
      </c>
      <c r="M635" s="113"/>
    </row>
    <row r="636" spans="1:13" x14ac:dyDescent="0.2">
      <c r="A636" s="106" t="s">
        <v>5680</v>
      </c>
      <c r="B636" s="105" t="s">
        <v>5238</v>
      </c>
      <c r="C636" s="105" t="s">
        <v>5713</v>
      </c>
      <c r="D636" s="149" t="s">
        <v>5398</v>
      </c>
      <c r="E636" s="105">
        <v>1</v>
      </c>
      <c r="F636" s="133">
        <v>8.75</v>
      </c>
      <c r="G636" s="133">
        <v>10.25</v>
      </c>
      <c r="H636" s="109">
        <f t="shared" si="27"/>
        <v>10.25</v>
      </c>
      <c r="I636" s="119"/>
      <c r="J636" s="119">
        <v>0</v>
      </c>
      <c r="K636" s="119">
        <f t="shared" si="28"/>
        <v>10.25</v>
      </c>
      <c r="L636" s="152">
        <f t="shared" si="29"/>
        <v>8.75</v>
      </c>
      <c r="M636" s="113"/>
    </row>
    <row r="637" spans="1:13" x14ac:dyDescent="0.2">
      <c r="A637" s="106" t="s">
        <v>5680</v>
      </c>
      <c r="B637" s="105" t="s">
        <v>3437</v>
      </c>
      <c r="C637" s="105" t="s">
        <v>5714</v>
      </c>
      <c r="D637" s="149" t="s">
        <v>3439</v>
      </c>
      <c r="E637" s="105">
        <v>1</v>
      </c>
      <c r="F637" s="133">
        <v>13.12</v>
      </c>
      <c r="G637" s="133">
        <v>15.25</v>
      </c>
      <c r="H637" s="109">
        <f t="shared" si="27"/>
        <v>15.25</v>
      </c>
      <c r="I637" s="119"/>
      <c r="J637" s="119">
        <v>0</v>
      </c>
      <c r="K637" s="119">
        <f t="shared" si="28"/>
        <v>15.25</v>
      </c>
      <c r="L637" s="152">
        <f t="shared" si="29"/>
        <v>13.12</v>
      </c>
      <c r="M637" s="113"/>
    </row>
    <row r="638" spans="1:13" x14ac:dyDescent="0.2">
      <c r="A638" s="106" t="s">
        <v>5680</v>
      </c>
      <c r="B638" s="105" t="s">
        <v>5591</v>
      </c>
      <c r="C638" s="105" t="s">
        <v>5714</v>
      </c>
      <c r="D638" s="149" t="s">
        <v>5636</v>
      </c>
      <c r="E638" s="105">
        <v>1</v>
      </c>
      <c r="F638" s="133">
        <v>5.85</v>
      </c>
      <c r="G638" s="133">
        <v>7</v>
      </c>
      <c r="H638" s="109">
        <f t="shared" si="27"/>
        <v>7</v>
      </c>
      <c r="I638" s="119"/>
      <c r="J638" s="119">
        <v>0</v>
      </c>
      <c r="K638" s="119">
        <f t="shared" si="28"/>
        <v>7</v>
      </c>
      <c r="L638" s="152">
        <f t="shared" si="29"/>
        <v>5.85</v>
      </c>
      <c r="M638" s="113"/>
    </row>
    <row r="639" spans="1:13" x14ac:dyDescent="0.2">
      <c r="A639" s="106" t="s">
        <v>5680</v>
      </c>
      <c r="B639" s="105" t="s">
        <v>4715</v>
      </c>
      <c r="C639" s="105" t="s">
        <v>5714</v>
      </c>
      <c r="D639" s="149" t="s">
        <v>4750</v>
      </c>
      <c r="E639" s="105">
        <v>1</v>
      </c>
      <c r="F639" s="133">
        <v>6.15</v>
      </c>
      <c r="G639" s="133">
        <v>7.25</v>
      </c>
      <c r="H639" s="109">
        <f t="shared" si="27"/>
        <v>7.25</v>
      </c>
      <c r="I639" s="119"/>
      <c r="J639" s="119">
        <v>0</v>
      </c>
      <c r="K639" s="119">
        <f t="shared" si="28"/>
        <v>7.25</v>
      </c>
      <c r="L639" s="152">
        <f t="shared" si="29"/>
        <v>6.15</v>
      </c>
      <c r="M639" s="113"/>
    </row>
    <row r="640" spans="1:13" x14ac:dyDescent="0.2">
      <c r="A640" s="106" t="s">
        <v>5680</v>
      </c>
      <c r="B640" s="105" t="s">
        <v>5592</v>
      </c>
      <c r="C640" s="105" t="s">
        <v>5714</v>
      </c>
      <c r="D640" s="149" t="s">
        <v>5637</v>
      </c>
      <c r="E640" s="105">
        <v>1</v>
      </c>
      <c r="F640" s="133">
        <v>6.18</v>
      </c>
      <c r="G640" s="133">
        <v>7.25</v>
      </c>
      <c r="H640" s="109">
        <f t="shared" si="27"/>
        <v>7.25</v>
      </c>
      <c r="I640" s="119"/>
      <c r="J640" s="119">
        <v>0</v>
      </c>
      <c r="K640" s="119">
        <f t="shared" si="28"/>
        <v>7.25</v>
      </c>
      <c r="L640" s="152">
        <f t="shared" si="29"/>
        <v>6.18</v>
      </c>
      <c r="M640" s="113"/>
    </row>
    <row r="641" spans="1:13" x14ac:dyDescent="0.2">
      <c r="A641" s="106" t="s">
        <v>5680</v>
      </c>
      <c r="B641" s="105" t="s">
        <v>2146</v>
      </c>
      <c r="C641" s="105" t="s">
        <v>5715</v>
      </c>
      <c r="D641" s="149" t="s">
        <v>2147</v>
      </c>
      <c r="E641" s="105">
        <v>24</v>
      </c>
      <c r="F641" s="133">
        <v>13.2</v>
      </c>
      <c r="G641" s="133">
        <v>16</v>
      </c>
      <c r="H641" s="109">
        <f t="shared" si="27"/>
        <v>384</v>
      </c>
      <c r="I641" s="119"/>
      <c r="J641" s="119">
        <v>54</v>
      </c>
      <c r="K641" s="119">
        <f t="shared" si="28"/>
        <v>330</v>
      </c>
      <c r="L641" s="152">
        <f t="shared" si="29"/>
        <v>316.79999999999995</v>
      </c>
      <c r="M641" s="113"/>
    </row>
    <row r="642" spans="1:13" x14ac:dyDescent="0.2">
      <c r="A642" s="106" t="s">
        <v>5680</v>
      </c>
      <c r="B642" s="105" t="s">
        <v>1977</v>
      </c>
      <c r="C642" s="105" t="s">
        <v>5716</v>
      </c>
      <c r="D642" s="149" t="s">
        <v>1979</v>
      </c>
      <c r="E642" s="105">
        <v>1</v>
      </c>
      <c r="F642" s="133">
        <v>0.76</v>
      </c>
      <c r="G642" s="133">
        <v>1</v>
      </c>
      <c r="H642" s="109">
        <f t="shared" si="27"/>
        <v>1</v>
      </c>
      <c r="I642" s="119"/>
      <c r="J642" s="119">
        <v>0</v>
      </c>
      <c r="K642" s="119">
        <f t="shared" si="28"/>
        <v>1</v>
      </c>
      <c r="L642" s="152">
        <f t="shared" si="29"/>
        <v>0.76</v>
      </c>
      <c r="M642" s="113"/>
    </row>
    <row r="643" spans="1:13" x14ac:dyDescent="0.2">
      <c r="A643" s="106" t="s">
        <v>5680</v>
      </c>
      <c r="B643" s="105" t="s">
        <v>4567</v>
      </c>
      <c r="C643" s="105" t="s">
        <v>5717</v>
      </c>
      <c r="D643" s="149" t="s">
        <v>4672</v>
      </c>
      <c r="E643" s="105">
        <v>1</v>
      </c>
      <c r="F643" s="133">
        <v>7.06</v>
      </c>
      <c r="G643" s="133">
        <v>8.25</v>
      </c>
      <c r="H643" s="109">
        <f t="shared" si="27"/>
        <v>8.25</v>
      </c>
      <c r="I643" s="119"/>
      <c r="J643" s="119">
        <v>0</v>
      </c>
      <c r="K643" s="119">
        <f t="shared" si="28"/>
        <v>8.25</v>
      </c>
      <c r="L643" s="152">
        <f t="shared" si="29"/>
        <v>7.06</v>
      </c>
      <c r="M643" s="113"/>
    </row>
    <row r="644" spans="1:13" x14ac:dyDescent="0.2">
      <c r="A644" s="106" t="s">
        <v>5680</v>
      </c>
      <c r="B644" s="105" t="s">
        <v>1810</v>
      </c>
      <c r="C644" s="105" t="s">
        <v>5718</v>
      </c>
      <c r="D644" s="149" t="s">
        <v>1811</v>
      </c>
      <c r="E644" s="105">
        <v>1</v>
      </c>
      <c r="F644" s="133">
        <v>38.39</v>
      </c>
      <c r="G644" s="133">
        <v>44.25</v>
      </c>
      <c r="H644" s="109">
        <f t="shared" si="27"/>
        <v>44.25</v>
      </c>
      <c r="I644" s="119"/>
      <c r="J644" s="119">
        <v>0</v>
      </c>
      <c r="K644" s="119">
        <f t="shared" si="28"/>
        <v>44.25</v>
      </c>
      <c r="L644" s="152">
        <f t="shared" si="29"/>
        <v>38.39</v>
      </c>
      <c r="M644" s="113"/>
    </row>
    <row r="645" spans="1:13" x14ac:dyDescent="0.2">
      <c r="A645" s="106" t="s">
        <v>5680</v>
      </c>
      <c r="B645" s="105" t="s">
        <v>2380</v>
      </c>
      <c r="C645" s="105" t="s">
        <v>5719</v>
      </c>
      <c r="D645" s="149" t="s">
        <v>2381</v>
      </c>
      <c r="E645" s="105">
        <v>1</v>
      </c>
      <c r="F645" s="133">
        <v>22.73</v>
      </c>
      <c r="G645" s="133">
        <v>26.25</v>
      </c>
      <c r="H645" s="109">
        <f t="shared" si="27"/>
        <v>26.25</v>
      </c>
      <c r="I645" s="119"/>
      <c r="J645" s="119">
        <v>0</v>
      </c>
      <c r="K645" s="119">
        <f t="shared" si="28"/>
        <v>26.25</v>
      </c>
      <c r="L645" s="152">
        <f t="shared" si="29"/>
        <v>22.73</v>
      </c>
      <c r="M645" s="113"/>
    </row>
    <row r="646" spans="1:13" x14ac:dyDescent="0.2">
      <c r="A646" s="106" t="s">
        <v>5680</v>
      </c>
      <c r="B646" s="105" t="s">
        <v>3314</v>
      </c>
      <c r="C646" s="105" t="s">
        <v>5719</v>
      </c>
      <c r="D646" s="149" t="s">
        <v>3316</v>
      </c>
      <c r="E646" s="105">
        <v>1</v>
      </c>
      <c r="F646" s="133">
        <v>16.579999999999998</v>
      </c>
      <c r="G646" s="133">
        <v>19</v>
      </c>
      <c r="H646" s="109">
        <f t="shared" ref="H646:H709" si="30">E646*G646</f>
        <v>19</v>
      </c>
      <c r="I646" s="119"/>
      <c r="J646" s="119">
        <v>0</v>
      </c>
      <c r="K646" s="119">
        <f t="shared" si="28"/>
        <v>19</v>
      </c>
      <c r="L646" s="152">
        <f t="shared" si="29"/>
        <v>16.579999999999998</v>
      </c>
      <c r="M646" s="113"/>
    </row>
    <row r="647" spans="1:13" x14ac:dyDescent="0.2">
      <c r="A647" s="106" t="s">
        <v>5680</v>
      </c>
      <c r="B647" s="105" t="s">
        <v>1905</v>
      </c>
      <c r="C647" s="105" t="s">
        <v>5720</v>
      </c>
      <c r="D647" s="149" t="s">
        <v>1906</v>
      </c>
      <c r="E647" s="105">
        <v>1</v>
      </c>
      <c r="F647" s="133">
        <v>15.12</v>
      </c>
      <c r="G647" s="133">
        <v>17.5</v>
      </c>
      <c r="H647" s="109">
        <f t="shared" si="30"/>
        <v>17.5</v>
      </c>
      <c r="I647" s="119"/>
      <c r="J647" s="119">
        <v>0</v>
      </c>
      <c r="K647" s="119">
        <f t="shared" ref="K647:K710" si="31">H647+I647-J647</f>
        <v>17.5</v>
      </c>
      <c r="L647" s="152">
        <f t="shared" ref="L647:L710" si="32">E647*F647</f>
        <v>15.12</v>
      </c>
      <c r="M647" s="113"/>
    </row>
    <row r="648" spans="1:13" x14ac:dyDescent="0.2">
      <c r="A648" s="106" t="s">
        <v>5680</v>
      </c>
      <c r="B648" s="105" t="s">
        <v>4796</v>
      </c>
      <c r="C648" s="105" t="s">
        <v>5721</v>
      </c>
      <c r="D648" s="149" t="s">
        <v>4865</v>
      </c>
      <c r="E648" s="105">
        <v>1</v>
      </c>
      <c r="F648" s="133">
        <v>23.21</v>
      </c>
      <c r="G648" s="133">
        <v>26.75</v>
      </c>
      <c r="H648" s="109">
        <f t="shared" si="30"/>
        <v>26.75</v>
      </c>
      <c r="I648" s="119"/>
      <c r="J648" s="119">
        <v>0</v>
      </c>
      <c r="K648" s="119">
        <f t="shared" si="31"/>
        <v>26.75</v>
      </c>
      <c r="L648" s="152">
        <f t="shared" si="32"/>
        <v>23.21</v>
      </c>
      <c r="M648" s="113"/>
    </row>
    <row r="649" spans="1:13" x14ac:dyDescent="0.2">
      <c r="A649" s="106" t="s">
        <v>5680</v>
      </c>
      <c r="B649" s="105" t="s">
        <v>2809</v>
      </c>
      <c r="C649" s="105" t="s">
        <v>5722</v>
      </c>
      <c r="D649" s="149" t="s">
        <v>2810</v>
      </c>
      <c r="E649" s="105">
        <v>1</v>
      </c>
      <c r="F649" s="133">
        <v>53.81</v>
      </c>
      <c r="G649" s="133">
        <v>62</v>
      </c>
      <c r="H649" s="109">
        <f t="shared" si="30"/>
        <v>62</v>
      </c>
      <c r="I649" s="119"/>
      <c r="J649" s="119">
        <v>0</v>
      </c>
      <c r="K649" s="119">
        <f t="shared" si="31"/>
        <v>62</v>
      </c>
      <c r="L649" s="152">
        <f t="shared" si="32"/>
        <v>53.81</v>
      </c>
      <c r="M649" s="113"/>
    </row>
    <row r="650" spans="1:13" x14ac:dyDescent="0.2">
      <c r="A650" s="106" t="s">
        <v>5680</v>
      </c>
      <c r="B650" s="105" t="s">
        <v>1977</v>
      </c>
      <c r="C650" s="105" t="s">
        <v>5723</v>
      </c>
      <c r="D650" s="149" t="s">
        <v>1979</v>
      </c>
      <c r="E650" s="105">
        <v>4</v>
      </c>
      <c r="F650" s="133">
        <v>0.76</v>
      </c>
      <c r="G650" s="133">
        <v>1</v>
      </c>
      <c r="H650" s="109">
        <f t="shared" si="30"/>
        <v>4</v>
      </c>
      <c r="I650" s="119"/>
      <c r="J650" s="119">
        <v>0</v>
      </c>
      <c r="K650" s="119">
        <f t="shared" si="31"/>
        <v>4</v>
      </c>
      <c r="L650" s="152">
        <f t="shared" si="32"/>
        <v>3.04</v>
      </c>
      <c r="M650" s="113"/>
    </row>
    <row r="651" spans="1:13" x14ac:dyDescent="0.2">
      <c r="A651" s="106" t="s">
        <v>5680</v>
      </c>
      <c r="B651" s="105" t="s">
        <v>2550</v>
      </c>
      <c r="C651" s="105" t="s">
        <v>5724</v>
      </c>
      <c r="D651" s="149" t="s">
        <v>2552</v>
      </c>
      <c r="E651" s="105">
        <v>12</v>
      </c>
      <c r="F651" s="133">
        <v>6.38</v>
      </c>
      <c r="G651" s="133">
        <v>7.5</v>
      </c>
      <c r="H651" s="109">
        <f t="shared" si="30"/>
        <v>90</v>
      </c>
      <c r="I651" s="119"/>
      <c r="J651" s="119">
        <v>0</v>
      </c>
      <c r="K651" s="119">
        <f t="shared" si="31"/>
        <v>90</v>
      </c>
      <c r="L651" s="152">
        <f t="shared" si="32"/>
        <v>76.56</v>
      </c>
      <c r="M651" s="113"/>
    </row>
    <row r="652" spans="1:13" x14ac:dyDescent="0.2">
      <c r="A652" s="106" t="s">
        <v>5680</v>
      </c>
      <c r="B652" s="105" t="s">
        <v>5685</v>
      </c>
      <c r="C652" s="105" t="s">
        <v>5725</v>
      </c>
      <c r="D652" s="149" t="s">
        <v>5823</v>
      </c>
      <c r="E652" s="105">
        <v>1</v>
      </c>
      <c r="F652" s="133">
        <v>38.57</v>
      </c>
      <c r="G652" s="133">
        <v>44.5</v>
      </c>
      <c r="H652" s="109">
        <f t="shared" si="30"/>
        <v>44.5</v>
      </c>
      <c r="I652" s="119"/>
      <c r="J652" s="119">
        <v>0</v>
      </c>
      <c r="K652" s="119">
        <f t="shared" si="31"/>
        <v>44.5</v>
      </c>
      <c r="L652" s="152">
        <f t="shared" si="32"/>
        <v>38.57</v>
      </c>
      <c r="M652" s="113"/>
    </row>
    <row r="653" spans="1:13" x14ac:dyDescent="0.2">
      <c r="A653" s="106" t="s">
        <v>5680</v>
      </c>
      <c r="B653" s="105" t="s">
        <v>3413</v>
      </c>
      <c r="C653" s="105" t="s">
        <v>5726</v>
      </c>
      <c r="D653" s="149" t="s">
        <v>3414</v>
      </c>
      <c r="E653" s="105">
        <v>1</v>
      </c>
      <c r="F653" s="133">
        <v>33.1</v>
      </c>
      <c r="G653" s="133">
        <v>38.25</v>
      </c>
      <c r="H653" s="109">
        <f t="shared" si="30"/>
        <v>38.25</v>
      </c>
      <c r="I653" s="119"/>
      <c r="J653" s="119">
        <v>0</v>
      </c>
      <c r="K653" s="119">
        <f t="shared" si="31"/>
        <v>38.25</v>
      </c>
      <c r="L653" s="152">
        <f t="shared" si="32"/>
        <v>33.1</v>
      </c>
      <c r="M653" s="113"/>
    </row>
    <row r="654" spans="1:13" x14ac:dyDescent="0.2">
      <c r="A654" s="106" t="s">
        <v>5680</v>
      </c>
      <c r="B654" s="105" t="s">
        <v>2884</v>
      </c>
      <c r="C654" s="105" t="s">
        <v>5727</v>
      </c>
      <c r="D654" s="149" t="s">
        <v>2886</v>
      </c>
      <c r="E654" s="105">
        <v>1</v>
      </c>
      <c r="F654" s="133">
        <v>302.13</v>
      </c>
      <c r="G654" s="133">
        <v>362.75</v>
      </c>
      <c r="H654" s="109">
        <f t="shared" si="30"/>
        <v>362.75</v>
      </c>
      <c r="I654" s="119"/>
      <c r="J654" s="119">
        <v>0</v>
      </c>
      <c r="K654" s="119">
        <f t="shared" si="31"/>
        <v>362.75</v>
      </c>
      <c r="L654" s="152">
        <f t="shared" si="32"/>
        <v>302.13</v>
      </c>
      <c r="M654" s="113"/>
    </row>
    <row r="655" spans="1:13" x14ac:dyDescent="0.2">
      <c r="A655" s="106" t="s">
        <v>5680</v>
      </c>
      <c r="B655" s="105" t="s">
        <v>2360</v>
      </c>
      <c r="C655" s="105" t="s">
        <v>5728</v>
      </c>
      <c r="D655" s="149" t="s">
        <v>2361</v>
      </c>
      <c r="E655" s="105">
        <v>1</v>
      </c>
      <c r="F655" s="133">
        <v>17.649999999999999</v>
      </c>
      <c r="G655" s="133">
        <v>20.5</v>
      </c>
      <c r="H655" s="109">
        <f t="shared" si="30"/>
        <v>20.5</v>
      </c>
      <c r="I655" s="119"/>
      <c r="J655" s="119">
        <v>0</v>
      </c>
      <c r="K655" s="119">
        <f t="shared" si="31"/>
        <v>20.5</v>
      </c>
      <c r="L655" s="152">
        <f t="shared" si="32"/>
        <v>17.649999999999999</v>
      </c>
      <c r="M655" s="113"/>
    </row>
    <row r="656" spans="1:13" x14ac:dyDescent="0.2">
      <c r="A656" s="106" t="s">
        <v>5680</v>
      </c>
      <c r="B656" s="105" t="s">
        <v>3909</v>
      </c>
      <c r="C656" s="105" t="s">
        <v>5729</v>
      </c>
      <c r="D656" s="149" t="s">
        <v>3911</v>
      </c>
      <c r="E656" s="105">
        <v>1</v>
      </c>
      <c r="F656" s="133">
        <v>7.06</v>
      </c>
      <c r="G656" s="133">
        <v>8.25</v>
      </c>
      <c r="H656" s="109">
        <f t="shared" si="30"/>
        <v>8.25</v>
      </c>
      <c r="I656" s="119"/>
      <c r="J656" s="119">
        <v>0</v>
      </c>
      <c r="K656" s="119">
        <f t="shared" si="31"/>
        <v>8.25</v>
      </c>
      <c r="L656" s="152">
        <f t="shared" si="32"/>
        <v>7.06</v>
      </c>
      <c r="M656" s="113"/>
    </row>
    <row r="657" spans="1:13" x14ac:dyDescent="0.2">
      <c r="A657" s="106" t="s">
        <v>5680</v>
      </c>
      <c r="B657" s="105" t="s">
        <v>1977</v>
      </c>
      <c r="C657" s="105" t="s">
        <v>5730</v>
      </c>
      <c r="D657" s="149" t="s">
        <v>1979</v>
      </c>
      <c r="E657" s="105">
        <v>1</v>
      </c>
      <c r="F657" s="133">
        <v>0.76</v>
      </c>
      <c r="G657" s="133">
        <v>1</v>
      </c>
      <c r="H657" s="109">
        <f t="shared" si="30"/>
        <v>1</v>
      </c>
      <c r="I657" s="119"/>
      <c r="J657" s="119">
        <v>0</v>
      </c>
      <c r="K657" s="119">
        <f t="shared" si="31"/>
        <v>1</v>
      </c>
      <c r="L657" s="152">
        <f t="shared" si="32"/>
        <v>0.76</v>
      </c>
      <c r="M657" s="113"/>
    </row>
    <row r="658" spans="1:13" x14ac:dyDescent="0.2">
      <c r="A658" s="106" t="s">
        <v>5680</v>
      </c>
      <c r="B658" s="105" t="s">
        <v>3993</v>
      </c>
      <c r="C658" s="105" t="s">
        <v>5731</v>
      </c>
      <c r="D658" s="149" t="s">
        <v>3995</v>
      </c>
      <c r="E658" s="105">
        <v>1</v>
      </c>
      <c r="F658" s="133">
        <v>17.649999999999999</v>
      </c>
      <c r="G658" s="133">
        <v>18.75</v>
      </c>
      <c r="H658" s="109">
        <f t="shared" si="30"/>
        <v>18.75</v>
      </c>
      <c r="I658" s="119"/>
      <c r="J658" s="119">
        <v>0</v>
      </c>
      <c r="K658" s="119">
        <f t="shared" si="31"/>
        <v>18.75</v>
      </c>
      <c r="L658" s="152">
        <f t="shared" si="32"/>
        <v>17.649999999999999</v>
      </c>
      <c r="M658" s="113"/>
    </row>
    <row r="659" spans="1:13" x14ac:dyDescent="0.2">
      <c r="A659" s="106" t="s">
        <v>5680</v>
      </c>
      <c r="B659" s="105" t="s">
        <v>4715</v>
      </c>
      <c r="C659" s="105" t="s">
        <v>5732</v>
      </c>
      <c r="D659" s="149" t="s">
        <v>4750</v>
      </c>
      <c r="E659" s="105">
        <v>1</v>
      </c>
      <c r="F659" s="133">
        <v>6.15</v>
      </c>
      <c r="G659" s="133">
        <v>7.25</v>
      </c>
      <c r="H659" s="109">
        <f t="shared" si="30"/>
        <v>7.25</v>
      </c>
      <c r="I659" s="119"/>
      <c r="J659" s="119">
        <v>0</v>
      </c>
      <c r="K659" s="119">
        <f t="shared" si="31"/>
        <v>7.25</v>
      </c>
      <c r="L659" s="152">
        <f t="shared" si="32"/>
        <v>6.15</v>
      </c>
      <c r="M659" s="113"/>
    </row>
    <row r="660" spans="1:13" x14ac:dyDescent="0.2">
      <c r="A660" s="106" t="s">
        <v>5680</v>
      </c>
      <c r="B660" s="105" t="s">
        <v>2423</v>
      </c>
      <c r="C660" s="105" t="s">
        <v>5732</v>
      </c>
      <c r="D660" s="149" t="s">
        <v>2425</v>
      </c>
      <c r="E660" s="105">
        <v>1</v>
      </c>
      <c r="F660" s="133">
        <v>18.53</v>
      </c>
      <c r="G660" s="133">
        <v>21.5</v>
      </c>
      <c r="H660" s="109">
        <f t="shared" si="30"/>
        <v>21.5</v>
      </c>
      <c r="I660" s="119"/>
      <c r="J660" s="119">
        <v>0</v>
      </c>
      <c r="K660" s="119">
        <f t="shared" si="31"/>
        <v>21.5</v>
      </c>
      <c r="L660" s="152">
        <f t="shared" si="32"/>
        <v>18.53</v>
      </c>
      <c r="M660" s="113"/>
    </row>
    <row r="661" spans="1:13" x14ac:dyDescent="0.2">
      <c r="A661" s="106" t="s">
        <v>5680</v>
      </c>
      <c r="B661" s="105" t="s">
        <v>2380</v>
      </c>
      <c r="C661" s="105" t="s">
        <v>5732</v>
      </c>
      <c r="D661" s="149" t="s">
        <v>2381</v>
      </c>
      <c r="E661" s="105">
        <v>1</v>
      </c>
      <c r="F661" s="133">
        <v>22.73</v>
      </c>
      <c r="G661" s="133">
        <v>26.25</v>
      </c>
      <c r="H661" s="109">
        <f t="shared" si="30"/>
        <v>26.25</v>
      </c>
      <c r="I661" s="119"/>
      <c r="J661" s="119">
        <v>0</v>
      </c>
      <c r="K661" s="119">
        <f t="shared" si="31"/>
        <v>26.25</v>
      </c>
      <c r="L661" s="152">
        <f t="shared" si="32"/>
        <v>22.73</v>
      </c>
      <c r="M661" s="113"/>
    </row>
    <row r="662" spans="1:13" x14ac:dyDescent="0.2">
      <c r="A662" s="106" t="s">
        <v>5680</v>
      </c>
      <c r="B662" s="105" t="s">
        <v>4054</v>
      </c>
      <c r="C662" s="105" t="s">
        <v>5732</v>
      </c>
      <c r="D662" s="149" t="s">
        <v>4056</v>
      </c>
      <c r="E662" s="105">
        <v>1</v>
      </c>
      <c r="F662" s="133">
        <v>12.69</v>
      </c>
      <c r="G662" s="133">
        <v>14.75</v>
      </c>
      <c r="H662" s="109">
        <f t="shared" si="30"/>
        <v>14.75</v>
      </c>
      <c r="I662" s="119"/>
      <c r="J662" s="119">
        <v>0</v>
      </c>
      <c r="K662" s="119">
        <f t="shared" si="31"/>
        <v>14.75</v>
      </c>
      <c r="L662" s="152">
        <f t="shared" si="32"/>
        <v>12.69</v>
      </c>
      <c r="M662" s="113"/>
    </row>
    <row r="663" spans="1:13" x14ac:dyDescent="0.2">
      <c r="A663" s="106" t="s">
        <v>5680</v>
      </c>
      <c r="B663" s="105" t="s">
        <v>3352</v>
      </c>
      <c r="C663" s="105" t="s">
        <v>5733</v>
      </c>
      <c r="D663" s="149" t="s">
        <v>3353</v>
      </c>
      <c r="E663" s="105">
        <v>12</v>
      </c>
      <c r="F663" s="133">
        <v>6.12</v>
      </c>
      <c r="G663" s="133">
        <v>7.5</v>
      </c>
      <c r="H663" s="109">
        <f t="shared" si="30"/>
        <v>90</v>
      </c>
      <c r="I663" s="119"/>
      <c r="J663" s="119">
        <v>0</v>
      </c>
      <c r="K663" s="119">
        <f t="shared" si="31"/>
        <v>90</v>
      </c>
      <c r="L663" s="152">
        <f t="shared" si="32"/>
        <v>73.44</v>
      </c>
      <c r="M663" s="113"/>
    </row>
    <row r="664" spans="1:13" x14ac:dyDescent="0.2">
      <c r="A664" s="106" t="s">
        <v>5680</v>
      </c>
      <c r="B664" s="105" t="s">
        <v>5685</v>
      </c>
      <c r="C664" s="105" t="s">
        <v>5734</v>
      </c>
      <c r="D664" s="149" t="s">
        <v>5823</v>
      </c>
      <c r="E664" s="105">
        <v>1</v>
      </c>
      <c r="F664" s="133">
        <v>38.57</v>
      </c>
      <c r="G664" s="133">
        <v>44.5</v>
      </c>
      <c r="H664" s="109">
        <f t="shared" si="30"/>
        <v>44.5</v>
      </c>
      <c r="I664" s="119"/>
      <c r="J664" s="119">
        <v>0</v>
      </c>
      <c r="K664" s="119">
        <f t="shared" si="31"/>
        <v>44.5</v>
      </c>
      <c r="L664" s="152">
        <f t="shared" si="32"/>
        <v>38.57</v>
      </c>
      <c r="M664" s="113"/>
    </row>
    <row r="665" spans="1:13" x14ac:dyDescent="0.2">
      <c r="A665" s="106" t="s">
        <v>5680</v>
      </c>
      <c r="B665" s="105" t="s">
        <v>4054</v>
      </c>
      <c r="C665" s="105" t="s">
        <v>5735</v>
      </c>
      <c r="D665" s="149" t="s">
        <v>4056</v>
      </c>
      <c r="E665" s="105">
        <v>1</v>
      </c>
      <c r="F665" s="133">
        <v>12.69</v>
      </c>
      <c r="G665" s="133">
        <v>14.75</v>
      </c>
      <c r="H665" s="109">
        <f t="shared" si="30"/>
        <v>14.75</v>
      </c>
      <c r="I665" s="119"/>
      <c r="J665" s="119">
        <v>0</v>
      </c>
      <c r="K665" s="119">
        <f t="shared" si="31"/>
        <v>14.75</v>
      </c>
      <c r="L665" s="152">
        <f t="shared" si="32"/>
        <v>12.69</v>
      </c>
      <c r="M665" s="113"/>
    </row>
    <row r="666" spans="1:13" x14ac:dyDescent="0.2">
      <c r="A666" s="106" t="s">
        <v>5680</v>
      </c>
      <c r="B666" s="105" t="s">
        <v>1905</v>
      </c>
      <c r="C666" s="105" t="s">
        <v>5736</v>
      </c>
      <c r="D666" s="149" t="s">
        <v>1906</v>
      </c>
      <c r="E666" s="105">
        <v>1</v>
      </c>
      <c r="F666" s="133">
        <v>15.12</v>
      </c>
      <c r="G666" s="133">
        <v>17.5</v>
      </c>
      <c r="H666" s="109">
        <f t="shared" si="30"/>
        <v>17.5</v>
      </c>
      <c r="I666" s="119"/>
      <c r="J666" s="119">
        <v>0</v>
      </c>
      <c r="K666" s="119">
        <f t="shared" si="31"/>
        <v>17.5</v>
      </c>
      <c r="L666" s="152">
        <f t="shared" si="32"/>
        <v>15.12</v>
      </c>
      <c r="M666" s="113"/>
    </row>
    <row r="667" spans="1:13" x14ac:dyDescent="0.2">
      <c r="A667" s="106" t="s">
        <v>5681</v>
      </c>
      <c r="B667" s="105" t="s">
        <v>4146</v>
      </c>
      <c r="C667" s="105" t="s">
        <v>5737</v>
      </c>
      <c r="D667" s="149" t="s">
        <v>4147</v>
      </c>
      <c r="E667" s="105">
        <v>1</v>
      </c>
      <c r="F667" s="133">
        <v>28.5</v>
      </c>
      <c r="G667" s="133">
        <v>33.75</v>
      </c>
      <c r="H667" s="109">
        <f t="shared" si="30"/>
        <v>33.75</v>
      </c>
      <c r="I667" s="119"/>
      <c r="J667" s="119">
        <v>0</v>
      </c>
      <c r="K667" s="119">
        <f t="shared" si="31"/>
        <v>33.75</v>
      </c>
      <c r="L667" s="152">
        <f t="shared" si="32"/>
        <v>28.5</v>
      </c>
      <c r="M667" s="113"/>
    </row>
    <row r="668" spans="1:13" x14ac:dyDescent="0.2">
      <c r="A668" s="106" t="s">
        <v>5681</v>
      </c>
      <c r="B668" s="105" t="s">
        <v>3836</v>
      </c>
      <c r="C668" s="105" t="s">
        <v>5737</v>
      </c>
      <c r="D668" s="149" t="s">
        <v>3838</v>
      </c>
      <c r="E668" s="105">
        <v>1</v>
      </c>
      <c r="F668" s="133">
        <v>23</v>
      </c>
      <c r="G668" s="133">
        <v>26.5</v>
      </c>
      <c r="H668" s="109">
        <f t="shared" si="30"/>
        <v>26.5</v>
      </c>
      <c r="I668" s="119"/>
      <c r="J668" s="119">
        <v>0</v>
      </c>
      <c r="K668" s="119">
        <f t="shared" si="31"/>
        <v>26.5</v>
      </c>
      <c r="L668" s="152">
        <f t="shared" si="32"/>
        <v>23</v>
      </c>
      <c r="M668" s="113"/>
    </row>
    <row r="669" spans="1:13" x14ac:dyDescent="0.2">
      <c r="A669" s="106" t="s">
        <v>5681</v>
      </c>
      <c r="B669" s="105" t="s">
        <v>4195</v>
      </c>
      <c r="C669" s="105" t="s">
        <v>5738</v>
      </c>
      <c r="D669" s="149" t="s">
        <v>4196</v>
      </c>
      <c r="E669" s="105">
        <v>1</v>
      </c>
      <c r="F669" s="133">
        <v>13.1</v>
      </c>
      <c r="G669" s="133">
        <v>15</v>
      </c>
      <c r="H669" s="109">
        <f t="shared" si="30"/>
        <v>15</v>
      </c>
      <c r="I669" s="119"/>
      <c r="J669" s="119">
        <v>0</v>
      </c>
      <c r="K669" s="119">
        <f t="shared" si="31"/>
        <v>15</v>
      </c>
      <c r="L669" s="152">
        <f t="shared" si="32"/>
        <v>13.1</v>
      </c>
      <c r="M669" s="113"/>
    </row>
    <row r="670" spans="1:13" x14ac:dyDescent="0.2">
      <c r="A670" s="106" t="s">
        <v>5681</v>
      </c>
      <c r="B670" s="105" t="s">
        <v>3314</v>
      </c>
      <c r="C670" s="105" t="s">
        <v>5739</v>
      </c>
      <c r="D670" s="149" t="s">
        <v>3316</v>
      </c>
      <c r="E670" s="105">
        <v>1</v>
      </c>
      <c r="F670" s="133">
        <v>16.579999999999998</v>
      </c>
      <c r="G670" s="133">
        <v>19</v>
      </c>
      <c r="H670" s="109">
        <f t="shared" si="30"/>
        <v>19</v>
      </c>
      <c r="I670" s="119"/>
      <c r="J670" s="119">
        <v>0</v>
      </c>
      <c r="K670" s="119">
        <f t="shared" si="31"/>
        <v>19</v>
      </c>
      <c r="L670" s="152">
        <f t="shared" si="32"/>
        <v>16.579999999999998</v>
      </c>
      <c r="M670" s="113"/>
    </row>
    <row r="671" spans="1:13" x14ac:dyDescent="0.2">
      <c r="A671" s="106" t="s">
        <v>5681</v>
      </c>
      <c r="B671" s="105" t="s">
        <v>2313</v>
      </c>
      <c r="C671" s="105" t="s">
        <v>5740</v>
      </c>
      <c r="D671" s="149" t="s">
        <v>2314</v>
      </c>
      <c r="E671" s="105">
        <v>1</v>
      </c>
      <c r="F671" s="133">
        <v>34.380000000000003</v>
      </c>
      <c r="G671" s="133">
        <v>39.75</v>
      </c>
      <c r="H671" s="109">
        <f t="shared" si="30"/>
        <v>39.75</v>
      </c>
      <c r="I671" s="119"/>
      <c r="J671" s="119">
        <v>0</v>
      </c>
      <c r="K671" s="119">
        <f t="shared" si="31"/>
        <v>39.75</v>
      </c>
      <c r="L671" s="152">
        <f t="shared" si="32"/>
        <v>34.380000000000003</v>
      </c>
      <c r="M671" s="113"/>
    </row>
    <row r="672" spans="1:13" x14ac:dyDescent="0.2">
      <c r="A672" s="106" t="s">
        <v>5681</v>
      </c>
      <c r="B672" s="105" t="s">
        <v>5592</v>
      </c>
      <c r="C672" s="105" t="s">
        <v>5741</v>
      </c>
      <c r="D672" s="149" t="s">
        <v>5637</v>
      </c>
      <c r="E672" s="105">
        <v>1</v>
      </c>
      <c r="F672" s="133">
        <v>6.18</v>
      </c>
      <c r="G672" s="133">
        <v>7.25</v>
      </c>
      <c r="H672" s="109">
        <f t="shared" si="30"/>
        <v>7.25</v>
      </c>
      <c r="I672" s="119"/>
      <c r="J672" s="119">
        <v>0</v>
      </c>
      <c r="K672" s="119">
        <f t="shared" si="31"/>
        <v>7.25</v>
      </c>
      <c r="L672" s="152">
        <f t="shared" si="32"/>
        <v>6.18</v>
      </c>
      <c r="M672" s="113"/>
    </row>
    <row r="673" spans="1:13" x14ac:dyDescent="0.2">
      <c r="A673" s="106" t="s">
        <v>5681</v>
      </c>
      <c r="B673" s="105" t="s">
        <v>3753</v>
      </c>
      <c r="C673" s="105" t="s">
        <v>5742</v>
      </c>
      <c r="D673" s="149" t="s">
        <v>3755</v>
      </c>
      <c r="E673" s="105">
        <v>1</v>
      </c>
      <c r="F673" s="133">
        <v>18.98</v>
      </c>
      <c r="G673" s="133">
        <v>22</v>
      </c>
      <c r="H673" s="109">
        <f t="shared" si="30"/>
        <v>22</v>
      </c>
      <c r="I673" s="119"/>
      <c r="J673" s="119">
        <v>0</v>
      </c>
      <c r="K673" s="119">
        <f t="shared" si="31"/>
        <v>22</v>
      </c>
      <c r="L673" s="152">
        <f t="shared" si="32"/>
        <v>18.98</v>
      </c>
      <c r="M673" s="113"/>
    </row>
    <row r="674" spans="1:13" x14ac:dyDescent="0.2">
      <c r="A674" s="106" t="s">
        <v>5681</v>
      </c>
      <c r="B674" s="105" t="s">
        <v>2363</v>
      </c>
      <c r="C674" s="105" t="s">
        <v>5743</v>
      </c>
      <c r="D674" s="149" t="s">
        <v>2365</v>
      </c>
      <c r="E674" s="105">
        <v>1</v>
      </c>
      <c r="F674" s="133">
        <v>12.66</v>
      </c>
      <c r="G674" s="133">
        <v>14.25</v>
      </c>
      <c r="H674" s="109">
        <f t="shared" si="30"/>
        <v>14.25</v>
      </c>
      <c r="I674" s="119"/>
      <c r="J674" s="119">
        <v>0</v>
      </c>
      <c r="K674" s="119">
        <f t="shared" si="31"/>
        <v>14.25</v>
      </c>
      <c r="L674" s="152">
        <f t="shared" si="32"/>
        <v>12.66</v>
      </c>
      <c r="M674" s="113"/>
    </row>
    <row r="675" spans="1:13" x14ac:dyDescent="0.2">
      <c r="A675" s="106" t="s">
        <v>5681</v>
      </c>
      <c r="B675" s="105" t="s">
        <v>5248</v>
      </c>
      <c r="C675" s="105" t="s">
        <v>5743</v>
      </c>
      <c r="D675" s="149" t="s">
        <v>5408</v>
      </c>
      <c r="E675" s="105">
        <v>1</v>
      </c>
      <c r="F675" s="133">
        <v>5.8</v>
      </c>
      <c r="G675" s="133">
        <v>7</v>
      </c>
      <c r="H675" s="109">
        <f t="shared" si="30"/>
        <v>7</v>
      </c>
      <c r="I675" s="119"/>
      <c r="J675" s="119">
        <v>0</v>
      </c>
      <c r="K675" s="119">
        <f t="shared" si="31"/>
        <v>7</v>
      </c>
      <c r="L675" s="152">
        <f t="shared" si="32"/>
        <v>5.8</v>
      </c>
      <c r="M675" s="113"/>
    </row>
    <row r="676" spans="1:13" x14ac:dyDescent="0.2">
      <c r="A676" s="106" t="s">
        <v>5681</v>
      </c>
      <c r="B676" s="105" t="s">
        <v>4715</v>
      </c>
      <c r="C676" s="105" t="s">
        <v>5743</v>
      </c>
      <c r="D676" s="149" t="s">
        <v>4750</v>
      </c>
      <c r="E676" s="105">
        <v>1</v>
      </c>
      <c r="F676" s="133">
        <v>6.15</v>
      </c>
      <c r="G676" s="133">
        <v>7.25</v>
      </c>
      <c r="H676" s="109">
        <f t="shared" si="30"/>
        <v>7.25</v>
      </c>
      <c r="I676" s="119"/>
      <c r="J676" s="119">
        <v>0</v>
      </c>
      <c r="K676" s="119">
        <f t="shared" si="31"/>
        <v>7.25</v>
      </c>
      <c r="L676" s="152">
        <f t="shared" si="32"/>
        <v>6.15</v>
      </c>
      <c r="M676" s="113"/>
    </row>
    <row r="677" spans="1:13" x14ac:dyDescent="0.2">
      <c r="A677" s="106" t="s">
        <v>5681</v>
      </c>
      <c r="B677" s="105" t="s">
        <v>4715</v>
      </c>
      <c r="C677" s="105" t="s">
        <v>5744</v>
      </c>
      <c r="D677" s="149" t="s">
        <v>4750</v>
      </c>
      <c r="E677" s="105">
        <v>2</v>
      </c>
      <c r="F677" s="133">
        <v>6.15</v>
      </c>
      <c r="G677" s="133">
        <v>7.25</v>
      </c>
      <c r="H677" s="109">
        <f t="shared" si="30"/>
        <v>14.5</v>
      </c>
      <c r="I677" s="119"/>
      <c r="J677" s="119">
        <v>0</v>
      </c>
      <c r="K677" s="119">
        <f t="shared" si="31"/>
        <v>14.5</v>
      </c>
      <c r="L677" s="152">
        <f t="shared" si="32"/>
        <v>12.3</v>
      </c>
      <c r="M677" s="113"/>
    </row>
    <row r="678" spans="1:13" x14ac:dyDescent="0.2">
      <c r="A678" s="106" t="s">
        <v>5681</v>
      </c>
      <c r="B678" s="105" t="s">
        <v>5592</v>
      </c>
      <c r="C678" s="105" t="s">
        <v>5745</v>
      </c>
      <c r="D678" s="149" t="s">
        <v>5637</v>
      </c>
      <c r="E678" s="105">
        <v>1</v>
      </c>
      <c r="F678" s="133">
        <v>6.18</v>
      </c>
      <c r="G678" s="133">
        <v>7.25</v>
      </c>
      <c r="H678" s="109">
        <f t="shared" si="30"/>
        <v>7.25</v>
      </c>
      <c r="I678" s="119"/>
      <c r="J678" s="119">
        <v>0</v>
      </c>
      <c r="K678" s="119">
        <f t="shared" si="31"/>
        <v>7.25</v>
      </c>
      <c r="L678" s="152">
        <f t="shared" si="32"/>
        <v>6.18</v>
      </c>
      <c r="M678" s="113"/>
    </row>
    <row r="679" spans="1:13" x14ac:dyDescent="0.2">
      <c r="A679" s="106" t="s">
        <v>5681</v>
      </c>
      <c r="B679" s="105" t="s">
        <v>2338</v>
      </c>
      <c r="C679" s="105" t="s">
        <v>5746</v>
      </c>
      <c r="D679" s="149" t="s">
        <v>2339</v>
      </c>
      <c r="E679" s="105">
        <v>2</v>
      </c>
      <c r="F679" s="133">
        <v>31.6</v>
      </c>
      <c r="G679" s="133">
        <v>36.33</v>
      </c>
      <c r="H679" s="109">
        <f t="shared" si="30"/>
        <v>72.66</v>
      </c>
      <c r="I679" s="119"/>
      <c r="J679" s="119">
        <v>0</v>
      </c>
      <c r="K679" s="119">
        <f t="shared" si="31"/>
        <v>72.66</v>
      </c>
      <c r="L679" s="152">
        <f t="shared" si="32"/>
        <v>63.2</v>
      </c>
      <c r="M679" s="113"/>
    </row>
    <row r="680" spans="1:13" x14ac:dyDescent="0.2">
      <c r="A680" s="106" t="s">
        <v>5681</v>
      </c>
      <c r="B680" s="105" t="s">
        <v>5232</v>
      </c>
      <c r="C680" s="105" t="s">
        <v>5747</v>
      </c>
      <c r="D680" s="149" t="s">
        <v>5392</v>
      </c>
      <c r="E680" s="105">
        <v>1</v>
      </c>
      <c r="F680" s="133">
        <v>22.59</v>
      </c>
      <c r="G680" s="133">
        <v>26</v>
      </c>
      <c r="H680" s="109">
        <f t="shared" si="30"/>
        <v>26</v>
      </c>
      <c r="I680" s="119"/>
      <c r="J680" s="119">
        <v>0</v>
      </c>
      <c r="K680" s="119">
        <f t="shared" si="31"/>
        <v>26</v>
      </c>
      <c r="L680" s="152">
        <f t="shared" si="32"/>
        <v>22.59</v>
      </c>
      <c r="M680" s="113"/>
    </row>
    <row r="681" spans="1:13" x14ac:dyDescent="0.2">
      <c r="A681" s="106" t="s">
        <v>5681</v>
      </c>
      <c r="B681" s="105" t="s">
        <v>1977</v>
      </c>
      <c r="C681" s="105" t="s">
        <v>5748</v>
      </c>
      <c r="D681" s="149" t="s">
        <v>1979</v>
      </c>
      <c r="E681" s="105">
        <v>1</v>
      </c>
      <c r="F681" s="133">
        <v>0.76</v>
      </c>
      <c r="G681" s="133">
        <v>1</v>
      </c>
      <c r="H681" s="109">
        <f t="shared" si="30"/>
        <v>1</v>
      </c>
      <c r="I681" s="119"/>
      <c r="J681" s="119">
        <v>0</v>
      </c>
      <c r="K681" s="119">
        <f t="shared" si="31"/>
        <v>1</v>
      </c>
      <c r="L681" s="152">
        <f t="shared" si="32"/>
        <v>0.76</v>
      </c>
      <c r="M681" s="113"/>
    </row>
    <row r="682" spans="1:13" x14ac:dyDescent="0.2">
      <c r="A682" s="106" t="s">
        <v>5681</v>
      </c>
      <c r="B682" s="105" t="s">
        <v>3690</v>
      </c>
      <c r="C682" s="105" t="s">
        <v>5749</v>
      </c>
      <c r="D682" s="149" t="s">
        <v>3691</v>
      </c>
      <c r="E682" s="105">
        <v>2</v>
      </c>
      <c r="F682" s="133">
        <v>53.64</v>
      </c>
      <c r="G682" s="133">
        <v>61.75</v>
      </c>
      <c r="H682" s="109">
        <f t="shared" si="30"/>
        <v>123.5</v>
      </c>
      <c r="I682" s="119"/>
      <c r="J682" s="119">
        <v>0</v>
      </c>
      <c r="K682" s="119">
        <f t="shared" si="31"/>
        <v>123.5</v>
      </c>
      <c r="L682" s="152">
        <f t="shared" si="32"/>
        <v>107.28</v>
      </c>
      <c r="M682" s="113"/>
    </row>
    <row r="683" spans="1:13" x14ac:dyDescent="0.2">
      <c r="A683" s="106" t="s">
        <v>5681</v>
      </c>
      <c r="B683" s="105" t="s">
        <v>1834</v>
      </c>
      <c r="C683" s="105" t="s">
        <v>5750</v>
      </c>
      <c r="D683" s="149" t="s">
        <v>1836</v>
      </c>
      <c r="E683" s="105">
        <v>2</v>
      </c>
      <c r="F683" s="133">
        <v>14.43</v>
      </c>
      <c r="G683" s="133">
        <v>17</v>
      </c>
      <c r="H683" s="109">
        <f t="shared" si="30"/>
        <v>34</v>
      </c>
      <c r="I683" s="119"/>
      <c r="J683" s="119">
        <v>0</v>
      </c>
      <c r="K683" s="119">
        <f t="shared" si="31"/>
        <v>34</v>
      </c>
      <c r="L683" s="152">
        <f t="shared" si="32"/>
        <v>28.86</v>
      </c>
      <c r="M683" s="113"/>
    </row>
    <row r="684" spans="1:13" x14ac:dyDescent="0.2">
      <c r="A684" s="106" t="s">
        <v>5681</v>
      </c>
      <c r="B684" s="105" t="s">
        <v>4368</v>
      </c>
      <c r="C684" s="105" t="s">
        <v>5751</v>
      </c>
      <c r="D684" s="149" t="s">
        <v>4432</v>
      </c>
      <c r="E684" s="105">
        <v>1</v>
      </c>
      <c r="F684" s="133">
        <v>9.27</v>
      </c>
      <c r="G684" s="133">
        <v>10.75</v>
      </c>
      <c r="H684" s="109">
        <f t="shared" si="30"/>
        <v>10.75</v>
      </c>
      <c r="I684" s="119"/>
      <c r="J684" s="119">
        <v>0</v>
      </c>
      <c r="K684" s="119">
        <f t="shared" si="31"/>
        <v>10.75</v>
      </c>
      <c r="L684" s="152">
        <f t="shared" si="32"/>
        <v>9.27</v>
      </c>
      <c r="M684" s="113"/>
    </row>
    <row r="685" spans="1:13" x14ac:dyDescent="0.2">
      <c r="A685" s="106" t="s">
        <v>5681</v>
      </c>
      <c r="B685" s="105" t="s">
        <v>4797</v>
      </c>
      <c r="C685" s="105" t="s">
        <v>5752</v>
      </c>
      <c r="D685" s="149" t="s">
        <v>4866</v>
      </c>
      <c r="E685" s="105">
        <v>1</v>
      </c>
      <c r="F685" s="133">
        <v>50.88</v>
      </c>
      <c r="G685" s="133">
        <v>58.75</v>
      </c>
      <c r="H685" s="109">
        <f t="shared" si="30"/>
        <v>58.75</v>
      </c>
      <c r="I685" s="119"/>
      <c r="J685" s="119">
        <v>0</v>
      </c>
      <c r="K685" s="119">
        <f t="shared" si="31"/>
        <v>58.75</v>
      </c>
      <c r="L685" s="152">
        <f t="shared" si="32"/>
        <v>50.88</v>
      </c>
      <c r="M685" s="113"/>
    </row>
    <row r="686" spans="1:13" x14ac:dyDescent="0.2">
      <c r="A686" s="106" t="s">
        <v>5681</v>
      </c>
      <c r="B686" s="105" t="s">
        <v>4800</v>
      </c>
      <c r="C686" s="105" t="s">
        <v>5752</v>
      </c>
      <c r="D686" s="149" t="s">
        <v>4868</v>
      </c>
      <c r="E686" s="105">
        <v>1</v>
      </c>
      <c r="F686" s="133">
        <v>50.88</v>
      </c>
      <c r="G686" s="133">
        <v>58.75</v>
      </c>
      <c r="H686" s="109">
        <f t="shared" si="30"/>
        <v>58.75</v>
      </c>
      <c r="I686" s="119"/>
      <c r="J686" s="119">
        <v>0</v>
      </c>
      <c r="K686" s="119">
        <f t="shared" si="31"/>
        <v>58.75</v>
      </c>
      <c r="L686" s="152">
        <f t="shared" si="32"/>
        <v>50.88</v>
      </c>
      <c r="M686" s="113"/>
    </row>
    <row r="687" spans="1:13" x14ac:dyDescent="0.2">
      <c r="A687" s="106" t="s">
        <v>5681</v>
      </c>
      <c r="B687" s="105" t="s">
        <v>2419</v>
      </c>
      <c r="C687" s="105" t="s">
        <v>5753</v>
      </c>
      <c r="D687" s="149" t="s">
        <v>2420</v>
      </c>
      <c r="E687" s="105">
        <v>1</v>
      </c>
      <c r="F687" s="133">
        <v>45.88</v>
      </c>
      <c r="G687" s="133">
        <v>52.75</v>
      </c>
      <c r="H687" s="109">
        <f t="shared" si="30"/>
        <v>52.75</v>
      </c>
      <c r="I687" s="119"/>
      <c r="J687" s="119">
        <v>0</v>
      </c>
      <c r="K687" s="119">
        <f t="shared" si="31"/>
        <v>52.75</v>
      </c>
      <c r="L687" s="152">
        <f t="shared" si="32"/>
        <v>45.88</v>
      </c>
      <c r="M687" s="113"/>
    </row>
    <row r="688" spans="1:13" x14ac:dyDescent="0.2">
      <c r="A688" s="106" t="s">
        <v>5681</v>
      </c>
      <c r="B688" s="105" t="s">
        <v>4365</v>
      </c>
      <c r="C688" s="105" t="s">
        <v>5754</v>
      </c>
      <c r="D688" s="149" t="s">
        <v>4429</v>
      </c>
      <c r="E688" s="105">
        <v>1</v>
      </c>
      <c r="F688" s="133">
        <v>15.5</v>
      </c>
      <c r="G688" s="133">
        <v>18</v>
      </c>
      <c r="H688" s="109">
        <f t="shared" si="30"/>
        <v>18</v>
      </c>
      <c r="I688" s="119"/>
      <c r="J688" s="119">
        <v>0</v>
      </c>
      <c r="K688" s="119">
        <f t="shared" si="31"/>
        <v>18</v>
      </c>
      <c r="L688" s="152">
        <f t="shared" si="32"/>
        <v>15.5</v>
      </c>
      <c r="M688" s="113"/>
    </row>
    <row r="689" spans="1:13" x14ac:dyDescent="0.2">
      <c r="A689" s="106" t="s">
        <v>5681</v>
      </c>
      <c r="B689" s="105" t="s">
        <v>2848</v>
      </c>
      <c r="C689" s="105" t="s">
        <v>5754</v>
      </c>
      <c r="D689" s="149" t="s">
        <v>2850</v>
      </c>
      <c r="E689" s="105">
        <v>1</v>
      </c>
      <c r="F689" s="133">
        <v>16.55</v>
      </c>
      <c r="G689" s="133">
        <v>19.25</v>
      </c>
      <c r="H689" s="109">
        <f t="shared" si="30"/>
        <v>19.25</v>
      </c>
      <c r="I689" s="119"/>
      <c r="J689" s="119">
        <v>0</v>
      </c>
      <c r="K689" s="119">
        <f t="shared" si="31"/>
        <v>19.25</v>
      </c>
      <c r="L689" s="152">
        <f t="shared" si="32"/>
        <v>16.55</v>
      </c>
      <c r="M689" s="113"/>
    </row>
    <row r="690" spans="1:13" x14ac:dyDescent="0.2">
      <c r="A690" s="106" t="s">
        <v>5681</v>
      </c>
      <c r="B690" s="105" t="s">
        <v>2895</v>
      </c>
      <c r="C690" s="105" t="s">
        <v>5754</v>
      </c>
      <c r="D690" s="149" t="s">
        <v>2897</v>
      </c>
      <c r="E690" s="105">
        <v>1</v>
      </c>
      <c r="F690" s="133">
        <v>9.17</v>
      </c>
      <c r="G690" s="133">
        <v>10.75</v>
      </c>
      <c r="H690" s="109">
        <f t="shared" si="30"/>
        <v>10.75</v>
      </c>
      <c r="I690" s="119"/>
      <c r="J690" s="119">
        <v>0</v>
      </c>
      <c r="K690" s="119">
        <f t="shared" si="31"/>
        <v>10.75</v>
      </c>
      <c r="L690" s="152">
        <f t="shared" si="32"/>
        <v>9.17</v>
      </c>
      <c r="M690" s="113"/>
    </row>
    <row r="691" spans="1:13" x14ac:dyDescent="0.2">
      <c r="A691" s="106" t="s">
        <v>5681</v>
      </c>
      <c r="B691" s="105" t="s">
        <v>5592</v>
      </c>
      <c r="C691" s="105" t="s">
        <v>5755</v>
      </c>
      <c r="D691" s="149" t="s">
        <v>5637</v>
      </c>
      <c r="E691" s="105">
        <v>1</v>
      </c>
      <c r="F691" s="133">
        <v>6.18</v>
      </c>
      <c r="G691" s="133">
        <v>7.25</v>
      </c>
      <c r="H691" s="109">
        <f t="shared" si="30"/>
        <v>7.25</v>
      </c>
      <c r="I691" s="119"/>
      <c r="J691" s="119">
        <v>0</v>
      </c>
      <c r="K691" s="119">
        <f t="shared" si="31"/>
        <v>7.25</v>
      </c>
      <c r="L691" s="152">
        <f t="shared" si="32"/>
        <v>6.18</v>
      </c>
      <c r="M691" s="113"/>
    </row>
    <row r="692" spans="1:13" x14ac:dyDescent="0.2">
      <c r="A692" s="106" t="s">
        <v>5681</v>
      </c>
      <c r="B692" s="105" t="s">
        <v>4806</v>
      </c>
      <c r="C692" s="105" t="s">
        <v>5756</v>
      </c>
      <c r="D692" s="149" t="s">
        <v>4874</v>
      </c>
      <c r="E692" s="105">
        <v>12</v>
      </c>
      <c r="F692" s="133">
        <v>8.58</v>
      </c>
      <c r="G692" s="133">
        <v>10</v>
      </c>
      <c r="H692" s="109">
        <f t="shared" si="30"/>
        <v>120</v>
      </c>
      <c r="I692" s="119"/>
      <c r="J692" s="119">
        <v>0</v>
      </c>
      <c r="K692" s="119">
        <f t="shared" si="31"/>
        <v>120</v>
      </c>
      <c r="L692" s="152">
        <f t="shared" si="32"/>
        <v>102.96000000000001</v>
      </c>
      <c r="M692" s="113"/>
    </row>
    <row r="693" spans="1:13" x14ac:dyDescent="0.2">
      <c r="A693" s="106" t="s">
        <v>5681</v>
      </c>
      <c r="B693" s="105" t="s">
        <v>3909</v>
      </c>
      <c r="C693" s="105" t="s">
        <v>5757</v>
      </c>
      <c r="D693" s="149" t="s">
        <v>3911</v>
      </c>
      <c r="E693" s="105">
        <v>1</v>
      </c>
      <c r="F693" s="133">
        <v>7.06</v>
      </c>
      <c r="G693" s="133">
        <v>8.25</v>
      </c>
      <c r="H693" s="109">
        <f t="shared" si="30"/>
        <v>8.25</v>
      </c>
      <c r="I693" s="119"/>
      <c r="J693" s="119">
        <v>0</v>
      </c>
      <c r="K693" s="119">
        <f t="shared" si="31"/>
        <v>8.25</v>
      </c>
      <c r="L693" s="152">
        <f t="shared" si="32"/>
        <v>7.06</v>
      </c>
      <c r="M693" s="113"/>
    </row>
    <row r="694" spans="1:13" x14ac:dyDescent="0.2">
      <c r="A694" s="106" t="s">
        <v>5681</v>
      </c>
      <c r="B694" s="105" t="s">
        <v>2189</v>
      </c>
      <c r="C694" s="105" t="s">
        <v>5758</v>
      </c>
      <c r="D694" s="149" t="s">
        <v>2190</v>
      </c>
      <c r="E694" s="105">
        <v>1</v>
      </c>
      <c r="F694" s="133">
        <v>65</v>
      </c>
      <c r="G694" s="133">
        <v>71.5</v>
      </c>
      <c r="H694" s="109">
        <f t="shared" si="30"/>
        <v>71.5</v>
      </c>
      <c r="I694" s="119"/>
      <c r="J694" s="119">
        <v>0</v>
      </c>
      <c r="K694" s="119">
        <f t="shared" si="31"/>
        <v>71.5</v>
      </c>
      <c r="L694" s="152">
        <f t="shared" si="32"/>
        <v>65</v>
      </c>
      <c r="M694" s="113"/>
    </row>
    <row r="695" spans="1:13" x14ac:dyDescent="0.2">
      <c r="A695" s="106" t="s">
        <v>5682</v>
      </c>
      <c r="B695" s="105" t="s">
        <v>5248</v>
      </c>
      <c r="C695" s="105" t="s">
        <v>5759</v>
      </c>
      <c r="D695" s="149" t="s">
        <v>5408</v>
      </c>
      <c r="E695" s="105">
        <v>1</v>
      </c>
      <c r="F695" s="133">
        <v>5.8</v>
      </c>
      <c r="G695" s="133">
        <v>7</v>
      </c>
      <c r="H695" s="109">
        <f t="shared" si="30"/>
        <v>7</v>
      </c>
      <c r="I695" s="119"/>
      <c r="J695" s="119">
        <v>0</v>
      </c>
      <c r="K695" s="119">
        <f t="shared" si="31"/>
        <v>7</v>
      </c>
      <c r="L695" s="152">
        <f t="shared" si="32"/>
        <v>5.8</v>
      </c>
      <c r="M695" s="113"/>
    </row>
    <row r="696" spans="1:13" x14ac:dyDescent="0.2">
      <c r="A696" s="106" t="s">
        <v>5682</v>
      </c>
      <c r="B696" s="105" t="s">
        <v>5248</v>
      </c>
      <c r="C696" s="105" t="s">
        <v>5760</v>
      </c>
      <c r="D696" s="149" t="s">
        <v>5408</v>
      </c>
      <c r="E696" s="105">
        <v>1</v>
      </c>
      <c r="F696" s="133">
        <v>5.8</v>
      </c>
      <c r="G696" s="133">
        <v>7</v>
      </c>
      <c r="H696" s="109">
        <f t="shared" si="30"/>
        <v>7</v>
      </c>
      <c r="I696" s="119"/>
      <c r="J696" s="119">
        <v>0</v>
      </c>
      <c r="K696" s="119">
        <f t="shared" si="31"/>
        <v>7</v>
      </c>
      <c r="L696" s="152">
        <f t="shared" si="32"/>
        <v>5.8</v>
      </c>
      <c r="M696" s="113"/>
    </row>
    <row r="697" spans="1:13" x14ac:dyDescent="0.2">
      <c r="A697" s="106" t="s">
        <v>5682</v>
      </c>
      <c r="B697" s="105" t="s">
        <v>1924</v>
      </c>
      <c r="C697" s="105" t="s">
        <v>5761</v>
      </c>
      <c r="D697" s="149" t="s">
        <v>1926</v>
      </c>
      <c r="E697" s="105">
        <v>1</v>
      </c>
      <c r="F697" s="133">
        <v>10.64</v>
      </c>
      <c r="G697" s="133">
        <v>12.25</v>
      </c>
      <c r="H697" s="109">
        <f t="shared" si="30"/>
        <v>12.25</v>
      </c>
      <c r="I697" s="119"/>
      <c r="J697" s="119">
        <v>0</v>
      </c>
      <c r="K697" s="119">
        <f t="shared" si="31"/>
        <v>12.25</v>
      </c>
      <c r="L697" s="152">
        <f t="shared" si="32"/>
        <v>10.64</v>
      </c>
      <c r="M697" s="113"/>
    </row>
    <row r="698" spans="1:13" x14ac:dyDescent="0.2">
      <c r="A698" s="106" t="s">
        <v>5682</v>
      </c>
      <c r="B698" s="105" t="s">
        <v>2307</v>
      </c>
      <c r="C698" s="105" t="s">
        <v>5762</v>
      </c>
      <c r="D698" s="149" t="s">
        <v>2309</v>
      </c>
      <c r="E698" s="105">
        <v>1</v>
      </c>
      <c r="F698" s="133">
        <v>31.6</v>
      </c>
      <c r="G698" s="133">
        <v>36.5</v>
      </c>
      <c r="H698" s="109">
        <f t="shared" si="30"/>
        <v>36.5</v>
      </c>
      <c r="I698" s="119"/>
      <c r="J698" s="119">
        <v>0</v>
      </c>
      <c r="K698" s="119">
        <f t="shared" si="31"/>
        <v>36.5</v>
      </c>
      <c r="L698" s="152">
        <f t="shared" si="32"/>
        <v>31.6</v>
      </c>
      <c r="M698" s="113"/>
    </row>
    <row r="699" spans="1:13" x14ac:dyDescent="0.2">
      <c r="A699" s="106" t="s">
        <v>5682</v>
      </c>
      <c r="B699" s="105" t="s">
        <v>1958</v>
      </c>
      <c r="C699" s="105" t="s">
        <v>5763</v>
      </c>
      <c r="D699" s="149" t="s">
        <v>1960</v>
      </c>
      <c r="E699" s="105">
        <v>1</v>
      </c>
      <c r="F699" s="133">
        <v>20.399999999999999</v>
      </c>
      <c r="G699" s="133">
        <v>23.5</v>
      </c>
      <c r="H699" s="109">
        <f t="shared" si="30"/>
        <v>23.5</v>
      </c>
      <c r="I699" s="119"/>
      <c r="J699" s="119">
        <v>0</v>
      </c>
      <c r="K699" s="119">
        <f t="shared" si="31"/>
        <v>23.5</v>
      </c>
      <c r="L699" s="152">
        <f t="shared" si="32"/>
        <v>20.399999999999999</v>
      </c>
      <c r="M699" s="113"/>
    </row>
    <row r="700" spans="1:13" x14ac:dyDescent="0.2">
      <c r="A700" s="106" t="s">
        <v>5682</v>
      </c>
      <c r="B700" s="105" t="s">
        <v>2367</v>
      </c>
      <c r="C700" s="105" t="s">
        <v>5764</v>
      </c>
      <c r="D700" s="149" t="s">
        <v>2369</v>
      </c>
      <c r="E700" s="105">
        <v>6</v>
      </c>
      <c r="F700" s="133">
        <v>6.38</v>
      </c>
      <c r="G700" s="133">
        <v>7.5</v>
      </c>
      <c r="H700" s="109">
        <f t="shared" si="30"/>
        <v>45</v>
      </c>
      <c r="I700" s="119"/>
      <c r="J700" s="119">
        <v>0</v>
      </c>
      <c r="K700" s="119">
        <f t="shared" si="31"/>
        <v>45</v>
      </c>
      <c r="L700" s="152">
        <f t="shared" si="32"/>
        <v>38.28</v>
      </c>
      <c r="M700" s="113"/>
    </row>
    <row r="701" spans="1:13" x14ac:dyDescent="0.2">
      <c r="A701" s="106" t="s">
        <v>5682</v>
      </c>
      <c r="B701" s="105" t="s">
        <v>4068</v>
      </c>
      <c r="C701" s="105" t="s">
        <v>5764</v>
      </c>
      <c r="D701" s="149" t="s">
        <v>4070</v>
      </c>
      <c r="E701" s="105">
        <v>2</v>
      </c>
      <c r="F701" s="133">
        <v>20.57</v>
      </c>
      <c r="G701" s="133">
        <v>23.75</v>
      </c>
      <c r="H701" s="109">
        <f t="shared" si="30"/>
        <v>47.5</v>
      </c>
      <c r="I701" s="119"/>
      <c r="J701" s="119">
        <v>0</v>
      </c>
      <c r="K701" s="119">
        <f t="shared" si="31"/>
        <v>47.5</v>
      </c>
      <c r="L701" s="152">
        <f t="shared" si="32"/>
        <v>41.14</v>
      </c>
      <c r="M701" s="113"/>
    </row>
    <row r="702" spans="1:13" x14ac:dyDescent="0.2">
      <c r="A702" s="106" t="s">
        <v>5682</v>
      </c>
      <c r="B702" s="105" t="s">
        <v>4567</v>
      </c>
      <c r="C702" s="105" t="s">
        <v>5765</v>
      </c>
      <c r="D702" s="149" t="s">
        <v>4672</v>
      </c>
      <c r="E702" s="105">
        <v>1</v>
      </c>
      <c r="F702" s="133">
        <v>7.06</v>
      </c>
      <c r="G702" s="133">
        <v>8.25</v>
      </c>
      <c r="H702" s="109">
        <f t="shared" si="30"/>
        <v>8.25</v>
      </c>
      <c r="I702" s="119"/>
      <c r="J702" s="119">
        <v>0</v>
      </c>
      <c r="K702" s="119">
        <f t="shared" si="31"/>
        <v>8.25</v>
      </c>
      <c r="L702" s="152">
        <f t="shared" si="32"/>
        <v>7.06</v>
      </c>
      <c r="M702" s="113"/>
    </row>
    <row r="703" spans="1:13" x14ac:dyDescent="0.2">
      <c r="A703" s="106" t="s">
        <v>5682</v>
      </c>
      <c r="B703" s="105" t="s">
        <v>2429</v>
      </c>
      <c r="C703" s="105" t="s">
        <v>5765</v>
      </c>
      <c r="D703" s="149" t="s">
        <v>2431</v>
      </c>
      <c r="E703" s="105">
        <v>1</v>
      </c>
      <c r="F703" s="133">
        <v>14.31</v>
      </c>
      <c r="G703" s="133">
        <v>16.5</v>
      </c>
      <c r="H703" s="109">
        <f t="shared" si="30"/>
        <v>16.5</v>
      </c>
      <c r="I703" s="119"/>
      <c r="J703" s="119">
        <v>0</v>
      </c>
      <c r="K703" s="119">
        <f t="shared" si="31"/>
        <v>16.5</v>
      </c>
      <c r="L703" s="152">
        <f t="shared" si="32"/>
        <v>14.31</v>
      </c>
      <c r="M703" s="113"/>
    </row>
    <row r="704" spans="1:13" x14ac:dyDescent="0.2">
      <c r="A704" s="106" t="s">
        <v>5682</v>
      </c>
      <c r="B704" s="105" t="s">
        <v>1977</v>
      </c>
      <c r="C704" s="105" t="s">
        <v>5766</v>
      </c>
      <c r="D704" s="149" t="s">
        <v>1979</v>
      </c>
      <c r="E704" s="105">
        <v>5</v>
      </c>
      <c r="F704" s="133">
        <v>0.76</v>
      </c>
      <c r="G704" s="133">
        <v>1</v>
      </c>
      <c r="H704" s="109">
        <f t="shared" si="30"/>
        <v>5</v>
      </c>
      <c r="I704" s="119"/>
      <c r="J704" s="119">
        <v>0</v>
      </c>
      <c r="K704" s="119">
        <f t="shared" si="31"/>
        <v>5</v>
      </c>
      <c r="L704" s="152">
        <f t="shared" si="32"/>
        <v>3.8</v>
      </c>
      <c r="M704" s="113"/>
    </row>
    <row r="705" spans="1:13" x14ac:dyDescent="0.2">
      <c r="A705" s="106" t="s">
        <v>5682</v>
      </c>
      <c r="B705" s="105" t="s">
        <v>2380</v>
      </c>
      <c r="C705" s="105" t="s">
        <v>5767</v>
      </c>
      <c r="D705" s="149" t="s">
        <v>2381</v>
      </c>
      <c r="E705" s="105">
        <v>1</v>
      </c>
      <c r="F705" s="133">
        <v>22.73</v>
      </c>
      <c r="G705" s="133">
        <v>26.25</v>
      </c>
      <c r="H705" s="109">
        <f t="shared" si="30"/>
        <v>26.25</v>
      </c>
      <c r="I705" s="119"/>
      <c r="J705" s="119">
        <v>0</v>
      </c>
      <c r="K705" s="119">
        <f t="shared" si="31"/>
        <v>26.25</v>
      </c>
      <c r="L705" s="152">
        <f t="shared" si="32"/>
        <v>22.73</v>
      </c>
      <c r="M705" s="113"/>
    </row>
    <row r="706" spans="1:13" x14ac:dyDescent="0.2">
      <c r="A706" s="106" t="s">
        <v>5682</v>
      </c>
      <c r="B706" s="105" t="s">
        <v>2008</v>
      </c>
      <c r="C706" s="105" t="s">
        <v>5767</v>
      </c>
      <c r="D706" s="149" t="s">
        <v>2010</v>
      </c>
      <c r="E706" s="105">
        <v>1</v>
      </c>
      <c r="F706" s="133">
        <v>44.8</v>
      </c>
      <c r="G706" s="133">
        <v>51.75</v>
      </c>
      <c r="H706" s="109">
        <f t="shared" si="30"/>
        <v>51.75</v>
      </c>
      <c r="I706" s="119"/>
      <c r="J706" s="119">
        <v>0</v>
      </c>
      <c r="K706" s="119">
        <f t="shared" si="31"/>
        <v>51.75</v>
      </c>
      <c r="L706" s="152">
        <f t="shared" si="32"/>
        <v>44.8</v>
      </c>
      <c r="M706" s="113"/>
    </row>
    <row r="707" spans="1:13" x14ac:dyDescent="0.2">
      <c r="A707" s="106" t="s">
        <v>5682</v>
      </c>
      <c r="B707" s="105" t="s">
        <v>3060</v>
      </c>
      <c r="C707" s="105" t="s">
        <v>5767</v>
      </c>
      <c r="D707" s="149" t="s">
        <v>3062</v>
      </c>
      <c r="E707" s="105">
        <v>1</v>
      </c>
      <c r="F707" s="133">
        <v>44.8</v>
      </c>
      <c r="G707" s="133">
        <v>51.75</v>
      </c>
      <c r="H707" s="109">
        <f t="shared" si="30"/>
        <v>51.75</v>
      </c>
      <c r="I707" s="119"/>
      <c r="J707" s="119">
        <v>0</v>
      </c>
      <c r="K707" s="119">
        <f t="shared" si="31"/>
        <v>51.75</v>
      </c>
      <c r="L707" s="152">
        <f t="shared" si="32"/>
        <v>44.8</v>
      </c>
      <c r="M707" s="113"/>
    </row>
    <row r="708" spans="1:13" x14ac:dyDescent="0.2">
      <c r="A708" s="106" t="s">
        <v>5682</v>
      </c>
      <c r="B708" s="105" t="s">
        <v>5686</v>
      </c>
      <c r="C708" s="105" t="s">
        <v>5767</v>
      </c>
      <c r="D708" s="149" t="s">
        <v>5824</v>
      </c>
      <c r="E708" s="105">
        <v>1</v>
      </c>
      <c r="F708" s="133">
        <v>12.17</v>
      </c>
      <c r="G708" s="133">
        <v>14.75</v>
      </c>
      <c r="H708" s="109">
        <f t="shared" si="30"/>
        <v>14.75</v>
      </c>
      <c r="I708" s="119"/>
      <c r="J708" s="119">
        <v>0</v>
      </c>
      <c r="K708" s="119">
        <f t="shared" si="31"/>
        <v>14.75</v>
      </c>
      <c r="L708" s="152">
        <f t="shared" si="32"/>
        <v>12.17</v>
      </c>
      <c r="M708" s="113"/>
    </row>
    <row r="709" spans="1:13" x14ac:dyDescent="0.2">
      <c r="A709" s="106" t="s">
        <v>5682</v>
      </c>
      <c r="B709" s="105" t="s">
        <v>3869</v>
      </c>
      <c r="C709" s="105" t="s">
        <v>5768</v>
      </c>
      <c r="D709" s="149" t="s">
        <v>3871</v>
      </c>
      <c r="E709" s="105">
        <v>2</v>
      </c>
      <c r="F709" s="133">
        <v>16.25</v>
      </c>
      <c r="G709" s="133">
        <v>19</v>
      </c>
      <c r="H709" s="109">
        <f t="shared" si="30"/>
        <v>38</v>
      </c>
      <c r="I709" s="119"/>
      <c r="J709" s="119">
        <v>0</v>
      </c>
      <c r="K709" s="119">
        <f t="shared" si="31"/>
        <v>38</v>
      </c>
      <c r="L709" s="152">
        <f t="shared" si="32"/>
        <v>32.5</v>
      </c>
      <c r="M709" s="113"/>
    </row>
    <row r="710" spans="1:13" x14ac:dyDescent="0.2">
      <c r="A710" s="106" t="s">
        <v>5682</v>
      </c>
      <c r="B710" s="105" t="s">
        <v>2196</v>
      </c>
      <c r="C710" s="105" t="s">
        <v>5769</v>
      </c>
      <c r="D710" s="149" t="s">
        <v>2198</v>
      </c>
      <c r="E710" s="105">
        <v>1</v>
      </c>
      <c r="F710" s="133">
        <v>21.88</v>
      </c>
      <c r="G710" s="133">
        <v>25.25</v>
      </c>
      <c r="H710" s="109">
        <f t="shared" ref="H710:H774" si="33">E710*G710</f>
        <v>25.25</v>
      </c>
      <c r="I710" s="119"/>
      <c r="J710" s="119">
        <v>1.25</v>
      </c>
      <c r="K710" s="119">
        <f t="shared" si="31"/>
        <v>24</v>
      </c>
      <c r="L710" s="152">
        <f t="shared" si="32"/>
        <v>21.88</v>
      </c>
      <c r="M710" s="113"/>
    </row>
    <row r="711" spans="1:13" x14ac:dyDescent="0.2">
      <c r="A711" s="106" t="s">
        <v>5682</v>
      </c>
      <c r="B711" s="105" t="s">
        <v>4715</v>
      </c>
      <c r="C711" s="105" t="s">
        <v>5770</v>
      </c>
      <c r="D711" s="149" t="s">
        <v>4750</v>
      </c>
      <c r="E711" s="105">
        <v>1</v>
      </c>
      <c r="F711" s="133">
        <v>6.15</v>
      </c>
      <c r="G711" s="133">
        <v>7.25</v>
      </c>
      <c r="H711" s="109">
        <f t="shared" si="33"/>
        <v>7.25</v>
      </c>
      <c r="I711" s="119"/>
      <c r="J711" s="119">
        <v>0</v>
      </c>
      <c r="K711" s="119">
        <f t="shared" ref="K711:K775" si="34">H711+I711-J711</f>
        <v>7.25</v>
      </c>
      <c r="L711" s="152">
        <f t="shared" ref="L711:L775" si="35">E711*F711</f>
        <v>6.15</v>
      </c>
      <c r="M711" s="113"/>
    </row>
    <row r="712" spans="1:13" x14ac:dyDescent="0.2">
      <c r="A712" s="106" t="s">
        <v>5682</v>
      </c>
      <c r="B712" s="105" t="s">
        <v>1977</v>
      </c>
      <c r="C712" s="105" t="s">
        <v>5771</v>
      </c>
      <c r="D712" s="149" t="s">
        <v>1979</v>
      </c>
      <c r="E712" s="105">
        <v>3</v>
      </c>
      <c r="F712" s="133">
        <v>0.76</v>
      </c>
      <c r="G712" s="133">
        <v>1</v>
      </c>
      <c r="H712" s="109">
        <f t="shared" si="33"/>
        <v>3</v>
      </c>
      <c r="I712" s="119"/>
      <c r="J712" s="119">
        <v>0</v>
      </c>
      <c r="K712" s="119">
        <f t="shared" si="34"/>
        <v>3</v>
      </c>
      <c r="L712" s="152">
        <f t="shared" si="35"/>
        <v>2.2800000000000002</v>
      </c>
      <c r="M712" s="113"/>
    </row>
    <row r="713" spans="1:13" x14ac:dyDescent="0.2">
      <c r="A713" s="106" t="s">
        <v>5682</v>
      </c>
      <c r="B713" s="105" t="s">
        <v>5247</v>
      </c>
      <c r="C713" s="105" t="s">
        <v>5772</v>
      </c>
      <c r="D713" s="149" t="s">
        <v>5407</v>
      </c>
      <c r="E713" s="105">
        <v>1</v>
      </c>
      <c r="F713" s="133">
        <v>32</v>
      </c>
      <c r="G713" s="133">
        <v>37</v>
      </c>
      <c r="H713" s="109">
        <f t="shared" si="33"/>
        <v>37</v>
      </c>
      <c r="I713" s="119"/>
      <c r="J713" s="119">
        <v>0</v>
      </c>
      <c r="K713" s="119">
        <f t="shared" si="34"/>
        <v>37</v>
      </c>
      <c r="L713" s="152">
        <f t="shared" si="35"/>
        <v>32</v>
      </c>
      <c r="M713" s="113"/>
    </row>
    <row r="714" spans="1:13" x14ac:dyDescent="0.2">
      <c r="A714" s="106" t="s">
        <v>5682</v>
      </c>
      <c r="B714" s="105" t="s">
        <v>2022</v>
      </c>
      <c r="C714" s="105" t="s">
        <v>5772</v>
      </c>
      <c r="D714" s="149" t="s">
        <v>2024</v>
      </c>
      <c r="E714" s="105">
        <v>3</v>
      </c>
      <c r="F714" s="133">
        <v>29.9</v>
      </c>
      <c r="G714" s="133">
        <v>34.5</v>
      </c>
      <c r="H714" s="109">
        <f t="shared" si="33"/>
        <v>103.5</v>
      </c>
      <c r="I714" s="119"/>
      <c r="J714" s="119">
        <v>0</v>
      </c>
      <c r="K714" s="119">
        <f t="shared" si="34"/>
        <v>103.5</v>
      </c>
      <c r="L714" s="152">
        <f t="shared" si="35"/>
        <v>89.699999999999989</v>
      </c>
      <c r="M714" s="113"/>
    </row>
    <row r="715" spans="1:13" x14ac:dyDescent="0.2">
      <c r="A715" s="106" t="s">
        <v>5682</v>
      </c>
      <c r="B715" s="105" t="s">
        <v>2226</v>
      </c>
      <c r="C715" s="105" t="s">
        <v>5773</v>
      </c>
      <c r="D715" s="149" t="s">
        <v>2228</v>
      </c>
      <c r="E715" s="105">
        <v>1</v>
      </c>
      <c r="F715" s="133">
        <v>19.47</v>
      </c>
      <c r="G715" s="133">
        <v>23</v>
      </c>
      <c r="H715" s="109">
        <f t="shared" si="33"/>
        <v>23</v>
      </c>
      <c r="I715" s="119"/>
      <c r="J715" s="119">
        <v>0</v>
      </c>
      <c r="K715" s="119">
        <f t="shared" si="34"/>
        <v>23</v>
      </c>
      <c r="L715" s="152">
        <f t="shared" si="35"/>
        <v>19.47</v>
      </c>
      <c r="M715" s="113"/>
    </row>
    <row r="716" spans="1:13" x14ac:dyDescent="0.2">
      <c r="A716" s="106" t="s">
        <v>5682</v>
      </c>
      <c r="B716" s="105" t="s">
        <v>5686</v>
      </c>
      <c r="C716" s="105" t="s">
        <v>5774</v>
      </c>
      <c r="D716" s="149" t="s">
        <v>5824</v>
      </c>
      <c r="E716" s="105">
        <v>1</v>
      </c>
      <c r="F716" s="133">
        <v>12.17</v>
      </c>
      <c r="G716" s="133">
        <v>14.75</v>
      </c>
      <c r="H716" s="109">
        <f t="shared" si="33"/>
        <v>14.75</v>
      </c>
      <c r="I716" s="119"/>
      <c r="J716" s="119">
        <v>0</v>
      </c>
      <c r="K716" s="119">
        <f t="shared" si="34"/>
        <v>14.75</v>
      </c>
      <c r="L716" s="152">
        <f t="shared" si="35"/>
        <v>12.17</v>
      </c>
      <c r="M716" s="113"/>
    </row>
    <row r="717" spans="1:13" x14ac:dyDescent="0.2">
      <c r="A717" s="106" t="s">
        <v>5682</v>
      </c>
      <c r="B717" s="105" t="s">
        <v>1806</v>
      </c>
      <c r="C717" s="105" t="s">
        <v>5775</v>
      </c>
      <c r="D717" s="149" t="s">
        <v>1807</v>
      </c>
      <c r="E717" s="105">
        <v>1</v>
      </c>
      <c r="F717" s="133">
        <v>15.65</v>
      </c>
      <c r="G717" s="133">
        <v>18</v>
      </c>
      <c r="H717" s="109">
        <f t="shared" si="33"/>
        <v>18</v>
      </c>
      <c r="I717" s="119"/>
      <c r="J717" s="119">
        <v>0</v>
      </c>
      <c r="K717" s="119">
        <f t="shared" si="34"/>
        <v>18</v>
      </c>
      <c r="L717" s="152">
        <f t="shared" si="35"/>
        <v>15.65</v>
      </c>
      <c r="M717" s="113"/>
    </row>
    <row r="718" spans="1:13" x14ac:dyDescent="0.2">
      <c r="A718" s="106" t="s">
        <v>5682</v>
      </c>
      <c r="B718" s="105" t="s">
        <v>2459</v>
      </c>
      <c r="C718" s="105" t="s">
        <v>5776</v>
      </c>
      <c r="D718" s="149" t="s">
        <v>2460</v>
      </c>
      <c r="E718" s="105">
        <v>1</v>
      </c>
      <c r="F718" s="133">
        <v>18.88</v>
      </c>
      <c r="G718" s="133">
        <v>21.75</v>
      </c>
      <c r="H718" s="109">
        <f t="shared" si="33"/>
        <v>21.75</v>
      </c>
      <c r="I718" s="119"/>
      <c r="J718" s="119">
        <v>0</v>
      </c>
      <c r="K718" s="119">
        <f t="shared" si="34"/>
        <v>21.75</v>
      </c>
      <c r="L718" s="152">
        <f t="shared" si="35"/>
        <v>18.88</v>
      </c>
      <c r="M718" s="113"/>
    </row>
    <row r="719" spans="1:13" x14ac:dyDescent="0.2">
      <c r="A719" s="106" t="s">
        <v>5682</v>
      </c>
      <c r="B719" s="105" t="s">
        <v>1793</v>
      </c>
      <c r="C719" s="105" t="s">
        <v>5776</v>
      </c>
      <c r="D719" s="149" t="s">
        <v>1795</v>
      </c>
      <c r="E719" s="105">
        <v>1</v>
      </c>
      <c r="F719" s="133">
        <v>12.17</v>
      </c>
      <c r="G719" s="133">
        <v>14.75</v>
      </c>
      <c r="H719" s="109">
        <f t="shared" si="33"/>
        <v>14.75</v>
      </c>
      <c r="I719" s="119"/>
      <c r="J719" s="119">
        <v>0</v>
      </c>
      <c r="K719" s="119">
        <f t="shared" si="34"/>
        <v>14.75</v>
      </c>
      <c r="L719" s="152">
        <f t="shared" si="35"/>
        <v>12.17</v>
      </c>
      <c r="M719" s="113"/>
    </row>
    <row r="720" spans="1:13" x14ac:dyDescent="0.2">
      <c r="A720" s="106" t="s">
        <v>5682</v>
      </c>
      <c r="B720" s="105" t="s">
        <v>2363</v>
      </c>
      <c r="C720" s="105" t="s">
        <v>5777</v>
      </c>
      <c r="D720" s="149" t="s">
        <v>2365</v>
      </c>
      <c r="E720" s="105">
        <v>1</v>
      </c>
      <c r="F720" s="133">
        <v>12.66</v>
      </c>
      <c r="G720" s="133">
        <v>14.25</v>
      </c>
      <c r="H720" s="109">
        <f t="shared" si="33"/>
        <v>14.25</v>
      </c>
      <c r="I720" s="119"/>
      <c r="J720" s="119">
        <v>0</v>
      </c>
      <c r="K720" s="119">
        <f t="shared" si="34"/>
        <v>14.25</v>
      </c>
      <c r="L720" s="152">
        <f t="shared" si="35"/>
        <v>12.66</v>
      </c>
      <c r="M720" s="113"/>
    </row>
    <row r="721" spans="1:13" x14ac:dyDescent="0.2">
      <c r="A721" s="106" t="s">
        <v>5682</v>
      </c>
      <c r="B721" s="105" t="s">
        <v>5687</v>
      </c>
      <c r="C721" s="105" t="s">
        <v>5778</v>
      </c>
      <c r="D721" s="149" t="s">
        <v>5825</v>
      </c>
      <c r="E721" s="105">
        <v>1</v>
      </c>
      <c r="F721" s="133">
        <v>310</v>
      </c>
      <c r="G721" s="133">
        <v>372</v>
      </c>
      <c r="H721" s="109">
        <f t="shared" si="33"/>
        <v>372</v>
      </c>
      <c r="I721" s="119"/>
      <c r="J721" s="119">
        <v>0</v>
      </c>
      <c r="K721" s="119">
        <f t="shared" si="34"/>
        <v>372</v>
      </c>
      <c r="L721" s="152">
        <f t="shared" si="35"/>
        <v>310</v>
      </c>
      <c r="M721" s="113"/>
    </row>
    <row r="722" spans="1:13" x14ac:dyDescent="0.2">
      <c r="A722" s="106" t="s">
        <v>5682</v>
      </c>
      <c r="B722" s="105" t="s">
        <v>5688</v>
      </c>
      <c r="C722" s="105" t="s">
        <v>5778</v>
      </c>
      <c r="D722" s="149" t="s">
        <v>5826</v>
      </c>
      <c r="E722" s="105">
        <v>1</v>
      </c>
      <c r="F722" s="133">
        <v>74.38</v>
      </c>
      <c r="G722" s="133">
        <v>89.25</v>
      </c>
      <c r="H722" s="109">
        <f t="shared" si="33"/>
        <v>89.25</v>
      </c>
      <c r="I722" s="119"/>
      <c r="J722" s="119">
        <v>0</v>
      </c>
      <c r="K722" s="119">
        <f t="shared" si="34"/>
        <v>89.25</v>
      </c>
      <c r="L722" s="152">
        <f t="shared" si="35"/>
        <v>74.38</v>
      </c>
      <c r="M722" s="113"/>
    </row>
    <row r="723" spans="1:13" x14ac:dyDescent="0.2">
      <c r="A723" s="106" t="s">
        <v>5682</v>
      </c>
      <c r="B723" s="105" t="s">
        <v>2220</v>
      </c>
      <c r="C723" s="105" t="s">
        <v>5778</v>
      </c>
      <c r="D723" s="149" t="s">
        <v>2222</v>
      </c>
      <c r="E723" s="105">
        <v>4</v>
      </c>
      <c r="F723" s="133">
        <v>34.51</v>
      </c>
      <c r="G723" s="133">
        <v>41</v>
      </c>
      <c r="H723" s="109">
        <f t="shared" si="33"/>
        <v>164</v>
      </c>
      <c r="I723" s="119"/>
      <c r="J723" s="119">
        <v>0</v>
      </c>
      <c r="K723" s="119">
        <f t="shared" si="34"/>
        <v>164</v>
      </c>
      <c r="L723" s="152">
        <f t="shared" si="35"/>
        <v>138.04</v>
      </c>
      <c r="M723" s="113"/>
    </row>
    <row r="724" spans="1:13" x14ac:dyDescent="0.2">
      <c r="A724" s="106" t="s">
        <v>5682</v>
      </c>
      <c r="B724" s="105" t="s">
        <v>2293</v>
      </c>
      <c r="C724" s="105" t="s">
        <v>5778</v>
      </c>
      <c r="D724" s="149" t="s">
        <v>2295</v>
      </c>
      <c r="E724" s="105">
        <v>2</v>
      </c>
      <c r="F724" s="133">
        <v>27.84</v>
      </c>
      <c r="G724" s="133">
        <v>45</v>
      </c>
      <c r="H724" s="109">
        <f t="shared" si="33"/>
        <v>90</v>
      </c>
      <c r="I724" s="119"/>
      <c r="J724" s="119">
        <v>0</v>
      </c>
      <c r="K724" s="119">
        <f t="shared" si="34"/>
        <v>90</v>
      </c>
      <c r="L724" s="152">
        <f t="shared" si="35"/>
        <v>55.68</v>
      </c>
      <c r="M724" s="113"/>
    </row>
    <row r="725" spans="1:13" x14ac:dyDescent="0.2">
      <c r="A725" s="106" t="s">
        <v>5682</v>
      </c>
      <c r="B725" s="105" t="s">
        <v>2581</v>
      </c>
      <c r="C725" s="105" t="s">
        <v>5778</v>
      </c>
      <c r="D725" s="149" t="s">
        <v>2583</v>
      </c>
      <c r="E725" s="105">
        <v>12</v>
      </c>
      <c r="F725" s="133">
        <v>6.02</v>
      </c>
      <c r="G725" s="133">
        <v>7.25</v>
      </c>
      <c r="H725" s="109">
        <f t="shared" si="33"/>
        <v>87</v>
      </c>
      <c r="I725" s="119"/>
      <c r="J725" s="119">
        <v>0</v>
      </c>
      <c r="K725" s="119">
        <f t="shared" si="34"/>
        <v>87</v>
      </c>
      <c r="L725" s="152">
        <f t="shared" si="35"/>
        <v>72.239999999999995</v>
      </c>
      <c r="M725" s="113"/>
    </row>
    <row r="726" spans="1:13" x14ac:dyDescent="0.2">
      <c r="A726" s="106" t="s">
        <v>5682</v>
      </c>
      <c r="B726" s="105" t="s">
        <v>3326</v>
      </c>
      <c r="C726" s="105" t="s">
        <v>5778</v>
      </c>
      <c r="D726" s="149" t="s">
        <v>3327</v>
      </c>
      <c r="E726" s="105">
        <v>12</v>
      </c>
      <c r="F726" s="133">
        <v>6.12</v>
      </c>
      <c r="G726" s="133">
        <v>7.25</v>
      </c>
      <c r="H726" s="109">
        <f t="shared" si="33"/>
        <v>87</v>
      </c>
      <c r="I726" s="119"/>
      <c r="J726" s="119">
        <v>0</v>
      </c>
      <c r="K726" s="119">
        <f t="shared" si="34"/>
        <v>87</v>
      </c>
      <c r="L726" s="152">
        <f t="shared" si="35"/>
        <v>73.44</v>
      </c>
      <c r="M726" s="113"/>
    </row>
    <row r="727" spans="1:13" x14ac:dyDescent="0.2">
      <c r="A727" s="106" t="s">
        <v>5682</v>
      </c>
      <c r="B727" s="105" t="s">
        <v>3047</v>
      </c>
      <c r="C727" s="105" t="s">
        <v>5779</v>
      </c>
      <c r="D727" s="149" t="s">
        <v>3048</v>
      </c>
      <c r="E727" s="105">
        <v>4</v>
      </c>
      <c r="F727" s="133">
        <v>37.47</v>
      </c>
      <c r="G727" s="133">
        <v>43.25</v>
      </c>
      <c r="H727" s="109">
        <f t="shared" si="33"/>
        <v>173</v>
      </c>
      <c r="I727" s="119"/>
      <c r="J727" s="119">
        <v>0</v>
      </c>
      <c r="K727" s="119">
        <f t="shared" si="34"/>
        <v>173</v>
      </c>
      <c r="L727" s="152">
        <f t="shared" si="35"/>
        <v>149.88</v>
      </c>
      <c r="M727" s="113"/>
    </row>
    <row r="728" spans="1:13" x14ac:dyDescent="0.2">
      <c r="A728" s="106" t="s">
        <v>5682</v>
      </c>
      <c r="B728" s="105" t="s">
        <v>2707</v>
      </c>
      <c r="C728" s="105" t="s">
        <v>5780</v>
      </c>
      <c r="D728" s="149" t="s">
        <v>2709</v>
      </c>
      <c r="E728" s="105">
        <v>1</v>
      </c>
      <c r="F728" s="133">
        <v>250.75</v>
      </c>
      <c r="G728" s="133">
        <v>288.5</v>
      </c>
      <c r="H728" s="109">
        <f t="shared" si="33"/>
        <v>288.5</v>
      </c>
      <c r="I728" s="119"/>
      <c r="J728" s="119">
        <v>0</v>
      </c>
      <c r="K728" s="119">
        <f t="shared" si="34"/>
        <v>288.5</v>
      </c>
      <c r="L728" s="152">
        <f t="shared" si="35"/>
        <v>250.75</v>
      </c>
      <c r="M728" s="113"/>
    </row>
    <row r="729" spans="1:13" x14ac:dyDescent="0.2">
      <c r="A729" s="106" t="s">
        <v>5682</v>
      </c>
      <c r="B729" s="105" t="s">
        <v>5686</v>
      </c>
      <c r="C729" s="105" t="s">
        <v>5781</v>
      </c>
      <c r="D729" s="149" t="s">
        <v>5824</v>
      </c>
      <c r="E729" s="105">
        <v>1</v>
      </c>
      <c r="F729" s="133">
        <v>12.17</v>
      </c>
      <c r="G729" s="133">
        <v>14.75</v>
      </c>
      <c r="H729" s="109">
        <f t="shared" si="33"/>
        <v>14.75</v>
      </c>
      <c r="I729" s="119"/>
      <c r="J729" s="119">
        <v>0</v>
      </c>
      <c r="K729" s="119">
        <f t="shared" si="34"/>
        <v>14.75</v>
      </c>
      <c r="L729" s="152">
        <f t="shared" si="35"/>
        <v>12.17</v>
      </c>
      <c r="M729" s="113"/>
    </row>
    <row r="730" spans="1:13" x14ac:dyDescent="0.2">
      <c r="A730" s="106" t="s">
        <v>5682</v>
      </c>
      <c r="B730" s="105" t="s">
        <v>2196</v>
      </c>
      <c r="C730" s="105" t="s">
        <v>5782</v>
      </c>
      <c r="D730" s="149" t="s">
        <v>2198</v>
      </c>
      <c r="E730" s="105">
        <v>1</v>
      </c>
      <c r="F730" s="133">
        <v>21.88</v>
      </c>
      <c r="G730" s="133">
        <v>25.25</v>
      </c>
      <c r="H730" s="109">
        <f t="shared" si="33"/>
        <v>25.25</v>
      </c>
      <c r="I730" s="119"/>
      <c r="J730" s="119">
        <v>0</v>
      </c>
      <c r="K730" s="119">
        <f t="shared" si="34"/>
        <v>25.25</v>
      </c>
      <c r="L730" s="152">
        <f t="shared" si="35"/>
        <v>21.88</v>
      </c>
      <c r="M730" s="113"/>
    </row>
    <row r="731" spans="1:13" x14ac:dyDescent="0.2">
      <c r="A731" s="106" t="s">
        <v>5682</v>
      </c>
      <c r="B731" s="105" t="s">
        <v>3225</v>
      </c>
      <c r="C731" s="105" t="s">
        <v>5782</v>
      </c>
      <c r="D731" s="149" t="s">
        <v>3227</v>
      </c>
      <c r="E731" s="105">
        <v>1</v>
      </c>
      <c r="F731" s="133">
        <v>21.88</v>
      </c>
      <c r="G731" s="133">
        <v>24.5</v>
      </c>
      <c r="H731" s="109">
        <f t="shared" si="33"/>
        <v>24.5</v>
      </c>
      <c r="I731" s="119"/>
      <c r="J731" s="119">
        <v>0</v>
      </c>
      <c r="K731" s="119">
        <f t="shared" si="34"/>
        <v>24.5</v>
      </c>
      <c r="L731" s="152">
        <f t="shared" si="35"/>
        <v>21.88</v>
      </c>
      <c r="M731" s="113"/>
    </row>
    <row r="732" spans="1:13" x14ac:dyDescent="0.2">
      <c r="A732" s="106" t="s">
        <v>5682</v>
      </c>
      <c r="B732" s="105" t="s">
        <v>2193</v>
      </c>
      <c r="C732" s="105" t="s">
        <v>5783</v>
      </c>
      <c r="D732" s="149" t="s">
        <v>2195</v>
      </c>
      <c r="E732" s="105">
        <v>1</v>
      </c>
      <c r="F732" s="133">
        <v>20.68</v>
      </c>
      <c r="G732" s="133">
        <v>24</v>
      </c>
      <c r="H732" s="109">
        <f t="shared" si="33"/>
        <v>24</v>
      </c>
      <c r="I732" s="119"/>
      <c r="J732" s="119">
        <v>0</v>
      </c>
      <c r="K732" s="119">
        <f t="shared" si="34"/>
        <v>24</v>
      </c>
      <c r="L732" s="152">
        <f t="shared" si="35"/>
        <v>20.68</v>
      </c>
      <c r="M732" s="113"/>
    </row>
    <row r="733" spans="1:13" x14ac:dyDescent="0.2">
      <c r="A733" s="106" t="s">
        <v>5682</v>
      </c>
      <c r="B733" s="105" t="s">
        <v>3185</v>
      </c>
      <c r="C733" s="105" t="s">
        <v>5784</v>
      </c>
      <c r="D733" s="149" t="s">
        <v>3187</v>
      </c>
      <c r="E733" s="105">
        <v>1</v>
      </c>
      <c r="F733" s="133">
        <v>129</v>
      </c>
      <c r="G733" s="133">
        <v>148.5</v>
      </c>
      <c r="H733" s="109">
        <f t="shared" si="33"/>
        <v>148.5</v>
      </c>
      <c r="I733" s="119"/>
      <c r="J733" s="119">
        <v>0</v>
      </c>
      <c r="K733" s="119">
        <f t="shared" si="34"/>
        <v>148.5</v>
      </c>
      <c r="L733" s="152">
        <f t="shared" si="35"/>
        <v>129</v>
      </c>
      <c r="M733" s="113"/>
    </row>
    <row r="734" spans="1:13" x14ac:dyDescent="0.2">
      <c r="A734" s="106" t="s">
        <v>5683</v>
      </c>
      <c r="B734" s="105" t="s">
        <v>5689</v>
      </c>
      <c r="C734" s="105" t="s">
        <v>5785</v>
      </c>
      <c r="D734" s="149" t="s">
        <v>5827</v>
      </c>
      <c r="E734" s="105">
        <v>1</v>
      </c>
      <c r="F734" s="133">
        <v>3.75</v>
      </c>
      <c r="G734" s="133">
        <v>5</v>
      </c>
      <c r="H734" s="109">
        <f t="shared" si="33"/>
        <v>5</v>
      </c>
      <c r="I734" s="119"/>
      <c r="J734" s="119">
        <v>0</v>
      </c>
      <c r="K734" s="119">
        <f t="shared" si="34"/>
        <v>5</v>
      </c>
      <c r="L734" s="152">
        <f t="shared" si="35"/>
        <v>3.75</v>
      </c>
      <c r="M734" s="113"/>
    </row>
    <row r="735" spans="1:13" x14ac:dyDescent="0.2">
      <c r="A735" s="106" t="s">
        <v>5683</v>
      </c>
      <c r="B735" s="105" t="s">
        <v>2027</v>
      </c>
      <c r="C735" s="105" t="s">
        <v>5786</v>
      </c>
      <c r="D735" s="149" t="s">
        <v>2029</v>
      </c>
      <c r="E735" s="105">
        <v>1</v>
      </c>
      <c r="F735" s="133">
        <v>9</v>
      </c>
      <c r="G735" s="133">
        <v>10.5</v>
      </c>
      <c r="H735" s="109">
        <f t="shared" si="33"/>
        <v>10.5</v>
      </c>
      <c r="I735" s="119"/>
      <c r="J735" s="119">
        <v>0</v>
      </c>
      <c r="K735" s="119">
        <f t="shared" si="34"/>
        <v>10.5</v>
      </c>
      <c r="L735" s="152">
        <f t="shared" si="35"/>
        <v>9</v>
      </c>
      <c r="M735" s="113"/>
    </row>
    <row r="736" spans="1:13" x14ac:dyDescent="0.2">
      <c r="A736" s="106" t="s">
        <v>5683</v>
      </c>
      <c r="B736" s="105" t="s">
        <v>3309</v>
      </c>
      <c r="C736" s="105" t="s">
        <v>5787</v>
      </c>
      <c r="D736" s="149" t="s">
        <v>3310</v>
      </c>
      <c r="E736" s="105">
        <v>1</v>
      </c>
      <c r="F736" s="133">
        <v>50.8</v>
      </c>
      <c r="G736" s="133">
        <v>58.5</v>
      </c>
      <c r="H736" s="109">
        <f t="shared" si="33"/>
        <v>58.5</v>
      </c>
      <c r="I736" s="119"/>
      <c r="J736" s="119">
        <v>0</v>
      </c>
      <c r="K736" s="119">
        <f t="shared" si="34"/>
        <v>58.5</v>
      </c>
      <c r="L736" s="152">
        <f t="shared" si="35"/>
        <v>50.8</v>
      </c>
      <c r="M736" s="113"/>
    </row>
    <row r="737" spans="1:13" x14ac:dyDescent="0.2">
      <c r="A737" s="106" t="s">
        <v>5683</v>
      </c>
      <c r="B737" s="105" t="s">
        <v>3555</v>
      </c>
      <c r="C737" s="105" t="s">
        <v>5787</v>
      </c>
      <c r="D737" s="149" t="s">
        <v>3556</v>
      </c>
      <c r="E737" s="105">
        <v>1</v>
      </c>
      <c r="F737" s="133">
        <v>49.8</v>
      </c>
      <c r="G737" s="133">
        <v>57.5</v>
      </c>
      <c r="H737" s="109">
        <f t="shared" si="33"/>
        <v>57.5</v>
      </c>
      <c r="I737" s="119"/>
      <c r="J737" s="119">
        <v>0</v>
      </c>
      <c r="K737" s="119">
        <f t="shared" si="34"/>
        <v>57.5</v>
      </c>
      <c r="L737" s="152">
        <f t="shared" si="35"/>
        <v>49.8</v>
      </c>
      <c r="M737" s="113"/>
    </row>
    <row r="738" spans="1:13" x14ac:dyDescent="0.2">
      <c r="A738" s="106" t="s">
        <v>5683</v>
      </c>
      <c r="B738" s="105" t="s">
        <v>3452</v>
      </c>
      <c r="C738" s="105" t="s">
        <v>5787</v>
      </c>
      <c r="D738" s="149" t="s">
        <v>3453</v>
      </c>
      <c r="E738" s="105">
        <v>3</v>
      </c>
      <c r="F738" s="133">
        <v>44.86</v>
      </c>
      <c r="G738" s="133">
        <v>51.25</v>
      </c>
      <c r="H738" s="109">
        <f t="shared" si="33"/>
        <v>153.75</v>
      </c>
      <c r="I738" s="119"/>
      <c r="J738" s="119">
        <v>0</v>
      </c>
      <c r="K738" s="119">
        <f t="shared" si="34"/>
        <v>153.75</v>
      </c>
      <c r="L738" s="152">
        <f t="shared" si="35"/>
        <v>134.57999999999998</v>
      </c>
      <c r="M738" s="113"/>
    </row>
    <row r="739" spans="1:13" x14ac:dyDescent="0.2">
      <c r="A739" s="106" t="s">
        <v>5683</v>
      </c>
      <c r="B739" s="105" t="s">
        <v>2162</v>
      </c>
      <c r="C739" s="105" t="s">
        <v>5787</v>
      </c>
      <c r="D739" s="149" t="s">
        <v>2163</v>
      </c>
      <c r="E739" s="105">
        <v>2</v>
      </c>
      <c r="F739" s="133">
        <v>67.290000000000006</v>
      </c>
      <c r="G739" s="133">
        <v>77.5</v>
      </c>
      <c r="H739" s="109">
        <f t="shared" si="33"/>
        <v>155</v>
      </c>
      <c r="I739" s="119"/>
      <c r="J739" s="119">
        <v>0</v>
      </c>
      <c r="K739" s="119">
        <f t="shared" si="34"/>
        <v>155</v>
      </c>
      <c r="L739" s="152">
        <f t="shared" si="35"/>
        <v>134.58000000000001</v>
      </c>
      <c r="M739" s="113"/>
    </row>
    <row r="740" spans="1:13" x14ac:dyDescent="0.2">
      <c r="A740" s="106" t="s">
        <v>5683</v>
      </c>
      <c r="B740" s="105" t="s">
        <v>5248</v>
      </c>
      <c r="C740" s="105" t="s">
        <v>5788</v>
      </c>
      <c r="D740" s="149" t="s">
        <v>5408</v>
      </c>
      <c r="E740" s="105">
        <v>2</v>
      </c>
      <c r="F740" s="133">
        <v>5.8</v>
      </c>
      <c r="G740" s="133">
        <v>7</v>
      </c>
      <c r="H740" s="109">
        <f t="shared" si="33"/>
        <v>14</v>
      </c>
      <c r="I740" s="119"/>
      <c r="J740" s="119">
        <v>0</v>
      </c>
      <c r="K740" s="119">
        <f t="shared" si="34"/>
        <v>14</v>
      </c>
      <c r="L740" s="152">
        <f t="shared" si="35"/>
        <v>11.6</v>
      </c>
      <c r="M740" s="113"/>
    </row>
    <row r="741" spans="1:13" x14ac:dyDescent="0.2">
      <c r="A741" s="106" t="s">
        <v>5683</v>
      </c>
      <c r="B741" s="105" t="s">
        <v>5592</v>
      </c>
      <c r="C741" s="105" t="s">
        <v>5788</v>
      </c>
      <c r="D741" s="149" t="s">
        <v>5637</v>
      </c>
      <c r="E741" s="105">
        <v>1</v>
      </c>
      <c r="F741" s="133">
        <v>6.18</v>
      </c>
      <c r="G741" s="133">
        <v>7.25</v>
      </c>
      <c r="H741" s="109">
        <f t="shared" si="33"/>
        <v>7.25</v>
      </c>
      <c r="I741" s="119"/>
      <c r="J741" s="119">
        <v>0</v>
      </c>
      <c r="K741" s="119">
        <f t="shared" si="34"/>
        <v>7.25</v>
      </c>
      <c r="L741" s="152">
        <f t="shared" si="35"/>
        <v>6.18</v>
      </c>
      <c r="M741" s="113"/>
    </row>
    <row r="742" spans="1:13" x14ac:dyDescent="0.2">
      <c r="A742" s="106" t="s">
        <v>5683</v>
      </c>
      <c r="B742" s="105" t="s">
        <v>3909</v>
      </c>
      <c r="C742" s="105" t="s">
        <v>5788</v>
      </c>
      <c r="D742" s="149" t="s">
        <v>3911</v>
      </c>
      <c r="E742" s="105">
        <v>2</v>
      </c>
      <c r="F742" s="133">
        <v>7.06</v>
      </c>
      <c r="G742" s="133">
        <v>8.25</v>
      </c>
      <c r="H742" s="109">
        <f t="shared" si="33"/>
        <v>16.5</v>
      </c>
      <c r="I742" s="119"/>
      <c r="J742" s="119">
        <v>0</v>
      </c>
      <c r="K742" s="119">
        <f t="shared" si="34"/>
        <v>16.5</v>
      </c>
      <c r="L742" s="152">
        <f t="shared" si="35"/>
        <v>14.12</v>
      </c>
      <c r="M742" s="113"/>
    </row>
    <row r="743" spans="1:13" x14ac:dyDescent="0.2">
      <c r="A743" s="106" t="s">
        <v>5683</v>
      </c>
      <c r="B743" s="105" t="s">
        <v>3169</v>
      </c>
      <c r="C743" s="105" t="s">
        <v>5788</v>
      </c>
      <c r="D743" s="149" t="s">
        <v>3170</v>
      </c>
      <c r="E743" s="105">
        <v>12</v>
      </c>
      <c r="F743" s="133">
        <v>5.41</v>
      </c>
      <c r="G743" s="133">
        <v>6.25</v>
      </c>
      <c r="H743" s="109">
        <f t="shared" si="33"/>
        <v>75</v>
      </c>
      <c r="I743" s="119"/>
      <c r="J743" s="119">
        <v>0</v>
      </c>
      <c r="K743" s="119">
        <f t="shared" si="34"/>
        <v>75</v>
      </c>
      <c r="L743" s="152">
        <f t="shared" si="35"/>
        <v>64.92</v>
      </c>
      <c r="M743" s="113"/>
    </row>
    <row r="744" spans="1:13" x14ac:dyDescent="0.2">
      <c r="A744" s="106" t="s">
        <v>5683</v>
      </c>
      <c r="B744" s="105" t="s">
        <v>5248</v>
      </c>
      <c r="C744" s="105" t="s">
        <v>5789</v>
      </c>
      <c r="D744" s="149" t="s">
        <v>5408</v>
      </c>
      <c r="E744" s="105">
        <v>1</v>
      </c>
      <c r="F744" s="133">
        <v>5.8</v>
      </c>
      <c r="G744" s="133">
        <v>7</v>
      </c>
      <c r="H744" s="109">
        <f t="shared" si="33"/>
        <v>7</v>
      </c>
      <c r="I744" s="119"/>
      <c r="J744" s="119">
        <v>0</v>
      </c>
      <c r="K744" s="119">
        <f t="shared" si="34"/>
        <v>7</v>
      </c>
      <c r="L744" s="152">
        <f t="shared" si="35"/>
        <v>5.8</v>
      </c>
      <c r="M744" s="113"/>
    </row>
    <row r="745" spans="1:13" x14ac:dyDescent="0.2">
      <c r="A745" s="106" t="s">
        <v>5683</v>
      </c>
      <c r="B745" s="105" t="s">
        <v>2908</v>
      </c>
      <c r="C745" s="105" t="s">
        <v>5790</v>
      </c>
      <c r="D745" s="149" t="s">
        <v>2910</v>
      </c>
      <c r="E745" s="105">
        <v>5</v>
      </c>
      <c r="F745" s="133">
        <v>0.76</v>
      </c>
      <c r="G745" s="133">
        <v>1</v>
      </c>
      <c r="H745" s="109">
        <f t="shared" si="33"/>
        <v>5</v>
      </c>
      <c r="I745" s="119"/>
      <c r="J745" s="119">
        <v>0</v>
      </c>
      <c r="K745" s="119">
        <f t="shared" si="34"/>
        <v>5</v>
      </c>
      <c r="L745" s="152">
        <f t="shared" si="35"/>
        <v>3.8</v>
      </c>
      <c r="M745" s="113"/>
    </row>
    <row r="746" spans="1:13" x14ac:dyDescent="0.2">
      <c r="A746" s="106" t="s">
        <v>5683</v>
      </c>
      <c r="B746" s="105" t="s">
        <v>2908</v>
      </c>
      <c r="C746" s="105" t="s">
        <v>5791</v>
      </c>
      <c r="D746" s="149" t="s">
        <v>2910</v>
      </c>
      <c r="E746" s="105">
        <v>5</v>
      </c>
      <c r="F746" s="133">
        <v>0.76</v>
      </c>
      <c r="G746" s="133">
        <v>1</v>
      </c>
      <c r="H746" s="109">
        <f t="shared" si="33"/>
        <v>5</v>
      </c>
      <c r="I746" s="119"/>
      <c r="J746" s="119">
        <v>0</v>
      </c>
      <c r="K746" s="119">
        <f t="shared" si="34"/>
        <v>5</v>
      </c>
      <c r="L746" s="152">
        <f t="shared" si="35"/>
        <v>3.8</v>
      </c>
      <c r="M746" s="113"/>
    </row>
    <row r="747" spans="1:13" x14ac:dyDescent="0.2">
      <c r="A747" s="106" t="s">
        <v>5683</v>
      </c>
      <c r="B747" s="105" t="s">
        <v>2367</v>
      </c>
      <c r="C747" s="105" t="s">
        <v>5792</v>
      </c>
      <c r="D747" s="149" t="s">
        <v>2369</v>
      </c>
      <c r="E747" s="105">
        <v>6</v>
      </c>
      <c r="F747" s="133">
        <v>6.38</v>
      </c>
      <c r="G747" s="133">
        <v>7.5</v>
      </c>
      <c r="H747" s="109">
        <f t="shared" si="33"/>
        <v>45</v>
      </c>
      <c r="I747" s="119"/>
      <c r="J747" s="119">
        <v>0</v>
      </c>
      <c r="K747" s="119">
        <f t="shared" si="34"/>
        <v>45</v>
      </c>
      <c r="L747" s="152">
        <f t="shared" si="35"/>
        <v>38.28</v>
      </c>
      <c r="M747" s="113"/>
    </row>
    <row r="748" spans="1:13" x14ac:dyDescent="0.2">
      <c r="A748" s="106" t="s">
        <v>5683</v>
      </c>
      <c r="B748" s="105" t="s">
        <v>5690</v>
      </c>
      <c r="C748" s="105" t="s">
        <v>5792</v>
      </c>
      <c r="D748" s="149" t="s">
        <v>5828</v>
      </c>
      <c r="E748" s="105">
        <v>2</v>
      </c>
      <c r="F748" s="133">
        <v>5.0199999999999996</v>
      </c>
      <c r="G748" s="133">
        <v>6</v>
      </c>
      <c r="H748" s="109">
        <f t="shared" si="33"/>
        <v>12</v>
      </c>
      <c r="I748" s="119"/>
      <c r="J748" s="119">
        <v>0</v>
      </c>
      <c r="K748" s="119">
        <f t="shared" si="34"/>
        <v>12</v>
      </c>
      <c r="L748" s="152">
        <f t="shared" si="35"/>
        <v>10.039999999999999</v>
      </c>
      <c r="M748" s="113"/>
    </row>
    <row r="749" spans="1:13" x14ac:dyDescent="0.2">
      <c r="A749" s="106" t="s">
        <v>5683</v>
      </c>
      <c r="B749" s="105" t="s">
        <v>2226</v>
      </c>
      <c r="C749" s="105" t="s">
        <v>5793</v>
      </c>
      <c r="D749" s="149" t="s">
        <v>2228</v>
      </c>
      <c r="E749" s="105">
        <v>1</v>
      </c>
      <c r="F749" s="133">
        <v>19.47</v>
      </c>
      <c r="G749" s="133">
        <v>23</v>
      </c>
      <c r="H749" s="109">
        <f t="shared" si="33"/>
        <v>23</v>
      </c>
      <c r="I749" s="119"/>
      <c r="J749" s="119">
        <v>0</v>
      </c>
      <c r="K749" s="119">
        <f t="shared" si="34"/>
        <v>23</v>
      </c>
      <c r="L749" s="152">
        <f t="shared" si="35"/>
        <v>19.47</v>
      </c>
      <c r="M749" s="113"/>
    </row>
    <row r="750" spans="1:13" x14ac:dyDescent="0.2">
      <c r="A750" s="106" t="s">
        <v>5683</v>
      </c>
      <c r="B750" s="105" t="s">
        <v>3912</v>
      </c>
      <c r="C750" s="105" t="s">
        <v>5794</v>
      </c>
      <c r="D750" s="149" t="s">
        <v>3913</v>
      </c>
      <c r="E750" s="105">
        <v>1</v>
      </c>
      <c r="F750" s="133">
        <v>15.25</v>
      </c>
      <c r="G750" s="133">
        <v>17.75</v>
      </c>
      <c r="H750" s="109">
        <f t="shared" si="33"/>
        <v>17.75</v>
      </c>
      <c r="I750" s="119"/>
      <c r="J750" s="119">
        <v>0</v>
      </c>
      <c r="K750" s="119">
        <f t="shared" si="34"/>
        <v>17.75</v>
      </c>
      <c r="L750" s="152">
        <f t="shared" si="35"/>
        <v>15.25</v>
      </c>
      <c r="M750" s="113"/>
    </row>
    <row r="751" spans="1:13" x14ac:dyDescent="0.2">
      <c r="A751" s="106" t="s">
        <v>5683</v>
      </c>
      <c r="B751" s="105" t="s">
        <v>5691</v>
      </c>
      <c r="C751" s="105" t="s">
        <v>5795</v>
      </c>
      <c r="D751" s="149" t="s">
        <v>5829</v>
      </c>
      <c r="E751" s="105">
        <v>1</v>
      </c>
      <c r="F751" s="133">
        <v>22.5</v>
      </c>
      <c r="G751" s="133">
        <v>30</v>
      </c>
      <c r="H751" s="109">
        <f t="shared" si="33"/>
        <v>30</v>
      </c>
      <c r="I751" s="119"/>
      <c r="J751" s="119">
        <v>0</v>
      </c>
      <c r="K751" s="119">
        <f t="shared" si="34"/>
        <v>30</v>
      </c>
      <c r="L751" s="152">
        <f t="shared" si="35"/>
        <v>22.5</v>
      </c>
      <c r="M751" s="113"/>
    </row>
    <row r="752" spans="1:13" x14ac:dyDescent="0.2">
      <c r="A752" s="106" t="s">
        <v>5683</v>
      </c>
      <c r="B752" s="105" t="s">
        <v>2712</v>
      </c>
      <c r="C752" s="105" t="s">
        <v>5796</v>
      </c>
      <c r="D752" s="149" t="s">
        <v>2714</v>
      </c>
      <c r="E752" s="105">
        <v>1</v>
      </c>
      <c r="F752" s="133">
        <v>185</v>
      </c>
      <c r="G752" s="133">
        <v>212.75</v>
      </c>
      <c r="H752" s="109">
        <f t="shared" si="33"/>
        <v>212.75</v>
      </c>
      <c r="I752" s="119"/>
      <c r="J752" s="119">
        <v>0</v>
      </c>
      <c r="K752" s="119">
        <f t="shared" si="34"/>
        <v>212.75</v>
      </c>
      <c r="L752" s="152">
        <f t="shared" si="35"/>
        <v>185</v>
      </c>
      <c r="M752" s="113"/>
    </row>
    <row r="753" spans="1:13" x14ac:dyDescent="0.2">
      <c r="A753" s="106" t="s">
        <v>5683</v>
      </c>
      <c r="B753" s="105" t="s">
        <v>3105</v>
      </c>
      <c r="C753" s="105" t="s">
        <v>5797</v>
      </c>
      <c r="D753" s="149" t="s">
        <v>3106</v>
      </c>
      <c r="E753" s="105">
        <v>2</v>
      </c>
      <c r="F753" s="133">
        <v>40.950000000000003</v>
      </c>
      <c r="G753" s="133">
        <v>45</v>
      </c>
      <c r="H753" s="109">
        <f t="shared" si="33"/>
        <v>90</v>
      </c>
      <c r="I753" s="119"/>
      <c r="J753" s="119">
        <v>0</v>
      </c>
      <c r="K753" s="119">
        <f t="shared" si="34"/>
        <v>90</v>
      </c>
      <c r="L753" s="152">
        <f t="shared" si="35"/>
        <v>81.900000000000006</v>
      </c>
      <c r="M753" s="113"/>
    </row>
    <row r="754" spans="1:13" x14ac:dyDescent="0.2">
      <c r="A754" s="106" t="s">
        <v>5683</v>
      </c>
      <c r="B754" s="105" t="s">
        <v>5247</v>
      </c>
      <c r="C754" s="105" t="s">
        <v>5797</v>
      </c>
      <c r="D754" s="149" t="s">
        <v>5407</v>
      </c>
      <c r="E754" s="105">
        <v>3</v>
      </c>
      <c r="F754" s="133">
        <v>32</v>
      </c>
      <c r="G754" s="133">
        <v>37</v>
      </c>
      <c r="H754" s="109">
        <f t="shared" si="33"/>
        <v>111</v>
      </c>
      <c r="I754" s="119"/>
      <c r="J754" s="119">
        <v>0</v>
      </c>
      <c r="K754" s="119">
        <f t="shared" si="34"/>
        <v>111</v>
      </c>
      <c r="L754" s="152">
        <f t="shared" si="35"/>
        <v>96</v>
      </c>
      <c r="M754" s="113"/>
    </row>
    <row r="755" spans="1:13" x14ac:dyDescent="0.2">
      <c r="A755" s="153" t="s">
        <v>5683</v>
      </c>
      <c r="B755" s="154" t="s">
        <v>1843</v>
      </c>
      <c r="C755" s="154" t="s">
        <v>5797</v>
      </c>
      <c r="D755" s="155" t="s">
        <v>1844</v>
      </c>
      <c r="E755" s="154">
        <v>1</v>
      </c>
      <c r="F755" s="236"/>
      <c r="G755" s="236">
        <v>73.25</v>
      </c>
      <c r="H755" s="237">
        <f t="shared" si="33"/>
        <v>73.25</v>
      </c>
      <c r="I755" s="147"/>
      <c r="J755" s="147">
        <v>0</v>
      </c>
      <c r="K755" s="147">
        <f t="shared" si="34"/>
        <v>73.25</v>
      </c>
      <c r="L755" s="148">
        <f t="shared" si="35"/>
        <v>0</v>
      </c>
      <c r="M755" s="113"/>
    </row>
    <row r="756" spans="1:13" x14ac:dyDescent="0.2">
      <c r="A756" s="106" t="s">
        <v>5683</v>
      </c>
      <c r="B756" s="105" t="s">
        <v>2394</v>
      </c>
      <c r="C756" s="105" t="s">
        <v>5798</v>
      </c>
      <c r="D756" s="149" t="s">
        <v>2395</v>
      </c>
      <c r="E756" s="105">
        <v>1</v>
      </c>
      <c r="F756" s="133">
        <v>58.45</v>
      </c>
      <c r="G756" s="133">
        <v>65</v>
      </c>
      <c r="H756" s="109">
        <f t="shared" si="33"/>
        <v>65</v>
      </c>
      <c r="I756" s="119"/>
      <c r="J756" s="119">
        <v>0</v>
      </c>
      <c r="K756" s="119">
        <f t="shared" si="34"/>
        <v>65</v>
      </c>
      <c r="L756" s="152">
        <f t="shared" si="35"/>
        <v>58.45</v>
      </c>
      <c r="M756" s="113"/>
    </row>
    <row r="757" spans="1:13" x14ac:dyDescent="0.2">
      <c r="A757" s="106" t="s">
        <v>5683</v>
      </c>
      <c r="B757" s="105" t="s">
        <v>3885</v>
      </c>
      <c r="C757" s="105" t="s">
        <v>5799</v>
      </c>
      <c r="D757" s="149" t="s">
        <v>3887</v>
      </c>
      <c r="E757" s="105">
        <v>3</v>
      </c>
      <c r="F757" s="133">
        <v>19</v>
      </c>
      <c r="G757" s="133">
        <v>22</v>
      </c>
      <c r="H757" s="109">
        <f t="shared" si="33"/>
        <v>66</v>
      </c>
      <c r="I757" s="119"/>
      <c r="J757" s="119">
        <v>0</v>
      </c>
      <c r="K757" s="119">
        <f t="shared" si="34"/>
        <v>66</v>
      </c>
      <c r="L757" s="152">
        <f t="shared" si="35"/>
        <v>57</v>
      </c>
      <c r="M757" s="113"/>
    </row>
    <row r="758" spans="1:13" x14ac:dyDescent="0.2">
      <c r="A758" s="106" t="s">
        <v>5683</v>
      </c>
      <c r="B758" s="105" t="s">
        <v>1977</v>
      </c>
      <c r="C758" s="105" t="s">
        <v>5800</v>
      </c>
      <c r="D758" s="149" t="s">
        <v>1979</v>
      </c>
      <c r="E758" s="105">
        <v>1</v>
      </c>
      <c r="F758" s="133">
        <v>0.76</v>
      </c>
      <c r="G758" s="133">
        <v>1</v>
      </c>
      <c r="H758" s="109">
        <f t="shared" si="33"/>
        <v>1</v>
      </c>
      <c r="I758" s="119"/>
      <c r="J758" s="119">
        <v>0</v>
      </c>
      <c r="K758" s="119">
        <f t="shared" si="34"/>
        <v>1</v>
      </c>
      <c r="L758" s="152">
        <f t="shared" si="35"/>
        <v>0.76</v>
      </c>
      <c r="M758" s="113"/>
    </row>
    <row r="759" spans="1:13" x14ac:dyDescent="0.2">
      <c r="A759" s="106" t="s">
        <v>5683</v>
      </c>
      <c r="B759" s="105" t="s">
        <v>3030</v>
      </c>
      <c r="C759" s="105" t="s">
        <v>5801</v>
      </c>
      <c r="D759" s="149" t="s">
        <v>3032</v>
      </c>
      <c r="E759" s="105">
        <v>1</v>
      </c>
      <c r="F759" s="133">
        <v>18.25</v>
      </c>
      <c r="G759" s="133">
        <v>21</v>
      </c>
      <c r="H759" s="109">
        <f t="shared" si="33"/>
        <v>21</v>
      </c>
      <c r="I759" s="119"/>
      <c r="J759" s="119">
        <v>0</v>
      </c>
      <c r="K759" s="119">
        <f t="shared" si="34"/>
        <v>21</v>
      </c>
      <c r="L759" s="152">
        <f t="shared" si="35"/>
        <v>18.25</v>
      </c>
      <c r="M759" s="113"/>
    </row>
    <row r="760" spans="1:13" x14ac:dyDescent="0.2">
      <c r="A760" s="106" t="s">
        <v>5683</v>
      </c>
      <c r="B760" s="105" t="s">
        <v>2094</v>
      </c>
      <c r="C760" s="105" t="s">
        <v>5801</v>
      </c>
      <c r="D760" s="149" t="s">
        <v>2096</v>
      </c>
      <c r="E760" s="105">
        <v>2</v>
      </c>
      <c r="F760" s="133">
        <v>12.56</v>
      </c>
      <c r="G760" s="133">
        <v>14.5</v>
      </c>
      <c r="H760" s="109">
        <f t="shared" si="33"/>
        <v>29</v>
      </c>
      <c r="I760" s="119"/>
      <c r="J760" s="119">
        <v>0</v>
      </c>
      <c r="K760" s="119">
        <f t="shared" si="34"/>
        <v>29</v>
      </c>
      <c r="L760" s="152">
        <f t="shared" si="35"/>
        <v>25.12</v>
      </c>
      <c r="M760" s="113"/>
    </row>
    <row r="761" spans="1:13" x14ac:dyDescent="0.2">
      <c r="A761" s="106" t="s">
        <v>5683</v>
      </c>
      <c r="B761" s="105" t="s">
        <v>3986</v>
      </c>
      <c r="C761" s="105" t="s">
        <v>5801</v>
      </c>
      <c r="D761" s="149" t="s">
        <v>3988</v>
      </c>
      <c r="E761" s="105">
        <v>1</v>
      </c>
      <c r="F761" s="133">
        <v>31.04</v>
      </c>
      <c r="G761" s="133">
        <v>37</v>
      </c>
      <c r="H761" s="109">
        <f t="shared" si="33"/>
        <v>37</v>
      </c>
      <c r="I761" s="119"/>
      <c r="J761" s="119">
        <v>0</v>
      </c>
      <c r="K761" s="119">
        <f t="shared" si="34"/>
        <v>37</v>
      </c>
      <c r="L761" s="152">
        <f t="shared" si="35"/>
        <v>31.04</v>
      </c>
      <c r="M761" s="113"/>
    </row>
    <row r="762" spans="1:13" x14ac:dyDescent="0.2">
      <c r="A762" s="106" t="s">
        <v>5683</v>
      </c>
      <c r="B762" s="105" t="s">
        <v>2639</v>
      </c>
      <c r="C762" s="105" t="s">
        <v>5801</v>
      </c>
      <c r="D762" s="149" t="s">
        <v>2640</v>
      </c>
      <c r="E762" s="105">
        <v>1</v>
      </c>
      <c r="F762" s="133">
        <v>17.059999999999999</v>
      </c>
      <c r="G762" s="133">
        <v>19.75</v>
      </c>
      <c r="H762" s="109">
        <f t="shared" si="33"/>
        <v>19.75</v>
      </c>
      <c r="I762" s="119"/>
      <c r="J762" s="119">
        <v>0</v>
      </c>
      <c r="K762" s="119">
        <f t="shared" si="34"/>
        <v>19.75</v>
      </c>
      <c r="L762" s="152">
        <f t="shared" si="35"/>
        <v>17.059999999999999</v>
      </c>
      <c r="M762" s="113"/>
    </row>
    <row r="763" spans="1:13" x14ac:dyDescent="0.2">
      <c r="A763" s="106" t="s">
        <v>5683</v>
      </c>
      <c r="B763" s="105" t="s">
        <v>4129</v>
      </c>
      <c r="C763" s="105" t="s">
        <v>5801</v>
      </c>
      <c r="D763" s="149" t="s">
        <v>4130</v>
      </c>
      <c r="E763" s="105">
        <v>2</v>
      </c>
      <c r="F763" s="133">
        <v>5.25</v>
      </c>
      <c r="G763" s="133">
        <v>6</v>
      </c>
      <c r="H763" s="109">
        <f t="shared" si="33"/>
        <v>12</v>
      </c>
      <c r="I763" s="119"/>
      <c r="J763" s="119">
        <v>0</v>
      </c>
      <c r="K763" s="119">
        <f t="shared" si="34"/>
        <v>12</v>
      </c>
      <c r="L763" s="152">
        <f t="shared" si="35"/>
        <v>10.5</v>
      </c>
      <c r="M763" s="113"/>
    </row>
    <row r="764" spans="1:13" x14ac:dyDescent="0.2">
      <c r="A764" s="106" t="s">
        <v>5684</v>
      </c>
      <c r="B764" s="105" t="s">
        <v>5692</v>
      </c>
      <c r="C764" s="105" t="s">
        <v>5802</v>
      </c>
      <c r="D764" s="149" t="s">
        <v>5830</v>
      </c>
      <c r="E764" s="105">
        <v>5</v>
      </c>
      <c r="F764" s="133">
        <v>22</v>
      </c>
      <c r="G764" s="133">
        <v>26.5</v>
      </c>
      <c r="H764" s="109">
        <f t="shared" si="33"/>
        <v>132.5</v>
      </c>
      <c r="I764" s="119"/>
      <c r="J764" s="119">
        <v>0</v>
      </c>
      <c r="K764" s="119">
        <f t="shared" si="34"/>
        <v>132.5</v>
      </c>
      <c r="L764" s="152">
        <f t="shared" si="35"/>
        <v>110</v>
      </c>
      <c r="M764" s="113"/>
    </row>
    <row r="765" spans="1:13" x14ac:dyDescent="0.2">
      <c r="A765" s="106" t="s">
        <v>5684</v>
      </c>
      <c r="B765" s="105" t="s">
        <v>2293</v>
      </c>
      <c r="C765" s="105" t="s">
        <v>5803</v>
      </c>
      <c r="D765" s="149" t="s">
        <v>2295</v>
      </c>
      <c r="E765" s="105">
        <v>2</v>
      </c>
      <c r="F765" s="133">
        <v>27.84</v>
      </c>
      <c r="G765" s="133">
        <v>45</v>
      </c>
      <c r="H765" s="109">
        <f t="shared" si="33"/>
        <v>90</v>
      </c>
      <c r="I765" s="119"/>
      <c r="J765" s="119">
        <v>0</v>
      </c>
      <c r="K765" s="119">
        <f t="shared" si="34"/>
        <v>90</v>
      </c>
      <c r="L765" s="152">
        <f t="shared" si="35"/>
        <v>55.68</v>
      </c>
      <c r="M765" s="113"/>
    </row>
    <row r="766" spans="1:13" x14ac:dyDescent="0.2">
      <c r="A766" s="106" t="s">
        <v>5684</v>
      </c>
      <c r="B766" s="105" t="s">
        <v>3543</v>
      </c>
      <c r="C766" s="105" t="s">
        <v>5804</v>
      </c>
      <c r="D766" s="149" t="s">
        <v>3544</v>
      </c>
      <c r="E766" s="105">
        <v>1</v>
      </c>
      <c r="F766" s="133">
        <v>68.540000000000006</v>
      </c>
      <c r="G766" s="133">
        <v>79</v>
      </c>
      <c r="H766" s="109">
        <f t="shared" si="33"/>
        <v>79</v>
      </c>
      <c r="I766" s="119"/>
      <c r="J766" s="119">
        <v>0</v>
      </c>
      <c r="K766" s="119">
        <f t="shared" si="34"/>
        <v>79</v>
      </c>
      <c r="L766" s="152">
        <f t="shared" si="35"/>
        <v>68.540000000000006</v>
      </c>
      <c r="M766" s="113"/>
    </row>
    <row r="767" spans="1:13" x14ac:dyDescent="0.2">
      <c r="A767" s="106" t="s">
        <v>5684</v>
      </c>
      <c r="B767" s="105" t="s">
        <v>3986</v>
      </c>
      <c r="C767" s="105" t="s">
        <v>5804</v>
      </c>
      <c r="D767" s="149" t="s">
        <v>3988</v>
      </c>
      <c r="E767" s="105">
        <v>1</v>
      </c>
      <c r="F767" s="133">
        <v>31.04</v>
      </c>
      <c r="G767" s="133">
        <v>37</v>
      </c>
      <c r="H767" s="109">
        <f t="shared" si="33"/>
        <v>37</v>
      </c>
      <c r="I767" s="119"/>
      <c r="J767" s="119">
        <v>0</v>
      </c>
      <c r="K767" s="119">
        <f t="shared" si="34"/>
        <v>37</v>
      </c>
      <c r="L767" s="152">
        <f t="shared" si="35"/>
        <v>31.04</v>
      </c>
      <c r="M767" s="113"/>
    </row>
    <row r="768" spans="1:13" x14ac:dyDescent="0.2">
      <c r="A768" s="106" t="s">
        <v>5684</v>
      </c>
      <c r="B768" s="105" t="s">
        <v>2821</v>
      </c>
      <c r="C768" s="105" t="s">
        <v>5804</v>
      </c>
      <c r="D768" s="149" t="s">
        <v>2823</v>
      </c>
      <c r="E768" s="105">
        <v>1</v>
      </c>
      <c r="F768" s="133">
        <v>237.14</v>
      </c>
      <c r="G768" s="133">
        <v>272.75</v>
      </c>
      <c r="H768" s="109">
        <f t="shared" si="33"/>
        <v>272.75</v>
      </c>
      <c r="I768" s="119"/>
      <c r="J768" s="119">
        <v>0</v>
      </c>
      <c r="K768" s="119">
        <f t="shared" si="34"/>
        <v>272.75</v>
      </c>
      <c r="L768" s="152">
        <f t="shared" si="35"/>
        <v>237.14</v>
      </c>
      <c r="M768" s="113"/>
    </row>
    <row r="769" spans="1:13" x14ac:dyDescent="0.2">
      <c r="A769" s="106" t="s">
        <v>5684</v>
      </c>
      <c r="B769" s="105" t="s">
        <v>4519</v>
      </c>
      <c r="C769" s="105" t="s">
        <v>5804</v>
      </c>
      <c r="D769" s="149" t="s">
        <v>4624</v>
      </c>
      <c r="E769" s="105">
        <v>1</v>
      </c>
      <c r="F769" s="133">
        <v>91.4</v>
      </c>
      <c r="G769" s="133">
        <v>105.25</v>
      </c>
      <c r="H769" s="109">
        <f t="shared" si="33"/>
        <v>105.25</v>
      </c>
      <c r="I769" s="119"/>
      <c r="J769" s="119">
        <v>0</v>
      </c>
      <c r="K769" s="119">
        <f t="shared" si="34"/>
        <v>105.25</v>
      </c>
      <c r="L769" s="152">
        <f t="shared" si="35"/>
        <v>91.4</v>
      </c>
      <c r="M769" s="113"/>
    </row>
    <row r="770" spans="1:13" x14ac:dyDescent="0.2">
      <c r="A770" s="106" t="s">
        <v>5684</v>
      </c>
      <c r="B770" s="105" t="s">
        <v>4203</v>
      </c>
      <c r="C770" s="105" t="s">
        <v>5804</v>
      </c>
      <c r="D770" s="149" t="s">
        <v>4204</v>
      </c>
      <c r="E770" s="105">
        <v>1</v>
      </c>
      <c r="F770" s="133">
        <v>36.11</v>
      </c>
      <c r="G770" s="133">
        <v>41.75</v>
      </c>
      <c r="H770" s="109">
        <f t="shared" si="33"/>
        <v>41.75</v>
      </c>
      <c r="I770" s="119"/>
      <c r="J770" s="119">
        <v>0</v>
      </c>
      <c r="K770" s="119">
        <f t="shared" si="34"/>
        <v>41.75</v>
      </c>
      <c r="L770" s="152">
        <f t="shared" si="35"/>
        <v>36.11</v>
      </c>
      <c r="M770" s="113"/>
    </row>
    <row r="771" spans="1:13" x14ac:dyDescent="0.2">
      <c r="A771" s="106" t="s">
        <v>5684</v>
      </c>
      <c r="B771" s="105" t="s">
        <v>2170</v>
      </c>
      <c r="C771" s="105" t="s">
        <v>5804</v>
      </c>
      <c r="D771" s="149" t="s">
        <v>2171</v>
      </c>
      <c r="E771" s="105">
        <v>6</v>
      </c>
      <c r="F771" s="133">
        <v>38.81</v>
      </c>
      <c r="G771" s="133">
        <v>47.5</v>
      </c>
      <c r="H771" s="109">
        <f t="shared" ref="H771" si="36">E771*G771</f>
        <v>285</v>
      </c>
      <c r="I771" s="119"/>
      <c r="J771" s="119">
        <v>0</v>
      </c>
      <c r="K771" s="119">
        <f t="shared" ref="K771" si="37">H771+I771-J771</f>
        <v>285</v>
      </c>
      <c r="L771" s="152">
        <f t="shared" ref="L771" si="38">E771*F771</f>
        <v>232.86</v>
      </c>
      <c r="M771" s="113"/>
    </row>
    <row r="772" spans="1:13" x14ac:dyDescent="0.2">
      <c r="A772" s="153" t="s">
        <v>5684</v>
      </c>
      <c r="B772" s="154" t="s">
        <v>2170</v>
      </c>
      <c r="C772" s="154" t="s">
        <v>5804</v>
      </c>
      <c r="D772" s="155" t="s">
        <v>2171</v>
      </c>
      <c r="E772" s="154">
        <v>2</v>
      </c>
      <c r="F772" s="236"/>
      <c r="G772" s="236">
        <v>47.5</v>
      </c>
      <c r="H772" s="237">
        <f t="shared" si="33"/>
        <v>95</v>
      </c>
      <c r="I772" s="147"/>
      <c r="J772" s="147">
        <v>0</v>
      </c>
      <c r="K772" s="147">
        <f t="shared" si="34"/>
        <v>95</v>
      </c>
      <c r="L772" s="148">
        <f t="shared" si="35"/>
        <v>0</v>
      </c>
      <c r="M772" s="113"/>
    </row>
    <row r="773" spans="1:13" x14ac:dyDescent="0.2">
      <c r="A773" s="106" t="s">
        <v>5684</v>
      </c>
      <c r="B773" s="105" t="s">
        <v>4482</v>
      </c>
      <c r="C773" s="105" t="s">
        <v>5804</v>
      </c>
      <c r="D773" s="149" t="s">
        <v>4514</v>
      </c>
      <c r="E773" s="105">
        <v>1</v>
      </c>
      <c r="F773" s="133">
        <v>90.42</v>
      </c>
      <c r="G773" s="133">
        <v>104</v>
      </c>
      <c r="H773" s="109">
        <f t="shared" si="33"/>
        <v>104</v>
      </c>
      <c r="I773" s="119"/>
      <c r="J773" s="119">
        <v>0</v>
      </c>
      <c r="K773" s="119">
        <f t="shared" si="34"/>
        <v>104</v>
      </c>
      <c r="L773" s="152">
        <f t="shared" si="35"/>
        <v>90.42</v>
      </c>
      <c r="M773" s="113"/>
    </row>
    <row r="774" spans="1:13" x14ac:dyDescent="0.2">
      <c r="A774" s="106" t="s">
        <v>5684</v>
      </c>
      <c r="B774" s="105" t="s">
        <v>5113</v>
      </c>
      <c r="C774" s="105" t="s">
        <v>5804</v>
      </c>
      <c r="D774" s="149" t="s">
        <v>5161</v>
      </c>
      <c r="E774" s="105">
        <v>1</v>
      </c>
      <c r="F774" s="133">
        <v>97.04</v>
      </c>
      <c r="G774" s="133">
        <v>111.75</v>
      </c>
      <c r="H774" s="109">
        <f t="shared" si="33"/>
        <v>111.75</v>
      </c>
      <c r="I774" s="119"/>
      <c r="J774" s="119">
        <v>0</v>
      </c>
      <c r="K774" s="119">
        <f t="shared" si="34"/>
        <v>111.75</v>
      </c>
      <c r="L774" s="152">
        <f t="shared" si="35"/>
        <v>97.04</v>
      </c>
      <c r="M774" s="113"/>
    </row>
    <row r="775" spans="1:13" x14ac:dyDescent="0.2">
      <c r="A775" s="106" t="s">
        <v>5684</v>
      </c>
      <c r="B775" s="105" t="s">
        <v>4138</v>
      </c>
      <c r="C775" s="105" t="s">
        <v>5804</v>
      </c>
      <c r="D775" s="149" t="s">
        <v>4140</v>
      </c>
      <c r="E775" s="105">
        <v>2</v>
      </c>
      <c r="F775" s="133">
        <v>36.58</v>
      </c>
      <c r="G775" s="133">
        <v>42.25</v>
      </c>
      <c r="H775" s="109">
        <f t="shared" ref="H775:H838" si="39">E775*G775</f>
        <v>84.5</v>
      </c>
      <c r="I775" s="119"/>
      <c r="J775" s="119">
        <v>0</v>
      </c>
      <c r="K775" s="119">
        <f t="shared" si="34"/>
        <v>84.5</v>
      </c>
      <c r="L775" s="152">
        <f t="shared" si="35"/>
        <v>73.16</v>
      </c>
      <c r="M775" s="113"/>
    </row>
    <row r="776" spans="1:13" x14ac:dyDescent="0.2">
      <c r="A776" s="106" t="s">
        <v>5684</v>
      </c>
      <c r="B776" s="105" t="s">
        <v>2659</v>
      </c>
      <c r="C776" s="105" t="s">
        <v>5804</v>
      </c>
      <c r="D776" s="149" t="s">
        <v>2661</v>
      </c>
      <c r="E776" s="105">
        <v>1</v>
      </c>
      <c r="F776" s="133">
        <v>61.5</v>
      </c>
      <c r="G776" s="133">
        <v>70.75</v>
      </c>
      <c r="H776" s="109">
        <f t="shared" si="39"/>
        <v>70.75</v>
      </c>
      <c r="I776" s="119"/>
      <c r="J776" s="119">
        <v>0</v>
      </c>
      <c r="K776" s="119">
        <f t="shared" ref="K776:K839" si="40">H776+I776-J776</f>
        <v>70.75</v>
      </c>
      <c r="L776" s="152">
        <f t="shared" ref="L776:L839" si="41">E776*F776</f>
        <v>61.5</v>
      </c>
      <c r="M776" s="113"/>
    </row>
    <row r="777" spans="1:13" x14ac:dyDescent="0.2">
      <c r="A777" s="106" t="s">
        <v>5684</v>
      </c>
      <c r="B777" s="105" t="s">
        <v>2512</v>
      </c>
      <c r="C777" s="105" t="s">
        <v>5804</v>
      </c>
      <c r="D777" s="149" t="s">
        <v>2514</v>
      </c>
      <c r="E777" s="105">
        <v>1</v>
      </c>
      <c r="F777" s="133">
        <v>58</v>
      </c>
      <c r="G777" s="133">
        <v>67</v>
      </c>
      <c r="H777" s="109">
        <f t="shared" si="39"/>
        <v>67</v>
      </c>
      <c r="I777" s="119"/>
      <c r="J777" s="119">
        <v>0</v>
      </c>
      <c r="K777" s="119">
        <f t="shared" si="40"/>
        <v>67</v>
      </c>
      <c r="L777" s="152">
        <f t="shared" si="41"/>
        <v>58</v>
      </c>
      <c r="M777" s="113"/>
    </row>
    <row r="778" spans="1:13" x14ac:dyDescent="0.2">
      <c r="A778" s="106" t="s">
        <v>5684</v>
      </c>
      <c r="B778" s="105" t="s">
        <v>3599</v>
      </c>
      <c r="C778" s="105" t="s">
        <v>5804</v>
      </c>
      <c r="D778" s="149" t="s">
        <v>3601</v>
      </c>
      <c r="E778" s="105">
        <v>1</v>
      </c>
      <c r="F778" s="133">
        <v>61.5</v>
      </c>
      <c r="G778" s="133">
        <v>70.75</v>
      </c>
      <c r="H778" s="109">
        <f t="shared" si="39"/>
        <v>70.75</v>
      </c>
      <c r="I778" s="119"/>
      <c r="J778" s="119">
        <v>0</v>
      </c>
      <c r="K778" s="119">
        <f t="shared" si="40"/>
        <v>70.75</v>
      </c>
      <c r="L778" s="152">
        <f t="shared" si="41"/>
        <v>61.5</v>
      </c>
      <c r="M778" s="113"/>
    </row>
    <row r="779" spans="1:13" x14ac:dyDescent="0.2">
      <c r="A779" s="106" t="s">
        <v>5684</v>
      </c>
      <c r="B779" s="105" t="s">
        <v>2278</v>
      </c>
      <c r="C779" s="105" t="s">
        <v>5804</v>
      </c>
      <c r="D779" s="149" t="s">
        <v>2280</v>
      </c>
      <c r="E779" s="105">
        <v>1</v>
      </c>
      <c r="F779" s="133">
        <v>144.31</v>
      </c>
      <c r="G779" s="133">
        <v>166</v>
      </c>
      <c r="H779" s="109">
        <f t="shared" si="39"/>
        <v>166</v>
      </c>
      <c r="I779" s="119"/>
      <c r="J779" s="119">
        <v>0</v>
      </c>
      <c r="K779" s="119">
        <f t="shared" si="40"/>
        <v>166</v>
      </c>
      <c r="L779" s="152">
        <f t="shared" si="41"/>
        <v>144.31</v>
      </c>
      <c r="M779" s="113"/>
    </row>
    <row r="780" spans="1:13" x14ac:dyDescent="0.2">
      <c r="A780" s="106" t="s">
        <v>5684</v>
      </c>
      <c r="B780" s="105" t="s">
        <v>4999</v>
      </c>
      <c r="C780" s="105" t="s">
        <v>5804</v>
      </c>
      <c r="D780" s="149" t="s">
        <v>5025</v>
      </c>
      <c r="E780" s="105">
        <v>1</v>
      </c>
      <c r="F780" s="133">
        <v>296.10000000000002</v>
      </c>
      <c r="G780" s="133">
        <v>340.75</v>
      </c>
      <c r="H780" s="109">
        <f t="shared" si="39"/>
        <v>340.75</v>
      </c>
      <c r="I780" s="119"/>
      <c r="J780" s="119">
        <v>0</v>
      </c>
      <c r="K780" s="119">
        <f t="shared" si="40"/>
        <v>340.75</v>
      </c>
      <c r="L780" s="152">
        <f t="shared" si="41"/>
        <v>296.10000000000002</v>
      </c>
      <c r="M780" s="113"/>
    </row>
    <row r="781" spans="1:13" x14ac:dyDescent="0.2">
      <c r="A781" s="106" t="s">
        <v>5684</v>
      </c>
      <c r="B781" s="105" t="s">
        <v>2794</v>
      </c>
      <c r="C781" s="105" t="s">
        <v>5804</v>
      </c>
      <c r="D781" s="149" t="s">
        <v>2795</v>
      </c>
      <c r="E781" s="105">
        <v>1</v>
      </c>
      <c r="F781" s="133">
        <v>23.15</v>
      </c>
      <c r="G781" s="133">
        <v>27</v>
      </c>
      <c r="H781" s="109">
        <f t="shared" si="39"/>
        <v>27</v>
      </c>
      <c r="I781" s="119"/>
      <c r="J781" s="119">
        <v>0</v>
      </c>
      <c r="K781" s="119">
        <f t="shared" si="40"/>
        <v>27</v>
      </c>
      <c r="L781" s="152">
        <f t="shared" si="41"/>
        <v>23.15</v>
      </c>
      <c r="M781" s="113"/>
    </row>
    <row r="782" spans="1:13" x14ac:dyDescent="0.2">
      <c r="A782" s="106" t="s">
        <v>5684</v>
      </c>
      <c r="B782" s="105" t="s">
        <v>2890</v>
      </c>
      <c r="C782" s="105" t="s">
        <v>5804</v>
      </c>
      <c r="D782" s="149" t="s">
        <v>2892</v>
      </c>
      <c r="E782" s="105">
        <v>1</v>
      </c>
      <c r="F782" s="133">
        <v>54.38</v>
      </c>
      <c r="G782" s="133">
        <v>62.75</v>
      </c>
      <c r="H782" s="109">
        <f t="shared" si="39"/>
        <v>62.75</v>
      </c>
      <c r="I782" s="119"/>
      <c r="J782" s="119">
        <v>0</v>
      </c>
      <c r="K782" s="119">
        <f t="shared" si="40"/>
        <v>62.75</v>
      </c>
      <c r="L782" s="152">
        <f t="shared" si="41"/>
        <v>54.38</v>
      </c>
      <c r="M782" s="113"/>
    </row>
    <row r="783" spans="1:13" x14ac:dyDescent="0.2">
      <c r="A783" s="106" t="s">
        <v>5684</v>
      </c>
      <c r="B783" s="105" t="s">
        <v>4150</v>
      </c>
      <c r="C783" s="105" t="s">
        <v>5805</v>
      </c>
      <c r="D783" s="149" t="s">
        <v>4152</v>
      </c>
      <c r="E783" s="105">
        <v>1</v>
      </c>
      <c r="F783" s="133">
        <v>14.82</v>
      </c>
      <c r="G783" s="133">
        <v>17.25</v>
      </c>
      <c r="H783" s="109">
        <f t="shared" si="39"/>
        <v>17.25</v>
      </c>
      <c r="I783" s="119"/>
      <c r="J783" s="119">
        <v>0</v>
      </c>
      <c r="K783" s="119">
        <f t="shared" si="40"/>
        <v>17.25</v>
      </c>
      <c r="L783" s="152">
        <f t="shared" si="41"/>
        <v>14.82</v>
      </c>
      <c r="M783" s="113"/>
    </row>
    <row r="784" spans="1:13" x14ac:dyDescent="0.2">
      <c r="A784" s="106" t="s">
        <v>5684</v>
      </c>
      <c r="B784" s="105" t="s">
        <v>1977</v>
      </c>
      <c r="C784" s="105" t="s">
        <v>5806</v>
      </c>
      <c r="D784" s="149" t="s">
        <v>1979</v>
      </c>
      <c r="E784" s="105">
        <v>4</v>
      </c>
      <c r="F784" s="133">
        <v>0.76</v>
      </c>
      <c r="G784" s="133">
        <v>1</v>
      </c>
      <c r="H784" s="109">
        <f t="shared" si="39"/>
        <v>4</v>
      </c>
      <c r="I784" s="119"/>
      <c r="J784" s="119">
        <v>0</v>
      </c>
      <c r="K784" s="119">
        <f t="shared" si="40"/>
        <v>4</v>
      </c>
      <c r="L784" s="152">
        <f t="shared" si="41"/>
        <v>3.04</v>
      </c>
      <c r="M784" s="113"/>
    </row>
    <row r="785" spans="1:13" x14ac:dyDescent="0.2">
      <c r="A785" s="106" t="s">
        <v>5684</v>
      </c>
      <c r="B785" s="105" t="s">
        <v>1977</v>
      </c>
      <c r="C785" s="105" t="s">
        <v>5807</v>
      </c>
      <c r="D785" s="149" t="s">
        <v>1979</v>
      </c>
      <c r="E785" s="105">
        <v>5</v>
      </c>
      <c r="F785" s="133">
        <v>0.76</v>
      </c>
      <c r="G785" s="133">
        <v>1</v>
      </c>
      <c r="H785" s="109">
        <f t="shared" si="39"/>
        <v>5</v>
      </c>
      <c r="I785" s="119"/>
      <c r="J785" s="119">
        <v>0</v>
      </c>
      <c r="K785" s="119">
        <f t="shared" si="40"/>
        <v>5</v>
      </c>
      <c r="L785" s="152">
        <f t="shared" si="41"/>
        <v>3.8</v>
      </c>
      <c r="M785" s="113"/>
    </row>
    <row r="786" spans="1:13" x14ac:dyDescent="0.2">
      <c r="A786" s="106" t="s">
        <v>5684</v>
      </c>
      <c r="B786" s="105" t="s">
        <v>1977</v>
      </c>
      <c r="C786" s="105" t="s">
        <v>5808</v>
      </c>
      <c r="D786" s="149" t="s">
        <v>1979</v>
      </c>
      <c r="E786" s="105">
        <v>2</v>
      </c>
      <c r="F786" s="133">
        <v>0.76</v>
      </c>
      <c r="G786" s="133">
        <v>1</v>
      </c>
      <c r="H786" s="109">
        <f t="shared" si="39"/>
        <v>2</v>
      </c>
      <c r="I786" s="119"/>
      <c r="J786" s="119">
        <v>0</v>
      </c>
      <c r="K786" s="119">
        <f t="shared" si="40"/>
        <v>2</v>
      </c>
      <c r="L786" s="152">
        <f t="shared" si="41"/>
        <v>1.52</v>
      </c>
      <c r="M786" s="113"/>
    </row>
    <row r="787" spans="1:13" x14ac:dyDescent="0.2">
      <c r="A787" s="106" t="s">
        <v>5684</v>
      </c>
      <c r="B787" s="105" t="s">
        <v>3652</v>
      </c>
      <c r="C787" s="105" t="s">
        <v>5809</v>
      </c>
      <c r="D787" s="149" t="s">
        <v>3653</v>
      </c>
      <c r="E787" s="105">
        <v>1</v>
      </c>
      <c r="F787" s="133">
        <v>75</v>
      </c>
      <c r="G787" s="133">
        <v>83</v>
      </c>
      <c r="H787" s="109">
        <f t="shared" si="39"/>
        <v>83</v>
      </c>
      <c r="I787" s="119"/>
      <c r="J787" s="119">
        <v>0</v>
      </c>
      <c r="K787" s="119">
        <f t="shared" si="40"/>
        <v>83</v>
      </c>
      <c r="L787" s="152">
        <f t="shared" si="41"/>
        <v>75</v>
      </c>
      <c r="M787" s="113"/>
    </row>
    <row r="788" spans="1:13" x14ac:dyDescent="0.2">
      <c r="A788" s="106" t="s">
        <v>5684</v>
      </c>
      <c r="B788" s="105" t="s">
        <v>5693</v>
      </c>
      <c r="C788" s="105" t="s">
        <v>5810</v>
      </c>
      <c r="D788" s="149" t="s">
        <v>5831</v>
      </c>
      <c r="E788" s="105">
        <v>1</v>
      </c>
      <c r="F788" s="133">
        <v>5.61</v>
      </c>
      <c r="G788" s="133">
        <v>6.5</v>
      </c>
      <c r="H788" s="109">
        <f t="shared" si="39"/>
        <v>6.5</v>
      </c>
      <c r="I788" s="119"/>
      <c r="J788" s="119">
        <v>0</v>
      </c>
      <c r="K788" s="119">
        <f t="shared" si="40"/>
        <v>6.5</v>
      </c>
      <c r="L788" s="152">
        <f t="shared" si="41"/>
        <v>5.61</v>
      </c>
      <c r="M788" s="113"/>
    </row>
    <row r="789" spans="1:13" x14ac:dyDescent="0.2">
      <c r="A789" s="106" t="s">
        <v>5684</v>
      </c>
      <c r="B789" s="105" t="s">
        <v>5694</v>
      </c>
      <c r="C789" s="105" t="s">
        <v>5811</v>
      </c>
      <c r="D789" s="149" t="s">
        <v>5832</v>
      </c>
      <c r="E789" s="105">
        <v>1</v>
      </c>
      <c r="F789" s="133">
        <v>109.83</v>
      </c>
      <c r="G789" s="133">
        <v>126.5</v>
      </c>
      <c r="H789" s="109">
        <f t="shared" si="39"/>
        <v>126.5</v>
      </c>
      <c r="I789" s="119"/>
      <c r="J789" s="119">
        <v>0</v>
      </c>
      <c r="K789" s="119">
        <f t="shared" si="40"/>
        <v>126.5</v>
      </c>
      <c r="L789" s="152">
        <f t="shared" si="41"/>
        <v>109.83</v>
      </c>
      <c r="M789" s="113"/>
    </row>
    <row r="790" spans="1:13" x14ac:dyDescent="0.2">
      <c r="A790" s="106" t="s">
        <v>5684</v>
      </c>
      <c r="B790" s="105" t="s">
        <v>1977</v>
      </c>
      <c r="C790" s="105" t="s">
        <v>5812</v>
      </c>
      <c r="D790" s="149" t="s">
        <v>1979</v>
      </c>
      <c r="E790" s="105">
        <v>1</v>
      </c>
      <c r="F790" s="133">
        <v>0.76</v>
      </c>
      <c r="G790" s="133">
        <v>1</v>
      </c>
      <c r="H790" s="109">
        <f t="shared" si="39"/>
        <v>1</v>
      </c>
      <c r="I790" s="119"/>
      <c r="J790" s="119">
        <v>0</v>
      </c>
      <c r="K790" s="119">
        <f t="shared" si="40"/>
        <v>1</v>
      </c>
      <c r="L790" s="152">
        <f t="shared" si="41"/>
        <v>0.76</v>
      </c>
      <c r="M790" s="113"/>
    </row>
    <row r="791" spans="1:13" x14ac:dyDescent="0.2">
      <c r="A791" s="106" t="s">
        <v>5684</v>
      </c>
      <c r="B791" s="105" t="s">
        <v>2380</v>
      </c>
      <c r="C791" s="105" t="s">
        <v>5813</v>
      </c>
      <c r="D791" s="149" t="s">
        <v>2381</v>
      </c>
      <c r="E791" s="105">
        <v>1</v>
      </c>
      <c r="F791" s="133">
        <v>22.73</v>
      </c>
      <c r="G791" s="133">
        <v>26.25</v>
      </c>
      <c r="H791" s="109">
        <f t="shared" si="39"/>
        <v>26.25</v>
      </c>
      <c r="I791" s="119"/>
      <c r="J791" s="119">
        <v>0</v>
      </c>
      <c r="K791" s="119">
        <f t="shared" si="40"/>
        <v>26.25</v>
      </c>
      <c r="L791" s="152">
        <f t="shared" si="41"/>
        <v>22.73</v>
      </c>
      <c r="M791" s="113"/>
    </row>
    <row r="792" spans="1:13" x14ac:dyDescent="0.2">
      <c r="A792" s="106" t="s">
        <v>5684</v>
      </c>
      <c r="B792" s="105" t="s">
        <v>4328</v>
      </c>
      <c r="C792" s="105" t="s">
        <v>5813</v>
      </c>
      <c r="D792" s="149" t="s">
        <v>4358</v>
      </c>
      <c r="E792" s="105">
        <v>1</v>
      </c>
      <c r="F792" s="133">
        <v>23.63</v>
      </c>
      <c r="G792" s="133">
        <v>27.25</v>
      </c>
      <c r="H792" s="109">
        <f t="shared" si="39"/>
        <v>27.25</v>
      </c>
      <c r="I792" s="119"/>
      <c r="J792" s="119">
        <v>0</v>
      </c>
      <c r="K792" s="119">
        <f t="shared" si="40"/>
        <v>27.25</v>
      </c>
      <c r="L792" s="152">
        <f t="shared" si="41"/>
        <v>23.63</v>
      </c>
      <c r="M792" s="113"/>
    </row>
    <row r="793" spans="1:13" x14ac:dyDescent="0.2">
      <c r="A793" s="106" t="s">
        <v>5684</v>
      </c>
      <c r="B793" s="105" t="s">
        <v>1977</v>
      </c>
      <c r="C793" s="105" t="s">
        <v>5813</v>
      </c>
      <c r="D793" s="149" t="s">
        <v>1979</v>
      </c>
      <c r="E793" s="105">
        <v>5</v>
      </c>
      <c r="F793" s="133">
        <v>0.76</v>
      </c>
      <c r="G793" s="133">
        <v>1</v>
      </c>
      <c r="H793" s="109">
        <f t="shared" si="39"/>
        <v>5</v>
      </c>
      <c r="I793" s="119"/>
      <c r="J793" s="119">
        <v>0</v>
      </c>
      <c r="K793" s="119">
        <f t="shared" si="40"/>
        <v>5</v>
      </c>
      <c r="L793" s="152">
        <f t="shared" si="41"/>
        <v>3.8</v>
      </c>
      <c r="M793" s="113"/>
    </row>
    <row r="794" spans="1:13" x14ac:dyDescent="0.2">
      <c r="A794" s="106" t="s">
        <v>5684</v>
      </c>
      <c r="B794" s="105" t="s">
        <v>5695</v>
      </c>
      <c r="C794" s="105" t="s">
        <v>5814</v>
      </c>
      <c r="D794" s="149" t="s">
        <v>5833</v>
      </c>
      <c r="E794" s="105">
        <v>1</v>
      </c>
      <c r="F794" s="133">
        <v>6.82</v>
      </c>
      <c r="G794" s="133">
        <v>8</v>
      </c>
      <c r="H794" s="109">
        <f t="shared" si="39"/>
        <v>8</v>
      </c>
      <c r="I794" s="119"/>
      <c r="J794" s="119">
        <v>0</v>
      </c>
      <c r="K794" s="119">
        <f t="shared" si="40"/>
        <v>8</v>
      </c>
      <c r="L794" s="152">
        <f t="shared" si="41"/>
        <v>6.82</v>
      </c>
      <c r="M794" s="113"/>
    </row>
    <row r="795" spans="1:13" x14ac:dyDescent="0.2">
      <c r="A795" s="106" t="s">
        <v>5684</v>
      </c>
      <c r="B795" s="105" t="s">
        <v>2293</v>
      </c>
      <c r="C795" s="105" t="s">
        <v>5815</v>
      </c>
      <c r="D795" s="149" t="s">
        <v>2295</v>
      </c>
      <c r="E795" s="105">
        <v>2</v>
      </c>
      <c r="F795" s="133">
        <v>27.84</v>
      </c>
      <c r="G795" s="133">
        <v>45</v>
      </c>
      <c r="H795" s="109">
        <f t="shared" si="39"/>
        <v>90</v>
      </c>
      <c r="I795" s="119"/>
      <c r="J795" s="119">
        <v>0</v>
      </c>
      <c r="K795" s="119">
        <f t="shared" si="40"/>
        <v>90</v>
      </c>
      <c r="L795" s="152">
        <f t="shared" si="41"/>
        <v>55.68</v>
      </c>
      <c r="M795" s="113"/>
    </row>
    <row r="796" spans="1:13" x14ac:dyDescent="0.2">
      <c r="A796" s="106" t="s">
        <v>5684</v>
      </c>
      <c r="B796" s="105" t="s">
        <v>5688</v>
      </c>
      <c r="C796" s="105" t="s">
        <v>5815</v>
      </c>
      <c r="D796" s="149" t="s">
        <v>5826</v>
      </c>
      <c r="E796" s="105">
        <v>2</v>
      </c>
      <c r="F796" s="133">
        <v>74.38</v>
      </c>
      <c r="G796" s="133">
        <v>89.25</v>
      </c>
      <c r="H796" s="109">
        <f t="shared" si="39"/>
        <v>178.5</v>
      </c>
      <c r="I796" s="119"/>
      <c r="J796" s="119">
        <v>0</v>
      </c>
      <c r="K796" s="119">
        <f t="shared" si="40"/>
        <v>178.5</v>
      </c>
      <c r="L796" s="152">
        <f t="shared" si="41"/>
        <v>148.76</v>
      </c>
      <c r="M796" s="113"/>
    </row>
    <row r="797" spans="1:13" x14ac:dyDescent="0.2">
      <c r="A797" s="106" t="s">
        <v>5684</v>
      </c>
      <c r="B797" s="105" t="s">
        <v>3039</v>
      </c>
      <c r="C797" s="105" t="s">
        <v>5815</v>
      </c>
      <c r="D797" s="149" t="s">
        <v>3040</v>
      </c>
      <c r="E797" s="105">
        <v>1</v>
      </c>
      <c r="F797" s="133">
        <v>1670</v>
      </c>
      <c r="G797" s="133">
        <v>1920.5</v>
      </c>
      <c r="H797" s="109">
        <f t="shared" si="39"/>
        <v>1920.5</v>
      </c>
      <c r="I797" s="119"/>
      <c r="J797" s="119">
        <v>0</v>
      </c>
      <c r="K797" s="119">
        <f t="shared" si="40"/>
        <v>1920.5</v>
      </c>
      <c r="L797" s="152">
        <f t="shared" si="41"/>
        <v>1670</v>
      </c>
      <c r="M797" s="113"/>
    </row>
    <row r="798" spans="1:13" x14ac:dyDescent="0.2">
      <c r="A798" s="106" t="s">
        <v>5684</v>
      </c>
      <c r="B798" s="105" t="s">
        <v>2158</v>
      </c>
      <c r="C798" s="105" t="s">
        <v>5815</v>
      </c>
      <c r="D798" s="149" t="s">
        <v>2160</v>
      </c>
      <c r="E798" s="105">
        <v>3</v>
      </c>
      <c r="F798" s="133">
        <v>56.31</v>
      </c>
      <c r="G798" s="133">
        <v>67.5</v>
      </c>
      <c r="H798" s="109">
        <f t="shared" si="39"/>
        <v>202.5</v>
      </c>
      <c r="I798" s="119"/>
      <c r="J798" s="119">
        <v>0</v>
      </c>
      <c r="K798" s="119">
        <f t="shared" si="40"/>
        <v>202.5</v>
      </c>
      <c r="L798" s="152">
        <f t="shared" si="41"/>
        <v>168.93</v>
      </c>
      <c r="M798" s="113"/>
    </row>
    <row r="799" spans="1:13" x14ac:dyDescent="0.2">
      <c r="A799" s="106" t="s">
        <v>5684</v>
      </c>
      <c r="B799" s="105" t="s">
        <v>2371</v>
      </c>
      <c r="C799" s="105" t="s">
        <v>5815</v>
      </c>
      <c r="D799" s="149" t="s">
        <v>2372</v>
      </c>
      <c r="E799" s="105">
        <v>1</v>
      </c>
      <c r="F799" s="133">
        <v>39.880000000000003</v>
      </c>
      <c r="G799" s="133">
        <v>46</v>
      </c>
      <c r="H799" s="109">
        <f t="shared" si="39"/>
        <v>46</v>
      </c>
      <c r="I799" s="119"/>
      <c r="J799" s="119">
        <v>0</v>
      </c>
      <c r="K799" s="119">
        <f t="shared" si="40"/>
        <v>46</v>
      </c>
      <c r="L799" s="152">
        <f t="shared" si="41"/>
        <v>39.880000000000003</v>
      </c>
      <c r="M799" s="113"/>
    </row>
    <row r="800" spans="1:13" x14ac:dyDescent="0.2">
      <c r="A800" s="106" t="s">
        <v>5684</v>
      </c>
      <c r="B800" s="105" t="s">
        <v>1944</v>
      </c>
      <c r="C800" s="105" t="s">
        <v>5815</v>
      </c>
      <c r="D800" s="149" t="s">
        <v>1946</v>
      </c>
      <c r="E800" s="105">
        <v>17</v>
      </c>
      <c r="F800" s="133">
        <v>14.38</v>
      </c>
      <c r="G800" s="133">
        <v>16.75</v>
      </c>
      <c r="H800" s="109">
        <f t="shared" si="39"/>
        <v>284.75</v>
      </c>
      <c r="I800" s="119"/>
      <c r="J800" s="119">
        <v>0</v>
      </c>
      <c r="K800" s="119">
        <f t="shared" si="40"/>
        <v>284.75</v>
      </c>
      <c r="L800" s="152">
        <f t="shared" si="41"/>
        <v>244.46</v>
      </c>
      <c r="M800" s="113"/>
    </row>
    <row r="801" spans="1:13" x14ac:dyDescent="0.2">
      <c r="A801" s="106" t="s">
        <v>5684</v>
      </c>
      <c r="B801" s="105" t="s">
        <v>5696</v>
      </c>
      <c r="C801" s="105" t="s">
        <v>5815</v>
      </c>
      <c r="D801" s="149" t="s">
        <v>5834</v>
      </c>
      <c r="E801" s="105">
        <v>10</v>
      </c>
      <c r="F801" s="133">
        <v>6.89</v>
      </c>
      <c r="G801" s="133">
        <v>8</v>
      </c>
      <c r="H801" s="109">
        <f t="shared" si="39"/>
        <v>80</v>
      </c>
      <c r="I801" s="119"/>
      <c r="J801" s="119">
        <v>0</v>
      </c>
      <c r="K801" s="119">
        <f t="shared" si="40"/>
        <v>80</v>
      </c>
      <c r="L801" s="152">
        <f t="shared" si="41"/>
        <v>68.899999999999991</v>
      </c>
      <c r="M801" s="113"/>
    </row>
    <row r="802" spans="1:13" x14ac:dyDescent="0.2">
      <c r="A802" s="106" t="s">
        <v>5684</v>
      </c>
      <c r="B802" s="105" t="s">
        <v>3457</v>
      </c>
      <c r="C802" s="105" t="s">
        <v>5815</v>
      </c>
      <c r="D802" s="149" t="s">
        <v>3458</v>
      </c>
      <c r="E802" s="105">
        <v>5</v>
      </c>
      <c r="F802" s="133">
        <v>51.97</v>
      </c>
      <c r="G802" s="133">
        <v>60</v>
      </c>
      <c r="H802" s="109">
        <f t="shared" si="39"/>
        <v>300</v>
      </c>
      <c r="I802" s="119"/>
      <c r="J802" s="119">
        <v>0</v>
      </c>
      <c r="K802" s="119">
        <f t="shared" si="40"/>
        <v>300</v>
      </c>
      <c r="L802" s="152">
        <f t="shared" si="41"/>
        <v>259.85000000000002</v>
      </c>
      <c r="M802" s="113"/>
    </row>
    <row r="803" spans="1:13" x14ac:dyDescent="0.2">
      <c r="A803" s="106" t="s">
        <v>5684</v>
      </c>
      <c r="B803" s="105" t="s">
        <v>2205</v>
      </c>
      <c r="C803" s="105" t="s">
        <v>5815</v>
      </c>
      <c r="D803" s="149" t="s">
        <v>2207</v>
      </c>
      <c r="E803" s="105">
        <v>1</v>
      </c>
      <c r="F803" s="133">
        <v>41.86</v>
      </c>
      <c r="G803" s="133">
        <v>48.25</v>
      </c>
      <c r="H803" s="109">
        <f t="shared" si="39"/>
        <v>48.25</v>
      </c>
      <c r="I803" s="119"/>
      <c r="J803" s="119">
        <v>0</v>
      </c>
      <c r="K803" s="119">
        <f t="shared" si="40"/>
        <v>48.25</v>
      </c>
      <c r="L803" s="152">
        <f t="shared" si="41"/>
        <v>41.86</v>
      </c>
      <c r="M803" s="113"/>
    </row>
    <row r="804" spans="1:13" x14ac:dyDescent="0.2">
      <c r="A804" s="106" t="s">
        <v>5684</v>
      </c>
      <c r="B804" s="105" t="s">
        <v>2162</v>
      </c>
      <c r="C804" s="105" t="s">
        <v>5815</v>
      </c>
      <c r="D804" s="149" t="s">
        <v>2163</v>
      </c>
      <c r="E804" s="105">
        <v>1</v>
      </c>
      <c r="F804" s="133">
        <v>67.290000000000006</v>
      </c>
      <c r="G804" s="133">
        <v>77.5</v>
      </c>
      <c r="H804" s="109">
        <f t="shared" si="39"/>
        <v>77.5</v>
      </c>
      <c r="I804" s="119"/>
      <c r="J804" s="119">
        <v>0</v>
      </c>
      <c r="K804" s="119">
        <f t="shared" si="40"/>
        <v>77.5</v>
      </c>
      <c r="L804" s="152">
        <f t="shared" si="41"/>
        <v>67.290000000000006</v>
      </c>
      <c r="M804" s="113"/>
    </row>
    <row r="805" spans="1:13" x14ac:dyDescent="0.2">
      <c r="A805" s="106" t="s">
        <v>5684</v>
      </c>
      <c r="B805" s="105" t="s">
        <v>2702</v>
      </c>
      <c r="C805" s="105" t="s">
        <v>5815</v>
      </c>
      <c r="D805" s="149" t="s">
        <v>2703</v>
      </c>
      <c r="E805" s="105">
        <v>1</v>
      </c>
      <c r="F805" s="133">
        <v>51.5</v>
      </c>
      <c r="G805" s="133">
        <v>59.25</v>
      </c>
      <c r="H805" s="109">
        <f t="shared" si="39"/>
        <v>59.25</v>
      </c>
      <c r="I805" s="119"/>
      <c r="J805" s="119">
        <v>0</v>
      </c>
      <c r="K805" s="119">
        <f t="shared" si="40"/>
        <v>59.25</v>
      </c>
      <c r="L805" s="152">
        <f t="shared" si="41"/>
        <v>51.5</v>
      </c>
      <c r="M805" s="113"/>
    </row>
    <row r="806" spans="1:13" x14ac:dyDescent="0.2">
      <c r="A806" s="106" t="s">
        <v>5684</v>
      </c>
      <c r="B806" s="105" t="s">
        <v>2298</v>
      </c>
      <c r="C806" s="105" t="s">
        <v>5815</v>
      </c>
      <c r="D806" s="149" t="s">
        <v>2299</v>
      </c>
      <c r="E806" s="105">
        <v>1</v>
      </c>
      <c r="F806" s="133">
        <v>21.84</v>
      </c>
      <c r="G806" s="133">
        <v>25.25</v>
      </c>
      <c r="H806" s="109">
        <f t="shared" si="39"/>
        <v>25.25</v>
      </c>
      <c r="I806" s="119"/>
      <c r="J806" s="119">
        <v>0</v>
      </c>
      <c r="K806" s="119">
        <f t="shared" si="40"/>
        <v>25.25</v>
      </c>
      <c r="L806" s="152">
        <f t="shared" si="41"/>
        <v>21.84</v>
      </c>
      <c r="M806" s="113"/>
    </row>
    <row r="807" spans="1:13" x14ac:dyDescent="0.2">
      <c r="A807" s="106" t="s">
        <v>5684</v>
      </c>
      <c r="B807" s="105" t="s">
        <v>5697</v>
      </c>
      <c r="C807" s="105" t="s">
        <v>5815</v>
      </c>
      <c r="D807" s="149" t="s">
        <v>5835</v>
      </c>
      <c r="E807" s="105">
        <v>1</v>
      </c>
      <c r="F807" s="133">
        <v>202</v>
      </c>
      <c r="G807" s="133">
        <v>233.5</v>
      </c>
      <c r="H807" s="109">
        <f t="shared" si="39"/>
        <v>233.5</v>
      </c>
      <c r="I807" s="119"/>
      <c r="J807" s="119">
        <v>0</v>
      </c>
      <c r="K807" s="119">
        <f t="shared" si="40"/>
        <v>233.5</v>
      </c>
      <c r="L807" s="152">
        <f t="shared" si="41"/>
        <v>202</v>
      </c>
      <c r="M807" s="113"/>
    </row>
    <row r="808" spans="1:13" x14ac:dyDescent="0.2">
      <c r="A808" s="106" t="s">
        <v>5684</v>
      </c>
      <c r="B808" s="105" t="s">
        <v>2240</v>
      </c>
      <c r="C808" s="105" t="s">
        <v>5816</v>
      </c>
      <c r="D808" s="149" t="s">
        <v>2241</v>
      </c>
      <c r="E808" s="105">
        <v>1</v>
      </c>
      <c r="F808" s="133">
        <v>18.649999999999999</v>
      </c>
      <c r="G808" s="133">
        <v>21.5</v>
      </c>
      <c r="H808" s="109">
        <f t="shared" si="39"/>
        <v>21.5</v>
      </c>
      <c r="I808" s="119"/>
      <c r="J808" s="119">
        <v>0</v>
      </c>
      <c r="K808" s="119">
        <f t="shared" si="40"/>
        <v>21.5</v>
      </c>
      <c r="L808" s="152">
        <f t="shared" si="41"/>
        <v>18.649999999999999</v>
      </c>
      <c r="M808" s="113"/>
    </row>
    <row r="809" spans="1:13" x14ac:dyDescent="0.2">
      <c r="A809" s="106" t="s">
        <v>5684</v>
      </c>
      <c r="B809" s="105" t="s">
        <v>5695</v>
      </c>
      <c r="C809" s="105" t="s">
        <v>5817</v>
      </c>
      <c r="D809" s="149" t="s">
        <v>5833</v>
      </c>
      <c r="E809" s="105">
        <v>1</v>
      </c>
      <c r="F809" s="133">
        <v>6.82</v>
      </c>
      <c r="G809" s="133">
        <v>8</v>
      </c>
      <c r="H809" s="109">
        <f t="shared" si="39"/>
        <v>8</v>
      </c>
      <c r="I809" s="119"/>
      <c r="J809" s="119">
        <v>0</v>
      </c>
      <c r="K809" s="119">
        <f t="shared" si="40"/>
        <v>8</v>
      </c>
      <c r="L809" s="152">
        <f t="shared" si="41"/>
        <v>6.82</v>
      </c>
      <c r="M809" s="113"/>
    </row>
    <row r="810" spans="1:13" x14ac:dyDescent="0.2">
      <c r="A810" s="106" t="s">
        <v>5684</v>
      </c>
      <c r="B810" s="105" t="s">
        <v>1969</v>
      </c>
      <c r="C810" s="105" t="s">
        <v>5818</v>
      </c>
      <c r="D810" s="149" t="s">
        <v>1970</v>
      </c>
      <c r="E810" s="105">
        <v>2</v>
      </c>
      <c r="F810" s="133">
        <v>3.6</v>
      </c>
      <c r="G810" s="133">
        <v>4.25</v>
      </c>
      <c r="H810" s="109">
        <f t="shared" si="39"/>
        <v>8.5</v>
      </c>
      <c r="I810" s="119"/>
      <c r="J810" s="119">
        <v>0</v>
      </c>
      <c r="K810" s="119">
        <f t="shared" si="40"/>
        <v>8.5</v>
      </c>
      <c r="L810" s="152">
        <f t="shared" si="41"/>
        <v>7.2</v>
      </c>
      <c r="M810" s="113"/>
    </row>
    <row r="811" spans="1:13" x14ac:dyDescent="0.2">
      <c r="A811" s="106" t="s">
        <v>5684</v>
      </c>
      <c r="B811" s="105" t="s">
        <v>5698</v>
      </c>
      <c r="C811" s="105" t="s">
        <v>5819</v>
      </c>
      <c r="D811" s="149" t="s">
        <v>5836</v>
      </c>
      <c r="E811" s="105">
        <v>50</v>
      </c>
      <c r="F811" s="133">
        <v>3.81</v>
      </c>
      <c r="G811" s="133">
        <v>4.75</v>
      </c>
      <c r="H811" s="109">
        <f t="shared" si="39"/>
        <v>237.5</v>
      </c>
      <c r="I811" s="119"/>
      <c r="J811" s="119">
        <v>0</v>
      </c>
      <c r="K811" s="119">
        <f t="shared" si="40"/>
        <v>237.5</v>
      </c>
      <c r="L811" s="152">
        <f t="shared" si="41"/>
        <v>190.5</v>
      </c>
      <c r="M811" s="113"/>
    </row>
    <row r="812" spans="1:13" x14ac:dyDescent="0.2">
      <c r="A812" s="106" t="s">
        <v>5684</v>
      </c>
      <c r="B812" s="105" t="s">
        <v>4330</v>
      </c>
      <c r="C812" s="105" t="s">
        <v>5820</v>
      </c>
      <c r="D812" s="149" t="s">
        <v>4360</v>
      </c>
      <c r="E812" s="105">
        <v>1</v>
      </c>
      <c r="F812" s="133">
        <v>69.510000000000005</v>
      </c>
      <c r="G812" s="133">
        <v>80</v>
      </c>
      <c r="H812" s="109">
        <f t="shared" si="39"/>
        <v>80</v>
      </c>
      <c r="I812" s="119"/>
      <c r="J812" s="119">
        <v>0</v>
      </c>
      <c r="K812" s="119">
        <f t="shared" si="40"/>
        <v>80</v>
      </c>
      <c r="L812" s="152">
        <f t="shared" si="41"/>
        <v>69.510000000000005</v>
      </c>
      <c r="M812" s="113"/>
    </row>
    <row r="813" spans="1:13" x14ac:dyDescent="0.2">
      <c r="A813" s="106" t="s">
        <v>5684</v>
      </c>
      <c r="B813" s="105" t="s">
        <v>3095</v>
      </c>
      <c r="C813" s="105" t="s">
        <v>5821</v>
      </c>
      <c r="D813" s="149" t="s">
        <v>3097</v>
      </c>
      <c r="E813" s="105">
        <v>1</v>
      </c>
      <c r="F813" s="133">
        <v>9.5</v>
      </c>
      <c r="G813" s="133">
        <v>11</v>
      </c>
      <c r="H813" s="109">
        <f t="shared" si="39"/>
        <v>11</v>
      </c>
      <c r="I813" s="119"/>
      <c r="J813" s="119">
        <v>0</v>
      </c>
      <c r="K813" s="119">
        <f t="shared" si="40"/>
        <v>11</v>
      </c>
      <c r="L813" s="152">
        <f t="shared" si="41"/>
        <v>9.5</v>
      </c>
      <c r="M813" s="113"/>
    </row>
    <row r="814" spans="1:13" x14ac:dyDescent="0.2">
      <c r="A814" s="106" t="s">
        <v>5684</v>
      </c>
      <c r="B814" s="105" t="s">
        <v>3974</v>
      </c>
      <c r="C814" s="105" t="s">
        <v>5822</v>
      </c>
      <c r="D814" s="149" t="s">
        <v>3975</v>
      </c>
      <c r="E814" s="105">
        <v>1</v>
      </c>
      <c r="F814" s="133">
        <v>59.51</v>
      </c>
      <c r="G814" s="133">
        <v>68.5</v>
      </c>
      <c r="H814" s="109">
        <f t="shared" si="39"/>
        <v>68.5</v>
      </c>
      <c r="I814" s="119"/>
      <c r="J814" s="119">
        <v>0</v>
      </c>
      <c r="K814" s="119">
        <f t="shared" si="40"/>
        <v>68.5</v>
      </c>
      <c r="L814" s="152">
        <f t="shared" si="41"/>
        <v>59.51</v>
      </c>
      <c r="M814" s="113"/>
    </row>
    <row r="815" spans="1:13" x14ac:dyDescent="0.2">
      <c r="A815" s="106" t="s">
        <v>5837</v>
      </c>
      <c r="B815" s="105" t="s">
        <v>3496</v>
      </c>
      <c r="C815" s="105" t="s">
        <v>5876</v>
      </c>
      <c r="D815" s="149" t="s">
        <v>3498</v>
      </c>
      <c r="E815" s="105">
        <v>1</v>
      </c>
      <c r="F815" s="133">
        <v>61.5</v>
      </c>
      <c r="G815" s="133">
        <v>70.75</v>
      </c>
      <c r="H815" s="109">
        <f t="shared" si="39"/>
        <v>70.75</v>
      </c>
      <c r="I815" s="119"/>
      <c r="J815" s="119">
        <v>0</v>
      </c>
      <c r="K815" s="119">
        <f t="shared" si="40"/>
        <v>70.75</v>
      </c>
      <c r="L815" s="152">
        <f t="shared" si="41"/>
        <v>61.5</v>
      </c>
      <c r="M815" s="113"/>
    </row>
    <row r="816" spans="1:13" x14ac:dyDescent="0.2">
      <c r="A816" s="106" t="s">
        <v>5837</v>
      </c>
      <c r="B816" s="105" t="s">
        <v>2423</v>
      </c>
      <c r="C816" s="105" t="s">
        <v>5876</v>
      </c>
      <c r="D816" s="149" t="s">
        <v>2425</v>
      </c>
      <c r="E816" s="105">
        <v>1</v>
      </c>
      <c r="F816" s="133">
        <v>18.53</v>
      </c>
      <c r="G816" s="133">
        <v>21.5</v>
      </c>
      <c r="H816" s="109">
        <f t="shared" si="39"/>
        <v>21.5</v>
      </c>
      <c r="I816" s="119"/>
      <c r="J816" s="119">
        <v>0</v>
      </c>
      <c r="K816" s="119">
        <f t="shared" si="40"/>
        <v>21.5</v>
      </c>
      <c r="L816" s="152">
        <f t="shared" si="41"/>
        <v>18.53</v>
      </c>
      <c r="M816" s="113"/>
    </row>
    <row r="817" spans="1:13" x14ac:dyDescent="0.2">
      <c r="A817" s="106" t="s">
        <v>5837</v>
      </c>
      <c r="B817" s="105" t="s">
        <v>2742</v>
      </c>
      <c r="C817" s="105" t="s">
        <v>5876</v>
      </c>
      <c r="D817" s="149" t="s">
        <v>2743</v>
      </c>
      <c r="E817" s="105">
        <v>1</v>
      </c>
      <c r="F817" s="133">
        <v>16.03</v>
      </c>
      <c r="G817" s="133">
        <v>18.5</v>
      </c>
      <c r="H817" s="109">
        <f t="shared" si="39"/>
        <v>18.5</v>
      </c>
      <c r="I817" s="119"/>
      <c r="J817" s="119">
        <v>0</v>
      </c>
      <c r="K817" s="119">
        <f t="shared" si="40"/>
        <v>18.5</v>
      </c>
      <c r="L817" s="152">
        <f t="shared" si="41"/>
        <v>16.03</v>
      </c>
      <c r="M817" s="113"/>
    </row>
    <row r="818" spans="1:13" x14ac:dyDescent="0.2">
      <c r="A818" s="106" t="s">
        <v>5837</v>
      </c>
      <c r="B818" s="105" t="s">
        <v>5128</v>
      </c>
      <c r="C818" s="105" t="s">
        <v>5876</v>
      </c>
      <c r="D818" s="149" t="s">
        <v>5176</v>
      </c>
      <c r="E818" s="105">
        <v>1</v>
      </c>
      <c r="F818" s="133">
        <v>37.25</v>
      </c>
      <c r="G818" s="133">
        <v>43</v>
      </c>
      <c r="H818" s="109">
        <f t="shared" si="39"/>
        <v>43</v>
      </c>
      <c r="I818" s="119"/>
      <c r="J818" s="119">
        <v>0</v>
      </c>
      <c r="K818" s="119">
        <f t="shared" si="40"/>
        <v>43</v>
      </c>
      <c r="L818" s="152">
        <f t="shared" si="41"/>
        <v>37.25</v>
      </c>
      <c r="M818" s="113"/>
    </row>
    <row r="819" spans="1:13" x14ac:dyDescent="0.2">
      <c r="A819" s="106" t="s">
        <v>5837</v>
      </c>
      <c r="B819" s="105" t="s">
        <v>2317</v>
      </c>
      <c r="C819" s="105" t="s">
        <v>5876</v>
      </c>
      <c r="D819" s="149" t="s">
        <v>2319</v>
      </c>
      <c r="E819" s="105">
        <v>1</v>
      </c>
      <c r="F819" s="133">
        <v>47.5</v>
      </c>
      <c r="G819" s="133">
        <v>54.75</v>
      </c>
      <c r="H819" s="109">
        <f t="shared" si="39"/>
        <v>54.75</v>
      </c>
      <c r="I819" s="119"/>
      <c r="J819" s="119">
        <v>0</v>
      </c>
      <c r="K819" s="119">
        <f t="shared" si="40"/>
        <v>54.75</v>
      </c>
      <c r="L819" s="152">
        <f t="shared" si="41"/>
        <v>47.5</v>
      </c>
      <c r="M819" s="113"/>
    </row>
    <row r="820" spans="1:13" x14ac:dyDescent="0.2">
      <c r="A820" s="106" t="s">
        <v>5837</v>
      </c>
      <c r="B820" s="105" t="s">
        <v>5864</v>
      </c>
      <c r="C820" s="105" t="s">
        <v>5876</v>
      </c>
      <c r="D820" s="149" t="s">
        <v>5957</v>
      </c>
      <c r="E820" s="105">
        <v>1</v>
      </c>
      <c r="F820" s="133">
        <v>100.03</v>
      </c>
      <c r="G820" s="133">
        <v>115.25</v>
      </c>
      <c r="H820" s="109">
        <f t="shared" si="39"/>
        <v>115.25</v>
      </c>
      <c r="I820" s="119"/>
      <c r="J820" s="119">
        <v>0</v>
      </c>
      <c r="K820" s="119">
        <f t="shared" si="40"/>
        <v>115.25</v>
      </c>
      <c r="L820" s="152">
        <f t="shared" si="41"/>
        <v>100.03</v>
      </c>
      <c r="M820" s="113"/>
    </row>
    <row r="821" spans="1:13" x14ac:dyDescent="0.2">
      <c r="A821" s="106" t="s">
        <v>5837</v>
      </c>
      <c r="B821" s="105" t="s">
        <v>2139</v>
      </c>
      <c r="C821" s="105" t="s">
        <v>5877</v>
      </c>
      <c r="D821" s="149" t="s">
        <v>2140</v>
      </c>
      <c r="E821" s="105">
        <v>1</v>
      </c>
      <c r="F821" s="133">
        <v>16.03</v>
      </c>
      <c r="G821" s="133">
        <v>18.5</v>
      </c>
      <c r="H821" s="109">
        <f t="shared" si="39"/>
        <v>18.5</v>
      </c>
      <c r="I821" s="119"/>
      <c r="J821" s="119">
        <v>0</v>
      </c>
      <c r="K821" s="119">
        <f t="shared" si="40"/>
        <v>18.5</v>
      </c>
      <c r="L821" s="152">
        <f t="shared" si="41"/>
        <v>16.03</v>
      </c>
      <c r="M821" s="113"/>
    </row>
    <row r="822" spans="1:13" x14ac:dyDescent="0.2">
      <c r="A822" s="106" t="s">
        <v>5837</v>
      </c>
      <c r="B822" s="105" t="s">
        <v>2233</v>
      </c>
      <c r="C822" s="105" t="s">
        <v>5878</v>
      </c>
      <c r="D822" s="149" t="s">
        <v>2235</v>
      </c>
      <c r="E822" s="105">
        <v>2</v>
      </c>
      <c r="F822" s="133">
        <v>11.17</v>
      </c>
      <c r="G822" s="133">
        <v>13</v>
      </c>
      <c r="H822" s="109">
        <f t="shared" si="39"/>
        <v>26</v>
      </c>
      <c r="I822" s="119"/>
      <c r="J822" s="119">
        <v>0</v>
      </c>
      <c r="K822" s="119">
        <f t="shared" si="40"/>
        <v>26</v>
      </c>
      <c r="L822" s="152">
        <f t="shared" si="41"/>
        <v>22.34</v>
      </c>
      <c r="M822" s="113"/>
    </row>
    <row r="823" spans="1:13" x14ac:dyDescent="0.2">
      <c r="A823" s="106" t="s">
        <v>5837</v>
      </c>
      <c r="B823" s="105" t="s">
        <v>2459</v>
      </c>
      <c r="C823" s="105" t="s">
        <v>5879</v>
      </c>
      <c r="D823" s="149" t="s">
        <v>2460</v>
      </c>
      <c r="E823" s="105">
        <v>1</v>
      </c>
      <c r="F823" s="133">
        <v>18.88</v>
      </c>
      <c r="G823" s="133">
        <v>21.75</v>
      </c>
      <c r="H823" s="109">
        <f t="shared" si="39"/>
        <v>21.75</v>
      </c>
      <c r="I823" s="119"/>
      <c r="J823" s="119">
        <v>0</v>
      </c>
      <c r="K823" s="119">
        <f t="shared" si="40"/>
        <v>21.75</v>
      </c>
      <c r="L823" s="152">
        <f t="shared" si="41"/>
        <v>18.88</v>
      </c>
      <c r="M823" s="113"/>
    </row>
    <row r="824" spans="1:13" x14ac:dyDescent="0.2">
      <c r="A824" s="106" t="s">
        <v>5837</v>
      </c>
      <c r="B824" s="105" t="s">
        <v>3060</v>
      </c>
      <c r="C824" s="105" t="s">
        <v>5880</v>
      </c>
      <c r="D824" s="149" t="s">
        <v>3062</v>
      </c>
      <c r="E824" s="105">
        <v>1</v>
      </c>
      <c r="F824" s="133">
        <v>44.8</v>
      </c>
      <c r="G824" s="133">
        <v>51.75</v>
      </c>
      <c r="H824" s="109">
        <f t="shared" si="39"/>
        <v>51.75</v>
      </c>
      <c r="I824" s="119"/>
      <c r="J824" s="119">
        <v>0</v>
      </c>
      <c r="K824" s="119">
        <f t="shared" si="40"/>
        <v>51.75</v>
      </c>
      <c r="L824" s="152">
        <f t="shared" si="41"/>
        <v>44.8</v>
      </c>
      <c r="M824" s="113"/>
    </row>
    <row r="825" spans="1:13" x14ac:dyDescent="0.2">
      <c r="A825" s="106" t="s">
        <v>5837</v>
      </c>
      <c r="B825" s="105" t="s">
        <v>3539</v>
      </c>
      <c r="C825" s="105" t="s">
        <v>5880</v>
      </c>
      <c r="D825" s="149" t="s">
        <v>3540</v>
      </c>
      <c r="E825" s="105">
        <v>1</v>
      </c>
      <c r="F825" s="133">
        <v>68.540000000000006</v>
      </c>
      <c r="G825" s="133">
        <v>79</v>
      </c>
      <c r="H825" s="109">
        <f t="shared" si="39"/>
        <v>79</v>
      </c>
      <c r="I825" s="119"/>
      <c r="J825" s="119">
        <v>0</v>
      </c>
      <c r="K825" s="119">
        <f t="shared" si="40"/>
        <v>79</v>
      </c>
      <c r="L825" s="152">
        <f t="shared" si="41"/>
        <v>68.540000000000006</v>
      </c>
      <c r="M825" s="113"/>
    </row>
    <row r="826" spans="1:13" x14ac:dyDescent="0.2">
      <c r="A826" s="106" t="s">
        <v>5837</v>
      </c>
      <c r="B826" s="105" t="s">
        <v>1933</v>
      </c>
      <c r="C826" s="105" t="s">
        <v>5881</v>
      </c>
      <c r="D826" s="149" t="s">
        <v>1934</v>
      </c>
      <c r="E826" s="105">
        <v>6</v>
      </c>
      <c r="F826" s="133">
        <v>3.6</v>
      </c>
      <c r="G826" s="133">
        <v>4.25</v>
      </c>
      <c r="H826" s="109">
        <f t="shared" si="39"/>
        <v>25.5</v>
      </c>
      <c r="I826" s="119"/>
      <c r="J826" s="119">
        <v>0</v>
      </c>
      <c r="K826" s="119">
        <f t="shared" si="40"/>
        <v>25.5</v>
      </c>
      <c r="L826" s="152">
        <f t="shared" si="41"/>
        <v>21.6</v>
      </c>
      <c r="M826" s="113"/>
    </row>
    <row r="827" spans="1:13" x14ac:dyDescent="0.2">
      <c r="A827" s="106" t="s">
        <v>5837</v>
      </c>
      <c r="B827" s="105" t="s">
        <v>1929</v>
      </c>
      <c r="C827" s="105" t="s">
        <v>5882</v>
      </c>
      <c r="D827" s="149" t="s">
        <v>1930</v>
      </c>
      <c r="E827" s="105">
        <v>1</v>
      </c>
      <c r="F827" s="133">
        <v>13.92</v>
      </c>
      <c r="G827" s="133">
        <v>22</v>
      </c>
      <c r="H827" s="109">
        <f t="shared" si="39"/>
        <v>22</v>
      </c>
      <c r="I827" s="119"/>
      <c r="J827" s="119">
        <v>0</v>
      </c>
      <c r="K827" s="119">
        <f t="shared" si="40"/>
        <v>22</v>
      </c>
      <c r="L827" s="152">
        <f t="shared" si="41"/>
        <v>13.92</v>
      </c>
      <c r="M827" s="113"/>
    </row>
    <row r="828" spans="1:13" x14ac:dyDescent="0.2">
      <c r="A828" s="106" t="s">
        <v>5837</v>
      </c>
      <c r="B828" s="105" t="s">
        <v>2821</v>
      </c>
      <c r="C828" s="105" t="s">
        <v>5882</v>
      </c>
      <c r="D828" s="149" t="s">
        <v>2823</v>
      </c>
      <c r="E828" s="105">
        <v>1</v>
      </c>
      <c r="F828" s="133">
        <v>237.14</v>
      </c>
      <c r="G828" s="133">
        <v>272.75</v>
      </c>
      <c r="H828" s="109">
        <f t="shared" si="39"/>
        <v>272.75</v>
      </c>
      <c r="I828" s="119"/>
      <c r="J828" s="119">
        <v>0</v>
      </c>
      <c r="K828" s="119">
        <f t="shared" si="40"/>
        <v>272.75</v>
      </c>
      <c r="L828" s="152">
        <f t="shared" si="41"/>
        <v>237.14</v>
      </c>
      <c r="M828" s="113"/>
    </row>
    <row r="829" spans="1:13" x14ac:dyDescent="0.2">
      <c r="A829" s="106" t="s">
        <v>5837</v>
      </c>
      <c r="B829" s="105" t="s">
        <v>3915</v>
      </c>
      <c r="C829" s="105" t="s">
        <v>5883</v>
      </c>
      <c r="D829" s="149" t="s">
        <v>3916</v>
      </c>
      <c r="E829" s="105">
        <v>1</v>
      </c>
      <c r="F829" s="133">
        <v>59.5</v>
      </c>
      <c r="G829" s="133">
        <v>68.5</v>
      </c>
      <c r="H829" s="109">
        <f t="shared" si="39"/>
        <v>68.5</v>
      </c>
      <c r="I829" s="119"/>
      <c r="J829" s="119">
        <v>0</v>
      </c>
      <c r="K829" s="119">
        <f t="shared" si="40"/>
        <v>68.5</v>
      </c>
      <c r="L829" s="152">
        <f t="shared" si="41"/>
        <v>59.5</v>
      </c>
      <c r="M829" s="113"/>
    </row>
    <row r="830" spans="1:13" x14ac:dyDescent="0.2">
      <c r="A830" s="106" t="s">
        <v>5837</v>
      </c>
      <c r="B830" s="105" t="s">
        <v>3052</v>
      </c>
      <c r="C830" s="105" t="s">
        <v>5884</v>
      </c>
      <c r="D830" s="149" t="s">
        <v>3053</v>
      </c>
      <c r="E830" s="105">
        <v>1</v>
      </c>
      <c r="F830" s="133">
        <v>13.32</v>
      </c>
      <c r="G830" s="133">
        <v>15.5</v>
      </c>
      <c r="H830" s="109">
        <f t="shared" si="39"/>
        <v>15.5</v>
      </c>
      <c r="I830" s="119"/>
      <c r="J830" s="119">
        <v>0</v>
      </c>
      <c r="K830" s="119">
        <f t="shared" si="40"/>
        <v>15.5</v>
      </c>
      <c r="L830" s="152">
        <f t="shared" si="41"/>
        <v>13.32</v>
      </c>
      <c r="M830" s="113"/>
    </row>
    <row r="831" spans="1:13" x14ac:dyDescent="0.2">
      <c r="A831" s="106" t="s">
        <v>5837</v>
      </c>
      <c r="B831" s="105" t="s">
        <v>2027</v>
      </c>
      <c r="C831" s="105" t="s">
        <v>5884</v>
      </c>
      <c r="D831" s="149" t="s">
        <v>2029</v>
      </c>
      <c r="E831" s="105">
        <v>1</v>
      </c>
      <c r="F831" s="133">
        <v>9</v>
      </c>
      <c r="G831" s="133">
        <v>10.5</v>
      </c>
      <c r="H831" s="109">
        <f t="shared" si="39"/>
        <v>10.5</v>
      </c>
      <c r="I831" s="119"/>
      <c r="J831" s="119">
        <v>0</v>
      </c>
      <c r="K831" s="119">
        <f t="shared" si="40"/>
        <v>10.5</v>
      </c>
      <c r="L831" s="152">
        <f t="shared" si="41"/>
        <v>9</v>
      </c>
      <c r="M831" s="113"/>
    </row>
    <row r="832" spans="1:13" x14ac:dyDescent="0.2">
      <c r="A832" s="106" t="s">
        <v>5837</v>
      </c>
      <c r="B832" s="105" t="s">
        <v>5865</v>
      </c>
      <c r="C832" s="105" t="s">
        <v>5885</v>
      </c>
      <c r="D832" s="149" t="s">
        <v>5958</v>
      </c>
      <c r="E832" s="105">
        <v>1</v>
      </c>
      <c r="F832" s="133">
        <v>51.55</v>
      </c>
      <c r="G832" s="133">
        <v>60</v>
      </c>
      <c r="H832" s="109">
        <f t="shared" si="39"/>
        <v>60</v>
      </c>
      <c r="I832" s="119"/>
      <c r="J832" s="119">
        <v>0</v>
      </c>
      <c r="K832" s="119">
        <f t="shared" si="40"/>
        <v>60</v>
      </c>
      <c r="L832" s="152">
        <f t="shared" si="41"/>
        <v>51.55</v>
      </c>
      <c r="M832" s="113"/>
    </row>
    <row r="833" spans="1:13" x14ac:dyDescent="0.2">
      <c r="A833" s="106" t="s">
        <v>5837</v>
      </c>
      <c r="B833" s="105" t="s">
        <v>3413</v>
      </c>
      <c r="C833" s="105" t="s">
        <v>5886</v>
      </c>
      <c r="D833" s="149" t="s">
        <v>3414</v>
      </c>
      <c r="E833" s="105">
        <v>1</v>
      </c>
      <c r="F833" s="133">
        <v>33.1</v>
      </c>
      <c r="G833" s="133">
        <v>38.25</v>
      </c>
      <c r="H833" s="109">
        <f t="shared" si="39"/>
        <v>38.25</v>
      </c>
      <c r="I833" s="119"/>
      <c r="J833" s="119">
        <v>0</v>
      </c>
      <c r="K833" s="119">
        <f t="shared" si="40"/>
        <v>38.25</v>
      </c>
      <c r="L833" s="152">
        <f t="shared" si="41"/>
        <v>33.1</v>
      </c>
      <c r="M833" s="113"/>
    </row>
    <row r="834" spans="1:13" x14ac:dyDescent="0.2">
      <c r="A834" s="106" t="s">
        <v>5837</v>
      </c>
      <c r="B834" s="105" t="s">
        <v>4806</v>
      </c>
      <c r="C834" s="105" t="s">
        <v>5886</v>
      </c>
      <c r="D834" s="149" t="s">
        <v>4874</v>
      </c>
      <c r="E834" s="105">
        <v>1</v>
      </c>
      <c r="F834" s="133">
        <v>8.58</v>
      </c>
      <c r="G834" s="133">
        <v>10</v>
      </c>
      <c r="H834" s="109">
        <f t="shared" si="39"/>
        <v>10</v>
      </c>
      <c r="I834" s="119"/>
      <c r="J834" s="119">
        <v>0</v>
      </c>
      <c r="K834" s="119">
        <f t="shared" si="40"/>
        <v>10</v>
      </c>
      <c r="L834" s="152">
        <f t="shared" si="41"/>
        <v>8.58</v>
      </c>
      <c r="M834" s="113"/>
    </row>
    <row r="835" spans="1:13" x14ac:dyDescent="0.2">
      <c r="A835" s="106" t="s">
        <v>5837</v>
      </c>
      <c r="B835" s="105" t="s">
        <v>2377</v>
      </c>
      <c r="C835" s="105" t="s">
        <v>5886</v>
      </c>
      <c r="D835" s="149" t="s">
        <v>2378</v>
      </c>
      <c r="E835" s="105">
        <v>1</v>
      </c>
      <c r="F835" s="133">
        <v>8.1999999999999993</v>
      </c>
      <c r="G835" s="133">
        <v>9.5</v>
      </c>
      <c r="H835" s="109">
        <f t="shared" si="39"/>
        <v>9.5</v>
      </c>
      <c r="I835" s="119"/>
      <c r="J835" s="119">
        <v>0</v>
      </c>
      <c r="K835" s="119">
        <f t="shared" si="40"/>
        <v>9.5</v>
      </c>
      <c r="L835" s="152">
        <f t="shared" si="41"/>
        <v>8.1999999999999993</v>
      </c>
      <c r="M835" s="113"/>
    </row>
    <row r="836" spans="1:13" x14ac:dyDescent="0.2">
      <c r="A836" s="106" t="s">
        <v>5837</v>
      </c>
      <c r="B836" s="105" t="s">
        <v>3092</v>
      </c>
      <c r="C836" s="105" t="s">
        <v>5886</v>
      </c>
      <c r="D836" s="149" t="s">
        <v>3093</v>
      </c>
      <c r="E836" s="105">
        <v>2</v>
      </c>
      <c r="F836" s="133">
        <v>7.48</v>
      </c>
      <c r="G836" s="133">
        <v>8.75</v>
      </c>
      <c r="H836" s="109">
        <f t="shared" si="39"/>
        <v>17.5</v>
      </c>
      <c r="I836" s="119"/>
      <c r="J836" s="119">
        <v>0</v>
      </c>
      <c r="K836" s="119">
        <f t="shared" si="40"/>
        <v>17.5</v>
      </c>
      <c r="L836" s="152">
        <f t="shared" si="41"/>
        <v>14.96</v>
      </c>
      <c r="M836" s="113"/>
    </row>
    <row r="837" spans="1:13" x14ac:dyDescent="0.2">
      <c r="A837" s="106" t="s">
        <v>5837</v>
      </c>
      <c r="B837" s="105" t="s">
        <v>5866</v>
      </c>
      <c r="C837" s="105" t="s">
        <v>5887</v>
      </c>
      <c r="D837" s="149" t="s">
        <v>5959</v>
      </c>
      <c r="E837" s="105">
        <v>1</v>
      </c>
      <c r="F837" s="133">
        <v>5.61</v>
      </c>
      <c r="G837" s="133">
        <v>6.5</v>
      </c>
      <c r="H837" s="109">
        <f t="shared" si="39"/>
        <v>6.5</v>
      </c>
      <c r="I837" s="119"/>
      <c r="J837" s="119">
        <v>0</v>
      </c>
      <c r="K837" s="119">
        <f t="shared" si="40"/>
        <v>6.5</v>
      </c>
      <c r="L837" s="152">
        <f t="shared" si="41"/>
        <v>5.61</v>
      </c>
      <c r="M837" s="113"/>
    </row>
    <row r="838" spans="1:13" x14ac:dyDescent="0.2">
      <c r="A838" s="106" t="s">
        <v>5837</v>
      </c>
      <c r="B838" s="105" t="s">
        <v>2338</v>
      </c>
      <c r="C838" s="105" t="s">
        <v>5888</v>
      </c>
      <c r="D838" s="149" t="s">
        <v>2339</v>
      </c>
      <c r="E838" s="105">
        <v>2</v>
      </c>
      <c r="F838" s="133">
        <v>31.6</v>
      </c>
      <c r="G838" s="133">
        <v>36.33</v>
      </c>
      <c r="H838" s="109">
        <f t="shared" si="39"/>
        <v>72.66</v>
      </c>
      <c r="I838" s="119"/>
      <c r="J838" s="119">
        <v>0</v>
      </c>
      <c r="K838" s="119">
        <f t="shared" si="40"/>
        <v>72.66</v>
      </c>
      <c r="L838" s="152">
        <f t="shared" si="41"/>
        <v>63.2</v>
      </c>
      <c r="M838" s="113"/>
    </row>
    <row r="839" spans="1:13" x14ac:dyDescent="0.2">
      <c r="A839" s="106" t="s">
        <v>5837</v>
      </c>
      <c r="B839" s="105" t="s">
        <v>3413</v>
      </c>
      <c r="C839" s="105" t="s">
        <v>5888</v>
      </c>
      <c r="D839" s="149" t="s">
        <v>3414</v>
      </c>
      <c r="E839" s="105">
        <v>2</v>
      </c>
      <c r="F839" s="133">
        <v>33.1</v>
      </c>
      <c r="G839" s="133">
        <v>38.25</v>
      </c>
      <c r="H839" s="109">
        <f t="shared" ref="H839:H902" si="42">E839*G839</f>
        <v>76.5</v>
      </c>
      <c r="I839" s="119"/>
      <c r="J839" s="119">
        <v>0</v>
      </c>
      <c r="K839" s="119">
        <f t="shared" si="40"/>
        <v>76.5</v>
      </c>
      <c r="L839" s="152">
        <f t="shared" si="41"/>
        <v>66.2</v>
      </c>
      <c r="M839" s="113"/>
    </row>
    <row r="840" spans="1:13" x14ac:dyDescent="0.2">
      <c r="A840" s="106" t="s">
        <v>5837</v>
      </c>
      <c r="B840" s="105" t="s">
        <v>3539</v>
      </c>
      <c r="C840" s="105" t="s">
        <v>5888</v>
      </c>
      <c r="D840" s="149" t="s">
        <v>3540</v>
      </c>
      <c r="E840" s="105">
        <v>1</v>
      </c>
      <c r="F840" s="133">
        <v>68.540000000000006</v>
      </c>
      <c r="G840" s="133">
        <v>79</v>
      </c>
      <c r="H840" s="109">
        <f t="shared" si="42"/>
        <v>79</v>
      </c>
      <c r="I840" s="119"/>
      <c r="J840" s="119">
        <v>0</v>
      </c>
      <c r="K840" s="119">
        <f t="shared" ref="K840:K903" si="43">H840+I840-J840</f>
        <v>79</v>
      </c>
      <c r="L840" s="152">
        <f t="shared" ref="L840:L903" si="44">E840*F840</f>
        <v>68.540000000000006</v>
      </c>
      <c r="M840" s="113"/>
    </row>
    <row r="841" spans="1:13" x14ac:dyDescent="0.2">
      <c r="A841" s="106" t="s">
        <v>5837</v>
      </c>
      <c r="B841" s="105" t="s">
        <v>2063</v>
      </c>
      <c r="C841" s="105" t="s">
        <v>5888</v>
      </c>
      <c r="D841" s="149" t="s">
        <v>2065</v>
      </c>
      <c r="E841" s="105">
        <v>1</v>
      </c>
      <c r="F841" s="133">
        <v>42</v>
      </c>
      <c r="G841" s="133">
        <v>48.5</v>
      </c>
      <c r="H841" s="109">
        <f t="shared" si="42"/>
        <v>48.5</v>
      </c>
      <c r="I841" s="119"/>
      <c r="J841" s="119">
        <v>0</v>
      </c>
      <c r="K841" s="119">
        <f t="shared" si="43"/>
        <v>48.5</v>
      </c>
      <c r="L841" s="152">
        <f t="shared" si="44"/>
        <v>42</v>
      </c>
      <c r="M841" s="113"/>
    </row>
    <row r="842" spans="1:13" x14ac:dyDescent="0.2">
      <c r="A842" s="106" t="s">
        <v>5837</v>
      </c>
      <c r="B842" s="105" t="s">
        <v>2639</v>
      </c>
      <c r="C842" s="105" t="s">
        <v>5888</v>
      </c>
      <c r="D842" s="149" t="s">
        <v>2640</v>
      </c>
      <c r="E842" s="105">
        <v>1</v>
      </c>
      <c r="F842" s="133">
        <v>17.059999999999999</v>
      </c>
      <c r="G842" s="133">
        <v>19.75</v>
      </c>
      <c r="H842" s="109">
        <f t="shared" si="42"/>
        <v>19.75</v>
      </c>
      <c r="I842" s="119"/>
      <c r="J842" s="119">
        <v>0</v>
      </c>
      <c r="K842" s="119">
        <f t="shared" si="43"/>
        <v>19.75</v>
      </c>
      <c r="L842" s="152">
        <f t="shared" si="44"/>
        <v>17.059999999999999</v>
      </c>
      <c r="M842" s="113"/>
    </row>
    <row r="843" spans="1:13" x14ac:dyDescent="0.2">
      <c r="A843" s="106" t="s">
        <v>5837</v>
      </c>
      <c r="B843" s="105" t="s">
        <v>2043</v>
      </c>
      <c r="C843" s="105" t="s">
        <v>5888</v>
      </c>
      <c r="D843" s="149" t="s">
        <v>2044</v>
      </c>
      <c r="E843" s="105">
        <v>3</v>
      </c>
      <c r="F843" s="133">
        <v>6.92</v>
      </c>
      <c r="G843" s="133">
        <v>7.75</v>
      </c>
      <c r="H843" s="109">
        <f t="shared" si="42"/>
        <v>23.25</v>
      </c>
      <c r="I843" s="119"/>
      <c r="J843" s="119">
        <v>0</v>
      </c>
      <c r="K843" s="119">
        <f t="shared" si="43"/>
        <v>23.25</v>
      </c>
      <c r="L843" s="152">
        <f t="shared" si="44"/>
        <v>20.759999999999998</v>
      </c>
      <c r="M843" s="113"/>
    </row>
    <row r="844" spans="1:13" x14ac:dyDescent="0.2">
      <c r="A844" s="106" t="s">
        <v>5837</v>
      </c>
      <c r="B844" s="105" t="s">
        <v>3437</v>
      </c>
      <c r="C844" s="105" t="s">
        <v>5888</v>
      </c>
      <c r="D844" s="149" t="s">
        <v>3439</v>
      </c>
      <c r="E844" s="105">
        <v>1</v>
      </c>
      <c r="F844" s="133">
        <v>13.12</v>
      </c>
      <c r="G844" s="133">
        <v>15.25</v>
      </c>
      <c r="H844" s="109">
        <f t="shared" si="42"/>
        <v>15.25</v>
      </c>
      <c r="I844" s="119"/>
      <c r="J844" s="119">
        <v>0</v>
      </c>
      <c r="K844" s="119">
        <f t="shared" si="43"/>
        <v>15.25</v>
      </c>
      <c r="L844" s="152">
        <f t="shared" si="44"/>
        <v>13.12</v>
      </c>
      <c r="M844" s="113"/>
    </row>
    <row r="845" spans="1:13" x14ac:dyDescent="0.2">
      <c r="A845" s="106" t="s">
        <v>5837</v>
      </c>
      <c r="B845" s="105" t="s">
        <v>5136</v>
      </c>
      <c r="C845" s="105" t="s">
        <v>5888</v>
      </c>
      <c r="D845" s="149" t="s">
        <v>5184</v>
      </c>
      <c r="E845" s="105">
        <v>4</v>
      </c>
      <c r="F845" s="133">
        <v>5.15</v>
      </c>
      <c r="G845" s="133">
        <v>6</v>
      </c>
      <c r="H845" s="109">
        <f t="shared" si="42"/>
        <v>24</v>
      </c>
      <c r="I845" s="119"/>
      <c r="J845" s="119">
        <v>0</v>
      </c>
      <c r="K845" s="119">
        <f t="shared" si="43"/>
        <v>24</v>
      </c>
      <c r="L845" s="152">
        <f t="shared" si="44"/>
        <v>20.6</v>
      </c>
      <c r="M845" s="113"/>
    </row>
    <row r="846" spans="1:13" x14ac:dyDescent="0.2">
      <c r="A846" s="106" t="s">
        <v>5837</v>
      </c>
      <c r="B846" s="105" t="s">
        <v>2890</v>
      </c>
      <c r="C846" s="105" t="s">
        <v>5889</v>
      </c>
      <c r="D846" s="149" t="s">
        <v>2892</v>
      </c>
      <c r="E846" s="105">
        <v>1</v>
      </c>
      <c r="F846" s="133">
        <v>54.38</v>
      </c>
      <c r="G846" s="133">
        <v>62.75</v>
      </c>
      <c r="H846" s="109">
        <f t="shared" si="42"/>
        <v>62.75</v>
      </c>
      <c r="I846" s="119"/>
      <c r="J846" s="119">
        <v>0</v>
      </c>
      <c r="K846" s="119">
        <f t="shared" si="43"/>
        <v>62.75</v>
      </c>
      <c r="L846" s="152">
        <f t="shared" si="44"/>
        <v>54.38</v>
      </c>
      <c r="M846" s="113"/>
    </row>
    <row r="847" spans="1:13" x14ac:dyDescent="0.2">
      <c r="A847" s="106" t="s">
        <v>5837</v>
      </c>
      <c r="B847" s="105" t="s">
        <v>2727</v>
      </c>
      <c r="C847" s="105" t="s">
        <v>5889</v>
      </c>
      <c r="D847" s="149" t="s">
        <v>2729</v>
      </c>
      <c r="E847" s="105">
        <v>1</v>
      </c>
      <c r="F847" s="133">
        <v>7.75</v>
      </c>
      <c r="G847" s="133">
        <v>9</v>
      </c>
      <c r="H847" s="109">
        <f t="shared" si="42"/>
        <v>9</v>
      </c>
      <c r="I847" s="119"/>
      <c r="J847" s="119">
        <v>0</v>
      </c>
      <c r="K847" s="119">
        <f t="shared" si="43"/>
        <v>9</v>
      </c>
      <c r="L847" s="152">
        <f t="shared" si="44"/>
        <v>7.75</v>
      </c>
      <c r="M847" s="113"/>
    </row>
    <row r="848" spans="1:13" x14ac:dyDescent="0.2">
      <c r="A848" s="106" t="s">
        <v>5837</v>
      </c>
      <c r="B848" s="105" t="s">
        <v>3169</v>
      </c>
      <c r="C848" s="105" t="s">
        <v>5890</v>
      </c>
      <c r="D848" s="149" t="s">
        <v>3170</v>
      </c>
      <c r="E848" s="105">
        <v>15</v>
      </c>
      <c r="F848" s="133">
        <v>5.41</v>
      </c>
      <c r="G848" s="133">
        <v>6.25</v>
      </c>
      <c r="H848" s="109">
        <f t="shared" si="42"/>
        <v>93.75</v>
      </c>
      <c r="I848" s="119"/>
      <c r="J848" s="119">
        <v>0</v>
      </c>
      <c r="K848" s="119">
        <f t="shared" si="43"/>
        <v>93.75</v>
      </c>
      <c r="L848" s="152">
        <f t="shared" si="44"/>
        <v>81.150000000000006</v>
      </c>
      <c r="M848" s="113"/>
    </row>
    <row r="849" spans="1:13" x14ac:dyDescent="0.2">
      <c r="A849" s="106" t="s">
        <v>5837</v>
      </c>
      <c r="B849" s="105" t="s">
        <v>2377</v>
      </c>
      <c r="C849" s="105" t="s">
        <v>5891</v>
      </c>
      <c r="D849" s="149" t="s">
        <v>2378</v>
      </c>
      <c r="E849" s="105">
        <v>1</v>
      </c>
      <c r="F849" s="133">
        <v>8.1999999999999993</v>
      </c>
      <c r="G849" s="133">
        <v>9.5</v>
      </c>
      <c r="H849" s="109">
        <f t="shared" si="42"/>
        <v>9.5</v>
      </c>
      <c r="I849" s="119"/>
      <c r="J849" s="119">
        <v>0</v>
      </c>
      <c r="K849" s="119">
        <f t="shared" si="43"/>
        <v>9.5</v>
      </c>
      <c r="L849" s="152">
        <f t="shared" si="44"/>
        <v>8.1999999999999993</v>
      </c>
      <c r="M849" s="113"/>
    </row>
    <row r="850" spans="1:13" x14ac:dyDescent="0.2">
      <c r="A850" s="106" t="s">
        <v>5837</v>
      </c>
      <c r="B850" s="105" t="s">
        <v>1977</v>
      </c>
      <c r="C850" s="105" t="s">
        <v>5892</v>
      </c>
      <c r="D850" s="149" t="s">
        <v>1979</v>
      </c>
      <c r="E850" s="105">
        <v>4</v>
      </c>
      <c r="F850" s="133">
        <v>0.76</v>
      </c>
      <c r="G850" s="133">
        <v>1</v>
      </c>
      <c r="H850" s="109">
        <f t="shared" si="42"/>
        <v>4</v>
      </c>
      <c r="I850" s="119"/>
      <c r="J850" s="119">
        <v>0</v>
      </c>
      <c r="K850" s="119">
        <f t="shared" si="43"/>
        <v>4</v>
      </c>
      <c r="L850" s="152">
        <f t="shared" si="44"/>
        <v>3.04</v>
      </c>
      <c r="M850" s="113"/>
    </row>
    <row r="851" spans="1:13" x14ac:dyDescent="0.2">
      <c r="A851" s="106" t="s">
        <v>5837</v>
      </c>
      <c r="B851" s="105" t="s">
        <v>5035</v>
      </c>
      <c r="C851" s="105" t="s">
        <v>5893</v>
      </c>
      <c r="D851" s="149" t="s">
        <v>5079</v>
      </c>
      <c r="E851" s="105">
        <v>1</v>
      </c>
      <c r="F851" s="133">
        <v>22.19</v>
      </c>
      <c r="G851" s="133">
        <v>25.75</v>
      </c>
      <c r="H851" s="109">
        <f t="shared" si="42"/>
        <v>25.75</v>
      </c>
      <c r="I851" s="119"/>
      <c r="J851" s="119">
        <v>0</v>
      </c>
      <c r="K851" s="119">
        <f t="shared" si="43"/>
        <v>25.75</v>
      </c>
      <c r="L851" s="152">
        <f t="shared" si="44"/>
        <v>22.19</v>
      </c>
      <c r="M851" s="113"/>
    </row>
    <row r="852" spans="1:13" x14ac:dyDescent="0.2">
      <c r="A852" s="106" t="s">
        <v>5837</v>
      </c>
      <c r="B852" s="105" t="s">
        <v>4481</v>
      </c>
      <c r="C852" s="105" t="s">
        <v>5893</v>
      </c>
      <c r="D852" s="149" t="s">
        <v>4513</v>
      </c>
      <c r="E852" s="105">
        <v>1</v>
      </c>
      <c r="F852" s="133">
        <v>22.19</v>
      </c>
      <c r="G852" s="133">
        <v>25.75</v>
      </c>
      <c r="H852" s="109">
        <f t="shared" si="42"/>
        <v>25.75</v>
      </c>
      <c r="I852" s="119"/>
      <c r="J852" s="119">
        <v>0</v>
      </c>
      <c r="K852" s="119">
        <f t="shared" si="43"/>
        <v>25.75</v>
      </c>
      <c r="L852" s="152">
        <f t="shared" si="44"/>
        <v>22.19</v>
      </c>
      <c r="M852" s="113"/>
    </row>
    <row r="853" spans="1:13" x14ac:dyDescent="0.2">
      <c r="A853" s="106" t="s">
        <v>5837</v>
      </c>
      <c r="B853" s="105" t="s">
        <v>3646</v>
      </c>
      <c r="C853" s="105" t="s">
        <v>5894</v>
      </c>
      <c r="D853" s="149" t="s">
        <v>3648</v>
      </c>
      <c r="E853" s="105">
        <v>1</v>
      </c>
      <c r="F853" s="133">
        <v>30</v>
      </c>
      <c r="G853" s="133">
        <v>34.5</v>
      </c>
      <c r="H853" s="109">
        <f t="shared" si="42"/>
        <v>34.5</v>
      </c>
      <c r="I853" s="119"/>
      <c r="J853" s="119">
        <v>0</v>
      </c>
      <c r="K853" s="119">
        <f t="shared" si="43"/>
        <v>34.5</v>
      </c>
      <c r="L853" s="152">
        <f t="shared" si="44"/>
        <v>30</v>
      </c>
      <c r="M853" s="113"/>
    </row>
    <row r="854" spans="1:13" x14ac:dyDescent="0.2">
      <c r="A854" s="106" t="s">
        <v>5837</v>
      </c>
      <c r="B854" s="105" t="s">
        <v>2895</v>
      </c>
      <c r="C854" s="105" t="s">
        <v>5894</v>
      </c>
      <c r="D854" s="149" t="s">
        <v>2897</v>
      </c>
      <c r="E854" s="105">
        <v>1</v>
      </c>
      <c r="F854" s="133">
        <v>9.17</v>
      </c>
      <c r="G854" s="133">
        <v>10.75</v>
      </c>
      <c r="H854" s="109">
        <f t="shared" si="42"/>
        <v>10.75</v>
      </c>
      <c r="I854" s="119"/>
      <c r="J854" s="119">
        <v>0</v>
      </c>
      <c r="K854" s="119">
        <f t="shared" si="43"/>
        <v>10.75</v>
      </c>
      <c r="L854" s="152">
        <f t="shared" si="44"/>
        <v>9.17</v>
      </c>
      <c r="M854" s="113"/>
    </row>
    <row r="855" spans="1:13" x14ac:dyDescent="0.2">
      <c r="A855" s="106" t="s">
        <v>5837</v>
      </c>
      <c r="B855" s="105" t="s">
        <v>3112</v>
      </c>
      <c r="C855" s="105" t="s">
        <v>5895</v>
      </c>
      <c r="D855" s="149" t="s">
        <v>3113</v>
      </c>
      <c r="E855" s="105">
        <v>2</v>
      </c>
      <c r="F855" s="133">
        <v>109.57</v>
      </c>
      <c r="G855" s="133">
        <v>136.5</v>
      </c>
      <c r="H855" s="109">
        <f t="shared" si="42"/>
        <v>273</v>
      </c>
      <c r="I855" s="119"/>
      <c r="J855" s="119">
        <v>0</v>
      </c>
      <c r="K855" s="119">
        <f t="shared" si="43"/>
        <v>273</v>
      </c>
      <c r="L855" s="152">
        <f t="shared" si="44"/>
        <v>219.14</v>
      </c>
      <c r="M855" s="113"/>
    </row>
    <row r="856" spans="1:13" x14ac:dyDescent="0.2">
      <c r="A856" s="106" t="s">
        <v>5837</v>
      </c>
      <c r="B856" s="105" t="s">
        <v>4083</v>
      </c>
      <c r="C856" s="105" t="s">
        <v>5895</v>
      </c>
      <c r="D856" s="149" t="s">
        <v>4084</v>
      </c>
      <c r="E856" s="105">
        <v>2</v>
      </c>
      <c r="F856" s="133">
        <v>200.03</v>
      </c>
      <c r="G856" s="133">
        <v>230</v>
      </c>
      <c r="H856" s="109">
        <f t="shared" si="42"/>
        <v>460</v>
      </c>
      <c r="I856" s="119"/>
      <c r="J856" s="119">
        <v>0</v>
      </c>
      <c r="K856" s="119">
        <f t="shared" si="43"/>
        <v>460</v>
      </c>
      <c r="L856" s="152">
        <f t="shared" si="44"/>
        <v>400.06</v>
      </c>
      <c r="M856" s="113"/>
    </row>
    <row r="857" spans="1:13" x14ac:dyDescent="0.2">
      <c r="A857" s="106" t="s">
        <v>5837</v>
      </c>
      <c r="B857" s="105" t="s">
        <v>2293</v>
      </c>
      <c r="C857" s="105" t="s">
        <v>5895</v>
      </c>
      <c r="D857" s="149" t="s">
        <v>2295</v>
      </c>
      <c r="E857" s="105">
        <v>4</v>
      </c>
      <c r="F857" s="133">
        <v>27.84</v>
      </c>
      <c r="G857" s="133">
        <v>45</v>
      </c>
      <c r="H857" s="109">
        <f t="shared" si="42"/>
        <v>180</v>
      </c>
      <c r="I857" s="119"/>
      <c r="J857" s="119">
        <v>0</v>
      </c>
      <c r="K857" s="119">
        <f t="shared" si="43"/>
        <v>180</v>
      </c>
      <c r="L857" s="152">
        <f t="shared" si="44"/>
        <v>111.36</v>
      </c>
      <c r="M857" s="113"/>
    </row>
    <row r="858" spans="1:13" x14ac:dyDescent="0.2">
      <c r="A858" s="106" t="s">
        <v>5837</v>
      </c>
      <c r="B858" s="105" t="s">
        <v>2884</v>
      </c>
      <c r="C858" s="105" t="s">
        <v>5896</v>
      </c>
      <c r="D858" s="149" t="s">
        <v>2886</v>
      </c>
      <c r="E858" s="105">
        <v>4</v>
      </c>
      <c r="F858" s="133">
        <v>302.13</v>
      </c>
      <c r="G858" s="133">
        <v>362.75</v>
      </c>
      <c r="H858" s="109">
        <f t="shared" si="42"/>
        <v>1451</v>
      </c>
      <c r="I858" s="119"/>
      <c r="J858" s="119">
        <v>0</v>
      </c>
      <c r="K858" s="119">
        <f t="shared" si="43"/>
        <v>1451</v>
      </c>
      <c r="L858" s="152">
        <f t="shared" si="44"/>
        <v>1208.52</v>
      </c>
      <c r="M858" s="113"/>
    </row>
    <row r="859" spans="1:13" x14ac:dyDescent="0.2">
      <c r="A859" s="106" t="s">
        <v>5837</v>
      </c>
      <c r="B859" s="105" t="s">
        <v>3413</v>
      </c>
      <c r="C859" s="105" t="s">
        <v>5897</v>
      </c>
      <c r="D859" s="149" t="s">
        <v>3414</v>
      </c>
      <c r="E859" s="105">
        <v>1</v>
      </c>
      <c r="F859" s="133">
        <v>33.1</v>
      </c>
      <c r="G859" s="133">
        <v>38.25</v>
      </c>
      <c r="H859" s="109">
        <f t="shared" si="42"/>
        <v>38.25</v>
      </c>
      <c r="I859" s="119"/>
      <c r="J859" s="119">
        <v>0</v>
      </c>
      <c r="K859" s="119">
        <f t="shared" si="43"/>
        <v>38.25</v>
      </c>
      <c r="L859" s="152">
        <f t="shared" si="44"/>
        <v>33.1</v>
      </c>
      <c r="M859" s="113"/>
    </row>
    <row r="860" spans="1:13" x14ac:dyDescent="0.2">
      <c r="A860" s="106" t="s">
        <v>5837</v>
      </c>
      <c r="B860" s="105" t="s">
        <v>4367</v>
      </c>
      <c r="C860" s="105" t="s">
        <v>5898</v>
      </c>
      <c r="D860" s="149" t="s">
        <v>4431</v>
      </c>
      <c r="E860" s="105">
        <v>1</v>
      </c>
      <c r="F860" s="133">
        <v>20.399999999999999</v>
      </c>
      <c r="G860" s="133">
        <v>23.46</v>
      </c>
      <c r="H860" s="109">
        <f t="shared" si="42"/>
        <v>23.46</v>
      </c>
      <c r="I860" s="119"/>
      <c r="J860" s="119">
        <v>0</v>
      </c>
      <c r="K860" s="119">
        <f t="shared" si="43"/>
        <v>23.46</v>
      </c>
      <c r="L860" s="152">
        <f t="shared" si="44"/>
        <v>20.399999999999999</v>
      </c>
      <c r="M860" s="113"/>
    </row>
    <row r="861" spans="1:13" x14ac:dyDescent="0.2">
      <c r="A861" s="106" t="s">
        <v>5837</v>
      </c>
      <c r="B861" s="105" t="s">
        <v>2441</v>
      </c>
      <c r="C861" s="105" t="s">
        <v>5898</v>
      </c>
      <c r="D861" s="149" t="s">
        <v>2443</v>
      </c>
      <c r="E861" s="105">
        <v>3</v>
      </c>
      <c r="F861" s="133">
        <v>0.81</v>
      </c>
      <c r="G861" s="133">
        <v>1</v>
      </c>
      <c r="H861" s="109">
        <f t="shared" si="42"/>
        <v>3</v>
      </c>
      <c r="I861" s="119"/>
      <c r="J861" s="119">
        <v>0</v>
      </c>
      <c r="K861" s="119">
        <f t="shared" si="43"/>
        <v>3</v>
      </c>
      <c r="L861" s="152">
        <f t="shared" si="44"/>
        <v>2.4300000000000002</v>
      </c>
      <c r="M861" s="113"/>
    </row>
    <row r="862" spans="1:13" x14ac:dyDescent="0.2">
      <c r="A862" s="106" t="s">
        <v>5837</v>
      </c>
      <c r="B862" s="105" t="s">
        <v>1977</v>
      </c>
      <c r="C862" s="105" t="s">
        <v>5899</v>
      </c>
      <c r="D862" s="149" t="s">
        <v>1979</v>
      </c>
      <c r="E862" s="105">
        <v>10</v>
      </c>
      <c r="F862" s="133">
        <v>0.76</v>
      </c>
      <c r="G862" s="133">
        <v>1</v>
      </c>
      <c r="H862" s="109">
        <f t="shared" si="42"/>
        <v>10</v>
      </c>
      <c r="I862" s="119"/>
      <c r="J862" s="119">
        <v>0</v>
      </c>
      <c r="K862" s="119">
        <f t="shared" si="43"/>
        <v>10</v>
      </c>
      <c r="L862" s="152">
        <f t="shared" si="44"/>
        <v>7.6</v>
      </c>
      <c r="M862" s="113"/>
    </row>
    <row r="863" spans="1:13" x14ac:dyDescent="0.2">
      <c r="A863" s="106" t="s">
        <v>5837</v>
      </c>
      <c r="B863" s="105" t="s">
        <v>2189</v>
      </c>
      <c r="C863" s="105" t="s">
        <v>5900</v>
      </c>
      <c r="D863" s="149" t="s">
        <v>2190</v>
      </c>
      <c r="E863" s="105">
        <v>1</v>
      </c>
      <c r="F863" s="133">
        <v>65</v>
      </c>
      <c r="G863" s="133">
        <v>71.5</v>
      </c>
      <c r="H863" s="109">
        <f t="shared" si="42"/>
        <v>71.5</v>
      </c>
      <c r="I863" s="119"/>
      <c r="J863" s="119">
        <v>0</v>
      </c>
      <c r="K863" s="119">
        <f t="shared" si="43"/>
        <v>71.5</v>
      </c>
      <c r="L863" s="152">
        <f t="shared" si="44"/>
        <v>65</v>
      </c>
      <c r="M863" s="113"/>
    </row>
    <row r="864" spans="1:13" x14ac:dyDescent="0.2">
      <c r="A864" s="106" t="s">
        <v>5837</v>
      </c>
      <c r="B864" s="105" t="s">
        <v>2018</v>
      </c>
      <c r="C864" s="105" t="s">
        <v>5900</v>
      </c>
      <c r="D864" s="149" t="s">
        <v>2019</v>
      </c>
      <c r="E864" s="105">
        <v>1</v>
      </c>
      <c r="F864" s="133">
        <v>30.79</v>
      </c>
      <c r="G864" s="133">
        <v>36.75</v>
      </c>
      <c r="H864" s="109">
        <f t="shared" si="42"/>
        <v>36.75</v>
      </c>
      <c r="I864" s="119"/>
      <c r="J864" s="119">
        <v>0</v>
      </c>
      <c r="K864" s="119">
        <f t="shared" si="43"/>
        <v>36.75</v>
      </c>
      <c r="L864" s="152">
        <f t="shared" si="44"/>
        <v>30.79</v>
      </c>
      <c r="M864" s="113"/>
    </row>
    <row r="865" spans="1:13" x14ac:dyDescent="0.2">
      <c r="A865" s="106" t="s">
        <v>5837</v>
      </c>
      <c r="B865" s="105" t="s">
        <v>5867</v>
      </c>
      <c r="C865" s="105" t="s">
        <v>5901</v>
      </c>
      <c r="D865" s="149" t="s">
        <v>5960</v>
      </c>
      <c r="E865" s="105">
        <v>1</v>
      </c>
      <c r="F865" s="133">
        <v>7.75</v>
      </c>
      <c r="G865" s="133">
        <v>9</v>
      </c>
      <c r="H865" s="109">
        <f t="shared" si="42"/>
        <v>9</v>
      </c>
      <c r="I865" s="119"/>
      <c r="J865" s="119">
        <v>0</v>
      </c>
      <c r="K865" s="119">
        <f t="shared" si="43"/>
        <v>9</v>
      </c>
      <c r="L865" s="152">
        <f t="shared" si="44"/>
        <v>7.75</v>
      </c>
      <c r="M865" s="113"/>
    </row>
    <row r="866" spans="1:13" x14ac:dyDescent="0.2">
      <c r="A866" s="106" t="s">
        <v>5837</v>
      </c>
      <c r="B866" s="105" t="s">
        <v>5591</v>
      </c>
      <c r="C866" s="105" t="s">
        <v>5902</v>
      </c>
      <c r="D866" s="149" t="s">
        <v>5636</v>
      </c>
      <c r="E866" s="105">
        <v>1</v>
      </c>
      <c r="F866" s="133">
        <v>5.85</v>
      </c>
      <c r="G866" s="133">
        <v>7</v>
      </c>
      <c r="H866" s="109">
        <f t="shared" si="42"/>
        <v>7</v>
      </c>
      <c r="I866" s="119"/>
      <c r="J866" s="119">
        <v>0</v>
      </c>
      <c r="K866" s="119">
        <f t="shared" si="43"/>
        <v>7</v>
      </c>
      <c r="L866" s="152">
        <f t="shared" si="44"/>
        <v>5.85</v>
      </c>
      <c r="M866" s="113"/>
    </row>
    <row r="867" spans="1:13" x14ac:dyDescent="0.2">
      <c r="A867" s="106" t="s">
        <v>5837</v>
      </c>
      <c r="B867" s="105" t="s">
        <v>3569</v>
      </c>
      <c r="C867" s="105" t="s">
        <v>5902</v>
      </c>
      <c r="D867" s="149" t="s">
        <v>3571</v>
      </c>
      <c r="E867" s="105">
        <v>1</v>
      </c>
      <c r="F867" s="133">
        <v>21.88</v>
      </c>
      <c r="G867" s="133">
        <v>25.25</v>
      </c>
      <c r="H867" s="109">
        <f t="shared" si="42"/>
        <v>25.25</v>
      </c>
      <c r="I867" s="119"/>
      <c r="J867" s="119">
        <v>0</v>
      </c>
      <c r="K867" s="119">
        <f t="shared" si="43"/>
        <v>25.25</v>
      </c>
      <c r="L867" s="152">
        <f t="shared" si="44"/>
        <v>21.88</v>
      </c>
      <c r="M867" s="113"/>
    </row>
    <row r="868" spans="1:13" x14ac:dyDescent="0.2">
      <c r="A868" s="106" t="s">
        <v>5837</v>
      </c>
      <c r="B868" s="105" t="s">
        <v>5497</v>
      </c>
      <c r="C868" s="105" t="s">
        <v>5902</v>
      </c>
      <c r="D868" s="149" t="s">
        <v>5573</v>
      </c>
      <c r="E868" s="105">
        <v>1</v>
      </c>
      <c r="F868" s="133">
        <v>30</v>
      </c>
      <c r="G868" s="133">
        <v>40</v>
      </c>
      <c r="H868" s="109">
        <f t="shared" si="42"/>
        <v>40</v>
      </c>
      <c r="I868" s="119"/>
      <c r="J868" s="119">
        <v>2.25</v>
      </c>
      <c r="K868" s="119">
        <f t="shared" si="43"/>
        <v>37.75</v>
      </c>
      <c r="L868" s="152">
        <f t="shared" si="44"/>
        <v>30</v>
      </c>
      <c r="M868" s="113"/>
    </row>
    <row r="869" spans="1:13" x14ac:dyDescent="0.2">
      <c r="A869" s="106" t="s">
        <v>5837</v>
      </c>
      <c r="B869" s="105" t="s">
        <v>1915</v>
      </c>
      <c r="C869" s="105" t="s">
        <v>5903</v>
      </c>
      <c r="D869" s="149" t="s">
        <v>1917</v>
      </c>
      <c r="E869" s="105">
        <v>1</v>
      </c>
      <c r="F869" s="133">
        <v>7.85</v>
      </c>
      <c r="G869" s="133">
        <v>12</v>
      </c>
      <c r="H869" s="109">
        <f t="shared" si="42"/>
        <v>12</v>
      </c>
      <c r="I869" s="119"/>
      <c r="J869" s="119">
        <v>0</v>
      </c>
      <c r="K869" s="119">
        <f t="shared" si="43"/>
        <v>12</v>
      </c>
      <c r="L869" s="152">
        <f t="shared" si="44"/>
        <v>7.85</v>
      </c>
      <c r="M869" s="113"/>
    </row>
    <row r="870" spans="1:13" x14ac:dyDescent="0.2">
      <c r="A870" s="106" t="s">
        <v>5837</v>
      </c>
      <c r="B870" s="105" t="s">
        <v>2323</v>
      </c>
      <c r="C870" s="105" t="s">
        <v>5903</v>
      </c>
      <c r="D870" s="149" t="s">
        <v>2325</v>
      </c>
      <c r="E870" s="105">
        <v>1</v>
      </c>
      <c r="F870" s="133">
        <v>19.100000000000001</v>
      </c>
      <c r="G870" s="133">
        <v>22</v>
      </c>
      <c r="H870" s="109">
        <f t="shared" si="42"/>
        <v>22</v>
      </c>
      <c r="I870" s="119"/>
      <c r="J870" s="119">
        <v>0</v>
      </c>
      <c r="K870" s="119">
        <f t="shared" si="43"/>
        <v>22</v>
      </c>
      <c r="L870" s="152">
        <f t="shared" si="44"/>
        <v>19.100000000000001</v>
      </c>
      <c r="M870" s="113"/>
    </row>
    <row r="871" spans="1:13" x14ac:dyDescent="0.2">
      <c r="A871" s="106" t="s">
        <v>5837</v>
      </c>
      <c r="B871" s="105" t="s">
        <v>5866</v>
      </c>
      <c r="C871" s="105" t="s">
        <v>5903</v>
      </c>
      <c r="D871" s="149" t="s">
        <v>5959</v>
      </c>
      <c r="E871" s="105">
        <v>1</v>
      </c>
      <c r="F871" s="133">
        <v>5.61</v>
      </c>
      <c r="G871" s="133">
        <v>6.5</v>
      </c>
      <c r="H871" s="109">
        <f t="shared" si="42"/>
        <v>6.5</v>
      </c>
      <c r="I871" s="119"/>
      <c r="J871" s="119">
        <v>0</v>
      </c>
      <c r="K871" s="119">
        <f t="shared" si="43"/>
        <v>6.5</v>
      </c>
      <c r="L871" s="152">
        <f t="shared" si="44"/>
        <v>5.61</v>
      </c>
      <c r="M871" s="113"/>
    </row>
    <row r="872" spans="1:13" x14ac:dyDescent="0.2">
      <c r="A872" s="106" t="s">
        <v>5837</v>
      </c>
      <c r="B872" s="105" t="s">
        <v>5693</v>
      </c>
      <c r="C872" s="105" t="s">
        <v>5903</v>
      </c>
      <c r="D872" s="149" t="s">
        <v>5831</v>
      </c>
      <c r="E872" s="105">
        <v>1</v>
      </c>
      <c r="F872" s="133">
        <v>5.61</v>
      </c>
      <c r="G872" s="133">
        <v>6.5</v>
      </c>
      <c r="H872" s="109">
        <f t="shared" si="42"/>
        <v>6.5</v>
      </c>
      <c r="I872" s="119"/>
      <c r="J872" s="119">
        <v>0</v>
      </c>
      <c r="K872" s="119">
        <f t="shared" si="43"/>
        <v>6.5</v>
      </c>
      <c r="L872" s="152">
        <f t="shared" si="44"/>
        <v>5.61</v>
      </c>
      <c r="M872" s="113"/>
    </row>
    <row r="873" spans="1:13" x14ac:dyDescent="0.2">
      <c r="A873" s="106" t="s">
        <v>5837</v>
      </c>
      <c r="B873" s="105" t="s">
        <v>3909</v>
      </c>
      <c r="C873" s="105" t="s">
        <v>5904</v>
      </c>
      <c r="D873" s="149" t="s">
        <v>3911</v>
      </c>
      <c r="E873" s="105">
        <v>1</v>
      </c>
      <c r="F873" s="133">
        <v>7.06</v>
      </c>
      <c r="G873" s="133">
        <v>8.25</v>
      </c>
      <c r="H873" s="109">
        <f t="shared" si="42"/>
        <v>8.25</v>
      </c>
      <c r="I873" s="119"/>
      <c r="J873" s="119">
        <v>0</v>
      </c>
      <c r="K873" s="119">
        <f t="shared" si="43"/>
        <v>8.25</v>
      </c>
      <c r="L873" s="152">
        <f t="shared" si="44"/>
        <v>7.06</v>
      </c>
      <c r="M873" s="113"/>
    </row>
    <row r="874" spans="1:13" x14ac:dyDescent="0.2">
      <c r="A874" s="106" t="s">
        <v>5838</v>
      </c>
      <c r="B874" s="105" t="s">
        <v>5693</v>
      </c>
      <c r="C874" s="105" t="s">
        <v>5905</v>
      </c>
      <c r="D874" s="149" t="s">
        <v>5831</v>
      </c>
      <c r="E874" s="105">
        <v>1</v>
      </c>
      <c r="F874" s="133">
        <v>5.61</v>
      </c>
      <c r="G874" s="133">
        <v>6.5</v>
      </c>
      <c r="H874" s="109">
        <f t="shared" si="42"/>
        <v>6.5</v>
      </c>
      <c r="I874" s="119"/>
      <c r="J874" s="119">
        <v>0</v>
      </c>
      <c r="K874" s="119">
        <f t="shared" si="43"/>
        <v>6.5</v>
      </c>
      <c r="L874" s="152">
        <f t="shared" si="44"/>
        <v>5.61</v>
      </c>
      <c r="M874" s="113"/>
    </row>
    <row r="875" spans="1:13" x14ac:dyDescent="0.2">
      <c r="A875" s="106" t="s">
        <v>5838</v>
      </c>
      <c r="B875" s="105" t="s">
        <v>2363</v>
      </c>
      <c r="C875" s="105" t="s">
        <v>5906</v>
      </c>
      <c r="D875" s="149" t="s">
        <v>2365</v>
      </c>
      <c r="E875" s="105">
        <v>1</v>
      </c>
      <c r="F875" s="133">
        <v>12.66</v>
      </c>
      <c r="G875" s="133">
        <v>14.25</v>
      </c>
      <c r="H875" s="109">
        <f t="shared" si="42"/>
        <v>14.25</v>
      </c>
      <c r="I875" s="119"/>
      <c r="J875" s="119">
        <v>0</v>
      </c>
      <c r="K875" s="119">
        <f t="shared" si="43"/>
        <v>14.25</v>
      </c>
      <c r="L875" s="152">
        <f t="shared" si="44"/>
        <v>12.66</v>
      </c>
      <c r="M875" s="113"/>
    </row>
    <row r="876" spans="1:13" x14ac:dyDescent="0.2">
      <c r="A876" s="106" t="s">
        <v>5838</v>
      </c>
      <c r="B876" s="105" t="s">
        <v>2459</v>
      </c>
      <c r="C876" s="105" t="s">
        <v>5907</v>
      </c>
      <c r="D876" s="149" t="s">
        <v>2460</v>
      </c>
      <c r="E876" s="105">
        <v>1</v>
      </c>
      <c r="F876" s="133">
        <v>18.88</v>
      </c>
      <c r="G876" s="133">
        <v>21.75</v>
      </c>
      <c r="H876" s="109">
        <f t="shared" si="42"/>
        <v>21.75</v>
      </c>
      <c r="I876" s="119"/>
      <c r="J876" s="119">
        <v>0</v>
      </c>
      <c r="K876" s="119">
        <f t="shared" si="43"/>
        <v>21.75</v>
      </c>
      <c r="L876" s="152">
        <f t="shared" si="44"/>
        <v>18.88</v>
      </c>
      <c r="M876" s="113"/>
    </row>
    <row r="877" spans="1:13" x14ac:dyDescent="0.2">
      <c r="A877" s="106" t="s">
        <v>5838</v>
      </c>
      <c r="B877" s="105" t="s">
        <v>2423</v>
      </c>
      <c r="C877" s="105" t="s">
        <v>5907</v>
      </c>
      <c r="D877" s="149" t="s">
        <v>2425</v>
      </c>
      <c r="E877" s="105">
        <v>1</v>
      </c>
      <c r="F877" s="133">
        <v>18.53</v>
      </c>
      <c r="G877" s="133">
        <v>21.5</v>
      </c>
      <c r="H877" s="109">
        <f t="shared" si="42"/>
        <v>21.5</v>
      </c>
      <c r="I877" s="119"/>
      <c r="J877" s="119">
        <v>0</v>
      </c>
      <c r="K877" s="119">
        <f t="shared" si="43"/>
        <v>21.5</v>
      </c>
      <c r="L877" s="152">
        <f t="shared" si="44"/>
        <v>18.53</v>
      </c>
      <c r="M877" s="113"/>
    </row>
    <row r="878" spans="1:13" x14ac:dyDescent="0.2">
      <c r="A878" s="106" t="s">
        <v>5838</v>
      </c>
      <c r="B878" s="105" t="s">
        <v>2323</v>
      </c>
      <c r="C878" s="105" t="s">
        <v>5907</v>
      </c>
      <c r="D878" s="149" t="s">
        <v>2325</v>
      </c>
      <c r="E878" s="105">
        <v>1</v>
      </c>
      <c r="F878" s="133">
        <v>19.100000000000001</v>
      </c>
      <c r="G878" s="133">
        <v>22</v>
      </c>
      <c r="H878" s="109">
        <f t="shared" si="42"/>
        <v>22</v>
      </c>
      <c r="I878" s="119"/>
      <c r="J878" s="119">
        <v>0</v>
      </c>
      <c r="K878" s="119">
        <f t="shared" si="43"/>
        <v>22</v>
      </c>
      <c r="L878" s="152">
        <f t="shared" si="44"/>
        <v>19.100000000000001</v>
      </c>
      <c r="M878" s="113"/>
    </row>
    <row r="879" spans="1:13" x14ac:dyDescent="0.2">
      <c r="A879" s="106" t="s">
        <v>5838</v>
      </c>
      <c r="B879" s="105" t="s">
        <v>5695</v>
      </c>
      <c r="C879" s="105" t="s">
        <v>5907</v>
      </c>
      <c r="D879" s="149" t="s">
        <v>5833</v>
      </c>
      <c r="E879" s="105">
        <v>2</v>
      </c>
      <c r="F879" s="133">
        <v>6.82</v>
      </c>
      <c r="G879" s="133">
        <v>8</v>
      </c>
      <c r="H879" s="109">
        <f t="shared" si="42"/>
        <v>16</v>
      </c>
      <c r="I879" s="119"/>
      <c r="J879" s="119">
        <v>0</v>
      </c>
      <c r="K879" s="119">
        <f t="shared" si="43"/>
        <v>16</v>
      </c>
      <c r="L879" s="152">
        <f t="shared" si="44"/>
        <v>13.64</v>
      </c>
      <c r="M879" s="113"/>
    </row>
    <row r="880" spans="1:13" x14ac:dyDescent="0.2">
      <c r="A880" s="106" t="s">
        <v>5838</v>
      </c>
      <c r="B880" s="105" t="s">
        <v>2031</v>
      </c>
      <c r="C880" s="105" t="s">
        <v>5908</v>
      </c>
      <c r="D880" s="149" t="s">
        <v>2033</v>
      </c>
      <c r="E880" s="105">
        <v>1</v>
      </c>
      <c r="F880" s="133">
        <v>20.399999999999999</v>
      </c>
      <c r="G880" s="133">
        <v>24</v>
      </c>
      <c r="H880" s="109">
        <f t="shared" si="42"/>
        <v>24</v>
      </c>
      <c r="I880" s="119"/>
      <c r="J880" s="119">
        <v>0</v>
      </c>
      <c r="K880" s="119">
        <f t="shared" si="43"/>
        <v>24</v>
      </c>
      <c r="L880" s="152">
        <f t="shared" si="44"/>
        <v>20.399999999999999</v>
      </c>
      <c r="M880" s="113"/>
    </row>
    <row r="881" spans="1:13" x14ac:dyDescent="0.2">
      <c r="A881" s="106" t="s">
        <v>5838</v>
      </c>
      <c r="B881" s="105" t="s">
        <v>2139</v>
      </c>
      <c r="C881" s="105" t="s">
        <v>5909</v>
      </c>
      <c r="D881" s="149" t="s">
        <v>2140</v>
      </c>
      <c r="E881" s="105">
        <v>1</v>
      </c>
      <c r="F881" s="133">
        <v>16.03</v>
      </c>
      <c r="G881" s="133">
        <v>18.5</v>
      </c>
      <c r="H881" s="109">
        <f t="shared" si="42"/>
        <v>18.5</v>
      </c>
      <c r="I881" s="119"/>
      <c r="J881" s="119">
        <v>0</v>
      </c>
      <c r="K881" s="119">
        <f t="shared" si="43"/>
        <v>18.5</v>
      </c>
      <c r="L881" s="152">
        <f t="shared" si="44"/>
        <v>16.03</v>
      </c>
      <c r="M881" s="113"/>
    </row>
    <row r="882" spans="1:13" x14ac:dyDescent="0.2">
      <c r="A882" s="106" t="s">
        <v>5838</v>
      </c>
      <c r="B882" s="105" t="s">
        <v>1802</v>
      </c>
      <c r="C882" s="105" t="s">
        <v>5909</v>
      </c>
      <c r="D882" s="149" t="s">
        <v>1803</v>
      </c>
      <c r="E882" s="105">
        <v>1</v>
      </c>
      <c r="F882" s="133">
        <v>7.75</v>
      </c>
      <c r="G882" s="133">
        <v>9</v>
      </c>
      <c r="H882" s="109">
        <f t="shared" si="42"/>
        <v>9</v>
      </c>
      <c r="I882" s="119"/>
      <c r="J882" s="119">
        <v>0</v>
      </c>
      <c r="K882" s="119">
        <f t="shared" si="43"/>
        <v>9</v>
      </c>
      <c r="L882" s="152">
        <f t="shared" si="44"/>
        <v>7.75</v>
      </c>
      <c r="M882" s="113"/>
    </row>
    <row r="883" spans="1:13" x14ac:dyDescent="0.2">
      <c r="A883" s="106" t="s">
        <v>5838</v>
      </c>
      <c r="B883" s="105" t="s">
        <v>4083</v>
      </c>
      <c r="C883" s="105" t="s">
        <v>5910</v>
      </c>
      <c r="D883" s="149" t="s">
        <v>4084</v>
      </c>
      <c r="E883" s="105">
        <v>1</v>
      </c>
      <c r="F883" s="133">
        <v>200.03</v>
      </c>
      <c r="G883" s="133">
        <v>230</v>
      </c>
      <c r="H883" s="109">
        <f t="shared" si="42"/>
        <v>230</v>
      </c>
      <c r="I883" s="119"/>
      <c r="J883" s="119">
        <v>0</v>
      </c>
      <c r="K883" s="119">
        <f t="shared" si="43"/>
        <v>230</v>
      </c>
      <c r="L883" s="152">
        <f t="shared" si="44"/>
        <v>200.03</v>
      </c>
      <c r="M883" s="113"/>
    </row>
    <row r="884" spans="1:13" x14ac:dyDescent="0.2">
      <c r="A884" s="106" t="s">
        <v>5838</v>
      </c>
      <c r="B884" s="105" t="s">
        <v>1929</v>
      </c>
      <c r="C884" s="105" t="s">
        <v>5910</v>
      </c>
      <c r="D884" s="149" t="s">
        <v>1930</v>
      </c>
      <c r="E884" s="105">
        <v>4</v>
      </c>
      <c r="F884" s="133">
        <v>13.92</v>
      </c>
      <c r="G884" s="133">
        <v>22</v>
      </c>
      <c r="H884" s="109">
        <f t="shared" si="42"/>
        <v>88</v>
      </c>
      <c r="I884" s="119"/>
      <c r="J884" s="119">
        <v>0</v>
      </c>
      <c r="K884" s="119">
        <f t="shared" si="43"/>
        <v>88</v>
      </c>
      <c r="L884" s="152">
        <f t="shared" si="44"/>
        <v>55.68</v>
      </c>
      <c r="M884" s="113"/>
    </row>
    <row r="885" spans="1:13" x14ac:dyDescent="0.2">
      <c r="A885" s="106" t="s">
        <v>5838</v>
      </c>
      <c r="B885" s="105" t="s">
        <v>4806</v>
      </c>
      <c r="C885" s="105" t="s">
        <v>5910</v>
      </c>
      <c r="D885" s="149" t="s">
        <v>4874</v>
      </c>
      <c r="E885" s="105">
        <v>12</v>
      </c>
      <c r="F885" s="133">
        <v>8.58</v>
      </c>
      <c r="G885" s="133">
        <v>10</v>
      </c>
      <c r="H885" s="109">
        <f t="shared" si="42"/>
        <v>120</v>
      </c>
      <c r="I885" s="119"/>
      <c r="J885" s="119">
        <v>0</v>
      </c>
      <c r="K885" s="119">
        <f t="shared" si="43"/>
        <v>120</v>
      </c>
      <c r="L885" s="152">
        <f t="shared" si="44"/>
        <v>102.96000000000001</v>
      </c>
      <c r="M885" s="113"/>
    </row>
    <row r="886" spans="1:13" x14ac:dyDescent="0.2">
      <c r="A886" s="106" t="s">
        <v>5838</v>
      </c>
      <c r="B886" s="105" t="s">
        <v>5868</v>
      </c>
      <c r="C886" s="105" t="s">
        <v>5911</v>
      </c>
      <c r="D886" s="149" t="s">
        <v>5961</v>
      </c>
      <c r="E886" s="105">
        <v>1</v>
      </c>
      <c r="F886" s="133">
        <v>28.85</v>
      </c>
      <c r="G886" s="133">
        <v>33.25</v>
      </c>
      <c r="H886" s="109">
        <f t="shared" si="42"/>
        <v>33.25</v>
      </c>
      <c r="I886" s="119"/>
      <c r="J886" s="119">
        <v>0</v>
      </c>
      <c r="K886" s="119">
        <f t="shared" si="43"/>
        <v>33.25</v>
      </c>
      <c r="L886" s="152">
        <f t="shared" si="44"/>
        <v>28.85</v>
      </c>
      <c r="M886" s="113"/>
    </row>
    <row r="887" spans="1:13" x14ac:dyDescent="0.2">
      <c r="A887" s="106" t="s">
        <v>5838</v>
      </c>
      <c r="B887" s="105" t="s">
        <v>5869</v>
      </c>
      <c r="C887" s="105" t="s">
        <v>5911</v>
      </c>
      <c r="D887" s="149" t="s">
        <v>5962</v>
      </c>
      <c r="E887" s="105">
        <v>1</v>
      </c>
      <c r="F887" s="133">
        <v>68.47</v>
      </c>
      <c r="G887" s="133">
        <v>79</v>
      </c>
      <c r="H887" s="109">
        <f t="shared" si="42"/>
        <v>79</v>
      </c>
      <c r="I887" s="119"/>
      <c r="J887" s="119">
        <v>0</v>
      </c>
      <c r="K887" s="119">
        <f t="shared" si="43"/>
        <v>79</v>
      </c>
      <c r="L887" s="152">
        <f t="shared" si="44"/>
        <v>68.47</v>
      </c>
      <c r="M887" s="113"/>
    </row>
    <row r="888" spans="1:13" x14ac:dyDescent="0.2">
      <c r="A888" s="106" t="s">
        <v>5838</v>
      </c>
      <c r="B888" s="105" t="s">
        <v>2429</v>
      </c>
      <c r="C888" s="105" t="s">
        <v>5911</v>
      </c>
      <c r="D888" s="149" t="s">
        <v>2431</v>
      </c>
      <c r="E888" s="105">
        <v>2</v>
      </c>
      <c r="F888" s="133">
        <v>14.31</v>
      </c>
      <c r="G888" s="133">
        <v>16.5</v>
      </c>
      <c r="H888" s="109">
        <f t="shared" si="42"/>
        <v>33</v>
      </c>
      <c r="I888" s="119"/>
      <c r="J888" s="119">
        <v>0</v>
      </c>
      <c r="K888" s="119">
        <f t="shared" si="43"/>
        <v>33</v>
      </c>
      <c r="L888" s="152">
        <f t="shared" si="44"/>
        <v>28.62</v>
      </c>
      <c r="M888" s="113"/>
    </row>
    <row r="889" spans="1:13" x14ac:dyDescent="0.2">
      <c r="A889" s="106" t="s">
        <v>5838</v>
      </c>
      <c r="B889" s="105" t="s">
        <v>2394</v>
      </c>
      <c r="C889" s="105" t="s">
        <v>5912</v>
      </c>
      <c r="D889" s="149" t="s">
        <v>2395</v>
      </c>
      <c r="E889" s="105">
        <v>1</v>
      </c>
      <c r="F889" s="133">
        <v>58.45</v>
      </c>
      <c r="G889" s="133">
        <v>65</v>
      </c>
      <c r="H889" s="109">
        <f t="shared" si="42"/>
        <v>65</v>
      </c>
      <c r="I889" s="119"/>
      <c r="J889" s="119">
        <v>0</v>
      </c>
      <c r="K889" s="119">
        <f t="shared" si="43"/>
        <v>65</v>
      </c>
      <c r="L889" s="152">
        <f t="shared" si="44"/>
        <v>58.45</v>
      </c>
      <c r="M889" s="113"/>
    </row>
    <row r="890" spans="1:13" x14ac:dyDescent="0.2">
      <c r="A890" s="106" t="s">
        <v>5838</v>
      </c>
      <c r="B890" s="105" t="s">
        <v>5248</v>
      </c>
      <c r="C890" s="105" t="s">
        <v>5913</v>
      </c>
      <c r="D890" s="149" t="s">
        <v>5408</v>
      </c>
      <c r="E890" s="105">
        <v>4</v>
      </c>
      <c r="F890" s="133">
        <v>5.8</v>
      </c>
      <c r="G890" s="133">
        <v>7</v>
      </c>
      <c r="H890" s="109">
        <f t="shared" si="42"/>
        <v>28</v>
      </c>
      <c r="I890" s="119"/>
      <c r="J890" s="119">
        <v>0</v>
      </c>
      <c r="K890" s="119">
        <f t="shared" si="43"/>
        <v>28</v>
      </c>
      <c r="L890" s="152">
        <f t="shared" si="44"/>
        <v>23.2</v>
      </c>
      <c r="M890" s="113"/>
    </row>
    <row r="891" spans="1:13" x14ac:dyDescent="0.2">
      <c r="A891" s="106" t="s">
        <v>5838</v>
      </c>
      <c r="B891" s="105" t="s">
        <v>1810</v>
      </c>
      <c r="C891" s="105" t="s">
        <v>5914</v>
      </c>
      <c r="D891" s="149" t="s">
        <v>1811</v>
      </c>
      <c r="E891" s="105">
        <v>1</v>
      </c>
      <c r="F891" s="133">
        <v>38.39</v>
      </c>
      <c r="G891" s="133">
        <v>44.25</v>
      </c>
      <c r="H891" s="109">
        <f t="shared" si="42"/>
        <v>44.25</v>
      </c>
      <c r="I891" s="119"/>
      <c r="J891" s="119">
        <v>0</v>
      </c>
      <c r="K891" s="119">
        <f t="shared" si="43"/>
        <v>44.25</v>
      </c>
      <c r="L891" s="152">
        <f t="shared" si="44"/>
        <v>38.39</v>
      </c>
      <c r="M891" s="113"/>
    </row>
    <row r="892" spans="1:13" x14ac:dyDescent="0.2">
      <c r="A892" s="106" t="s">
        <v>5838</v>
      </c>
      <c r="B892" s="105" t="s">
        <v>1861</v>
      </c>
      <c r="C892" s="105" t="s">
        <v>5914</v>
      </c>
      <c r="D892" s="149" t="s">
        <v>1862</v>
      </c>
      <c r="E892" s="105">
        <v>1</v>
      </c>
      <c r="F892" s="133">
        <v>15.65</v>
      </c>
      <c r="G892" s="133">
        <v>18</v>
      </c>
      <c r="H892" s="109">
        <f t="shared" si="42"/>
        <v>18</v>
      </c>
      <c r="I892" s="119"/>
      <c r="J892" s="119">
        <v>0</v>
      </c>
      <c r="K892" s="119">
        <f t="shared" si="43"/>
        <v>18</v>
      </c>
      <c r="L892" s="152">
        <f t="shared" si="44"/>
        <v>15.65</v>
      </c>
      <c r="M892" s="113"/>
    </row>
    <row r="893" spans="1:13" x14ac:dyDescent="0.2">
      <c r="A893" s="106" t="s">
        <v>5838</v>
      </c>
      <c r="B893" s="105" t="s">
        <v>1830</v>
      </c>
      <c r="C893" s="105" t="s">
        <v>5915</v>
      </c>
      <c r="D893" s="149" t="s">
        <v>1831</v>
      </c>
      <c r="E893" s="105">
        <v>1</v>
      </c>
      <c r="F893" s="133">
        <v>16.84</v>
      </c>
      <c r="G893" s="133">
        <v>19.5</v>
      </c>
      <c r="H893" s="109">
        <f t="shared" si="42"/>
        <v>19.5</v>
      </c>
      <c r="I893" s="119"/>
      <c r="J893" s="119">
        <v>0</v>
      </c>
      <c r="K893" s="119">
        <f t="shared" si="43"/>
        <v>19.5</v>
      </c>
      <c r="L893" s="152">
        <f t="shared" si="44"/>
        <v>16.84</v>
      </c>
      <c r="M893" s="113"/>
    </row>
    <row r="894" spans="1:13" x14ac:dyDescent="0.2">
      <c r="A894" s="106" t="s">
        <v>5838</v>
      </c>
      <c r="B894" s="105" t="s">
        <v>2363</v>
      </c>
      <c r="C894" s="105" t="s">
        <v>5916</v>
      </c>
      <c r="D894" s="149" t="s">
        <v>2365</v>
      </c>
      <c r="E894" s="105">
        <v>1</v>
      </c>
      <c r="F894" s="133">
        <v>12.66</v>
      </c>
      <c r="G894" s="133">
        <v>14.25</v>
      </c>
      <c r="H894" s="109">
        <f t="shared" si="42"/>
        <v>14.25</v>
      </c>
      <c r="I894" s="119"/>
      <c r="J894" s="119">
        <v>0</v>
      </c>
      <c r="K894" s="119">
        <f t="shared" si="43"/>
        <v>14.25</v>
      </c>
      <c r="L894" s="152">
        <f t="shared" si="44"/>
        <v>12.66</v>
      </c>
      <c r="M894" s="113"/>
    </row>
    <row r="895" spans="1:13" x14ac:dyDescent="0.2">
      <c r="A895" s="106" t="s">
        <v>5838</v>
      </c>
      <c r="B895" s="105" t="s">
        <v>5870</v>
      </c>
      <c r="C895" s="105" t="s">
        <v>5917</v>
      </c>
      <c r="D895" s="149" t="s">
        <v>5963</v>
      </c>
      <c r="E895" s="105">
        <v>1</v>
      </c>
      <c r="F895" s="133">
        <v>38</v>
      </c>
      <c r="G895" s="133">
        <v>43.75</v>
      </c>
      <c r="H895" s="109">
        <f t="shared" si="42"/>
        <v>43.75</v>
      </c>
      <c r="I895" s="119"/>
      <c r="J895" s="119">
        <v>0</v>
      </c>
      <c r="K895" s="119">
        <f t="shared" si="43"/>
        <v>43.75</v>
      </c>
      <c r="L895" s="152">
        <f t="shared" si="44"/>
        <v>38</v>
      </c>
      <c r="M895" s="113"/>
    </row>
    <row r="896" spans="1:13" x14ac:dyDescent="0.2">
      <c r="A896" s="106" t="s">
        <v>5838</v>
      </c>
      <c r="B896" s="105" t="s">
        <v>2453</v>
      </c>
      <c r="C896" s="105" t="s">
        <v>5918</v>
      </c>
      <c r="D896" s="149" t="s">
        <v>2454</v>
      </c>
      <c r="E896" s="105">
        <v>1</v>
      </c>
      <c r="F896" s="133">
        <v>57.4</v>
      </c>
      <c r="G896" s="133">
        <v>66</v>
      </c>
      <c r="H896" s="109">
        <f t="shared" si="42"/>
        <v>66</v>
      </c>
      <c r="I896" s="119"/>
      <c r="J896" s="119">
        <v>0</v>
      </c>
      <c r="K896" s="119">
        <f t="shared" si="43"/>
        <v>66</v>
      </c>
      <c r="L896" s="152">
        <f t="shared" si="44"/>
        <v>57.4</v>
      </c>
      <c r="M896" s="113"/>
    </row>
    <row r="897" spans="1:13" x14ac:dyDescent="0.2">
      <c r="A897" s="106" t="s">
        <v>5838</v>
      </c>
      <c r="B897" s="105" t="s">
        <v>2908</v>
      </c>
      <c r="C897" s="105" t="s">
        <v>5919</v>
      </c>
      <c r="D897" s="149" t="s">
        <v>2910</v>
      </c>
      <c r="E897" s="105">
        <v>5</v>
      </c>
      <c r="F897" s="133">
        <v>0.76</v>
      </c>
      <c r="G897" s="133">
        <v>1</v>
      </c>
      <c r="H897" s="109">
        <f t="shared" si="42"/>
        <v>5</v>
      </c>
      <c r="I897" s="119"/>
      <c r="J897" s="119">
        <v>0</v>
      </c>
      <c r="K897" s="119">
        <f t="shared" si="43"/>
        <v>5</v>
      </c>
      <c r="L897" s="152">
        <f t="shared" si="44"/>
        <v>3.8</v>
      </c>
      <c r="M897" s="113"/>
    </row>
    <row r="898" spans="1:13" x14ac:dyDescent="0.2">
      <c r="A898" s="106" t="s">
        <v>5838</v>
      </c>
      <c r="B898" s="105" t="s">
        <v>2895</v>
      </c>
      <c r="C898" s="105" t="s">
        <v>5920</v>
      </c>
      <c r="D898" s="149" t="s">
        <v>2897</v>
      </c>
      <c r="E898" s="105">
        <v>1</v>
      </c>
      <c r="F898" s="133">
        <v>9.17</v>
      </c>
      <c r="G898" s="133">
        <v>10.75</v>
      </c>
      <c r="H898" s="109">
        <f t="shared" si="42"/>
        <v>10.75</v>
      </c>
      <c r="I898" s="119"/>
      <c r="J898" s="119">
        <v>0</v>
      </c>
      <c r="K898" s="119">
        <f t="shared" si="43"/>
        <v>10.75</v>
      </c>
      <c r="L898" s="152">
        <f t="shared" si="44"/>
        <v>9.17</v>
      </c>
      <c r="M898" s="113"/>
    </row>
    <row r="899" spans="1:13" x14ac:dyDescent="0.2">
      <c r="A899" s="106" t="s">
        <v>5838</v>
      </c>
      <c r="B899" s="105" t="s">
        <v>1826</v>
      </c>
      <c r="C899" s="105" t="s">
        <v>5921</v>
      </c>
      <c r="D899" s="149" t="s">
        <v>1827</v>
      </c>
      <c r="E899" s="105">
        <v>3</v>
      </c>
      <c r="F899" s="133">
        <v>90</v>
      </c>
      <c r="G899" s="133">
        <v>120</v>
      </c>
      <c r="H899" s="109">
        <f t="shared" si="42"/>
        <v>360</v>
      </c>
      <c r="I899" s="119"/>
      <c r="J899" s="119">
        <v>0</v>
      </c>
      <c r="K899" s="119">
        <f t="shared" si="43"/>
        <v>360</v>
      </c>
      <c r="L899" s="152">
        <f t="shared" si="44"/>
        <v>270</v>
      </c>
      <c r="M899" s="113"/>
    </row>
    <row r="900" spans="1:13" x14ac:dyDescent="0.2">
      <c r="A900" s="106" t="s">
        <v>5838</v>
      </c>
      <c r="B900" s="105" t="s">
        <v>5029</v>
      </c>
      <c r="C900" s="105" t="s">
        <v>5922</v>
      </c>
      <c r="D900" s="149" t="s">
        <v>5073</v>
      </c>
      <c r="E900" s="105">
        <v>1</v>
      </c>
      <c r="F900" s="133">
        <v>79.95</v>
      </c>
      <c r="G900" s="133">
        <v>92</v>
      </c>
      <c r="H900" s="109">
        <f t="shared" si="42"/>
        <v>92</v>
      </c>
      <c r="I900" s="119"/>
      <c r="J900" s="119">
        <v>0</v>
      </c>
      <c r="K900" s="119">
        <f t="shared" si="43"/>
        <v>92</v>
      </c>
      <c r="L900" s="152">
        <f t="shared" si="44"/>
        <v>79.95</v>
      </c>
      <c r="M900" s="113"/>
    </row>
    <row r="901" spans="1:13" x14ac:dyDescent="0.2">
      <c r="A901" s="106" t="s">
        <v>5838</v>
      </c>
      <c r="B901" s="105" t="s">
        <v>5695</v>
      </c>
      <c r="C901" s="105" t="s">
        <v>5923</v>
      </c>
      <c r="D901" s="149" t="s">
        <v>5833</v>
      </c>
      <c r="E901" s="105">
        <v>1</v>
      </c>
      <c r="F901" s="133">
        <v>6.82</v>
      </c>
      <c r="G901" s="133">
        <v>8</v>
      </c>
      <c r="H901" s="109">
        <f t="shared" si="42"/>
        <v>8</v>
      </c>
      <c r="I901" s="119"/>
      <c r="J901" s="119">
        <v>0</v>
      </c>
      <c r="K901" s="119">
        <f t="shared" si="43"/>
        <v>8</v>
      </c>
      <c r="L901" s="152">
        <f t="shared" si="44"/>
        <v>6.82</v>
      </c>
      <c r="M901" s="113"/>
    </row>
    <row r="902" spans="1:13" x14ac:dyDescent="0.2">
      <c r="A902" s="106" t="s">
        <v>5838</v>
      </c>
      <c r="B902" s="105" t="s">
        <v>1977</v>
      </c>
      <c r="C902" s="105" t="s">
        <v>5923</v>
      </c>
      <c r="D902" s="149" t="s">
        <v>1979</v>
      </c>
      <c r="E902" s="105">
        <v>1</v>
      </c>
      <c r="F902" s="133">
        <v>0.76</v>
      </c>
      <c r="G902" s="133">
        <v>1</v>
      </c>
      <c r="H902" s="109">
        <f t="shared" si="42"/>
        <v>1</v>
      </c>
      <c r="I902" s="119"/>
      <c r="J902" s="119">
        <v>0</v>
      </c>
      <c r="K902" s="119">
        <f t="shared" si="43"/>
        <v>1</v>
      </c>
      <c r="L902" s="152">
        <f t="shared" si="44"/>
        <v>0.76</v>
      </c>
      <c r="M902" s="113"/>
    </row>
    <row r="903" spans="1:13" x14ac:dyDescent="0.2">
      <c r="A903" s="106" t="s">
        <v>5838</v>
      </c>
      <c r="B903" s="105" t="s">
        <v>2481</v>
      </c>
      <c r="C903" s="105" t="s">
        <v>5924</v>
      </c>
      <c r="D903" s="149" t="s">
        <v>2482</v>
      </c>
      <c r="E903" s="105">
        <v>1</v>
      </c>
      <c r="F903" s="133">
        <v>759.98</v>
      </c>
      <c r="G903" s="133">
        <v>874</v>
      </c>
      <c r="H903" s="109">
        <f t="shared" ref="H903:H966" si="45">E903*G903</f>
        <v>874</v>
      </c>
      <c r="I903" s="119"/>
      <c r="J903" s="119">
        <v>0</v>
      </c>
      <c r="K903" s="119">
        <f t="shared" si="43"/>
        <v>874</v>
      </c>
      <c r="L903" s="152">
        <f t="shared" si="44"/>
        <v>759.98</v>
      </c>
      <c r="M903" s="113"/>
    </row>
    <row r="904" spans="1:13" x14ac:dyDescent="0.2">
      <c r="A904" s="106" t="s">
        <v>5838</v>
      </c>
      <c r="B904" s="105" t="s">
        <v>2293</v>
      </c>
      <c r="C904" s="105" t="s">
        <v>5924</v>
      </c>
      <c r="D904" s="149" t="s">
        <v>2295</v>
      </c>
      <c r="E904" s="105">
        <v>4</v>
      </c>
      <c r="F904" s="133">
        <v>27.84</v>
      </c>
      <c r="G904" s="133">
        <v>45</v>
      </c>
      <c r="H904" s="109">
        <f t="shared" si="45"/>
        <v>180</v>
      </c>
      <c r="I904" s="119"/>
      <c r="J904" s="119">
        <v>0</v>
      </c>
      <c r="K904" s="119">
        <f t="shared" ref="K904:K967" si="46">H904+I904-J904</f>
        <v>180</v>
      </c>
      <c r="L904" s="152">
        <f t="shared" ref="L904:L967" si="47">E904*F904</f>
        <v>111.36</v>
      </c>
      <c r="M904" s="113"/>
    </row>
    <row r="905" spans="1:13" x14ac:dyDescent="0.2">
      <c r="A905" s="106" t="s">
        <v>5838</v>
      </c>
      <c r="B905" s="105" t="s">
        <v>5498</v>
      </c>
      <c r="C905" s="105" t="s">
        <v>5924</v>
      </c>
      <c r="D905" s="149" t="s">
        <v>5574</v>
      </c>
      <c r="E905" s="105">
        <v>1</v>
      </c>
      <c r="F905" s="133">
        <v>110.5</v>
      </c>
      <c r="G905" s="133">
        <v>127.75</v>
      </c>
      <c r="H905" s="109">
        <f t="shared" si="45"/>
        <v>127.75</v>
      </c>
      <c r="I905" s="119"/>
      <c r="J905" s="119">
        <v>0</v>
      </c>
      <c r="K905" s="119">
        <f t="shared" si="46"/>
        <v>127.75</v>
      </c>
      <c r="L905" s="152">
        <f t="shared" si="47"/>
        <v>110.5</v>
      </c>
      <c r="M905" s="113"/>
    </row>
    <row r="906" spans="1:13" x14ac:dyDescent="0.2">
      <c r="A906" s="106" t="s">
        <v>5838</v>
      </c>
      <c r="B906" s="105" t="s">
        <v>5871</v>
      </c>
      <c r="C906" s="105" t="s">
        <v>5924</v>
      </c>
      <c r="D906" s="149" t="s">
        <v>5964</v>
      </c>
      <c r="E906" s="105">
        <v>50</v>
      </c>
      <c r="F906" s="133">
        <v>2.76</v>
      </c>
      <c r="G906" s="133">
        <v>3.5</v>
      </c>
      <c r="H906" s="109">
        <f t="shared" si="45"/>
        <v>175</v>
      </c>
      <c r="I906" s="119"/>
      <c r="J906" s="119">
        <v>0</v>
      </c>
      <c r="K906" s="119">
        <f t="shared" si="46"/>
        <v>175</v>
      </c>
      <c r="L906" s="152">
        <f t="shared" si="47"/>
        <v>138</v>
      </c>
      <c r="M906" s="113"/>
    </row>
    <row r="907" spans="1:13" x14ac:dyDescent="0.2">
      <c r="A907" s="106" t="s">
        <v>5838</v>
      </c>
      <c r="B907" s="105" t="s">
        <v>5697</v>
      </c>
      <c r="C907" s="105" t="s">
        <v>5925</v>
      </c>
      <c r="D907" s="149" t="s">
        <v>5835</v>
      </c>
      <c r="E907" s="105">
        <v>1</v>
      </c>
      <c r="F907" s="133">
        <v>202</v>
      </c>
      <c r="G907" s="133">
        <v>233.5</v>
      </c>
      <c r="H907" s="109">
        <f t="shared" si="45"/>
        <v>233.5</v>
      </c>
      <c r="I907" s="119"/>
      <c r="J907" s="119">
        <v>0</v>
      </c>
      <c r="K907" s="119">
        <f t="shared" si="46"/>
        <v>233.5</v>
      </c>
      <c r="L907" s="152">
        <f t="shared" si="47"/>
        <v>202</v>
      </c>
      <c r="M907" s="113"/>
    </row>
    <row r="908" spans="1:13" x14ac:dyDescent="0.2">
      <c r="A908" s="106" t="s">
        <v>5838</v>
      </c>
      <c r="B908" s="105" t="s">
        <v>1884</v>
      </c>
      <c r="C908" s="105" t="s">
        <v>5926</v>
      </c>
      <c r="D908" s="149" t="s">
        <v>1885</v>
      </c>
      <c r="E908" s="105">
        <v>1</v>
      </c>
      <c r="F908" s="133">
        <v>6.83</v>
      </c>
      <c r="G908" s="133">
        <v>9.75</v>
      </c>
      <c r="H908" s="109">
        <f t="shared" si="45"/>
        <v>9.75</v>
      </c>
      <c r="I908" s="119"/>
      <c r="J908" s="119">
        <v>0</v>
      </c>
      <c r="K908" s="119">
        <f t="shared" si="46"/>
        <v>9.75</v>
      </c>
      <c r="L908" s="152">
        <f t="shared" si="47"/>
        <v>6.83</v>
      </c>
      <c r="M908" s="113"/>
    </row>
    <row r="909" spans="1:13" x14ac:dyDescent="0.2">
      <c r="A909" s="106" t="s">
        <v>5838</v>
      </c>
      <c r="B909" s="105" t="s">
        <v>1884</v>
      </c>
      <c r="C909" s="105" t="s">
        <v>5927</v>
      </c>
      <c r="D909" s="149" t="s">
        <v>1885</v>
      </c>
      <c r="E909" s="105">
        <v>1</v>
      </c>
      <c r="F909" s="133">
        <v>6.83</v>
      </c>
      <c r="G909" s="133">
        <v>9.75</v>
      </c>
      <c r="H909" s="109">
        <f t="shared" si="45"/>
        <v>9.75</v>
      </c>
      <c r="I909" s="119"/>
      <c r="J909" s="119">
        <v>0</v>
      </c>
      <c r="K909" s="119">
        <f t="shared" si="46"/>
        <v>9.75</v>
      </c>
      <c r="L909" s="152">
        <f t="shared" si="47"/>
        <v>6.83</v>
      </c>
      <c r="M909" s="113"/>
    </row>
    <row r="910" spans="1:13" x14ac:dyDescent="0.2">
      <c r="A910" s="106" t="s">
        <v>5838</v>
      </c>
      <c r="B910" s="105" t="s">
        <v>2323</v>
      </c>
      <c r="C910" s="105" t="s">
        <v>5928</v>
      </c>
      <c r="D910" s="149" t="s">
        <v>2325</v>
      </c>
      <c r="E910" s="105">
        <v>1</v>
      </c>
      <c r="F910" s="133">
        <v>19.100000000000001</v>
      </c>
      <c r="G910" s="133">
        <v>22</v>
      </c>
      <c r="H910" s="109">
        <f t="shared" si="45"/>
        <v>22</v>
      </c>
      <c r="I910" s="119"/>
      <c r="J910" s="119">
        <v>0</v>
      </c>
      <c r="K910" s="119">
        <f t="shared" si="46"/>
        <v>22</v>
      </c>
      <c r="L910" s="152">
        <f t="shared" si="47"/>
        <v>19.100000000000001</v>
      </c>
      <c r="M910" s="113"/>
    </row>
    <row r="911" spans="1:13" x14ac:dyDescent="0.2">
      <c r="A911" s="106" t="s">
        <v>5839</v>
      </c>
      <c r="B911" s="105" t="s">
        <v>3158</v>
      </c>
      <c r="C911" s="105" t="s">
        <v>5929</v>
      </c>
      <c r="D911" s="149" t="s">
        <v>3159</v>
      </c>
      <c r="E911" s="105">
        <v>1</v>
      </c>
      <c r="F911" s="133">
        <v>1160.3499999999999</v>
      </c>
      <c r="G911" s="133">
        <v>1334.5</v>
      </c>
      <c r="H911" s="109">
        <f t="shared" si="45"/>
        <v>1334.5</v>
      </c>
      <c r="I911" s="119"/>
      <c r="J911" s="119">
        <v>0</v>
      </c>
      <c r="K911" s="119">
        <f t="shared" si="46"/>
        <v>1334.5</v>
      </c>
      <c r="L911" s="152">
        <f t="shared" si="47"/>
        <v>1160.3499999999999</v>
      </c>
      <c r="M911" s="113"/>
    </row>
    <row r="912" spans="1:13" x14ac:dyDescent="0.2">
      <c r="A912" s="106" t="s">
        <v>5839</v>
      </c>
      <c r="B912" s="105" t="s">
        <v>2476</v>
      </c>
      <c r="C912" s="105" t="s">
        <v>5929</v>
      </c>
      <c r="D912" s="149" t="s">
        <v>2478</v>
      </c>
      <c r="E912" s="105">
        <v>2</v>
      </c>
      <c r="F912" s="133">
        <v>41.25</v>
      </c>
      <c r="G912" s="133">
        <v>48.75</v>
      </c>
      <c r="H912" s="109">
        <f t="shared" si="45"/>
        <v>97.5</v>
      </c>
      <c r="I912" s="119"/>
      <c r="J912" s="119">
        <v>0</v>
      </c>
      <c r="K912" s="119">
        <f t="shared" si="46"/>
        <v>97.5</v>
      </c>
      <c r="L912" s="152">
        <f t="shared" si="47"/>
        <v>82.5</v>
      </c>
      <c r="M912" s="113"/>
    </row>
    <row r="913" spans="1:13" x14ac:dyDescent="0.2">
      <c r="A913" s="106" t="s">
        <v>5839</v>
      </c>
      <c r="B913" s="105" t="s">
        <v>4282</v>
      </c>
      <c r="C913" s="105" t="s">
        <v>5929</v>
      </c>
      <c r="D913" s="149" t="s">
        <v>4284</v>
      </c>
      <c r="E913" s="105">
        <v>2</v>
      </c>
      <c r="F913" s="133">
        <v>53.2</v>
      </c>
      <c r="G913" s="133">
        <v>61.25</v>
      </c>
      <c r="H913" s="109">
        <f t="shared" si="45"/>
        <v>122.5</v>
      </c>
      <c r="I913" s="119"/>
      <c r="J913" s="119">
        <v>0</v>
      </c>
      <c r="K913" s="119">
        <f t="shared" si="46"/>
        <v>122.5</v>
      </c>
      <c r="L913" s="152">
        <f t="shared" si="47"/>
        <v>106.4</v>
      </c>
      <c r="M913" s="113"/>
    </row>
    <row r="914" spans="1:13" x14ac:dyDescent="0.2">
      <c r="A914" s="106" t="s">
        <v>5839</v>
      </c>
      <c r="B914" s="105" t="s">
        <v>5695</v>
      </c>
      <c r="C914" s="105" t="s">
        <v>5930</v>
      </c>
      <c r="D914" s="149" t="s">
        <v>5833</v>
      </c>
      <c r="E914" s="105">
        <v>1</v>
      </c>
      <c r="F914" s="133">
        <v>6.82</v>
      </c>
      <c r="G914" s="133">
        <v>8</v>
      </c>
      <c r="H914" s="109">
        <f t="shared" si="45"/>
        <v>8</v>
      </c>
      <c r="I914" s="119"/>
      <c r="J914" s="119">
        <v>0</v>
      </c>
      <c r="K914" s="119">
        <f t="shared" si="46"/>
        <v>8</v>
      </c>
      <c r="L914" s="152">
        <f t="shared" si="47"/>
        <v>6.82</v>
      </c>
      <c r="M914" s="113"/>
    </row>
    <row r="915" spans="1:13" x14ac:dyDescent="0.2">
      <c r="A915" s="106" t="s">
        <v>5839</v>
      </c>
      <c r="B915" s="105" t="s">
        <v>1915</v>
      </c>
      <c r="C915" s="105" t="s">
        <v>5930</v>
      </c>
      <c r="D915" s="149" t="s">
        <v>1917</v>
      </c>
      <c r="E915" s="105">
        <v>1</v>
      </c>
      <c r="F915" s="133">
        <v>7.85</v>
      </c>
      <c r="G915" s="133">
        <v>12</v>
      </c>
      <c r="H915" s="109">
        <f t="shared" si="45"/>
        <v>12</v>
      </c>
      <c r="I915" s="119"/>
      <c r="J915" s="119">
        <v>0</v>
      </c>
      <c r="K915" s="119">
        <f t="shared" si="46"/>
        <v>12</v>
      </c>
      <c r="L915" s="152">
        <f t="shared" si="47"/>
        <v>7.85</v>
      </c>
      <c r="M915" s="113"/>
    </row>
    <row r="916" spans="1:13" x14ac:dyDescent="0.2">
      <c r="A916" s="106" t="s">
        <v>5839</v>
      </c>
      <c r="B916" s="105" t="s">
        <v>3314</v>
      </c>
      <c r="C916" s="105" t="s">
        <v>5931</v>
      </c>
      <c r="D916" s="149" t="s">
        <v>3316</v>
      </c>
      <c r="E916" s="105">
        <v>1</v>
      </c>
      <c r="F916" s="133">
        <v>16.579999999999998</v>
      </c>
      <c r="G916" s="133">
        <v>19</v>
      </c>
      <c r="H916" s="109">
        <f t="shared" si="45"/>
        <v>19</v>
      </c>
      <c r="I916" s="119"/>
      <c r="J916" s="119">
        <v>0</v>
      </c>
      <c r="K916" s="119">
        <f t="shared" si="46"/>
        <v>19</v>
      </c>
      <c r="L916" s="152">
        <f t="shared" si="47"/>
        <v>16.579999999999998</v>
      </c>
      <c r="M916" s="113"/>
    </row>
    <row r="917" spans="1:13" x14ac:dyDescent="0.2">
      <c r="A917" s="106" t="s">
        <v>5839</v>
      </c>
      <c r="B917" s="105" t="s">
        <v>1861</v>
      </c>
      <c r="C917" s="105" t="s">
        <v>5931</v>
      </c>
      <c r="D917" s="149" t="s">
        <v>1862</v>
      </c>
      <c r="E917" s="105">
        <v>1</v>
      </c>
      <c r="F917" s="133">
        <v>15.65</v>
      </c>
      <c r="G917" s="133">
        <v>18</v>
      </c>
      <c r="H917" s="109">
        <f t="shared" si="45"/>
        <v>18</v>
      </c>
      <c r="I917" s="119"/>
      <c r="J917" s="119">
        <v>0</v>
      </c>
      <c r="K917" s="119">
        <f t="shared" si="46"/>
        <v>18</v>
      </c>
      <c r="L917" s="152">
        <f t="shared" si="47"/>
        <v>15.65</v>
      </c>
      <c r="M917" s="113"/>
    </row>
    <row r="918" spans="1:13" x14ac:dyDescent="0.2">
      <c r="A918" s="106" t="s">
        <v>5839</v>
      </c>
      <c r="B918" s="105" t="s">
        <v>2773</v>
      </c>
      <c r="C918" s="105" t="s">
        <v>5931</v>
      </c>
      <c r="D918" s="149" t="s">
        <v>2774</v>
      </c>
      <c r="E918" s="105">
        <v>1</v>
      </c>
      <c r="F918" s="133">
        <v>28.2</v>
      </c>
      <c r="G918" s="133">
        <v>32.5</v>
      </c>
      <c r="H918" s="109">
        <f t="shared" si="45"/>
        <v>32.5</v>
      </c>
      <c r="I918" s="119"/>
      <c r="J918" s="119">
        <v>0</v>
      </c>
      <c r="K918" s="119">
        <f t="shared" si="46"/>
        <v>32.5</v>
      </c>
      <c r="L918" s="152">
        <f t="shared" si="47"/>
        <v>28.2</v>
      </c>
      <c r="M918" s="113"/>
    </row>
    <row r="919" spans="1:13" x14ac:dyDescent="0.2">
      <c r="A919" s="106" t="s">
        <v>5839</v>
      </c>
      <c r="B919" s="105" t="s">
        <v>2226</v>
      </c>
      <c r="C919" s="105" t="s">
        <v>5931</v>
      </c>
      <c r="D919" s="149" t="s">
        <v>2228</v>
      </c>
      <c r="E919" s="105">
        <v>2</v>
      </c>
      <c r="F919" s="133">
        <v>19.47</v>
      </c>
      <c r="G919" s="133">
        <v>23</v>
      </c>
      <c r="H919" s="109">
        <f t="shared" si="45"/>
        <v>46</v>
      </c>
      <c r="I919" s="119"/>
      <c r="J919" s="119">
        <v>0</v>
      </c>
      <c r="K919" s="119">
        <f t="shared" si="46"/>
        <v>46</v>
      </c>
      <c r="L919" s="152">
        <f t="shared" si="47"/>
        <v>38.94</v>
      </c>
      <c r="M919" s="113"/>
    </row>
    <row r="920" spans="1:13" x14ac:dyDescent="0.2">
      <c r="A920" s="106" t="s">
        <v>5839</v>
      </c>
      <c r="B920" s="105" t="s">
        <v>1969</v>
      </c>
      <c r="C920" s="105" t="s">
        <v>5932</v>
      </c>
      <c r="D920" s="149" t="s">
        <v>1970</v>
      </c>
      <c r="E920" s="105">
        <v>2</v>
      </c>
      <c r="F920" s="133">
        <v>3.6</v>
      </c>
      <c r="G920" s="133">
        <v>4.25</v>
      </c>
      <c r="H920" s="109">
        <f t="shared" si="45"/>
        <v>8.5</v>
      </c>
      <c r="I920" s="119"/>
      <c r="J920" s="119">
        <v>0</v>
      </c>
      <c r="K920" s="119">
        <f t="shared" si="46"/>
        <v>8.5</v>
      </c>
      <c r="L920" s="152">
        <f t="shared" si="47"/>
        <v>7.2</v>
      </c>
      <c r="M920" s="113"/>
    </row>
    <row r="921" spans="1:13" x14ac:dyDescent="0.2">
      <c r="A921" s="106" t="s">
        <v>5839</v>
      </c>
      <c r="B921" s="105" t="s">
        <v>2257</v>
      </c>
      <c r="C921" s="105" t="s">
        <v>5933</v>
      </c>
      <c r="D921" s="149" t="s">
        <v>2258</v>
      </c>
      <c r="E921" s="105">
        <v>1</v>
      </c>
      <c r="F921" s="133">
        <v>59.5</v>
      </c>
      <c r="G921" s="133">
        <v>68.5</v>
      </c>
      <c r="H921" s="109">
        <f t="shared" si="45"/>
        <v>68.5</v>
      </c>
      <c r="I921" s="119"/>
      <c r="J921" s="119">
        <v>0</v>
      </c>
      <c r="K921" s="119">
        <f t="shared" si="46"/>
        <v>68.5</v>
      </c>
      <c r="L921" s="152">
        <f t="shared" si="47"/>
        <v>59.5</v>
      </c>
      <c r="M921" s="113"/>
    </row>
    <row r="922" spans="1:13" x14ac:dyDescent="0.2">
      <c r="A922" s="106" t="s">
        <v>5839</v>
      </c>
      <c r="B922" s="105" t="s">
        <v>5872</v>
      </c>
      <c r="C922" s="105" t="s">
        <v>5933</v>
      </c>
      <c r="D922" s="149" t="s">
        <v>5965</v>
      </c>
      <c r="E922" s="105">
        <v>1</v>
      </c>
      <c r="F922" s="133">
        <v>61.5</v>
      </c>
      <c r="G922" s="133">
        <v>70.75</v>
      </c>
      <c r="H922" s="109">
        <f t="shared" si="45"/>
        <v>70.75</v>
      </c>
      <c r="I922" s="119"/>
      <c r="J922" s="119">
        <v>0</v>
      </c>
      <c r="K922" s="119">
        <f t="shared" si="46"/>
        <v>70.75</v>
      </c>
      <c r="L922" s="152">
        <f t="shared" si="47"/>
        <v>61.5</v>
      </c>
      <c r="M922" s="113"/>
    </row>
    <row r="923" spans="1:13" x14ac:dyDescent="0.2">
      <c r="A923" s="106" t="s">
        <v>5839</v>
      </c>
      <c r="B923" s="105" t="s">
        <v>5866</v>
      </c>
      <c r="C923" s="105" t="s">
        <v>5934</v>
      </c>
      <c r="D923" s="149" t="s">
        <v>5959</v>
      </c>
      <c r="E923" s="105">
        <v>1</v>
      </c>
      <c r="F923" s="133">
        <v>5.61</v>
      </c>
      <c r="G923" s="133">
        <v>6.5</v>
      </c>
      <c r="H923" s="109">
        <f t="shared" si="45"/>
        <v>6.5</v>
      </c>
      <c r="I923" s="119"/>
      <c r="J923" s="119">
        <v>0</v>
      </c>
      <c r="K923" s="119">
        <f t="shared" si="46"/>
        <v>6.5</v>
      </c>
      <c r="L923" s="152">
        <f t="shared" si="47"/>
        <v>5.61</v>
      </c>
      <c r="M923" s="113"/>
    </row>
    <row r="924" spans="1:13" x14ac:dyDescent="0.2">
      <c r="A924" s="106" t="s">
        <v>5839</v>
      </c>
      <c r="B924" s="105" t="s">
        <v>2438</v>
      </c>
      <c r="C924" s="105" t="s">
        <v>5935</v>
      </c>
      <c r="D924" s="149" t="s">
        <v>2440</v>
      </c>
      <c r="E924" s="105">
        <v>1</v>
      </c>
      <c r="F924" s="133">
        <v>15.12</v>
      </c>
      <c r="G924" s="133">
        <v>17.5</v>
      </c>
      <c r="H924" s="109">
        <f t="shared" si="45"/>
        <v>17.5</v>
      </c>
      <c r="I924" s="119"/>
      <c r="J924" s="119">
        <v>0</v>
      </c>
      <c r="K924" s="119">
        <f t="shared" si="46"/>
        <v>17.5</v>
      </c>
      <c r="L924" s="152">
        <f t="shared" si="47"/>
        <v>15.12</v>
      </c>
      <c r="M924" s="113"/>
    </row>
    <row r="925" spans="1:13" x14ac:dyDescent="0.2">
      <c r="A925" s="106" t="s">
        <v>5839</v>
      </c>
      <c r="B925" s="105" t="s">
        <v>1924</v>
      </c>
      <c r="C925" s="105" t="s">
        <v>5935</v>
      </c>
      <c r="D925" s="149" t="s">
        <v>1926</v>
      </c>
      <c r="E925" s="105">
        <v>1</v>
      </c>
      <c r="F925" s="133">
        <v>10.64</v>
      </c>
      <c r="G925" s="133">
        <v>12.25</v>
      </c>
      <c r="H925" s="109">
        <f t="shared" si="45"/>
        <v>12.25</v>
      </c>
      <c r="I925" s="119"/>
      <c r="J925" s="119">
        <v>0</v>
      </c>
      <c r="K925" s="119">
        <f t="shared" si="46"/>
        <v>12.25</v>
      </c>
      <c r="L925" s="152">
        <f t="shared" si="47"/>
        <v>10.64</v>
      </c>
      <c r="M925" s="113"/>
    </row>
    <row r="926" spans="1:13" x14ac:dyDescent="0.2">
      <c r="A926" s="106" t="s">
        <v>5839</v>
      </c>
      <c r="B926" s="105" t="s">
        <v>3993</v>
      </c>
      <c r="C926" s="105" t="s">
        <v>5935</v>
      </c>
      <c r="D926" s="149" t="s">
        <v>3995</v>
      </c>
      <c r="E926" s="105">
        <v>1</v>
      </c>
      <c r="F926" s="133">
        <v>18.649999999999999</v>
      </c>
      <c r="G926" s="133">
        <v>21.5</v>
      </c>
      <c r="H926" s="109">
        <f t="shared" si="45"/>
        <v>21.5</v>
      </c>
      <c r="I926" s="119"/>
      <c r="J926" s="119">
        <v>0</v>
      </c>
      <c r="K926" s="119">
        <f t="shared" si="46"/>
        <v>21.5</v>
      </c>
      <c r="L926" s="152">
        <f t="shared" si="47"/>
        <v>18.649999999999999</v>
      </c>
      <c r="M926" s="113"/>
    </row>
    <row r="927" spans="1:13" x14ac:dyDescent="0.2">
      <c r="A927" s="106" t="s">
        <v>5839</v>
      </c>
      <c r="B927" s="105" t="s">
        <v>2912</v>
      </c>
      <c r="C927" s="105" t="s">
        <v>5936</v>
      </c>
      <c r="D927" s="149" t="s">
        <v>2914</v>
      </c>
      <c r="E927" s="105">
        <v>1</v>
      </c>
      <c r="F927" s="133">
        <v>27.85</v>
      </c>
      <c r="G927" s="133">
        <v>32</v>
      </c>
      <c r="H927" s="109">
        <f t="shared" si="45"/>
        <v>32</v>
      </c>
      <c r="I927" s="119"/>
      <c r="J927" s="119">
        <v>0</v>
      </c>
      <c r="K927" s="119">
        <f t="shared" si="46"/>
        <v>32</v>
      </c>
      <c r="L927" s="152">
        <f t="shared" si="47"/>
        <v>27.85</v>
      </c>
      <c r="M927" s="113"/>
    </row>
    <row r="928" spans="1:13" x14ac:dyDescent="0.2">
      <c r="A928" s="106" t="s">
        <v>5839</v>
      </c>
      <c r="B928" s="105" t="s">
        <v>4367</v>
      </c>
      <c r="C928" s="105" t="s">
        <v>5936</v>
      </c>
      <c r="D928" s="149" t="s">
        <v>4431</v>
      </c>
      <c r="E928" s="105">
        <v>1</v>
      </c>
      <c r="F928" s="133">
        <v>20.399999999999999</v>
      </c>
      <c r="G928" s="133">
        <v>23.46</v>
      </c>
      <c r="H928" s="109">
        <f t="shared" si="45"/>
        <v>23.46</v>
      </c>
      <c r="I928" s="119"/>
      <c r="J928" s="119">
        <v>0</v>
      </c>
      <c r="K928" s="119">
        <f t="shared" si="46"/>
        <v>23.46</v>
      </c>
      <c r="L928" s="152">
        <f t="shared" si="47"/>
        <v>20.399999999999999</v>
      </c>
      <c r="M928" s="113"/>
    </row>
    <row r="929" spans="1:13" x14ac:dyDescent="0.2">
      <c r="A929" s="106" t="s">
        <v>5839</v>
      </c>
      <c r="B929" s="105" t="s">
        <v>5695</v>
      </c>
      <c r="C929" s="105" t="s">
        <v>5937</v>
      </c>
      <c r="D929" s="149" t="s">
        <v>5833</v>
      </c>
      <c r="E929" s="105">
        <v>2</v>
      </c>
      <c r="F929" s="133">
        <v>6.82</v>
      </c>
      <c r="G929" s="133">
        <v>8</v>
      </c>
      <c r="H929" s="109">
        <f t="shared" si="45"/>
        <v>16</v>
      </c>
      <c r="I929" s="119"/>
      <c r="J929" s="119">
        <v>0</v>
      </c>
      <c r="K929" s="119">
        <f t="shared" si="46"/>
        <v>16</v>
      </c>
      <c r="L929" s="152">
        <f t="shared" si="47"/>
        <v>13.64</v>
      </c>
      <c r="M929" s="113"/>
    </row>
    <row r="930" spans="1:13" x14ac:dyDescent="0.2">
      <c r="A930" s="106" t="s">
        <v>5839</v>
      </c>
      <c r="B930" s="105" t="s">
        <v>4760</v>
      </c>
      <c r="C930" s="105" t="s">
        <v>5938</v>
      </c>
      <c r="D930" s="149" t="s">
        <v>4787</v>
      </c>
      <c r="E930" s="105">
        <v>1</v>
      </c>
      <c r="F930" s="133">
        <v>27.8</v>
      </c>
      <c r="G930" s="133">
        <v>35</v>
      </c>
      <c r="H930" s="109">
        <f t="shared" si="45"/>
        <v>35</v>
      </c>
      <c r="I930" s="119"/>
      <c r="J930" s="119">
        <v>0</v>
      </c>
      <c r="K930" s="119">
        <f t="shared" si="46"/>
        <v>35</v>
      </c>
      <c r="L930" s="152">
        <f t="shared" si="47"/>
        <v>27.8</v>
      </c>
      <c r="M930" s="113"/>
    </row>
    <row r="931" spans="1:13" x14ac:dyDescent="0.2">
      <c r="A931" s="106" t="s">
        <v>5839</v>
      </c>
      <c r="B931" s="105" t="s">
        <v>3052</v>
      </c>
      <c r="C931" s="105" t="s">
        <v>5939</v>
      </c>
      <c r="D931" s="149" t="s">
        <v>3053</v>
      </c>
      <c r="E931" s="105">
        <v>1</v>
      </c>
      <c r="F931" s="133">
        <v>13.32</v>
      </c>
      <c r="G931" s="133">
        <v>15.5</v>
      </c>
      <c r="H931" s="109">
        <f t="shared" si="45"/>
        <v>15.5</v>
      </c>
      <c r="I931" s="119"/>
      <c r="J931" s="119">
        <v>0</v>
      </c>
      <c r="K931" s="119">
        <f t="shared" si="46"/>
        <v>15.5</v>
      </c>
      <c r="L931" s="152">
        <f t="shared" si="47"/>
        <v>13.32</v>
      </c>
      <c r="M931" s="113"/>
    </row>
    <row r="932" spans="1:13" x14ac:dyDescent="0.2">
      <c r="A932" s="106" t="s">
        <v>5839</v>
      </c>
      <c r="B932" s="105" t="s">
        <v>5867</v>
      </c>
      <c r="C932" s="105" t="s">
        <v>5940</v>
      </c>
      <c r="D932" s="149" t="s">
        <v>5960</v>
      </c>
      <c r="E932" s="105">
        <v>1</v>
      </c>
      <c r="F932" s="133">
        <v>7.75</v>
      </c>
      <c r="G932" s="133">
        <v>9</v>
      </c>
      <c r="H932" s="109">
        <f t="shared" si="45"/>
        <v>9</v>
      </c>
      <c r="I932" s="119"/>
      <c r="J932" s="119">
        <v>0</v>
      </c>
      <c r="K932" s="119">
        <f t="shared" si="46"/>
        <v>9</v>
      </c>
      <c r="L932" s="152">
        <f t="shared" si="47"/>
        <v>7.75</v>
      </c>
      <c r="M932" s="113"/>
    </row>
    <row r="933" spans="1:13" x14ac:dyDescent="0.2">
      <c r="A933" s="106" t="s">
        <v>5839</v>
      </c>
      <c r="B933" s="105" t="s">
        <v>2146</v>
      </c>
      <c r="C933" s="105" t="s">
        <v>5941</v>
      </c>
      <c r="D933" s="149" t="s">
        <v>2147</v>
      </c>
      <c r="E933" s="105">
        <v>3</v>
      </c>
      <c r="F933" s="133">
        <v>13.2</v>
      </c>
      <c r="G933" s="133">
        <v>16</v>
      </c>
      <c r="H933" s="109">
        <f t="shared" si="45"/>
        <v>48</v>
      </c>
      <c r="I933" s="119"/>
      <c r="J933" s="119">
        <v>0</v>
      </c>
      <c r="K933" s="119">
        <f t="shared" si="46"/>
        <v>48</v>
      </c>
      <c r="L933" s="152">
        <f t="shared" si="47"/>
        <v>39.599999999999994</v>
      </c>
      <c r="M933" s="113"/>
    </row>
    <row r="934" spans="1:13" x14ac:dyDescent="0.2">
      <c r="A934" s="106" t="s">
        <v>5839</v>
      </c>
      <c r="B934" s="105" t="s">
        <v>2110</v>
      </c>
      <c r="C934" s="105" t="s">
        <v>5941</v>
      </c>
      <c r="D934" s="149" t="s">
        <v>2112</v>
      </c>
      <c r="E934" s="105">
        <v>1</v>
      </c>
      <c r="F934" s="133">
        <v>23.13</v>
      </c>
      <c r="G934" s="133">
        <v>30.25</v>
      </c>
      <c r="H934" s="109">
        <f t="shared" si="45"/>
        <v>30.25</v>
      </c>
      <c r="I934" s="119"/>
      <c r="J934" s="119">
        <v>0</v>
      </c>
      <c r="K934" s="119">
        <f t="shared" si="46"/>
        <v>30.25</v>
      </c>
      <c r="L934" s="152">
        <f t="shared" si="47"/>
        <v>23.13</v>
      </c>
      <c r="M934" s="113"/>
    </row>
    <row r="935" spans="1:13" x14ac:dyDescent="0.2">
      <c r="A935" s="106" t="s">
        <v>5839</v>
      </c>
      <c r="B935" s="105" t="s">
        <v>3539</v>
      </c>
      <c r="C935" s="105" t="s">
        <v>5941</v>
      </c>
      <c r="D935" s="149" t="s">
        <v>3540</v>
      </c>
      <c r="E935" s="105">
        <v>1</v>
      </c>
      <c r="F935" s="133">
        <v>68.540000000000006</v>
      </c>
      <c r="G935" s="133">
        <v>79</v>
      </c>
      <c r="H935" s="109">
        <f t="shared" si="45"/>
        <v>79</v>
      </c>
      <c r="I935" s="119"/>
      <c r="J935" s="119">
        <v>0</v>
      </c>
      <c r="K935" s="119">
        <f t="shared" si="46"/>
        <v>79</v>
      </c>
      <c r="L935" s="152">
        <f t="shared" si="47"/>
        <v>68.540000000000006</v>
      </c>
      <c r="M935" s="113"/>
    </row>
    <row r="936" spans="1:13" x14ac:dyDescent="0.2">
      <c r="A936" s="106" t="s">
        <v>5839</v>
      </c>
      <c r="B936" s="105" t="s">
        <v>3314</v>
      </c>
      <c r="C936" s="105" t="s">
        <v>5942</v>
      </c>
      <c r="D936" s="149" t="s">
        <v>3316</v>
      </c>
      <c r="E936" s="105">
        <v>1</v>
      </c>
      <c r="F936" s="133">
        <v>16.579999999999998</v>
      </c>
      <c r="G936" s="133">
        <v>19</v>
      </c>
      <c r="H936" s="109">
        <f t="shared" si="45"/>
        <v>19</v>
      </c>
      <c r="I936" s="119"/>
      <c r="J936" s="119">
        <v>0</v>
      </c>
      <c r="K936" s="119">
        <f t="shared" si="46"/>
        <v>19</v>
      </c>
      <c r="L936" s="152">
        <f t="shared" si="47"/>
        <v>16.579999999999998</v>
      </c>
      <c r="M936" s="113"/>
    </row>
    <row r="937" spans="1:13" x14ac:dyDescent="0.2">
      <c r="A937" s="106" t="s">
        <v>5839</v>
      </c>
      <c r="B937" s="105" t="s">
        <v>3137</v>
      </c>
      <c r="C937" s="105" t="s">
        <v>5942</v>
      </c>
      <c r="D937" s="149" t="s">
        <v>3138</v>
      </c>
      <c r="E937" s="105">
        <v>1</v>
      </c>
      <c r="F937" s="133">
        <v>48.8</v>
      </c>
      <c r="G937" s="133">
        <v>56.25</v>
      </c>
      <c r="H937" s="109">
        <f t="shared" si="45"/>
        <v>56.25</v>
      </c>
      <c r="I937" s="119"/>
      <c r="J937" s="119">
        <v>0</v>
      </c>
      <c r="K937" s="119">
        <f t="shared" si="46"/>
        <v>56.25</v>
      </c>
      <c r="L937" s="152">
        <f t="shared" si="47"/>
        <v>48.8</v>
      </c>
      <c r="M937" s="113"/>
    </row>
    <row r="938" spans="1:13" x14ac:dyDescent="0.2">
      <c r="A938" s="106" t="s">
        <v>5839</v>
      </c>
      <c r="B938" s="105" t="s">
        <v>5873</v>
      </c>
      <c r="C938" s="105" t="s">
        <v>5942</v>
      </c>
      <c r="D938" s="149" t="s">
        <v>5966</v>
      </c>
      <c r="E938" s="105">
        <v>1</v>
      </c>
      <c r="F938" s="133">
        <v>35.35</v>
      </c>
      <c r="G938" s="133">
        <v>40.75</v>
      </c>
      <c r="H938" s="109">
        <f t="shared" si="45"/>
        <v>40.75</v>
      </c>
      <c r="I938" s="119"/>
      <c r="J938" s="119">
        <v>0</v>
      </c>
      <c r="K938" s="119">
        <f t="shared" si="46"/>
        <v>40.75</v>
      </c>
      <c r="L938" s="152">
        <f t="shared" si="47"/>
        <v>35.35</v>
      </c>
      <c r="M938" s="113"/>
    </row>
    <row r="939" spans="1:13" x14ac:dyDescent="0.2">
      <c r="A939" s="106" t="s">
        <v>5839</v>
      </c>
      <c r="B939" s="105" t="s">
        <v>5874</v>
      </c>
      <c r="C939" s="105" t="s">
        <v>5942</v>
      </c>
      <c r="D939" s="149" t="s">
        <v>5967</v>
      </c>
      <c r="E939" s="105">
        <v>1</v>
      </c>
      <c r="F939" s="133">
        <v>35.979999999999997</v>
      </c>
      <c r="G939" s="133">
        <v>41.5</v>
      </c>
      <c r="H939" s="109">
        <f t="shared" si="45"/>
        <v>41.5</v>
      </c>
      <c r="I939" s="119"/>
      <c r="J939" s="119">
        <v>0</v>
      </c>
      <c r="K939" s="119">
        <f t="shared" si="46"/>
        <v>41.5</v>
      </c>
      <c r="L939" s="152">
        <f t="shared" si="47"/>
        <v>35.979999999999997</v>
      </c>
      <c r="M939" s="113"/>
    </row>
    <row r="940" spans="1:13" x14ac:dyDescent="0.2">
      <c r="A940" s="106" t="s">
        <v>5839</v>
      </c>
      <c r="B940" s="105" t="s">
        <v>5248</v>
      </c>
      <c r="C940" s="105" t="s">
        <v>5943</v>
      </c>
      <c r="D940" s="149" t="s">
        <v>5408</v>
      </c>
      <c r="E940" s="105">
        <v>2</v>
      </c>
      <c r="F940" s="133">
        <v>5.8</v>
      </c>
      <c r="G940" s="133">
        <v>7</v>
      </c>
      <c r="H940" s="109">
        <f t="shared" si="45"/>
        <v>14</v>
      </c>
      <c r="I940" s="119"/>
      <c r="J940" s="119">
        <v>0</v>
      </c>
      <c r="K940" s="119">
        <f t="shared" si="46"/>
        <v>14</v>
      </c>
      <c r="L940" s="152">
        <f t="shared" si="47"/>
        <v>11.6</v>
      </c>
      <c r="M940" s="113"/>
    </row>
    <row r="941" spans="1:13" x14ac:dyDescent="0.2">
      <c r="A941" s="106" t="s">
        <v>5839</v>
      </c>
      <c r="B941" s="105" t="s">
        <v>5695</v>
      </c>
      <c r="C941" s="105" t="s">
        <v>5944</v>
      </c>
      <c r="D941" s="149" t="s">
        <v>5833</v>
      </c>
      <c r="E941" s="105">
        <v>1</v>
      </c>
      <c r="F941" s="133">
        <v>6.82</v>
      </c>
      <c r="G941" s="133">
        <v>8</v>
      </c>
      <c r="H941" s="109">
        <f t="shared" si="45"/>
        <v>8</v>
      </c>
      <c r="I941" s="119"/>
      <c r="J941" s="119">
        <v>0</v>
      </c>
      <c r="K941" s="119">
        <f t="shared" si="46"/>
        <v>8</v>
      </c>
      <c r="L941" s="152">
        <f t="shared" si="47"/>
        <v>6.82</v>
      </c>
      <c r="M941" s="113"/>
    </row>
    <row r="942" spans="1:13" x14ac:dyDescent="0.2">
      <c r="A942" s="106" t="s">
        <v>5839</v>
      </c>
      <c r="B942" s="105" t="s">
        <v>5126</v>
      </c>
      <c r="C942" s="105" t="s">
        <v>5945</v>
      </c>
      <c r="D942" s="149" t="s">
        <v>5174</v>
      </c>
      <c r="E942" s="105">
        <v>1</v>
      </c>
      <c r="F942" s="133">
        <v>23.62</v>
      </c>
      <c r="G942" s="133">
        <v>27.75</v>
      </c>
      <c r="H942" s="109">
        <f t="shared" si="45"/>
        <v>27.75</v>
      </c>
      <c r="I942" s="119"/>
      <c r="J942" s="119">
        <v>0</v>
      </c>
      <c r="K942" s="119">
        <f t="shared" si="46"/>
        <v>27.75</v>
      </c>
      <c r="L942" s="152">
        <f t="shared" si="47"/>
        <v>23.62</v>
      </c>
      <c r="M942" s="113"/>
    </row>
    <row r="943" spans="1:13" x14ac:dyDescent="0.2">
      <c r="A943" s="106" t="s">
        <v>5839</v>
      </c>
      <c r="B943" s="105" t="s">
        <v>2237</v>
      </c>
      <c r="C943" s="105" t="s">
        <v>5946</v>
      </c>
      <c r="D943" s="149" t="s">
        <v>2239</v>
      </c>
      <c r="E943" s="105">
        <v>1</v>
      </c>
      <c r="F943" s="133">
        <v>13.32</v>
      </c>
      <c r="G943" s="133">
        <v>15.5</v>
      </c>
      <c r="H943" s="109">
        <f t="shared" si="45"/>
        <v>15.5</v>
      </c>
      <c r="I943" s="119"/>
      <c r="J943" s="119">
        <v>0</v>
      </c>
      <c r="K943" s="119">
        <f t="shared" si="46"/>
        <v>15.5</v>
      </c>
      <c r="L943" s="152">
        <f t="shared" si="47"/>
        <v>13.32</v>
      </c>
      <c r="M943" s="113"/>
    </row>
    <row r="944" spans="1:13" x14ac:dyDescent="0.2">
      <c r="A944" s="106" t="s">
        <v>5839</v>
      </c>
      <c r="B944" s="105" t="s">
        <v>5248</v>
      </c>
      <c r="C944" s="105" t="s">
        <v>5946</v>
      </c>
      <c r="D944" s="149" t="s">
        <v>5408</v>
      </c>
      <c r="E944" s="105">
        <v>1</v>
      </c>
      <c r="F944" s="133">
        <v>5.8</v>
      </c>
      <c r="G944" s="133">
        <v>7</v>
      </c>
      <c r="H944" s="109">
        <f t="shared" si="45"/>
        <v>7</v>
      </c>
      <c r="I944" s="119"/>
      <c r="J944" s="119">
        <v>0</v>
      </c>
      <c r="K944" s="119">
        <f t="shared" si="46"/>
        <v>7</v>
      </c>
      <c r="L944" s="152">
        <f t="shared" si="47"/>
        <v>5.8</v>
      </c>
      <c r="M944" s="113"/>
    </row>
    <row r="945" spans="1:13" x14ac:dyDescent="0.2">
      <c r="A945" s="106" t="s">
        <v>5839</v>
      </c>
      <c r="B945" s="105" t="s">
        <v>5248</v>
      </c>
      <c r="C945" s="105" t="s">
        <v>5947</v>
      </c>
      <c r="D945" s="149" t="s">
        <v>5408</v>
      </c>
      <c r="E945" s="105">
        <v>1</v>
      </c>
      <c r="F945" s="133">
        <v>5.8</v>
      </c>
      <c r="G945" s="133">
        <v>7</v>
      </c>
      <c r="H945" s="109">
        <f t="shared" si="45"/>
        <v>7</v>
      </c>
      <c r="I945" s="119"/>
      <c r="J945" s="119">
        <v>0</v>
      </c>
      <c r="K945" s="119">
        <f t="shared" si="46"/>
        <v>7</v>
      </c>
      <c r="L945" s="152">
        <f t="shared" si="47"/>
        <v>5.8</v>
      </c>
      <c r="M945" s="113"/>
    </row>
    <row r="946" spans="1:13" x14ac:dyDescent="0.2">
      <c r="A946" s="106" t="s">
        <v>5839</v>
      </c>
      <c r="B946" s="105" t="s">
        <v>5866</v>
      </c>
      <c r="C946" s="105" t="s">
        <v>5948</v>
      </c>
      <c r="D946" s="149" t="s">
        <v>5959</v>
      </c>
      <c r="E946" s="105">
        <v>1</v>
      </c>
      <c r="F946" s="133">
        <v>5.61</v>
      </c>
      <c r="G946" s="133">
        <v>6.5</v>
      </c>
      <c r="H946" s="109">
        <f t="shared" si="45"/>
        <v>6.5</v>
      </c>
      <c r="I946" s="119"/>
      <c r="J946" s="119">
        <v>0</v>
      </c>
      <c r="K946" s="119">
        <f t="shared" si="46"/>
        <v>6.5</v>
      </c>
      <c r="L946" s="152">
        <f t="shared" si="47"/>
        <v>5.61</v>
      </c>
      <c r="M946" s="113"/>
    </row>
    <row r="947" spans="1:13" x14ac:dyDescent="0.2">
      <c r="A947" s="106" t="s">
        <v>5839</v>
      </c>
      <c r="B947" s="105" t="s">
        <v>5694</v>
      </c>
      <c r="C947" s="105" t="s">
        <v>5949</v>
      </c>
      <c r="D947" s="149" t="s">
        <v>5832</v>
      </c>
      <c r="E947" s="105">
        <v>1</v>
      </c>
      <c r="F947" s="133">
        <v>109.83</v>
      </c>
      <c r="G947" s="133">
        <v>126.5</v>
      </c>
      <c r="H947" s="109">
        <f t="shared" si="45"/>
        <v>126.5</v>
      </c>
      <c r="I947" s="119"/>
      <c r="J947" s="119">
        <v>0</v>
      </c>
      <c r="K947" s="119">
        <f t="shared" si="46"/>
        <v>126.5</v>
      </c>
      <c r="L947" s="152">
        <f t="shared" si="47"/>
        <v>109.83</v>
      </c>
      <c r="M947" s="113"/>
    </row>
    <row r="948" spans="1:13" x14ac:dyDescent="0.2">
      <c r="A948" s="106" t="s">
        <v>5839</v>
      </c>
      <c r="B948" s="105" t="s">
        <v>2794</v>
      </c>
      <c r="C948" s="105" t="s">
        <v>5949</v>
      </c>
      <c r="D948" s="149" t="s">
        <v>2795</v>
      </c>
      <c r="E948" s="105">
        <v>1</v>
      </c>
      <c r="F948" s="133">
        <v>23.15</v>
      </c>
      <c r="G948" s="133">
        <v>27</v>
      </c>
      <c r="H948" s="109">
        <f t="shared" si="45"/>
        <v>27</v>
      </c>
      <c r="I948" s="119"/>
      <c r="J948" s="119">
        <v>0</v>
      </c>
      <c r="K948" s="119">
        <f t="shared" si="46"/>
        <v>27</v>
      </c>
      <c r="L948" s="152">
        <f t="shared" si="47"/>
        <v>23.15</v>
      </c>
      <c r="M948" s="113"/>
    </row>
    <row r="949" spans="1:13" x14ac:dyDescent="0.2">
      <c r="A949" s="106" t="s">
        <v>5839</v>
      </c>
      <c r="B949" s="105" t="s">
        <v>5248</v>
      </c>
      <c r="C949" s="105" t="s">
        <v>5950</v>
      </c>
      <c r="D949" s="149" t="s">
        <v>5408</v>
      </c>
      <c r="E949" s="105">
        <v>1</v>
      </c>
      <c r="F949" s="133">
        <v>5.8</v>
      </c>
      <c r="G949" s="133">
        <v>7</v>
      </c>
      <c r="H949" s="109">
        <f t="shared" si="45"/>
        <v>7</v>
      </c>
      <c r="I949" s="119"/>
      <c r="J949" s="119">
        <v>0</v>
      </c>
      <c r="K949" s="119">
        <f t="shared" si="46"/>
        <v>7</v>
      </c>
      <c r="L949" s="152">
        <f t="shared" si="47"/>
        <v>5.8</v>
      </c>
      <c r="M949" s="113"/>
    </row>
    <row r="950" spans="1:13" x14ac:dyDescent="0.2">
      <c r="A950" s="106" t="s">
        <v>5839</v>
      </c>
      <c r="B950" s="105" t="s">
        <v>1977</v>
      </c>
      <c r="C950" s="105" t="s">
        <v>5950</v>
      </c>
      <c r="D950" s="149" t="s">
        <v>1979</v>
      </c>
      <c r="E950" s="105">
        <v>1</v>
      </c>
      <c r="F950" s="133">
        <v>0.76</v>
      </c>
      <c r="G950" s="133">
        <v>1</v>
      </c>
      <c r="H950" s="109">
        <f t="shared" si="45"/>
        <v>1</v>
      </c>
      <c r="I950" s="119"/>
      <c r="J950" s="119">
        <v>0</v>
      </c>
      <c r="K950" s="119">
        <f t="shared" si="46"/>
        <v>1</v>
      </c>
      <c r="L950" s="152">
        <f t="shared" si="47"/>
        <v>0.76</v>
      </c>
      <c r="M950" s="113"/>
    </row>
    <row r="951" spans="1:13" x14ac:dyDescent="0.2">
      <c r="A951" s="106" t="s">
        <v>5839</v>
      </c>
      <c r="B951" s="105" t="s">
        <v>3457</v>
      </c>
      <c r="C951" s="105" t="s">
        <v>5951</v>
      </c>
      <c r="D951" s="149" t="s">
        <v>3458</v>
      </c>
      <c r="E951" s="105">
        <v>2</v>
      </c>
      <c r="F951" s="133">
        <v>51.97</v>
      </c>
      <c r="G951" s="133">
        <v>60</v>
      </c>
      <c r="H951" s="109">
        <f t="shared" si="45"/>
        <v>120</v>
      </c>
      <c r="I951" s="119"/>
      <c r="J951" s="119">
        <v>0</v>
      </c>
      <c r="K951" s="119">
        <f t="shared" si="46"/>
        <v>120</v>
      </c>
      <c r="L951" s="152">
        <f t="shared" si="47"/>
        <v>103.94</v>
      </c>
      <c r="M951" s="113"/>
    </row>
    <row r="952" spans="1:13" x14ac:dyDescent="0.2">
      <c r="A952" s="106" t="s">
        <v>5839</v>
      </c>
      <c r="B952" s="105" t="s">
        <v>2162</v>
      </c>
      <c r="C952" s="105" t="s">
        <v>5951</v>
      </c>
      <c r="D952" s="149" t="s">
        <v>2163</v>
      </c>
      <c r="E952" s="105">
        <v>2</v>
      </c>
      <c r="F952" s="133">
        <v>67.290000000000006</v>
      </c>
      <c r="G952" s="133">
        <v>77.5</v>
      </c>
      <c r="H952" s="109">
        <f t="shared" si="45"/>
        <v>155</v>
      </c>
      <c r="I952" s="119"/>
      <c r="J952" s="119">
        <v>0</v>
      </c>
      <c r="K952" s="119">
        <f t="shared" si="46"/>
        <v>155</v>
      </c>
      <c r="L952" s="152">
        <f t="shared" si="47"/>
        <v>134.58000000000001</v>
      </c>
      <c r="M952" s="113"/>
    </row>
    <row r="953" spans="1:13" x14ac:dyDescent="0.2">
      <c r="A953" s="106" t="s">
        <v>5839</v>
      </c>
      <c r="B953" s="105" t="s">
        <v>5247</v>
      </c>
      <c r="C953" s="105" t="s">
        <v>5952</v>
      </c>
      <c r="D953" s="149" t="s">
        <v>5407</v>
      </c>
      <c r="E953" s="105">
        <v>5</v>
      </c>
      <c r="F953" s="133">
        <v>32</v>
      </c>
      <c r="G953" s="133">
        <v>37</v>
      </c>
      <c r="H953" s="109">
        <f t="shared" si="45"/>
        <v>185</v>
      </c>
      <c r="I953" s="119"/>
      <c r="J953" s="119">
        <v>0</v>
      </c>
      <c r="K953" s="119">
        <f t="shared" si="46"/>
        <v>185</v>
      </c>
      <c r="L953" s="152">
        <f t="shared" si="47"/>
        <v>160</v>
      </c>
      <c r="M953" s="113"/>
    </row>
    <row r="954" spans="1:13" x14ac:dyDescent="0.2">
      <c r="A954" s="106" t="s">
        <v>5839</v>
      </c>
      <c r="B954" s="105" t="s">
        <v>1865</v>
      </c>
      <c r="C954" s="105" t="s">
        <v>5953</v>
      </c>
      <c r="D954" s="149" t="s">
        <v>1866</v>
      </c>
      <c r="E954" s="105">
        <v>3</v>
      </c>
      <c r="F954" s="133">
        <v>300</v>
      </c>
      <c r="G954" s="133">
        <v>450</v>
      </c>
      <c r="H954" s="109">
        <f t="shared" si="45"/>
        <v>1350</v>
      </c>
      <c r="I954" s="119"/>
      <c r="J954" s="119">
        <v>0</v>
      </c>
      <c r="K954" s="119">
        <f t="shared" si="46"/>
        <v>1350</v>
      </c>
      <c r="L954" s="152">
        <f t="shared" si="47"/>
        <v>900</v>
      </c>
      <c r="M954" s="113"/>
    </row>
    <row r="955" spans="1:13" x14ac:dyDescent="0.2">
      <c r="A955" s="106" t="s">
        <v>5839</v>
      </c>
      <c r="B955" s="105" t="s">
        <v>3457</v>
      </c>
      <c r="C955" s="105" t="s">
        <v>5954</v>
      </c>
      <c r="D955" s="149" t="s">
        <v>3458</v>
      </c>
      <c r="E955" s="105">
        <v>3</v>
      </c>
      <c r="F955" s="133">
        <v>51.97</v>
      </c>
      <c r="G955" s="133">
        <v>60</v>
      </c>
      <c r="H955" s="109">
        <f t="shared" si="45"/>
        <v>180</v>
      </c>
      <c r="I955" s="119"/>
      <c r="J955" s="119">
        <v>0</v>
      </c>
      <c r="K955" s="119">
        <f t="shared" si="46"/>
        <v>180</v>
      </c>
      <c r="L955" s="152">
        <f t="shared" si="47"/>
        <v>155.91</v>
      </c>
      <c r="M955" s="113"/>
    </row>
    <row r="956" spans="1:13" x14ac:dyDescent="0.2">
      <c r="A956" s="106" t="s">
        <v>5839</v>
      </c>
      <c r="B956" s="105" t="s">
        <v>2809</v>
      </c>
      <c r="C956" s="105" t="s">
        <v>5954</v>
      </c>
      <c r="D956" s="149" t="s">
        <v>2810</v>
      </c>
      <c r="E956" s="105">
        <v>2</v>
      </c>
      <c r="F956" s="133">
        <v>53.81</v>
      </c>
      <c r="G956" s="133">
        <v>62</v>
      </c>
      <c r="H956" s="109">
        <f t="shared" si="45"/>
        <v>124</v>
      </c>
      <c r="I956" s="119"/>
      <c r="J956" s="119">
        <v>0</v>
      </c>
      <c r="K956" s="119">
        <f t="shared" si="46"/>
        <v>124</v>
      </c>
      <c r="L956" s="152">
        <f t="shared" si="47"/>
        <v>107.62</v>
      </c>
      <c r="M956" s="113"/>
    </row>
    <row r="957" spans="1:13" x14ac:dyDescent="0.2">
      <c r="A957" s="106" t="s">
        <v>5839</v>
      </c>
      <c r="B957" s="105" t="s">
        <v>5875</v>
      </c>
      <c r="C957" s="105" t="s">
        <v>5955</v>
      </c>
      <c r="D957" s="149" t="s">
        <v>5968</v>
      </c>
      <c r="E957" s="105">
        <v>5</v>
      </c>
      <c r="F957" s="133">
        <v>5.59</v>
      </c>
      <c r="G957" s="133">
        <v>6.5</v>
      </c>
      <c r="H957" s="109">
        <f t="shared" si="45"/>
        <v>32.5</v>
      </c>
      <c r="I957" s="119"/>
      <c r="J957" s="119">
        <v>0</v>
      </c>
      <c r="K957" s="119">
        <f t="shared" si="46"/>
        <v>32.5</v>
      </c>
      <c r="L957" s="152">
        <f t="shared" si="47"/>
        <v>27.95</v>
      </c>
      <c r="M957" s="113"/>
    </row>
    <row r="958" spans="1:13" x14ac:dyDescent="0.2">
      <c r="A958" s="106" t="s">
        <v>5839</v>
      </c>
      <c r="B958" s="105" t="s">
        <v>2423</v>
      </c>
      <c r="C958" s="105" t="s">
        <v>5955</v>
      </c>
      <c r="D958" s="149" t="s">
        <v>2425</v>
      </c>
      <c r="E958" s="105">
        <v>1</v>
      </c>
      <c r="F958" s="133">
        <v>18.53</v>
      </c>
      <c r="G958" s="133">
        <v>21.5</v>
      </c>
      <c r="H958" s="109">
        <f t="shared" si="45"/>
        <v>21.5</v>
      </c>
      <c r="I958" s="119"/>
      <c r="J958" s="119">
        <v>0</v>
      </c>
      <c r="K958" s="119">
        <f t="shared" si="46"/>
        <v>21.5</v>
      </c>
      <c r="L958" s="152">
        <f t="shared" si="47"/>
        <v>18.53</v>
      </c>
      <c r="M958" s="113"/>
    </row>
    <row r="959" spans="1:13" x14ac:dyDescent="0.2">
      <c r="A959" s="106" t="s">
        <v>5839</v>
      </c>
      <c r="B959" s="105" t="s">
        <v>3060</v>
      </c>
      <c r="C959" s="105" t="s">
        <v>5955</v>
      </c>
      <c r="D959" s="149" t="s">
        <v>3062</v>
      </c>
      <c r="E959" s="105">
        <v>1</v>
      </c>
      <c r="F959" s="133">
        <v>44.8</v>
      </c>
      <c r="G959" s="133">
        <v>51.75</v>
      </c>
      <c r="H959" s="109">
        <f t="shared" si="45"/>
        <v>51.75</v>
      </c>
      <c r="I959" s="119"/>
      <c r="J959" s="119">
        <v>0</v>
      </c>
      <c r="K959" s="119">
        <f t="shared" si="46"/>
        <v>51.75</v>
      </c>
      <c r="L959" s="152">
        <f t="shared" si="47"/>
        <v>44.8</v>
      </c>
      <c r="M959" s="113"/>
    </row>
    <row r="960" spans="1:13" x14ac:dyDescent="0.2">
      <c r="A960" s="106" t="s">
        <v>5839</v>
      </c>
      <c r="B960" s="105" t="s">
        <v>4520</v>
      </c>
      <c r="C960" s="105" t="s">
        <v>5956</v>
      </c>
      <c r="D960" s="149" t="s">
        <v>4625</v>
      </c>
      <c r="E960" s="105">
        <v>1</v>
      </c>
      <c r="F960" s="133">
        <v>60</v>
      </c>
      <c r="G960" s="133">
        <v>75</v>
      </c>
      <c r="H960" s="109">
        <f t="shared" si="45"/>
        <v>75</v>
      </c>
      <c r="I960" s="119"/>
      <c r="J960" s="119">
        <v>0</v>
      </c>
      <c r="K960" s="119">
        <f t="shared" si="46"/>
        <v>75</v>
      </c>
      <c r="L960" s="152">
        <f t="shared" si="47"/>
        <v>60</v>
      </c>
      <c r="M960" s="113"/>
    </row>
    <row r="961" spans="1:13" x14ac:dyDescent="0.2">
      <c r="A961" s="106" t="s">
        <v>5969</v>
      </c>
      <c r="B961" s="105" t="s">
        <v>1802</v>
      </c>
      <c r="C961" s="105" t="s">
        <v>5986</v>
      </c>
      <c r="D961" s="149" t="s">
        <v>1803</v>
      </c>
      <c r="E961" s="105">
        <v>1</v>
      </c>
      <c r="F961" s="133">
        <v>7.75</v>
      </c>
      <c r="G961" s="133">
        <v>9</v>
      </c>
      <c r="H961" s="109">
        <f t="shared" si="45"/>
        <v>9</v>
      </c>
      <c r="I961" s="119"/>
      <c r="J961" s="119">
        <v>0</v>
      </c>
      <c r="K961" s="119">
        <f t="shared" si="46"/>
        <v>9</v>
      </c>
      <c r="L961" s="152">
        <f t="shared" si="47"/>
        <v>7.75</v>
      </c>
      <c r="M961" s="113"/>
    </row>
    <row r="962" spans="1:13" x14ac:dyDescent="0.2">
      <c r="A962" s="106" t="s">
        <v>5969</v>
      </c>
      <c r="B962" s="105" t="s">
        <v>3748</v>
      </c>
      <c r="C962" s="105" t="s">
        <v>5987</v>
      </c>
      <c r="D962" s="149" t="s">
        <v>3749</v>
      </c>
      <c r="E962" s="105">
        <v>1</v>
      </c>
      <c r="F962" s="133">
        <v>90.94</v>
      </c>
      <c r="G962" s="133">
        <v>105.25</v>
      </c>
      <c r="H962" s="109">
        <f t="shared" si="45"/>
        <v>105.25</v>
      </c>
      <c r="I962" s="119"/>
      <c r="J962" s="119">
        <v>0</v>
      </c>
      <c r="K962" s="119">
        <f t="shared" si="46"/>
        <v>105.25</v>
      </c>
      <c r="L962" s="152">
        <f t="shared" si="47"/>
        <v>90.94</v>
      </c>
      <c r="M962" s="113"/>
    </row>
    <row r="963" spans="1:13" x14ac:dyDescent="0.2">
      <c r="A963" s="106" t="s">
        <v>5969</v>
      </c>
      <c r="B963" s="105" t="s">
        <v>4802</v>
      </c>
      <c r="C963" s="105" t="s">
        <v>5987</v>
      </c>
      <c r="D963" s="149" t="s">
        <v>4870</v>
      </c>
      <c r="E963" s="105">
        <v>1</v>
      </c>
      <c r="F963" s="133">
        <v>127.18</v>
      </c>
      <c r="G963" s="133">
        <v>146.5</v>
      </c>
      <c r="H963" s="109">
        <f t="shared" si="45"/>
        <v>146.5</v>
      </c>
      <c r="I963" s="119"/>
      <c r="J963" s="119">
        <v>0</v>
      </c>
      <c r="K963" s="119">
        <f t="shared" si="46"/>
        <v>146.5</v>
      </c>
      <c r="L963" s="152">
        <f t="shared" si="47"/>
        <v>127.18</v>
      </c>
      <c r="M963" s="113"/>
    </row>
    <row r="964" spans="1:13" x14ac:dyDescent="0.2">
      <c r="A964" s="106" t="s">
        <v>5969</v>
      </c>
      <c r="B964" s="105" t="s">
        <v>2884</v>
      </c>
      <c r="C964" s="105" t="s">
        <v>5987</v>
      </c>
      <c r="D964" s="149" t="s">
        <v>2886</v>
      </c>
      <c r="E964" s="105">
        <v>3</v>
      </c>
      <c r="F964" s="133">
        <v>302.13</v>
      </c>
      <c r="G964" s="133">
        <v>362.75</v>
      </c>
      <c r="H964" s="109">
        <f t="shared" si="45"/>
        <v>1088.25</v>
      </c>
      <c r="I964" s="119"/>
      <c r="J964" s="119">
        <v>0</v>
      </c>
      <c r="K964" s="119">
        <f t="shared" si="46"/>
        <v>1088.25</v>
      </c>
      <c r="L964" s="152">
        <f t="shared" si="47"/>
        <v>906.39</v>
      </c>
      <c r="M964" s="113"/>
    </row>
    <row r="965" spans="1:13" x14ac:dyDescent="0.2">
      <c r="A965" s="106" t="s">
        <v>5969</v>
      </c>
      <c r="B965" s="105" t="s">
        <v>2008</v>
      </c>
      <c r="C965" s="105" t="s">
        <v>5988</v>
      </c>
      <c r="D965" s="149" t="s">
        <v>2010</v>
      </c>
      <c r="E965" s="105">
        <v>1</v>
      </c>
      <c r="F965" s="133">
        <v>44.8</v>
      </c>
      <c r="G965" s="133">
        <v>51.75</v>
      </c>
      <c r="H965" s="109">
        <f t="shared" si="45"/>
        <v>51.75</v>
      </c>
      <c r="I965" s="119"/>
      <c r="J965" s="119">
        <v>0</v>
      </c>
      <c r="K965" s="119">
        <f t="shared" si="46"/>
        <v>51.75</v>
      </c>
      <c r="L965" s="152">
        <f t="shared" si="47"/>
        <v>44.8</v>
      </c>
      <c r="M965" s="113"/>
    </row>
    <row r="966" spans="1:13" x14ac:dyDescent="0.2">
      <c r="A966" s="106" t="s">
        <v>5969</v>
      </c>
      <c r="B966" s="105" t="s">
        <v>2459</v>
      </c>
      <c r="C966" s="105" t="s">
        <v>5988</v>
      </c>
      <c r="D966" s="149" t="s">
        <v>2460</v>
      </c>
      <c r="E966" s="105">
        <v>1</v>
      </c>
      <c r="F966" s="133">
        <v>18.88</v>
      </c>
      <c r="G966" s="133">
        <v>21.75</v>
      </c>
      <c r="H966" s="109">
        <f t="shared" si="45"/>
        <v>21.75</v>
      </c>
      <c r="I966" s="119"/>
      <c r="J966" s="119">
        <v>0</v>
      </c>
      <c r="K966" s="119">
        <f t="shared" si="46"/>
        <v>21.75</v>
      </c>
      <c r="L966" s="152">
        <f t="shared" si="47"/>
        <v>18.88</v>
      </c>
      <c r="M966" s="113"/>
    </row>
    <row r="967" spans="1:13" x14ac:dyDescent="0.2">
      <c r="A967" s="106" t="s">
        <v>5969</v>
      </c>
      <c r="B967" s="105" t="s">
        <v>3909</v>
      </c>
      <c r="C967" s="105" t="s">
        <v>5988</v>
      </c>
      <c r="D967" s="149" t="s">
        <v>3911</v>
      </c>
      <c r="E967" s="105">
        <v>1</v>
      </c>
      <c r="F967" s="133">
        <v>7.06</v>
      </c>
      <c r="G967" s="133">
        <v>8.25</v>
      </c>
      <c r="H967" s="109">
        <f t="shared" ref="H967:H1030" si="48">E967*G967</f>
        <v>8.25</v>
      </c>
      <c r="I967" s="119"/>
      <c r="J967" s="119">
        <v>0</v>
      </c>
      <c r="K967" s="119">
        <f t="shared" si="46"/>
        <v>8.25</v>
      </c>
      <c r="L967" s="152">
        <f t="shared" si="47"/>
        <v>7.06</v>
      </c>
      <c r="M967" s="113"/>
    </row>
    <row r="968" spans="1:13" x14ac:dyDescent="0.2">
      <c r="A968" s="106" t="s">
        <v>5969</v>
      </c>
      <c r="B968" s="105" t="s">
        <v>3434</v>
      </c>
      <c r="C968" s="105" t="s">
        <v>5988</v>
      </c>
      <c r="D968" s="149" t="s">
        <v>3436</v>
      </c>
      <c r="E968" s="105">
        <v>1</v>
      </c>
      <c r="F968" s="133">
        <v>7.41</v>
      </c>
      <c r="G968" s="133">
        <v>8.75</v>
      </c>
      <c r="H968" s="109">
        <f t="shared" si="48"/>
        <v>8.75</v>
      </c>
      <c r="I968" s="119"/>
      <c r="J968" s="119">
        <v>0</v>
      </c>
      <c r="K968" s="119">
        <f t="shared" ref="K968:K1031" si="49">H968+I968-J968</f>
        <v>8.75</v>
      </c>
      <c r="L968" s="152">
        <f t="shared" ref="L968:L1031" si="50">E968*F968</f>
        <v>7.41</v>
      </c>
      <c r="M968" s="113"/>
    </row>
    <row r="969" spans="1:13" x14ac:dyDescent="0.2">
      <c r="A969" s="106" t="s">
        <v>5969</v>
      </c>
      <c r="B969" s="105" t="s">
        <v>4521</v>
      </c>
      <c r="C969" s="105" t="s">
        <v>5989</v>
      </c>
      <c r="D969" s="149" t="s">
        <v>4626</v>
      </c>
      <c r="E969" s="105">
        <v>2</v>
      </c>
      <c r="F969" s="133">
        <v>8.6</v>
      </c>
      <c r="G969" s="133">
        <v>10</v>
      </c>
      <c r="H969" s="109">
        <f t="shared" si="48"/>
        <v>20</v>
      </c>
      <c r="I969" s="119"/>
      <c r="J969" s="119">
        <v>0</v>
      </c>
      <c r="K969" s="119">
        <f t="shared" si="49"/>
        <v>20</v>
      </c>
      <c r="L969" s="152">
        <f t="shared" si="50"/>
        <v>17.2</v>
      </c>
      <c r="M969" s="113"/>
    </row>
    <row r="970" spans="1:13" x14ac:dyDescent="0.2">
      <c r="A970" s="106" t="s">
        <v>5969</v>
      </c>
      <c r="B970" s="105" t="s">
        <v>1802</v>
      </c>
      <c r="C970" s="105" t="s">
        <v>5990</v>
      </c>
      <c r="D970" s="149" t="s">
        <v>1803</v>
      </c>
      <c r="E970" s="105">
        <v>1</v>
      </c>
      <c r="F970" s="133">
        <v>7.75</v>
      </c>
      <c r="G970" s="133">
        <v>9</v>
      </c>
      <c r="H970" s="109">
        <f t="shared" si="48"/>
        <v>9</v>
      </c>
      <c r="I970" s="119"/>
      <c r="J970" s="119">
        <v>0</v>
      </c>
      <c r="K970" s="119">
        <f t="shared" si="49"/>
        <v>9</v>
      </c>
      <c r="L970" s="152">
        <f t="shared" si="50"/>
        <v>7.75</v>
      </c>
      <c r="M970" s="113"/>
    </row>
    <row r="971" spans="1:13" x14ac:dyDescent="0.2">
      <c r="A971" s="106" t="s">
        <v>5969</v>
      </c>
      <c r="B971" s="105" t="s">
        <v>3143</v>
      </c>
      <c r="C971" s="105" t="s">
        <v>5991</v>
      </c>
      <c r="D971" s="149" t="s">
        <v>3145</v>
      </c>
      <c r="E971" s="105">
        <v>1</v>
      </c>
      <c r="F971" s="133">
        <v>18.649999999999999</v>
      </c>
      <c r="G971" s="133">
        <v>21.5</v>
      </c>
      <c r="H971" s="109">
        <f t="shared" si="48"/>
        <v>21.5</v>
      </c>
      <c r="I971" s="119"/>
      <c r="J971" s="119">
        <v>0</v>
      </c>
      <c r="K971" s="119">
        <f t="shared" si="49"/>
        <v>21.5</v>
      </c>
      <c r="L971" s="152">
        <f t="shared" si="50"/>
        <v>18.649999999999999</v>
      </c>
      <c r="M971" s="113"/>
    </row>
    <row r="972" spans="1:13" x14ac:dyDescent="0.2">
      <c r="A972" s="106" t="s">
        <v>5969</v>
      </c>
      <c r="B972" s="105" t="s">
        <v>1977</v>
      </c>
      <c r="C972" s="105" t="s">
        <v>5992</v>
      </c>
      <c r="D972" s="149" t="s">
        <v>1979</v>
      </c>
      <c r="E972" s="105">
        <v>1</v>
      </c>
      <c r="F972" s="133">
        <v>0.76</v>
      </c>
      <c r="G972" s="133">
        <v>1</v>
      </c>
      <c r="H972" s="109">
        <f t="shared" si="48"/>
        <v>1</v>
      </c>
      <c r="I972" s="119"/>
      <c r="J972" s="119">
        <v>0</v>
      </c>
      <c r="K972" s="119">
        <f t="shared" si="49"/>
        <v>1</v>
      </c>
      <c r="L972" s="152">
        <f t="shared" si="50"/>
        <v>0.76</v>
      </c>
      <c r="M972" s="113"/>
    </row>
    <row r="973" spans="1:13" x14ac:dyDescent="0.2">
      <c r="A973" s="106" t="s">
        <v>5969</v>
      </c>
      <c r="B973" s="105" t="s">
        <v>2908</v>
      </c>
      <c r="C973" s="105" t="s">
        <v>5992</v>
      </c>
      <c r="D973" s="149" t="s">
        <v>2910</v>
      </c>
      <c r="E973" s="105">
        <v>2</v>
      </c>
      <c r="F973" s="133">
        <v>0.76</v>
      </c>
      <c r="G973" s="133">
        <v>1</v>
      </c>
      <c r="H973" s="109">
        <f t="shared" si="48"/>
        <v>2</v>
      </c>
      <c r="I973" s="119"/>
      <c r="J973" s="119">
        <v>0</v>
      </c>
      <c r="K973" s="119">
        <f t="shared" si="49"/>
        <v>2</v>
      </c>
      <c r="L973" s="152">
        <f t="shared" si="50"/>
        <v>1.52</v>
      </c>
      <c r="M973" s="113"/>
    </row>
    <row r="974" spans="1:13" x14ac:dyDescent="0.2">
      <c r="A974" s="106" t="s">
        <v>5969</v>
      </c>
      <c r="B974" s="105" t="s">
        <v>2363</v>
      </c>
      <c r="C974" s="105" t="s">
        <v>5993</v>
      </c>
      <c r="D974" s="149" t="s">
        <v>2365</v>
      </c>
      <c r="E974" s="105">
        <v>1</v>
      </c>
      <c r="F974" s="133">
        <v>12.66</v>
      </c>
      <c r="G974" s="133">
        <v>14.25</v>
      </c>
      <c r="H974" s="109">
        <f t="shared" si="48"/>
        <v>14.25</v>
      </c>
      <c r="I974" s="119"/>
      <c r="J974" s="119">
        <v>0</v>
      </c>
      <c r="K974" s="119">
        <f t="shared" si="49"/>
        <v>14.25</v>
      </c>
      <c r="L974" s="152">
        <f t="shared" si="50"/>
        <v>12.66</v>
      </c>
      <c r="M974" s="113"/>
    </row>
    <row r="975" spans="1:13" x14ac:dyDescent="0.2">
      <c r="A975" s="106" t="s">
        <v>5969</v>
      </c>
      <c r="B975" s="105" t="s">
        <v>3457</v>
      </c>
      <c r="C975" s="105" t="s">
        <v>5994</v>
      </c>
      <c r="D975" s="149" t="s">
        <v>3458</v>
      </c>
      <c r="E975" s="105">
        <v>1</v>
      </c>
      <c r="F975" s="133">
        <v>51.97</v>
      </c>
      <c r="G975" s="133">
        <v>60</v>
      </c>
      <c r="H975" s="109">
        <f t="shared" si="48"/>
        <v>60</v>
      </c>
      <c r="I975" s="119"/>
      <c r="J975" s="119">
        <v>0</v>
      </c>
      <c r="K975" s="119">
        <f t="shared" si="49"/>
        <v>60</v>
      </c>
      <c r="L975" s="152">
        <f t="shared" si="50"/>
        <v>51.97</v>
      </c>
      <c r="M975" s="113"/>
    </row>
    <row r="976" spans="1:13" x14ac:dyDescent="0.2">
      <c r="A976" s="106" t="s">
        <v>5969</v>
      </c>
      <c r="B976" s="105" t="s">
        <v>2857</v>
      </c>
      <c r="C976" s="105" t="s">
        <v>5995</v>
      </c>
      <c r="D976" s="149" t="s">
        <v>2859</v>
      </c>
      <c r="E976" s="105">
        <v>6</v>
      </c>
      <c r="F976" s="133">
        <v>6.97</v>
      </c>
      <c r="G976" s="133">
        <v>8</v>
      </c>
      <c r="H976" s="109">
        <f t="shared" si="48"/>
        <v>48</v>
      </c>
      <c r="I976" s="119"/>
      <c r="J976" s="119">
        <v>0</v>
      </c>
      <c r="K976" s="119">
        <f t="shared" si="49"/>
        <v>48</v>
      </c>
      <c r="L976" s="152">
        <f t="shared" si="50"/>
        <v>41.82</v>
      </c>
      <c r="M976" s="113"/>
    </row>
    <row r="977" spans="1:13" x14ac:dyDescent="0.2">
      <c r="A977" s="106" t="s">
        <v>5969</v>
      </c>
      <c r="B977" s="105" t="s">
        <v>2082</v>
      </c>
      <c r="C977" s="105" t="s">
        <v>5995</v>
      </c>
      <c r="D977" s="149" t="s">
        <v>2083</v>
      </c>
      <c r="E977" s="105">
        <v>1</v>
      </c>
      <c r="F977" s="133">
        <v>10.95</v>
      </c>
      <c r="G977" s="133">
        <v>12.75</v>
      </c>
      <c r="H977" s="109">
        <f t="shared" si="48"/>
        <v>12.75</v>
      </c>
      <c r="I977" s="119"/>
      <c r="J977" s="119">
        <v>0</v>
      </c>
      <c r="K977" s="119">
        <f t="shared" si="49"/>
        <v>12.75</v>
      </c>
      <c r="L977" s="152">
        <f t="shared" si="50"/>
        <v>10.95</v>
      </c>
      <c r="M977" s="113"/>
    </row>
    <row r="978" spans="1:13" x14ac:dyDescent="0.2">
      <c r="A978" s="106" t="s">
        <v>5969</v>
      </c>
      <c r="B978" s="105" t="s">
        <v>3297</v>
      </c>
      <c r="C978" s="105" t="s">
        <v>5995</v>
      </c>
      <c r="D978" s="149" t="s">
        <v>3299</v>
      </c>
      <c r="E978" s="105">
        <v>1</v>
      </c>
      <c r="F978" s="133">
        <v>19.600000000000001</v>
      </c>
      <c r="G978" s="133">
        <v>22.75</v>
      </c>
      <c r="H978" s="109">
        <f t="shared" si="48"/>
        <v>22.75</v>
      </c>
      <c r="I978" s="119"/>
      <c r="J978" s="119">
        <v>0</v>
      </c>
      <c r="K978" s="119">
        <f t="shared" si="49"/>
        <v>22.75</v>
      </c>
      <c r="L978" s="152">
        <f t="shared" si="50"/>
        <v>19.600000000000001</v>
      </c>
      <c r="M978" s="113"/>
    </row>
    <row r="979" spans="1:13" x14ac:dyDescent="0.2">
      <c r="A979" s="106" t="s">
        <v>5969</v>
      </c>
      <c r="B979" s="105" t="s">
        <v>5248</v>
      </c>
      <c r="C979" s="105" t="s">
        <v>5996</v>
      </c>
      <c r="D979" s="149" t="s">
        <v>5408</v>
      </c>
      <c r="E979" s="105">
        <v>1</v>
      </c>
      <c r="F979" s="133">
        <v>5.8</v>
      </c>
      <c r="G979" s="133">
        <v>7</v>
      </c>
      <c r="H979" s="109">
        <f t="shared" si="48"/>
        <v>7</v>
      </c>
      <c r="I979" s="119"/>
      <c r="J979" s="119">
        <v>0</v>
      </c>
      <c r="K979" s="119">
        <f t="shared" si="49"/>
        <v>7</v>
      </c>
      <c r="L979" s="152">
        <f t="shared" si="50"/>
        <v>5.8</v>
      </c>
      <c r="M979" s="113"/>
    </row>
    <row r="980" spans="1:13" x14ac:dyDescent="0.2">
      <c r="A980" s="106" t="s">
        <v>5969</v>
      </c>
      <c r="B980" s="105" t="s">
        <v>2148</v>
      </c>
      <c r="C980" s="105" t="s">
        <v>5997</v>
      </c>
      <c r="D980" s="149" t="s">
        <v>2149</v>
      </c>
      <c r="E980" s="105">
        <v>1</v>
      </c>
      <c r="F980" s="133">
        <v>31.05</v>
      </c>
      <c r="G980" s="133">
        <v>36</v>
      </c>
      <c r="H980" s="109">
        <f t="shared" si="48"/>
        <v>36</v>
      </c>
      <c r="I980" s="119"/>
      <c r="J980" s="119">
        <v>0</v>
      </c>
      <c r="K980" s="119">
        <f t="shared" si="49"/>
        <v>36</v>
      </c>
      <c r="L980" s="152">
        <f t="shared" si="50"/>
        <v>31.05</v>
      </c>
      <c r="M980" s="113"/>
    </row>
    <row r="981" spans="1:13" x14ac:dyDescent="0.2">
      <c r="A981" s="106" t="s">
        <v>5969</v>
      </c>
      <c r="B981" s="105" t="s">
        <v>3513</v>
      </c>
      <c r="C981" s="105" t="s">
        <v>5998</v>
      </c>
      <c r="D981" s="149" t="s">
        <v>3514</v>
      </c>
      <c r="E981" s="105">
        <v>1</v>
      </c>
      <c r="F981" s="133">
        <v>52.35</v>
      </c>
      <c r="G981" s="133">
        <v>60.25</v>
      </c>
      <c r="H981" s="109">
        <f t="shared" si="48"/>
        <v>60.25</v>
      </c>
      <c r="I981" s="119"/>
      <c r="J981" s="119">
        <v>0</v>
      </c>
      <c r="K981" s="119">
        <f t="shared" si="49"/>
        <v>60.25</v>
      </c>
      <c r="L981" s="152">
        <f t="shared" si="50"/>
        <v>52.35</v>
      </c>
      <c r="M981" s="113"/>
    </row>
    <row r="982" spans="1:13" x14ac:dyDescent="0.2">
      <c r="A982" s="106" t="s">
        <v>5969</v>
      </c>
      <c r="B982" s="105" t="s">
        <v>2932</v>
      </c>
      <c r="C982" s="105" t="s">
        <v>5998</v>
      </c>
      <c r="D982" s="149" t="s">
        <v>2933</v>
      </c>
      <c r="E982" s="105">
        <v>1</v>
      </c>
      <c r="F982" s="133">
        <v>47.73</v>
      </c>
      <c r="G982" s="133">
        <v>55</v>
      </c>
      <c r="H982" s="109">
        <f t="shared" si="48"/>
        <v>55</v>
      </c>
      <c r="I982" s="119"/>
      <c r="J982" s="119">
        <v>0</v>
      </c>
      <c r="K982" s="119">
        <f t="shared" si="49"/>
        <v>55</v>
      </c>
      <c r="L982" s="152">
        <f t="shared" si="50"/>
        <v>47.73</v>
      </c>
      <c r="M982" s="113"/>
    </row>
    <row r="983" spans="1:13" ht="13.5" customHeight="1" x14ac:dyDescent="0.2">
      <c r="A983" s="106" t="s">
        <v>5969</v>
      </c>
      <c r="B983" s="105" t="s">
        <v>2446</v>
      </c>
      <c r="C983" s="105" t="s">
        <v>5998</v>
      </c>
      <c r="D983" s="149" t="s">
        <v>2448</v>
      </c>
      <c r="E983" s="157">
        <v>1</v>
      </c>
      <c r="F983" s="134">
        <v>58.2</v>
      </c>
      <c r="G983" s="134">
        <v>67</v>
      </c>
      <c r="H983" s="109">
        <f t="shared" si="48"/>
        <v>67</v>
      </c>
      <c r="I983" s="119"/>
      <c r="J983" s="119">
        <v>0</v>
      </c>
      <c r="K983" s="119">
        <f t="shared" si="49"/>
        <v>67</v>
      </c>
      <c r="L983" s="152">
        <f t="shared" si="50"/>
        <v>58.2</v>
      </c>
      <c r="M983" s="113"/>
    </row>
    <row r="984" spans="1:13" ht="13.5" customHeight="1" x14ac:dyDescent="0.2">
      <c r="A984" s="106" t="s">
        <v>5969</v>
      </c>
      <c r="B984" s="105" t="s">
        <v>2377</v>
      </c>
      <c r="C984" s="105" t="s">
        <v>5999</v>
      </c>
      <c r="D984" s="149" t="s">
        <v>2378</v>
      </c>
      <c r="E984" s="157">
        <v>1</v>
      </c>
      <c r="F984" s="134">
        <v>8.1999999999999993</v>
      </c>
      <c r="G984" s="134">
        <v>9.5</v>
      </c>
      <c r="H984" s="109">
        <f t="shared" si="48"/>
        <v>9.5</v>
      </c>
      <c r="I984" s="119"/>
      <c r="J984" s="119">
        <v>0</v>
      </c>
      <c r="K984" s="119">
        <f t="shared" si="49"/>
        <v>9.5</v>
      </c>
      <c r="L984" s="152">
        <f t="shared" si="50"/>
        <v>8.1999999999999993</v>
      </c>
      <c r="M984" s="113"/>
    </row>
    <row r="985" spans="1:13" ht="13.5" customHeight="1" x14ac:dyDescent="0.2">
      <c r="A985" s="106" t="s">
        <v>5969</v>
      </c>
      <c r="B985" s="105" t="s">
        <v>5867</v>
      </c>
      <c r="C985" s="105" t="s">
        <v>5999</v>
      </c>
      <c r="D985" s="149" t="s">
        <v>5960</v>
      </c>
      <c r="E985" s="157">
        <v>1</v>
      </c>
      <c r="F985" s="134">
        <v>7.75</v>
      </c>
      <c r="G985" s="134">
        <v>9</v>
      </c>
      <c r="H985" s="109">
        <f t="shared" si="48"/>
        <v>9</v>
      </c>
      <c r="I985" s="119"/>
      <c r="J985" s="119">
        <v>0</v>
      </c>
      <c r="K985" s="119">
        <f t="shared" si="49"/>
        <v>9</v>
      </c>
      <c r="L985" s="152">
        <f t="shared" si="50"/>
        <v>7.75</v>
      </c>
      <c r="M985" s="113"/>
    </row>
    <row r="986" spans="1:13" ht="13.5" customHeight="1" x14ac:dyDescent="0.2">
      <c r="A986" s="106" t="s">
        <v>5969</v>
      </c>
      <c r="B986" s="105" t="s">
        <v>1861</v>
      </c>
      <c r="C986" s="105" t="s">
        <v>5999</v>
      </c>
      <c r="D986" s="149" t="s">
        <v>1862</v>
      </c>
      <c r="E986" s="157">
        <v>1</v>
      </c>
      <c r="F986" s="134">
        <v>15.65</v>
      </c>
      <c r="G986" s="134">
        <v>18</v>
      </c>
      <c r="H986" s="109">
        <f t="shared" si="48"/>
        <v>18</v>
      </c>
      <c r="I986" s="119"/>
      <c r="J986" s="119">
        <v>0</v>
      </c>
      <c r="K986" s="119">
        <f t="shared" si="49"/>
        <v>18</v>
      </c>
      <c r="L986" s="152">
        <f t="shared" si="50"/>
        <v>15.65</v>
      </c>
      <c r="M986" s="113"/>
    </row>
    <row r="987" spans="1:13" ht="13.5" customHeight="1" x14ac:dyDescent="0.2">
      <c r="A987" s="106" t="s">
        <v>5969</v>
      </c>
      <c r="B987" s="105" t="s">
        <v>2521</v>
      </c>
      <c r="C987" s="105" t="s">
        <v>6000</v>
      </c>
      <c r="D987" s="149" t="s">
        <v>2522</v>
      </c>
      <c r="E987" s="157">
        <v>12</v>
      </c>
      <c r="F987" s="134">
        <v>6.12</v>
      </c>
      <c r="G987" s="134">
        <v>7.25</v>
      </c>
      <c r="H987" s="109">
        <f t="shared" si="48"/>
        <v>87</v>
      </c>
      <c r="I987" s="119"/>
      <c r="J987" s="119">
        <v>0</v>
      </c>
      <c r="K987" s="119">
        <f t="shared" si="49"/>
        <v>87</v>
      </c>
      <c r="L987" s="152">
        <f t="shared" si="50"/>
        <v>73.44</v>
      </c>
      <c r="M987" s="113"/>
    </row>
    <row r="988" spans="1:13" ht="13.5" customHeight="1" x14ac:dyDescent="0.2">
      <c r="A988" s="106" t="s">
        <v>5969</v>
      </c>
      <c r="B988" s="105" t="s">
        <v>1830</v>
      </c>
      <c r="C988" s="105" t="s">
        <v>6001</v>
      </c>
      <c r="D988" s="149" t="s">
        <v>1831</v>
      </c>
      <c r="E988" s="157">
        <v>1</v>
      </c>
      <c r="F988" s="134">
        <v>16.84</v>
      </c>
      <c r="G988" s="134">
        <v>19.5</v>
      </c>
      <c r="H988" s="109">
        <f t="shared" si="48"/>
        <v>19.5</v>
      </c>
      <c r="I988" s="119"/>
      <c r="J988" s="119">
        <v>0</v>
      </c>
      <c r="K988" s="119">
        <f t="shared" si="49"/>
        <v>19.5</v>
      </c>
      <c r="L988" s="152">
        <f t="shared" si="50"/>
        <v>16.84</v>
      </c>
      <c r="M988" s="113"/>
    </row>
    <row r="989" spans="1:13" ht="13.5" customHeight="1" x14ac:dyDescent="0.2">
      <c r="A989" s="106" t="s">
        <v>5969</v>
      </c>
      <c r="B989" s="105" t="s">
        <v>2712</v>
      </c>
      <c r="C989" s="105" t="s">
        <v>6001</v>
      </c>
      <c r="D989" s="149" t="s">
        <v>2714</v>
      </c>
      <c r="E989" s="157">
        <v>1</v>
      </c>
      <c r="F989" s="134">
        <v>185</v>
      </c>
      <c r="G989" s="134">
        <v>212.75</v>
      </c>
      <c r="H989" s="109">
        <f t="shared" si="48"/>
        <v>212.75</v>
      </c>
      <c r="I989" s="119"/>
      <c r="J989" s="119">
        <v>0</v>
      </c>
      <c r="K989" s="119">
        <f t="shared" si="49"/>
        <v>212.75</v>
      </c>
      <c r="L989" s="152">
        <f t="shared" si="50"/>
        <v>185</v>
      </c>
      <c r="M989" s="113"/>
    </row>
    <row r="990" spans="1:13" ht="13.5" customHeight="1" x14ac:dyDescent="0.2">
      <c r="A990" s="106" t="s">
        <v>5969</v>
      </c>
      <c r="B990" s="105" t="s">
        <v>2323</v>
      </c>
      <c r="C990" s="105" t="s">
        <v>6002</v>
      </c>
      <c r="D990" s="149" t="s">
        <v>2325</v>
      </c>
      <c r="E990" s="157">
        <v>1</v>
      </c>
      <c r="F990" s="134">
        <v>19.100000000000001</v>
      </c>
      <c r="G990" s="134">
        <v>22</v>
      </c>
      <c r="H990" s="109">
        <f t="shared" si="48"/>
        <v>22</v>
      </c>
      <c r="I990" s="119"/>
      <c r="J990" s="119">
        <v>0</v>
      </c>
      <c r="K990" s="119">
        <f t="shared" si="49"/>
        <v>22</v>
      </c>
      <c r="L990" s="152">
        <f t="shared" si="50"/>
        <v>19.100000000000001</v>
      </c>
      <c r="M990" s="113"/>
    </row>
    <row r="991" spans="1:13" ht="13.5" customHeight="1" x14ac:dyDescent="0.2">
      <c r="A991" s="106" t="s">
        <v>5969</v>
      </c>
      <c r="B991" s="105" t="s">
        <v>2196</v>
      </c>
      <c r="C991" s="105" t="s">
        <v>6003</v>
      </c>
      <c r="D991" s="149" t="s">
        <v>2198</v>
      </c>
      <c r="E991" s="157">
        <v>1</v>
      </c>
      <c r="F991" s="134">
        <v>21.88</v>
      </c>
      <c r="G991" s="134">
        <v>25.25</v>
      </c>
      <c r="H991" s="109">
        <f t="shared" si="48"/>
        <v>25.25</v>
      </c>
      <c r="I991" s="119"/>
      <c r="J991" s="119">
        <v>0</v>
      </c>
      <c r="K991" s="119">
        <f t="shared" si="49"/>
        <v>25.25</v>
      </c>
      <c r="L991" s="152">
        <f t="shared" si="50"/>
        <v>21.88</v>
      </c>
      <c r="M991" s="113"/>
    </row>
    <row r="992" spans="1:13" ht="13.5" customHeight="1" x14ac:dyDescent="0.2">
      <c r="A992" s="106" t="s">
        <v>5969</v>
      </c>
      <c r="B992" s="105" t="s">
        <v>3169</v>
      </c>
      <c r="C992" s="105" t="s">
        <v>6004</v>
      </c>
      <c r="D992" s="149" t="s">
        <v>3170</v>
      </c>
      <c r="E992" s="157">
        <v>12</v>
      </c>
      <c r="F992" s="134">
        <v>5.41</v>
      </c>
      <c r="G992" s="134">
        <v>6.25</v>
      </c>
      <c r="H992" s="109">
        <f t="shared" si="48"/>
        <v>75</v>
      </c>
      <c r="I992" s="119"/>
      <c r="J992" s="119">
        <v>0</v>
      </c>
      <c r="K992" s="119">
        <f t="shared" si="49"/>
        <v>75</v>
      </c>
      <c r="L992" s="152">
        <f t="shared" si="50"/>
        <v>64.92</v>
      </c>
      <c r="M992" s="113"/>
    </row>
    <row r="993" spans="1:13" ht="13.5" customHeight="1" x14ac:dyDescent="0.2">
      <c r="A993" s="106" t="s">
        <v>5969</v>
      </c>
      <c r="B993" s="105" t="s">
        <v>3778</v>
      </c>
      <c r="C993" s="105" t="s">
        <v>6004</v>
      </c>
      <c r="D993" s="149" t="s">
        <v>3780</v>
      </c>
      <c r="E993" s="157">
        <v>1</v>
      </c>
      <c r="F993" s="134">
        <v>38.25</v>
      </c>
      <c r="G993" s="134">
        <v>44</v>
      </c>
      <c r="H993" s="109">
        <f t="shared" si="48"/>
        <v>44</v>
      </c>
      <c r="I993" s="119"/>
      <c r="J993" s="119">
        <v>0</v>
      </c>
      <c r="K993" s="119">
        <f t="shared" si="49"/>
        <v>44</v>
      </c>
      <c r="L993" s="152">
        <f t="shared" si="50"/>
        <v>38.25</v>
      </c>
      <c r="M993" s="113"/>
    </row>
    <row r="994" spans="1:13" ht="13.5" customHeight="1" x14ac:dyDescent="0.2">
      <c r="A994" s="106" t="s">
        <v>5969</v>
      </c>
      <c r="B994" s="105" t="s">
        <v>4267</v>
      </c>
      <c r="C994" s="105" t="s">
        <v>6005</v>
      </c>
      <c r="D994" s="149" t="s">
        <v>4269</v>
      </c>
      <c r="E994" s="157">
        <v>1</v>
      </c>
      <c r="F994" s="134">
        <v>137.75</v>
      </c>
      <c r="G994" s="134">
        <v>158.5</v>
      </c>
      <c r="H994" s="109">
        <f t="shared" si="48"/>
        <v>158.5</v>
      </c>
      <c r="I994" s="119"/>
      <c r="J994" s="119">
        <v>0</v>
      </c>
      <c r="K994" s="119">
        <f t="shared" si="49"/>
        <v>158.5</v>
      </c>
      <c r="L994" s="152">
        <f t="shared" si="50"/>
        <v>137.75</v>
      </c>
      <c r="M994" s="113"/>
    </row>
    <row r="995" spans="1:13" ht="13.5" customHeight="1" x14ac:dyDescent="0.2">
      <c r="A995" s="106" t="s">
        <v>5969</v>
      </c>
      <c r="B995" s="105" t="s">
        <v>5973</v>
      </c>
      <c r="C995" s="105" t="s">
        <v>6006</v>
      </c>
      <c r="D995" s="149" t="s">
        <v>6091</v>
      </c>
      <c r="E995" s="157">
        <v>1</v>
      </c>
      <c r="F995" s="134">
        <v>21.88</v>
      </c>
      <c r="G995" s="134">
        <v>25.25</v>
      </c>
      <c r="H995" s="109">
        <f t="shared" si="48"/>
        <v>25.25</v>
      </c>
      <c r="I995" s="119"/>
      <c r="J995" s="119">
        <v>0</v>
      </c>
      <c r="K995" s="119">
        <f t="shared" si="49"/>
        <v>25.25</v>
      </c>
      <c r="L995" s="152">
        <f t="shared" si="50"/>
        <v>21.88</v>
      </c>
      <c r="M995" s="113"/>
    </row>
    <row r="996" spans="1:13" ht="13.5" customHeight="1" x14ac:dyDescent="0.2">
      <c r="A996" s="106" t="s">
        <v>5969</v>
      </c>
      <c r="B996" s="105" t="s">
        <v>4567</v>
      </c>
      <c r="C996" s="105" t="s">
        <v>6007</v>
      </c>
      <c r="D996" s="149" t="s">
        <v>4672</v>
      </c>
      <c r="E996" s="157">
        <v>1</v>
      </c>
      <c r="F996" s="134">
        <v>7.06</v>
      </c>
      <c r="G996" s="134">
        <v>8.25</v>
      </c>
      <c r="H996" s="109">
        <f t="shared" si="48"/>
        <v>8.25</v>
      </c>
      <c r="I996" s="119"/>
      <c r="J996" s="119">
        <v>0</v>
      </c>
      <c r="K996" s="119">
        <f t="shared" si="49"/>
        <v>8.25</v>
      </c>
      <c r="L996" s="152">
        <f t="shared" si="50"/>
        <v>7.06</v>
      </c>
      <c r="M996" s="113"/>
    </row>
    <row r="997" spans="1:13" x14ac:dyDescent="0.2">
      <c r="A997" s="106" t="s">
        <v>5969</v>
      </c>
      <c r="B997" s="105" t="s">
        <v>5477</v>
      </c>
      <c r="C997" s="105" t="s">
        <v>6008</v>
      </c>
      <c r="D997" s="149" t="s">
        <v>5489</v>
      </c>
      <c r="E997" s="157">
        <v>2</v>
      </c>
      <c r="F997" s="134">
        <v>47</v>
      </c>
      <c r="G997" s="134">
        <v>60</v>
      </c>
      <c r="H997" s="109">
        <f t="shared" si="48"/>
        <v>120</v>
      </c>
      <c r="I997" s="119"/>
      <c r="J997" s="119">
        <v>0</v>
      </c>
      <c r="K997" s="119">
        <f t="shared" si="49"/>
        <v>120</v>
      </c>
      <c r="L997" s="152">
        <f t="shared" si="50"/>
        <v>94</v>
      </c>
      <c r="M997" s="113"/>
    </row>
    <row r="998" spans="1:13" ht="13.5" customHeight="1" x14ac:dyDescent="0.2">
      <c r="A998" s="106" t="s">
        <v>5969</v>
      </c>
      <c r="B998" s="105" t="s">
        <v>5476</v>
      </c>
      <c r="C998" s="105" t="s">
        <v>6008</v>
      </c>
      <c r="D998" s="149" t="s">
        <v>5488</v>
      </c>
      <c r="E998" s="157">
        <v>1</v>
      </c>
      <c r="F998" s="134">
        <v>40</v>
      </c>
      <c r="G998" s="134">
        <v>60</v>
      </c>
      <c r="H998" s="109">
        <f t="shared" si="48"/>
        <v>60</v>
      </c>
      <c r="I998" s="119"/>
      <c r="J998" s="119">
        <v>0</v>
      </c>
      <c r="K998" s="119">
        <f t="shared" si="49"/>
        <v>60</v>
      </c>
      <c r="L998" s="152">
        <f t="shared" si="50"/>
        <v>40</v>
      </c>
      <c r="M998" s="113"/>
    </row>
    <row r="999" spans="1:13" ht="13.5" customHeight="1" x14ac:dyDescent="0.2">
      <c r="A999" s="106" t="s">
        <v>5969</v>
      </c>
      <c r="B999" s="105" t="s">
        <v>5470</v>
      </c>
      <c r="C999" s="105" t="s">
        <v>6008</v>
      </c>
      <c r="D999" s="149" t="s">
        <v>5482</v>
      </c>
      <c r="E999" s="157">
        <v>1</v>
      </c>
      <c r="F999" s="134">
        <v>195</v>
      </c>
      <c r="G999" s="134">
        <v>250</v>
      </c>
      <c r="H999" s="109">
        <f t="shared" si="48"/>
        <v>250</v>
      </c>
      <c r="I999" s="119"/>
      <c r="J999" s="119">
        <v>0</v>
      </c>
      <c r="K999" s="119">
        <f t="shared" si="49"/>
        <v>250</v>
      </c>
      <c r="L999" s="152">
        <f t="shared" si="50"/>
        <v>195</v>
      </c>
      <c r="M999" s="113"/>
    </row>
    <row r="1000" spans="1:13" ht="13.5" customHeight="1" x14ac:dyDescent="0.2">
      <c r="A1000" s="106" t="s">
        <v>5969</v>
      </c>
      <c r="B1000" s="105" t="s">
        <v>5974</v>
      </c>
      <c r="C1000" s="105" t="s">
        <v>6008</v>
      </c>
      <c r="D1000" s="149" t="s">
        <v>6092</v>
      </c>
      <c r="E1000" s="157">
        <v>1</v>
      </c>
      <c r="F1000" s="134">
        <v>225</v>
      </c>
      <c r="G1000" s="134">
        <v>300</v>
      </c>
      <c r="H1000" s="109">
        <f t="shared" si="48"/>
        <v>300</v>
      </c>
      <c r="I1000" s="119"/>
      <c r="J1000" s="119">
        <v>0</v>
      </c>
      <c r="K1000" s="119">
        <f t="shared" si="49"/>
        <v>300</v>
      </c>
      <c r="L1000" s="152">
        <f t="shared" si="50"/>
        <v>225</v>
      </c>
      <c r="M1000" s="113"/>
    </row>
    <row r="1001" spans="1:13" ht="13.5" customHeight="1" x14ac:dyDescent="0.2">
      <c r="A1001" s="106" t="s">
        <v>5969</v>
      </c>
      <c r="B1001" s="105" t="s">
        <v>4520</v>
      </c>
      <c r="C1001" s="105" t="s">
        <v>6008</v>
      </c>
      <c r="D1001" s="149" t="s">
        <v>4625</v>
      </c>
      <c r="E1001" s="157">
        <v>6</v>
      </c>
      <c r="F1001" s="134">
        <v>60</v>
      </c>
      <c r="G1001" s="134">
        <v>75</v>
      </c>
      <c r="H1001" s="109">
        <f t="shared" si="48"/>
        <v>450</v>
      </c>
      <c r="I1001" s="119"/>
      <c r="J1001" s="119">
        <v>0</v>
      </c>
      <c r="K1001" s="119">
        <f t="shared" si="49"/>
        <v>450</v>
      </c>
      <c r="L1001" s="152">
        <f t="shared" si="50"/>
        <v>360</v>
      </c>
      <c r="M1001" s="113"/>
    </row>
    <row r="1002" spans="1:13" ht="13.5" customHeight="1" x14ac:dyDescent="0.2">
      <c r="A1002" s="106" t="s">
        <v>5969</v>
      </c>
      <c r="B1002" s="105" t="s">
        <v>1826</v>
      </c>
      <c r="C1002" s="105" t="s">
        <v>6008</v>
      </c>
      <c r="D1002" s="149" t="s">
        <v>1827</v>
      </c>
      <c r="E1002" s="157">
        <v>1</v>
      </c>
      <c r="F1002" s="134">
        <v>90</v>
      </c>
      <c r="G1002" s="134">
        <v>120</v>
      </c>
      <c r="H1002" s="109">
        <f t="shared" si="48"/>
        <v>120</v>
      </c>
      <c r="I1002" s="119"/>
      <c r="J1002" s="119">
        <v>0</v>
      </c>
      <c r="K1002" s="119">
        <f t="shared" si="49"/>
        <v>120</v>
      </c>
      <c r="L1002" s="152">
        <f t="shared" si="50"/>
        <v>90</v>
      </c>
      <c r="M1002" s="113"/>
    </row>
    <row r="1003" spans="1:13" ht="13.5" customHeight="1" x14ac:dyDescent="0.2">
      <c r="A1003" s="106" t="s">
        <v>5969</v>
      </c>
      <c r="B1003" s="105" t="s">
        <v>5475</v>
      </c>
      <c r="C1003" s="105" t="s">
        <v>6008</v>
      </c>
      <c r="D1003" s="149" t="s">
        <v>5487</v>
      </c>
      <c r="E1003" s="157">
        <v>2</v>
      </c>
      <c r="F1003" s="134">
        <v>60</v>
      </c>
      <c r="G1003" s="134">
        <v>75</v>
      </c>
      <c r="H1003" s="109">
        <f t="shared" si="48"/>
        <v>150</v>
      </c>
      <c r="I1003" s="119"/>
      <c r="J1003" s="119">
        <v>40</v>
      </c>
      <c r="K1003" s="119">
        <f t="shared" si="49"/>
        <v>110</v>
      </c>
      <c r="L1003" s="152">
        <f t="shared" si="50"/>
        <v>120</v>
      </c>
      <c r="M1003" s="113"/>
    </row>
    <row r="1004" spans="1:13" ht="13.5" customHeight="1" x14ac:dyDescent="0.2">
      <c r="A1004" s="106" t="s">
        <v>5969</v>
      </c>
      <c r="B1004" s="105" t="s">
        <v>5474</v>
      </c>
      <c r="C1004" s="105" t="s">
        <v>6008</v>
      </c>
      <c r="D1004" s="149" t="s">
        <v>5486</v>
      </c>
      <c r="E1004" s="157">
        <v>2</v>
      </c>
      <c r="F1004" s="134">
        <v>50</v>
      </c>
      <c r="G1004" s="134">
        <v>65</v>
      </c>
      <c r="H1004" s="109">
        <f t="shared" si="48"/>
        <v>130</v>
      </c>
      <c r="I1004" s="119"/>
      <c r="J1004" s="119">
        <v>0</v>
      </c>
      <c r="K1004" s="119">
        <f t="shared" si="49"/>
        <v>130</v>
      </c>
      <c r="L1004" s="152">
        <f t="shared" si="50"/>
        <v>100</v>
      </c>
      <c r="M1004" s="113"/>
    </row>
    <row r="1005" spans="1:13" ht="13.5" customHeight="1" x14ac:dyDescent="0.2">
      <c r="A1005" s="106" t="s">
        <v>5969</v>
      </c>
      <c r="B1005" s="105" t="s">
        <v>5975</v>
      </c>
      <c r="C1005" s="105" t="s">
        <v>6008</v>
      </c>
      <c r="D1005" s="149" t="s">
        <v>6093</v>
      </c>
      <c r="E1005" s="157">
        <v>2</v>
      </c>
      <c r="F1005" s="134">
        <v>35</v>
      </c>
      <c r="G1005" s="134">
        <v>45</v>
      </c>
      <c r="H1005" s="109">
        <f t="shared" si="48"/>
        <v>90</v>
      </c>
      <c r="I1005" s="119"/>
      <c r="J1005" s="119">
        <v>0</v>
      </c>
      <c r="K1005" s="119">
        <f t="shared" si="49"/>
        <v>90</v>
      </c>
      <c r="L1005" s="152">
        <f t="shared" si="50"/>
        <v>70</v>
      </c>
      <c r="M1005" s="113"/>
    </row>
    <row r="1006" spans="1:13" ht="13.5" customHeight="1" x14ac:dyDescent="0.2">
      <c r="A1006" s="106" t="s">
        <v>5969</v>
      </c>
      <c r="B1006" s="105" t="s">
        <v>5497</v>
      </c>
      <c r="C1006" s="105" t="s">
        <v>6008</v>
      </c>
      <c r="D1006" s="149" t="s">
        <v>5573</v>
      </c>
      <c r="E1006" s="157">
        <v>2</v>
      </c>
      <c r="F1006" s="134">
        <v>30</v>
      </c>
      <c r="G1006" s="134">
        <v>45</v>
      </c>
      <c r="H1006" s="109">
        <f t="shared" si="48"/>
        <v>90</v>
      </c>
      <c r="I1006" s="119"/>
      <c r="J1006" s="119">
        <v>0</v>
      </c>
      <c r="K1006" s="119">
        <f t="shared" si="49"/>
        <v>90</v>
      </c>
      <c r="L1006" s="152">
        <f t="shared" si="50"/>
        <v>60</v>
      </c>
      <c r="M1006" s="113"/>
    </row>
    <row r="1007" spans="1:13" ht="13.5" customHeight="1" x14ac:dyDescent="0.2">
      <c r="A1007" s="106" t="s">
        <v>5969</v>
      </c>
      <c r="B1007" s="105" t="s">
        <v>3413</v>
      </c>
      <c r="C1007" s="105" t="s">
        <v>6009</v>
      </c>
      <c r="D1007" s="149" t="s">
        <v>3414</v>
      </c>
      <c r="E1007" s="157">
        <v>1</v>
      </c>
      <c r="F1007" s="134">
        <v>33.1</v>
      </c>
      <c r="G1007" s="134">
        <v>38.25</v>
      </c>
      <c r="H1007" s="109">
        <f t="shared" si="48"/>
        <v>38.25</v>
      </c>
      <c r="I1007" s="119"/>
      <c r="J1007" s="119">
        <v>0</v>
      </c>
      <c r="K1007" s="119">
        <f t="shared" si="49"/>
        <v>38.25</v>
      </c>
      <c r="L1007" s="152">
        <f t="shared" si="50"/>
        <v>33.1</v>
      </c>
      <c r="M1007" s="113"/>
    </row>
    <row r="1008" spans="1:13" ht="13.5" customHeight="1" x14ac:dyDescent="0.2">
      <c r="A1008" s="106" t="s">
        <v>5969</v>
      </c>
      <c r="B1008" s="105" t="s">
        <v>3434</v>
      </c>
      <c r="C1008" s="105" t="s">
        <v>6010</v>
      </c>
      <c r="D1008" s="149" t="s">
        <v>3436</v>
      </c>
      <c r="E1008" s="157">
        <v>1</v>
      </c>
      <c r="F1008" s="134">
        <v>7.41</v>
      </c>
      <c r="G1008" s="134">
        <v>8.75</v>
      </c>
      <c r="H1008" s="109">
        <f t="shared" si="48"/>
        <v>8.75</v>
      </c>
      <c r="I1008" s="119"/>
      <c r="J1008" s="119">
        <v>0</v>
      </c>
      <c r="K1008" s="119">
        <f t="shared" si="49"/>
        <v>8.75</v>
      </c>
      <c r="L1008" s="152">
        <f t="shared" si="50"/>
        <v>7.41</v>
      </c>
      <c r="M1008" s="113"/>
    </row>
    <row r="1009" spans="1:13" ht="13.5" customHeight="1" x14ac:dyDescent="0.2">
      <c r="A1009" s="106" t="s">
        <v>5969</v>
      </c>
      <c r="B1009" s="105" t="s">
        <v>2008</v>
      </c>
      <c r="C1009" s="105" t="s">
        <v>6011</v>
      </c>
      <c r="D1009" s="149" t="s">
        <v>2010</v>
      </c>
      <c r="E1009" s="157">
        <v>1</v>
      </c>
      <c r="F1009" s="134">
        <v>44.8</v>
      </c>
      <c r="G1009" s="134">
        <v>51.75</v>
      </c>
      <c r="H1009" s="109">
        <f t="shared" si="48"/>
        <v>51.75</v>
      </c>
      <c r="I1009" s="119"/>
      <c r="J1009" s="119">
        <v>0</v>
      </c>
      <c r="K1009" s="119">
        <f t="shared" si="49"/>
        <v>51.75</v>
      </c>
      <c r="L1009" s="152">
        <f t="shared" si="50"/>
        <v>44.8</v>
      </c>
      <c r="M1009" s="113"/>
    </row>
    <row r="1010" spans="1:13" ht="13.5" customHeight="1" x14ac:dyDescent="0.2">
      <c r="A1010" s="106" t="s">
        <v>5969</v>
      </c>
      <c r="B1010" s="105" t="s">
        <v>3052</v>
      </c>
      <c r="C1010" s="105" t="s">
        <v>6011</v>
      </c>
      <c r="D1010" s="149" t="s">
        <v>3053</v>
      </c>
      <c r="E1010" s="157">
        <v>2</v>
      </c>
      <c r="F1010" s="134">
        <v>13.32</v>
      </c>
      <c r="G1010" s="134">
        <v>15.5</v>
      </c>
      <c r="H1010" s="109">
        <f t="shared" si="48"/>
        <v>31</v>
      </c>
      <c r="I1010" s="119"/>
      <c r="J1010" s="119">
        <v>0</v>
      </c>
      <c r="K1010" s="119">
        <f t="shared" si="49"/>
        <v>31</v>
      </c>
      <c r="L1010" s="152">
        <f t="shared" si="50"/>
        <v>26.64</v>
      </c>
      <c r="M1010" s="113"/>
    </row>
    <row r="1011" spans="1:13" ht="13.5" customHeight="1" x14ac:dyDescent="0.2">
      <c r="A1011" s="106" t="s">
        <v>5969</v>
      </c>
      <c r="B1011" s="105" t="s">
        <v>2908</v>
      </c>
      <c r="C1011" s="105" t="s">
        <v>6012</v>
      </c>
      <c r="D1011" s="149" t="s">
        <v>2910</v>
      </c>
      <c r="E1011" s="157">
        <v>5</v>
      </c>
      <c r="F1011" s="134">
        <v>0.76</v>
      </c>
      <c r="G1011" s="134">
        <v>1</v>
      </c>
      <c r="H1011" s="109">
        <f t="shared" si="48"/>
        <v>5</v>
      </c>
      <c r="I1011" s="119"/>
      <c r="J1011" s="119">
        <v>0</v>
      </c>
      <c r="K1011" s="119">
        <f t="shared" si="49"/>
        <v>5</v>
      </c>
      <c r="L1011" s="152">
        <f t="shared" si="50"/>
        <v>3.8</v>
      </c>
      <c r="M1011" s="113"/>
    </row>
    <row r="1012" spans="1:13" ht="13.5" customHeight="1" x14ac:dyDescent="0.2">
      <c r="A1012" s="106" t="s">
        <v>5969</v>
      </c>
      <c r="B1012" s="105" t="s">
        <v>2323</v>
      </c>
      <c r="C1012" s="105" t="s">
        <v>6013</v>
      </c>
      <c r="D1012" s="149" t="s">
        <v>2325</v>
      </c>
      <c r="E1012" s="157">
        <v>1</v>
      </c>
      <c r="F1012" s="134">
        <v>19.100000000000001</v>
      </c>
      <c r="G1012" s="134">
        <v>22</v>
      </c>
      <c r="H1012" s="109">
        <f t="shared" si="48"/>
        <v>22</v>
      </c>
      <c r="I1012" s="119"/>
      <c r="J1012" s="119">
        <v>0</v>
      </c>
      <c r="K1012" s="119">
        <f t="shared" si="49"/>
        <v>22</v>
      </c>
      <c r="L1012" s="152">
        <f t="shared" si="50"/>
        <v>19.100000000000001</v>
      </c>
      <c r="M1012" s="113"/>
    </row>
    <row r="1013" spans="1:13" ht="13.5" customHeight="1" x14ac:dyDescent="0.2">
      <c r="A1013" s="106" t="s">
        <v>5969</v>
      </c>
      <c r="B1013" s="105" t="s">
        <v>4241</v>
      </c>
      <c r="C1013" s="105" t="s">
        <v>6014</v>
      </c>
      <c r="D1013" s="149" t="s">
        <v>4242</v>
      </c>
      <c r="E1013" s="157">
        <v>1</v>
      </c>
      <c r="F1013" s="134">
        <v>19</v>
      </c>
      <c r="G1013" s="134">
        <v>22</v>
      </c>
      <c r="H1013" s="109">
        <f t="shared" si="48"/>
        <v>22</v>
      </c>
      <c r="I1013" s="119"/>
      <c r="J1013" s="119">
        <v>0</v>
      </c>
      <c r="K1013" s="119">
        <f t="shared" si="49"/>
        <v>22</v>
      </c>
      <c r="L1013" s="152">
        <f t="shared" si="50"/>
        <v>19</v>
      </c>
      <c r="M1013" s="113"/>
    </row>
    <row r="1014" spans="1:13" ht="13.5" customHeight="1" x14ac:dyDescent="0.2">
      <c r="A1014" s="106" t="s">
        <v>5969</v>
      </c>
      <c r="B1014" s="105" t="s">
        <v>1933</v>
      </c>
      <c r="C1014" s="105" t="s">
        <v>6014</v>
      </c>
      <c r="D1014" s="149" t="s">
        <v>1934</v>
      </c>
      <c r="E1014" s="157">
        <v>2</v>
      </c>
      <c r="F1014" s="134">
        <v>3.6</v>
      </c>
      <c r="G1014" s="134">
        <v>4.25</v>
      </c>
      <c r="H1014" s="109">
        <f t="shared" si="48"/>
        <v>8.5</v>
      </c>
      <c r="I1014" s="119"/>
      <c r="J1014" s="119">
        <v>0</v>
      </c>
      <c r="K1014" s="119">
        <f t="shared" si="49"/>
        <v>8.5</v>
      </c>
      <c r="L1014" s="152">
        <f t="shared" si="50"/>
        <v>7.2</v>
      </c>
      <c r="M1014" s="113"/>
    </row>
    <row r="1015" spans="1:13" ht="13.5" customHeight="1" x14ac:dyDescent="0.2">
      <c r="A1015" s="106" t="s">
        <v>5969</v>
      </c>
      <c r="B1015" s="105" t="s">
        <v>4330</v>
      </c>
      <c r="C1015" s="105" t="s">
        <v>6014</v>
      </c>
      <c r="D1015" s="149" t="s">
        <v>4360</v>
      </c>
      <c r="E1015" s="157">
        <v>2</v>
      </c>
      <c r="F1015" s="134">
        <v>69.510000000000005</v>
      </c>
      <c r="G1015" s="134">
        <v>80</v>
      </c>
      <c r="H1015" s="109">
        <f t="shared" si="48"/>
        <v>160</v>
      </c>
      <c r="I1015" s="119"/>
      <c r="J1015" s="119">
        <v>0</v>
      </c>
      <c r="K1015" s="119">
        <f t="shared" si="49"/>
        <v>160</v>
      </c>
      <c r="L1015" s="152">
        <f t="shared" si="50"/>
        <v>139.02000000000001</v>
      </c>
      <c r="M1015" s="113"/>
    </row>
    <row r="1016" spans="1:13" ht="13.5" customHeight="1" x14ac:dyDescent="0.2">
      <c r="A1016" s="106" t="s">
        <v>5969</v>
      </c>
      <c r="B1016" s="105" t="s">
        <v>3583</v>
      </c>
      <c r="C1016" s="105" t="s">
        <v>6015</v>
      </c>
      <c r="D1016" s="149" t="s">
        <v>3585</v>
      </c>
      <c r="E1016" s="157">
        <v>1</v>
      </c>
      <c r="F1016" s="134">
        <v>11.32</v>
      </c>
      <c r="G1016" s="134">
        <v>13.25</v>
      </c>
      <c r="H1016" s="109">
        <f t="shared" si="48"/>
        <v>13.25</v>
      </c>
      <c r="I1016" s="119"/>
      <c r="J1016" s="119">
        <v>0</v>
      </c>
      <c r="K1016" s="119">
        <f t="shared" si="49"/>
        <v>13.25</v>
      </c>
      <c r="L1016" s="152">
        <f t="shared" si="50"/>
        <v>11.32</v>
      </c>
      <c r="M1016" s="113"/>
    </row>
    <row r="1017" spans="1:13" ht="13.5" customHeight="1" x14ac:dyDescent="0.2">
      <c r="A1017" s="106" t="s">
        <v>5969</v>
      </c>
      <c r="B1017" s="105" t="s">
        <v>2639</v>
      </c>
      <c r="C1017" s="105" t="s">
        <v>6015</v>
      </c>
      <c r="D1017" s="149" t="s">
        <v>2640</v>
      </c>
      <c r="E1017" s="157">
        <v>1</v>
      </c>
      <c r="F1017" s="134">
        <v>17.059999999999999</v>
      </c>
      <c r="G1017" s="134">
        <v>19.75</v>
      </c>
      <c r="H1017" s="109">
        <f t="shared" si="48"/>
        <v>19.75</v>
      </c>
      <c r="I1017" s="119"/>
      <c r="J1017" s="119">
        <v>0</v>
      </c>
      <c r="K1017" s="119">
        <f t="shared" si="49"/>
        <v>19.75</v>
      </c>
      <c r="L1017" s="152">
        <f t="shared" si="50"/>
        <v>17.059999999999999</v>
      </c>
      <c r="M1017" s="113"/>
    </row>
    <row r="1018" spans="1:13" ht="13.5" customHeight="1" x14ac:dyDescent="0.2">
      <c r="A1018" s="106" t="s">
        <v>5969</v>
      </c>
      <c r="B1018" s="105" t="s">
        <v>2082</v>
      </c>
      <c r="C1018" s="105" t="s">
        <v>6015</v>
      </c>
      <c r="D1018" s="149" t="s">
        <v>2083</v>
      </c>
      <c r="E1018" s="157">
        <v>1</v>
      </c>
      <c r="F1018" s="134">
        <v>10.95</v>
      </c>
      <c r="G1018" s="134">
        <v>12.75</v>
      </c>
      <c r="H1018" s="109">
        <f t="shared" si="48"/>
        <v>12.75</v>
      </c>
      <c r="I1018" s="119"/>
      <c r="J1018" s="119">
        <v>0</v>
      </c>
      <c r="K1018" s="119">
        <f t="shared" si="49"/>
        <v>12.75</v>
      </c>
      <c r="L1018" s="152">
        <f t="shared" si="50"/>
        <v>10.95</v>
      </c>
      <c r="M1018" s="113"/>
    </row>
    <row r="1019" spans="1:13" ht="13.5" customHeight="1" x14ac:dyDescent="0.2">
      <c r="A1019" s="106" t="s">
        <v>5969</v>
      </c>
      <c r="B1019" s="105" t="s">
        <v>2233</v>
      </c>
      <c r="C1019" s="105" t="s">
        <v>6015</v>
      </c>
      <c r="D1019" s="149" t="s">
        <v>2235</v>
      </c>
      <c r="E1019" s="157">
        <v>1</v>
      </c>
      <c r="F1019" s="134">
        <v>11.17</v>
      </c>
      <c r="G1019" s="134">
        <v>13</v>
      </c>
      <c r="H1019" s="109">
        <f t="shared" si="48"/>
        <v>13</v>
      </c>
      <c r="I1019" s="119"/>
      <c r="J1019" s="119">
        <v>0</v>
      </c>
      <c r="K1019" s="119">
        <f t="shared" si="49"/>
        <v>13</v>
      </c>
      <c r="L1019" s="152">
        <f t="shared" si="50"/>
        <v>11.17</v>
      </c>
      <c r="M1019" s="113"/>
    </row>
    <row r="1020" spans="1:13" ht="13.5" customHeight="1" x14ac:dyDescent="0.2">
      <c r="A1020" s="106" t="s">
        <v>5969</v>
      </c>
      <c r="B1020" s="105" t="s">
        <v>5976</v>
      </c>
      <c r="C1020" s="105" t="s">
        <v>6016</v>
      </c>
      <c r="D1020" s="149" t="s">
        <v>6094</v>
      </c>
      <c r="E1020" s="157">
        <v>1</v>
      </c>
      <c r="F1020" s="134">
        <v>46</v>
      </c>
      <c r="G1020" s="134">
        <v>55.75</v>
      </c>
      <c r="H1020" s="109">
        <f t="shared" si="48"/>
        <v>55.75</v>
      </c>
      <c r="I1020" s="119"/>
      <c r="J1020" s="119">
        <v>0</v>
      </c>
      <c r="K1020" s="119">
        <f t="shared" si="49"/>
        <v>55.75</v>
      </c>
      <c r="L1020" s="152">
        <f t="shared" si="50"/>
        <v>46</v>
      </c>
      <c r="M1020" s="113"/>
    </row>
    <row r="1021" spans="1:13" ht="13.5" customHeight="1" x14ac:dyDescent="0.2">
      <c r="A1021" s="106" t="s">
        <v>5969</v>
      </c>
      <c r="B1021" s="105" t="s">
        <v>2367</v>
      </c>
      <c r="C1021" s="105" t="s">
        <v>6017</v>
      </c>
      <c r="D1021" s="149" t="s">
        <v>2369</v>
      </c>
      <c r="E1021" s="157">
        <v>6</v>
      </c>
      <c r="F1021" s="134">
        <v>6.38</v>
      </c>
      <c r="G1021" s="134">
        <v>7.5</v>
      </c>
      <c r="H1021" s="109">
        <f t="shared" si="48"/>
        <v>45</v>
      </c>
      <c r="I1021" s="119"/>
      <c r="J1021" s="119">
        <v>0</v>
      </c>
      <c r="K1021" s="119">
        <f t="shared" si="49"/>
        <v>45</v>
      </c>
      <c r="L1021" s="152">
        <f t="shared" si="50"/>
        <v>38.28</v>
      </c>
      <c r="M1021" s="113"/>
    </row>
    <row r="1022" spans="1:13" ht="13.5" customHeight="1" x14ac:dyDescent="0.2">
      <c r="A1022" s="106" t="s">
        <v>5969</v>
      </c>
      <c r="B1022" s="105" t="s">
        <v>3169</v>
      </c>
      <c r="C1022" s="105" t="s">
        <v>6017</v>
      </c>
      <c r="D1022" s="149" t="s">
        <v>3170</v>
      </c>
      <c r="E1022" s="157">
        <v>6</v>
      </c>
      <c r="F1022" s="134">
        <v>5.41</v>
      </c>
      <c r="G1022" s="134">
        <v>6.25</v>
      </c>
      <c r="H1022" s="109">
        <f t="shared" si="48"/>
        <v>37.5</v>
      </c>
      <c r="I1022" s="119"/>
      <c r="J1022" s="119">
        <v>0</v>
      </c>
      <c r="K1022" s="119">
        <f t="shared" si="49"/>
        <v>37.5</v>
      </c>
      <c r="L1022" s="152">
        <f t="shared" si="50"/>
        <v>32.46</v>
      </c>
      <c r="M1022" s="113"/>
    </row>
    <row r="1023" spans="1:13" ht="13.5" customHeight="1" x14ac:dyDescent="0.2">
      <c r="A1023" s="106" t="s">
        <v>5969</v>
      </c>
      <c r="B1023" s="105" t="s">
        <v>5977</v>
      </c>
      <c r="C1023" s="105" t="s">
        <v>6017</v>
      </c>
      <c r="D1023" s="149" t="s">
        <v>6095</v>
      </c>
      <c r="E1023" s="157">
        <v>50</v>
      </c>
      <c r="F1023" s="134">
        <v>7.73</v>
      </c>
      <c r="G1023" s="134">
        <v>9.25</v>
      </c>
      <c r="H1023" s="109">
        <f t="shared" si="48"/>
        <v>462.5</v>
      </c>
      <c r="I1023" s="119"/>
      <c r="J1023" s="119">
        <v>0</v>
      </c>
      <c r="K1023" s="119">
        <f t="shared" si="49"/>
        <v>462.5</v>
      </c>
      <c r="L1023" s="152">
        <f t="shared" si="50"/>
        <v>386.5</v>
      </c>
      <c r="M1023" s="113"/>
    </row>
    <row r="1024" spans="1:13" ht="13.5" customHeight="1" x14ac:dyDescent="0.2">
      <c r="A1024" s="106" t="s">
        <v>5969</v>
      </c>
      <c r="B1024" s="105" t="s">
        <v>5978</v>
      </c>
      <c r="C1024" s="105" t="s">
        <v>6017</v>
      </c>
      <c r="D1024" s="149" t="s">
        <v>6096</v>
      </c>
      <c r="E1024" s="157">
        <v>100</v>
      </c>
      <c r="F1024" s="134">
        <v>1.29</v>
      </c>
      <c r="G1024" s="134">
        <v>1.55</v>
      </c>
      <c r="H1024" s="109">
        <f t="shared" si="48"/>
        <v>155</v>
      </c>
      <c r="I1024" s="119"/>
      <c r="J1024" s="119">
        <v>0</v>
      </c>
      <c r="K1024" s="119">
        <f t="shared" si="49"/>
        <v>155</v>
      </c>
      <c r="L1024" s="152">
        <f t="shared" si="50"/>
        <v>129</v>
      </c>
      <c r="M1024" s="113"/>
    </row>
    <row r="1025" spans="1:13" ht="13.5" customHeight="1" x14ac:dyDescent="0.2">
      <c r="A1025" s="106" t="s">
        <v>5969</v>
      </c>
      <c r="B1025" s="105" t="s">
        <v>2173</v>
      </c>
      <c r="C1025" s="105" t="s">
        <v>6017</v>
      </c>
      <c r="D1025" s="149" t="s">
        <v>2175</v>
      </c>
      <c r="E1025" s="157">
        <v>1</v>
      </c>
      <c r="F1025" s="134">
        <v>140</v>
      </c>
      <c r="G1025" s="134">
        <v>161</v>
      </c>
      <c r="H1025" s="109">
        <f t="shared" si="48"/>
        <v>161</v>
      </c>
      <c r="I1025" s="119"/>
      <c r="J1025" s="119">
        <v>0</v>
      </c>
      <c r="K1025" s="119">
        <f t="shared" si="49"/>
        <v>161</v>
      </c>
      <c r="L1025" s="152">
        <f t="shared" si="50"/>
        <v>140</v>
      </c>
      <c r="M1025" s="113"/>
    </row>
    <row r="1026" spans="1:13" ht="13.5" customHeight="1" x14ac:dyDescent="0.2">
      <c r="A1026" s="106" t="s">
        <v>5969</v>
      </c>
      <c r="B1026" s="105" t="s">
        <v>3326</v>
      </c>
      <c r="C1026" s="105" t="s">
        <v>6018</v>
      </c>
      <c r="D1026" s="149" t="s">
        <v>3327</v>
      </c>
      <c r="E1026" s="157">
        <v>12</v>
      </c>
      <c r="F1026" s="134">
        <v>6.12</v>
      </c>
      <c r="G1026" s="134">
        <v>7.25</v>
      </c>
      <c r="H1026" s="109">
        <f t="shared" si="48"/>
        <v>87</v>
      </c>
      <c r="I1026" s="119"/>
      <c r="J1026" s="119">
        <v>0</v>
      </c>
      <c r="K1026" s="119">
        <f t="shared" si="49"/>
        <v>87</v>
      </c>
      <c r="L1026" s="152">
        <f t="shared" si="50"/>
        <v>73.44</v>
      </c>
      <c r="M1026" s="113"/>
    </row>
    <row r="1027" spans="1:13" ht="13.5" customHeight="1" x14ac:dyDescent="0.2">
      <c r="A1027" s="106" t="s">
        <v>5969</v>
      </c>
      <c r="B1027" s="105" t="s">
        <v>2581</v>
      </c>
      <c r="C1027" s="105" t="s">
        <v>6018</v>
      </c>
      <c r="D1027" s="149" t="s">
        <v>2583</v>
      </c>
      <c r="E1027" s="157">
        <v>12</v>
      </c>
      <c r="F1027" s="134">
        <v>6.02</v>
      </c>
      <c r="G1027" s="134">
        <v>7.25</v>
      </c>
      <c r="H1027" s="109">
        <f t="shared" si="48"/>
        <v>87</v>
      </c>
      <c r="I1027" s="119"/>
      <c r="J1027" s="119">
        <v>0</v>
      </c>
      <c r="K1027" s="119">
        <f t="shared" si="49"/>
        <v>87</v>
      </c>
      <c r="L1027" s="152">
        <f t="shared" si="50"/>
        <v>72.239999999999995</v>
      </c>
      <c r="M1027" s="113"/>
    </row>
    <row r="1028" spans="1:13" ht="13.5" customHeight="1" x14ac:dyDescent="0.2">
      <c r="A1028" s="106" t="s">
        <v>5969</v>
      </c>
      <c r="B1028" s="105" t="s">
        <v>2298</v>
      </c>
      <c r="C1028" s="105" t="s">
        <v>6018</v>
      </c>
      <c r="D1028" s="149" t="s">
        <v>2299</v>
      </c>
      <c r="E1028" s="157">
        <v>4</v>
      </c>
      <c r="F1028" s="134">
        <v>21.84</v>
      </c>
      <c r="G1028" s="134">
        <v>25.25</v>
      </c>
      <c r="H1028" s="109">
        <f t="shared" si="48"/>
        <v>101</v>
      </c>
      <c r="I1028" s="119"/>
      <c r="J1028" s="119">
        <v>0</v>
      </c>
      <c r="K1028" s="119">
        <f t="shared" si="49"/>
        <v>101</v>
      </c>
      <c r="L1028" s="152">
        <f t="shared" si="50"/>
        <v>87.36</v>
      </c>
      <c r="M1028" s="113"/>
    </row>
    <row r="1029" spans="1:13" ht="13.5" customHeight="1" x14ac:dyDescent="0.2">
      <c r="A1029" s="106" t="s">
        <v>5970</v>
      </c>
      <c r="B1029" s="105" t="s">
        <v>2908</v>
      </c>
      <c r="C1029" s="105" t="s">
        <v>6019</v>
      </c>
      <c r="D1029" s="149" t="s">
        <v>2910</v>
      </c>
      <c r="E1029" s="157">
        <v>5</v>
      </c>
      <c r="F1029" s="134">
        <v>0.76</v>
      </c>
      <c r="G1029" s="134">
        <v>1</v>
      </c>
      <c r="H1029" s="109">
        <f t="shared" si="48"/>
        <v>5</v>
      </c>
      <c r="I1029" s="119"/>
      <c r="J1029" s="119">
        <v>0</v>
      </c>
      <c r="K1029" s="119">
        <f t="shared" si="49"/>
        <v>5</v>
      </c>
      <c r="L1029" s="152">
        <f t="shared" si="50"/>
        <v>3.8</v>
      </c>
      <c r="M1029" s="113"/>
    </row>
    <row r="1030" spans="1:13" ht="13.5" customHeight="1" x14ac:dyDescent="0.2">
      <c r="A1030" s="106" t="s">
        <v>5970</v>
      </c>
      <c r="B1030" s="105" t="s">
        <v>2220</v>
      </c>
      <c r="C1030" s="105" t="s">
        <v>6020</v>
      </c>
      <c r="D1030" s="149" t="s">
        <v>2222</v>
      </c>
      <c r="E1030" s="157">
        <v>1</v>
      </c>
      <c r="F1030" s="134">
        <v>34.51</v>
      </c>
      <c r="G1030" s="134">
        <v>41</v>
      </c>
      <c r="H1030" s="109">
        <f t="shared" si="48"/>
        <v>41</v>
      </c>
      <c r="I1030" s="119"/>
      <c r="J1030" s="119">
        <v>0</v>
      </c>
      <c r="K1030" s="119">
        <f t="shared" si="49"/>
        <v>41</v>
      </c>
      <c r="L1030" s="152">
        <f t="shared" si="50"/>
        <v>34.51</v>
      </c>
      <c r="M1030" s="113"/>
    </row>
    <row r="1031" spans="1:13" ht="13.5" customHeight="1" x14ac:dyDescent="0.2">
      <c r="A1031" s="106" t="s">
        <v>5970</v>
      </c>
      <c r="B1031" s="105" t="s">
        <v>3788</v>
      </c>
      <c r="C1031" s="105" t="s">
        <v>6021</v>
      </c>
      <c r="D1031" s="149" t="s">
        <v>3789</v>
      </c>
      <c r="E1031" s="157">
        <v>1</v>
      </c>
      <c r="F1031" s="134">
        <v>22.19</v>
      </c>
      <c r="G1031" s="134">
        <v>25.5</v>
      </c>
      <c r="H1031" s="109">
        <f t="shared" ref="H1031:H1094" si="51">E1031*G1031</f>
        <v>25.5</v>
      </c>
      <c r="I1031" s="119"/>
      <c r="J1031" s="119">
        <v>0</v>
      </c>
      <c r="K1031" s="119">
        <f t="shared" si="49"/>
        <v>25.5</v>
      </c>
      <c r="L1031" s="152">
        <f t="shared" si="50"/>
        <v>22.19</v>
      </c>
      <c r="M1031" s="113"/>
    </row>
    <row r="1032" spans="1:13" ht="13.5" customHeight="1" x14ac:dyDescent="0.2">
      <c r="A1032" s="106" t="s">
        <v>5970</v>
      </c>
      <c r="B1032" s="105" t="s">
        <v>1962</v>
      </c>
      <c r="C1032" s="105" t="s">
        <v>6021</v>
      </c>
      <c r="D1032" s="149" t="s">
        <v>1964</v>
      </c>
      <c r="E1032" s="157">
        <v>1</v>
      </c>
      <c r="F1032" s="134">
        <v>7.48</v>
      </c>
      <c r="G1032" s="134">
        <v>8.75</v>
      </c>
      <c r="H1032" s="109">
        <f t="shared" si="51"/>
        <v>8.75</v>
      </c>
      <c r="I1032" s="119"/>
      <c r="J1032" s="119">
        <v>0</v>
      </c>
      <c r="K1032" s="119">
        <f t="shared" ref="K1032:K1095" si="52">H1032+I1032-J1032</f>
        <v>8.75</v>
      </c>
      <c r="L1032" s="152">
        <f t="shared" ref="L1032:L1095" si="53">E1032*F1032</f>
        <v>7.48</v>
      </c>
      <c r="M1032" s="113"/>
    </row>
    <row r="1033" spans="1:13" ht="13.5" customHeight="1" x14ac:dyDescent="0.2">
      <c r="A1033" s="106" t="s">
        <v>5970</v>
      </c>
      <c r="B1033" s="105" t="s">
        <v>4568</v>
      </c>
      <c r="C1033" s="105" t="s">
        <v>6021</v>
      </c>
      <c r="D1033" s="149" t="s">
        <v>4673</v>
      </c>
      <c r="E1033" s="157">
        <v>1</v>
      </c>
      <c r="F1033" s="134">
        <v>34.47</v>
      </c>
      <c r="G1033" s="134">
        <v>39.75</v>
      </c>
      <c r="H1033" s="109">
        <f t="shared" si="51"/>
        <v>39.75</v>
      </c>
      <c r="I1033" s="119"/>
      <c r="J1033" s="119">
        <v>0</v>
      </c>
      <c r="K1033" s="119">
        <f t="shared" si="52"/>
        <v>39.75</v>
      </c>
      <c r="L1033" s="152">
        <f t="shared" si="53"/>
        <v>34.47</v>
      </c>
      <c r="M1033" s="113"/>
    </row>
    <row r="1034" spans="1:13" ht="13.5" customHeight="1" x14ac:dyDescent="0.2">
      <c r="A1034" s="106" t="s">
        <v>5970</v>
      </c>
      <c r="B1034" s="105" t="s">
        <v>2338</v>
      </c>
      <c r="C1034" s="105" t="s">
        <v>6021</v>
      </c>
      <c r="D1034" s="149" t="s">
        <v>2339</v>
      </c>
      <c r="E1034" s="157">
        <v>1</v>
      </c>
      <c r="F1034" s="134">
        <v>31.6</v>
      </c>
      <c r="G1034" s="134">
        <v>36.33</v>
      </c>
      <c r="H1034" s="109">
        <f t="shared" si="51"/>
        <v>36.33</v>
      </c>
      <c r="I1034" s="119"/>
      <c r="J1034" s="119">
        <v>0</v>
      </c>
      <c r="K1034" s="119">
        <f t="shared" si="52"/>
        <v>36.33</v>
      </c>
      <c r="L1034" s="152">
        <f t="shared" si="53"/>
        <v>31.6</v>
      </c>
      <c r="M1034" s="113"/>
    </row>
    <row r="1035" spans="1:13" ht="13.5" customHeight="1" x14ac:dyDescent="0.2">
      <c r="A1035" s="106" t="s">
        <v>5970</v>
      </c>
      <c r="B1035" s="105" t="s">
        <v>2226</v>
      </c>
      <c r="C1035" s="105" t="s">
        <v>6021</v>
      </c>
      <c r="D1035" s="149" t="s">
        <v>2228</v>
      </c>
      <c r="E1035" s="157">
        <v>2</v>
      </c>
      <c r="F1035" s="134">
        <v>19.47</v>
      </c>
      <c r="G1035" s="134">
        <v>23</v>
      </c>
      <c r="H1035" s="109">
        <f t="shared" si="51"/>
        <v>46</v>
      </c>
      <c r="I1035" s="119"/>
      <c r="J1035" s="119">
        <v>0</v>
      </c>
      <c r="K1035" s="119">
        <f t="shared" si="52"/>
        <v>46</v>
      </c>
      <c r="L1035" s="152">
        <f t="shared" si="53"/>
        <v>38.94</v>
      </c>
      <c r="M1035" s="113"/>
    </row>
    <row r="1036" spans="1:13" ht="13.5" customHeight="1" x14ac:dyDescent="0.2">
      <c r="A1036" s="106" t="s">
        <v>5970</v>
      </c>
      <c r="B1036" s="105" t="s">
        <v>3656</v>
      </c>
      <c r="C1036" s="105" t="s">
        <v>6022</v>
      </c>
      <c r="D1036" s="149" t="s">
        <v>3657</v>
      </c>
      <c r="E1036" s="157">
        <v>1</v>
      </c>
      <c r="F1036" s="134">
        <v>41.72</v>
      </c>
      <c r="G1036" s="134">
        <v>48</v>
      </c>
      <c r="H1036" s="109">
        <f t="shared" si="51"/>
        <v>48</v>
      </c>
      <c r="I1036" s="119"/>
      <c r="J1036" s="119">
        <v>0</v>
      </c>
      <c r="K1036" s="119">
        <f t="shared" si="52"/>
        <v>48</v>
      </c>
      <c r="L1036" s="152">
        <f t="shared" si="53"/>
        <v>41.72</v>
      </c>
      <c r="M1036" s="113"/>
    </row>
    <row r="1037" spans="1:13" ht="13.5" customHeight="1" x14ac:dyDescent="0.2">
      <c r="A1037" s="106" t="s">
        <v>5970</v>
      </c>
      <c r="B1037" s="105" t="s">
        <v>1884</v>
      </c>
      <c r="C1037" s="105" t="s">
        <v>6023</v>
      </c>
      <c r="D1037" s="149" t="s">
        <v>1885</v>
      </c>
      <c r="E1037" s="157">
        <v>1</v>
      </c>
      <c r="F1037" s="134">
        <v>7.06</v>
      </c>
      <c r="G1037" s="134">
        <v>8.25</v>
      </c>
      <c r="H1037" s="109">
        <f t="shared" si="51"/>
        <v>8.25</v>
      </c>
      <c r="I1037" s="119"/>
      <c r="J1037" s="119">
        <v>0</v>
      </c>
      <c r="K1037" s="119">
        <f t="shared" si="52"/>
        <v>8.25</v>
      </c>
      <c r="L1037" s="152">
        <f t="shared" si="53"/>
        <v>7.06</v>
      </c>
      <c r="M1037" s="113"/>
    </row>
    <row r="1038" spans="1:13" ht="13.5" customHeight="1" x14ac:dyDescent="0.2">
      <c r="A1038" s="106" t="s">
        <v>5970</v>
      </c>
      <c r="B1038" s="105" t="s">
        <v>1826</v>
      </c>
      <c r="C1038" s="105" t="s">
        <v>6024</v>
      </c>
      <c r="D1038" s="149" t="s">
        <v>1827</v>
      </c>
      <c r="E1038" s="157">
        <v>1</v>
      </c>
      <c r="F1038" s="134">
        <v>90</v>
      </c>
      <c r="G1038" s="134">
        <v>120</v>
      </c>
      <c r="H1038" s="109">
        <f t="shared" si="51"/>
        <v>120</v>
      </c>
      <c r="I1038" s="119"/>
      <c r="J1038" s="119">
        <v>0</v>
      </c>
      <c r="K1038" s="119">
        <f t="shared" si="52"/>
        <v>120</v>
      </c>
      <c r="L1038" s="152">
        <f t="shared" si="53"/>
        <v>90</v>
      </c>
      <c r="M1038" s="113"/>
    </row>
    <row r="1039" spans="1:13" ht="13.5" customHeight="1" x14ac:dyDescent="0.2">
      <c r="A1039" s="106" t="s">
        <v>5970</v>
      </c>
      <c r="B1039" s="105" t="s">
        <v>4443</v>
      </c>
      <c r="C1039" s="105" t="s">
        <v>6025</v>
      </c>
      <c r="D1039" s="149" t="s">
        <v>4473</v>
      </c>
      <c r="E1039" s="157">
        <v>1</v>
      </c>
      <c r="F1039" s="134">
        <v>68.5</v>
      </c>
      <c r="G1039" s="134">
        <v>79</v>
      </c>
      <c r="H1039" s="109">
        <f t="shared" si="51"/>
        <v>79</v>
      </c>
      <c r="I1039" s="119"/>
      <c r="J1039" s="119">
        <v>0</v>
      </c>
      <c r="K1039" s="119">
        <f t="shared" si="52"/>
        <v>79</v>
      </c>
      <c r="L1039" s="152">
        <f t="shared" si="53"/>
        <v>68.5</v>
      </c>
      <c r="M1039" s="113"/>
    </row>
    <row r="1040" spans="1:13" ht="13.5" customHeight="1" x14ac:dyDescent="0.2">
      <c r="A1040" s="106" t="s">
        <v>5970</v>
      </c>
      <c r="B1040" s="105" t="s">
        <v>5693</v>
      </c>
      <c r="C1040" s="105" t="s">
        <v>6026</v>
      </c>
      <c r="D1040" s="149" t="s">
        <v>5831</v>
      </c>
      <c r="E1040" s="157">
        <v>1</v>
      </c>
      <c r="F1040" s="134">
        <v>5.61</v>
      </c>
      <c r="G1040" s="134">
        <v>6.5</v>
      </c>
      <c r="H1040" s="109">
        <f t="shared" si="51"/>
        <v>6.5</v>
      </c>
      <c r="I1040" s="119"/>
      <c r="J1040" s="119">
        <v>0</v>
      </c>
      <c r="K1040" s="119">
        <f t="shared" si="52"/>
        <v>6.5</v>
      </c>
      <c r="L1040" s="152">
        <f t="shared" si="53"/>
        <v>5.61</v>
      </c>
      <c r="M1040" s="113"/>
    </row>
    <row r="1041" spans="1:13" ht="13.5" customHeight="1" x14ac:dyDescent="0.2">
      <c r="A1041" s="106" t="s">
        <v>5970</v>
      </c>
      <c r="B1041" s="105" t="s">
        <v>5979</v>
      </c>
      <c r="C1041" s="105" t="s">
        <v>6027</v>
      </c>
      <c r="D1041" s="149" t="s">
        <v>6097</v>
      </c>
      <c r="E1041" s="157">
        <v>1</v>
      </c>
      <c r="F1041" s="134">
        <v>5.74</v>
      </c>
      <c r="G1041" s="134">
        <v>7</v>
      </c>
      <c r="H1041" s="109">
        <f t="shared" si="51"/>
        <v>7</v>
      </c>
      <c r="I1041" s="119"/>
      <c r="J1041" s="119">
        <v>0</v>
      </c>
      <c r="K1041" s="119">
        <f t="shared" si="52"/>
        <v>7</v>
      </c>
      <c r="L1041" s="152">
        <f t="shared" si="53"/>
        <v>5.74</v>
      </c>
      <c r="M1041" s="113"/>
    </row>
    <row r="1042" spans="1:13" ht="13.5" customHeight="1" x14ac:dyDescent="0.2">
      <c r="A1042" s="106" t="s">
        <v>5970</v>
      </c>
      <c r="B1042" s="105" t="s">
        <v>5866</v>
      </c>
      <c r="C1042" s="105" t="s">
        <v>6027</v>
      </c>
      <c r="D1042" s="149" t="s">
        <v>5959</v>
      </c>
      <c r="E1042" s="157">
        <v>1</v>
      </c>
      <c r="F1042" s="134">
        <v>5.61</v>
      </c>
      <c r="G1042" s="134">
        <v>6.5</v>
      </c>
      <c r="H1042" s="109">
        <f t="shared" si="51"/>
        <v>6.5</v>
      </c>
      <c r="I1042" s="119"/>
      <c r="J1042" s="119">
        <v>0</v>
      </c>
      <c r="K1042" s="119">
        <f t="shared" si="52"/>
        <v>6.5</v>
      </c>
      <c r="L1042" s="152">
        <f t="shared" si="53"/>
        <v>5.61</v>
      </c>
      <c r="M1042" s="113"/>
    </row>
    <row r="1043" spans="1:13" ht="13.5" customHeight="1" x14ac:dyDescent="0.2">
      <c r="A1043" s="106" t="s">
        <v>5970</v>
      </c>
      <c r="B1043" s="105" t="s">
        <v>2002</v>
      </c>
      <c r="C1043" s="105" t="s">
        <v>6028</v>
      </c>
      <c r="D1043" s="149" t="s">
        <v>2004</v>
      </c>
      <c r="E1043" s="157">
        <v>1</v>
      </c>
      <c r="F1043" s="134">
        <v>12.56</v>
      </c>
      <c r="G1043" s="134">
        <v>14.25</v>
      </c>
      <c r="H1043" s="109">
        <f t="shared" si="51"/>
        <v>14.25</v>
      </c>
      <c r="I1043" s="119"/>
      <c r="J1043" s="119">
        <v>0</v>
      </c>
      <c r="K1043" s="119">
        <f t="shared" si="52"/>
        <v>14.25</v>
      </c>
      <c r="L1043" s="152">
        <f t="shared" si="53"/>
        <v>12.56</v>
      </c>
      <c r="M1043" s="113"/>
    </row>
    <row r="1044" spans="1:13" ht="13.5" customHeight="1" x14ac:dyDescent="0.2">
      <c r="A1044" s="106" t="s">
        <v>5970</v>
      </c>
      <c r="B1044" s="105" t="s">
        <v>1798</v>
      </c>
      <c r="C1044" s="105" t="s">
        <v>6029</v>
      </c>
      <c r="D1044" s="149" t="s">
        <v>1799</v>
      </c>
      <c r="E1044" s="157">
        <v>1</v>
      </c>
      <c r="F1044" s="134">
        <v>8.1999999999999993</v>
      </c>
      <c r="G1044" s="134">
        <v>9.5</v>
      </c>
      <c r="H1044" s="109">
        <f t="shared" si="51"/>
        <v>9.5</v>
      </c>
      <c r="I1044" s="119"/>
      <c r="J1044" s="119">
        <v>0</v>
      </c>
      <c r="K1044" s="119">
        <f t="shared" si="52"/>
        <v>9.5</v>
      </c>
      <c r="L1044" s="152">
        <f t="shared" si="53"/>
        <v>8.1999999999999993</v>
      </c>
      <c r="M1044" s="113"/>
    </row>
    <row r="1045" spans="1:13" x14ac:dyDescent="0.2">
      <c r="A1045" s="106" t="s">
        <v>5970</v>
      </c>
      <c r="B1045" s="105" t="s">
        <v>5238</v>
      </c>
      <c r="C1045" s="105" t="s">
        <v>6030</v>
      </c>
      <c r="D1045" s="149" t="s">
        <v>5398</v>
      </c>
      <c r="E1045" s="157">
        <v>1</v>
      </c>
      <c r="F1045" s="134">
        <v>8.75</v>
      </c>
      <c r="G1045" s="134">
        <v>10.25</v>
      </c>
      <c r="H1045" s="109">
        <f t="shared" si="51"/>
        <v>10.25</v>
      </c>
      <c r="I1045" s="119"/>
      <c r="J1045" s="119">
        <v>0</v>
      </c>
      <c r="K1045" s="119">
        <f t="shared" si="52"/>
        <v>10.25</v>
      </c>
      <c r="L1045" s="152">
        <f t="shared" si="53"/>
        <v>8.75</v>
      </c>
      <c r="M1045" s="113"/>
    </row>
    <row r="1046" spans="1:13" ht="13.5" customHeight="1" x14ac:dyDescent="0.2">
      <c r="A1046" s="106" t="s">
        <v>5970</v>
      </c>
      <c r="B1046" s="105" t="s">
        <v>1933</v>
      </c>
      <c r="C1046" s="105" t="s">
        <v>6031</v>
      </c>
      <c r="D1046" s="149" t="s">
        <v>1934</v>
      </c>
      <c r="E1046" s="157">
        <v>2</v>
      </c>
      <c r="F1046" s="134">
        <v>3.6</v>
      </c>
      <c r="G1046" s="134">
        <v>4.25</v>
      </c>
      <c r="H1046" s="109">
        <f t="shared" si="51"/>
        <v>8.5</v>
      </c>
      <c r="I1046" s="119"/>
      <c r="J1046" s="119">
        <v>0</v>
      </c>
      <c r="K1046" s="119">
        <f t="shared" si="52"/>
        <v>8.5</v>
      </c>
      <c r="L1046" s="152">
        <f t="shared" si="53"/>
        <v>7.2</v>
      </c>
      <c r="M1046" s="113"/>
    </row>
    <row r="1047" spans="1:13" ht="13.5" customHeight="1" x14ac:dyDescent="0.2">
      <c r="A1047" s="106" t="s">
        <v>5970</v>
      </c>
      <c r="B1047" s="105" t="s">
        <v>2380</v>
      </c>
      <c r="C1047" s="105" t="s">
        <v>6032</v>
      </c>
      <c r="D1047" s="149" t="s">
        <v>2381</v>
      </c>
      <c r="E1047" s="157">
        <v>1</v>
      </c>
      <c r="F1047" s="134">
        <v>22.73</v>
      </c>
      <c r="G1047" s="134">
        <v>26.25</v>
      </c>
      <c r="H1047" s="109">
        <f t="shared" si="51"/>
        <v>26.25</v>
      </c>
      <c r="I1047" s="119"/>
      <c r="J1047" s="119">
        <v>0</v>
      </c>
      <c r="K1047" s="119">
        <f t="shared" si="52"/>
        <v>26.25</v>
      </c>
      <c r="L1047" s="152">
        <f t="shared" si="53"/>
        <v>22.73</v>
      </c>
      <c r="M1047" s="113"/>
    </row>
    <row r="1048" spans="1:13" ht="13.5" customHeight="1" x14ac:dyDescent="0.2">
      <c r="A1048" s="106" t="s">
        <v>5970</v>
      </c>
      <c r="B1048" s="105" t="s">
        <v>2712</v>
      </c>
      <c r="C1048" s="105" t="s">
        <v>6033</v>
      </c>
      <c r="D1048" s="149" t="s">
        <v>2714</v>
      </c>
      <c r="E1048" s="157">
        <v>1</v>
      </c>
      <c r="F1048" s="134">
        <v>185</v>
      </c>
      <c r="G1048" s="134">
        <v>212.75</v>
      </c>
      <c r="H1048" s="109">
        <f t="shared" si="51"/>
        <v>212.75</v>
      </c>
      <c r="I1048" s="119"/>
      <c r="J1048" s="119">
        <v>0</v>
      </c>
      <c r="K1048" s="119">
        <f t="shared" si="52"/>
        <v>212.75</v>
      </c>
      <c r="L1048" s="152">
        <f t="shared" si="53"/>
        <v>185</v>
      </c>
      <c r="M1048" s="113"/>
    </row>
    <row r="1049" spans="1:13" ht="13.5" customHeight="1" x14ac:dyDescent="0.2">
      <c r="A1049" s="106" t="s">
        <v>5970</v>
      </c>
      <c r="B1049" s="105" t="s">
        <v>2360</v>
      </c>
      <c r="C1049" s="105" t="s">
        <v>6034</v>
      </c>
      <c r="D1049" s="149" t="s">
        <v>2361</v>
      </c>
      <c r="E1049" s="157">
        <v>1</v>
      </c>
      <c r="F1049" s="134">
        <v>18.649999999999999</v>
      </c>
      <c r="G1049" s="134">
        <v>21.5</v>
      </c>
      <c r="H1049" s="109">
        <f t="shared" si="51"/>
        <v>21.5</v>
      </c>
      <c r="I1049" s="119"/>
      <c r="J1049" s="119">
        <v>0</v>
      </c>
      <c r="K1049" s="119">
        <f t="shared" si="52"/>
        <v>21.5</v>
      </c>
      <c r="L1049" s="152">
        <f t="shared" si="53"/>
        <v>18.649999999999999</v>
      </c>
      <c r="M1049" s="113"/>
    </row>
    <row r="1050" spans="1:13" ht="13.5" customHeight="1" x14ac:dyDescent="0.2">
      <c r="A1050" s="106" t="s">
        <v>5970</v>
      </c>
      <c r="B1050" s="105" t="s">
        <v>5980</v>
      </c>
      <c r="C1050" s="105" t="s">
        <v>6035</v>
      </c>
      <c r="D1050" s="149" t="s">
        <v>6098</v>
      </c>
      <c r="E1050" s="157">
        <v>1</v>
      </c>
      <c r="F1050" s="134">
        <v>115.88</v>
      </c>
      <c r="G1050" s="134">
        <v>133.5</v>
      </c>
      <c r="H1050" s="109">
        <f t="shared" si="51"/>
        <v>133.5</v>
      </c>
      <c r="I1050" s="119"/>
      <c r="J1050" s="119">
        <v>0</v>
      </c>
      <c r="K1050" s="119">
        <f t="shared" si="52"/>
        <v>133.5</v>
      </c>
      <c r="L1050" s="152">
        <f t="shared" si="53"/>
        <v>115.88</v>
      </c>
      <c r="M1050" s="113"/>
    </row>
    <row r="1051" spans="1:13" ht="13.5" customHeight="1" x14ac:dyDescent="0.2">
      <c r="A1051" s="106" t="s">
        <v>5970</v>
      </c>
      <c r="B1051" s="105" t="s">
        <v>5979</v>
      </c>
      <c r="C1051" s="105" t="s">
        <v>6035</v>
      </c>
      <c r="D1051" s="149" t="s">
        <v>6097</v>
      </c>
      <c r="E1051" s="157">
        <v>1</v>
      </c>
      <c r="F1051" s="134">
        <v>5.74</v>
      </c>
      <c r="G1051" s="134">
        <v>7</v>
      </c>
      <c r="H1051" s="109">
        <f t="shared" si="51"/>
        <v>7</v>
      </c>
      <c r="I1051" s="119"/>
      <c r="J1051" s="119">
        <v>0</v>
      </c>
      <c r="K1051" s="119">
        <f t="shared" si="52"/>
        <v>7</v>
      </c>
      <c r="L1051" s="152">
        <f t="shared" si="53"/>
        <v>5.74</v>
      </c>
      <c r="M1051" s="113"/>
    </row>
    <row r="1052" spans="1:13" ht="13.5" customHeight="1" x14ac:dyDescent="0.2">
      <c r="A1052" s="106" t="s">
        <v>5970</v>
      </c>
      <c r="B1052" s="105" t="s">
        <v>5981</v>
      </c>
      <c r="C1052" s="105" t="s">
        <v>6035</v>
      </c>
      <c r="D1052" s="149" t="s">
        <v>6099</v>
      </c>
      <c r="E1052" s="157">
        <v>1</v>
      </c>
      <c r="F1052" s="134">
        <v>57.4</v>
      </c>
      <c r="G1052" s="134">
        <v>66.25</v>
      </c>
      <c r="H1052" s="109">
        <f t="shared" si="51"/>
        <v>66.25</v>
      </c>
      <c r="I1052" s="119"/>
      <c r="J1052" s="119">
        <v>0</v>
      </c>
      <c r="K1052" s="119">
        <f t="shared" si="52"/>
        <v>66.25</v>
      </c>
      <c r="L1052" s="152">
        <f t="shared" si="53"/>
        <v>57.4</v>
      </c>
      <c r="M1052" s="113"/>
    </row>
    <row r="1053" spans="1:13" ht="13.5" customHeight="1" x14ac:dyDescent="0.2">
      <c r="A1053" s="106" t="s">
        <v>5970</v>
      </c>
      <c r="B1053" s="105" t="s">
        <v>2008</v>
      </c>
      <c r="C1053" s="105" t="s">
        <v>6035</v>
      </c>
      <c r="D1053" s="149" t="s">
        <v>2010</v>
      </c>
      <c r="E1053" s="157">
        <v>1</v>
      </c>
      <c r="F1053" s="134">
        <v>44.8</v>
      </c>
      <c r="G1053" s="134">
        <v>51.75</v>
      </c>
      <c r="H1053" s="109">
        <f t="shared" si="51"/>
        <v>51.75</v>
      </c>
      <c r="I1053" s="119"/>
      <c r="J1053" s="119">
        <v>0</v>
      </c>
      <c r="K1053" s="119">
        <f t="shared" si="52"/>
        <v>51.75</v>
      </c>
      <c r="L1053" s="152">
        <f t="shared" si="53"/>
        <v>44.8</v>
      </c>
      <c r="M1053" s="113"/>
    </row>
    <row r="1054" spans="1:13" ht="13.5" customHeight="1" x14ac:dyDescent="0.2">
      <c r="A1054" s="106" t="s">
        <v>5970</v>
      </c>
      <c r="B1054" s="105" t="s">
        <v>5234</v>
      </c>
      <c r="C1054" s="105" t="s">
        <v>6035</v>
      </c>
      <c r="D1054" s="149" t="s">
        <v>5394</v>
      </c>
      <c r="E1054" s="157">
        <v>1</v>
      </c>
      <c r="F1054" s="134">
        <v>61.5</v>
      </c>
      <c r="G1054" s="134">
        <v>70.75</v>
      </c>
      <c r="H1054" s="109">
        <f t="shared" si="51"/>
        <v>70.75</v>
      </c>
      <c r="I1054" s="119"/>
      <c r="J1054" s="119">
        <v>0</v>
      </c>
      <c r="K1054" s="119">
        <f t="shared" si="52"/>
        <v>70.75</v>
      </c>
      <c r="L1054" s="152">
        <f t="shared" si="53"/>
        <v>61.5</v>
      </c>
      <c r="M1054" s="113"/>
    </row>
    <row r="1055" spans="1:13" ht="13.5" customHeight="1" x14ac:dyDescent="0.2">
      <c r="A1055" s="106" t="s">
        <v>5970</v>
      </c>
      <c r="B1055" s="105" t="s">
        <v>1915</v>
      </c>
      <c r="C1055" s="105" t="s">
        <v>6036</v>
      </c>
      <c r="D1055" s="149" t="s">
        <v>1917</v>
      </c>
      <c r="E1055" s="157">
        <v>1</v>
      </c>
      <c r="F1055" s="134">
        <v>7.85</v>
      </c>
      <c r="G1055" s="134">
        <v>12</v>
      </c>
      <c r="H1055" s="109">
        <f t="shared" si="51"/>
        <v>12</v>
      </c>
      <c r="I1055" s="119"/>
      <c r="J1055" s="119">
        <v>0</v>
      </c>
      <c r="K1055" s="119">
        <f t="shared" si="52"/>
        <v>12</v>
      </c>
      <c r="L1055" s="152">
        <f t="shared" si="53"/>
        <v>7.85</v>
      </c>
      <c r="M1055" s="113"/>
    </row>
    <row r="1056" spans="1:13" ht="13.5" customHeight="1" x14ac:dyDescent="0.2">
      <c r="A1056" s="106" t="s">
        <v>5970</v>
      </c>
      <c r="B1056" s="105" t="s">
        <v>2082</v>
      </c>
      <c r="C1056" s="105" t="s">
        <v>6037</v>
      </c>
      <c r="D1056" s="149" t="s">
        <v>2083</v>
      </c>
      <c r="E1056" s="157">
        <v>1</v>
      </c>
      <c r="F1056" s="134">
        <v>10.95</v>
      </c>
      <c r="G1056" s="134">
        <v>12.75</v>
      </c>
      <c r="H1056" s="109">
        <f t="shared" si="51"/>
        <v>12.75</v>
      </c>
      <c r="I1056" s="119"/>
      <c r="J1056" s="119">
        <v>0</v>
      </c>
      <c r="K1056" s="119">
        <f t="shared" si="52"/>
        <v>12.75</v>
      </c>
      <c r="L1056" s="152">
        <f t="shared" si="53"/>
        <v>10.95</v>
      </c>
      <c r="M1056" s="113"/>
    </row>
    <row r="1057" spans="1:13" ht="13.5" customHeight="1" x14ac:dyDescent="0.2">
      <c r="A1057" s="106" t="s">
        <v>5970</v>
      </c>
      <c r="B1057" s="105" t="s">
        <v>5238</v>
      </c>
      <c r="C1057" s="105" t="s">
        <v>6038</v>
      </c>
      <c r="D1057" s="149" t="s">
        <v>5398</v>
      </c>
      <c r="E1057" s="157">
        <v>1</v>
      </c>
      <c r="F1057" s="134">
        <v>8.75</v>
      </c>
      <c r="G1057" s="134">
        <v>10.25</v>
      </c>
      <c r="H1057" s="109">
        <f t="shared" si="51"/>
        <v>10.25</v>
      </c>
      <c r="I1057" s="119"/>
      <c r="J1057" s="119">
        <v>0</v>
      </c>
      <c r="K1057" s="119">
        <f t="shared" si="52"/>
        <v>10.25</v>
      </c>
      <c r="L1057" s="152">
        <f t="shared" si="53"/>
        <v>8.75</v>
      </c>
      <c r="M1057" s="113"/>
    </row>
    <row r="1058" spans="1:13" ht="13.5" customHeight="1" x14ac:dyDescent="0.2">
      <c r="A1058" s="106" t="s">
        <v>5970</v>
      </c>
      <c r="B1058" s="105" t="s">
        <v>2323</v>
      </c>
      <c r="C1058" s="105" t="s">
        <v>6038</v>
      </c>
      <c r="D1058" s="149" t="s">
        <v>2325</v>
      </c>
      <c r="E1058" s="157">
        <v>1</v>
      </c>
      <c r="F1058" s="134">
        <v>19.100000000000001</v>
      </c>
      <c r="G1058" s="134">
        <v>22</v>
      </c>
      <c r="H1058" s="109">
        <f t="shared" si="51"/>
        <v>22</v>
      </c>
      <c r="I1058" s="119"/>
      <c r="J1058" s="119">
        <v>0</v>
      </c>
      <c r="K1058" s="119">
        <f t="shared" si="52"/>
        <v>22</v>
      </c>
      <c r="L1058" s="152">
        <f t="shared" si="53"/>
        <v>19.100000000000001</v>
      </c>
      <c r="M1058" s="113"/>
    </row>
    <row r="1059" spans="1:13" ht="13.5" customHeight="1" x14ac:dyDescent="0.2">
      <c r="A1059" s="106" t="s">
        <v>5970</v>
      </c>
      <c r="B1059" s="105" t="s">
        <v>4328</v>
      </c>
      <c r="C1059" s="105" t="s">
        <v>6039</v>
      </c>
      <c r="D1059" s="149" t="s">
        <v>4358</v>
      </c>
      <c r="E1059" s="157">
        <v>1</v>
      </c>
      <c r="F1059" s="134">
        <v>23.63</v>
      </c>
      <c r="G1059" s="134">
        <v>27.25</v>
      </c>
      <c r="H1059" s="109">
        <f t="shared" si="51"/>
        <v>27.25</v>
      </c>
      <c r="I1059" s="119"/>
      <c r="J1059" s="119">
        <v>0</v>
      </c>
      <c r="K1059" s="119">
        <f t="shared" si="52"/>
        <v>27.25</v>
      </c>
      <c r="L1059" s="152">
        <f t="shared" si="53"/>
        <v>23.63</v>
      </c>
      <c r="M1059" s="113"/>
    </row>
    <row r="1060" spans="1:13" ht="13.5" customHeight="1" x14ac:dyDescent="0.2">
      <c r="A1060" s="106" t="s">
        <v>5970</v>
      </c>
      <c r="B1060" s="105" t="s">
        <v>1905</v>
      </c>
      <c r="C1060" s="105" t="s">
        <v>6040</v>
      </c>
      <c r="D1060" s="149" t="s">
        <v>1906</v>
      </c>
      <c r="E1060" s="157">
        <v>1</v>
      </c>
      <c r="F1060" s="134">
        <v>15.51</v>
      </c>
      <c r="G1060" s="134">
        <v>18</v>
      </c>
      <c r="H1060" s="109">
        <f t="shared" si="51"/>
        <v>18</v>
      </c>
      <c r="I1060" s="119"/>
      <c r="J1060" s="119">
        <v>0</v>
      </c>
      <c r="K1060" s="119">
        <f t="shared" si="52"/>
        <v>18</v>
      </c>
      <c r="L1060" s="152">
        <f t="shared" si="53"/>
        <v>15.51</v>
      </c>
      <c r="M1060" s="113"/>
    </row>
    <row r="1061" spans="1:13" ht="13.5" customHeight="1" x14ac:dyDescent="0.2">
      <c r="A1061" s="106" t="s">
        <v>5970</v>
      </c>
      <c r="B1061" s="105" t="s">
        <v>1915</v>
      </c>
      <c r="C1061" s="105" t="s">
        <v>6041</v>
      </c>
      <c r="D1061" s="149" t="s">
        <v>1917</v>
      </c>
      <c r="E1061" s="157">
        <v>1</v>
      </c>
      <c r="F1061" s="134">
        <v>7.85</v>
      </c>
      <c r="G1061" s="134">
        <v>12</v>
      </c>
      <c r="H1061" s="109">
        <f t="shared" si="51"/>
        <v>12</v>
      </c>
      <c r="I1061" s="119"/>
      <c r="J1061" s="119">
        <v>0</v>
      </c>
      <c r="K1061" s="119">
        <f t="shared" si="52"/>
        <v>12</v>
      </c>
      <c r="L1061" s="152">
        <f t="shared" si="53"/>
        <v>7.85</v>
      </c>
      <c r="M1061" s="113"/>
    </row>
    <row r="1062" spans="1:13" ht="13.5" customHeight="1" x14ac:dyDescent="0.2">
      <c r="A1062" s="106" t="s">
        <v>5970</v>
      </c>
      <c r="B1062" s="105" t="s">
        <v>5979</v>
      </c>
      <c r="C1062" s="105" t="s">
        <v>6041</v>
      </c>
      <c r="D1062" s="149" t="s">
        <v>6097</v>
      </c>
      <c r="E1062" s="157">
        <v>1</v>
      </c>
      <c r="F1062" s="134">
        <v>5.74</v>
      </c>
      <c r="G1062" s="134">
        <v>7</v>
      </c>
      <c r="H1062" s="109">
        <f t="shared" si="51"/>
        <v>7</v>
      </c>
      <c r="I1062" s="119"/>
      <c r="J1062" s="119">
        <v>0</v>
      </c>
      <c r="K1062" s="119">
        <f t="shared" si="52"/>
        <v>7</v>
      </c>
      <c r="L1062" s="152">
        <f t="shared" si="53"/>
        <v>5.74</v>
      </c>
      <c r="M1062" s="113"/>
    </row>
    <row r="1063" spans="1:13" ht="13.5" customHeight="1" x14ac:dyDescent="0.2">
      <c r="A1063" s="106" t="s">
        <v>5970</v>
      </c>
      <c r="B1063" s="105" t="s">
        <v>2429</v>
      </c>
      <c r="C1063" s="105" t="s">
        <v>6041</v>
      </c>
      <c r="D1063" s="149" t="s">
        <v>2431</v>
      </c>
      <c r="E1063" s="157">
        <v>1</v>
      </c>
      <c r="F1063" s="134">
        <v>14.31</v>
      </c>
      <c r="G1063" s="134">
        <v>16.5</v>
      </c>
      <c r="H1063" s="109">
        <f t="shared" si="51"/>
        <v>16.5</v>
      </c>
      <c r="I1063" s="119"/>
      <c r="J1063" s="119">
        <v>0</v>
      </c>
      <c r="K1063" s="119">
        <f t="shared" si="52"/>
        <v>16.5</v>
      </c>
      <c r="L1063" s="152">
        <f t="shared" si="53"/>
        <v>14.31</v>
      </c>
      <c r="M1063" s="113"/>
    </row>
    <row r="1064" spans="1:13" ht="13.5" customHeight="1" x14ac:dyDescent="0.2">
      <c r="A1064" s="106" t="s">
        <v>5970</v>
      </c>
      <c r="B1064" s="105" t="s">
        <v>1905</v>
      </c>
      <c r="C1064" s="105" t="s">
        <v>6042</v>
      </c>
      <c r="D1064" s="149" t="s">
        <v>1906</v>
      </c>
      <c r="E1064" s="157">
        <v>1</v>
      </c>
      <c r="F1064" s="134">
        <v>15.51</v>
      </c>
      <c r="G1064" s="134">
        <v>18</v>
      </c>
      <c r="H1064" s="109">
        <f t="shared" si="51"/>
        <v>18</v>
      </c>
      <c r="I1064" s="119"/>
      <c r="J1064" s="119">
        <v>0</v>
      </c>
      <c r="K1064" s="119">
        <f t="shared" si="52"/>
        <v>18</v>
      </c>
      <c r="L1064" s="152">
        <f t="shared" si="53"/>
        <v>15.51</v>
      </c>
      <c r="M1064" s="113"/>
    </row>
    <row r="1065" spans="1:13" ht="13.5" customHeight="1" x14ac:dyDescent="0.2">
      <c r="A1065" s="106" t="s">
        <v>5970</v>
      </c>
      <c r="B1065" s="105" t="s">
        <v>2855</v>
      </c>
      <c r="C1065" s="105" t="s">
        <v>6043</v>
      </c>
      <c r="D1065" s="149" t="s">
        <v>2856</v>
      </c>
      <c r="E1065" s="157">
        <v>1</v>
      </c>
      <c r="F1065" s="134">
        <v>6.73</v>
      </c>
      <c r="G1065" s="134">
        <v>7.75</v>
      </c>
      <c r="H1065" s="109">
        <f t="shared" si="51"/>
        <v>7.75</v>
      </c>
      <c r="I1065" s="119"/>
      <c r="J1065" s="119">
        <v>0</v>
      </c>
      <c r="K1065" s="119">
        <f t="shared" si="52"/>
        <v>7.75</v>
      </c>
      <c r="L1065" s="152">
        <f t="shared" si="53"/>
        <v>6.73</v>
      </c>
      <c r="M1065" s="113"/>
    </row>
    <row r="1066" spans="1:13" ht="13.5" customHeight="1" x14ac:dyDescent="0.2">
      <c r="A1066" s="106" t="s">
        <v>5970</v>
      </c>
      <c r="B1066" s="105" t="s">
        <v>2438</v>
      </c>
      <c r="C1066" s="105" t="s">
        <v>6043</v>
      </c>
      <c r="D1066" s="149" t="s">
        <v>2440</v>
      </c>
      <c r="E1066" s="157">
        <v>1</v>
      </c>
      <c r="F1066" s="134">
        <v>15.51</v>
      </c>
      <c r="G1066" s="134">
        <v>18</v>
      </c>
      <c r="H1066" s="109">
        <f t="shared" si="51"/>
        <v>18</v>
      </c>
      <c r="I1066" s="119"/>
      <c r="J1066" s="119">
        <v>0</v>
      </c>
      <c r="K1066" s="119">
        <f t="shared" si="52"/>
        <v>18</v>
      </c>
      <c r="L1066" s="152">
        <f t="shared" si="53"/>
        <v>15.51</v>
      </c>
      <c r="M1066" s="113"/>
    </row>
    <row r="1067" spans="1:13" ht="13.5" customHeight="1" x14ac:dyDescent="0.2">
      <c r="A1067" s="106" t="s">
        <v>5970</v>
      </c>
      <c r="B1067" s="105" t="s">
        <v>5693</v>
      </c>
      <c r="C1067" s="105" t="s">
        <v>6043</v>
      </c>
      <c r="D1067" s="149" t="s">
        <v>5831</v>
      </c>
      <c r="E1067" s="157">
        <v>3</v>
      </c>
      <c r="F1067" s="134">
        <v>5.61</v>
      </c>
      <c r="G1067" s="134">
        <v>6.5</v>
      </c>
      <c r="H1067" s="109">
        <f t="shared" si="51"/>
        <v>19.5</v>
      </c>
      <c r="I1067" s="119"/>
      <c r="J1067" s="119">
        <v>0</v>
      </c>
      <c r="K1067" s="119">
        <f t="shared" si="52"/>
        <v>19.5</v>
      </c>
      <c r="L1067" s="152">
        <f t="shared" si="53"/>
        <v>16.830000000000002</v>
      </c>
      <c r="M1067" s="113"/>
    </row>
    <row r="1068" spans="1:13" ht="13.5" customHeight="1" x14ac:dyDescent="0.2">
      <c r="A1068" s="106" t="s">
        <v>5970</v>
      </c>
      <c r="B1068" s="105" t="s">
        <v>2323</v>
      </c>
      <c r="C1068" s="105" t="s">
        <v>6043</v>
      </c>
      <c r="D1068" s="149" t="s">
        <v>2325</v>
      </c>
      <c r="E1068" s="157">
        <v>1</v>
      </c>
      <c r="F1068" s="134">
        <v>19.100000000000001</v>
      </c>
      <c r="G1068" s="134">
        <v>22</v>
      </c>
      <c r="H1068" s="109">
        <f t="shared" si="51"/>
        <v>22</v>
      </c>
      <c r="I1068" s="119"/>
      <c r="J1068" s="119">
        <v>0</v>
      </c>
      <c r="K1068" s="119">
        <f t="shared" si="52"/>
        <v>22</v>
      </c>
      <c r="L1068" s="152">
        <f t="shared" si="53"/>
        <v>19.100000000000001</v>
      </c>
      <c r="M1068" s="113"/>
    </row>
    <row r="1069" spans="1:13" ht="13.5" customHeight="1" x14ac:dyDescent="0.2">
      <c r="A1069" s="106" t="s">
        <v>5970</v>
      </c>
      <c r="B1069" s="105" t="s">
        <v>2671</v>
      </c>
      <c r="C1069" s="105" t="s">
        <v>6043</v>
      </c>
      <c r="D1069" s="149" t="s">
        <v>2673</v>
      </c>
      <c r="E1069" s="157">
        <v>2</v>
      </c>
      <c r="F1069" s="134">
        <v>18.2</v>
      </c>
      <c r="G1069" s="134">
        <v>21</v>
      </c>
      <c r="H1069" s="109">
        <f t="shared" si="51"/>
        <v>42</v>
      </c>
      <c r="I1069" s="119"/>
      <c r="J1069" s="119">
        <v>0</v>
      </c>
      <c r="K1069" s="119">
        <f t="shared" si="52"/>
        <v>42</v>
      </c>
      <c r="L1069" s="152">
        <f t="shared" si="53"/>
        <v>36.4</v>
      </c>
      <c r="M1069" s="113"/>
    </row>
    <row r="1070" spans="1:13" ht="13.5" customHeight="1" x14ac:dyDescent="0.2">
      <c r="A1070" s="106" t="s">
        <v>5970</v>
      </c>
      <c r="B1070" s="105" t="s">
        <v>2323</v>
      </c>
      <c r="C1070" s="105" t="s">
        <v>6044</v>
      </c>
      <c r="D1070" s="149" t="s">
        <v>2325</v>
      </c>
      <c r="E1070" s="157">
        <v>1</v>
      </c>
      <c r="F1070" s="134">
        <v>19.100000000000001</v>
      </c>
      <c r="G1070" s="134">
        <v>22</v>
      </c>
      <c r="H1070" s="109">
        <f t="shared" si="51"/>
        <v>22</v>
      </c>
      <c r="I1070" s="119"/>
      <c r="J1070" s="119">
        <v>0</v>
      </c>
      <c r="K1070" s="119">
        <f t="shared" si="52"/>
        <v>22</v>
      </c>
      <c r="L1070" s="152">
        <f t="shared" si="53"/>
        <v>19.100000000000001</v>
      </c>
      <c r="M1070" s="113"/>
    </row>
    <row r="1071" spans="1:13" ht="13.5" customHeight="1" x14ac:dyDescent="0.2">
      <c r="A1071" s="106" t="s">
        <v>5970</v>
      </c>
      <c r="B1071" s="105" t="s">
        <v>5979</v>
      </c>
      <c r="C1071" s="105" t="s">
        <v>6045</v>
      </c>
      <c r="D1071" s="149" t="s">
        <v>6097</v>
      </c>
      <c r="E1071" s="157">
        <v>1</v>
      </c>
      <c r="F1071" s="134">
        <v>5.74</v>
      </c>
      <c r="G1071" s="134">
        <v>7</v>
      </c>
      <c r="H1071" s="109">
        <f t="shared" si="51"/>
        <v>7</v>
      </c>
      <c r="I1071" s="119"/>
      <c r="J1071" s="119">
        <v>0</v>
      </c>
      <c r="K1071" s="119">
        <f t="shared" si="52"/>
        <v>7</v>
      </c>
      <c r="L1071" s="152">
        <f t="shared" si="53"/>
        <v>5.74</v>
      </c>
      <c r="M1071" s="113"/>
    </row>
    <row r="1072" spans="1:13" ht="13.5" customHeight="1" x14ac:dyDescent="0.2">
      <c r="A1072" s="106" t="s">
        <v>5970</v>
      </c>
      <c r="B1072" s="105" t="s">
        <v>1793</v>
      </c>
      <c r="C1072" s="105" t="s">
        <v>6046</v>
      </c>
      <c r="D1072" s="149" t="s">
        <v>1795</v>
      </c>
      <c r="E1072" s="157">
        <v>1</v>
      </c>
      <c r="F1072" s="134">
        <v>12.17</v>
      </c>
      <c r="G1072" s="134">
        <v>14.75</v>
      </c>
      <c r="H1072" s="109">
        <f t="shared" si="51"/>
        <v>14.75</v>
      </c>
      <c r="I1072" s="119"/>
      <c r="J1072" s="119">
        <v>0</v>
      </c>
      <c r="K1072" s="119">
        <f t="shared" si="52"/>
        <v>14.75</v>
      </c>
      <c r="L1072" s="152">
        <f t="shared" si="53"/>
        <v>12.17</v>
      </c>
      <c r="M1072" s="113"/>
    </row>
    <row r="1073" spans="1:13" ht="13.5" customHeight="1" x14ac:dyDescent="0.2">
      <c r="A1073" s="106" t="s">
        <v>5970</v>
      </c>
      <c r="B1073" s="105" t="s">
        <v>1793</v>
      </c>
      <c r="C1073" s="105" t="s">
        <v>6047</v>
      </c>
      <c r="D1073" s="149" t="s">
        <v>1795</v>
      </c>
      <c r="E1073" s="157">
        <v>1</v>
      </c>
      <c r="F1073" s="134">
        <v>12.17</v>
      </c>
      <c r="G1073" s="134">
        <v>14.75</v>
      </c>
      <c r="H1073" s="109">
        <f t="shared" si="51"/>
        <v>14.75</v>
      </c>
      <c r="I1073" s="119"/>
      <c r="J1073" s="119">
        <v>0</v>
      </c>
      <c r="K1073" s="119">
        <f t="shared" si="52"/>
        <v>14.75</v>
      </c>
      <c r="L1073" s="152">
        <f t="shared" si="53"/>
        <v>12.17</v>
      </c>
      <c r="M1073" s="113"/>
    </row>
    <row r="1074" spans="1:13" ht="13.5" customHeight="1" x14ac:dyDescent="0.2">
      <c r="A1074" s="106" t="s">
        <v>5970</v>
      </c>
      <c r="B1074" s="105" t="s">
        <v>3434</v>
      </c>
      <c r="C1074" s="105" t="s">
        <v>6048</v>
      </c>
      <c r="D1074" s="149" t="s">
        <v>3436</v>
      </c>
      <c r="E1074" s="157">
        <v>1</v>
      </c>
      <c r="F1074" s="134">
        <v>7.41</v>
      </c>
      <c r="G1074" s="134">
        <v>8.75</v>
      </c>
      <c r="H1074" s="109">
        <f t="shared" si="51"/>
        <v>8.75</v>
      </c>
      <c r="I1074" s="119"/>
      <c r="J1074" s="119">
        <v>0</v>
      </c>
      <c r="K1074" s="119">
        <f t="shared" si="52"/>
        <v>8.75</v>
      </c>
      <c r="L1074" s="152">
        <f t="shared" si="53"/>
        <v>7.41</v>
      </c>
      <c r="M1074" s="113"/>
    </row>
    <row r="1075" spans="1:13" ht="13.5" customHeight="1" x14ac:dyDescent="0.2">
      <c r="A1075" s="106" t="s">
        <v>5970</v>
      </c>
      <c r="B1075" s="105" t="s">
        <v>5693</v>
      </c>
      <c r="C1075" s="105" t="s">
        <v>6048</v>
      </c>
      <c r="D1075" s="149" t="s">
        <v>5831</v>
      </c>
      <c r="E1075" s="157">
        <v>1</v>
      </c>
      <c r="F1075" s="134">
        <v>5.61</v>
      </c>
      <c r="G1075" s="134">
        <v>6.5</v>
      </c>
      <c r="H1075" s="109">
        <f t="shared" si="51"/>
        <v>6.5</v>
      </c>
      <c r="I1075" s="119"/>
      <c r="J1075" s="119">
        <v>0</v>
      </c>
      <c r="K1075" s="119">
        <f t="shared" si="52"/>
        <v>6.5</v>
      </c>
      <c r="L1075" s="152">
        <f t="shared" si="53"/>
        <v>5.61</v>
      </c>
      <c r="M1075" s="113"/>
    </row>
    <row r="1076" spans="1:13" ht="13.5" customHeight="1" x14ac:dyDescent="0.2">
      <c r="A1076" s="106" t="s">
        <v>5970</v>
      </c>
      <c r="B1076" s="105" t="s">
        <v>5982</v>
      </c>
      <c r="C1076" s="105" t="s">
        <v>6049</v>
      </c>
      <c r="D1076" s="149" t="s">
        <v>6100</v>
      </c>
      <c r="E1076" s="157">
        <v>1</v>
      </c>
      <c r="F1076" s="134">
        <v>5.74</v>
      </c>
      <c r="G1076" s="134">
        <v>7</v>
      </c>
      <c r="H1076" s="109">
        <f t="shared" si="51"/>
        <v>7</v>
      </c>
      <c r="I1076" s="119"/>
      <c r="J1076" s="119">
        <v>0</v>
      </c>
      <c r="K1076" s="119">
        <f t="shared" si="52"/>
        <v>7</v>
      </c>
      <c r="L1076" s="152">
        <f t="shared" si="53"/>
        <v>5.74</v>
      </c>
      <c r="M1076" s="113"/>
    </row>
    <row r="1077" spans="1:13" ht="13.5" customHeight="1" x14ac:dyDescent="0.2">
      <c r="A1077" s="106" t="s">
        <v>5970</v>
      </c>
      <c r="B1077" s="105" t="s">
        <v>5866</v>
      </c>
      <c r="C1077" s="105" t="s">
        <v>6049</v>
      </c>
      <c r="D1077" s="149" t="s">
        <v>5959</v>
      </c>
      <c r="E1077" s="157">
        <v>1</v>
      </c>
      <c r="F1077" s="134">
        <v>5.61</v>
      </c>
      <c r="G1077" s="134">
        <v>6.5</v>
      </c>
      <c r="H1077" s="109">
        <f t="shared" si="51"/>
        <v>6.5</v>
      </c>
      <c r="I1077" s="119"/>
      <c r="J1077" s="119">
        <v>0</v>
      </c>
      <c r="K1077" s="119">
        <f t="shared" si="52"/>
        <v>6.5</v>
      </c>
      <c r="L1077" s="152">
        <f t="shared" si="53"/>
        <v>5.61</v>
      </c>
      <c r="M1077" s="113"/>
    </row>
    <row r="1078" spans="1:13" ht="13.5" customHeight="1" x14ac:dyDescent="0.2">
      <c r="A1078" s="106" t="s">
        <v>5971</v>
      </c>
      <c r="B1078" s="105" t="s">
        <v>2220</v>
      </c>
      <c r="C1078" s="105" t="s">
        <v>6050</v>
      </c>
      <c r="D1078" s="149" t="s">
        <v>2222</v>
      </c>
      <c r="E1078" s="157">
        <v>1</v>
      </c>
      <c r="F1078" s="134">
        <v>34.51</v>
      </c>
      <c r="G1078" s="134">
        <v>41</v>
      </c>
      <c r="H1078" s="109">
        <f t="shared" si="51"/>
        <v>41</v>
      </c>
      <c r="I1078" s="119"/>
      <c r="J1078" s="119">
        <v>0</v>
      </c>
      <c r="K1078" s="119">
        <f t="shared" si="52"/>
        <v>41</v>
      </c>
      <c r="L1078" s="152">
        <f t="shared" si="53"/>
        <v>34.51</v>
      </c>
      <c r="M1078" s="113"/>
    </row>
    <row r="1079" spans="1:13" ht="13.5" customHeight="1" x14ac:dyDescent="0.2">
      <c r="A1079" s="106" t="s">
        <v>5971</v>
      </c>
      <c r="B1079" s="105" t="s">
        <v>3831</v>
      </c>
      <c r="C1079" s="105" t="s">
        <v>6050</v>
      </c>
      <c r="D1079" s="149" t="s">
        <v>3833</v>
      </c>
      <c r="E1079" s="157">
        <v>1</v>
      </c>
      <c r="F1079" s="134">
        <v>25.8</v>
      </c>
      <c r="G1079" s="134">
        <v>30</v>
      </c>
      <c r="H1079" s="109">
        <f t="shared" si="51"/>
        <v>30</v>
      </c>
      <c r="I1079" s="119"/>
      <c r="J1079" s="119">
        <v>0</v>
      </c>
      <c r="K1079" s="119">
        <f t="shared" si="52"/>
        <v>30</v>
      </c>
      <c r="L1079" s="152">
        <f t="shared" si="53"/>
        <v>25.8</v>
      </c>
      <c r="M1079" s="113"/>
    </row>
    <row r="1080" spans="1:13" ht="13.5" customHeight="1" x14ac:dyDescent="0.2">
      <c r="A1080" s="106" t="s">
        <v>5971</v>
      </c>
      <c r="B1080" s="105" t="s">
        <v>1969</v>
      </c>
      <c r="C1080" s="105" t="s">
        <v>6051</v>
      </c>
      <c r="D1080" s="149" t="s">
        <v>1970</v>
      </c>
      <c r="E1080" s="157">
        <v>2</v>
      </c>
      <c r="F1080" s="134">
        <v>3.6</v>
      </c>
      <c r="G1080" s="134">
        <v>4.25</v>
      </c>
      <c r="H1080" s="109">
        <f t="shared" si="51"/>
        <v>8.5</v>
      </c>
      <c r="I1080" s="119"/>
      <c r="J1080" s="119">
        <v>0</v>
      </c>
      <c r="K1080" s="119">
        <f t="shared" si="52"/>
        <v>8.5</v>
      </c>
      <c r="L1080" s="152">
        <f t="shared" si="53"/>
        <v>7.2</v>
      </c>
      <c r="M1080" s="113"/>
    </row>
    <row r="1081" spans="1:13" ht="13.5" customHeight="1" x14ac:dyDescent="0.2">
      <c r="A1081" s="106" t="s">
        <v>5971</v>
      </c>
      <c r="B1081" s="105" t="s">
        <v>4195</v>
      </c>
      <c r="C1081" s="105" t="s">
        <v>6052</v>
      </c>
      <c r="D1081" s="149" t="s">
        <v>4196</v>
      </c>
      <c r="E1081" s="157">
        <v>3</v>
      </c>
      <c r="F1081" s="134">
        <v>13.1</v>
      </c>
      <c r="G1081" s="134">
        <v>15</v>
      </c>
      <c r="H1081" s="109">
        <f t="shared" si="51"/>
        <v>45</v>
      </c>
      <c r="I1081" s="119"/>
      <c r="J1081" s="119">
        <v>0</v>
      </c>
      <c r="K1081" s="119">
        <f t="shared" si="52"/>
        <v>45</v>
      </c>
      <c r="L1081" s="152">
        <f t="shared" si="53"/>
        <v>39.299999999999997</v>
      </c>
      <c r="M1081" s="113"/>
    </row>
    <row r="1082" spans="1:13" ht="13.5" customHeight="1" x14ac:dyDescent="0.2">
      <c r="A1082" s="106" t="s">
        <v>5971</v>
      </c>
      <c r="B1082" s="105" t="s">
        <v>4760</v>
      </c>
      <c r="C1082" s="105" t="s">
        <v>6053</v>
      </c>
      <c r="D1082" s="149" t="s">
        <v>4787</v>
      </c>
      <c r="E1082" s="157">
        <v>1</v>
      </c>
      <c r="F1082" s="134">
        <v>27.8</v>
      </c>
      <c r="G1082" s="134">
        <v>35</v>
      </c>
      <c r="H1082" s="109">
        <f t="shared" si="51"/>
        <v>35</v>
      </c>
      <c r="I1082" s="119"/>
      <c r="J1082" s="119">
        <v>0</v>
      </c>
      <c r="K1082" s="119">
        <f t="shared" si="52"/>
        <v>35</v>
      </c>
      <c r="L1082" s="152">
        <f t="shared" si="53"/>
        <v>27.8</v>
      </c>
      <c r="M1082" s="113"/>
    </row>
    <row r="1083" spans="1:13" ht="13.5" customHeight="1" x14ac:dyDescent="0.2">
      <c r="A1083" s="106" t="s">
        <v>5971</v>
      </c>
      <c r="B1083" s="105" t="s">
        <v>5032</v>
      </c>
      <c r="C1083" s="105" t="s">
        <v>6054</v>
      </c>
      <c r="D1083" s="149" t="s">
        <v>5076</v>
      </c>
      <c r="E1083" s="157">
        <v>1</v>
      </c>
      <c r="F1083" s="134">
        <v>90</v>
      </c>
      <c r="G1083" s="134">
        <v>103.75</v>
      </c>
      <c r="H1083" s="109">
        <f t="shared" si="51"/>
        <v>103.75</v>
      </c>
      <c r="I1083" s="119"/>
      <c r="J1083" s="119">
        <v>0</v>
      </c>
      <c r="K1083" s="119">
        <f t="shared" si="52"/>
        <v>103.75</v>
      </c>
      <c r="L1083" s="152">
        <f t="shared" si="53"/>
        <v>90</v>
      </c>
      <c r="M1083" s="113"/>
    </row>
    <row r="1084" spans="1:13" ht="13.5" customHeight="1" x14ac:dyDescent="0.2">
      <c r="A1084" s="106" t="s">
        <v>5971</v>
      </c>
      <c r="B1084" s="105" t="s">
        <v>5248</v>
      </c>
      <c r="C1084" s="105" t="s">
        <v>6055</v>
      </c>
      <c r="D1084" s="149" t="s">
        <v>5408</v>
      </c>
      <c r="E1084" s="157">
        <v>1</v>
      </c>
      <c r="F1084" s="134">
        <v>5.8</v>
      </c>
      <c r="G1084" s="134">
        <v>7</v>
      </c>
      <c r="H1084" s="109">
        <f t="shared" si="51"/>
        <v>7</v>
      </c>
      <c r="I1084" s="119"/>
      <c r="J1084" s="119">
        <v>0</v>
      </c>
      <c r="K1084" s="119">
        <f t="shared" si="52"/>
        <v>7</v>
      </c>
      <c r="L1084" s="152">
        <f t="shared" si="53"/>
        <v>5.8</v>
      </c>
      <c r="M1084" s="113"/>
    </row>
    <row r="1085" spans="1:13" ht="13.5" customHeight="1" x14ac:dyDescent="0.2">
      <c r="A1085" s="106" t="s">
        <v>5971</v>
      </c>
      <c r="B1085" s="105" t="s">
        <v>4054</v>
      </c>
      <c r="C1085" s="105" t="s">
        <v>6056</v>
      </c>
      <c r="D1085" s="149" t="s">
        <v>4056</v>
      </c>
      <c r="E1085" s="157">
        <v>2</v>
      </c>
      <c r="F1085" s="134">
        <v>12.69</v>
      </c>
      <c r="G1085" s="134">
        <v>14.75</v>
      </c>
      <c r="H1085" s="109">
        <f t="shared" si="51"/>
        <v>29.5</v>
      </c>
      <c r="I1085" s="119"/>
      <c r="J1085" s="119">
        <v>0</v>
      </c>
      <c r="K1085" s="119">
        <f t="shared" si="52"/>
        <v>29.5</v>
      </c>
      <c r="L1085" s="152">
        <f t="shared" si="53"/>
        <v>25.38</v>
      </c>
      <c r="M1085" s="113"/>
    </row>
    <row r="1086" spans="1:13" ht="13.5" customHeight="1" x14ac:dyDescent="0.2">
      <c r="A1086" s="106" t="s">
        <v>5971</v>
      </c>
      <c r="B1086" s="105" t="s">
        <v>1826</v>
      </c>
      <c r="C1086" s="105" t="s">
        <v>6057</v>
      </c>
      <c r="D1086" s="149" t="s">
        <v>1827</v>
      </c>
      <c r="E1086" s="157">
        <v>6</v>
      </c>
      <c r="F1086" s="134">
        <v>90</v>
      </c>
      <c r="G1086" s="134">
        <v>120</v>
      </c>
      <c r="H1086" s="109">
        <f t="shared" si="51"/>
        <v>720</v>
      </c>
      <c r="I1086" s="119"/>
      <c r="J1086" s="119">
        <v>0</v>
      </c>
      <c r="K1086" s="119">
        <f t="shared" si="52"/>
        <v>720</v>
      </c>
      <c r="L1086" s="152">
        <f t="shared" si="53"/>
        <v>540</v>
      </c>
      <c r="M1086" s="113"/>
    </row>
    <row r="1087" spans="1:13" ht="13.5" customHeight="1" x14ac:dyDescent="0.2">
      <c r="A1087" s="106" t="s">
        <v>5971</v>
      </c>
      <c r="B1087" s="105" t="s">
        <v>5982</v>
      </c>
      <c r="C1087" s="105" t="s">
        <v>6058</v>
      </c>
      <c r="D1087" s="149" t="s">
        <v>6100</v>
      </c>
      <c r="E1087" s="157">
        <v>1</v>
      </c>
      <c r="F1087" s="134">
        <v>5.74</v>
      </c>
      <c r="G1087" s="134">
        <v>7</v>
      </c>
      <c r="H1087" s="109">
        <f t="shared" si="51"/>
        <v>7</v>
      </c>
      <c r="I1087" s="119"/>
      <c r="J1087" s="119">
        <v>0</v>
      </c>
      <c r="K1087" s="119">
        <f t="shared" si="52"/>
        <v>7</v>
      </c>
      <c r="L1087" s="152">
        <f t="shared" si="53"/>
        <v>5.74</v>
      </c>
      <c r="M1087" s="113"/>
    </row>
    <row r="1088" spans="1:13" ht="13.5" customHeight="1" x14ac:dyDescent="0.2">
      <c r="A1088" s="106" t="s">
        <v>5971</v>
      </c>
      <c r="B1088" s="105" t="s">
        <v>2158</v>
      </c>
      <c r="C1088" s="105" t="s">
        <v>6059</v>
      </c>
      <c r="D1088" s="149" t="s">
        <v>2160</v>
      </c>
      <c r="E1088" s="157">
        <v>4</v>
      </c>
      <c r="F1088" s="134">
        <v>56.31</v>
      </c>
      <c r="G1088" s="134">
        <v>67.5</v>
      </c>
      <c r="H1088" s="109">
        <f t="shared" si="51"/>
        <v>270</v>
      </c>
      <c r="I1088" s="119"/>
      <c r="J1088" s="119">
        <v>0</v>
      </c>
      <c r="K1088" s="119">
        <f t="shared" si="52"/>
        <v>270</v>
      </c>
      <c r="L1088" s="152">
        <f t="shared" si="53"/>
        <v>225.24</v>
      </c>
      <c r="M1088" s="113"/>
    </row>
    <row r="1089" spans="1:13" ht="13.5" customHeight="1" x14ac:dyDescent="0.2">
      <c r="A1089" s="106" t="s">
        <v>5971</v>
      </c>
      <c r="B1089" s="105" t="s">
        <v>2162</v>
      </c>
      <c r="C1089" s="105" t="s">
        <v>6059</v>
      </c>
      <c r="D1089" s="149" t="s">
        <v>2163</v>
      </c>
      <c r="E1089" s="157">
        <v>4</v>
      </c>
      <c r="F1089" s="134">
        <v>67.290000000000006</v>
      </c>
      <c r="G1089" s="134">
        <v>77.5</v>
      </c>
      <c r="H1089" s="109">
        <f t="shared" si="51"/>
        <v>310</v>
      </c>
      <c r="I1089" s="119"/>
      <c r="J1089" s="119">
        <v>0</v>
      </c>
      <c r="K1089" s="119">
        <f t="shared" si="52"/>
        <v>310</v>
      </c>
      <c r="L1089" s="152">
        <f t="shared" si="53"/>
        <v>269.16000000000003</v>
      </c>
      <c r="M1089" s="113"/>
    </row>
    <row r="1090" spans="1:13" ht="13.5" customHeight="1" x14ac:dyDescent="0.2">
      <c r="A1090" s="106" t="s">
        <v>5971</v>
      </c>
      <c r="B1090" s="105" t="s">
        <v>3457</v>
      </c>
      <c r="C1090" s="105" t="s">
        <v>6059</v>
      </c>
      <c r="D1090" s="149" t="s">
        <v>3458</v>
      </c>
      <c r="E1090" s="157">
        <v>4</v>
      </c>
      <c r="F1090" s="134">
        <v>51.97</v>
      </c>
      <c r="G1090" s="134">
        <v>60</v>
      </c>
      <c r="H1090" s="109">
        <f t="shared" si="51"/>
        <v>240</v>
      </c>
      <c r="I1090" s="119"/>
      <c r="J1090" s="119">
        <v>0</v>
      </c>
      <c r="K1090" s="119">
        <f t="shared" si="52"/>
        <v>240</v>
      </c>
      <c r="L1090" s="152">
        <f t="shared" si="53"/>
        <v>207.88</v>
      </c>
      <c r="M1090" s="113"/>
    </row>
    <row r="1091" spans="1:13" ht="13.5" customHeight="1" x14ac:dyDescent="0.2">
      <c r="A1091" s="106" t="s">
        <v>5971</v>
      </c>
      <c r="B1091" s="105" t="s">
        <v>5593</v>
      </c>
      <c r="C1091" s="105" t="s">
        <v>6059</v>
      </c>
      <c r="D1091" s="149" t="s">
        <v>5638</v>
      </c>
      <c r="E1091" s="157">
        <v>1</v>
      </c>
      <c r="F1091" s="134">
        <v>134.53</v>
      </c>
      <c r="G1091" s="134">
        <v>154.75</v>
      </c>
      <c r="H1091" s="109">
        <f t="shared" si="51"/>
        <v>154.75</v>
      </c>
      <c r="I1091" s="119"/>
      <c r="J1091" s="119">
        <v>0</v>
      </c>
      <c r="K1091" s="119">
        <f t="shared" si="52"/>
        <v>154.75</v>
      </c>
      <c r="L1091" s="152">
        <f t="shared" si="53"/>
        <v>134.53</v>
      </c>
      <c r="M1091" s="113"/>
    </row>
    <row r="1092" spans="1:13" ht="13.5" customHeight="1" x14ac:dyDescent="0.2">
      <c r="A1092" s="106" t="s">
        <v>5971</v>
      </c>
      <c r="B1092" s="105" t="s">
        <v>4368</v>
      </c>
      <c r="C1092" s="105" t="s">
        <v>6060</v>
      </c>
      <c r="D1092" s="149" t="s">
        <v>4432</v>
      </c>
      <c r="E1092" s="157">
        <v>1</v>
      </c>
      <c r="F1092" s="134">
        <v>9.27</v>
      </c>
      <c r="G1092" s="134">
        <v>10.75</v>
      </c>
      <c r="H1092" s="109">
        <f t="shared" si="51"/>
        <v>10.75</v>
      </c>
      <c r="I1092" s="119"/>
      <c r="J1092" s="119">
        <v>0</v>
      </c>
      <c r="K1092" s="119">
        <f t="shared" si="52"/>
        <v>10.75</v>
      </c>
      <c r="L1092" s="152">
        <f t="shared" si="53"/>
        <v>9.27</v>
      </c>
      <c r="M1092" s="113"/>
    </row>
    <row r="1093" spans="1:13" ht="13.5" customHeight="1" x14ac:dyDescent="0.2">
      <c r="A1093" s="106" t="s">
        <v>5971</v>
      </c>
      <c r="B1093" s="105" t="s">
        <v>1905</v>
      </c>
      <c r="C1093" s="105" t="s">
        <v>6061</v>
      </c>
      <c r="D1093" s="149" t="s">
        <v>1906</v>
      </c>
      <c r="E1093" s="157">
        <v>1</v>
      </c>
      <c r="F1093" s="134">
        <v>15.51</v>
      </c>
      <c r="G1093" s="134">
        <v>18</v>
      </c>
      <c r="H1093" s="109">
        <f t="shared" si="51"/>
        <v>18</v>
      </c>
      <c r="I1093" s="119"/>
      <c r="J1093" s="119">
        <v>0</v>
      </c>
      <c r="K1093" s="119">
        <f t="shared" si="52"/>
        <v>18</v>
      </c>
      <c r="L1093" s="152">
        <f t="shared" si="53"/>
        <v>15.51</v>
      </c>
      <c r="M1093" s="113"/>
    </row>
    <row r="1094" spans="1:13" ht="13.5" customHeight="1" x14ac:dyDescent="0.2">
      <c r="A1094" s="106" t="s">
        <v>5971</v>
      </c>
      <c r="B1094" s="105" t="s">
        <v>1967</v>
      </c>
      <c r="C1094" s="105" t="s">
        <v>6061</v>
      </c>
      <c r="D1094" s="149" t="s">
        <v>1968</v>
      </c>
      <c r="E1094" s="157">
        <v>1</v>
      </c>
      <c r="F1094" s="134">
        <v>8.1999999999999993</v>
      </c>
      <c r="G1094" s="134">
        <v>10</v>
      </c>
      <c r="H1094" s="109">
        <f t="shared" si="51"/>
        <v>10</v>
      </c>
      <c r="I1094" s="119"/>
      <c r="J1094" s="119">
        <v>0</v>
      </c>
      <c r="K1094" s="119">
        <f t="shared" si="52"/>
        <v>10</v>
      </c>
      <c r="L1094" s="152">
        <f t="shared" si="53"/>
        <v>8.1999999999999993</v>
      </c>
      <c r="M1094" s="113"/>
    </row>
    <row r="1095" spans="1:13" ht="13.5" customHeight="1" x14ac:dyDescent="0.2">
      <c r="A1095" s="106" t="s">
        <v>5971</v>
      </c>
      <c r="B1095" s="105" t="s">
        <v>1969</v>
      </c>
      <c r="C1095" s="105" t="s">
        <v>6061</v>
      </c>
      <c r="D1095" s="149" t="s">
        <v>1970</v>
      </c>
      <c r="E1095" s="157">
        <v>1</v>
      </c>
      <c r="F1095" s="134">
        <v>3.6</v>
      </c>
      <c r="G1095" s="134">
        <v>4.25</v>
      </c>
      <c r="H1095" s="109">
        <f t="shared" ref="H1095:H1158" si="54">E1095*G1095</f>
        <v>4.25</v>
      </c>
      <c r="I1095" s="119"/>
      <c r="J1095" s="119">
        <v>0</v>
      </c>
      <c r="K1095" s="119">
        <f t="shared" si="52"/>
        <v>4.25</v>
      </c>
      <c r="L1095" s="152">
        <f t="shared" si="53"/>
        <v>3.6</v>
      </c>
      <c r="M1095" s="113"/>
    </row>
    <row r="1096" spans="1:13" ht="13.5" customHeight="1" x14ac:dyDescent="0.2">
      <c r="A1096" s="106" t="s">
        <v>5971</v>
      </c>
      <c r="B1096" s="105" t="s">
        <v>2264</v>
      </c>
      <c r="C1096" s="105" t="s">
        <v>6061</v>
      </c>
      <c r="D1096" s="149" t="s">
        <v>2265</v>
      </c>
      <c r="E1096" s="157">
        <v>1</v>
      </c>
      <c r="F1096" s="134">
        <v>62.45</v>
      </c>
      <c r="G1096" s="134">
        <v>72</v>
      </c>
      <c r="H1096" s="109">
        <f t="shared" si="54"/>
        <v>72</v>
      </c>
      <c r="I1096" s="119"/>
      <c r="J1096" s="119">
        <v>0</v>
      </c>
      <c r="K1096" s="119">
        <f t="shared" ref="K1096:K1149" si="55">H1096+I1096-J1096</f>
        <v>72</v>
      </c>
      <c r="L1096" s="152">
        <f t="shared" ref="L1096:L1159" si="56">E1096*F1096</f>
        <v>62.45</v>
      </c>
      <c r="M1096" s="113"/>
    </row>
    <row r="1097" spans="1:13" ht="13.5" customHeight="1" x14ac:dyDescent="0.2">
      <c r="A1097" s="106" t="s">
        <v>5971</v>
      </c>
      <c r="B1097" s="105" t="s">
        <v>1884</v>
      </c>
      <c r="C1097" s="105" t="s">
        <v>6062</v>
      </c>
      <c r="D1097" s="149" t="s">
        <v>1885</v>
      </c>
      <c r="E1097" s="157">
        <v>1</v>
      </c>
      <c r="F1097" s="134">
        <v>7.06</v>
      </c>
      <c r="G1097" s="134">
        <v>8.25</v>
      </c>
      <c r="H1097" s="109">
        <f t="shared" si="54"/>
        <v>8.25</v>
      </c>
      <c r="I1097" s="119"/>
      <c r="J1097" s="119">
        <v>0</v>
      </c>
      <c r="K1097" s="119">
        <f t="shared" si="55"/>
        <v>8.25</v>
      </c>
      <c r="L1097" s="152">
        <f t="shared" si="56"/>
        <v>7.06</v>
      </c>
      <c r="M1097" s="113"/>
    </row>
    <row r="1098" spans="1:13" ht="13.5" customHeight="1" x14ac:dyDescent="0.2">
      <c r="A1098" s="106" t="s">
        <v>5971</v>
      </c>
      <c r="B1098" s="105" t="s">
        <v>1877</v>
      </c>
      <c r="C1098" s="105" t="s">
        <v>6063</v>
      </c>
      <c r="D1098" s="149" t="s">
        <v>1878</v>
      </c>
      <c r="E1098" s="157">
        <v>1</v>
      </c>
      <c r="F1098" s="134">
        <v>20.399999999999999</v>
      </c>
      <c r="G1098" s="134">
        <v>23.5</v>
      </c>
      <c r="H1098" s="109">
        <f t="shared" si="54"/>
        <v>23.5</v>
      </c>
      <c r="I1098" s="119"/>
      <c r="J1098" s="119">
        <v>0</v>
      </c>
      <c r="K1098" s="119">
        <f t="shared" si="55"/>
        <v>23.5</v>
      </c>
      <c r="L1098" s="152">
        <f t="shared" si="56"/>
        <v>20.399999999999999</v>
      </c>
      <c r="M1098" s="113"/>
    </row>
    <row r="1099" spans="1:13" ht="13.5" customHeight="1" x14ac:dyDescent="0.2">
      <c r="A1099" s="106" t="s">
        <v>5972</v>
      </c>
      <c r="B1099" s="105" t="s">
        <v>4186</v>
      </c>
      <c r="C1099" s="105" t="s">
        <v>6064</v>
      </c>
      <c r="D1099" s="149" t="s">
        <v>4187</v>
      </c>
      <c r="E1099" s="157">
        <v>1</v>
      </c>
      <c r="F1099" s="134">
        <v>18.559999999999999</v>
      </c>
      <c r="G1099" s="134">
        <v>21.5</v>
      </c>
      <c r="H1099" s="109">
        <f t="shared" si="54"/>
        <v>21.5</v>
      </c>
      <c r="I1099" s="119"/>
      <c r="J1099" s="119">
        <v>0</v>
      </c>
      <c r="K1099" s="119">
        <f t="shared" si="55"/>
        <v>21.5</v>
      </c>
      <c r="L1099" s="152">
        <f t="shared" si="56"/>
        <v>18.559999999999999</v>
      </c>
      <c r="M1099" s="113"/>
    </row>
    <row r="1100" spans="1:13" ht="13.5" customHeight="1" x14ac:dyDescent="0.2">
      <c r="A1100" s="106" t="s">
        <v>5972</v>
      </c>
      <c r="B1100" s="105" t="s">
        <v>2912</v>
      </c>
      <c r="C1100" s="105" t="s">
        <v>6065</v>
      </c>
      <c r="D1100" s="149" t="s">
        <v>2914</v>
      </c>
      <c r="E1100" s="157">
        <v>1</v>
      </c>
      <c r="F1100" s="134">
        <v>27.85</v>
      </c>
      <c r="G1100" s="134">
        <v>32</v>
      </c>
      <c r="H1100" s="109">
        <f t="shared" si="54"/>
        <v>32</v>
      </c>
      <c r="I1100" s="119"/>
      <c r="J1100" s="119">
        <v>0</v>
      </c>
      <c r="K1100" s="119">
        <f t="shared" si="55"/>
        <v>32</v>
      </c>
      <c r="L1100" s="152">
        <f t="shared" si="56"/>
        <v>27.85</v>
      </c>
      <c r="M1100" s="113"/>
    </row>
    <row r="1101" spans="1:13" ht="13.5" customHeight="1" x14ac:dyDescent="0.2">
      <c r="A1101" s="106" t="s">
        <v>5972</v>
      </c>
      <c r="B1101" s="105" t="s">
        <v>3974</v>
      </c>
      <c r="C1101" s="105" t="s">
        <v>6066</v>
      </c>
      <c r="D1101" s="149" t="s">
        <v>3975</v>
      </c>
      <c r="E1101" s="157">
        <v>1</v>
      </c>
      <c r="F1101" s="134">
        <v>59.51</v>
      </c>
      <c r="G1101" s="134">
        <v>68.5</v>
      </c>
      <c r="H1101" s="109">
        <f t="shared" si="54"/>
        <v>68.5</v>
      </c>
      <c r="I1101" s="119"/>
      <c r="J1101" s="119">
        <v>0</v>
      </c>
      <c r="K1101" s="119">
        <f t="shared" si="55"/>
        <v>68.5</v>
      </c>
      <c r="L1101" s="152">
        <f t="shared" si="56"/>
        <v>59.51</v>
      </c>
      <c r="M1101" s="113"/>
    </row>
    <row r="1102" spans="1:13" ht="13.5" customHeight="1" x14ac:dyDescent="0.2">
      <c r="A1102" s="106" t="s">
        <v>5972</v>
      </c>
      <c r="B1102" s="105" t="s">
        <v>5982</v>
      </c>
      <c r="C1102" s="105" t="s">
        <v>6067</v>
      </c>
      <c r="D1102" s="149" t="s">
        <v>6100</v>
      </c>
      <c r="E1102" s="157">
        <v>1</v>
      </c>
      <c r="F1102" s="134">
        <v>5.74</v>
      </c>
      <c r="G1102" s="134">
        <v>7</v>
      </c>
      <c r="H1102" s="109">
        <f t="shared" si="54"/>
        <v>7</v>
      </c>
      <c r="I1102" s="119"/>
      <c r="J1102" s="119">
        <v>0</v>
      </c>
      <c r="K1102" s="119">
        <f t="shared" si="55"/>
        <v>7</v>
      </c>
      <c r="L1102" s="152">
        <f t="shared" si="56"/>
        <v>5.74</v>
      </c>
      <c r="M1102" s="113"/>
    </row>
    <row r="1103" spans="1:13" ht="13.5" customHeight="1" x14ac:dyDescent="0.2">
      <c r="A1103" s="106" t="s">
        <v>5972</v>
      </c>
      <c r="B1103" s="105" t="s">
        <v>2908</v>
      </c>
      <c r="C1103" s="105" t="s">
        <v>6068</v>
      </c>
      <c r="D1103" s="149" t="s">
        <v>2910</v>
      </c>
      <c r="E1103" s="157">
        <v>1</v>
      </c>
      <c r="F1103" s="134">
        <v>0.76</v>
      </c>
      <c r="G1103" s="134">
        <v>1</v>
      </c>
      <c r="H1103" s="109">
        <f t="shared" si="54"/>
        <v>1</v>
      </c>
      <c r="I1103" s="119"/>
      <c r="J1103" s="119">
        <v>0</v>
      </c>
      <c r="K1103" s="119">
        <f t="shared" si="55"/>
        <v>1</v>
      </c>
      <c r="L1103" s="152">
        <f t="shared" si="56"/>
        <v>0.76</v>
      </c>
      <c r="M1103" s="113"/>
    </row>
    <row r="1104" spans="1:13" ht="13.5" customHeight="1" x14ac:dyDescent="0.2">
      <c r="A1104" s="106" t="s">
        <v>5972</v>
      </c>
      <c r="B1104" s="105" t="s">
        <v>5983</v>
      </c>
      <c r="C1104" s="105" t="s">
        <v>6069</v>
      </c>
      <c r="D1104" s="149" t="s">
        <v>6101</v>
      </c>
      <c r="E1104" s="157">
        <v>1</v>
      </c>
      <c r="F1104" s="134">
        <v>54</v>
      </c>
      <c r="G1104" s="134">
        <v>62.25</v>
      </c>
      <c r="H1104" s="109">
        <f t="shared" si="54"/>
        <v>62.25</v>
      </c>
      <c r="I1104" s="119"/>
      <c r="J1104" s="119">
        <v>0</v>
      </c>
      <c r="K1104" s="119">
        <f t="shared" si="55"/>
        <v>62.25</v>
      </c>
      <c r="L1104" s="152">
        <f t="shared" si="56"/>
        <v>54</v>
      </c>
      <c r="M1104" s="113"/>
    </row>
    <row r="1105" spans="1:13" ht="13.5" customHeight="1" x14ac:dyDescent="0.2">
      <c r="A1105" s="106" t="s">
        <v>5972</v>
      </c>
      <c r="B1105" s="105" t="s">
        <v>5248</v>
      </c>
      <c r="C1105" s="105" t="s">
        <v>6070</v>
      </c>
      <c r="D1105" s="149" t="s">
        <v>5408</v>
      </c>
      <c r="E1105" s="157">
        <v>1</v>
      </c>
      <c r="F1105" s="134">
        <v>5.8</v>
      </c>
      <c r="G1105" s="134">
        <v>7</v>
      </c>
      <c r="H1105" s="109">
        <f t="shared" si="54"/>
        <v>7</v>
      </c>
      <c r="I1105" s="119"/>
      <c r="J1105" s="119">
        <v>0</v>
      </c>
      <c r="K1105" s="119">
        <f t="shared" si="55"/>
        <v>7</v>
      </c>
      <c r="L1105" s="152">
        <f t="shared" si="56"/>
        <v>5.8</v>
      </c>
      <c r="M1105" s="113"/>
    </row>
    <row r="1106" spans="1:13" x14ac:dyDescent="0.2">
      <c r="A1106" s="106" t="s">
        <v>5972</v>
      </c>
      <c r="B1106" s="105" t="s">
        <v>3052</v>
      </c>
      <c r="C1106" s="105" t="s">
        <v>6071</v>
      </c>
      <c r="D1106" s="149" t="s">
        <v>3053</v>
      </c>
      <c r="E1106" s="157">
        <v>1</v>
      </c>
      <c r="F1106" s="134">
        <v>13.32</v>
      </c>
      <c r="G1106" s="134">
        <v>15.5</v>
      </c>
      <c r="H1106" s="109">
        <f t="shared" si="54"/>
        <v>15.5</v>
      </c>
      <c r="I1106" s="119"/>
      <c r="J1106" s="119">
        <v>0</v>
      </c>
      <c r="K1106" s="119">
        <f t="shared" si="55"/>
        <v>15.5</v>
      </c>
      <c r="L1106" s="152">
        <f t="shared" si="56"/>
        <v>13.32</v>
      </c>
      <c r="M1106" s="113"/>
    </row>
    <row r="1107" spans="1:13" x14ac:dyDescent="0.2">
      <c r="A1107" s="106" t="s">
        <v>5972</v>
      </c>
      <c r="B1107" s="105" t="s">
        <v>5982</v>
      </c>
      <c r="C1107" s="105" t="s">
        <v>6072</v>
      </c>
      <c r="D1107" s="149" t="s">
        <v>6100</v>
      </c>
      <c r="E1107" s="157">
        <v>1</v>
      </c>
      <c r="F1107" s="134">
        <v>5.74</v>
      </c>
      <c r="G1107" s="134">
        <v>7</v>
      </c>
      <c r="H1107" s="109">
        <f t="shared" si="54"/>
        <v>7</v>
      </c>
      <c r="I1107" s="119"/>
      <c r="J1107" s="119">
        <v>0</v>
      </c>
      <c r="K1107" s="119">
        <f t="shared" si="55"/>
        <v>7</v>
      </c>
      <c r="L1107" s="152">
        <f t="shared" si="56"/>
        <v>5.74</v>
      </c>
      <c r="M1107" s="113"/>
    </row>
    <row r="1108" spans="1:13" x14ac:dyDescent="0.2">
      <c r="A1108" s="106" t="s">
        <v>5972</v>
      </c>
      <c r="B1108" s="105" t="s">
        <v>2371</v>
      </c>
      <c r="C1108" s="105" t="s">
        <v>6073</v>
      </c>
      <c r="D1108" s="149" t="s">
        <v>2372</v>
      </c>
      <c r="E1108" s="157">
        <v>1</v>
      </c>
      <c r="F1108" s="134">
        <v>45.3</v>
      </c>
      <c r="G1108" s="134">
        <v>52.25</v>
      </c>
      <c r="H1108" s="109">
        <f t="shared" si="54"/>
        <v>52.25</v>
      </c>
      <c r="I1108" s="119"/>
      <c r="J1108" s="119">
        <v>0</v>
      </c>
      <c r="K1108" s="119">
        <f t="shared" si="55"/>
        <v>52.25</v>
      </c>
      <c r="L1108" s="152">
        <f t="shared" si="56"/>
        <v>45.3</v>
      </c>
      <c r="M1108" s="113"/>
    </row>
    <row r="1109" spans="1:13" x14ac:dyDescent="0.2">
      <c r="A1109" s="106" t="s">
        <v>5972</v>
      </c>
      <c r="B1109" s="105" t="s">
        <v>3169</v>
      </c>
      <c r="C1109" s="105" t="s">
        <v>6073</v>
      </c>
      <c r="D1109" s="149" t="s">
        <v>3170</v>
      </c>
      <c r="E1109" s="157">
        <v>6</v>
      </c>
      <c r="F1109" s="134">
        <v>5.41</v>
      </c>
      <c r="G1109" s="134">
        <v>6.25</v>
      </c>
      <c r="H1109" s="109">
        <f t="shared" si="54"/>
        <v>37.5</v>
      </c>
      <c r="I1109" s="119"/>
      <c r="J1109" s="119">
        <v>0</v>
      </c>
      <c r="K1109" s="119">
        <f t="shared" si="55"/>
        <v>37.5</v>
      </c>
      <c r="L1109" s="152">
        <f t="shared" si="56"/>
        <v>32.46</v>
      </c>
      <c r="M1109" s="113"/>
    </row>
    <row r="1110" spans="1:13" x14ac:dyDescent="0.2">
      <c r="A1110" s="106" t="s">
        <v>5972</v>
      </c>
      <c r="B1110" s="105" t="s">
        <v>2367</v>
      </c>
      <c r="C1110" s="105" t="s">
        <v>6073</v>
      </c>
      <c r="D1110" s="149" t="s">
        <v>2369</v>
      </c>
      <c r="E1110" s="157">
        <v>6</v>
      </c>
      <c r="F1110" s="134">
        <v>6.38</v>
      </c>
      <c r="G1110" s="134">
        <v>7.5</v>
      </c>
      <c r="H1110" s="109">
        <f t="shared" si="54"/>
        <v>45</v>
      </c>
      <c r="I1110" s="119"/>
      <c r="J1110" s="119">
        <v>0</v>
      </c>
      <c r="K1110" s="119">
        <f t="shared" si="55"/>
        <v>45</v>
      </c>
      <c r="L1110" s="152">
        <f t="shared" si="56"/>
        <v>38.28</v>
      </c>
      <c r="M1110" s="113"/>
    </row>
    <row r="1111" spans="1:13" x14ac:dyDescent="0.2">
      <c r="A1111" s="106" t="s">
        <v>5972</v>
      </c>
      <c r="B1111" s="105" t="s">
        <v>4447</v>
      </c>
      <c r="C1111" s="105" t="s">
        <v>6074</v>
      </c>
      <c r="D1111" s="149" t="s">
        <v>4477</v>
      </c>
      <c r="E1111" s="157">
        <v>1</v>
      </c>
      <c r="F1111" s="134">
        <v>118.16</v>
      </c>
      <c r="G1111" s="134">
        <v>136</v>
      </c>
      <c r="H1111" s="109">
        <f t="shared" si="54"/>
        <v>136</v>
      </c>
      <c r="I1111" s="119"/>
      <c r="J1111" s="119">
        <v>0</v>
      </c>
      <c r="K1111" s="119">
        <f t="shared" si="55"/>
        <v>136</v>
      </c>
      <c r="L1111" s="152">
        <f t="shared" si="56"/>
        <v>118.16</v>
      </c>
      <c r="M1111" s="113"/>
    </row>
    <row r="1112" spans="1:13" x14ac:dyDescent="0.2">
      <c r="A1112" s="106" t="s">
        <v>5972</v>
      </c>
      <c r="B1112" s="105" t="s">
        <v>2932</v>
      </c>
      <c r="C1112" s="105" t="s">
        <v>6074</v>
      </c>
      <c r="D1112" s="149" t="s">
        <v>2933</v>
      </c>
      <c r="E1112" s="157">
        <v>1</v>
      </c>
      <c r="F1112" s="134">
        <v>47.73</v>
      </c>
      <c r="G1112" s="134">
        <v>55</v>
      </c>
      <c r="H1112" s="109">
        <f t="shared" si="54"/>
        <v>55</v>
      </c>
      <c r="I1112" s="119"/>
      <c r="J1112" s="119">
        <v>0</v>
      </c>
      <c r="K1112" s="119">
        <f t="shared" si="55"/>
        <v>55</v>
      </c>
      <c r="L1112" s="152">
        <f t="shared" si="56"/>
        <v>47.73</v>
      </c>
      <c r="M1112" s="113"/>
    </row>
    <row r="1113" spans="1:13" x14ac:dyDescent="0.2">
      <c r="A1113" s="106" t="s">
        <v>5972</v>
      </c>
      <c r="B1113" s="105" t="s">
        <v>5982</v>
      </c>
      <c r="C1113" s="105" t="s">
        <v>6075</v>
      </c>
      <c r="D1113" s="149" t="s">
        <v>6100</v>
      </c>
      <c r="E1113" s="157">
        <v>1</v>
      </c>
      <c r="F1113" s="134">
        <v>5.74</v>
      </c>
      <c r="G1113" s="134">
        <v>7</v>
      </c>
      <c r="H1113" s="109">
        <f t="shared" si="54"/>
        <v>7</v>
      </c>
      <c r="I1113" s="119"/>
      <c r="J1113" s="119">
        <v>0</v>
      </c>
      <c r="K1113" s="119">
        <f t="shared" si="55"/>
        <v>7</v>
      </c>
      <c r="L1113" s="152">
        <f t="shared" si="56"/>
        <v>5.74</v>
      </c>
      <c r="M1113" s="113"/>
    </row>
    <row r="1114" spans="1:13" x14ac:dyDescent="0.2">
      <c r="A1114" s="106" t="s">
        <v>5972</v>
      </c>
      <c r="B1114" s="105" t="s">
        <v>5866</v>
      </c>
      <c r="C1114" s="105" t="s">
        <v>6075</v>
      </c>
      <c r="D1114" s="149" t="s">
        <v>5959</v>
      </c>
      <c r="E1114" s="157">
        <v>1</v>
      </c>
      <c r="F1114" s="134">
        <v>5.61</v>
      </c>
      <c r="G1114" s="134">
        <v>6.5</v>
      </c>
      <c r="H1114" s="109">
        <f t="shared" si="54"/>
        <v>6.5</v>
      </c>
      <c r="I1114" s="119"/>
      <c r="J1114" s="119">
        <v>0</v>
      </c>
      <c r="K1114" s="119">
        <f t="shared" si="55"/>
        <v>6.5</v>
      </c>
      <c r="L1114" s="152">
        <f t="shared" si="56"/>
        <v>5.61</v>
      </c>
      <c r="M1114" s="113"/>
    </row>
    <row r="1115" spans="1:13" x14ac:dyDescent="0.2">
      <c r="A1115" s="106" t="s">
        <v>5972</v>
      </c>
      <c r="B1115" s="105" t="s">
        <v>3569</v>
      </c>
      <c r="C1115" s="105" t="s">
        <v>6076</v>
      </c>
      <c r="D1115" s="149" t="s">
        <v>3571</v>
      </c>
      <c r="E1115" s="157">
        <v>1</v>
      </c>
      <c r="F1115" s="134">
        <v>21.88</v>
      </c>
      <c r="G1115" s="134">
        <v>25.25</v>
      </c>
      <c r="H1115" s="109">
        <f t="shared" si="54"/>
        <v>25.25</v>
      </c>
      <c r="I1115" s="119"/>
      <c r="J1115" s="119">
        <v>0</v>
      </c>
      <c r="K1115" s="119">
        <f t="shared" si="55"/>
        <v>25.25</v>
      </c>
      <c r="L1115" s="152">
        <f t="shared" si="56"/>
        <v>21.88</v>
      </c>
      <c r="M1115" s="113"/>
    </row>
    <row r="1116" spans="1:13" x14ac:dyDescent="0.2">
      <c r="A1116" s="106" t="s">
        <v>5972</v>
      </c>
      <c r="B1116" s="105" t="s">
        <v>5982</v>
      </c>
      <c r="C1116" s="105" t="s">
        <v>6076</v>
      </c>
      <c r="D1116" s="149" t="s">
        <v>6100</v>
      </c>
      <c r="E1116" s="157">
        <v>1</v>
      </c>
      <c r="F1116" s="134">
        <v>5.74</v>
      </c>
      <c r="G1116" s="134">
        <v>7</v>
      </c>
      <c r="H1116" s="109">
        <f t="shared" si="54"/>
        <v>7</v>
      </c>
      <c r="I1116" s="119"/>
      <c r="J1116" s="119">
        <v>0</v>
      </c>
      <c r="K1116" s="119">
        <f t="shared" si="55"/>
        <v>7</v>
      </c>
      <c r="L1116" s="152">
        <f t="shared" si="56"/>
        <v>5.74</v>
      </c>
      <c r="M1116" s="113"/>
    </row>
    <row r="1117" spans="1:13" x14ac:dyDescent="0.2">
      <c r="A1117" s="106" t="s">
        <v>5972</v>
      </c>
      <c r="B1117" s="105" t="s">
        <v>4796</v>
      </c>
      <c r="C1117" s="105" t="s">
        <v>6077</v>
      </c>
      <c r="D1117" s="149" t="s">
        <v>4865</v>
      </c>
      <c r="E1117" s="157">
        <v>1</v>
      </c>
      <c r="F1117" s="134">
        <v>23.21</v>
      </c>
      <c r="G1117" s="134">
        <v>26.75</v>
      </c>
      <c r="H1117" s="109">
        <f t="shared" si="54"/>
        <v>26.75</v>
      </c>
      <c r="I1117" s="119"/>
      <c r="J1117" s="119">
        <v>0</v>
      </c>
      <c r="K1117" s="119">
        <f t="shared" si="55"/>
        <v>26.75</v>
      </c>
      <c r="L1117" s="152">
        <f t="shared" si="56"/>
        <v>23.21</v>
      </c>
      <c r="M1117" s="113"/>
    </row>
    <row r="1118" spans="1:13" x14ac:dyDescent="0.2">
      <c r="A1118" s="106" t="s">
        <v>5972</v>
      </c>
      <c r="B1118" s="105" t="s">
        <v>3043</v>
      </c>
      <c r="C1118" s="105" t="s">
        <v>6078</v>
      </c>
      <c r="D1118" s="149" t="s">
        <v>3044</v>
      </c>
      <c r="E1118" s="157">
        <v>1</v>
      </c>
      <c r="F1118" s="134">
        <v>309.11</v>
      </c>
      <c r="G1118" s="134">
        <v>355.5</v>
      </c>
      <c r="H1118" s="109">
        <f t="shared" si="54"/>
        <v>355.5</v>
      </c>
      <c r="I1118" s="119"/>
      <c r="J1118" s="119">
        <v>0</v>
      </c>
      <c r="K1118" s="119">
        <f t="shared" si="55"/>
        <v>355.5</v>
      </c>
      <c r="L1118" s="152">
        <f t="shared" si="56"/>
        <v>309.11</v>
      </c>
      <c r="M1118" s="113"/>
    </row>
    <row r="1119" spans="1:13" x14ac:dyDescent="0.2">
      <c r="A1119" s="106" t="s">
        <v>5972</v>
      </c>
      <c r="B1119" s="105" t="s">
        <v>3314</v>
      </c>
      <c r="C1119" s="105" t="s">
        <v>6079</v>
      </c>
      <c r="D1119" s="149" t="s">
        <v>3316</v>
      </c>
      <c r="E1119" s="157">
        <v>1</v>
      </c>
      <c r="F1119" s="134">
        <v>16.579999999999998</v>
      </c>
      <c r="G1119" s="134">
        <v>19</v>
      </c>
      <c r="H1119" s="109">
        <f t="shared" si="54"/>
        <v>19</v>
      </c>
      <c r="I1119" s="119"/>
      <c r="J1119" s="119">
        <v>0</v>
      </c>
      <c r="K1119" s="119">
        <f t="shared" si="55"/>
        <v>19</v>
      </c>
      <c r="L1119" s="152">
        <f t="shared" si="56"/>
        <v>16.579999999999998</v>
      </c>
      <c r="M1119" s="113"/>
    </row>
    <row r="1120" spans="1:13" x14ac:dyDescent="0.2">
      <c r="A1120" s="106" t="s">
        <v>5972</v>
      </c>
      <c r="B1120" s="105" t="s">
        <v>4947</v>
      </c>
      <c r="C1120" s="105" t="s">
        <v>6080</v>
      </c>
      <c r="D1120" s="149" t="s">
        <v>4984</v>
      </c>
      <c r="E1120" s="157">
        <v>1</v>
      </c>
      <c r="F1120" s="134">
        <v>30.21</v>
      </c>
      <c r="G1120" s="134">
        <v>38</v>
      </c>
      <c r="H1120" s="109">
        <f t="shared" si="54"/>
        <v>38</v>
      </c>
      <c r="I1120" s="119"/>
      <c r="J1120" s="119">
        <v>0</v>
      </c>
      <c r="K1120" s="119">
        <f t="shared" si="55"/>
        <v>38</v>
      </c>
      <c r="L1120" s="152">
        <f t="shared" si="56"/>
        <v>30.21</v>
      </c>
      <c r="M1120" s="113"/>
    </row>
    <row r="1121" spans="1:13" x14ac:dyDescent="0.2">
      <c r="A1121" s="106" t="s">
        <v>5972</v>
      </c>
      <c r="B1121" s="105" t="s">
        <v>4328</v>
      </c>
      <c r="C1121" s="105" t="s">
        <v>6080</v>
      </c>
      <c r="D1121" s="149" t="s">
        <v>4358</v>
      </c>
      <c r="E1121" s="157">
        <v>1</v>
      </c>
      <c r="F1121" s="134">
        <v>23.63</v>
      </c>
      <c r="G1121" s="134">
        <v>27.25</v>
      </c>
      <c r="H1121" s="109">
        <f t="shared" si="54"/>
        <v>27.25</v>
      </c>
      <c r="I1121" s="119"/>
      <c r="J1121" s="119">
        <v>0</v>
      </c>
      <c r="K1121" s="119">
        <f t="shared" si="55"/>
        <v>27.25</v>
      </c>
      <c r="L1121" s="152">
        <f t="shared" si="56"/>
        <v>23.63</v>
      </c>
      <c r="M1121" s="113"/>
    </row>
    <row r="1122" spans="1:13" x14ac:dyDescent="0.2">
      <c r="A1122" s="106" t="s">
        <v>5972</v>
      </c>
      <c r="B1122" s="105" t="s">
        <v>5984</v>
      </c>
      <c r="C1122" s="105" t="s">
        <v>6081</v>
      </c>
      <c r="D1122" s="149" t="s">
        <v>6102</v>
      </c>
      <c r="E1122" s="157">
        <v>1</v>
      </c>
      <c r="F1122" s="134">
        <v>203</v>
      </c>
      <c r="G1122" s="134">
        <v>290</v>
      </c>
      <c r="H1122" s="109">
        <f t="shared" si="54"/>
        <v>290</v>
      </c>
      <c r="I1122" s="119"/>
      <c r="J1122" s="119">
        <v>0</v>
      </c>
      <c r="K1122" s="119">
        <f t="shared" si="55"/>
        <v>290</v>
      </c>
      <c r="L1122" s="152">
        <f t="shared" si="56"/>
        <v>203</v>
      </c>
      <c r="M1122" s="113"/>
    </row>
    <row r="1123" spans="1:13" x14ac:dyDescent="0.2">
      <c r="A1123" s="106" t="s">
        <v>5972</v>
      </c>
      <c r="B1123" s="105" t="s">
        <v>5985</v>
      </c>
      <c r="C1123" s="105" t="s">
        <v>6081</v>
      </c>
      <c r="D1123" s="149" t="s">
        <v>3959</v>
      </c>
      <c r="E1123" s="157">
        <v>1</v>
      </c>
      <c r="F1123" s="134">
        <v>6</v>
      </c>
      <c r="G1123" s="134">
        <v>20</v>
      </c>
      <c r="H1123" s="109">
        <f t="shared" si="54"/>
        <v>20</v>
      </c>
      <c r="I1123" s="119"/>
      <c r="J1123" s="119">
        <v>0</v>
      </c>
      <c r="K1123" s="119">
        <f t="shared" si="55"/>
        <v>20</v>
      </c>
      <c r="L1123" s="152">
        <f t="shared" si="56"/>
        <v>6</v>
      </c>
      <c r="M1123" s="113"/>
    </row>
    <row r="1124" spans="1:13" x14ac:dyDescent="0.2">
      <c r="A1124" s="106" t="s">
        <v>5972</v>
      </c>
      <c r="B1124" s="105" t="s">
        <v>3092</v>
      </c>
      <c r="C1124" s="105" t="s">
        <v>6082</v>
      </c>
      <c r="D1124" s="149" t="s">
        <v>3093</v>
      </c>
      <c r="E1124" s="157">
        <v>1</v>
      </c>
      <c r="F1124" s="134">
        <v>7.48</v>
      </c>
      <c r="G1124" s="134">
        <v>8.75</v>
      </c>
      <c r="H1124" s="109">
        <f t="shared" si="54"/>
        <v>8.75</v>
      </c>
      <c r="I1124" s="119"/>
      <c r="J1124" s="119">
        <v>0</v>
      </c>
      <c r="K1124" s="119">
        <f t="shared" si="55"/>
        <v>8.75</v>
      </c>
      <c r="L1124" s="152">
        <f t="shared" si="56"/>
        <v>7.48</v>
      </c>
      <c r="M1124" s="113"/>
    </row>
    <row r="1125" spans="1:13" x14ac:dyDescent="0.2">
      <c r="A1125" s="106" t="s">
        <v>5972</v>
      </c>
      <c r="B1125" s="105" t="s">
        <v>1933</v>
      </c>
      <c r="C1125" s="105" t="s">
        <v>6082</v>
      </c>
      <c r="D1125" s="149" t="s">
        <v>1934</v>
      </c>
      <c r="E1125" s="157">
        <v>1</v>
      </c>
      <c r="F1125" s="134">
        <v>3.6</v>
      </c>
      <c r="G1125" s="134">
        <v>4.25</v>
      </c>
      <c r="H1125" s="109">
        <f t="shared" si="54"/>
        <v>4.25</v>
      </c>
      <c r="I1125" s="119"/>
      <c r="J1125" s="119">
        <v>0</v>
      </c>
      <c r="K1125" s="119">
        <f t="shared" si="55"/>
        <v>4.25</v>
      </c>
      <c r="L1125" s="152">
        <f t="shared" si="56"/>
        <v>3.6</v>
      </c>
      <c r="M1125" s="113"/>
    </row>
    <row r="1126" spans="1:13" x14ac:dyDescent="0.2">
      <c r="A1126" s="106" t="s">
        <v>5972</v>
      </c>
      <c r="B1126" s="105" t="s">
        <v>3569</v>
      </c>
      <c r="C1126" s="105" t="s">
        <v>6083</v>
      </c>
      <c r="D1126" s="149" t="s">
        <v>3571</v>
      </c>
      <c r="E1126" s="157">
        <v>1</v>
      </c>
      <c r="F1126" s="134">
        <v>21.88</v>
      </c>
      <c r="G1126" s="134">
        <v>25.25</v>
      </c>
      <c r="H1126" s="109">
        <f t="shared" si="54"/>
        <v>25.25</v>
      </c>
      <c r="I1126" s="119"/>
      <c r="J1126" s="119">
        <v>0</v>
      </c>
      <c r="K1126" s="119">
        <f t="shared" si="55"/>
        <v>25.25</v>
      </c>
      <c r="L1126" s="152">
        <f t="shared" si="56"/>
        <v>21.88</v>
      </c>
      <c r="M1126" s="113"/>
    </row>
    <row r="1127" spans="1:13" x14ac:dyDescent="0.2">
      <c r="A1127" s="106" t="s">
        <v>5972</v>
      </c>
      <c r="B1127" s="105" t="s">
        <v>5979</v>
      </c>
      <c r="C1127" s="105" t="s">
        <v>6083</v>
      </c>
      <c r="D1127" s="149" t="s">
        <v>6097</v>
      </c>
      <c r="E1127" s="157">
        <v>1</v>
      </c>
      <c r="F1127" s="134">
        <v>5.74</v>
      </c>
      <c r="G1127" s="134">
        <v>7</v>
      </c>
      <c r="H1127" s="109">
        <f t="shared" si="54"/>
        <v>7</v>
      </c>
      <c r="I1127" s="119"/>
      <c r="J1127" s="119">
        <v>0</v>
      </c>
      <c r="K1127" s="119">
        <f t="shared" si="55"/>
        <v>7</v>
      </c>
      <c r="L1127" s="152">
        <f t="shared" si="56"/>
        <v>5.74</v>
      </c>
      <c r="M1127" s="113"/>
    </row>
    <row r="1128" spans="1:13" x14ac:dyDescent="0.2">
      <c r="A1128" s="106" t="s">
        <v>5972</v>
      </c>
      <c r="B1128" s="105" t="s">
        <v>2895</v>
      </c>
      <c r="C1128" s="105" t="s">
        <v>6084</v>
      </c>
      <c r="D1128" s="149" t="s">
        <v>2897</v>
      </c>
      <c r="E1128" s="157">
        <v>1</v>
      </c>
      <c r="F1128" s="134">
        <v>9.17</v>
      </c>
      <c r="G1128" s="134">
        <v>10.75</v>
      </c>
      <c r="H1128" s="109">
        <f t="shared" si="54"/>
        <v>10.75</v>
      </c>
      <c r="I1128" s="119"/>
      <c r="J1128" s="119">
        <v>0</v>
      </c>
      <c r="K1128" s="119">
        <f t="shared" si="55"/>
        <v>10.75</v>
      </c>
      <c r="L1128" s="152">
        <f t="shared" si="56"/>
        <v>9.17</v>
      </c>
      <c r="M1128" s="113"/>
    </row>
    <row r="1129" spans="1:13" x14ac:dyDescent="0.2">
      <c r="A1129" s="106" t="s">
        <v>5972</v>
      </c>
      <c r="B1129" s="105" t="s">
        <v>2908</v>
      </c>
      <c r="C1129" s="105" t="s">
        <v>6085</v>
      </c>
      <c r="D1129" s="149" t="s">
        <v>2910</v>
      </c>
      <c r="E1129" s="157">
        <v>7</v>
      </c>
      <c r="F1129" s="134">
        <v>0.76</v>
      </c>
      <c r="G1129" s="134">
        <v>1</v>
      </c>
      <c r="H1129" s="109">
        <f t="shared" si="54"/>
        <v>7</v>
      </c>
      <c r="I1129" s="119"/>
      <c r="J1129" s="119">
        <v>0</v>
      </c>
      <c r="K1129" s="119">
        <f t="shared" si="55"/>
        <v>7</v>
      </c>
      <c r="L1129" s="152">
        <f t="shared" si="56"/>
        <v>5.32</v>
      </c>
      <c r="M1129" s="113"/>
    </row>
    <row r="1130" spans="1:13" x14ac:dyDescent="0.2">
      <c r="A1130" s="106" t="s">
        <v>5972</v>
      </c>
      <c r="B1130" s="105" t="s">
        <v>3119</v>
      </c>
      <c r="C1130" s="105" t="s">
        <v>6086</v>
      </c>
      <c r="D1130" s="149" t="s">
        <v>3120</v>
      </c>
      <c r="E1130" s="157">
        <v>1</v>
      </c>
      <c r="F1130" s="134">
        <v>96.67</v>
      </c>
      <c r="G1130" s="134">
        <v>111.25</v>
      </c>
      <c r="H1130" s="109">
        <f t="shared" si="54"/>
        <v>111.25</v>
      </c>
      <c r="I1130" s="119"/>
      <c r="J1130" s="119">
        <v>0</v>
      </c>
      <c r="K1130" s="119">
        <f t="shared" si="55"/>
        <v>111.25</v>
      </c>
      <c r="L1130" s="152">
        <f t="shared" si="56"/>
        <v>96.67</v>
      </c>
      <c r="M1130" s="113"/>
    </row>
    <row r="1131" spans="1:13" x14ac:dyDescent="0.2">
      <c r="A1131" s="106" t="s">
        <v>5972</v>
      </c>
      <c r="B1131" s="105" t="s">
        <v>2794</v>
      </c>
      <c r="C1131" s="105" t="s">
        <v>6086</v>
      </c>
      <c r="D1131" s="149" t="s">
        <v>2795</v>
      </c>
      <c r="E1131" s="157">
        <v>2</v>
      </c>
      <c r="F1131" s="134">
        <v>23.15</v>
      </c>
      <c r="G1131" s="134">
        <v>27</v>
      </c>
      <c r="H1131" s="109">
        <f t="shared" si="54"/>
        <v>54</v>
      </c>
      <c r="I1131" s="119"/>
      <c r="J1131" s="119">
        <v>0</v>
      </c>
      <c r="K1131" s="119">
        <f t="shared" si="55"/>
        <v>54</v>
      </c>
      <c r="L1131" s="152">
        <f t="shared" si="56"/>
        <v>46.3</v>
      </c>
      <c r="M1131" s="113"/>
    </row>
    <row r="1132" spans="1:13" x14ac:dyDescent="0.2">
      <c r="A1132" s="106" t="s">
        <v>5972</v>
      </c>
      <c r="B1132" s="105" t="s">
        <v>2283</v>
      </c>
      <c r="C1132" s="105" t="s">
        <v>6086</v>
      </c>
      <c r="D1132" s="149" t="s">
        <v>2285</v>
      </c>
      <c r="E1132" s="157">
        <v>1</v>
      </c>
      <c r="F1132" s="134">
        <v>155.63999999999999</v>
      </c>
      <c r="G1132" s="134">
        <v>179</v>
      </c>
      <c r="H1132" s="109">
        <f t="shared" si="54"/>
        <v>179</v>
      </c>
      <c r="I1132" s="119"/>
      <c r="J1132" s="119">
        <v>0</v>
      </c>
      <c r="K1132" s="119">
        <f t="shared" si="55"/>
        <v>179</v>
      </c>
      <c r="L1132" s="152">
        <f t="shared" si="56"/>
        <v>155.63999999999999</v>
      </c>
      <c r="M1132" s="113"/>
    </row>
    <row r="1133" spans="1:13" x14ac:dyDescent="0.2">
      <c r="A1133" s="106" t="s">
        <v>5972</v>
      </c>
      <c r="B1133" s="105" t="s">
        <v>2773</v>
      </c>
      <c r="C1133" s="105" t="s">
        <v>6086</v>
      </c>
      <c r="D1133" s="149" t="s">
        <v>2774</v>
      </c>
      <c r="E1133" s="157">
        <v>1</v>
      </c>
      <c r="F1133" s="134">
        <v>28.2</v>
      </c>
      <c r="G1133" s="134">
        <v>32.5</v>
      </c>
      <c r="H1133" s="109">
        <f t="shared" si="54"/>
        <v>32.5</v>
      </c>
      <c r="I1133" s="119"/>
      <c r="J1133" s="119">
        <v>0</v>
      </c>
      <c r="K1133" s="119">
        <f t="shared" si="55"/>
        <v>32.5</v>
      </c>
      <c r="L1133" s="152">
        <f t="shared" si="56"/>
        <v>28.2</v>
      </c>
      <c r="M1133" s="113"/>
    </row>
    <row r="1134" spans="1:13" x14ac:dyDescent="0.2">
      <c r="A1134" s="106" t="s">
        <v>5972</v>
      </c>
      <c r="B1134" s="105" t="s">
        <v>4537</v>
      </c>
      <c r="C1134" s="105" t="s">
        <v>6086</v>
      </c>
      <c r="D1134" s="149" t="s">
        <v>4642</v>
      </c>
      <c r="E1134" s="157">
        <v>1</v>
      </c>
      <c r="F1134" s="134">
        <v>56.66</v>
      </c>
      <c r="G1134" s="134">
        <v>65.25</v>
      </c>
      <c r="H1134" s="109">
        <f t="shared" si="54"/>
        <v>65.25</v>
      </c>
      <c r="I1134" s="119"/>
      <c r="J1134" s="119">
        <v>0</v>
      </c>
      <c r="K1134" s="119">
        <f t="shared" si="55"/>
        <v>65.25</v>
      </c>
      <c r="L1134" s="152">
        <f t="shared" si="56"/>
        <v>56.66</v>
      </c>
      <c r="M1134" s="113"/>
    </row>
    <row r="1135" spans="1:13" x14ac:dyDescent="0.2">
      <c r="A1135" s="106" t="s">
        <v>5972</v>
      </c>
      <c r="B1135" s="105" t="s">
        <v>3236</v>
      </c>
      <c r="C1135" s="105" t="s">
        <v>6086</v>
      </c>
      <c r="D1135" s="149" t="s">
        <v>3237</v>
      </c>
      <c r="E1135" s="157">
        <v>1</v>
      </c>
      <c r="F1135" s="134">
        <v>22.73</v>
      </c>
      <c r="G1135" s="134">
        <v>26.25</v>
      </c>
      <c r="H1135" s="109">
        <f t="shared" si="54"/>
        <v>26.25</v>
      </c>
      <c r="I1135" s="119"/>
      <c r="J1135" s="119">
        <v>0</v>
      </c>
      <c r="K1135" s="119">
        <f t="shared" si="55"/>
        <v>26.25</v>
      </c>
      <c r="L1135" s="152">
        <f t="shared" si="56"/>
        <v>22.73</v>
      </c>
      <c r="M1135" s="113"/>
    </row>
    <row r="1136" spans="1:13" x14ac:dyDescent="0.2">
      <c r="A1136" s="106" t="s">
        <v>5972</v>
      </c>
      <c r="B1136" s="105" t="s">
        <v>4797</v>
      </c>
      <c r="C1136" s="105" t="s">
        <v>6087</v>
      </c>
      <c r="D1136" s="149" t="s">
        <v>4866</v>
      </c>
      <c r="E1136" s="157">
        <v>1</v>
      </c>
      <c r="F1136" s="134">
        <v>50.88</v>
      </c>
      <c r="G1136" s="134">
        <v>58.75</v>
      </c>
      <c r="H1136" s="109">
        <f t="shared" si="54"/>
        <v>58.75</v>
      </c>
      <c r="I1136" s="119"/>
      <c r="J1136" s="119">
        <v>0</v>
      </c>
      <c r="K1136" s="119">
        <f t="shared" si="55"/>
        <v>58.75</v>
      </c>
      <c r="L1136" s="152">
        <f t="shared" si="56"/>
        <v>50.88</v>
      </c>
      <c r="M1136" s="113"/>
    </row>
    <row r="1137" spans="1:13" x14ac:dyDescent="0.2">
      <c r="A1137" s="106" t="s">
        <v>5972</v>
      </c>
      <c r="B1137" s="105" t="s">
        <v>3993</v>
      </c>
      <c r="C1137" s="105" t="s">
        <v>6087</v>
      </c>
      <c r="D1137" s="149" t="s">
        <v>3995</v>
      </c>
      <c r="E1137" s="157">
        <v>1</v>
      </c>
      <c r="F1137" s="134">
        <v>18.649999999999999</v>
      </c>
      <c r="G1137" s="134">
        <v>21.5</v>
      </c>
      <c r="H1137" s="109">
        <f t="shared" si="54"/>
        <v>21.5</v>
      </c>
      <c r="I1137" s="119"/>
      <c r="J1137" s="119">
        <v>0</v>
      </c>
      <c r="K1137" s="119">
        <f t="shared" si="55"/>
        <v>21.5</v>
      </c>
      <c r="L1137" s="152">
        <f t="shared" si="56"/>
        <v>18.649999999999999</v>
      </c>
      <c r="M1137" s="113"/>
    </row>
    <row r="1138" spans="1:13" x14ac:dyDescent="0.2">
      <c r="A1138" s="106" t="s">
        <v>5972</v>
      </c>
      <c r="B1138" s="105" t="s">
        <v>2394</v>
      </c>
      <c r="C1138" s="105" t="s">
        <v>6087</v>
      </c>
      <c r="D1138" s="149" t="s">
        <v>2395</v>
      </c>
      <c r="E1138" s="157">
        <v>1</v>
      </c>
      <c r="F1138" s="134">
        <v>58.45</v>
      </c>
      <c r="G1138" s="134">
        <v>65</v>
      </c>
      <c r="H1138" s="109">
        <f t="shared" si="54"/>
        <v>65</v>
      </c>
      <c r="I1138" s="119"/>
      <c r="J1138" s="119">
        <v>0</v>
      </c>
      <c r="K1138" s="119">
        <f t="shared" si="55"/>
        <v>65</v>
      </c>
      <c r="L1138" s="152">
        <f t="shared" si="56"/>
        <v>58.45</v>
      </c>
      <c r="M1138" s="113"/>
    </row>
    <row r="1139" spans="1:13" x14ac:dyDescent="0.2">
      <c r="A1139" s="106" t="s">
        <v>5972</v>
      </c>
      <c r="B1139" s="105" t="s">
        <v>2377</v>
      </c>
      <c r="C1139" s="105" t="s">
        <v>6088</v>
      </c>
      <c r="D1139" s="149" t="s">
        <v>2378</v>
      </c>
      <c r="E1139" s="157">
        <v>1</v>
      </c>
      <c r="F1139" s="134">
        <v>8.1999999999999993</v>
      </c>
      <c r="G1139" s="134">
        <v>9.5</v>
      </c>
      <c r="H1139" s="109">
        <f t="shared" si="54"/>
        <v>9.5</v>
      </c>
      <c r="I1139" s="119"/>
      <c r="J1139" s="119">
        <v>0</v>
      </c>
      <c r="K1139" s="119">
        <f t="shared" si="55"/>
        <v>9.5</v>
      </c>
      <c r="L1139" s="152">
        <f t="shared" si="56"/>
        <v>8.1999999999999993</v>
      </c>
      <c r="M1139" s="113"/>
    </row>
    <row r="1140" spans="1:13" x14ac:dyDescent="0.2">
      <c r="A1140" s="106" t="s">
        <v>5972</v>
      </c>
      <c r="B1140" s="105" t="s">
        <v>5979</v>
      </c>
      <c r="C1140" s="105" t="s">
        <v>6089</v>
      </c>
      <c r="D1140" s="149" t="s">
        <v>6097</v>
      </c>
      <c r="E1140" s="157">
        <v>1</v>
      </c>
      <c r="F1140" s="134">
        <v>5.74</v>
      </c>
      <c r="G1140" s="134">
        <v>7</v>
      </c>
      <c r="H1140" s="109">
        <f t="shared" si="54"/>
        <v>7</v>
      </c>
      <c r="I1140" s="119"/>
      <c r="J1140" s="119">
        <v>0</v>
      </c>
      <c r="K1140" s="119">
        <f t="shared" si="55"/>
        <v>7</v>
      </c>
      <c r="L1140" s="152">
        <f t="shared" si="56"/>
        <v>5.74</v>
      </c>
      <c r="M1140" s="113"/>
    </row>
    <row r="1141" spans="1:13" x14ac:dyDescent="0.2">
      <c r="A1141" s="106" t="s">
        <v>5972</v>
      </c>
      <c r="B1141" s="105" t="s">
        <v>4094</v>
      </c>
      <c r="C1141" s="105" t="s">
        <v>6090</v>
      </c>
      <c r="D1141" s="149" t="s">
        <v>4096</v>
      </c>
      <c r="E1141" s="157">
        <v>1</v>
      </c>
      <c r="F1141" s="134">
        <v>54.05</v>
      </c>
      <c r="G1141" s="134">
        <v>63</v>
      </c>
      <c r="H1141" s="109">
        <f t="shared" si="54"/>
        <v>63</v>
      </c>
      <c r="I1141" s="119"/>
      <c r="J1141" s="119">
        <v>0</v>
      </c>
      <c r="K1141" s="119">
        <f t="shared" si="55"/>
        <v>63</v>
      </c>
      <c r="L1141" s="152">
        <f t="shared" si="56"/>
        <v>54.05</v>
      </c>
      <c r="M1141" s="113"/>
    </row>
    <row r="1142" spans="1:13" x14ac:dyDescent="0.2">
      <c r="A1142" s="106" t="s">
        <v>5972</v>
      </c>
      <c r="B1142" s="105" t="s">
        <v>3942</v>
      </c>
      <c r="C1142" s="105" t="s">
        <v>6090</v>
      </c>
      <c r="D1142" s="149" t="s">
        <v>3943</v>
      </c>
      <c r="E1142" s="157">
        <v>1</v>
      </c>
      <c r="F1142" s="134">
        <v>30.04</v>
      </c>
      <c r="G1142" s="134">
        <v>34.75</v>
      </c>
      <c r="H1142" s="109">
        <f t="shared" si="54"/>
        <v>34.75</v>
      </c>
      <c r="I1142" s="119"/>
      <c r="J1142" s="119">
        <v>0</v>
      </c>
      <c r="K1142" s="119">
        <f t="shared" si="55"/>
        <v>34.75</v>
      </c>
      <c r="L1142" s="152">
        <f t="shared" si="56"/>
        <v>30.04</v>
      </c>
      <c r="M1142" s="113"/>
    </row>
    <row r="1143" spans="1:13" x14ac:dyDescent="0.2">
      <c r="A1143" s="106" t="s">
        <v>5972</v>
      </c>
      <c r="B1143" s="105" t="s">
        <v>3721</v>
      </c>
      <c r="C1143" s="105" t="s">
        <v>6090</v>
      </c>
      <c r="D1143" s="149" t="s">
        <v>3723</v>
      </c>
      <c r="E1143" s="157">
        <v>1</v>
      </c>
      <c r="F1143" s="134">
        <v>42.87</v>
      </c>
      <c r="G1143" s="134">
        <v>49.5</v>
      </c>
      <c r="H1143" s="109">
        <f t="shared" si="54"/>
        <v>49.5</v>
      </c>
      <c r="I1143" s="119"/>
      <c r="J1143" s="119">
        <v>0</v>
      </c>
      <c r="K1143" s="119">
        <f t="shared" si="55"/>
        <v>49.5</v>
      </c>
      <c r="L1143" s="152">
        <f t="shared" si="56"/>
        <v>42.87</v>
      </c>
      <c r="M1143" s="113"/>
    </row>
    <row r="1144" spans="1:13" x14ac:dyDescent="0.2">
      <c r="A1144" s="106">
        <v>46231</v>
      </c>
      <c r="B1144" s="105" t="s">
        <v>1897</v>
      </c>
      <c r="C1144" s="105" t="s">
        <v>6107</v>
      </c>
      <c r="D1144" s="149" t="s">
        <v>1898</v>
      </c>
      <c r="E1144" s="105">
        <v>1</v>
      </c>
      <c r="F1144" s="134">
        <v>27.5</v>
      </c>
      <c r="G1144" s="134">
        <v>31.75</v>
      </c>
      <c r="H1144" s="109">
        <f t="shared" si="54"/>
        <v>31.75</v>
      </c>
      <c r="I1144" s="119"/>
      <c r="J1144" s="119"/>
      <c r="K1144" s="119">
        <f t="shared" si="55"/>
        <v>31.75</v>
      </c>
      <c r="L1144" s="152">
        <f t="shared" si="56"/>
        <v>27.5</v>
      </c>
      <c r="M1144" s="113"/>
    </row>
    <row r="1145" spans="1:13" x14ac:dyDescent="0.2">
      <c r="A1145" s="106">
        <v>46231</v>
      </c>
      <c r="B1145" s="105" t="s">
        <v>1969</v>
      </c>
      <c r="C1145" s="105" t="s">
        <v>6108</v>
      </c>
      <c r="D1145" s="149" t="s">
        <v>1970</v>
      </c>
      <c r="E1145" s="157">
        <v>2</v>
      </c>
      <c r="F1145" s="134">
        <v>3.6</v>
      </c>
      <c r="G1145" s="134">
        <v>4.25</v>
      </c>
      <c r="H1145" s="109">
        <f t="shared" si="54"/>
        <v>8.5</v>
      </c>
      <c r="I1145" s="119"/>
      <c r="J1145" s="119"/>
      <c r="K1145" s="119">
        <f t="shared" si="55"/>
        <v>8.5</v>
      </c>
      <c r="L1145" s="152">
        <f t="shared" si="56"/>
        <v>7.2</v>
      </c>
      <c r="M1145" s="113"/>
    </row>
    <row r="1146" spans="1:13" x14ac:dyDescent="0.2">
      <c r="A1146" s="106">
        <v>46231</v>
      </c>
      <c r="B1146" s="105" t="s">
        <v>3314</v>
      </c>
      <c r="C1146" s="105" t="s">
        <v>6108</v>
      </c>
      <c r="D1146" s="149" t="s">
        <v>3316</v>
      </c>
      <c r="E1146" s="105">
        <v>1</v>
      </c>
      <c r="F1146" s="134">
        <v>16.579999999999998</v>
      </c>
      <c r="G1146" s="134">
        <v>19</v>
      </c>
      <c r="H1146" s="109">
        <f t="shared" si="54"/>
        <v>19</v>
      </c>
      <c r="I1146" s="119"/>
      <c r="J1146" s="119"/>
      <c r="K1146" s="119">
        <f t="shared" si="55"/>
        <v>19</v>
      </c>
      <c r="L1146" s="152">
        <f t="shared" si="56"/>
        <v>16.579999999999998</v>
      </c>
      <c r="M1146" s="113"/>
    </row>
    <row r="1147" spans="1:13" x14ac:dyDescent="0.2">
      <c r="A1147" s="106">
        <v>46231</v>
      </c>
      <c r="B1147" s="105" t="s">
        <v>2908</v>
      </c>
      <c r="C1147" s="105" t="s">
        <v>6109</v>
      </c>
      <c r="D1147" s="149" t="s">
        <v>2910</v>
      </c>
      <c r="E1147" s="105">
        <v>3</v>
      </c>
      <c r="F1147" s="134">
        <v>0.76</v>
      </c>
      <c r="G1147" s="134">
        <v>1</v>
      </c>
      <c r="H1147" s="109">
        <f t="shared" si="54"/>
        <v>3</v>
      </c>
      <c r="I1147" s="119"/>
      <c r="J1147" s="119"/>
      <c r="K1147" s="119">
        <f t="shared" si="55"/>
        <v>3</v>
      </c>
      <c r="L1147" s="152">
        <f t="shared" si="56"/>
        <v>2.2800000000000002</v>
      </c>
      <c r="M1147" s="113"/>
    </row>
    <row r="1148" spans="1:13" x14ac:dyDescent="0.2">
      <c r="A1148" s="106">
        <v>46231</v>
      </c>
      <c r="B1148" s="105" t="s">
        <v>4209</v>
      </c>
      <c r="C1148" s="105" t="s">
        <v>6110</v>
      </c>
      <c r="D1148" s="149" t="s">
        <v>4211</v>
      </c>
      <c r="E1148" s="105">
        <v>1</v>
      </c>
      <c r="F1148" s="134">
        <v>38</v>
      </c>
      <c r="G1148" s="134">
        <v>43.75</v>
      </c>
      <c r="H1148" s="109">
        <f t="shared" si="54"/>
        <v>43.75</v>
      </c>
      <c r="I1148" s="119"/>
      <c r="J1148" s="119"/>
      <c r="K1148" s="119">
        <f t="shared" si="55"/>
        <v>43.75</v>
      </c>
      <c r="L1148" s="152">
        <f t="shared" si="56"/>
        <v>38</v>
      </c>
      <c r="M1148" s="113"/>
    </row>
    <row r="1149" spans="1:13" x14ac:dyDescent="0.2">
      <c r="A1149" s="106">
        <v>46231</v>
      </c>
      <c r="B1149" s="105" t="s">
        <v>1940</v>
      </c>
      <c r="C1149" s="105" t="s">
        <v>6111</v>
      </c>
      <c r="D1149" s="149" t="s">
        <v>1941</v>
      </c>
      <c r="E1149" s="105">
        <v>2</v>
      </c>
      <c r="F1149" s="134">
        <v>6</v>
      </c>
      <c r="G1149" s="134">
        <v>7</v>
      </c>
      <c r="H1149" s="109">
        <f t="shared" si="54"/>
        <v>14</v>
      </c>
      <c r="I1149" s="119"/>
      <c r="J1149" s="119"/>
      <c r="K1149" s="119">
        <f t="shared" si="55"/>
        <v>14</v>
      </c>
      <c r="L1149" s="152">
        <f t="shared" si="56"/>
        <v>12</v>
      </c>
      <c r="M1149" s="113"/>
    </row>
    <row r="1150" spans="1:13" x14ac:dyDescent="0.2">
      <c r="A1150" s="106">
        <v>46231</v>
      </c>
      <c r="B1150" s="105" t="s">
        <v>4806</v>
      </c>
      <c r="C1150" s="105" t="s">
        <v>6112</v>
      </c>
      <c r="D1150" s="149" t="s">
        <v>4874</v>
      </c>
      <c r="E1150" s="105">
        <v>2</v>
      </c>
      <c r="F1150" s="134">
        <v>8.58</v>
      </c>
      <c r="G1150" s="134">
        <v>10</v>
      </c>
      <c r="H1150" s="109">
        <f t="shared" si="54"/>
        <v>20</v>
      </c>
      <c r="I1150" s="119"/>
      <c r="J1150" s="119"/>
      <c r="K1150" s="119">
        <f t="shared" ref="K1150:K1158" si="57">H1150+I1150-J1150</f>
        <v>20</v>
      </c>
      <c r="L1150" s="152">
        <f t="shared" si="56"/>
        <v>17.16</v>
      </c>
      <c r="M1150" s="113"/>
    </row>
    <row r="1151" spans="1:13" x14ac:dyDescent="0.2">
      <c r="A1151" s="106">
        <v>46231</v>
      </c>
      <c r="B1151" s="105" t="s">
        <v>3047</v>
      </c>
      <c r="C1151" s="105" t="s">
        <v>6113</v>
      </c>
      <c r="D1151" s="149" t="s">
        <v>3048</v>
      </c>
      <c r="E1151" s="105">
        <v>2</v>
      </c>
      <c r="F1151" s="134">
        <v>37.47</v>
      </c>
      <c r="G1151" s="134">
        <v>43.25</v>
      </c>
      <c r="H1151" s="109">
        <f t="shared" si="54"/>
        <v>86.5</v>
      </c>
      <c r="I1151" s="119"/>
      <c r="J1151" s="119"/>
      <c r="K1151" s="119">
        <f t="shared" si="57"/>
        <v>86.5</v>
      </c>
      <c r="L1151" s="152">
        <f t="shared" si="56"/>
        <v>74.94</v>
      </c>
      <c r="M1151" s="113"/>
    </row>
    <row r="1152" spans="1:13" x14ac:dyDescent="0.2">
      <c r="A1152" s="106">
        <v>46231</v>
      </c>
      <c r="B1152" s="105" t="s">
        <v>3765</v>
      </c>
      <c r="C1152" s="105" t="s">
        <v>6113</v>
      </c>
      <c r="D1152" s="149" t="s">
        <v>3766</v>
      </c>
      <c r="E1152" s="105">
        <v>2</v>
      </c>
      <c r="F1152" s="134">
        <v>68.569999999999993</v>
      </c>
      <c r="G1152" s="134">
        <v>79</v>
      </c>
      <c r="H1152" s="109">
        <f t="shared" si="54"/>
        <v>158</v>
      </c>
      <c r="I1152" s="119"/>
      <c r="J1152" s="119"/>
      <c r="K1152" s="119">
        <f t="shared" si="57"/>
        <v>158</v>
      </c>
      <c r="L1152" s="152">
        <f t="shared" si="56"/>
        <v>137.13999999999999</v>
      </c>
      <c r="M1152" s="113"/>
    </row>
    <row r="1153" spans="1:13" x14ac:dyDescent="0.2">
      <c r="A1153" s="106">
        <v>46231</v>
      </c>
      <c r="B1153" s="105" t="s">
        <v>5246</v>
      </c>
      <c r="C1153" s="105" t="s">
        <v>6114</v>
      </c>
      <c r="D1153" s="149" t="s">
        <v>5406</v>
      </c>
      <c r="E1153" s="105">
        <v>4</v>
      </c>
      <c r="F1153" s="134">
        <v>32.76</v>
      </c>
      <c r="G1153" s="134">
        <v>37.75</v>
      </c>
      <c r="H1153" s="109">
        <f t="shared" si="54"/>
        <v>151</v>
      </c>
      <c r="I1153" s="119"/>
      <c r="J1153" s="119"/>
      <c r="K1153" s="119">
        <f t="shared" si="57"/>
        <v>151</v>
      </c>
      <c r="L1153" s="152">
        <f t="shared" si="56"/>
        <v>131.04</v>
      </c>
      <c r="M1153" s="113"/>
    </row>
    <row r="1154" spans="1:13" x14ac:dyDescent="0.2">
      <c r="A1154" s="106">
        <v>46231</v>
      </c>
      <c r="B1154" s="105" t="s">
        <v>1798</v>
      </c>
      <c r="C1154" s="105" t="s">
        <v>6115</v>
      </c>
      <c r="D1154" s="149" t="s">
        <v>1799</v>
      </c>
      <c r="E1154" s="105">
        <v>1</v>
      </c>
      <c r="F1154" s="134">
        <v>8.1999999999999993</v>
      </c>
      <c r="G1154" s="134">
        <v>9.5</v>
      </c>
      <c r="H1154" s="109">
        <f t="shared" si="54"/>
        <v>9.5</v>
      </c>
      <c r="I1154" s="119"/>
      <c r="J1154" s="119"/>
      <c r="K1154" s="119">
        <f t="shared" si="57"/>
        <v>9.5</v>
      </c>
      <c r="L1154" s="152">
        <f t="shared" si="56"/>
        <v>8.1999999999999993</v>
      </c>
      <c r="M1154" s="113"/>
    </row>
    <row r="1155" spans="1:13" x14ac:dyDescent="0.2">
      <c r="A1155" s="106">
        <v>46231</v>
      </c>
      <c r="B1155" s="105" t="s">
        <v>5982</v>
      </c>
      <c r="C1155" s="105" t="s">
        <v>6116</v>
      </c>
      <c r="D1155" s="149" t="s">
        <v>6100</v>
      </c>
      <c r="E1155" s="105">
        <v>2</v>
      </c>
      <c r="F1155" s="134">
        <v>5.74</v>
      </c>
      <c r="G1155" s="134">
        <v>7</v>
      </c>
      <c r="H1155" s="109">
        <f t="shared" si="54"/>
        <v>14</v>
      </c>
      <c r="I1155" s="119"/>
      <c r="J1155" s="119"/>
      <c r="K1155" s="119">
        <f t="shared" si="57"/>
        <v>14</v>
      </c>
      <c r="L1155" s="152">
        <f t="shared" si="56"/>
        <v>11.48</v>
      </c>
      <c r="M1155" s="113"/>
    </row>
    <row r="1156" spans="1:13" x14ac:dyDescent="0.2">
      <c r="A1156" s="106">
        <v>46231</v>
      </c>
      <c r="B1156" s="105" t="s">
        <v>5238</v>
      </c>
      <c r="C1156" s="105" t="s">
        <v>6116</v>
      </c>
      <c r="D1156" s="149" t="s">
        <v>5398</v>
      </c>
      <c r="E1156" s="105">
        <v>1</v>
      </c>
      <c r="F1156" s="134">
        <v>8.75</v>
      </c>
      <c r="G1156" s="134">
        <v>10.25</v>
      </c>
      <c r="H1156" s="109">
        <f t="shared" si="54"/>
        <v>10.25</v>
      </c>
      <c r="I1156" s="119"/>
      <c r="J1156" s="119"/>
      <c r="K1156" s="119">
        <f t="shared" si="57"/>
        <v>10.25</v>
      </c>
      <c r="L1156" s="152">
        <f t="shared" si="56"/>
        <v>8.75</v>
      </c>
      <c r="M1156" s="113"/>
    </row>
    <row r="1157" spans="1:13" x14ac:dyDescent="0.2">
      <c r="A1157" s="106">
        <v>46231</v>
      </c>
      <c r="B1157" s="105" t="s">
        <v>5982</v>
      </c>
      <c r="C1157" s="105" t="s">
        <v>6117</v>
      </c>
      <c r="D1157" s="149" t="s">
        <v>6100</v>
      </c>
      <c r="E1157" s="105">
        <v>1</v>
      </c>
      <c r="F1157" s="134">
        <v>5.74</v>
      </c>
      <c r="G1157" s="134">
        <v>7</v>
      </c>
      <c r="H1157" s="109">
        <f t="shared" si="54"/>
        <v>7</v>
      </c>
      <c r="I1157" s="119"/>
      <c r="J1157" s="119"/>
      <c r="K1157" s="119">
        <f t="shared" si="57"/>
        <v>7</v>
      </c>
      <c r="L1157" s="152">
        <f t="shared" si="56"/>
        <v>5.74</v>
      </c>
      <c r="M1157" s="113"/>
    </row>
    <row r="1158" spans="1:13" x14ac:dyDescent="0.2">
      <c r="A1158" s="106">
        <v>46231</v>
      </c>
      <c r="B1158" s="105" t="s">
        <v>5126</v>
      </c>
      <c r="C1158" s="105" t="s">
        <v>6118</v>
      </c>
      <c r="D1158" s="149" t="s">
        <v>5174</v>
      </c>
      <c r="E1158" s="105">
        <v>1</v>
      </c>
      <c r="F1158" s="136">
        <v>23.62</v>
      </c>
      <c r="G1158" s="136">
        <v>27.75</v>
      </c>
      <c r="H1158" s="109">
        <f t="shared" si="54"/>
        <v>27.75</v>
      </c>
      <c r="I1158" s="119"/>
      <c r="J1158" s="119"/>
      <c r="K1158" s="119">
        <f t="shared" si="57"/>
        <v>27.75</v>
      </c>
      <c r="L1158" s="152">
        <f t="shared" si="56"/>
        <v>23.62</v>
      </c>
      <c r="M1158" s="113"/>
    </row>
    <row r="1159" spans="1:13" x14ac:dyDescent="0.2">
      <c r="A1159" s="106">
        <v>46231</v>
      </c>
      <c r="B1159" s="105" t="s">
        <v>3052</v>
      </c>
      <c r="C1159" s="105" t="s">
        <v>6118</v>
      </c>
      <c r="D1159" s="149" t="s">
        <v>3053</v>
      </c>
      <c r="E1159" s="105">
        <v>1</v>
      </c>
      <c r="F1159" s="136">
        <v>13.32</v>
      </c>
      <c r="G1159" s="136">
        <v>15.5</v>
      </c>
      <c r="H1159" s="109">
        <f t="shared" ref="H1159:H1222" si="58">E1159*G1159</f>
        <v>15.5</v>
      </c>
      <c r="I1159" s="119"/>
      <c r="J1159" s="119"/>
      <c r="K1159" s="119">
        <f t="shared" ref="K1159:K1222" si="59">H1159+I1159-J1159</f>
        <v>15.5</v>
      </c>
      <c r="L1159" s="152">
        <f t="shared" si="56"/>
        <v>13.32</v>
      </c>
      <c r="M1159" s="113"/>
    </row>
    <row r="1160" spans="1:13" x14ac:dyDescent="0.2">
      <c r="A1160" s="106">
        <v>46231</v>
      </c>
      <c r="B1160" s="105" t="s">
        <v>4328</v>
      </c>
      <c r="C1160" s="105" t="s">
        <v>6119</v>
      </c>
      <c r="D1160" s="149" t="s">
        <v>4358</v>
      </c>
      <c r="E1160" s="105">
        <v>2</v>
      </c>
      <c r="F1160" s="136">
        <v>23.63</v>
      </c>
      <c r="G1160" s="136">
        <v>27.25</v>
      </c>
      <c r="H1160" s="109">
        <f t="shared" si="58"/>
        <v>54.5</v>
      </c>
      <c r="I1160" s="119"/>
      <c r="J1160" s="119"/>
      <c r="K1160" s="119">
        <f t="shared" si="59"/>
        <v>54.5</v>
      </c>
      <c r="L1160" s="152">
        <f t="shared" ref="L1160:L1223" si="60">E1160*F1160</f>
        <v>47.26</v>
      </c>
      <c r="M1160" s="113"/>
    </row>
    <row r="1161" spans="1:13" x14ac:dyDescent="0.2">
      <c r="A1161" s="106">
        <v>46231</v>
      </c>
      <c r="B1161" s="105" t="s">
        <v>3646</v>
      </c>
      <c r="C1161" s="105" t="s">
        <v>6120</v>
      </c>
      <c r="D1161" s="149" t="s">
        <v>3648</v>
      </c>
      <c r="E1161" s="105">
        <v>1</v>
      </c>
      <c r="F1161" s="136">
        <v>30</v>
      </c>
      <c r="G1161" s="136">
        <v>34.5</v>
      </c>
      <c r="H1161" s="109">
        <f t="shared" si="58"/>
        <v>34.5</v>
      </c>
      <c r="I1161" s="119"/>
      <c r="J1161" s="119"/>
      <c r="K1161" s="119">
        <f t="shared" si="59"/>
        <v>34.5</v>
      </c>
      <c r="L1161" s="152">
        <f t="shared" si="60"/>
        <v>30</v>
      </c>
      <c r="M1161" s="113"/>
    </row>
    <row r="1162" spans="1:13" x14ac:dyDescent="0.2">
      <c r="A1162" s="106">
        <v>46231</v>
      </c>
      <c r="B1162" s="105" t="s">
        <v>2908</v>
      </c>
      <c r="C1162" s="105" t="s">
        <v>6121</v>
      </c>
      <c r="D1162" s="149" t="s">
        <v>2910</v>
      </c>
      <c r="E1162" s="105">
        <v>8</v>
      </c>
      <c r="F1162" s="136">
        <v>0.76</v>
      </c>
      <c r="G1162" s="136">
        <v>1</v>
      </c>
      <c r="H1162" s="109">
        <f t="shared" si="58"/>
        <v>8</v>
      </c>
      <c r="I1162" s="119"/>
      <c r="J1162" s="119"/>
      <c r="K1162" s="119">
        <f t="shared" si="59"/>
        <v>8</v>
      </c>
      <c r="L1162" s="152">
        <f t="shared" si="60"/>
        <v>6.08</v>
      </c>
      <c r="M1162" s="113"/>
    </row>
    <row r="1163" spans="1:13" x14ac:dyDescent="0.2">
      <c r="A1163" s="153">
        <v>46231</v>
      </c>
      <c r="B1163" s="154" t="s">
        <v>2185</v>
      </c>
      <c r="C1163" s="154" t="s">
        <v>6122</v>
      </c>
      <c r="D1163" s="155" t="s">
        <v>2187</v>
      </c>
      <c r="E1163" s="154">
        <v>1</v>
      </c>
      <c r="F1163" s="238"/>
      <c r="G1163" s="238">
        <v>59.5</v>
      </c>
      <c r="H1163" s="237">
        <f t="shared" si="58"/>
        <v>59.5</v>
      </c>
      <c r="I1163" s="147"/>
      <c r="J1163" s="147"/>
      <c r="K1163" s="147">
        <f t="shared" si="59"/>
        <v>59.5</v>
      </c>
      <c r="L1163" s="148">
        <f t="shared" si="60"/>
        <v>0</v>
      </c>
      <c r="M1163" s="113"/>
    </row>
    <row r="1164" spans="1:13" x14ac:dyDescent="0.2">
      <c r="A1164" s="106">
        <v>46231</v>
      </c>
      <c r="B1164" s="105" t="s">
        <v>1969</v>
      </c>
      <c r="C1164" s="105" t="s">
        <v>6123</v>
      </c>
      <c r="D1164" s="149" t="s">
        <v>1970</v>
      </c>
      <c r="E1164" s="105">
        <v>3</v>
      </c>
      <c r="F1164" s="134">
        <v>3.6</v>
      </c>
      <c r="G1164" s="134">
        <v>4.25</v>
      </c>
      <c r="H1164" s="109">
        <f t="shared" si="58"/>
        <v>12.75</v>
      </c>
      <c r="I1164" s="119"/>
      <c r="J1164" s="119"/>
      <c r="K1164" s="119">
        <f t="shared" si="59"/>
        <v>12.75</v>
      </c>
      <c r="L1164" s="152">
        <f t="shared" si="60"/>
        <v>10.8</v>
      </c>
      <c r="M1164" s="113"/>
    </row>
    <row r="1165" spans="1:13" x14ac:dyDescent="0.2">
      <c r="A1165" s="106">
        <v>46231</v>
      </c>
      <c r="B1165" s="105" t="s">
        <v>1802</v>
      </c>
      <c r="C1165" s="105" t="s">
        <v>6123</v>
      </c>
      <c r="D1165" s="149" t="s">
        <v>1803</v>
      </c>
      <c r="E1165" s="105">
        <v>1</v>
      </c>
      <c r="F1165" s="134">
        <v>7.75</v>
      </c>
      <c r="G1165" s="134">
        <v>9</v>
      </c>
      <c r="H1165" s="109">
        <f t="shared" si="58"/>
        <v>9</v>
      </c>
      <c r="I1165" s="119"/>
      <c r="J1165" s="119"/>
      <c r="K1165" s="119">
        <f t="shared" si="59"/>
        <v>9</v>
      </c>
      <c r="L1165" s="152">
        <f t="shared" si="60"/>
        <v>7.75</v>
      </c>
      <c r="M1165" s="113"/>
    </row>
    <row r="1166" spans="1:13" x14ac:dyDescent="0.2">
      <c r="A1166" s="106">
        <v>46231</v>
      </c>
      <c r="B1166" s="105" t="s">
        <v>6105</v>
      </c>
      <c r="C1166" s="105" t="s">
        <v>6124</v>
      </c>
      <c r="D1166" s="149" t="s">
        <v>6139</v>
      </c>
      <c r="E1166" s="105">
        <v>1</v>
      </c>
      <c r="F1166" s="134">
        <v>29.51</v>
      </c>
      <c r="G1166" s="134">
        <v>34</v>
      </c>
      <c r="H1166" s="109">
        <f t="shared" si="58"/>
        <v>34</v>
      </c>
      <c r="I1166" s="119"/>
      <c r="J1166" s="119"/>
      <c r="K1166" s="119">
        <f t="shared" si="59"/>
        <v>34</v>
      </c>
      <c r="L1166" s="152">
        <f t="shared" si="60"/>
        <v>29.51</v>
      </c>
      <c r="M1166" s="113"/>
    </row>
    <row r="1167" spans="1:13" x14ac:dyDescent="0.2">
      <c r="A1167" s="106">
        <v>46231</v>
      </c>
      <c r="B1167" s="105" t="s">
        <v>5866</v>
      </c>
      <c r="C1167" s="105" t="s">
        <v>6124</v>
      </c>
      <c r="D1167" s="149" t="s">
        <v>5959</v>
      </c>
      <c r="E1167" s="105">
        <v>2</v>
      </c>
      <c r="F1167" s="134">
        <v>5.61</v>
      </c>
      <c r="G1167" s="134">
        <v>6.5</v>
      </c>
      <c r="H1167" s="109">
        <f t="shared" si="58"/>
        <v>13</v>
      </c>
      <c r="I1167" s="119"/>
      <c r="J1167" s="119"/>
      <c r="K1167" s="119">
        <f t="shared" si="59"/>
        <v>13</v>
      </c>
      <c r="L1167" s="152">
        <f t="shared" si="60"/>
        <v>11.22</v>
      </c>
      <c r="M1167" s="113"/>
    </row>
    <row r="1168" spans="1:13" x14ac:dyDescent="0.2">
      <c r="A1168" s="106">
        <v>46231</v>
      </c>
      <c r="B1168" s="105" t="s">
        <v>3765</v>
      </c>
      <c r="C1168" s="105" t="s">
        <v>6125</v>
      </c>
      <c r="D1168" s="149" t="s">
        <v>3766</v>
      </c>
      <c r="E1168" s="105">
        <v>2</v>
      </c>
      <c r="F1168" s="134">
        <v>68.569999999999993</v>
      </c>
      <c r="G1168" s="134">
        <v>79</v>
      </c>
      <c r="H1168" s="109">
        <f t="shared" si="58"/>
        <v>158</v>
      </c>
      <c r="I1168" s="119"/>
      <c r="J1168" s="119"/>
      <c r="K1168" s="119">
        <f t="shared" si="59"/>
        <v>158</v>
      </c>
      <c r="L1168" s="152">
        <f t="shared" si="60"/>
        <v>137.13999999999999</v>
      </c>
      <c r="M1168" s="113"/>
    </row>
    <row r="1169" spans="1:13" x14ac:dyDescent="0.2">
      <c r="A1169" s="106">
        <v>46231</v>
      </c>
      <c r="B1169" s="105" t="s">
        <v>3047</v>
      </c>
      <c r="C1169" s="105" t="s">
        <v>6125</v>
      </c>
      <c r="D1169" s="149" t="s">
        <v>3048</v>
      </c>
      <c r="E1169" s="105">
        <v>3</v>
      </c>
      <c r="F1169" s="134">
        <v>37.47</v>
      </c>
      <c r="G1169" s="134">
        <v>43.25</v>
      </c>
      <c r="H1169" s="109">
        <f t="shared" si="58"/>
        <v>129.75</v>
      </c>
      <c r="I1169" s="119"/>
      <c r="J1169" s="119"/>
      <c r="K1169" s="119">
        <f t="shared" si="59"/>
        <v>129.75</v>
      </c>
      <c r="L1169" s="152">
        <f t="shared" si="60"/>
        <v>112.41</v>
      </c>
      <c r="M1169" s="113"/>
    </row>
    <row r="1170" spans="1:13" x14ac:dyDescent="0.2">
      <c r="A1170" s="106">
        <v>46231</v>
      </c>
      <c r="B1170" s="105" t="s">
        <v>2301</v>
      </c>
      <c r="C1170" s="105" t="s">
        <v>6126</v>
      </c>
      <c r="D1170" s="149" t="s">
        <v>2302</v>
      </c>
      <c r="E1170" s="105">
        <v>1</v>
      </c>
      <c r="F1170" s="134">
        <v>132.80000000000001</v>
      </c>
      <c r="G1170" s="134">
        <v>152.75</v>
      </c>
      <c r="H1170" s="109">
        <f t="shared" si="58"/>
        <v>152.75</v>
      </c>
      <c r="I1170" s="119"/>
      <c r="J1170" s="119"/>
      <c r="K1170" s="119">
        <f t="shared" si="59"/>
        <v>152.75</v>
      </c>
      <c r="L1170" s="152">
        <f t="shared" si="60"/>
        <v>132.80000000000001</v>
      </c>
      <c r="M1170" s="113"/>
    </row>
    <row r="1171" spans="1:13" x14ac:dyDescent="0.2">
      <c r="A1171" s="106">
        <v>46231</v>
      </c>
      <c r="B1171" s="105" t="s">
        <v>2323</v>
      </c>
      <c r="C1171" s="105" t="s">
        <v>6127</v>
      </c>
      <c r="D1171" s="149" t="s">
        <v>2325</v>
      </c>
      <c r="E1171" s="105">
        <v>1</v>
      </c>
      <c r="F1171" s="134">
        <v>19.100000000000001</v>
      </c>
      <c r="G1171" s="134">
        <v>22</v>
      </c>
      <c r="H1171" s="109">
        <f t="shared" si="58"/>
        <v>22</v>
      </c>
      <c r="I1171" s="119"/>
      <c r="J1171" s="119"/>
      <c r="K1171" s="119">
        <f t="shared" si="59"/>
        <v>22</v>
      </c>
      <c r="L1171" s="152">
        <f t="shared" si="60"/>
        <v>19.100000000000001</v>
      </c>
      <c r="M1171" s="113"/>
    </row>
    <row r="1172" spans="1:13" x14ac:dyDescent="0.2">
      <c r="A1172" s="106">
        <v>46231</v>
      </c>
      <c r="B1172" s="105" t="s">
        <v>2380</v>
      </c>
      <c r="C1172" s="105" t="s">
        <v>6128</v>
      </c>
      <c r="D1172" s="149" t="s">
        <v>2381</v>
      </c>
      <c r="E1172" s="105">
        <v>1</v>
      </c>
      <c r="F1172" s="134">
        <v>22.73</v>
      </c>
      <c r="G1172" s="134">
        <v>26.25</v>
      </c>
      <c r="H1172" s="109">
        <f t="shared" si="58"/>
        <v>26.25</v>
      </c>
      <c r="I1172" s="119"/>
      <c r="J1172" s="119"/>
      <c r="K1172" s="119">
        <f t="shared" si="59"/>
        <v>26.25</v>
      </c>
      <c r="L1172" s="152">
        <f t="shared" si="60"/>
        <v>22.73</v>
      </c>
      <c r="M1172" s="113"/>
    </row>
    <row r="1173" spans="1:13" x14ac:dyDescent="0.2">
      <c r="A1173" s="106">
        <v>46231</v>
      </c>
      <c r="B1173" s="105" t="s">
        <v>5696</v>
      </c>
      <c r="C1173" s="105" t="s">
        <v>6129</v>
      </c>
      <c r="D1173" s="149" t="s">
        <v>5834</v>
      </c>
      <c r="E1173" s="105">
        <v>1</v>
      </c>
      <c r="F1173" s="134">
        <v>6.89</v>
      </c>
      <c r="G1173" s="134">
        <v>8</v>
      </c>
      <c r="H1173" s="109">
        <f t="shared" si="58"/>
        <v>8</v>
      </c>
      <c r="I1173" s="119"/>
      <c r="J1173" s="119"/>
      <c r="K1173" s="119">
        <f t="shared" si="59"/>
        <v>8</v>
      </c>
      <c r="L1173" s="152">
        <f t="shared" si="60"/>
        <v>6.89</v>
      </c>
      <c r="M1173" s="113"/>
    </row>
    <row r="1174" spans="1:13" x14ac:dyDescent="0.2">
      <c r="A1174" s="106">
        <v>46231</v>
      </c>
      <c r="B1174" s="105" t="s">
        <v>2323</v>
      </c>
      <c r="C1174" s="105" t="s">
        <v>6130</v>
      </c>
      <c r="D1174" s="149" t="s">
        <v>2325</v>
      </c>
      <c r="E1174" s="105">
        <v>1</v>
      </c>
      <c r="F1174" s="134">
        <v>19.100000000000001</v>
      </c>
      <c r="G1174" s="134">
        <v>22</v>
      </c>
      <c r="H1174" s="109">
        <f t="shared" si="58"/>
        <v>22</v>
      </c>
      <c r="I1174" s="119"/>
      <c r="J1174" s="119"/>
      <c r="K1174" s="119">
        <f t="shared" si="59"/>
        <v>22</v>
      </c>
      <c r="L1174" s="152">
        <f t="shared" si="60"/>
        <v>19.100000000000001</v>
      </c>
      <c r="M1174" s="113"/>
    </row>
    <row r="1175" spans="1:13" x14ac:dyDescent="0.2">
      <c r="A1175" s="106">
        <v>46231</v>
      </c>
      <c r="B1175" s="105" t="s">
        <v>1884</v>
      </c>
      <c r="C1175" s="105" t="s">
        <v>6131</v>
      </c>
      <c r="D1175" s="149" t="s">
        <v>1885</v>
      </c>
      <c r="E1175" s="105">
        <v>1</v>
      </c>
      <c r="F1175" s="134">
        <v>7.06</v>
      </c>
      <c r="G1175" s="134">
        <v>8.25</v>
      </c>
      <c r="H1175" s="109">
        <f t="shared" si="58"/>
        <v>8.25</v>
      </c>
      <c r="I1175" s="119"/>
      <c r="J1175" s="119"/>
      <c r="K1175" s="119">
        <f t="shared" si="59"/>
        <v>8.25</v>
      </c>
      <c r="L1175" s="152">
        <f t="shared" si="60"/>
        <v>7.06</v>
      </c>
      <c r="M1175" s="113"/>
    </row>
    <row r="1176" spans="1:13" x14ac:dyDescent="0.2">
      <c r="A1176" s="106">
        <v>46231</v>
      </c>
      <c r="B1176" s="105" t="s">
        <v>4567</v>
      </c>
      <c r="C1176" s="105" t="s">
        <v>6131</v>
      </c>
      <c r="D1176" s="149" t="s">
        <v>4672</v>
      </c>
      <c r="E1176" s="105">
        <v>1</v>
      </c>
      <c r="F1176" s="134">
        <v>7.06</v>
      </c>
      <c r="G1176" s="134">
        <v>8.25</v>
      </c>
      <c r="H1176" s="109">
        <f t="shared" si="58"/>
        <v>8.25</v>
      </c>
      <c r="I1176" s="119"/>
      <c r="J1176" s="119"/>
      <c r="K1176" s="119">
        <f t="shared" si="59"/>
        <v>8.25</v>
      </c>
      <c r="L1176" s="152">
        <f t="shared" si="60"/>
        <v>7.06</v>
      </c>
      <c r="M1176" s="113"/>
    </row>
    <row r="1177" spans="1:13" x14ac:dyDescent="0.2">
      <c r="A1177" s="106">
        <v>46231</v>
      </c>
      <c r="B1177" s="105" t="s">
        <v>3909</v>
      </c>
      <c r="C1177" s="105" t="s">
        <v>6132</v>
      </c>
      <c r="D1177" s="149" t="s">
        <v>3911</v>
      </c>
      <c r="E1177" s="105">
        <v>2</v>
      </c>
      <c r="F1177" s="134">
        <v>7.06</v>
      </c>
      <c r="G1177" s="134">
        <v>8.25</v>
      </c>
      <c r="H1177" s="109">
        <f t="shared" si="58"/>
        <v>16.5</v>
      </c>
      <c r="I1177" s="119"/>
      <c r="J1177" s="119"/>
      <c r="K1177" s="119">
        <f t="shared" si="59"/>
        <v>16.5</v>
      </c>
      <c r="L1177" s="152">
        <f t="shared" si="60"/>
        <v>14.12</v>
      </c>
      <c r="M1177" s="113"/>
    </row>
    <row r="1178" spans="1:13" x14ac:dyDescent="0.2">
      <c r="A1178" s="106">
        <v>46231</v>
      </c>
      <c r="B1178" s="105" t="s">
        <v>1798</v>
      </c>
      <c r="C1178" s="105" t="s">
        <v>6133</v>
      </c>
      <c r="D1178" s="149" t="s">
        <v>1799</v>
      </c>
      <c r="E1178" s="105">
        <v>1</v>
      </c>
      <c r="F1178" s="134">
        <v>8.1999999999999993</v>
      </c>
      <c r="G1178" s="134">
        <v>9.5</v>
      </c>
      <c r="H1178" s="109">
        <f t="shared" si="58"/>
        <v>9.5</v>
      </c>
      <c r="I1178" s="119"/>
      <c r="J1178" s="119"/>
      <c r="K1178" s="119">
        <f t="shared" si="59"/>
        <v>9.5</v>
      </c>
      <c r="L1178" s="152">
        <f t="shared" si="60"/>
        <v>8.1999999999999993</v>
      </c>
      <c r="M1178" s="113"/>
    </row>
    <row r="1179" spans="1:13" x14ac:dyDescent="0.2">
      <c r="A1179" s="106">
        <v>46231</v>
      </c>
      <c r="B1179" s="105" t="s">
        <v>2323</v>
      </c>
      <c r="C1179" s="105" t="s">
        <v>6133</v>
      </c>
      <c r="D1179" s="149" t="s">
        <v>2325</v>
      </c>
      <c r="E1179" s="105">
        <v>1</v>
      </c>
      <c r="F1179" s="134">
        <v>19.100000000000001</v>
      </c>
      <c r="G1179" s="134">
        <v>22</v>
      </c>
      <c r="H1179" s="109">
        <f t="shared" si="58"/>
        <v>22</v>
      </c>
      <c r="I1179" s="119"/>
      <c r="J1179" s="119"/>
      <c r="K1179" s="119">
        <f t="shared" si="59"/>
        <v>22</v>
      </c>
      <c r="L1179" s="152">
        <f t="shared" si="60"/>
        <v>19.100000000000001</v>
      </c>
      <c r="M1179" s="113"/>
    </row>
    <row r="1180" spans="1:13" x14ac:dyDescent="0.2">
      <c r="A1180" s="106">
        <v>46231</v>
      </c>
      <c r="B1180" s="105" t="s">
        <v>6106</v>
      </c>
      <c r="C1180" s="105" t="s">
        <v>6134</v>
      </c>
      <c r="D1180" s="149" t="s">
        <v>6140</v>
      </c>
      <c r="E1180" s="105">
        <v>1</v>
      </c>
      <c r="F1180" s="134">
        <v>22000</v>
      </c>
      <c r="G1180" s="134">
        <v>24000</v>
      </c>
      <c r="H1180" s="109"/>
      <c r="I1180" s="119">
        <v>24000</v>
      </c>
      <c r="J1180" s="119"/>
      <c r="K1180" s="119">
        <f t="shared" si="59"/>
        <v>24000</v>
      </c>
      <c r="L1180" s="152">
        <f t="shared" si="60"/>
        <v>22000</v>
      </c>
      <c r="M1180" s="113"/>
    </row>
    <row r="1181" spans="1:13" x14ac:dyDescent="0.2">
      <c r="A1181" s="106">
        <v>46231</v>
      </c>
      <c r="B1181" s="105" t="s">
        <v>2158</v>
      </c>
      <c r="C1181" s="105" t="s">
        <v>6135</v>
      </c>
      <c r="D1181" s="149" t="s">
        <v>2160</v>
      </c>
      <c r="E1181" s="105">
        <v>2</v>
      </c>
      <c r="F1181" s="134">
        <v>56.31</v>
      </c>
      <c r="G1181" s="134">
        <v>67.5</v>
      </c>
      <c r="H1181" s="109">
        <f t="shared" si="58"/>
        <v>135</v>
      </c>
      <c r="I1181" s="119"/>
      <c r="J1181" s="119"/>
      <c r="K1181" s="119">
        <f t="shared" si="59"/>
        <v>135</v>
      </c>
      <c r="L1181" s="152">
        <f t="shared" si="60"/>
        <v>112.62</v>
      </c>
      <c r="M1181" s="113"/>
    </row>
    <row r="1182" spans="1:13" x14ac:dyDescent="0.2">
      <c r="A1182" s="106">
        <v>46231</v>
      </c>
      <c r="B1182" s="105" t="s">
        <v>2205</v>
      </c>
      <c r="C1182" s="105" t="s">
        <v>6135</v>
      </c>
      <c r="D1182" s="149" t="s">
        <v>2207</v>
      </c>
      <c r="E1182" s="105">
        <v>1</v>
      </c>
      <c r="F1182" s="134">
        <v>41.86</v>
      </c>
      <c r="G1182" s="134">
        <v>48.25</v>
      </c>
      <c r="H1182" s="109">
        <f t="shared" si="58"/>
        <v>48.25</v>
      </c>
      <c r="I1182" s="119"/>
      <c r="J1182" s="119"/>
      <c r="K1182" s="119">
        <f t="shared" si="59"/>
        <v>48.25</v>
      </c>
      <c r="L1182" s="152">
        <f t="shared" si="60"/>
        <v>41.86</v>
      </c>
      <c r="M1182" s="113"/>
    </row>
    <row r="1183" spans="1:13" x14ac:dyDescent="0.2">
      <c r="A1183" s="106">
        <v>46231</v>
      </c>
      <c r="B1183" s="105" t="s">
        <v>1929</v>
      </c>
      <c r="C1183" s="105" t="s">
        <v>6135</v>
      </c>
      <c r="D1183" s="149" t="s">
        <v>1930</v>
      </c>
      <c r="E1183" s="105">
        <v>1</v>
      </c>
      <c r="F1183" s="134">
        <v>13.92</v>
      </c>
      <c r="G1183" s="134">
        <v>22</v>
      </c>
      <c r="H1183" s="109">
        <f t="shared" si="58"/>
        <v>22</v>
      </c>
      <c r="I1183" s="119"/>
      <c r="J1183" s="119"/>
      <c r="K1183" s="119">
        <f t="shared" si="59"/>
        <v>22</v>
      </c>
      <c r="L1183" s="152">
        <f t="shared" si="60"/>
        <v>13.92</v>
      </c>
      <c r="M1183" s="113"/>
    </row>
    <row r="1184" spans="1:13" x14ac:dyDescent="0.2">
      <c r="A1184" s="106">
        <v>46231</v>
      </c>
      <c r="B1184" s="105" t="s">
        <v>5243</v>
      </c>
      <c r="C1184" s="105" t="s">
        <v>6136</v>
      </c>
      <c r="D1184" s="149" t="s">
        <v>5403</v>
      </c>
      <c r="E1184" s="105">
        <v>1</v>
      </c>
      <c r="F1184" s="134">
        <v>22.19</v>
      </c>
      <c r="G1184" s="134">
        <v>25.75</v>
      </c>
      <c r="H1184" s="109">
        <f t="shared" si="58"/>
        <v>25.75</v>
      </c>
      <c r="I1184" s="119"/>
      <c r="J1184" s="119"/>
      <c r="K1184" s="119">
        <f t="shared" si="59"/>
        <v>25.75</v>
      </c>
      <c r="L1184" s="152">
        <f t="shared" si="60"/>
        <v>22.19</v>
      </c>
      <c r="M1184" s="113"/>
    </row>
    <row r="1185" spans="1:13" x14ac:dyDescent="0.2">
      <c r="A1185" s="106">
        <v>46231</v>
      </c>
      <c r="B1185" s="105" t="s">
        <v>3652</v>
      </c>
      <c r="C1185" s="105" t="s">
        <v>6137</v>
      </c>
      <c r="D1185" s="149" t="s">
        <v>3653</v>
      </c>
      <c r="E1185" s="157">
        <v>1</v>
      </c>
      <c r="F1185" s="134">
        <v>75</v>
      </c>
      <c r="G1185" s="134">
        <v>83</v>
      </c>
      <c r="H1185" s="109">
        <f t="shared" si="58"/>
        <v>83</v>
      </c>
      <c r="I1185" s="119"/>
      <c r="J1185" s="119"/>
      <c r="K1185" s="119">
        <f t="shared" si="59"/>
        <v>83</v>
      </c>
      <c r="L1185" s="152">
        <f t="shared" si="60"/>
        <v>75</v>
      </c>
      <c r="M1185" s="113"/>
    </row>
    <row r="1186" spans="1:13" x14ac:dyDescent="0.2">
      <c r="A1186" s="106">
        <v>46231</v>
      </c>
      <c r="B1186" s="105" t="s">
        <v>2884</v>
      </c>
      <c r="C1186" s="105" t="s">
        <v>6138</v>
      </c>
      <c r="D1186" s="149" t="s">
        <v>2886</v>
      </c>
      <c r="E1186" s="105">
        <v>2</v>
      </c>
      <c r="F1186" s="134">
        <v>302.13</v>
      </c>
      <c r="G1186" s="134">
        <v>362.75</v>
      </c>
      <c r="H1186" s="109">
        <f t="shared" si="58"/>
        <v>725.5</v>
      </c>
      <c r="I1186" s="119"/>
      <c r="J1186" s="119"/>
      <c r="K1186" s="119">
        <f t="shared" si="59"/>
        <v>725.5</v>
      </c>
      <c r="L1186" s="152">
        <f t="shared" si="60"/>
        <v>604.26</v>
      </c>
      <c r="M1186" s="113"/>
    </row>
    <row r="1187" spans="1:13" x14ac:dyDescent="0.2">
      <c r="A1187" s="106">
        <v>46232</v>
      </c>
      <c r="B1187" s="105" t="s">
        <v>5979</v>
      </c>
      <c r="C1187" s="105" t="s">
        <v>6145</v>
      </c>
      <c r="D1187" s="149" t="s">
        <v>6097</v>
      </c>
      <c r="E1187" s="105">
        <v>1</v>
      </c>
      <c r="F1187" s="134">
        <v>5.74</v>
      </c>
      <c r="G1187" s="134">
        <v>7</v>
      </c>
      <c r="H1187" s="109">
        <f t="shared" si="58"/>
        <v>7</v>
      </c>
      <c r="I1187" s="119"/>
      <c r="J1187" s="119"/>
      <c r="K1187" s="119">
        <f t="shared" si="59"/>
        <v>7</v>
      </c>
      <c r="L1187" s="152">
        <f t="shared" si="60"/>
        <v>5.74</v>
      </c>
      <c r="M1187" s="113"/>
    </row>
    <row r="1188" spans="1:13" x14ac:dyDescent="0.2">
      <c r="A1188" s="106">
        <v>46232</v>
      </c>
      <c r="B1188" s="105" t="s">
        <v>5982</v>
      </c>
      <c r="C1188" s="105" t="s">
        <v>6145</v>
      </c>
      <c r="D1188" s="149" t="s">
        <v>6100</v>
      </c>
      <c r="E1188" s="105">
        <v>1</v>
      </c>
      <c r="F1188" s="134">
        <v>5.74</v>
      </c>
      <c r="G1188" s="134">
        <v>7</v>
      </c>
      <c r="H1188" s="109">
        <f t="shared" si="58"/>
        <v>7</v>
      </c>
      <c r="I1188" s="119"/>
      <c r="J1188" s="119"/>
      <c r="K1188" s="119">
        <f t="shared" si="59"/>
        <v>7</v>
      </c>
      <c r="L1188" s="152">
        <f t="shared" si="60"/>
        <v>5.74</v>
      </c>
      <c r="M1188" s="113"/>
    </row>
    <row r="1189" spans="1:13" x14ac:dyDescent="0.2">
      <c r="A1189" s="106">
        <v>46232</v>
      </c>
      <c r="B1189" s="105" t="s">
        <v>2690</v>
      </c>
      <c r="C1189" s="105" t="s">
        <v>6146</v>
      </c>
      <c r="D1189" s="149" t="s">
        <v>2692</v>
      </c>
      <c r="E1189" s="105">
        <v>1</v>
      </c>
      <c r="F1189" s="134">
        <v>32.86</v>
      </c>
      <c r="G1189" s="134">
        <v>38</v>
      </c>
      <c r="H1189" s="109">
        <f t="shared" si="58"/>
        <v>38</v>
      </c>
      <c r="I1189" s="119"/>
      <c r="J1189" s="119"/>
      <c r="K1189" s="119">
        <f t="shared" si="59"/>
        <v>38</v>
      </c>
      <c r="L1189" s="152">
        <f t="shared" si="60"/>
        <v>32.86</v>
      </c>
      <c r="M1189" s="113"/>
    </row>
    <row r="1190" spans="1:13" x14ac:dyDescent="0.2">
      <c r="A1190" s="106">
        <v>46232</v>
      </c>
      <c r="B1190" s="105" t="s">
        <v>3753</v>
      </c>
      <c r="C1190" s="105" t="s">
        <v>6146</v>
      </c>
      <c r="D1190" s="149" t="s">
        <v>3755</v>
      </c>
      <c r="E1190" s="105">
        <v>2</v>
      </c>
      <c r="F1190" s="134">
        <v>18.98</v>
      </c>
      <c r="G1190" s="134">
        <v>22</v>
      </c>
      <c r="H1190" s="109">
        <f t="shared" si="58"/>
        <v>44</v>
      </c>
      <c r="I1190" s="119"/>
      <c r="J1190" s="119"/>
      <c r="K1190" s="119">
        <f t="shared" si="59"/>
        <v>44</v>
      </c>
      <c r="L1190" s="152">
        <f t="shared" si="60"/>
        <v>37.96</v>
      </c>
      <c r="M1190" s="113"/>
    </row>
    <row r="1191" spans="1:13" x14ac:dyDescent="0.2">
      <c r="A1191" s="106">
        <v>46232</v>
      </c>
      <c r="B1191" s="105" t="s">
        <v>3280</v>
      </c>
      <c r="C1191" s="105" t="s">
        <v>6146</v>
      </c>
      <c r="D1191" s="149" t="s">
        <v>3281</v>
      </c>
      <c r="E1191" s="105">
        <v>1</v>
      </c>
      <c r="F1191" s="134">
        <v>40.06</v>
      </c>
      <c r="G1191" s="134">
        <v>46.25</v>
      </c>
      <c r="H1191" s="109">
        <f t="shared" si="58"/>
        <v>46.25</v>
      </c>
      <c r="I1191" s="119"/>
      <c r="J1191" s="119"/>
      <c r="K1191" s="119">
        <f t="shared" si="59"/>
        <v>46.25</v>
      </c>
      <c r="L1191" s="152">
        <f t="shared" si="60"/>
        <v>40.06</v>
      </c>
      <c r="M1191" s="113"/>
    </row>
    <row r="1192" spans="1:13" x14ac:dyDescent="0.2">
      <c r="A1192" s="106">
        <v>46232</v>
      </c>
      <c r="B1192" s="105" t="s">
        <v>6143</v>
      </c>
      <c r="C1192" s="105" t="s">
        <v>6146</v>
      </c>
      <c r="D1192" s="149" t="s">
        <v>6174</v>
      </c>
      <c r="E1192" s="105">
        <v>1</v>
      </c>
      <c r="F1192" s="134">
        <v>39.85</v>
      </c>
      <c r="G1192" s="134">
        <v>46</v>
      </c>
      <c r="H1192" s="109">
        <f t="shared" si="58"/>
        <v>46</v>
      </c>
      <c r="I1192" s="119"/>
      <c r="J1192" s="119"/>
      <c r="K1192" s="119">
        <f t="shared" si="59"/>
        <v>46</v>
      </c>
      <c r="L1192" s="152">
        <f t="shared" si="60"/>
        <v>39.85</v>
      </c>
      <c r="M1192" s="113"/>
    </row>
    <row r="1193" spans="1:13" x14ac:dyDescent="0.2">
      <c r="A1193" s="106">
        <v>46232</v>
      </c>
      <c r="B1193" s="105" t="s">
        <v>3909</v>
      </c>
      <c r="C1193" s="105" t="s">
        <v>6147</v>
      </c>
      <c r="D1193" s="149" t="s">
        <v>3911</v>
      </c>
      <c r="E1193" s="105">
        <v>1</v>
      </c>
      <c r="F1193" s="134">
        <v>7.06</v>
      </c>
      <c r="G1193" s="134">
        <v>8.25</v>
      </c>
      <c r="H1193" s="109">
        <f t="shared" si="58"/>
        <v>8.25</v>
      </c>
      <c r="I1193" s="119"/>
      <c r="J1193" s="119"/>
      <c r="K1193" s="119">
        <f t="shared" si="59"/>
        <v>8.25</v>
      </c>
      <c r="L1193" s="152">
        <f t="shared" si="60"/>
        <v>7.06</v>
      </c>
      <c r="M1193" s="113"/>
    </row>
    <row r="1194" spans="1:13" x14ac:dyDescent="0.2">
      <c r="A1194" s="106">
        <v>46232</v>
      </c>
      <c r="B1194" s="105" t="s">
        <v>1802</v>
      </c>
      <c r="C1194" s="105" t="s">
        <v>6148</v>
      </c>
      <c r="D1194" s="149" t="s">
        <v>1803</v>
      </c>
      <c r="E1194" s="105">
        <v>1</v>
      </c>
      <c r="F1194" s="134">
        <v>7.75</v>
      </c>
      <c r="G1194" s="134">
        <v>9</v>
      </c>
      <c r="H1194" s="109">
        <f t="shared" si="58"/>
        <v>9</v>
      </c>
      <c r="I1194" s="119"/>
      <c r="J1194" s="119"/>
      <c r="K1194" s="119">
        <f t="shared" si="59"/>
        <v>9</v>
      </c>
      <c r="L1194" s="152">
        <f t="shared" si="60"/>
        <v>7.75</v>
      </c>
      <c r="M1194" s="113"/>
    </row>
    <row r="1195" spans="1:13" x14ac:dyDescent="0.2">
      <c r="A1195" s="106">
        <v>46232</v>
      </c>
      <c r="B1195" s="105" t="s">
        <v>1884</v>
      </c>
      <c r="C1195" s="105" t="s">
        <v>6149</v>
      </c>
      <c r="D1195" s="149" t="s">
        <v>1885</v>
      </c>
      <c r="E1195" s="105">
        <v>1</v>
      </c>
      <c r="F1195" s="134">
        <v>7.06</v>
      </c>
      <c r="G1195" s="134">
        <v>8.25</v>
      </c>
      <c r="H1195" s="109">
        <f t="shared" si="58"/>
        <v>8.25</v>
      </c>
      <c r="I1195" s="119"/>
      <c r="J1195" s="119"/>
      <c r="K1195" s="119">
        <f t="shared" si="59"/>
        <v>8.25</v>
      </c>
      <c r="L1195" s="152">
        <f t="shared" si="60"/>
        <v>7.06</v>
      </c>
      <c r="M1195" s="113"/>
    </row>
    <row r="1196" spans="1:13" x14ac:dyDescent="0.2">
      <c r="A1196" s="106">
        <v>46232</v>
      </c>
      <c r="B1196" s="105" t="s">
        <v>3119</v>
      </c>
      <c r="C1196" s="105" t="s">
        <v>6150</v>
      </c>
      <c r="D1196" s="149" t="s">
        <v>3120</v>
      </c>
      <c r="E1196" s="105">
        <v>1</v>
      </c>
      <c r="F1196" s="134">
        <v>96.67</v>
      </c>
      <c r="G1196" s="134">
        <v>111.25</v>
      </c>
      <c r="H1196" s="109">
        <f t="shared" si="58"/>
        <v>111.25</v>
      </c>
      <c r="I1196" s="119"/>
      <c r="J1196" s="119"/>
      <c r="K1196" s="119">
        <f t="shared" si="59"/>
        <v>111.25</v>
      </c>
      <c r="L1196" s="152">
        <f t="shared" si="60"/>
        <v>96.67</v>
      </c>
      <c r="M1196" s="113"/>
    </row>
    <row r="1197" spans="1:13" x14ac:dyDescent="0.2">
      <c r="A1197" s="106">
        <v>46232</v>
      </c>
      <c r="B1197" s="105" t="s">
        <v>2323</v>
      </c>
      <c r="C1197" s="105" t="s">
        <v>6151</v>
      </c>
      <c r="D1197" s="149" t="s">
        <v>2325</v>
      </c>
      <c r="E1197" s="105">
        <v>3</v>
      </c>
      <c r="F1197" s="134">
        <v>19.100000000000001</v>
      </c>
      <c r="G1197" s="134">
        <v>22</v>
      </c>
      <c r="H1197" s="109">
        <f t="shared" si="58"/>
        <v>66</v>
      </c>
      <c r="I1197" s="119"/>
      <c r="J1197" s="119"/>
      <c r="K1197" s="119">
        <f t="shared" si="59"/>
        <v>66</v>
      </c>
      <c r="L1197" s="152">
        <f t="shared" si="60"/>
        <v>57.300000000000004</v>
      </c>
      <c r="M1197" s="113"/>
    </row>
    <row r="1198" spans="1:13" x14ac:dyDescent="0.2">
      <c r="A1198" s="106">
        <v>46232</v>
      </c>
      <c r="B1198" s="105" t="s">
        <v>3434</v>
      </c>
      <c r="C1198" s="105" t="s">
        <v>6152</v>
      </c>
      <c r="D1198" s="149" t="s">
        <v>3436</v>
      </c>
      <c r="E1198" s="105">
        <v>1</v>
      </c>
      <c r="F1198" s="134">
        <v>7.41</v>
      </c>
      <c r="G1198" s="134">
        <v>8.75</v>
      </c>
      <c r="H1198" s="109">
        <f t="shared" si="58"/>
        <v>8.75</v>
      </c>
      <c r="I1198" s="119"/>
      <c r="J1198" s="119"/>
      <c r="K1198" s="119">
        <f t="shared" si="59"/>
        <v>8.75</v>
      </c>
      <c r="L1198" s="152">
        <f t="shared" si="60"/>
        <v>7.41</v>
      </c>
      <c r="M1198" s="113"/>
    </row>
    <row r="1199" spans="1:13" x14ac:dyDescent="0.2">
      <c r="A1199" s="106">
        <v>46232</v>
      </c>
      <c r="B1199" s="105" t="s">
        <v>2581</v>
      </c>
      <c r="C1199" s="105" t="s">
        <v>6153</v>
      </c>
      <c r="D1199" s="149" t="s">
        <v>2583</v>
      </c>
      <c r="E1199" s="105">
        <v>12</v>
      </c>
      <c r="F1199" s="134">
        <v>6.02</v>
      </c>
      <c r="G1199" s="134">
        <v>7.25</v>
      </c>
      <c r="H1199" s="109">
        <f t="shared" si="58"/>
        <v>87</v>
      </c>
      <c r="I1199" s="119"/>
      <c r="J1199" s="119"/>
      <c r="K1199" s="119">
        <f t="shared" si="59"/>
        <v>87</v>
      </c>
      <c r="L1199" s="152">
        <f t="shared" si="60"/>
        <v>72.239999999999995</v>
      </c>
      <c r="M1199" s="113"/>
    </row>
    <row r="1200" spans="1:13" x14ac:dyDescent="0.2">
      <c r="A1200" s="106">
        <v>46232</v>
      </c>
      <c r="B1200" s="105" t="s">
        <v>2521</v>
      </c>
      <c r="C1200" s="105" t="s">
        <v>6153</v>
      </c>
      <c r="D1200" s="149" t="s">
        <v>2522</v>
      </c>
      <c r="E1200" s="105">
        <v>12</v>
      </c>
      <c r="F1200" s="134">
        <v>6.12</v>
      </c>
      <c r="G1200" s="134">
        <v>7.25</v>
      </c>
      <c r="H1200" s="109">
        <f t="shared" si="58"/>
        <v>87</v>
      </c>
      <c r="I1200" s="119"/>
      <c r="J1200" s="119"/>
      <c r="K1200" s="119">
        <f t="shared" si="59"/>
        <v>87</v>
      </c>
      <c r="L1200" s="152">
        <f t="shared" si="60"/>
        <v>73.44</v>
      </c>
      <c r="M1200" s="113"/>
    </row>
    <row r="1201" spans="1:13" x14ac:dyDescent="0.2">
      <c r="A1201" s="106">
        <v>46232</v>
      </c>
      <c r="B1201" s="105" t="s">
        <v>5696</v>
      </c>
      <c r="C1201" s="105" t="s">
        <v>6153</v>
      </c>
      <c r="D1201" s="149" t="s">
        <v>5834</v>
      </c>
      <c r="E1201" s="105">
        <v>12</v>
      </c>
      <c r="F1201" s="134">
        <v>6.89</v>
      </c>
      <c r="G1201" s="134">
        <v>8</v>
      </c>
      <c r="H1201" s="109">
        <f t="shared" si="58"/>
        <v>96</v>
      </c>
      <c r="I1201" s="119"/>
      <c r="J1201" s="119"/>
      <c r="K1201" s="119">
        <f t="shared" si="59"/>
        <v>96</v>
      </c>
      <c r="L1201" s="152">
        <f t="shared" si="60"/>
        <v>82.679999999999993</v>
      </c>
      <c r="M1201" s="113"/>
    </row>
    <row r="1202" spans="1:13" x14ac:dyDescent="0.2">
      <c r="A1202" s="106">
        <v>46232</v>
      </c>
      <c r="B1202" s="105" t="s">
        <v>2878</v>
      </c>
      <c r="C1202" s="105" t="s">
        <v>6153</v>
      </c>
      <c r="D1202" s="149" t="s">
        <v>2880</v>
      </c>
      <c r="E1202" s="105">
        <v>1</v>
      </c>
      <c r="F1202" s="134">
        <v>60.4</v>
      </c>
      <c r="G1202" s="134">
        <v>70</v>
      </c>
      <c r="H1202" s="109">
        <f t="shared" si="58"/>
        <v>70</v>
      </c>
      <c r="I1202" s="119"/>
      <c r="J1202" s="119"/>
      <c r="K1202" s="119">
        <f t="shared" si="59"/>
        <v>70</v>
      </c>
      <c r="L1202" s="152">
        <f t="shared" si="60"/>
        <v>60.4</v>
      </c>
      <c r="M1202" s="113"/>
    </row>
    <row r="1203" spans="1:13" x14ac:dyDescent="0.2">
      <c r="A1203" s="106">
        <v>46232</v>
      </c>
      <c r="B1203" s="105" t="s">
        <v>2690</v>
      </c>
      <c r="C1203" s="105" t="s">
        <v>6153</v>
      </c>
      <c r="D1203" s="149" t="s">
        <v>2692</v>
      </c>
      <c r="E1203" s="105">
        <v>3</v>
      </c>
      <c r="F1203" s="134">
        <v>32.86</v>
      </c>
      <c r="G1203" s="134">
        <v>38</v>
      </c>
      <c r="H1203" s="109">
        <f t="shared" si="58"/>
        <v>114</v>
      </c>
      <c r="I1203" s="119"/>
      <c r="J1203" s="119"/>
      <c r="K1203" s="119">
        <f t="shared" si="59"/>
        <v>114</v>
      </c>
      <c r="L1203" s="152">
        <f t="shared" si="60"/>
        <v>98.58</v>
      </c>
      <c r="M1203" s="113"/>
    </row>
    <row r="1204" spans="1:13" x14ac:dyDescent="0.2">
      <c r="A1204" s="106">
        <v>46232</v>
      </c>
      <c r="B1204" s="105" t="s">
        <v>3825</v>
      </c>
      <c r="C1204" s="105" t="s">
        <v>6153</v>
      </c>
      <c r="D1204" s="149" t="s">
        <v>3827</v>
      </c>
      <c r="E1204" s="105">
        <v>1</v>
      </c>
      <c r="F1204" s="134">
        <v>63.2</v>
      </c>
      <c r="G1204" s="134">
        <v>72.75</v>
      </c>
      <c r="H1204" s="109">
        <f t="shared" si="58"/>
        <v>72.75</v>
      </c>
      <c r="I1204" s="119"/>
      <c r="J1204" s="119"/>
      <c r="K1204" s="119">
        <f t="shared" si="59"/>
        <v>72.75</v>
      </c>
      <c r="L1204" s="152">
        <f t="shared" si="60"/>
        <v>63.2</v>
      </c>
      <c r="M1204" s="113"/>
    </row>
    <row r="1205" spans="1:13" x14ac:dyDescent="0.2">
      <c r="A1205" s="106">
        <v>46232</v>
      </c>
      <c r="B1205" s="105" t="s">
        <v>2115</v>
      </c>
      <c r="C1205" s="105" t="s">
        <v>6154</v>
      </c>
      <c r="D1205" s="149" t="s">
        <v>2117</v>
      </c>
      <c r="E1205" s="105">
        <v>1</v>
      </c>
      <c r="F1205" s="134">
        <v>84.8</v>
      </c>
      <c r="G1205" s="134">
        <v>94</v>
      </c>
      <c r="H1205" s="109">
        <f t="shared" si="58"/>
        <v>94</v>
      </c>
      <c r="I1205" s="119"/>
      <c r="J1205" s="119"/>
      <c r="K1205" s="119">
        <f t="shared" si="59"/>
        <v>94</v>
      </c>
      <c r="L1205" s="152">
        <f t="shared" si="60"/>
        <v>84.8</v>
      </c>
      <c r="M1205" s="113"/>
    </row>
    <row r="1206" spans="1:13" x14ac:dyDescent="0.2">
      <c r="A1206" s="106">
        <v>46232</v>
      </c>
      <c r="B1206" s="105" t="s">
        <v>3983</v>
      </c>
      <c r="C1206" s="105" t="s">
        <v>6154</v>
      </c>
      <c r="D1206" s="149" t="s">
        <v>3984</v>
      </c>
      <c r="E1206" s="105">
        <v>12</v>
      </c>
      <c r="F1206" s="134">
        <v>13.87</v>
      </c>
      <c r="G1206" s="134">
        <v>17.75</v>
      </c>
      <c r="H1206" s="109">
        <f t="shared" si="58"/>
        <v>213</v>
      </c>
      <c r="I1206" s="119"/>
      <c r="J1206" s="119"/>
      <c r="K1206" s="119">
        <f t="shared" si="59"/>
        <v>213</v>
      </c>
      <c r="L1206" s="152">
        <f t="shared" si="60"/>
        <v>166.44</v>
      </c>
      <c r="M1206" s="113"/>
    </row>
    <row r="1207" spans="1:13" x14ac:dyDescent="0.2">
      <c r="A1207" s="106">
        <v>46232</v>
      </c>
      <c r="B1207" s="105" t="s">
        <v>2278</v>
      </c>
      <c r="C1207" s="105" t="s">
        <v>6154</v>
      </c>
      <c r="D1207" s="149" t="s">
        <v>2280</v>
      </c>
      <c r="E1207" s="105">
        <v>1</v>
      </c>
      <c r="F1207" s="134">
        <v>144.31</v>
      </c>
      <c r="G1207" s="134">
        <v>166</v>
      </c>
      <c r="H1207" s="109">
        <f t="shared" si="58"/>
        <v>166</v>
      </c>
      <c r="I1207" s="119"/>
      <c r="J1207" s="119"/>
      <c r="K1207" s="119">
        <f t="shared" si="59"/>
        <v>166</v>
      </c>
      <c r="L1207" s="152">
        <f t="shared" si="60"/>
        <v>144.31</v>
      </c>
      <c r="M1207" s="113"/>
    </row>
    <row r="1208" spans="1:13" x14ac:dyDescent="0.2">
      <c r="A1208" s="106">
        <v>46232</v>
      </c>
      <c r="B1208" s="105" t="s">
        <v>1846</v>
      </c>
      <c r="C1208" s="105" t="s">
        <v>6154</v>
      </c>
      <c r="D1208" s="149" t="s">
        <v>1847</v>
      </c>
      <c r="E1208" s="105">
        <v>2</v>
      </c>
      <c r="F1208" s="134">
        <v>61.93</v>
      </c>
      <c r="G1208" s="134">
        <v>71.25</v>
      </c>
      <c r="H1208" s="109">
        <f t="shared" si="58"/>
        <v>142.5</v>
      </c>
      <c r="I1208" s="119"/>
      <c r="J1208" s="119"/>
      <c r="K1208" s="119">
        <f t="shared" si="59"/>
        <v>142.5</v>
      </c>
      <c r="L1208" s="152">
        <f t="shared" si="60"/>
        <v>123.86</v>
      </c>
      <c r="M1208" s="113"/>
    </row>
    <row r="1209" spans="1:13" x14ac:dyDescent="0.2">
      <c r="A1209" s="106">
        <v>46232</v>
      </c>
      <c r="B1209" s="105" t="s">
        <v>4184</v>
      </c>
      <c r="C1209" s="105" t="s">
        <v>6154</v>
      </c>
      <c r="D1209" s="149" t="s">
        <v>4185</v>
      </c>
      <c r="E1209" s="105">
        <v>1</v>
      </c>
      <c r="F1209" s="134">
        <v>57.4</v>
      </c>
      <c r="G1209" s="134">
        <v>66</v>
      </c>
      <c r="H1209" s="109">
        <f t="shared" si="58"/>
        <v>66</v>
      </c>
      <c r="I1209" s="119"/>
      <c r="J1209" s="119"/>
      <c r="K1209" s="119">
        <f t="shared" si="59"/>
        <v>66</v>
      </c>
      <c r="L1209" s="152">
        <f t="shared" si="60"/>
        <v>57.4</v>
      </c>
      <c r="M1209" s="113"/>
    </row>
    <row r="1210" spans="1:13" x14ac:dyDescent="0.2">
      <c r="A1210" s="106">
        <v>46232</v>
      </c>
      <c r="B1210" s="105" t="s">
        <v>2809</v>
      </c>
      <c r="C1210" s="105" t="s">
        <v>6154</v>
      </c>
      <c r="D1210" s="149" t="s">
        <v>2810</v>
      </c>
      <c r="E1210" s="105">
        <v>1</v>
      </c>
      <c r="F1210" s="134">
        <v>53.81</v>
      </c>
      <c r="G1210" s="134">
        <v>62</v>
      </c>
      <c r="H1210" s="109">
        <f t="shared" si="58"/>
        <v>62</v>
      </c>
      <c r="I1210" s="119"/>
      <c r="J1210" s="119"/>
      <c r="K1210" s="119">
        <f t="shared" si="59"/>
        <v>62</v>
      </c>
      <c r="L1210" s="152">
        <f t="shared" si="60"/>
        <v>53.81</v>
      </c>
      <c r="M1210" s="113"/>
    </row>
    <row r="1211" spans="1:13" x14ac:dyDescent="0.2">
      <c r="A1211" s="106">
        <v>46232</v>
      </c>
      <c r="B1211" s="105" t="s">
        <v>5247</v>
      </c>
      <c r="C1211" s="105" t="s">
        <v>6155</v>
      </c>
      <c r="D1211" s="149" t="s">
        <v>5407</v>
      </c>
      <c r="E1211" s="105">
        <v>1</v>
      </c>
      <c r="F1211" s="134">
        <v>32</v>
      </c>
      <c r="G1211" s="134">
        <v>37</v>
      </c>
      <c r="H1211" s="109">
        <f t="shared" si="58"/>
        <v>37</v>
      </c>
      <c r="I1211" s="119"/>
      <c r="J1211" s="119"/>
      <c r="K1211" s="119">
        <f t="shared" si="59"/>
        <v>37</v>
      </c>
      <c r="L1211" s="152">
        <f t="shared" si="60"/>
        <v>32</v>
      </c>
      <c r="M1211" s="113"/>
    </row>
    <row r="1212" spans="1:13" x14ac:dyDescent="0.2">
      <c r="A1212" s="106">
        <v>46232</v>
      </c>
      <c r="B1212" s="105" t="s">
        <v>2139</v>
      </c>
      <c r="C1212" s="105" t="s">
        <v>6156</v>
      </c>
      <c r="D1212" s="149" t="s">
        <v>2140</v>
      </c>
      <c r="E1212" s="105">
        <v>1</v>
      </c>
      <c r="F1212" s="134">
        <v>16.03</v>
      </c>
      <c r="G1212" s="134">
        <v>18.5</v>
      </c>
      <c r="H1212" s="109">
        <f t="shared" si="58"/>
        <v>18.5</v>
      </c>
      <c r="I1212" s="119"/>
      <c r="J1212" s="119"/>
      <c r="K1212" s="119">
        <f t="shared" si="59"/>
        <v>18.5</v>
      </c>
      <c r="L1212" s="152">
        <f t="shared" si="60"/>
        <v>16.03</v>
      </c>
      <c r="M1212" s="113"/>
    </row>
    <row r="1213" spans="1:13" x14ac:dyDescent="0.2">
      <c r="A1213" s="106">
        <v>46232</v>
      </c>
      <c r="B1213" s="105" t="s">
        <v>3452</v>
      </c>
      <c r="C1213" s="105" t="s">
        <v>6157</v>
      </c>
      <c r="D1213" s="149" t="s">
        <v>3453</v>
      </c>
      <c r="E1213" s="105">
        <v>2</v>
      </c>
      <c r="F1213" s="134">
        <v>44.86</v>
      </c>
      <c r="G1213" s="134">
        <v>51.25</v>
      </c>
      <c r="H1213" s="109">
        <f t="shared" si="58"/>
        <v>102.5</v>
      </c>
      <c r="I1213" s="119"/>
      <c r="J1213" s="119"/>
      <c r="K1213" s="119">
        <f t="shared" si="59"/>
        <v>102.5</v>
      </c>
      <c r="L1213" s="152">
        <f t="shared" si="60"/>
        <v>89.72</v>
      </c>
      <c r="M1213" s="113"/>
    </row>
    <row r="1214" spans="1:13" x14ac:dyDescent="0.2">
      <c r="A1214" s="106">
        <v>46232</v>
      </c>
      <c r="B1214" s="105" t="s">
        <v>6144</v>
      </c>
      <c r="C1214" s="105" t="s">
        <v>6158</v>
      </c>
      <c r="D1214" s="149" t="s">
        <v>6175</v>
      </c>
      <c r="E1214" s="105">
        <v>1</v>
      </c>
      <c r="F1214" s="134">
        <v>381.67</v>
      </c>
      <c r="G1214" s="134">
        <v>458</v>
      </c>
      <c r="H1214" s="109">
        <f t="shared" si="58"/>
        <v>458</v>
      </c>
      <c r="I1214" s="119"/>
      <c r="J1214" s="119"/>
      <c r="K1214" s="119">
        <f t="shared" si="59"/>
        <v>458</v>
      </c>
      <c r="L1214" s="152">
        <f t="shared" si="60"/>
        <v>381.67</v>
      </c>
      <c r="M1214" s="113"/>
    </row>
    <row r="1215" spans="1:13" x14ac:dyDescent="0.2">
      <c r="A1215" s="106">
        <v>46232</v>
      </c>
      <c r="B1215" s="105" t="s">
        <v>5687</v>
      </c>
      <c r="C1215" s="105" t="s">
        <v>6158</v>
      </c>
      <c r="D1215" s="149" t="s">
        <v>5825</v>
      </c>
      <c r="E1215" s="105">
        <v>1</v>
      </c>
      <c r="F1215" s="134">
        <v>310</v>
      </c>
      <c r="G1215" s="134">
        <v>372</v>
      </c>
      <c r="H1215" s="109">
        <f t="shared" si="58"/>
        <v>372</v>
      </c>
      <c r="I1215" s="119"/>
      <c r="J1215" s="119"/>
      <c r="K1215" s="119">
        <f t="shared" si="59"/>
        <v>372</v>
      </c>
      <c r="L1215" s="152">
        <f t="shared" si="60"/>
        <v>310</v>
      </c>
      <c r="M1215" s="113"/>
    </row>
    <row r="1216" spans="1:13" x14ac:dyDescent="0.2">
      <c r="A1216" s="106">
        <v>46232</v>
      </c>
      <c r="B1216" s="105" t="s">
        <v>5979</v>
      </c>
      <c r="C1216" s="105" t="s">
        <v>6159</v>
      </c>
      <c r="D1216" s="149" t="s">
        <v>6097</v>
      </c>
      <c r="E1216" s="105">
        <v>1</v>
      </c>
      <c r="F1216" s="134">
        <v>5.74</v>
      </c>
      <c r="G1216" s="134">
        <v>7</v>
      </c>
      <c r="H1216" s="109">
        <f t="shared" si="58"/>
        <v>7</v>
      </c>
      <c r="I1216" s="119"/>
      <c r="J1216" s="119"/>
      <c r="K1216" s="119">
        <f t="shared" si="59"/>
        <v>7</v>
      </c>
      <c r="L1216" s="152">
        <f t="shared" si="60"/>
        <v>5.74</v>
      </c>
      <c r="M1216" s="113"/>
    </row>
    <row r="1217" spans="1:13" x14ac:dyDescent="0.2">
      <c r="A1217" s="106">
        <v>46232</v>
      </c>
      <c r="B1217" s="105" t="s">
        <v>2363</v>
      </c>
      <c r="C1217" s="105" t="s">
        <v>6160</v>
      </c>
      <c r="D1217" s="149" t="s">
        <v>2365</v>
      </c>
      <c r="E1217" s="105">
        <v>1</v>
      </c>
      <c r="F1217" s="134">
        <v>12.66</v>
      </c>
      <c r="G1217" s="134">
        <v>14.25</v>
      </c>
      <c r="H1217" s="109">
        <f t="shared" si="58"/>
        <v>14.25</v>
      </c>
      <c r="I1217" s="119"/>
      <c r="J1217" s="119"/>
      <c r="K1217" s="119">
        <f t="shared" si="59"/>
        <v>14.25</v>
      </c>
      <c r="L1217" s="152">
        <f t="shared" si="60"/>
        <v>12.66</v>
      </c>
      <c r="M1217" s="113"/>
    </row>
    <row r="1218" spans="1:13" x14ac:dyDescent="0.2">
      <c r="A1218" s="106">
        <v>46232</v>
      </c>
      <c r="B1218" s="105" t="s">
        <v>1924</v>
      </c>
      <c r="C1218" s="105" t="s">
        <v>6160</v>
      </c>
      <c r="D1218" s="149" t="s">
        <v>1926</v>
      </c>
      <c r="E1218" s="105">
        <v>1</v>
      </c>
      <c r="F1218" s="134">
        <v>10.64</v>
      </c>
      <c r="G1218" s="134">
        <v>12.25</v>
      </c>
      <c r="H1218" s="109">
        <f t="shared" si="58"/>
        <v>12.25</v>
      </c>
      <c r="I1218" s="119"/>
      <c r="J1218" s="119"/>
      <c r="K1218" s="119">
        <f t="shared" si="59"/>
        <v>12.25</v>
      </c>
      <c r="L1218" s="152">
        <f t="shared" si="60"/>
        <v>10.64</v>
      </c>
      <c r="M1218" s="113"/>
    </row>
    <row r="1219" spans="1:13" x14ac:dyDescent="0.2">
      <c r="A1219" s="106">
        <v>46232</v>
      </c>
      <c r="B1219" s="105" t="s">
        <v>1915</v>
      </c>
      <c r="C1219" s="105" t="s">
        <v>6160</v>
      </c>
      <c r="D1219" s="149" t="s">
        <v>1917</v>
      </c>
      <c r="E1219" s="105">
        <v>1</v>
      </c>
      <c r="F1219" s="134">
        <v>7.85</v>
      </c>
      <c r="G1219" s="134">
        <v>12</v>
      </c>
      <c r="H1219" s="109">
        <f t="shared" si="58"/>
        <v>12</v>
      </c>
      <c r="I1219" s="119"/>
      <c r="J1219" s="119"/>
      <c r="K1219" s="119">
        <f t="shared" si="59"/>
        <v>12</v>
      </c>
      <c r="L1219" s="152">
        <f t="shared" si="60"/>
        <v>7.85</v>
      </c>
      <c r="M1219" s="113"/>
    </row>
    <row r="1220" spans="1:13" x14ac:dyDescent="0.2">
      <c r="A1220" s="106">
        <v>46232</v>
      </c>
      <c r="B1220" s="105" t="s">
        <v>5232</v>
      </c>
      <c r="C1220" s="105" t="s">
        <v>6161</v>
      </c>
      <c r="D1220" s="149" t="s">
        <v>5392</v>
      </c>
      <c r="E1220" s="105">
        <v>1</v>
      </c>
      <c r="F1220" s="134">
        <v>22.59</v>
      </c>
      <c r="G1220" s="134">
        <v>26</v>
      </c>
      <c r="H1220" s="109">
        <f t="shared" si="58"/>
        <v>26</v>
      </c>
      <c r="I1220" s="119"/>
      <c r="J1220" s="119"/>
      <c r="K1220" s="119">
        <f t="shared" si="59"/>
        <v>26</v>
      </c>
      <c r="L1220" s="152">
        <f t="shared" si="60"/>
        <v>22.59</v>
      </c>
      <c r="M1220" s="113"/>
    </row>
    <row r="1221" spans="1:13" x14ac:dyDescent="0.2">
      <c r="A1221" s="106">
        <v>46232</v>
      </c>
      <c r="B1221" s="105" t="s">
        <v>2205</v>
      </c>
      <c r="C1221" s="105" t="s">
        <v>6162</v>
      </c>
      <c r="D1221" s="149" t="s">
        <v>2207</v>
      </c>
      <c r="E1221" s="105">
        <v>1</v>
      </c>
      <c r="F1221" s="134">
        <v>41.86</v>
      </c>
      <c r="G1221" s="134">
        <v>48.25</v>
      </c>
      <c r="H1221" s="109">
        <f t="shared" si="58"/>
        <v>48.25</v>
      </c>
      <c r="I1221" s="119"/>
      <c r="J1221" s="119"/>
      <c r="K1221" s="119">
        <f t="shared" si="59"/>
        <v>48.25</v>
      </c>
      <c r="L1221" s="152">
        <f t="shared" si="60"/>
        <v>41.86</v>
      </c>
      <c r="M1221" s="113"/>
    </row>
    <row r="1222" spans="1:13" x14ac:dyDescent="0.2">
      <c r="A1222" s="106">
        <v>46232</v>
      </c>
      <c r="B1222" s="105" t="s">
        <v>2429</v>
      </c>
      <c r="C1222" s="105" t="s">
        <v>6163</v>
      </c>
      <c r="D1222" s="149" t="s">
        <v>2431</v>
      </c>
      <c r="E1222" s="105">
        <v>2</v>
      </c>
      <c r="F1222" s="134">
        <v>14.31</v>
      </c>
      <c r="G1222" s="134">
        <v>16.5</v>
      </c>
      <c r="H1222" s="109">
        <f t="shared" si="58"/>
        <v>33</v>
      </c>
      <c r="I1222" s="119"/>
      <c r="J1222" s="119"/>
      <c r="K1222" s="119">
        <f t="shared" si="59"/>
        <v>33</v>
      </c>
      <c r="L1222" s="152">
        <f t="shared" si="60"/>
        <v>28.62</v>
      </c>
      <c r="M1222" s="113"/>
    </row>
    <row r="1223" spans="1:13" x14ac:dyDescent="0.2">
      <c r="A1223" s="106">
        <v>46232</v>
      </c>
      <c r="B1223" s="105" t="s">
        <v>3312</v>
      </c>
      <c r="C1223" s="105" t="s">
        <v>6164</v>
      </c>
      <c r="D1223" s="149" t="s">
        <v>3313</v>
      </c>
      <c r="E1223" s="105">
        <v>1</v>
      </c>
      <c r="F1223" s="134">
        <v>60.75</v>
      </c>
      <c r="G1223" s="134">
        <v>67.25</v>
      </c>
      <c r="H1223" s="109">
        <f t="shared" ref="H1223:H1286" si="61">E1223*G1223</f>
        <v>67.25</v>
      </c>
      <c r="I1223" s="119"/>
      <c r="J1223" s="119"/>
      <c r="K1223" s="119">
        <f t="shared" ref="K1223:K1286" si="62">H1223+I1223-J1223</f>
        <v>67.25</v>
      </c>
      <c r="L1223" s="152">
        <f t="shared" si="60"/>
        <v>60.75</v>
      </c>
      <c r="M1223" s="113"/>
    </row>
    <row r="1224" spans="1:13" x14ac:dyDescent="0.2">
      <c r="A1224" s="106">
        <v>46232</v>
      </c>
      <c r="B1224" s="105" t="s">
        <v>5033</v>
      </c>
      <c r="C1224" s="105" t="s">
        <v>6165</v>
      </c>
      <c r="D1224" s="149" t="s">
        <v>5077</v>
      </c>
      <c r="E1224" s="105">
        <v>1</v>
      </c>
      <c r="F1224" s="134">
        <v>25</v>
      </c>
      <c r="G1224" s="134">
        <v>28.75</v>
      </c>
      <c r="H1224" s="109">
        <f t="shared" si="61"/>
        <v>28.75</v>
      </c>
      <c r="I1224" s="119"/>
      <c r="J1224" s="119"/>
      <c r="K1224" s="119">
        <f t="shared" si="62"/>
        <v>28.75</v>
      </c>
      <c r="L1224" s="152">
        <f t="shared" ref="L1224:L1287" si="63">E1224*F1224</f>
        <v>25</v>
      </c>
      <c r="M1224" s="113"/>
    </row>
    <row r="1225" spans="1:13" x14ac:dyDescent="0.2">
      <c r="A1225" s="106">
        <v>46232</v>
      </c>
      <c r="B1225" s="105" t="s">
        <v>5235</v>
      </c>
      <c r="C1225" s="105" t="s">
        <v>6166</v>
      </c>
      <c r="D1225" s="149" t="s">
        <v>5395</v>
      </c>
      <c r="E1225" s="105">
        <v>1</v>
      </c>
      <c r="F1225" s="134">
        <v>27</v>
      </c>
      <c r="G1225" s="134">
        <v>31.25</v>
      </c>
      <c r="H1225" s="109">
        <f t="shared" si="61"/>
        <v>31.25</v>
      </c>
      <c r="I1225" s="119"/>
      <c r="J1225" s="119"/>
      <c r="K1225" s="119">
        <f t="shared" si="62"/>
        <v>31.25</v>
      </c>
      <c r="L1225" s="152">
        <f t="shared" si="63"/>
        <v>27</v>
      </c>
      <c r="M1225" s="113"/>
    </row>
    <row r="1226" spans="1:13" x14ac:dyDescent="0.2">
      <c r="A1226" s="106">
        <v>46232</v>
      </c>
      <c r="B1226" s="105" t="s">
        <v>3909</v>
      </c>
      <c r="C1226" s="105" t="s">
        <v>6167</v>
      </c>
      <c r="D1226" s="149" t="s">
        <v>3911</v>
      </c>
      <c r="E1226" s="105">
        <v>1</v>
      </c>
      <c r="F1226" s="134">
        <v>7.06</v>
      </c>
      <c r="G1226" s="134">
        <v>8.25</v>
      </c>
      <c r="H1226" s="109">
        <f t="shared" si="61"/>
        <v>8.25</v>
      </c>
      <c r="I1226" s="119"/>
      <c r="J1226" s="119"/>
      <c r="K1226" s="119">
        <f t="shared" si="62"/>
        <v>8.25</v>
      </c>
      <c r="L1226" s="152">
        <f t="shared" si="63"/>
        <v>7.06</v>
      </c>
      <c r="M1226" s="113"/>
    </row>
    <row r="1227" spans="1:13" x14ac:dyDescent="0.2">
      <c r="A1227" s="106">
        <v>46232</v>
      </c>
      <c r="B1227" s="105" t="s">
        <v>3413</v>
      </c>
      <c r="C1227" s="105" t="s">
        <v>6168</v>
      </c>
      <c r="D1227" s="149" t="s">
        <v>3414</v>
      </c>
      <c r="E1227" s="105">
        <v>1</v>
      </c>
      <c r="F1227" s="134">
        <v>33.1</v>
      </c>
      <c r="G1227" s="134">
        <v>38.25</v>
      </c>
      <c r="H1227" s="109">
        <f t="shared" si="61"/>
        <v>38.25</v>
      </c>
      <c r="I1227" s="119"/>
      <c r="J1227" s="119"/>
      <c r="K1227" s="119">
        <f t="shared" si="62"/>
        <v>38.25</v>
      </c>
      <c r="L1227" s="152">
        <f t="shared" si="63"/>
        <v>33.1</v>
      </c>
      <c r="M1227" s="113"/>
    </row>
    <row r="1228" spans="1:13" x14ac:dyDescent="0.2">
      <c r="A1228" s="106">
        <v>46232</v>
      </c>
      <c r="B1228" s="105" t="s">
        <v>4163</v>
      </c>
      <c r="C1228" s="105" t="s">
        <v>6168</v>
      </c>
      <c r="D1228" s="149" t="s">
        <v>4165</v>
      </c>
      <c r="E1228" s="105">
        <v>1</v>
      </c>
      <c r="F1228" s="134">
        <v>9.2799999999999994</v>
      </c>
      <c r="G1228" s="134">
        <v>10.75</v>
      </c>
      <c r="H1228" s="109">
        <f t="shared" si="61"/>
        <v>10.75</v>
      </c>
      <c r="I1228" s="119"/>
      <c r="J1228" s="119"/>
      <c r="K1228" s="119">
        <f t="shared" si="62"/>
        <v>10.75</v>
      </c>
      <c r="L1228" s="152">
        <f t="shared" si="63"/>
        <v>9.2799999999999994</v>
      </c>
      <c r="M1228" s="113"/>
    </row>
    <row r="1229" spans="1:13" x14ac:dyDescent="0.2">
      <c r="A1229" s="106">
        <v>46232</v>
      </c>
      <c r="B1229" s="105" t="s">
        <v>2884</v>
      </c>
      <c r="C1229" s="105" t="s">
        <v>6169</v>
      </c>
      <c r="D1229" s="149" t="s">
        <v>2886</v>
      </c>
      <c r="E1229" s="105">
        <v>2</v>
      </c>
      <c r="F1229" s="134">
        <v>302.13</v>
      </c>
      <c r="G1229" s="134">
        <v>362.75</v>
      </c>
      <c r="H1229" s="109">
        <f t="shared" si="61"/>
        <v>725.5</v>
      </c>
      <c r="I1229" s="119"/>
      <c r="J1229" s="119"/>
      <c r="K1229" s="119">
        <f t="shared" si="62"/>
        <v>725.5</v>
      </c>
      <c r="L1229" s="152">
        <f t="shared" si="63"/>
        <v>604.26</v>
      </c>
      <c r="M1229" s="113"/>
    </row>
    <row r="1230" spans="1:13" x14ac:dyDescent="0.2">
      <c r="A1230" s="106">
        <v>46232</v>
      </c>
      <c r="B1230" s="105" t="s">
        <v>5694</v>
      </c>
      <c r="C1230" s="105" t="s">
        <v>6170</v>
      </c>
      <c r="D1230" s="149" t="s">
        <v>5832</v>
      </c>
      <c r="E1230" s="105">
        <v>2</v>
      </c>
      <c r="F1230" s="134">
        <v>109.83</v>
      </c>
      <c r="G1230" s="134">
        <v>126.5</v>
      </c>
      <c r="H1230" s="109">
        <f t="shared" si="61"/>
        <v>253</v>
      </c>
      <c r="I1230" s="119"/>
      <c r="J1230" s="119"/>
      <c r="K1230" s="119">
        <f t="shared" si="62"/>
        <v>253</v>
      </c>
      <c r="L1230" s="152">
        <f t="shared" si="63"/>
        <v>219.66</v>
      </c>
      <c r="M1230" s="113"/>
    </row>
    <row r="1231" spans="1:13" x14ac:dyDescent="0.2">
      <c r="A1231" s="106">
        <v>46232</v>
      </c>
      <c r="B1231" s="105" t="s">
        <v>3909</v>
      </c>
      <c r="C1231" s="105" t="s">
        <v>6171</v>
      </c>
      <c r="D1231" s="149" t="s">
        <v>3911</v>
      </c>
      <c r="E1231" s="105">
        <v>1</v>
      </c>
      <c r="F1231" s="134">
        <v>7.06</v>
      </c>
      <c r="G1231" s="134">
        <v>8.25</v>
      </c>
      <c r="H1231" s="109">
        <f t="shared" si="61"/>
        <v>8.25</v>
      </c>
      <c r="I1231" s="119"/>
      <c r="J1231" s="119"/>
      <c r="K1231" s="119">
        <f t="shared" si="62"/>
        <v>8.25</v>
      </c>
      <c r="L1231" s="152">
        <f t="shared" si="63"/>
        <v>7.06</v>
      </c>
      <c r="M1231" s="113"/>
    </row>
    <row r="1232" spans="1:13" x14ac:dyDescent="0.2">
      <c r="A1232" s="106">
        <v>46232</v>
      </c>
      <c r="B1232" s="105" t="s">
        <v>3314</v>
      </c>
      <c r="C1232" s="105" t="s">
        <v>6172</v>
      </c>
      <c r="D1232" s="149" t="s">
        <v>3316</v>
      </c>
      <c r="E1232" s="105">
        <v>1</v>
      </c>
      <c r="F1232" s="134">
        <v>16.579999999999998</v>
      </c>
      <c r="G1232" s="134">
        <v>19</v>
      </c>
      <c r="H1232" s="109">
        <f t="shared" si="61"/>
        <v>19</v>
      </c>
      <c r="I1232" s="119"/>
      <c r="J1232" s="119"/>
      <c r="K1232" s="119">
        <f t="shared" si="62"/>
        <v>19</v>
      </c>
      <c r="L1232" s="152">
        <f t="shared" si="63"/>
        <v>16.579999999999998</v>
      </c>
      <c r="M1232" s="113"/>
    </row>
    <row r="1233" spans="1:13" x14ac:dyDescent="0.2">
      <c r="A1233" s="106">
        <v>46232</v>
      </c>
      <c r="B1233" s="105" t="s">
        <v>1905</v>
      </c>
      <c r="C1233" s="105" t="s">
        <v>6173</v>
      </c>
      <c r="D1233" s="149" t="s">
        <v>1906</v>
      </c>
      <c r="E1233" s="105">
        <v>1</v>
      </c>
      <c r="F1233" s="134">
        <v>15.51</v>
      </c>
      <c r="G1233" s="134">
        <v>18</v>
      </c>
      <c r="H1233" s="109">
        <f t="shared" si="61"/>
        <v>18</v>
      </c>
      <c r="I1233" s="119"/>
      <c r="J1233" s="119"/>
      <c r="K1233" s="119">
        <f t="shared" si="62"/>
        <v>18</v>
      </c>
      <c r="L1233" s="152">
        <f t="shared" si="63"/>
        <v>15.51</v>
      </c>
      <c r="M1233" s="113"/>
    </row>
    <row r="1234" spans="1:13" x14ac:dyDescent="0.2">
      <c r="A1234" s="106">
        <v>46233</v>
      </c>
      <c r="B1234" s="105" t="s">
        <v>3072</v>
      </c>
      <c r="C1234" s="105" t="s">
        <v>6212</v>
      </c>
      <c r="D1234" s="149" t="s">
        <v>3074</v>
      </c>
      <c r="E1234" s="105">
        <v>1</v>
      </c>
      <c r="F1234" s="134">
        <v>16.91</v>
      </c>
      <c r="G1234" s="134">
        <v>18.600000000000001</v>
      </c>
      <c r="H1234" s="109">
        <f t="shared" si="61"/>
        <v>18.600000000000001</v>
      </c>
      <c r="I1234" s="119"/>
      <c r="J1234" s="119"/>
      <c r="K1234" s="119">
        <f t="shared" si="62"/>
        <v>18.600000000000001</v>
      </c>
      <c r="L1234" s="152">
        <f t="shared" si="63"/>
        <v>16.91</v>
      </c>
      <c r="M1234" s="113"/>
    </row>
    <row r="1235" spans="1:13" x14ac:dyDescent="0.2">
      <c r="A1235" s="106">
        <v>46233</v>
      </c>
      <c r="B1235" s="105" t="s">
        <v>1846</v>
      </c>
      <c r="C1235" s="105" t="s">
        <v>6213</v>
      </c>
      <c r="D1235" s="149" t="s">
        <v>1847</v>
      </c>
      <c r="E1235" s="105">
        <v>1</v>
      </c>
      <c r="F1235" s="134">
        <v>61.93</v>
      </c>
      <c r="G1235" s="134">
        <v>71.25</v>
      </c>
      <c r="H1235" s="109">
        <f t="shared" si="61"/>
        <v>71.25</v>
      </c>
      <c r="I1235" s="119"/>
      <c r="J1235" s="119"/>
      <c r="K1235" s="119">
        <f t="shared" si="62"/>
        <v>71.25</v>
      </c>
      <c r="L1235" s="152">
        <f t="shared" si="63"/>
        <v>61.93</v>
      </c>
      <c r="M1235" s="113"/>
    </row>
    <row r="1236" spans="1:13" x14ac:dyDescent="0.2">
      <c r="A1236" s="106">
        <v>46233</v>
      </c>
      <c r="B1236" s="105" t="s">
        <v>3137</v>
      </c>
      <c r="C1236" s="105" t="s">
        <v>6213</v>
      </c>
      <c r="D1236" s="149" t="s">
        <v>3138</v>
      </c>
      <c r="E1236" s="105">
        <v>2</v>
      </c>
      <c r="F1236" s="134">
        <v>48.8</v>
      </c>
      <c r="G1236" s="134">
        <v>56.25</v>
      </c>
      <c r="H1236" s="109">
        <f t="shared" si="61"/>
        <v>112.5</v>
      </c>
      <c r="I1236" s="119"/>
      <c r="J1236" s="119"/>
      <c r="K1236" s="119">
        <f t="shared" si="62"/>
        <v>112.5</v>
      </c>
      <c r="L1236" s="152">
        <f t="shared" si="63"/>
        <v>97.6</v>
      </c>
      <c r="M1236" s="113"/>
    </row>
    <row r="1237" spans="1:13" x14ac:dyDescent="0.2">
      <c r="A1237" s="106">
        <v>46233</v>
      </c>
      <c r="B1237" s="105" t="s">
        <v>4806</v>
      </c>
      <c r="C1237" s="105" t="s">
        <v>6213</v>
      </c>
      <c r="D1237" s="149" t="s">
        <v>4874</v>
      </c>
      <c r="E1237" s="105">
        <v>12</v>
      </c>
      <c r="F1237" s="134">
        <v>8.58</v>
      </c>
      <c r="G1237" s="134">
        <v>10</v>
      </c>
      <c r="H1237" s="109">
        <f t="shared" si="61"/>
        <v>120</v>
      </c>
      <c r="I1237" s="119"/>
      <c r="J1237" s="119"/>
      <c r="K1237" s="119">
        <f t="shared" si="62"/>
        <v>120</v>
      </c>
      <c r="L1237" s="152">
        <f t="shared" si="63"/>
        <v>102.96000000000001</v>
      </c>
      <c r="M1237" s="113"/>
    </row>
    <row r="1238" spans="1:13" x14ac:dyDescent="0.2">
      <c r="A1238" s="106">
        <v>46233</v>
      </c>
      <c r="B1238" s="105" t="s">
        <v>1988</v>
      </c>
      <c r="C1238" s="105" t="s">
        <v>6213</v>
      </c>
      <c r="D1238" s="149" t="s">
        <v>1989</v>
      </c>
      <c r="E1238" s="105">
        <v>1</v>
      </c>
      <c r="F1238" s="134">
        <v>104.76</v>
      </c>
      <c r="G1238" s="134">
        <v>132</v>
      </c>
      <c r="H1238" s="109">
        <f t="shared" si="61"/>
        <v>132</v>
      </c>
      <c r="I1238" s="119"/>
      <c r="J1238" s="119"/>
      <c r="K1238" s="119">
        <f t="shared" si="62"/>
        <v>132</v>
      </c>
      <c r="L1238" s="152">
        <f t="shared" si="63"/>
        <v>104.76</v>
      </c>
      <c r="M1238" s="113"/>
    </row>
    <row r="1239" spans="1:13" x14ac:dyDescent="0.2">
      <c r="A1239" s="106">
        <v>46233</v>
      </c>
      <c r="B1239" s="105" t="s">
        <v>5979</v>
      </c>
      <c r="C1239" s="105" t="s">
        <v>6214</v>
      </c>
      <c r="D1239" s="149" t="s">
        <v>6097</v>
      </c>
      <c r="E1239" s="105">
        <v>1</v>
      </c>
      <c r="F1239" s="134">
        <v>5.74</v>
      </c>
      <c r="G1239" s="134">
        <v>7</v>
      </c>
      <c r="H1239" s="109">
        <f t="shared" si="61"/>
        <v>7</v>
      </c>
      <c r="I1239" s="119"/>
      <c r="J1239" s="119"/>
      <c r="K1239" s="119">
        <f t="shared" si="62"/>
        <v>7</v>
      </c>
      <c r="L1239" s="152">
        <f t="shared" si="63"/>
        <v>5.74</v>
      </c>
      <c r="M1239" s="113"/>
    </row>
    <row r="1240" spans="1:13" x14ac:dyDescent="0.2">
      <c r="A1240" s="106">
        <v>46233</v>
      </c>
      <c r="B1240" s="105" t="s">
        <v>3052</v>
      </c>
      <c r="C1240" s="105" t="s">
        <v>6215</v>
      </c>
      <c r="D1240" s="149" t="s">
        <v>3053</v>
      </c>
      <c r="E1240" s="105">
        <v>1</v>
      </c>
      <c r="F1240" s="134">
        <v>13.32</v>
      </c>
      <c r="G1240" s="134">
        <v>15.5</v>
      </c>
      <c r="H1240" s="109">
        <f t="shared" si="61"/>
        <v>15.5</v>
      </c>
      <c r="I1240" s="119"/>
      <c r="J1240" s="119"/>
      <c r="K1240" s="119">
        <f t="shared" si="62"/>
        <v>15.5</v>
      </c>
      <c r="L1240" s="152">
        <f t="shared" si="63"/>
        <v>13.32</v>
      </c>
      <c r="M1240" s="113"/>
    </row>
    <row r="1241" spans="1:13" x14ac:dyDescent="0.2">
      <c r="A1241" s="106">
        <v>46233</v>
      </c>
      <c r="B1241" s="105" t="s">
        <v>3348</v>
      </c>
      <c r="C1241" s="105" t="s">
        <v>6216</v>
      </c>
      <c r="D1241" s="149" t="s">
        <v>3349</v>
      </c>
      <c r="E1241" s="105">
        <v>1</v>
      </c>
      <c r="F1241" s="134">
        <v>14.91</v>
      </c>
      <c r="G1241" s="134">
        <v>17.25</v>
      </c>
      <c r="H1241" s="109">
        <f t="shared" si="61"/>
        <v>17.25</v>
      </c>
      <c r="I1241" s="119"/>
      <c r="J1241" s="119"/>
      <c r="K1241" s="119">
        <f t="shared" si="62"/>
        <v>17.25</v>
      </c>
      <c r="L1241" s="152">
        <f t="shared" si="63"/>
        <v>14.91</v>
      </c>
      <c r="M1241" s="113"/>
    </row>
    <row r="1242" spans="1:13" x14ac:dyDescent="0.2">
      <c r="A1242" s="106">
        <v>46233</v>
      </c>
      <c r="B1242" s="105" t="s">
        <v>3309</v>
      </c>
      <c r="C1242" s="105" t="s">
        <v>6217</v>
      </c>
      <c r="D1242" s="149" t="s">
        <v>3310</v>
      </c>
      <c r="E1242" s="105">
        <v>1</v>
      </c>
      <c r="F1242" s="134">
        <v>50.8</v>
      </c>
      <c r="G1242" s="134">
        <v>58.5</v>
      </c>
      <c r="H1242" s="109">
        <f t="shared" si="61"/>
        <v>58.5</v>
      </c>
      <c r="I1242" s="119"/>
      <c r="J1242" s="119"/>
      <c r="K1242" s="119">
        <f t="shared" si="62"/>
        <v>58.5</v>
      </c>
      <c r="L1242" s="152">
        <f t="shared" si="63"/>
        <v>50.8</v>
      </c>
      <c r="M1242" s="113"/>
    </row>
    <row r="1243" spans="1:13" x14ac:dyDescent="0.2">
      <c r="A1243" s="106">
        <v>46233</v>
      </c>
      <c r="B1243" s="105" t="s">
        <v>2809</v>
      </c>
      <c r="C1243" s="105" t="s">
        <v>6217</v>
      </c>
      <c r="D1243" s="149" t="s">
        <v>2810</v>
      </c>
      <c r="E1243" s="105">
        <v>1</v>
      </c>
      <c r="F1243" s="134">
        <v>53.81</v>
      </c>
      <c r="G1243" s="134">
        <v>62</v>
      </c>
      <c r="H1243" s="109">
        <f t="shared" si="61"/>
        <v>62</v>
      </c>
      <c r="I1243" s="119"/>
      <c r="J1243" s="119"/>
      <c r="K1243" s="119">
        <f t="shared" si="62"/>
        <v>62</v>
      </c>
      <c r="L1243" s="152">
        <f t="shared" si="63"/>
        <v>53.81</v>
      </c>
      <c r="M1243" s="113"/>
    </row>
    <row r="1244" spans="1:13" x14ac:dyDescent="0.2">
      <c r="A1244" s="106">
        <v>46233</v>
      </c>
      <c r="B1244" s="105" t="s">
        <v>4041</v>
      </c>
      <c r="C1244" s="105" t="s">
        <v>6217</v>
      </c>
      <c r="D1244" s="149" t="s">
        <v>4043</v>
      </c>
      <c r="E1244" s="105">
        <v>1</v>
      </c>
      <c r="F1244" s="134">
        <v>19.350000000000001</v>
      </c>
      <c r="G1244" s="134">
        <v>22.25</v>
      </c>
      <c r="H1244" s="109">
        <f t="shared" si="61"/>
        <v>22.25</v>
      </c>
      <c r="I1244" s="119"/>
      <c r="J1244" s="119"/>
      <c r="K1244" s="119">
        <f t="shared" si="62"/>
        <v>22.25</v>
      </c>
      <c r="L1244" s="152">
        <f t="shared" si="63"/>
        <v>19.350000000000001</v>
      </c>
      <c r="M1244" s="113"/>
    </row>
    <row r="1245" spans="1:13" x14ac:dyDescent="0.2">
      <c r="A1245" s="106">
        <v>46233</v>
      </c>
      <c r="B1245" s="105" t="s">
        <v>3917</v>
      </c>
      <c r="C1245" s="105" t="s">
        <v>6217</v>
      </c>
      <c r="D1245" s="149" t="s">
        <v>3919</v>
      </c>
      <c r="E1245" s="105">
        <v>11</v>
      </c>
      <c r="F1245" s="134">
        <v>6.37</v>
      </c>
      <c r="G1245" s="134">
        <v>7.5</v>
      </c>
      <c r="H1245" s="109">
        <f t="shared" si="61"/>
        <v>82.5</v>
      </c>
      <c r="I1245" s="119"/>
      <c r="J1245" s="119"/>
      <c r="K1245" s="119">
        <f t="shared" si="62"/>
        <v>82.5</v>
      </c>
      <c r="L1245" s="152">
        <f t="shared" si="63"/>
        <v>70.070000000000007</v>
      </c>
      <c r="M1245" s="113"/>
    </row>
    <row r="1246" spans="1:13" x14ac:dyDescent="0.2">
      <c r="A1246" s="106">
        <v>46233</v>
      </c>
      <c r="B1246" s="105" t="s">
        <v>5866</v>
      </c>
      <c r="C1246" s="105" t="s">
        <v>6218</v>
      </c>
      <c r="D1246" s="149" t="s">
        <v>5959</v>
      </c>
      <c r="E1246" s="105">
        <v>2</v>
      </c>
      <c r="F1246" s="134">
        <v>5.61</v>
      </c>
      <c r="G1246" s="134">
        <v>6.5</v>
      </c>
      <c r="H1246" s="109">
        <f t="shared" si="61"/>
        <v>13</v>
      </c>
      <c r="I1246" s="119"/>
      <c r="J1246" s="119"/>
      <c r="K1246" s="119">
        <f t="shared" si="62"/>
        <v>13</v>
      </c>
      <c r="L1246" s="152">
        <f t="shared" si="63"/>
        <v>11.22</v>
      </c>
      <c r="M1246" s="113"/>
    </row>
    <row r="1247" spans="1:13" x14ac:dyDescent="0.2">
      <c r="A1247" s="106">
        <v>46233</v>
      </c>
      <c r="B1247" s="105" t="s">
        <v>1962</v>
      </c>
      <c r="C1247" s="105" t="s">
        <v>6219</v>
      </c>
      <c r="D1247" s="149" t="s">
        <v>1964</v>
      </c>
      <c r="E1247" s="105">
        <v>2</v>
      </c>
      <c r="F1247" s="134">
        <v>7.48</v>
      </c>
      <c r="G1247" s="134">
        <v>8.75</v>
      </c>
      <c r="H1247" s="109">
        <f t="shared" si="61"/>
        <v>17.5</v>
      </c>
      <c r="I1247" s="119"/>
      <c r="J1247" s="119"/>
      <c r="K1247" s="119">
        <f t="shared" si="62"/>
        <v>17.5</v>
      </c>
      <c r="L1247" s="152">
        <f t="shared" si="63"/>
        <v>14.96</v>
      </c>
      <c r="M1247" s="113"/>
    </row>
    <row r="1248" spans="1:13" x14ac:dyDescent="0.2">
      <c r="A1248" s="106">
        <v>46233</v>
      </c>
      <c r="B1248" s="105" t="s">
        <v>2363</v>
      </c>
      <c r="C1248" s="105" t="s">
        <v>6220</v>
      </c>
      <c r="D1248" s="149" t="s">
        <v>2365</v>
      </c>
      <c r="E1248" s="105">
        <v>1</v>
      </c>
      <c r="F1248" s="134">
        <v>12.66</v>
      </c>
      <c r="G1248" s="134">
        <v>14.25</v>
      </c>
      <c r="H1248" s="109">
        <f t="shared" si="61"/>
        <v>14.25</v>
      </c>
      <c r="I1248" s="119"/>
      <c r="J1248" s="119"/>
      <c r="K1248" s="119">
        <f t="shared" si="62"/>
        <v>14.25</v>
      </c>
      <c r="L1248" s="152">
        <f t="shared" si="63"/>
        <v>12.66</v>
      </c>
      <c r="M1248" s="113"/>
    </row>
    <row r="1249" spans="1:13" x14ac:dyDescent="0.2">
      <c r="A1249" s="106">
        <v>46233</v>
      </c>
      <c r="B1249" s="105" t="s">
        <v>2884</v>
      </c>
      <c r="C1249" s="105" t="s">
        <v>6221</v>
      </c>
      <c r="D1249" s="149" t="s">
        <v>2886</v>
      </c>
      <c r="E1249" s="105">
        <v>6</v>
      </c>
      <c r="F1249" s="134">
        <v>302.13</v>
      </c>
      <c r="G1249" s="134">
        <v>362.75</v>
      </c>
      <c r="H1249" s="109">
        <f t="shared" si="61"/>
        <v>2176.5</v>
      </c>
      <c r="I1249" s="119"/>
      <c r="J1249" s="119"/>
      <c r="K1249" s="119">
        <f t="shared" si="62"/>
        <v>2176.5</v>
      </c>
      <c r="L1249" s="152">
        <f t="shared" si="63"/>
        <v>1812.78</v>
      </c>
      <c r="M1249" s="113"/>
    </row>
    <row r="1250" spans="1:13" x14ac:dyDescent="0.2">
      <c r="A1250" s="106">
        <v>46233</v>
      </c>
      <c r="B1250" s="105" t="s">
        <v>3690</v>
      </c>
      <c r="C1250" s="105" t="s">
        <v>6221</v>
      </c>
      <c r="D1250" s="149" t="s">
        <v>3691</v>
      </c>
      <c r="E1250" s="105">
        <v>10</v>
      </c>
      <c r="F1250" s="134">
        <v>53.64</v>
      </c>
      <c r="G1250" s="134">
        <v>61.75</v>
      </c>
      <c r="H1250" s="109">
        <f t="shared" si="61"/>
        <v>617.5</v>
      </c>
      <c r="I1250" s="119"/>
      <c r="J1250" s="119"/>
      <c r="K1250" s="119">
        <f t="shared" si="62"/>
        <v>617.5</v>
      </c>
      <c r="L1250" s="152">
        <f t="shared" si="63"/>
        <v>536.4</v>
      </c>
      <c r="M1250" s="113"/>
    </row>
    <row r="1251" spans="1:13" x14ac:dyDescent="0.2">
      <c r="A1251" s="106">
        <v>46233</v>
      </c>
      <c r="B1251" s="105" t="s">
        <v>4759</v>
      </c>
      <c r="C1251" s="105" t="s">
        <v>6221</v>
      </c>
      <c r="D1251" s="149" t="s">
        <v>4786</v>
      </c>
      <c r="E1251" s="105">
        <v>24</v>
      </c>
      <c r="F1251" s="134">
        <v>6.12</v>
      </c>
      <c r="G1251" s="134">
        <v>7.25</v>
      </c>
      <c r="H1251" s="109">
        <f t="shared" si="61"/>
        <v>174</v>
      </c>
      <c r="I1251" s="119"/>
      <c r="J1251" s="119"/>
      <c r="K1251" s="119">
        <f t="shared" si="62"/>
        <v>174</v>
      </c>
      <c r="L1251" s="152">
        <f t="shared" si="63"/>
        <v>146.88</v>
      </c>
      <c r="M1251" s="113"/>
    </row>
    <row r="1252" spans="1:13" x14ac:dyDescent="0.2">
      <c r="A1252" s="106">
        <v>46233</v>
      </c>
      <c r="B1252" s="105" t="s">
        <v>2371</v>
      </c>
      <c r="C1252" s="105" t="s">
        <v>6221</v>
      </c>
      <c r="D1252" s="149" t="s">
        <v>2372</v>
      </c>
      <c r="E1252" s="105">
        <v>1</v>
      </c>
      <c r="F1252" s="134">
        <v>45.3</v>
      </c>
      <c r="G1252" s="134">
        <v>52.25</v>
      </c>
      <c r="H1252" s="109">
        <f t="shared" si="61"/>
        <v>52.25</v>
      </c>
      <c r="I1252" s="119"/>
      <c r="J1252" s="119"/>
      <c r="K1252" s="119">
        <f t="shared" si="62"/>
        <v>52.25</v>
      </c>
      <c r="L1252" s="152">
        <f t="shared" si="63"/>
        <v>45.3</v>
      </c>
      <c r="M1252" s="113"/>
    </row>
    <row r="1253" spans="1:13" x14ac:dyDescent="0.2">
      <c r="A1253" s="106">
        <v>46233</v>
      </c>
      <c r="B1253" s="105" t="s">
        <v>3917</v>
      </c>
      <c r="C1253" s="105" t="s">
        <v>6221</v>
      </c>
      <c r="D1253" s="149" t="s">
        <v>3919</v>
      </c>
      <c r="E1253" s="105">
        <v>24</v>
      </c>
      <c r="F1253" s="134">
        <v>6.37</v>
      </c>
      <c r="G1253" s="134">
        <v>7.5</v>
      </c>
      <c r="H1253" s="109">
        <f t="shared" si="61"/>
        <v>180</v>
      </c>
      <c r="I1253" s="119"/>
      <c r="J1253" s="119"/>
      <c r="K1253" s="119">
        <f t="shared" si="62"/>
        <v>180</v>
      </c>
      <c r="L1253" s="152">
        <f t="shared" si="63"/>
        <v>152.88</v>
      </c>
      <c r="M1253" s="113"/>
    </row>
    <row r="1254" spans="1:13" x14ac:dyDescent="0.2">
      <c r="A1254" s="106">
        <v>46233</v>
      </c>
      <c r="B1254" s="105" t="s">
        <v>6204</v>
      </c>
      <c r="C1254" s="105" t="s">
        <v>6221</v>
      </c>
      <c r="D1254" s="149" t="s">
        <v>6248</v>
      </c>
      <c r="E1254" s="105">
        <v>10</v>
      </c>
      <c r="F1254" s="134">
        <v>65</v>
      </c>
      <c r="G1254" s="134">
        <v>75</v>
      </c>
      <c r="H1254" s="109">
        <f t="shared" si="61"/>
        <v>750</v>
      </c>
      <c r="I1254" s="119"/>
      <c r="J1254" s="119"/>
      <c r="K1254" s="119">
        <f t="shared" si="62"/>
        <v>750</v>
      </c>
      <c r="L1254" s="152">
        <f t="shared" si="63"/>
        <v>650</v>
      </c>
      <c r="M1254" s="113"/>
    </row>
    <row r="1255" spans="1:13" x14ac:dyDescent="0.2">
      <c r="A1255" s="106">
        <v>46233</v>
      </c>
      <c r="B1255" s="105" t="s">
        <v>3702</v>
      </c>
      <c r="C1255" s="105" t="s">
        <v>6221</v>
      </c>
      <c r="D1255" s="149" t="s">
        <v>3703</v>
      </c>
      <c r="E1255" s="105">
        <v>1</v>
      </c>
      <c r="F1255" s="134">
        <v>350.45</v>
      </c>
      <c r="G1255" s="134">
        <v>403.25</v>
      </c>
      <c r="H1255" s="109">
        <f t="shared" si="61"/>
        <v>403.25</v>
      </c>
      <c r="I1255" s="119"/>
      <c r="J1255" s="119"/>
      <c r="K1255" s="119">
        <f t="shared" si="62"/>
        <v>403.25</v>
      </c>
      <c r="L1255" s="152">
        <f t="shared" si="63"/>
        <v>350.45</v>
      </c>
      <c r="M1255" s="113"/>
    </row>
    <row r="1256" spans="1:13" x14ac:dyDescent="0.2">
      <c r="A1256" s="106">
        <v>46233</v>
      </c>
      <c r="B1256" s="105" t="s">
        <v>3437</v>
      </c>
      <c r="C1256" s="105" t="s">
        <v>6222</v>
      </c>
      <c r="D1256" s="149" t="s">
        <v>3439</v>
      </c>
      <c r="E1256" s="105">
        <v>1</v>
      </c>
      <c r="F1256" s="134">
        <v>13.12</v>
      </c>
      <c r="G1256" s="134">
        <v>15.25</v>
      </c>
      <c r="H1256" s="109">
        <f t="shared" si="61"/>
        <v>15.25</v>
      </c>
      <c r="I1256" s="119"/>
      <c r="J1256" s="119"/>
      <c r="K1256" s="119">
        <f t="shared" si="62"/>
        <v>15.25</v>
      </c>
      <c r="L1256" s="152">
        <f t="shared" si="63"/>
        <v>13.12</v>
      </c>
      <c r="M1256" s="113"/>
    </row>
    <row r="1257" spans="1:13" x14ac:dyDescent="0.2">
      <c r="A1257" s="106">
        <v>46233</v>
      </c>
      <c r="B1257" s="105" t="s">
        <v>2884</v>
      </c>
      <c r="C1257" s="105" t="s">
        <v>6223</v>
      </c>
      <c r="D1257" s="149" t="s">
        <v>2886</v>
      </c>
      <c r="E1257" s="105">
        <v>3</v>
      </c>
      <c r="F1257" s="134">
        <v>302.13</v>
      </c>
      <c r="G1257" s="134">
        <v>362.75</v>
      </c>
      <c r="H1257" s="109">
        <f t="shared" si="61"/>
        <v>1088.25</v>
      </c>
      <c r="I1257" s="119"/>
      <c r="J1257" s="119"/>
      <c r="K1257" s="119">
        <f t="shared" si="62"/>
        <v>1088.25</v>
      </c>
      <c r="L1257" s="152">
        <f t="shared" si="63"/>
        <v>906.39</v>
      </c>
      <c r="M1257" s="113"/>
    </row>
    <row r="1258" spans="1:13" x14ac:dyDescent="0.2">
      <c r="A1258" s="106">
        <v>46233</v>
      </c>
      <c r="B1258" s="105" t="s">
        <v>5418</v>
      </c>
      <c r="C1258" s="105" t="s">
        <v>6223</v>
      </c>
      <c r="D1258" s="149" t="s">
        <v>5469</v>
      </c>
      <c r="E1258" s="105">
        <v>4</v>
      </c>
      <c r="F1258" s="134">
        <v>83.55</v>
      </c>
      <c r="G1258" s="134">
        <v>97.25</v>
      </c>
      <c r="H1258" s="109">
        <f t="shared" si="61"/>
        <v>389</v>
      </c>
      <c r="I1258" s="119"/>
      <c r="J1258" s="119"/>
      <c r="K1258" s="119">
        <f t="shared" si="62"/>
        <v>389</v>
      </c>
      <c r="L1258" s="152">
        <f t="shared" si="63"/>
        <v>334.2</v>
      </c>
      <c r="M1258" s="113"/>
    </row>
    <row r="1259" spans="1:13" x14ac:dyDescent="0.2">
      <c r="A1259" s="106">
        <v>46233</v>
      </c>
      <c r="B1259" s="105" t="s">
        <v>6205</v>
      </c>
      <c r="C1259" s="105" t="s">
        <v>6223</v>
      </c>
      <c r="D1259" s="149" t="s">
        <v>6249</v>
      </c>
      <c r="E1259" s="105">
        <v>2</v>
      </c>
      <c r="F1259" s="134">
        <v>209.3</v>
      </c>
      <c r="G1259" s="134">
        <v>244.75</v>
      </c>
      <c r="H1259" s="109">
        <f t="shared" si="61"/>
        <v>489.5</v>
      </c>
      <c r="I1259" s="119"/>
      <c r="J1259" s="119"/>
      <c r="K1259" s="119">
        <f t="shared" si="62"/>
        <v>489.5</v>
      </c>
      <c r="L1259" s="152">
        <f t="shared" si="63"/>
        <v>418.6</v>
      </c>
      <c r="M1259" s="113"/>
    </row>
    <row r="1260" spans="1:13" x14ac:dyDescent="0.2">
      <c r="A1260" s="106">
        <v>46233</v>
      </c>
      <c r="B1260" s="105" t="s">
        <v>6206</v>
      </c>
      <c r="C1260" s="105" t="s">
        <v>6223</v>
      </c>
      <c r="D1260" s="149" t="s">
        <v>6250</v>
      </c>
      <c r="E1260" s="105">
        <v>10</v>
      </c>
      <c r="F1260" s="134">
        <v>65</v>
      </c>
      <c r="G1260" s="134">
        <v>75</v>
      </c>
      <c r="H1260" s="109">
        <f t="shared" si="61"/>
        <v>750</v>
      </c>
      <c r="I1260" s="119"/>
      <c r="J1260" s="119"/>
      <c r="K1260" s="119">
        <f t="shared" si="62"/>
        <v>750</v>
      </c>
      <c r="L1260" s="152">
        <f t="shared" si="63"/>
        <v>650</v>
      </c>
      <c r="M1260" s="113"/>
    </row>
    <row r="1261" spans="1:13" x14ac:dyDescent="0.2">
      <c r="A1261" s="106">
        <v>46233</v>
      </c>
      <c r="B1261" s="105" t="s">
        <v>5864</v>
      </c>
      <c r="C1261" s="105" t="s">
        <v>6223</v>
      </c>
      <c r="D1261" s="149" t="s">
        <v>5957</v>
      </c>
      <c r="E1261" s="105">
        <v>20</v>
      </c>
      <c r="F1261" s="134">
        <v>100.03</v>
      </c>
      <c r="G1261" s="134">
        <v>115.25</v>
      </c>
      <c r="H1261" s="109">
        <f t="shared" si="61"/>
        <v>2305</v>
      </c>
      <c r="I1261" s="119"/>
      <c r="J1261" s="119"/>
      <c r="K1261" s="119">
        <f t="shared" si="62"/>
        <v>2305</v>
      </c>
      <c r="L1261" s="152">
        <f t="shared" si="63"/>
        <v>2000.6</v>
      </c>
      <c r="M1261" s="113"/>
    </row>
    <row r="1262" spans="1:13" x14ac:dyDescent="0.2">
      <c r="A1262" s="106">
        <v>46233</v>
      </c>
      <c r="B1262" s="105" t="s">
        <v>2959</v>
      </c>
      <c r="C1262" s="105" t="s">
        <v>6224</v>
      </c>
      <c r="D1262" s="149" t="s">
        <v>2960</v>
      </c>
      <c r="E1262" s="105">
        <v>1</v>
      </c>
      <c r="F1262" s="134">
        <v>529.58000000000004</v>
      </c>
      <c r="G1262" s="134">
        <v>615</v>
      </c>
      <c r="H1262" s="109">
        <f t="shared" si="61"/>
        <v>615</v>
      </c>
      <c r="I1262" s="119"/>
      <c r="J1262" s="119"/>
      <c r="K1262" s="119">
        <f t="shared" si="62"/>
        <v>615</v>
      </c>
      <c r="L1262" s="152">
        <f t="shared" si="63"/>
        <v>529.58000000000004</v>
      </c>
      <c r="M1262" s="113"/>
    </row>
    <row r="1263" spans="1:13" x14ac:dyDescent="0.2">
      <c r="A1263" s="106">
        <v>46233</v>
      </c>
      <c r="B1263" s="105" t="s">
        <v>3778</v>
      </c>
      <c r="C1263" s="105" t="s">
        <v>6224</v>
      </c>
      <c r="D1263" s="149" t="s">
        <v>3780</v>
      </c>
      <c r="E1263" s="105">
        <v>4</v>
      </c>
      <c r="F1263" s="134">
        <v>38.25</v>
      </c>
      <c r="G1263" s="134">
        <v>44</v>
      </c>
      <c r="H1263" s="109">
        <f t="shared" si="61"/>
        <v>176</v>
      </c>
      <c r="I1263" s="119"/>
      <c r="J1263" s="119"/>
      <c r="K1263" s="119">
        <f t="shared" si="62"/>
        <v>176</v>
      </c>
      <c r="L1263" s="152">
        <f t="shared" si="63"/>
        <v>153</v>
      </c>
      <c r="M1263" s="113"/>
    </row>
    <row r="1264" spans="1:13" x14ac:dyDescent="0.2">
      <c r="A1264" s="106">
        <v>46233</v>
      </c>
      <c r="B1264" s="105" t="s">
        <v>2884</v>
      </c>
      <c r="C1264" s="105" t="s">
        <v>6224</v>
      </c>
      <c r="D1264" s="149" t="s">
        <v>2886</v>
      </c>
      <c r="E1264" s="105">
        <v>1</v>
      </c>
      <c r="F1264" s="134">
        <v>302.13</v>
      </c>
      <c r="G1264" s="134">
        <v>362.75</v>
      </c>
      <c r="H1264" s="109">
        <f t="shared" si="61"/>
        <v>362.75</v>
      </c>
      <c r="I1264" s="119"/>
      <c r="J1264" s="119"/>
      <c r="K1264" s="119">
        <f t="shared" si="62"/>
        <v>362.75</v>
      </c>
      <c r="L1264" s="152">
        <f t="shared" si="63"/>
        <v>302.13</v>
      </c>
      <c r="M1264" s="113"/>
    </row>
    <row r="1265" spans="1:13" x14ac:dyDescent="0.2">
      <c r="A1265" s="106">
        <v>46233</v>
      </c>
      <c r="B1265" s="105" t="s">
        <v>2963</v>
      </c>
      <c r="C1265" s="105" t="s">
        <v>6224</v>
      </c>
      <c r="D1265" s="149" t="s">
        <v>2964</v>
      </c>
      <c r="E1265" s="105">
        <v>2</v>
      </c>
      <c r="F1265" s="134">
        <v>160.51</v>
      </c>
      <c r="G1265" s="134">
        <v>184.75</v>
      </c>
      <c r="H1265" s="109">
        <f t="shared" si="61"/>
        <v>369.5</v>
      </c>
      <c r="I1265" s="119"/>
      <c r="J1265" s="119"/>
      <c r="K1265" s="119">
        <f t="shared" si="62"/>
        <v>369.5</v>
      </c>
      <c r="L1265" s="152">
        <f t="shared" si="63"/>
        <v>321.02</v>
      </c>
      <c r="M1265" s="113"/>
    </row>
    <row r="1266" spans="1:13" x14ac:dyDescent="0.2">
      <c r="A1266" s="106">
        <v>46233</v>
      </c>
      <c r="B1266" s="105" t="s">
        <v>5864</v>
      </c>
      <c r="C1266" s="105" t="s">
        <v>6224</v>
      </c>
      <c r="D1266" s="149" t="s">
        <v>5957</v>
      </c>
      <c r="E1266" s="105">
        <v>2</v>
      </c>
      <c r="F1266" s="134">
        <v>100.03</v>
      </c>
      <c r="G1266" s="134">
        <v>115.25</v>
      </c>
      <c r="H1266" s="109">
        <f t="shared" si="61"/>
        <v>230.5</v>
      </c>
      <c r="I1266" s="119"/>
      <c r="J1266" s="119"/>
      <c r="K1266" s="119">
        <f t="shared" si="62"/>
        <v>230.5</v>
      </c>
      <c r="L1266" s="152">
        <f t="shared" si="63"/>
        <v>200.06</v>
      </c>
      <c r="M1266" s="113"/>
    </row>
    <row r="1267" spans="1:13" x14ac:dyDescent="0.2">
      <c r="A1267" s="106">
        <v>46233</v>
      </c>
      <c r="B1267" s="105" t="s">
        <v>3112</v>
      </c>
      <c r="C1267" s="105" t="s">
        <v>6224</v>
      </c>
      <c r="D1267" s="149" t="s">
        <v>3113</v>
      </c>
      <c r="E1267" s="105">
        <v>3</v>
      </c>
      <c r="F1267" s="134">
        <v>109.57</v>
      </c>
      <c r="G1267" s="134">
        <v>136.5</v>
      </c>
      <c r="H1267" s="109">
        <f t="shared" si="61"/>
        <v>409.5</v>
      </c>
      <c r="I1267" s="119"/>
      <c r="J1267" s="119"/>
      <c r="K1267" s="119">
        <f t="shared" si="62"/>
        <v>409.5</v>
      </c>
      <c r="L1267" s="152">
        <f t="shared" si="63"/>
        <v>328.71</v>
      </c>
      <c r="M1267" s="113"/>
    </row>
    <row r="1268" spans="1:13" x14ac:dyDescent="0.2">
      <c r="A1268" s="106">
        <v>46233</v>
      </c>
      <c r="B1268" s="105" t="s">
        <v>3996</v>
      </c>
      <c r="C1268" s="105" t="s">
        <v>6225</v>
      </c>
      <c r="D1268" s="149" t="s">
        <v>3997</v>
      </c>
      <c r="E1268" s="105">
        <v>1</v>
      </c>
      <c r="F1268" s="134">
        <v>30.9</v>
      </c>
      <c r="G1268" s="134">
        <v>35.75</v>
      </c>
      <c r="H1268" s="109">
        <f t="shared" si="61"/>
        <v>35.75</v>
      </c>
      <c r="I1268" s="119"/>
      <c r="J1268" s="119"/>
      <c r="K1268" s="119">
        <f t="shared" si="62"/>
        <v>35.75</v>
      </c>
      <c r="L1268" s="152">
        <f t="shared" si="63"/>
        <v>30.9</v>
      </c>
      <c r="M1268" s="113"/>
    </row>
    <row r="1269" spans="1:13" x14ac:dyDescent="0.2">
      <c r="A1269" s="106">
        <v>46233</v>
      </c>
      <c r="B1269" s="105" t="s">
        <v>3721</v>
      </c>
      <c r="C1269" s="105" t="s">
        <v>6225</v>
      </c>
      <c r="D1269" s="149" t="s">
        <v>3723</v>
      </c>
      <c r="E1269" s="105">
        <v>1</v>
      </c>
      <c r="F1269" s="134">
        <v>42.87</v>
      </c>
      <c r="G1269" s="134">
        <v>49.5</v>
      </c>
      <c r="H1269" s="109">
        <f t="shared" si="61"/>
        <v>49.5</v>
      </c>
      <c r="I1269" s="119"/>
      <c r="J1269" s="119"/>
      <c r="K1269" s="119">
        <f t="shared" si="62"/>
        <v>49.5</v>
      </c>
      <c r="L1269" s="152">
        <f t="shared" si="63"/>
        <v>42.87</v>
      </c>
      <c r="M1269" s="113"/>
    </row>
    <row r="1270" spans="1:13" x14ac:dyDescent="0.2">
      <c r="A1270" s="106">
        <v>46233</v>
      </c>
      <c r="B1270" s="105" t="s">
        <v>2884</v>
      </c>
      <c r="C1270" s="105" t="s">
        <v>6226</v>
      </c>
      <c r="D1270" s="149" t="s">
        <v>2886</v>
      </c>
      <c r="E1270" s="105">
        <v>3</v>
      </c>
      <c r="F1270" s="134">
        <v>302.13</v>
      </c>
      <c r="G1270" s="134">
        <v>362.75</v>
      </c>
      <c r="H1270" s="109">
        <f t="shared" si="61"/>
        <v>1088.25</v>
      </c>
      <c r="I1270" s="119"/>
      <c r="J1270" s="119"/>
      <c r="K1270" s="119">
        <f t="shared" si="62"/>
        <v>1088.25</v>
      </c>
      <c r="L1270" s="152">
        <f t="shared" si="63"/>
        <v>906.39</v>
      </c>
      <c r="M1270" s="113"/>
    </row>
    <row r="1271" spans="1:13" x14ac:dyDescent="0.2">
      <c r="A1271" s="106">
        <v>46233</v>
      </c>
      <c r="B1271" s="105" t="s">
        <v>3112</v>
      </c>
      <c r="C1271" s="105" t="s">
        <v>6226</v>
      </c>
      <c r="D1271" s="149" t="s">
        <v>3113</v>
      </c>
      <c r="E1271" s="105">
        <v>3</v>
      </c>
      <c r="F1271" s="134">
        <v>109.57</v>
      </c>
      <c r="G1271" s="134">
        <v>136.5</v>
      </c>
      <c r="H1271" s="109">
        <f t="shared" si="61"/>
        <v>409.5</v>
      </c>
      <c r="I1271" s="119"/>
      <c r="J1271" s="119"/>
      <c r="K1271" s="119">
        <f t="shared" si="62"/>
        <v>409.5</v>
      </c>
      <c r="L1271" s="152">
        <f t="shared" si="63"/>
        <v>328.71</v>
      </c>
      <c r="M1271" s="113"/>
    </row>
    <row r="1272" spans="1:13" x14ac:dyDescent="0.2">
      <c r="A1272" s="106">
        <v>46233</v>
      </c>
      <c r="B1272" s="105" t="s">
        <v>2407</v>
      </c>
      <c r="C1272" s="105" t="s">
        <v>6226</v>
      </c>
      <c r="D1272" s="149" t="s">
        <v>2409</v>
      </c>
      <c r="E1272" s="105">
        <v>3</v>
      </c>
      <c r="F1272" s="134">
        <v>94.58</v>
      </c>
      <c r="G1272" s="134">
        <v>109</v>
      </c>
      <c r="H1272" s="109">
        <f t="shared" si="61"/>
        <v>327</v>
      </c>
      <c r="I1272" s="119"/>
      <c r="J1272" s="119"/>
      <c r="K1272" s="119">
        <f t="shared" si="62"/>
        <v>327</v>
      </c>
      <c r="L1272" s="152">
        <f t="shared" si="63"/>
        <v>283.74</v>
      </c>
      <c r="M1272" s="113"/>
    </row>
    <row r="1273" spans="1:13" x14ac:dyDescent="0.2">
      <c r="A1273" s="106">
        <v>46233</v>
      </c>
      <c r="B1273" s="105" t="s">
        <v>1929</v>
      </c>
      <c r="C1273" s="105" t="s">
        <v>6226</v>
      </c>
      <c r="D1273" s="149" t="s">
        <v>1930</v>
      </c>
      <c r="E1273" s="105">
        <v>4</v>
      </c>
      <c r="F1273" s="134">
        <v>13.92</v>
      </c>
      <c r="G1273" s="134">
        <v>22</v>
      </c>
      <c r="H1273" s="109">
        <f t="shared" si="61"/>
        <v>88</v>
      </c>
      <c r="I1273" s="119"/>
      <c r="J1273" s="119"/>
      <c r="K1273" s="119">
        <f t="shared" si="62"/>
        <v>88</v>
      </c>
      <c r="L1273" s="152">
        <f t="shared" si="63"/>
        <v>55.68</v>
      </c>
      <c r="M1273" s="113"/>
    </row>
    <row r="1274" spans="1:13" x14ac:dyDescent="0.2">
      <c r="A1274" s="106">
        <v>46233</v>
      </c>
      <c r="B1274" s="105" t="s">
        <v>5694</v>
      </c>
      <c r="C1274" s="105" t="s">
        <v>6226</v>
      </c>
      <c r="D1274" s="149" t="s">
        <v>5832</v>
      </c>
      <c r="E1274" s="105">
        <v>2</v>
      </c>
      <c r="F1274" s="134">
        <v>109.83</v>
      </c>
      <c r="G1274" s="134">
        <v>126.5</v>
      </c>
      <c r="H1274" s="109">
        <f t="shared" si="61"/>
        <v>253</v>
      </c>
      <c r="I1274" s="119"/>
      <c r="J1274" s="119"/>
      <c r="K1274" s="119">
        <f t="shared" si="62"/>
        <v>253</v>
      </c>
      <c r="L1274" s="152">
        <f t="shared" si="63"/>
        <v>219.66</v>
      </c>
      <c r="M1274" s="113"/>
    </row>
    <row r="1275" spans="1:13" x14ac:dyDescent="0.2">
      <c r="A1275" s="106">
        <v>46233</v>
      </c>
      <c r="B1275" s="105" t="s">
        <v>6207</v>
      </c>
      <c r="C1275" s="105" t="s">
        <v>6226</v>
      </c>
      <c r="D1275" s="149" t="s">
        <v>6251</v>
      </c>
      <c r="E1275" s="105">
        <v>10</v>
      </c>
      <c r="F1275" s="134">
        <v>65</v>
      </c>
      <c r="G1275" s="134">
        <v>75</v>
      </c>
      <c r="H1275" s="109">
        <f t="shared" si="61"/>
        <v>750</v>
      </c>
      <c r="I1275" s="119"/>
      <c r="J1275" s="119"/>
      <c r="K1275" s="119">
        <f t="shared" si="62"/>
        <v>750</v>
      </c>
      <c r="L1275" s="152">
        <f t="shared" si="63"/>
        <v>650</v>
      </c>
      <c r="M1275" s="113"/>
    </row>
    <row r="1276" spans="1:13" x14ac:dyDescent="0.2">
      <c r="A1276" s="106">
        <v>46233</v>
      </c>
      <c r="B1276" s="105" t="s">
        <v>3352</v>
      </c>
      <c r="C1276" s="105" t="s">
        <v>6226</v>
      </c>
      <c r="D1276" s="149" t="s">
        <v>3353</v>
      </c>
      <c r="E1276" s="105">
        <v>24</v>
      </c>
      <c r="F1276" s="134">
        <v>6.35</v>
      </c>
      <c r="G1276" s="134">
        <v>7.5</v>
      </c>
      <c r="H1276" s="109">
        <f t="shared" si="61"/>
        <v>180</v>
      </c>
      <c r="I1276" s="119"/>
      <c r="J1276" s="119"/>
      <c r="K1276" s="119">
        <f t="shared" si="62"/>
        <v>180</v>
      </c>
      <c r="L1276" s="152">
        <f t="shared" si="63"/>
        <v>152.39999999999998</v>
      </c>
      <c r="M1276" s="113"/>
    </row>
    <row r="1277" spans="1:13" x14ac:dyDescent="0.2">
      <c r="A1277" s="106">
        <v>46233</v>
      </c>
      <c r="B1277" s="105" t="s">
        <v>2884</v>
      </c>
      <c r="C1277" s="105" t="s">
        <v>6227</v>
      </c>
      <c r="D1277" s="149" t="s">
        <v>2886</v>
      </c>
      <c r="E1277" s="105">
        <v>2</v>
      </c>
      <c r="F1277" s="134">
        <v>302.13</v>
      </c>
      <c r="G1277" s="134">
        <v>362.75</v>
      </c>
      <c r="H1277" s="109">
        <f t="shared" si="61"/>
        <v>725.5</v>
      </c>
      <c r="I1277" s="119"/>
      <c r="J1277" s="119"/>
      <c r="K1277" s="119">
        <f t="shared" si="62"/>
        <v>725.5</v>
      </c>
      <c r="L1277" s="152">
        <f t="shared" si="63"/>
        <v>604.26</v>
      </c>
      <c r="M1277" s="113"/>
    </row>
    <row r="1278" spans="1:13" x14ac:dyDescent="0.2">
      <c r="A1278" s="106">
        <v>46233</v>
      </c>
      <c r="B1278" s="105" t="s">
        <v>4806</v>
      </c>
      <c r="C1278" s="105" t="s">
        <v>6227</v>
      </c>
      <c r="D1278" s="149" t="s">
        <v>4874</v>
      </c>
      <c r="E1278" s="105">
        <v>24</v>
      </c>
      <c r="F1278" s="134">
        <v>8.58</v>
      </c>
      <c r="G1278" s="134">
        <v>10</v>
      </c>
      <c r="H1278" s="109">
        <f t="shared" si="61"/>
        <v>240</v>
      </c>
      <c r="I1278" s="119"/>
      <c r="J1278" s="119"/>
      <c r="K1278" s="119">
        <f t="shared" si="62"/>
        <v>240</v>
      </c>
      <c r="L1278" s="152">
        <f t="shared" si="63"/>
        <v>205.92000000000002</v>
      </c>
      <c r="M1278" s="113"/>
    </row>
    <row r="1279" spans="1:13" x14ac:dyDescent="0.2">
      <c r="A1279" s="106">
        <v>46233</v>
      </c>
      <c r="B1279" s="105" t="s">
        <v>3022</v>
      </c>
      <c r="C1279" s="105" t="s">
        <v>6227</v>
      </c>
      <c r="D1279" s="149" t="s">
        <v>3023</v>
      </c>
      <c r="E1279" s="105">
        <v>5</v>
      </c>
      <c r="F1279" s="134">
        <v>120.95</v>
      </c>
      <c r="G1279" s="134">
        <v>139.25</v>
      </c>
      <c r="H1279" s="109">
        <f t="shared" si="61"/>
        <v>696.25</v>
      </c>
      <c r="I1279" s="119"/>
      <c r="J1279" s="119"/>
      <c r="K1279" s="119">
        <f t="shared" si="62"/>
        <v>696.25</v>
      </c>
      <c r="L1279" s="152">
        <f t="shared" si="63"/>
        <v>604.75</v>
      </c>
      <c r="M1279" s="113"/>
    </row>
    <row r="1280" spans="1:13" x14ac:dyDescent="0.2">
      <c r="A1280" s="106">
        <v>46233</v>
      </c>
      <c r="B1280" s="105" t="s">
        <v>2293</v>
      </c>
      <c r="C1280" s="105" t="s">
        <v>6227</v>
      </c>
      <c r="D1280" s="149" t="s">
        <v>2295</v>
      </c>
      <c r="E1280" s="105">
        <v>4</v>
      </c>
      <c r="F1280" s="134">
        <v>27.84</v>
      </c>
      <c r="G1280" s="134">
        <v>45</v>
      </c>
      <c r="H1280" s="109">
        <f t="shared" si="61"/>
        <v>180</v>
      </c>
      <c r="I1280" s="119"/>
      <c r="J1280" s="119"/>
      <c r="K1280" s="119">
        <f t="shared" si="62"/>
        <v>180</v>
      </c>
      <c r="L1280" s="152">
        <f t="shared" si="63"/>
        <v>111.36</v>
      </c>
      <c r="M1280" s="113"/>
    </row>
    <row r="1281" spans="1:13" x14ac:dyDescent="0.2">
      <c r="A1281" s="106">
        <v>46233</v>
      </c>
      <c r="B1281" s="105" t="s">
        <v>5694</v>
      </c>
      <c r="C1281" s="105" t="s">
        <v>6227</v>
      </c>
      <c r="D1281" s="149" t="s">
        <v>5832</v>
      </c>
      <c r="E1281" s="105">
        <v>2</v>
      </c>
      <c r="F1281" s="134">
        <v>109.83</v>
      </c>
      <c r="G1281" s="134">
        <v>126.5</v>
      </c>
      <c r="H1281" s="109">
        <f t="shared" si="61"/>
        <v>253</v>
      </c>
      <c r="I1281" s="119"/>
      <c r="J1281" s="119"/>
      <c r="K1281" s="119">
        <f t="shared" si="62"/>
        <v>253</v>
      </c>
      <c r="L1281" s="152">
        <f t="shared" si="63"/>
        <v>219.66</v>
      </c>
      <c r="M1281" s="113"/>
    </row>
    <row r="1282" spans="1:13" x14ac:dyDescent="0.2">
      <c r="A1282" s="106">
        <v>46233</v>
      </c>
      <c r="B1282" s="105" t="s">
        <v>3690</v>
      </c>
      <c r="C1282" s="105" t="s">
        <v>6227</v>
      </c>
      <c r="D1282" s="149" t="s">
        <v>3691</v>
      </c>
      <c r="E1282" s="105">
        <v>5</v>
      </c>
      <c r="F1282" s="134">
        <v>53.64</v>
      </c>
      <c r="G1282" s="134">
        <v>61.75</v>
      </c>
      <c r="H1282" s="109">
        <f t="shared" si="61"/>
        <v>308.75</v>
      </c>
      <c r="I1282" s="119"/>
      <c r="J1282" s="119"/>
      <c r="K1282" s="119">
        <f t="shared" si="62"/>
        <v>308.75</v>
      </c>
      <c r="L1282" s="152">
        <f t="shared" si="63"/>
        <v>268.2</v>
      </c>
      <c r="M1282" s="113"/>
    </row>
    <row r="1283" spans="1:13" x14ac:dyDescent="0.2">
      <c r="A1283" s="106">
        <v>46233</v>
      </c>
      <c r="B1283" s="105" t="s">
        <v>4112</v>
      </c>
      <c r="C1283" s="105" t="s">
        <v>6227</v>
      </c>
      <c r="D1283" s="149" t="s">
        <v>4113</v>
      </c>
      <c r="E1283" s="105">
        <v>10</v>
      </c>
      <c r="F1283" s="134">
        <v>19.66</v>
      </c>
      <c r="G1283" s="134">
        <v>23</v>
      </c>
      <c r="H1283" s="109">
        <f t="shared" si="61"/>
        <v>230</v>
      </c>
      <c r="I1283" s="119"/>
      <c r="J1283" s="119"/>
      <c r="K1283" s="119">
        <f t="shared" si="62"/>
        <v>230</v>
      </c>
      <c r="L1283" s="152">
        <f t="shared" si="63"/>
        <v>196.6</v>
      </c>
      <c r="M1283" s="113"/>
    </row>
    <row r="1284" spans="1:13" x14ac:dyDescent="0.2">
      <c r="A1284" s="106">
        <v>46233</v>
      </c>
      <c r="B1284" s="105" t="s">
        <v>3778</v>
      </c>
      <c r="C1284" s="105" t="s">
        <v>6227</v>
      </c>
      <c r="D1284" s="149" t="s">
        <v>3780</v>
      </c>
      <c r="E1284" s="105">
        <v>4</v>
      </c>
      <c r="F1284" s="134">
        <v>38.25</v>
      </c>
      <c r="G1284" s="134">
        <v>44</v>
      </c>
      <c r="H1284" s="109">
        <f t="shared" si="61"/>
        <v>176</v>
      </c>
      <c r="I1284" s="119"/>
      <c r="J1284" s="119"/>
      <c r="K1284" s="119">
        <f t="shared" si="62"/>
        <v>176</v>
      </c>
      <c r="L1284" s="152">
        <f t="shared" si="63"/>
        <v>153</v>
      </c>
      <c r="M1284" s="113"/>
    </row>
    <row r="1285" spans="1:13" x14ac:dyDescent="0.2">
      <c r="A1285" s="106">
        <v>46233</v>
      </c>
      <c r="B1285" s="105" t="s">
        <v>3352</v>
      </c>
      <c r="C1285" s="105" t="s">
        <v>6227</v>
      </c>
      <c r="D1285" s="149" t="s">
        <v>3353</v>
      </c>
      <c r="E1285" s="105">
        <v>24</v>
      </c>
      <c r="F1285" s="134">
        <v>6.35</v>
      </c>
      <c r="G1285" s="134">
        <v>7.5</v>
      </c>
      <c r="H1285" s="109">
        <f t="shared" si="61"/>
        <v>180</v>
      </c>
      <c r="I1285" s="119"/>
      <c r="J1285" s="119"/>
      <c r="K1285" s="119">
        <f t="shared" si="62"/>
        <v>180</v>
      </c>
      <c r="L1285" s="152">
        <f t="shared" si="63"/>
        <v>152.39999999999998</v>
      </c>
      <c r="M1285" s="113"/>
    </row>
    <row r="1286" spans="1:13" x14ac:dyDescent="0.2">
      <c r="A1286" s="106">
        <v>46233</v>
      </c>
      <c r="B1286" s="105" t="s">
        <v>2884</v>
      </c>
      <c r="C1286" s="105" t="s">
        <v>6228</v>
      </c>
      <c r="D1286" s="149" t="s">
        <v>2886</v>
      </c>
      <c r="E1286" s="105">
        <v>10</v>
      </c>
      <c r="F1286" s="134">
        <v>302.13</v>
      </c>
      <c r="G1286" s="134">
        <v>362.75</v>
      </c>
      <c r="H1286" s="109">
        <f t="shared" si="61"/>
        <v>3627.5</v>
      </c>
      <c r="I1286" s="119"/>
      <c r="J1286" s="119"/>
      <c r="K1286" s="119">
        <f t="shared" si="62"/>
        <v>3627.5</v>
      </c>
      <c r="L1286" s="152">
        <f t="shared" si="63"/>
        <v>3021.3</v>
      </c>
      <c r="M1286" s="113"/>
    </row>
    <row r="1287" spans="1:13" x14ac:dyDescent="0.2">
      <c r="A1287" s="106">
        <v>46233</v>
      </c>
      <c r="B1287" s="105" t="s">
        <v>2293</v>
      </c>
      <c r="C1287" s="105" t="s">
        <v>6228</v>
      </c>
      <c r="D1287" s="149" t="s">
        <v>2295</v>
      </c>
      <c r="E1287" s="105">
        <v>3</v>
      </c>
      <c r="F1287" s="134">
        <v>27.84</v>
      </c>
      <c r="G1287" s="134">
        <v>45</v>
      </c>
      <c r="H1287" s="109">
        <f t="shared" ref="H1287:H1350" si="64">E1287*G1287</f>
        <v>135</v>
      </c>
      <c r="I1287" s="119"/>
      <c r="J1287" s="119"/>
      <c r="K1287" s="119">
        <f t="shared" ref="K1287:K1350" si="65">H1287+I1287-J1287</f>
        <v>135</v>
      </c>
      <c r="L1287" s="152">
        <f t="shared" si="63"/>
        <v>83.52</v>
      </c>
      <c r="M1287" s="113"/>
    </row>
    <row r="1288" spans="1:13" x14ac:dyDescent="0.2">
      <c r="A1288" s="106">
        <v>46233</v>
      </c>
      <c r="B1288" s="105" t="s">
        <v>1929</v>
      </c>
      <c r="C1288" s="105" t="s">
        <v>6228</v>
      </c>
      <c r="D1288" s="149" t="s">
        <v>1930</v>
      </c>
      <c r="E1288" s="105">
        <v>10</v>
      </c>
      <c r="F1288" s="134">
        <v>13.92</v>
      </c>
      <c r="G1288" s="134">
        <v>22</v>
      </c>
      <c r="H1288" s="109">
        <f t="shared" si="64"/>
        <v>220</v>
      </c>
      <c r="I1288" s="119"/>
      <c r="J1288" s="119"/>
      <c r="K1288" s="119">
        <f t="shared" si="65"/>
        <v>220</v>
      </c>
      <c r="L1288" s="152">
        <f t="shared" ref="L1288:L1351" si="66">E1288*F1288</f>
        <v>139.19999999999999</v>
      </c>
      <c r="M1288" s="113"/>
    </row>
    <row r="1289" spans="1:13" x14ac:dyDescent="0.2">
      <c r="A1289" s="106">
        <v>46233</v>
      </c>
      <c r="B1289" s="105" t="s">
        <v>2407</v>
      </c>
      <c r="C1289" s="105" t="s">
        <v>6228</v>
      </c>
      <c r="D1289" s="149" t="s">
        <v>2409</v>
      </c>
      <c r="E1289" s="105">
        <v>4</v>
      </c>
      <c r="F1289" s="134">
        <v>94.58</v>
      </c>
      <c r="G1289" s="134">
        <v>109</v>
      </c>
      <c r="H1289" s="109">
        <f t="shared" si="64"/>
        <v>436</v>
      </c>
      <c r="I1289" s="119"/>
      <c r="J1289" s="119"/>
      <c r="K1289" s="119">
        <f t="shared" si="65"/>
        <v>436</v>
      </c>
      <c r="L1289" s="152">
        <f t="shared" si="66"/>
        <v>378.32</v>
      </c>
      <c r="M1289" s="113"/>
    </row>
    <row r="1290" spans="1:13" x14ac:dyDescent="0.2">
      <c r="A1290" s="106">
        <v>46233</v>
      </c>
      <c r="B1290" s="105" t="s">
        <v>1846</v>
      </c>
      <c r="C1290" s="105" t="s">
        <v>6228</v>
      </c>
      <c r="D1290" s="149" t="s">
        <v>1847</v>
      </c>
      <c r="E1290" s="105">
        <v>4</v>
      </c>
      <c r="F1290" s="134">
        <v>61.93</v>
      </c>
      <c r="G1290" s="134">
        <v>71.25</v>
      </c>
      <c r="H1290" s="109">
        <f t="shared" si="64"/>
        <v>285</v>
      </c>
      <c r="I1290" s="119"/>
      <c r="J1290" s="119"/>
      <c r="K1290" s="119">
        <f t="shared" si="65"/>
        <v>285</v>
      </c>
      <c r="L1290" s="152">
        <f t="shared" si="66"/>
        <v>247.72</v>
      </c>
      <c r="M1290" s="113"/>
    </row>
    <row r="1291" spans="1:13" x14ac:dyDescent="0.2">
      <c r="A1291" s="106">
        <v>46233</v>
      </c>
      <c r="B1291" s="105" t="s">
        <v>1924</v>
      </c>
      <c r="C1291" s="105" t="s">
        <v>6229</v>
      </c>
      <c r="D1291" s="149" t="s">
        <v>1926</v>
      </c>
      <c r="E1291" s="105">
        <v>1</v>
      </c>
      <c r="F1291" s="134">
        <v>10.64</v>
      </c>
      <c r="G1291" s="134">
        <v>12.25</v>
      </c>
      <c r="H1291" s="109">
        <f t="shared" si="64"/>
        <v>12.25</v>
      </c>
      <c r="I1291" s="119"/>
      <c r="J1291" s="119"/>
      <c r="K1291" s="119">
        <f t="shared" si="65"/>
        <v>12.25</v>
      </c>
      <c r="L1291" s="152">
        <f t="shared" si="66"/>
        <v>10.64</v>
      </c>
      <c r="M1291" s="113"/>
    </row>
    <row r="1292" spans="1:13" x14ac:dyDescent="0.2">
      <c r="A1292" s="106">
        <v>46233</v>
      </c>
      <c r="B1292" s="105" t="s">
        <v>2237</v>
      </c>
      <c r="C1292" s="105" t="s">
        <v>6229</v>
      </c>
      <c r="D1292" s="149" t="s">
        <v>2239</v>
      </c>
      <c r="E1292" s="105">
        <v>1</v>
      </c>
      <c r="F1292" s="134">
        <v>13.32</v>
      </c>
      <c r="G1292" s="134">
        <v>15.5</v>
      </c>
      <c r="H1292" s="109">
        <f t="shared" si="64"/>
        <v>15.5</v>
      </c>
      <c r="I1292" s="119"/>
      <c r="J1292" s="119"/>
      <c r="K1292" s="119">
        <f t="shared" si="65"/>
        <v>15.5</v>
      </c>
      <c r="L1292" s="152">
        <f t="shared" si="66"/>
        <v>13.32</v>
      </c>
      <c r="M1292" s="113"/>
    </row>
    <row r="1293" spans="1:13" x14ac:dyDescent="0.2">
      <c r="A1293" s="106">
        <v>46233</v>
      </c>
      <c r="B1293" s="105" t="s">
        <v>5236</v>
      </c>
      <c r="C1293" s="105" t="s">
        <v>6230</v>
      </c>
      <c r="D1293" s="149" t="s">
        <v>5396</v>
      </c>
      <c r="E1293" s="105">
        <v>1</v>
      </c>
      <c r="F1293" s="134">
        <v>49.1</v>
      </c>
      <c r="G1293" s="134">
        <v>56.5</v>
      </c>
      <c r="H1293" s="109">
        <f t="shared" si="64"/>
        <v>56.5</v>
      </c>
      <c r="I1293" s="119"/>
      <c r="J1293" s="119"/>
      <c r="K1293" s="119">
        <f t="shared" si="65"/>
        <v>56.5</v>
      </c>
      <c r="L1293" s="152">
        <f t="shared" si="66"/>
        <v>49.1</v>
      </c>
      <c r="M1293" s="113"/>
    </row>
    <row r="1294" spans="1:13" x14ac:dyDescent="0.2">
      <c r="A1294" s="106">
        <v>46233</v>
      </c>
      <c r="B1294" s="105" t="s">
        <v>4519</v>
      </c>
      <c r="C1294" s="105" t="s">
        <v>6230</v>
      </c>
      <c r="D1294" s="149" t="s">
        <v>4624</v>
      </c>
      <c r="E1294" s="105">
        <v>1</v>
      </c>
      <c r="F1294" s="134">
        <v>91.4</v>
      </c>
      <c r="G1294" s="134">
        <v>105.25</v>
      </c>
      <c r="H1294" s="109">
        <f t="shared" si="64"/>
        <v>105.25</v>
      </c>
      <c r="I1294" s="119"/>
      <c r="J1294" s="119"/>
      <c r="K1294" s="119">
        <f t="shared" si="65"/>
        <v>105.25</v>
      </c>
      <c r="L1294" s="152">
        <f t="shared" si="66"/>
        <v>91.4</v>
      </c>
      <c r="M1294" s="113"/>
    </row>
    <row r="1295" spans="1:13" x14ac:dyDescent="0.2">
      <c r="A1295" s="106">
        <v>46233</v>
      </c>
      <c r="B1295" s="105" t="s">
        <v>5866</v>
      </c>
      <c r="C1295" s="105" t="s">
        <v>6230</v>
      </c>
      <c r="D1295" s="149" t="s">
        <v>5959</v>
      </c>
      <c r="E1295" s="105">
        <v>1</v>
      </c>
      <c r="F1295" s="134">
        <v>5.61</v>
      </c>
      <c r="G1295" s="134">
        <v>6.5</v>
      </c>
      <c r="H1295" s="109">
        <f t="shared" si="64"/>
        <v>6.5</v>
      </c>
      <c r="I1295" s="119"/>
      <c r="J1295" s="119"/>
      <c r="K1295" s="119">
        <f t="shared" si="65"/>
        <v>6.5</v>
      </c>
      <c r="L1295" s="152">
        <f t="shared" si="66"/>
        <v>5.61</v>
      </c>
      <c r="M1295" s="113"/>
    </row>
    <row r="1296" spans="1:13" x14ac:dyDescent="0.2">
      <c r="A1296" s="106">
        <v>46233</v>
      </c>
      <c r="B1296" s="105" t="s">
        <v>5247</v>
      </c>
      <c r="C1296" s="105" t="s">
        <v>6231</v>
      </c>
      <c r="D1296" s="149" t="s">
        <v>5407</v>
      </c>
      <c r="E1296" s="105">
        <v>2</v>
      </c>
      <c r="F1296" s="134">
        <v>32</v>
      </c>
      <c r="G1296" s="134">
        <v>37</v>
      </c>
      <c r="H1296" s="109">
        <f t="shared" si="64"/>
        <v>74</v>
      </c>
      <c r="I1296" s="119"/>
      <c r="J1296" s="119"/>
      <c r="K1296" s="119">
        <f t="shared" si="65"/>
        <v>74</v>
      </c>
      <c r="L1296" s="152">
        <f t="shared" si="66"/>
        <v>64</v>
      </c>
      <c r="M1296" s="113"/>
    </row>
    <row r="1297" spans="1:13" x14ac:dyDescent="0.2">
      <c r="A1297" s="106">
        <v>46233</v>
      </c>
      <c r="B1297" s="105" t="s">
        <v>2702</v>
      </c>
      <c r="C1297" s="105" t="s">
        <v>6232</v>
      </c>
      <c r="D1297" s="149" t="s">
        <v>2703</v>
      </c>
      <c r="E1297" s="105">
        <v>1</v>
      </c>
      <c r="F1297" s="134">
        <v>51.5</v>
      </c>
      <c r="G1297" s="134">
        <v>59.25</v>
      </c>
      <c r="H1297" s="109">
        <f t="shared" si="64"/>
        <v>59.25</v>
      </c>
      <c r="I1297" s="119"/>
      <c r="J1297" s="119"/>
      <c r="K1297" s="119">
        <f t="shared" si="65"/>
        <v>59.25</v>
      </c>
      <c r="L1297" s="152">
        <f t="shared" si="66"/>
        <v>51.5</v>
      </c>
      <c r="M1297" s="113"/>
    </row>
    <row r="1298" spans="1:13" x14ac:dyDescent="0.2">
      <c r="A1298" s="106">
        <v>46233</v>
      </c>
      <c r="B1298" s="105" t="s">
        <v>3326</v>
      </c>
      <c r="C1298" s="105" t="s">
        <v>6233</v>
      </c>
      <c r="D1298" s="149" t="s">
        <v>3327</v>
      </c>
      <c r="E1298" s="105">
        <v>12</v>
      </c>
      <c r="F1298" s="134">
        <v>6.12</v>
      </c>
      <c r="G1298" s="134">
        <v>7.25</v>
      </c>
      <c r="H1298" s="109">
        <f t="shared" si="64"/>
        <v>87</v>
      </c>
      <c r="I1298" s="119"/>
      <c r="J1298" s="119"/>
      <c r="K1298" s="119">
        <f t="shared" si="65"/>
        <v>87</v>
      </c>
      <c r="L1298" s="152">
        <f t="shared" si="66"/>
        <v>73.44</v>
      </c>
      <c r="M1298" s="113"/>
    </row>
    <row r="1299" spans="1:13" x14ac:dyDescent="0.2">
      <c r="A1299" s="106">
        <v>46233</v>
      </c>
      <c r="B1299" s="105" t="s">
        <v>2581</v>
      </c>
      <c r="C1299" s="105" t="s">
        <v>6233</v>
      </c>
      <c r="D1299" s="149" t="s">
        <v>2583</v>
      </c>
      <c r="E1299" s="105">
        <v>12</v>
      </c>
      <c r="F1299" s="134">
        <v>6.02</v>
      </c>
      <c r="G1299" s="134">
        <v>7.25</v>
      </c>
      <c r="H1299" s="109">
        <f t="shared" si="64"/>
        <v>87</v>
      </c>
      <c r="I1299" s="119"/>
      <c r="J1299" s="119"/>
      <c r="K1299" s="119">
        <f t="shared" si="65"/>
        <v>87</v>
      </c>
      <c r="L1299" s="152">
        <f t="shared" si="66"/>
        <v>72.239999999999995</v>
      </c>
      <c r="M1299" s="113"/>
    </row>
    <row r="1300" spans="1:13" x14ac:dyDescent="0.2">
      <c r="A1300" s="106">
        <v>46233</v>
      </c>
      <c r="B1300" s="105" t="s">
        <v>2813</v>
      </c>
      <c r="C1300" s="105" t="s">
        <v>6233</v>
      </c>
      <c r="D1300" s="149" t="s">
        <v>2814</v>
      </c>
      <c r="E1300" s="105">
        <v>1</v>
      </c>
      <c r="F1300" s="134">
        <v>149</v>
      </c>
      <c r="G1300" s="134">
        <v>171.5</v>
      </c>
      <c r="H1300" s="109">
        <f t="shared" si="64"/>
        <v>171.5</v>
      </c>
      <c r="I1300" s="119"/>
      <c r="J1300" s="119"/>
      <c r="K1300" s="119">
        <f t="shared" si="65"/>
        <v>171.5</v>
      </c>
      <c r="L1300" s="152">
        <f t="shared" si="66"/>
        <v>149</v>
      </c>
      <c r="M1300" s="113"/>
    </row>
    <row r="1301" spans="1:13" x14ac:dyDescent="0.2">
      <c r="A1301" s="106">
        <v>46233</v>
      </c>
      <c r="B1301" s="105" t="s">
        <v>2491</v>
      </c>
      <c r="C1301" s="105" t="s">
        <v>6234</v>
      </c>
      <c r="D1301" s="149" t="s">
        <v>2492</v>
      </c>
      <c r="E1301" s="105">
        <v>2</v>
      </c>
      <c r="F1301" s="134">
        <v>61.5</v>
      </c>
      <c r="G1301" s="134">
        <v>66.5</v>
      </c>
      <c r="H1301" s="109">
        <f t="shared" si="64"/>
        <v>133</v>
      </c>
      <c r="I1301" s="119"/>
      <c r="J1301" s="119"/>
      <c r="K1301" s="119">
        <f t="shared" si="65"/>
        <v>133</v>
      </c>
      <c r="L1301" s="152">
        <f t="shared" si="66"/>
        <v>123</v>
      </c>
      <c r="M1301" s="113"/>
    </row>
    <row r="1302" spans="1:13" x14ac:dyDescent="0.2">
      <c r="A1302" s="106">
        <v>46233</v>
      </c>
      <c r="B1302" s="105" t="s">
        <v>3448</v>
      </c>
      <c r="C1302" s="105" t="s">
        <v>6234</v>
      </c>
      <c r="D1302" s="149" t="s">
        <v>3450</v>
      </c>
      <c r="E1302" s="105">
        <v>3</v>
      </c>
      <c r="F1302" s="134">
        <v>15.91</v>
      </c>
      <c r="G1302" s="134">
        <v>18.5</v>
      </c>
      <c r="H1302" s="109">
        <f t="shared" si="64"/>
        <v>55.5</v>
      </c>
      <c r="I1302" s="119"/>
      <c r="J1302" s="119"/>
      <c r="K1302" s="119">
        <f t="shared" si="65"/>
        <v>55.5</v>
      </c>
      <c r="L1302" s="152">
        <f t="shared" si="66"/>
        <v>47.730000000000004</v>
      </c>
      <c r="M1302" s="113"/>
    </row>
    <row r="1303" spans="1:13" x14ac:dyDescent="0.2">
      <c r="A1303" s="106">
        <v>46233</v>
      </c>
      <c r="B1303" s="105" t="s">
        <v>2488</v>
      </c>
      <c r="C1303" s="105" t="s">
        <v>6234</v>
      </c>
      <c r="D1303" s="149" t="s">
        <v>2489</v>
      </c>
      <c r="E1303" s="105">
        <v>1</v>
      </c>
      <c r="F1303" s="134">
        <v>31.19</v>
      </c>
      <c r="G1303" s="134">
        <v>36</v>
      </c>
      <c r="H1303" s="109">
        <f t="shared" si="64"/>
        <v>36</v>
      </c>
      <c r="I1303" s="119"/>
      <c r="J1303" s="119"/>
      <c r="K1303" s="119">
        <f t="shared" si="65"/>
        <v>36</v>
      </c>
      <c r="L1303" s="152">
        <f t="shared" si="66"/>
        <v>31.19</v>
      </c>
      <c r="M1303" s="113"/>
    </row>
    <row r="1304" spans="1:13" x14ac:dyDescent="0.2">
      <c r="A1304" s="106">
        <v>46233</v>
      </c>
      <c r="B1304" s="105" t="s">
        <v>2590</v>
      </c>
      <c r="C1304" s="105" t="s">
        <v>6234</v>
      </c>
      <c r="D1304" s="149" t="s">
        <v>2591</v>
      </c>
      <c r="E1304" s="105">
        <v>1</v>
      </c>
      <c r="F1304" s="134">
        <v>90.24</v>
      </c>
      <c r="G1304" s="134">
        <v>103.75</v>
      </c>
      <c r="H1304" s="109">
        <f t="shared" si="64"/>
        <v>103.75</v>
      </c>
      <c r="I1304" s="119"/>
      <c r="J1304" s="119"/>
      <c r="K1304" s="119">
        <f t="shared" si="65"/>
        <v>103.75</v>
      </c>
      <c r="L1304" s="152">
        <f t="shared" si="66"/>
        <v>90.24</v>
      </c>
      <c r="M1304" s="113"/>
    </row>
    <row r="1305" spans="1:13" x14ac:dyDescent="0.2">
      <c r="A1305" s="106">
        <v>46233</v>
      </c>
      <c r="B1305" s="105" t="s">
        <v>2283</v>
      </c>
      <c r="C1305" s="105" t="s">
        <v>6235</v>
      </c>
      <c r="D1305" s="149" t="s">
        <v>2285</v>
      </c>
      <c r="E1305" s="105">
        <v>1</v>
      </c>
      <c r="F1305" s="134">
        <v>155.65</v>
      </c>
      <c r="G1305" s="134">
        <v>179</v>
      </c>
      <c r="H1305" s="109">
        <f t="shared" si="64"/>
        <v>179</v>
      </c>
      <c r="I1305" s="119"/>
      <c r="J1305" s="119"/>
      <c r="K1305" s="119">
        <f t="shared" si="65"/>
        <v>179</v>
      </c>
      <c r="L1305" s="152">
        <f t="shared" si="66"/>
        <v>155.65</v>
      </c>
      <c r="M1305" s="113"/>
    </row>
    <row r="1306" spans="1:13" x14ac:dyDescent="0.2">
      <c r="A1306" s="106">
        <v>46233</v>
      </c>
      <c r="B1306" s="105" t="s">
        <v>4068</v>
      </c>
      <c r="C1306" s="105" t="s">
        <v>6235</v>
      </c>
      <c r="D1306" s="149" t="s">
        <v>4070</v>
      </c>
      <c r="E1306" s="105">
        <v>1</v>
      </c>
      <c r="F1306" s="134">
        <v>20.57</v>
      </c>
      <c r="G1306" s="134">
        <v>23.75</v>
      </c>
      <c r="H1306" s="109">
        <f t="shared" si="64"/>
        <v>23.75</v>
      </c>
      <c r="I1306" s="119"/>
      <c r="J1306" s="119"/>
      <c r="K1306" s="119">
        <f t="shared" si="65"/>
        <v>23.75</v>
      </c>
      <c r="L1306" s="152">
        <f t="shared" si="66"/>
        <v>20.57</v>
      </c>
      <c r="M1306" s="113"/>
    </row>
    <row r="1307" spans="1:13" x14ac:dyDescent="0.2">
      <c r="A1307" s="106">
        <v>46233</v>
      </c>
      <c r="B1307" s="105" t="s">
        <v>2283</v>
      </c>
      <c r="C1307" s="105" t="s">
        <v>6236</v>
      </c>
      <c r="D1307" s="149" t="s">
        <v>2285</v>
      </c>
      <c r="E1307" s="105">
        <v>1</v>
      </c>
      <c r="F1307" s="134">
        <v>155.65</v>
      </c>
      <c r="G1307" s="134">
        <v>179</v>
      </c>
      <c r="H1307" s="109">
        <f t="shared" si="64"/>
        <v>179</v>
      </c>
      <c r="I1307" s="119"/>
      <c r="J1307" s="119"/>
      <c r="K1307" s="119">
        <f t="shared" si="65"/>
        <v>179</v>
      </c>
      <c r="L1307" s="152">
        <f t="shared" si="66"/>
        <v>155.65</v>
      </c>
      <c r="M1307" s="113"/>
    </row>
    <row r="1308" spans="1:13" x14ac:dyDescent="0.2">
      <c r="A1308" s="106">
        <v>46233</v>
      </c>
      <c r="B1308" s="105" t="s">
        <v>4068</v>
      </c>
      <c r="C1308" s="105" t="s">
        <v>6237</v>
      </c>
      <c r="D1308" s="149" t="s">
        <v>4070</v>
      </c>
      <c r="E1308" s="105">
        <v>1</v>
      </c>
      <c r="F1308" s="134">
        <v>20.57</v>
      </c>
      <c r="G1308" s="134">
        <v>23.75</v>
      </c>
      <c r="H1308" s="109">
        <f t="shared" si="64"/>
        <v>23.75</v>
      </c>
      <c r="I1308" s="119"/>
      <c r="J1308" s="119"/>
      <c r="K1308" s="119">
        <f t="shared" si="65"/>
        <v>23.75</v>
      </c>
      <c r="L1308" s="152">
        <f t="shared" si="66"/>
        <v>20.57</v>
      </c>
      <c r="M1308" s="113"/>
    </row>
    <row r="1309" spans="1:13" x14ac:dyDescent="0.2">
      <c r="A1309" s="106">
        <v>46233</v>
      </c>
      <c r="B1309" s="105" t="s">
        <v>2963</v>
      </c>
      <c r="C1309" s="105" t="s">
        <v>6237</v>
      </c>
      <c r="D1309" s="149" t="s">
        <v>2964</v>
      </c>
      <c r="E1309" s="105">
        <v>1</v>
      </c>
      <c r="F1309" s="134">
        <v>160.51</v>
      </c>
      <c r="G1309" s="134">
        <v>184.75</v>
      </c>
      <c r="H1309" s="109">
        <f t="shared" si="64"/>
        <v>184.75</v>
      </c>
      <c r="I1309" s="119"/>
      <c r="J1309" s="119"/>
      <c r="K1309" s="119">
        <f t="shared" si="65"/>
        <v>184.75</v>
      </c>
      <c r="L1309" s="152">
        <f t="shared" si="66"/>
        <v>160.51</v>
      </c>
      <c r="M1309" s="113"/>
    </row>
    <row r="1310" spans="1:13" x14ac:dyDescent="0.2">
      <c r="A1310" s="106">
        <v>46233</v>
      </c>
      <c r="B1310" s="105" t="s">
        <v>6208</v>
      </c>
      <c r="C1310" s="105" t="s">
        <v>6237</v>
      </c>
      <c r="D1310" s="149" t="s">
        <v>6252</v>
      </c>
      <c r="E1310" s="105">
        <v>1</v>
      </c>
      <c r="F1310" s="134">
        <v>265</v>
      </c>
      <c r="G1310" s="134">
        <v>305</v>
      </c>
      <c r="H1310" s="109">
        <f t="shared" si="64"/>
        <v>305</v>
      </c>
      <c r="I1310" s="119"/>
      <c r="J1310" s="119"/>
      <c r="K1310" s="119">
        <f t="shared" si="65"/>
        <v>305</v>
      </c>
      <c r="L1310" s="152">
        <f t="shared" si="66"/>
        <v>265</v>
      </c>
      <c r="M1310" s="113"/>
    </row>
    <row r="1311" spans="1:13" x14ac:dyDescent="0.2">
      <c r="A1311" s="106">
        <v>46233</v>
      </c>
      <c r="B1311" s="105" t="s">
        <v>4718</v>
      </c>
      <c r="C1311" s="105" t="s">
        <v>6238</v>
      </c>
      <c r="D1311" s="149" t="s">
        <v>4753</v>
      </c>
      <c r="E1311" s="105">
        <v>1</v>
      </c>
      <c r="F1311" s="134">
        <v>14.5</v>
      </c>
      <c r="G1311" s="134">
        <v>16.75</v>
      </c>
      <c r="H1311" s="109">
        <f t="shared" si="64"/>
        <v>16.75</v>
      </c>
      <c r="I1311" s="119"/>
      <c r="J1311" s="119"/>
      <c r="K1311" s="119">
        <f t="shared" si="65"/>
        <v>16.75</v>
      </c>
      <c r="L1311" s="152">
        <f t="shared" si="66"/>
        <v>14.5</v>
      </c>
      <c r="M1311" s="113"/>
    </row>
    <row r="1312" spans="1:13" x14ac:dyDescent="0.2">
      <c r="A1312" s="106">
        <v>46233</v>
      </c>
      <c r="B1312" s="105" t="s">
        <v>3434</v>
      </c>
      <c r="C1312" s="105" t="s">
        <v>6239</v>
      </c>
      <c r="D1312" s="149" t="s">
        <v>3436</v>
      </c>
      <c r="E1312" s="105">
        <v>1</v>
      </c>
      <c r="F1312" s="134">
        <v>7.41</v>
      </c>
      <c r="G1312" s="134">
        <v>8.75</v>
      </c>
      <c r="H1312" s="109">
        <f t="shared" si="64"/>
        <v>8.75</v>
      </c>
      <c r="I1312" s="119"/>
      <c r="J1312" s="119"/>
      <c r="K1312" s="119">
        <f t="shared" si="65"/>
        <v>8.75</v>
      </c>
      <c r="L1312" s="152">
        <f t="shared" si="66"/>
        <v>7.41</v>
      </c>
      <c r="M1312" s="113"/>
    </row>
    <row r="1313" spans="1:13" x14ac:dyDescent="0.2">
      <c r="A1313" s="106">
        <v>46233</v>
      </c>
      <c r="B1313" s="105" t="s">
        <v>3434</v>
      </c>
      <c r="C1313" s="105" t="s">
        <v>6240</v>
      </c>
      <c r="D1313" s="149" t="s">
        <v>3436</v>
      </c>
      <c r="E1313" s="105">
        <v>3</v>
      </c>
      <c r="F1313" s="134">
        <v>7.41</v>
      </c>
      <c r="G1313" s="134">
        <v>8.75</v>
      </c>
      <c r="H1313" s="109">
        <f t="shared" si="64"/>
        <v>26.25</v>
      </c>
      <c r="I1313" s="119"/>
      <c r="J1313" s="119"/>
      <c r="K1313" s="119">
        <f t="shared" si="65"/>
        <v>26.25</v>
      </c>
      <c r="L1313" s="152">
        <f t="shared" si="66"/>
        <v>22.23</v>
      </c>
      <c r="M1313" s="113"/>
    </row>
    <row r="1314" spans="1:13" x14ac:dyDescent="0.2">
      <c r="A1314" s="106">
        <v>46233</v>
      </c>
      <c r="B1314" s="105" t="s">
        <v>6209</v>
      </c>
      <c r="C1314" s="105" t="s">
        <v>6240</v>
      </c>
      <c r="D1314" s="149" t="s">
        <v>6253</v>
      </c>
      <c r="E1314" s="105">
        <v>1</v>
      </c>
      <c r="F1314" s="134">
        <v>56.79</v>
      </c>
      <c r="G1314" s="134">
        <v>65.5</v>
      </c>
      <c r="H1314" s="109">
        <f t="shared" si="64"/>
        <v>65.5</v>
      </c>
      <c r="I1314" s="119"/>
      <c r="J1314" s="119"/>
      <c r="K1314" s="119">
        <f t="shared" si="65"/>
        <v>65.5</v>
      </c>
      <c r="L1314" s="152">
        <f t="shared" si="66"/>
        <v>56.79</v>
      </c>
      <c r="M1314" s="113"/>
    </row>
    <row r="1315" spans="1:13" x14ac:dyDescent="0.2">
      <c r="A1315" s="106">
        <v>46233</v>
      </c>
      <c r="B1315" s="105" t="s">
        <v>4328</v>
      </c>
      <c r="C1315" s="105" t="s">
        <v>6241</v>
      </c>
      <c r="D1315" s="149" t="s">
        <v>4358</v>
      </c>
      <c r="E1315" s="105">
        <v>1</v>
      </c>
      <c r="F1315" s="134">
        <v>23.63</v>
      </c>
      <c r="G1315" s="134">
        <v>27.25</v>
      </c>
      <c r="H1315" s="109">
        <f t="shared" si="64"/>
        <v>27.25</v>
      </c>
      <c r="I1315" s="119"/>
      <c r="J1315" s="119"/>
      <c r="K1315" s="119">
        <f t="shared" si="65"/>
        <v>27.25</v>
      </c>
      <c r="L1315" s="152">
        <f t="shared" si="66"/>
        <v>23.63</v>
      </c>
      <c r="M1315" s="113"/>
    </row>
    <row r="1316" spans="1:13" x14ac:dyDescent="0.2">
      <c r="A1316" s="106">
        <v>46233</v>
      </c>
      <c r="B1316" s="105" t="s">
        <v>4800</v>
      </c>
      <c r="C1316" s="105" t="s">
        <v>6241</v>
      </c>
      <c r="D1316" s="149" t="s">
        <v>4868</v>
      </c>
      <c r="E1316" s="105">
        <v>1</v>
      </c>
      <c r="F1316" s="134">
        <v>50.88</v>
      </c>
      <c r="G1316" s="134">
        <v>58.75</v>
      </c>
      <c r="H1316" s="109">
        <f t="shared" si="64"/>
        <v>58.75</v>
      </c>
      <c r="I1316" s="119"/>
      <c r="J1316" s="119"/>
      <c r="K1316" s="119">
        <f t="shared" si="65"/>
        <v>58.75</v>
      </c>
      <c r="L1316" s="152">
        <f t="shared" si="66"/>
        <v>50.88</v>
      </c>
      <c r="M1316" s="113"/>
    </row>
    <row r="1317" spans="1:13" x14ac:dyDescent="0.2">
      <c r="A1317" s="106">
        <v>46233</v>
      </c>
      <c r="B1317" s="105" t="s">
        <v>3314</v>
      </c>
      <c r="C1317" s="105" t="s">
        <v>6241</v>
      </c>
      <c r="D1317" s="149" t="s">
        <v>3316</v>
      </c>
      <c r="E1317" s="105">
        <v>1</v>
      </c>
      <c r="F1317" s="134">
        <v>16.579999999999998</v>
      </c>
      <c r="G1317" s="134">
        <v>19</v>
      </c>
      <c r="H1317" s="109">
        <f t="shared" si="64"/>
        <v>19</v>
      </c>
      <c r="I1317" s="119"/>
      <c r="J1317" s="119"/>
      <c r="K1317" s="119">
        <f t="shared" si="65"/>
        <v>19</v>
      </c>
      <c r="L1317" s="152">
        <f t="shared" si="66"/>
        <v>16.579999999999998</v>
      </c>
      <c r="M1317" s="113"/>
    </row>
    <row r="1318" spans="1:13" x14ac:dyDescent="0.2">
      <c r="A1318" s="106">
        <v>46233</v>
      </c>
      <c r="B1318" s="105" t="s">
        <v>3434</v>
      </c>
      <c r="C1318" s="105" t="s">
        <v>6242</v>
      </c>
      <c r="D1318" s="149" t="s">
        <v>3436</v>
      </c>
      <c r="E1318" s="105">
        <v>1</v>
      </c>
      <c r="F1318" s="134">
        <v>7.41</v>
      </c>
      <c r="G1318" s="134">
        <v>8.75</v>
      </c>
      <c r="H1318" s="109">
        <f t="shared" si="64"/>
        <v>8.75</v>
      </c>
      <c r="I1318" s="119"/>
      <c r="J1318" s="119"/>
      <c r="K1318" s="119">
        <f t="shared" si="65"/>
        <v>8.75</v>
      </c>
      <c r="L1318" s="152">
        <f t="shared" si="66"/>
        <v>7.41</v>
      </c>
      <c r="M1318" s="113"/>
    </row>
    <row r="1319" spans="1:13" x14ac:dyDescent="0.2">
      <c r="A1319" s="106">
        <v>46233</v>
      </c>
      <c r="B1319" s="105" t="s">
        <v>2481</v>
      </c>
      <c r="C1319" s="105" t="s">
        <v>6243</v>
      </c>
      <c r="D1319" s="149" t="s">
        <v>2482</v>
      </c>
      <c r="E1319" s="105">
        <v>1</v>
      </c>
      <c r="F1319" s="134">
        <v>759.98</v>
      </c>
      <c r="G1319" s="134">
        <v>874</v>
      </c>
      <c r="H1319" s="109">
        <f t="shared" si="64"/>
        <v>874</v>
      </c>
      <c r="I1319" s="119"/>
      <c r="J1319" s="119"/>
      <c r="K1319" s="119">
        <f t="shared" si="65"/>
        <v>874</v>
      </c>
      <c r="L1319" s="152">
        <f t="shared" si="66"/>
        <v>759.98</v>
      </c>
      <c r="M1319" s="113"/>
    </row>
    <row r="1320" spans="1:13" x14ac:dyDescent="0.2">
      <c r="A1320" s="106">
        <v>46233</v>
      </c>
      <c r="B1320" s="105" t="s">
        <v>2298</v>
      </c>
      <c r="C1320" s="105" t="s">
        <v>6243</v>
      </c>
      <c r="D1320" s="149" t="s">
        <v>2299</v>
      </c>
      <c r="E1320" s="105">
        <v>4</v>
      </c>
      <c r="F1320" s="134">
        <v>21.84</v>
      </c>
      <c r="G1320" s="134">
        <v>25.25</v>
      </c>
      <c r="H1320" s="109">
        <f t="shared" si="64"/>
        <v>101</v>
      </c>
      <c r="I1320" s="119"/>
      <c r="J1320" s="119"/>
      <c r="K1320" s="119">
        <f t="shared" si="65"/>
        <v>101</v>
      </c>
      <c r="L1320" s="152">
        <f t="shared" si="66"/>
        <v>87.36</v>
      </c>
      <c r="M1320" s="113"/>
    </row>
    <row r="1321" spans="1:13" x14ac:dyDescent="0.2">
      <c r="A1321" s="106">
        <v>46233</v>
      </c>
      <c r="B1321" s="105" t="s">
        <v>2521</v>
      </c>
      <c r="C1321" s="105" t="s">
        <v>6243</v>
      </c>
      <c r="D1321" s="149" t="s">
        <v>2522</v>
      </c>
      <c r="E1321" s="105">
        <v>12</v>
      </c>
      <c r="F1321" s="134">
        <v>6.12</v>
      </c>
      <c r="G1321" s="134">
        <v>7.25</v>
      </c>
      <c r="H1321" s="109">
        <f t="shared" si="64"/>
        <v>87</v>
      </c>
      <c r="I1321" s="119"/>
      <c r="J1321" s="119"/>
      <c r="K1321" s="119">
        <f t="shared" si="65"/>
        <v>87</v>
      </c>
      <c r="L1321" s="152">
        <f t="shared" si="66"/>
        <v>73.44</v>
      </c>
      <c r="M1321" s="113"/>
    </row>
    <row r="1322" spans="1:13" x14ac:dyDescent="0.2">
      <c r="A1322" s="106">
        <v>46233</v>
      </c>
      <c r="B1322" s="105" t="s">
        <v>2301</v>
      </c>
      <c r="C1322" s="105" t="s">
        <v>6243</v>
      </c>
      <c r="D1322" s="149" t="s">
        <v>2302</v>
      </c>
      <c r="E1322" s="105">
        <v>1</v>
      </c>
      <c r="F1322" s="134">
        <v>132.80000000000001</v>
      </c>
      <c r="G1322" s="134">
        <v>152.75</v>
      </c>
      <c r="H1322" s="109">
        <f t="shared" si="64"/>
        <v>152.75</v>
      </c>
      <c r="I1322" s="119"/>
      <c r="J1322" s="119"/>
      <c r="K1322" s="119">
        <f t="shared" si="65"/>
        <v>152.75</v>
      </c>
      <c r="L1322" s="152">
        <f t="shared" si="66"/>
        <v>132.80000000000001</v>
      </c>
      <c r="M1322" s="113"/>
    </row>
    <row r="1323" spans="1:13" x14ac:dyDescent="0.2">
      <c r="A1323" s="106">
        <v>46233</v>
      </c>
      <c r="B1323" s="105" t="s">
        <v>2115</v>
      </c>
      <c r="C1323" s="105" t="s">
        <v>6243</v>
      </c>
      <c r="D1323" s="149" t="s">
        <v>2117</v>
      </c>
      <c r="E1323" s="105">
        <v>1</v>
      </c>
      <c r="F1323" s="134">
        <v>84.8</v>
      </c>
      <c r="G1323" s="134">
        <v>94</v>
      </c>
      <c r="H1323" s="109">
        <f t="shared" si="64"/>
        <v>94</v>
      </c>
      <c r="I1323" s="119"/>
      <c r="J1323" s="119"/>
      <c r="K1323" s="119">
        <f t="shared" si="65"/>
        <v>94</v>
      </c>
      <c r="L1323" s="152">
        <f t="shared" si="66"/>
        <v>84.8</v>
      </c>
      <c r="M1323" s="113"/>
    </row>
    <row r="1324" spans="1:13" x14ac:dyDescent="0.2">
      <c r="A1324" s="106">
        <v>46233</v>
      </c>
      <c r="B1324" s="105" t="s">
        <v>5698</v>
      </c>
      <c r="C1324" s="105" t="s">
        <v>6243</v>
      </c>
      <c r="D1324" s="149" t="s">
        <v>5836</v>
      </c>
      <c r="E1324" s="105">
        <v>50</v>
      </c>
      <c r="F1324" s="134">
        <v>3.81</v>
      </c>
      <c r="G1324" s="134">
        <v>4.75</v>
      </c>
      <c r="H1324" s="109">
        <f t="shared" si="64"/>
        <v>237.5</v>
      </c>
      <c r="I1324" s="119"/>
      <c r="J1324" s="119"/>
      <c r="K1324" s="119">
        <f t="shared" si="65"/>
        <v>237.5</v>
      </c>
      <c r="L1324" s="152">
        <f t="shared" si="66"/>
        <v>190.5</v>
      </c>
      <c r="M1324" s="113"/>
    </row>
    <row r="1325" spans="1:13" x14ac:dyDescent="0.2">
      <c r="A1325" s="106">
        <v>46233</v>
      </c>
      <c r="B1325" s="105" t="s">
        <v>5871</v>
      </c>
      <c r="C1325" s="105" t="s">
        <v>6243</v>
      </c>
      <c r="D1325" s="149" t="s">
        <v>5964</v>
      </c>
      <c r="E1325" s="105">
        <v>50</v>
      </c>
      <c r="F1325" s="134">
        <v>2.76</v>
      </c>
      <c r="G1325" s="134">
        <v>3.5</v>
      </c>
      <c r="H1325" s="109">
        <f t="shared" si="64"/>
        <v>175</v>
      </c>
      <c r="I1325" s="119"/>
      <c r="J1325" s="119"/>
      <c r="K1325" s="119">
        <f t="shared" si="65"/>
        <v>175</v>
      </c>
      <c r="L1325" s="152">
        <f t="shared" si="66"/>
        <v>138</v>
      </c>
      <c r="M1325" s="113"/>
    </row>
    <row r="1326" spans="1:13" x14ac:dyDescent="0.2">
      <c r="A1326" s="106">
        <v>46233</v>
      </c>
      <c r="B1326" s="105" t="s">
        <v>2323</v>
      </c>
      <c r="C1326" s="105" t="s">
        <v>6244</v>
      </c>
      <c r="D1326" s="149" t="s">
        <v>2325</v>
      </c>
      <c r="E1326" s="105">
        <v>1</v>
      </c>
      <c r="F1326" s="134">
        <v>19.100000000000001</v>
      </c>
      <c r="G1326" s="134">
        <v>22</v>
      </c>
      <c r="H1326" s="109">
        <f t="shared" si="64"/>
        <v>22</v>
      </c>
      <c r="I1326" s="119"/>
      <c r="J1326" s="119"/>
      <c r="K1326" s="119">
        <f t="shared" si="65"/>
        <v>22</v>
      </c>
      <c r="L1326" s="152">
        <f t="shared" si="66"/>
        <v>19.100000000000001</v>
      </c>
      <c r="M1326" s="113"/>
    </row>
    <row r="1327" spans="1:13" x14ac:dyDescent="0.2">
      <c r="A1327" s="106">
        <v>46233</v>
      </c>
      <c r="B1327" s="105" t="s">
        <v>2884</v>
      </c>
      <c r="C1327" s="105" t="s">
        <v>6245</v>
      </c>
      <c r="D1327" s="149" t="s">
        <v>2886</v>
      </c>
      <c r="E1327" s="105">
        <v>3</v>
      </c>
      <c r="F1327" s="134">
        <v>302.13</v>
      </c>
      <c r="G1327" s="134">
        <v>362.75</v>
      </c>
      <c r="H1327" s="109">
        <f t="shared" si="64"/>
        <v>1088.25</v>
      </c>
      <c r="I1327" s="119"/>
      <c r="J1327" s="119"/>
      <c r="K1327" s="119">
        <f t="shared" si="65"/>
        <v>1088.25</v>
      </c>
      <c r="L1327" s="152">
        <f t="shared" si="66"/>
        <v>906.39</v>
      </c>
      <c r="M1327" s="113"/>
    </row>
    <row r="1328" spans="1:13" x14ac:dyDescent="0.2">
      <c r="A1328" s="106">
        <v>46233</v>
      </c>
      <c r="B1328" s="105" t="s">
        <v>3112</v>
      </c>
      <c r="C1328" s="105" t="s">
        <v>6245</v>
      </c>
      <c r="D1328" s="149" t="s">
        <v>3113</v>
      </c>
      <c r="E1328" s="105">
        <v>1</v>
      </c>
      <c r="F1328" s="134">
        <v>109.57</v>
      </c>
      <c r="G1328" s="134">
        <v>136.5</v>
      </c>
      <c r="H1328" s="109">
        <f t="shared" si="64"/>
        <v>136.5</v>
      </c>
      <c r="I1328" s="119"/>
      <c r="J1328" s="119"/>
      <c r="K1328" s="119">
        <f t="shared" si="65"/>
        <v>136.5</v>
      </c>
      <c r="L1328" s="152">
        <f t="shared" si="66"/>
        <v>109.57</v>
      </c>
      <c r="M1328" s="113"/>
    </row>
    <row r="1329" spans="1:13" x14ac:dyDescent="0.2">
      <c r="A1329" s="106">
        <v>46233</v>
      </c>
      <c r="B1329" s="105" t="s">
        <v>4330</v>
      </c>
      <c r="C1329" s="105" t="s">
        <v>6246</v>
      </c>
      <c r="D1329" s="149" t="s">
        <v>4360</v>
      </c>
      <c r="E1329" s="105">
        <v>4</v>
      </c>
      <c r="F1329" s="134">
        <v>69.510000000000005</v>
      </c>
      <c r="G1329" s="134">
        <v>80</v>
      </c>
      <c r="H1329" s="109">
        <f t="shared" si="64"/>
        <v>320</v>
      </c>
      <c r="I1329" s="119"/>
      <c r="J1329" s="119"/>
      <c r="K1329" s="119">
        <f t="shared" si="65"/>
        <v>320</v>
      </c>
      <c r="L1329" s="152">
        <f t="shared" si="66"/>
        <v>278.04000000000002</v>
      </c>
      <c r="M1329" s="113"/>
    </row>
    <row r="1330" spans="1:13" x14ac:dyDescent="0.2">
      <c r="A1330" s="106">
        <v>46233</v>
      </c>
      <c r="B1330" s="105" t="s">
        <v>5476</v>
      </c>
      <c r="C1330" s="105" t="s">
        <v>6247</v>
      </c>
      <c r="D1330" s="149" t="s">
        <v>5488</v>
      </c>
      <c r="E1330" s="105">
        <v>1</v>
      </c>
      <c r="F1330" s="134">
        <v>40</v>
      </c>
      <c r="G1330" s="134">
        <v>60</v>
      </c>
      <c r="H1330" s="109">
        <f t="shared" si="64"/>
        <v>60</v>
      </c>
      <c r="I1330" s="119"/>
      <c r="J1330" s="119"/>
      <c r="K1330" s="119">
        <f t="shared" si="65"/>
        <v>60</v>
      </c>
      <c r="L1330" s="152">
        <f t="shared" si="66"/>
        <v>40</v>
      </c>
      <c r="M1330" s="113"/>
    </row>
    <row r="1331" spans="1:13" x14ac:dyDescent="0.2">
      <c r="A1331" s="106">
        <v>46233</v>
      </c>
      <c r="B1331" s="105" t="s">
        <v>4520</v>
      </c>
      <c r="C1331" s="105" t="s">
        <v>6247</v>
      </c>
      <c r="D1331" s="149" t="s">
        <v>4625</v>
      </c>
      <c r="E1331" s="105">
        <v>4</v>
      </c>
      <c r="F1331" s="134">
        <v>60</v>
      </c>
      <c r="G1331" s="134">
        <v>75</v>
      </c>
      <c r="H1331" s="109">
        <f t="shared" si="64"/>
        <v>300</v>
      </c>
      <c r="I1331" s="119"/>
      <c r="J1331" s="119"/>
      <c r="K1331" s="119">
        <f t="shared" si="65"/>
        <v>300</v>
      </c>
      <c r="L1331" s="152">
        <f t="shared" si="66"/>
        <v>240</v>
      </c>
      <c r="M1331" s="113"/>
    </row>
    <row r="1332" spans="1:13" x14ac:dyDescent="0.2">
      <c r="A1332" s="106">
        <v>46233</v>
      </c>
      <c r="B1332" s="105" t="s">
        <v>1826</v>
      </c>
      <c r="C1332" s="105" t="s">
        <v>6247</v>
      </c>
      <c r="D1332" s="149" t="s">
        <v>1827</v>
      </c>
      <c r="E1332" s="105">
        <v>2</v>
      </c>
      <c r="F1332" s="134">
        <v>90</v>
      </c>
      <c r="G1332" s="134">
        <v>120</v>
      </c>
      <c r="H1332" s="109">
        <f t="shared" si="64"/>
        <v>240</v>
      </c>
      <c r="I1332" s="119"/>
      <c r="J1332" s="119"/>
      <c r="K1332" s="119">
        <f t="shared" si="65"/>
        <v>240</v>
      </c>
      <c r="L1332" s="152">
        <f t="shared" si="66"/>
        <v>180</v>
      </c>
      <c r="M1332" s="113"/>
    </row>
    <row r="1333" spans="1:13" x14ac:dyDescent="0.2">
      <c r="A1333" s="106">
        <v>46233</v>
      </c>
      <c r="B1333" s="105" t="s">
        <v>6210</v>
      </c>
      <c r="C1333" s="105" t="s">
        <v>6247</v>
      </c>
      <c r="D1333" s="149" t="s">
        <v>6254</v>
      </c>
      <c r="E1333" s="105">
        <v>1</v>
      </c>
      <c r="F1333" s="134">
        <v>80</v>
      </c>
      <c r="G1333" s="134">
        <v>100</v>
      </c>
      <c r="H1333" s="109">
        <f t="shared" si="64"/>
        <v>100</v>
      </c>
      <c r="I1333" s="119"/>
      <c r="J1333" s="119"/>
      <c r="K1333" s="119">
        <f t="shared" si="65"/>
        <v>100</v>
      </c>
      <c r="L1333" s="152">
        <f t="shared" si="66"/>
        <v>80</v>
      </c>
      <c r="M1333" s="113"/>
    </row>
    <row r="1334" spans="1:13" x14ac:dyDescent="0.2">
      <c r="A1334" s="106">
        <v>46233</v>
      </c>
      <c r="B1334" s="105" t="s">
        <v>6211</v>
      </c>
      <c r="C1334" s="105" t="s">
        <v>6247</v>
      </c>
      <c r="D1334" s="149" t="s">
        <v>6255</v>
      </c>
      <c r="E1334" s="105">
        <v>1</v>
      </c>
      <c r="F1334" s="134">
        <v>250</v>
      </c>
      <c r="G1334" s="134">
        <v>320</v>
      </c>
      <c r="H1334" s="109">
        <f t="shared" si="64"/>
        <v>320</v>
      </c>
      <c r="I1334" s="119"/>
      <c r="J1334" s="119"/>
      <c r="K1334" s="119">
        <f t="shared" si="65"/>
        <v>320</v>
      </c>
      <c r="L1334" s="152">
        <f t="shared" si="66"/>
        <v>250</v>
      </c>
      <c r="M1334" s="113"/>
    </row>
    <row r="1335" spans="1:13" x14ac:dyDescent="0.2">
      <c r="A1335" s="106">
        <v>46234</v>
      </c>
      <c r="B1335" s="105" t="s">
        <v>2139</v>
      </c>
      <c r="C1335" s="105" t="s">
        <v>6269</v>
      </c>
      <c r="D1335" s="149" t="s">
        <v>2140</v>
      </c>
      <c r="E1335" s="105">
        <v>1</v>
      </c>
      <c r="F1335" s="134">
        <v>16.03</v>
      </c>
      <c r="G1335" s="134">
        <v>18.5</v>
      </c>
      <c r="H1335" s="109">
        <f t="shared" si="64"/>
        <v>18.5</v>
      </c>
      <c r="I1335" s="119"/>
      <c r="J1335" s="119"/>
      <c r="K1335" s="119">
        <f t="shared" si="65"/>
        <v>18.5</v>
      </c>
      <c r="L1335" s="152">
        <f t="shared" si="66"/>
        <v>16.03</v>
      </c>
      <c r="M1335" s="113"/>
    </row>
    <row r="1336" spans="1:13" x14ac:dyDescent="0.2">
      <c r="A1336" s="106">
        <v>46234</v>
      </c>
      <c r="B1336" s="105" t="s">
        <v>1830</v>
      </c>
      <c r="C1336" s="105" t="s">
        <v>6269</v>
      </c>
      <c r="D1336" s="149" t="s">
        <v>1831</v>
      </c>
      <c r="E1336" s="105">
        <v>1</v>
      </c>
      <c r="F1336" s="134">
        <v>16.84</v>
      </c>
      <c r="G1336" s="134">
        <v>19.5</v>
      </c>
      <c r="H1336" s="109">
        <f t="shared" si="64"/>
        <v>19.5</v>
      </c>
      <c r="I1336" s="119"/>
      <c r="J1336" s="119"/>
      <c r="K1336" s="119">
        <f t="shared" si="65"/>
        <v>19.5</v>
      </c>
      <c r="L1336" s="152">
        <f t="shared" si="66"/>
        <v>16.84</v>
      </c>
      <c r="M1336" s="113"/>
    </row>
    <row r="1337" spans="1:13" x14ac:dyDescent="0.2">
      <c r="A1337" s="106">
        <v>46234</v>
      </c>
      <c r="B1337" s="105" t="s">
        <v>2831</v>
      </c>
      <c r="C1337" s="105" t="s">
        <v>6269</v>
      </c>
      <c r="D1337" s="149" t="s">
        <v>2833</v>
      </c>
      <c r="E1337" s="105">
        <v>1</v>
      </c>
      <c r="F1337" s="134">
        <v>6.83</v>
      </c>
      <c r="G1337" s="134">
        <v>7.75</v>
      </c>
      <c r="H1337" s="109">
        <f t="shared" si="64"/>
        <v>7.75</v>
      </c>
      <c r="I1337" s="119"/>
      <c r="J1337" s="119"/>
      <c r="K1337" s="119">
        <f t="shared" si="65"/>
        <v>7.75</v>
      </c>
      <c r="L1337" s="152">
        <f t="shared" si="66"/>
        <v>6.83</v>
      </c>
      <c r="M1337" s="113"/>
    </row>
    <row r="1338" spans="1:13" x14ac:dyDescent="0.2">
      <c r="A1338" s="106">
        <v>46234</v>
      </c>
      <c r="B1338" s="105" t="s">
        <v>2834</v>
      </c>
      <c r="C1338" s="105" t="s">
        <v>6269</v>
      </c>
      <c r="D1338" s="149" t="s">
        <v>2835</v>
      </c>
      <c r="E1338" s="105">
        <v>1</v>
      </c>
      <c r="F1338" s="134">
        <v>6.83</v>
      </c>
      <c r="G1338" s="134">
        <v>7.75</v>
      </c>
      <c r="H1338" s="109">
        <f t="shared" si="64"/>
        <v>7.75</v>
      </c>
      <c r="I1338" s="119"/>
      <c r="J1338" s="119"/>
      <c r="K1338" s="119">
        <f t="shared" si="65"/>
        <v>7.75</v>
      </c>
      <c r="L1338" s="152">
        <f t="shared" si="66"/>
        <v>6.83</v>
      </c>
      <c r="M1338" s="113"/>
    </row>
    <row r="1339" spans="1:13" x14ac:dyDescent="0.2">
      <c r="A1339" s="106">
        <v>46234</v>
      </c>
      <c r="B1339" s="105" t="s">
        <v>1802</v>
      </c>
      <c r="C1339" s="105" t="s">
        <v>6269</v>
      </c>
      <c r="D1339" s="149" t="s">
        <v>1803</v>
      </c>
      <c r="E1339" s="105">
        <v>2</v>
      </c>
      <c r="F1339" s="134">
        <v>7.75</v>
      </c>
      <c r="G1339" s="134">
        <v>9</v>
      </c>
      <c r="H1339" s="109">
        <f t="shared" si="64"/>
        <v>18</v>
      </c>
      <c r="I1339" s="119"/>
      <c r="J1339" s="119"/>
      <c r="K1339" s="119">
        <f t="shared" si="65"/>
        <v>18</v>
      </c>
      <c r="L1339" s="152">
        <f t="shared" si="66"/>
        <v>15.5</v>
      </c>
      <c r="M1339" s="113"/>
    </row>
    <row r="1340" spans="1:13" x14ac:dyDescent="0.2">
      <c r="A1340" s="106">
        <v>46234</v>
      </c>
      <c r="B1340" s="105" t="s">
        <v>3314</v>
      </c>
      <c r="C1340" s="105" t="s">
        <v>6269</v>
      </c>
      <c r="D1340" s="149" t="s">
        <v>3316</v>
      </c>
      <c r="E1340" s="105">
        <v>1</v>
      </c>
      <c r="F1340" s="134">
        <v>16.579999999999998</v>
      </c>
      <c r="G1340" s="134">
        <v>19</v>
      </c>
      <c r="H1340" s="109">
        <f t="shared" si="64"/>
        <v>19</v>
      </c>
      <c r="I1340" s="119"/>
      <c r="J1340" s="119"/>
      <c r="K1340" s="119">
        <f t="shared" si="65"/>
        <v>19</v>
      </c>
      <c r="L1340" s="152">
        <f t="shared" si="66"/>
        <v>16.579999999999998</v>
      </c>
      <c r="M1340" s="113"/>
    </row>
    <row r="1341" spans="1:13" x14ac:dyDescent="0.2">
      <c r="A1341" s="106">
        <v>46234</v>
      </c>
      <c r="B1341" s="105" t="s">
        <v>6260</v>
      </c>
      <c r="C1341" s="105" t="s">
        <v>6269</v>
      </c>
      <c r="D1341" s="149" t="s">
        <v>6270</v>
      </c>
      <c r="E1341" s="105">
        <v>1</v>
      </c>
      <c r="F1341" s="134">
        <v>11.78</v>
      </c>
      <c r="G1341" s="134">
        <v>13.75</v>
      </c>
      <c r="H1341" s="109">
        <f t="shared" si="64"/>
        <v>13.75</v>
      </c>
      <c r="I1341" s="119"/>
      <c r="J1341" s="119"/>
      <c r="K1341" s="119">
        <f t="shared" si="65"/>
        <v>13.75</v>
      </c>
      <c r="L1341" s="152">
        <f t="shared" si="66"/>
        <v>11.78</v>
      </c>
      <c r="M1341" s="113"/>
    </row>
    <row r="1342" spans="1:13" x14ac:dyDescent="0.2">
      <c r="A1342" s="106">
        <v>46234</v>
      </c>
      <c r="B1342" s="105" t="s">
        <v>3525</v>
      </c>
      <c r="C1342" s="105" t="s">
        <v>6269</v>
      </c>
      <c r="D1342" s="149" t="s">
        <v>3526</v>
      </c>
      <c r="E1342" s="105">
        <v>1</v>
      </c>
      <c r="F1342" s="134">
        <v>21.97</v>
      </c>
      <c r="G1342" s="134">
        <v>25.5</v>
      </c>
      <c r="H1342" s="109">
        <f t="shared" si="64"/>
        <v>25.5</v>
      </c>
      <c r="I1342" s="119"/>
      <c r="J1342" s="119"/>
      <c r="K1342" s="119">
        <f t="shared" si="65"/>
        <v>25.5</v>
      </c>
      <c r="L1342" s="152">
        <f t="shared" si="66"/>
        <v>21.97</v>
      </c>
      <c r="M1342" s="113"/>
    </row>
    <row r="1343" spans="1:13" x14ac:dyDescent="0.2">
      <c r="A1343" s="106">
        <v>46234</v>
      </c>
      <c r="B1343" s="105" t="s">
        <v>3201</v>
      </c>
      <c r="C1343" s="105" t="s">
        <v>6269</v>
      </c>
      <c r="D1343" s="149" t="s">
        <v>3202</v>
      </c>
      <c r="E1343" s="105">
        <v>1</v>
      </c>
      <c r="F1343" s="134">
        <v>61.5</v>
      </c>
      <c r="G1343" s="134">
        <v>70.75</v>
      </c>
      <c r="H1343" s="109">
        <f t="shared" si="64"/>
        <v>70.75</v>
      </c>
      <c r="I1343" s="119"/>
      <c r="J1343" s="119"/>
      <c r="K1343" s="119">
        <f t="shared" si="65"/>
        <v>70.75</v>
      </c>
      <c r="L1343" s="152">
        <f t="shared" si="66"/>
        <v>61.5</v>
      </c>
      <c r="M1343" s="113"/>
    </row>
    <row r="1344" spans="1:13" x14ac:dyDescent="0.2">
      <c r="A1344" s="106">
        <v>46234</v>
      </c>
      <c r="B1344" s="105" t="s">
        <v>3942</v>
      </c>
      <c r="C1344" s="105" t="s">
        <v>6269</v>
      </c>
      <c r="D1344" s="149" t="s">
        <v>3943</v>
      </c>
      <c r="E1344" s="105">
        <v>1</v>
      </c>
      <c r="F1344" s="134">
        <v>30.04</v>
      </c>
      <c r="G1344" s="134">
        <v>34.75</v>
      </c>
      <c r="H1344" s="109">
        <f t="shared" si="64"/>
        <v>34.75</v>
      </c>
      <c r="I1344" s="119"/>
      <c r="J1344" s="119"/>
      <c r="K1344" s="119">
        <f t="shared" si="65"/>
        <v>34.75</v>
      </c>
      <c r="L1344" s="152">
        <f t="shared" si="66"/>
        <v>30.04</v>
      </c>
      <c r="M1344" s="113"/>
    </row>
    <row r="1345" spans="1:13" x14ac:dyDescent="0.2">
      <c r="A1345" s="106">
        <v>46234</v>
      </c>
      <c r="B1345" s="105" t="s">
        <v>4804</v>
      </c>
      <c r="C1345" s="105" t="s">
        <v>6269</v>
      </c>
      <c r="D1345" s="149" t="s">
        <v>4872</v>
      </c>
      <c r="E1345" s="105">
        <v>2</v>
      </c>
      <c r="F1345" s="134">
        <v>7.48</v>
      </c>
      <c r="G1345" s="134">
        <v>8.75</v>
      </c>
      <c r="H1345" s="109">
        <f t="shared" si="64"/>
        <v>17.5</v>
      </c>
      <c r="I1345" s="119"/>
      <c r="J1345" s="119"/>
      <c r="K1345" s="119">
        <f t="shared" si="65"/>
        <v>17.5</v>
      </c>
      <c r="L1345" s="152">
        <f t="shared" si="66"/>
        <v>14.96</v>
      </c>
      <c r="M1345" s="113"/>
    </row>
    <row r="1346" spans="1:13" x14ac:dyDescent="0.2">
      <c r="A1346" s="106">
        <v>46234</v>
      </c>
      <c r="B1346" s="105" t="s">
        <v>2610</v>
      </c>
      <c r="C1346" s="105" t="s">
        <v>6269</v>
      </c>
      <c r="D1346" s="149" t="s">
        <v>2612</v>
      </c>
      <c r="E1346" s="105">
        <v>1</v>
      </c>
      <c r="F1346" s="134">
        <v>53.9</v>
      </c>
      <c r="G1346" s="134">
        <v>59.25</v>
      </c>
      <c r="H1346" s="109">
        <f t="shared" si="64"/>
        <v>59.25</v>
      </c>
      <c r="I1346" s="119"/>
      <c r="J1346" s="119"/>
      <c r="K1346" s="119">
        <f t="shared" si="65"/>
        <v>59.25</v>
      </c>
      <c r="L1346" s="152">
        <f t="shared" si="66"/>
        <v>53.9</v>
      </c>
      <c r="M1346" s="113"/>
    </row>
    <row r="1347" spans="1:13" x14ac:dyDescent="0.2">
      <c r="A1347" s="106">
        <v>46234</v>
      </c>
      <c r="B1347" s="105" t="s">
        <v>1951</v>
      </c>
      <c r="C1347" s="105" t="s">
        <v>6269</v>
      </c>
      <c r="D1347" s="149" t="s">
        <v>1952</v>
      </c>
      <c r="E1347" s="105">
        <v>1</v>
      </c>
      <c r="F1347" s="134">
        <v>12.17</v>
      </c>
      <c r="G1347" s="134">
        <v>14.75</v>
      </c>
      <c r="H1347" s="109">
        <f t="shared" si="64"/>
        <v>14.75</v>
      </c>
      <c r="I1347" s="119"/>
      <c r="J1347" s="119"/>
      <c r="K1347" s="119">
        <f t="shared" si="65"/>
        <v>14.75</v>
      </c>
      <c r="L1347" s="152">
        <f t="shared" si="66"/>
        <v>12.17</v>
      </c>
      <c r="M1347" s="113"/>
    </row>
    <row r="1348" spans="1:13" x14ac:dyDescent="0.2">
      <c r="A1348" s="106">
        <v>46234</v>
      </c>
      <c r="B1348" s="105" t="s">
        <v>6261</v>
      </c>
      <c r="C1348" s="105" t="s">
        <v>6269</v>
      </c>
      <c r="D1348" s="149" t="s">
        <v>6271</v>
      </c>
      <c r="E1348" s="105">
        <v>1</v>
      </c>
      <c r="F1348" s="134">
        <v>5.68</v>
      </c>
      <c r="G1348" s="134">
        <v>6.75</v>
      </c>
      <c r="H1348" s="109">
        <f t="shared" si="64"/>
        <v>6.75</v>
      </c>
      <c r="I1348" s="119"/>
      <c r="J1348" s="119"/>
      <c r="K1348" s="119">
        <f t="shared" si="65"/>
        <v>6.75</v>
      </c>
      <c r="L1348" s="152">
        <f t="shared" si="66"/>
        <v>5.68</v>
      </c>
      <c r="M1348" s="113"/>
    </row>
    <row r="1349" spans="1:13" x14ac:dyDescent="0.2">
      <c r="A1349" s="106">
        <v>46234</v>
      </c>
      <c r="B1349" s="105" t="s">
        <v>1994</v>
      </c>
      <c r="C1349" s="105" t="s">
        <v>6269</v>
      </c>
      <c r="D1349" s="149" t="s">
        <v>1995</v>
      </c>
      <c r="E1349" s="105">
        <v>4</v>
      </c>
      <c r="F1349" s="134">
        <v>6.67</v>
      </c>
      <c r="G1349" s="134">
        <v>9.5</v>
      </c>
      <c r="H1349" s="109">
        <f t="shared" si="64"/>
        <v>38</v>
      </c>
      <c r="I1349" s="119"/>
      <c r="J1349" s="119"/>
      <c r="K1349" s="119">
        <f t="shared" si="65"/>
        <v>38</v>
      </c>
      <c r="L1349" s="152">
        <f t="shared" si="66"/>
        <v>26.68</v>
      </c>
      <c r="M1349" s="113"/>
    </row>
    <row r="1350" spans="1:13" x14ac:dyDescent="0.2">
      <c r="A1350" s="106">
        <v>46234</v>
      </c>
      <c r="B1350" s="105" t="s">
        <v>6262</v>
      </c>
      <c r="C1350" s="105" t="s">
        <v>6269</v>
      </c>
      <c r="D1350" s="149" t="s">
        <v>6272</v>
      </c>
      <c r="E1350" s="105">
        <v>2</v>
      </c>
      <c r="F1350" s="134">
        <v>33.76</v>
      </c>
      <c r="G1350" s="134">
        <v>39</v>
      </c>
      <c r="H1350" s="109">
        <f t="shared" si="64"/>
        <v>78</v>
      </c>
      <c r="I1350" s="119"/>
      <c r="J1350" s="119"/>
      <c r="K1350" s="119">
        <f t="shared" si="65"/>
        <v>78</v>
      </c>
      <c r="L1350" s="152">
        <f t="shared" si="66"/>
        <v>67.52</v>
      </c>
      <c r="M1350" s="113"/>
    </row>
    <row r="1351" spans="1:13" x14ac:dyDescent="0.2">
      <c r="A1351" s="106">
        <v>46234</v>
      </c>
      <c r="B1351" s="105" t="s">
        <v>4209</v>
      </c>
      <c r="C1351" s="105" t="s">
        <v>6269</v>
      </c>
      <c r="D1351" s="149" t="s">
        <v>4211</v>
      </c>
      <c r="E1351" s="105">
        <v>1</v>
      </c>
      <c r="F1351" s="134">
        <v>38</v>
      </c>
      <c r="G1351" s="134">
        <v>43.75</v>
      </c>
      <c r="H1351" s="109">
        <f t="shared" ref="H1351:H1393" si="67">E1351*G1351</f>
        <v>43.75</v>
      </c>
      <c r="I1351" s="119"/>
      <c r="J1351" s="119"/>
      <c r="K1351" s="119">
        <f t="shared" ref="K1351:K1393" si="68">H1351+I1351-J1351</f>
        <v>43.75</v>
      </c>
      <c r="L1351" s="152">
        <f t="shared" si="66"/>
        <v>38</v>
      </c>
      <c r="M1351" s="113"/>
    </row>
    <row r="1352" spans="1:13" x14ac:dyDescent="0.2">
      <c r="A1352" s="106">
        <v>46234</v>
      </c>
      <c r="B1352" s="105" t="s">
        <v>2201</v>
      </c>
      <c r="C1352" s="105" t="s">
        <v>6269</v>
      </c>
      <c r="D1352" s="149" t="s">
        <v>2202</v>
      </c>
      <c r="E1352" s="105">
        <v>1</v>
      </c>
      <c r="F1352" s="134">
        <v>11.99</v>
      </c>
      <c r="G1352" s="134">
        <v>14</v>
      </c>
      <c r="H1352" s="109">
        <f t="shared" si="67"/>
        <v>14</v>
      </c>
      <c r="I1352" s="119"/>
      <c r="J1352" s="119"/>
      <c r="K1352" s="119">
        <f t="shared" si="68"/>
        <v>14</v>
      </c>
      <c r="L1352" s="152">
        <f t="shared" ref="L1352:L1393" si="69">E1352*F1352</f>
        <v>11.99</v>
      </c>
      <c r="M1352" s="113"/>
    </row>
    <row r="1353" spans="1:13" x14ac:dyDescent="0.2">
      <c r="A1353" s="106">
        <v>46234</v>
      </c>
      <c r="B1353" s="105" t="s">
        <v>4952</v>
      </c>
      <c r="C1353" s="105" t="s">
        <v>6269</v>
      </c>
      <c r="D1353" s="149" t="s">
        <v>4989</v>
      </c>
      <c r="E1353" s="105">
        <v>5</v>
      </c>
      <c r="F1353" s="134">
        <v>9.26</v>
      </c>
      <c r="G1353" s="134">
        <v>11</v>
      </c>
      <c r="H1353" s="109">
        <f t="shared" si="67"/>
        <v>55</v>
      </c>
      <c r="I1353" s="119"/>
      <c r="J1353" s="119"/>
      <c r="K1353" s="119">
        <f t="shared" si="68"/>
        <v>55</v>
      </c>
      <c r="L1353" s="152">
        <f t="shared" si="69"/>
        <v>46.3</v>
      </c>
      <c r="M1353" s="113"/>
    </row>
    <row r="1354" spans="1:13" x14ac:dyDescent="0.2">
      <c r="A1354" s="106">
        <v>46234</v>
      </c>
      <c r="B1354" s="105" t="s">
        <v>4329</v>
      </c>
      <c r="C1354" s="105" t="s">
        <v>6269</v>
      </c>
      <c r="D1354" s="149" t="s">
        <v>4359</v>
      </c>
      <c r="E1354" s="105">
        <v>9</v>
      </c>
      <c r="F1354" s="134">
        <v>13.21</v>
      </c>
      <c r="G1354" s="134">
        <v>15.25</v>
      </c>
      <c r="H1354" s="109">
        <f t="shared" si="67"/>
        <v>137.25</v>
      </c>
      <c r="I1354" s="119"/>
      <c r="J1354" s="119"/>
      <c r="K1354" s="119">
        <f t="shared" si="68"/>
        <v>137.25</v>
      </c>
      <c r="L1354" s="152">
        <f t="shared" si="69"/>
        <v>118.89000000000001</v>
      </c>
      <c r="M1354" s="113"/>
    </row>
    <row r="1355" spans="1:13" x14ac:dyDescent="0.2">
      <c r="A1355" s="106">
        <v>46234</v>
      </c>
      <c r="B1355" s="105" t="s">
        <v>4795</v>
      </c>
      <c r="C1355" s="105" t="s">
        <v>6269</v>
      </c>
      <c r="D1355" s="149" t="s">
        <v>4864</v>
      </c>
      <c r="E1355" s="105">
        <v>1</v>
      </c>
      <c r="F1355" s="134">
        <v>202</v>
      </c>
      <c r="G1355" s="134">
        <v>232.5</v>
      </c>
      <c r="H1355" s="109">
        <f t="shared" si="67"/>
        <v>232.5</v>
      </c>
      <c r="I1355" s="119"/>
      <c r="J1355" s="119"/>
      <c r="K1355" s="119">
        <f t="shared" si="68"/>
        <v>232.5</v>
      </c>
      <c r="L1355" s="152">
        <f t="shared" si="69"/>
        <v>202</v>
      </c>
      <c r="M1355" s="113"/>
    </row>
    <row r="1356" spans="1:13" x14ac:dyDescent="0.2">
      <c r="A1356" s="106">
        <v>46234</v>
      </c>
      <c r="B1356" s="105" t="s">
        <v>3912</v>
      </c>
      <c r="C1356" s="105" t="s">
        <v>6269</v>
      </c>
      <c r="D1356" s="149" t="s">
        <v>3913</v>
      </c>
      <c r="E1356" s="105">
        <v>1</v>
      </c>
      <c r="F1356" s="134">
        <v>15.25</v>
      </c>
      <c r="G1356" s="134">
        <v>17.75</v>
      </c>
      <c r="H1356" s="109">
        <f t="shared" si="67"/>
        <v>17.75</v>
      </c>
      <c r="I1356" s="119"/>
      <c r="J1356" s="119"/>
      <c r="K1356" s="119">
        <f t="shared" si="68"/>
        <v>17.75</v>
      </c>
      <c r="L1356" s="152">
        <f t="shared" si="69"/>
        <v>15.25</v>
      </c>
      <c r="M1356" s="113"/>
    </row>
    <row r="1357" spans="1:13" x14ac:dyDescent="0.2">
      <c r="A1357" s="106">
        <v>46234</v>
      </c>
      <c r="B1357" s="105" t="s">
        <v>2220</v>
      </c>
      <c r="C1357" s="105" t="s">
        <v>6269</v>
      </c>
      <c r="D1357" s="149" t="s">
        <v>2222</v>
      </c>
      <c r="E1357" s="105">
        <v>1</v>
      </c>
      <c r="F1357" s="134">
        <v>34.51</v>
      </c>
      <c r="G1357" s="134">
        <v>41</v>
      </c>
      <c r="H1357" s="109">
        <f t="shared" si="67"/>
        <v>41</v>
      </c>
      <c r="I1357" s="119"/>
      <c r="J1357" s="119"/>
      <c r="K1357" s="119">
        <f t="shared" si="68"/>
        <v>41</v>
      </c>
      <c r="L1357" s="152">
        <f t="shared" si="69"/>
        <v>34.51</v>
      </c>
      <c r="M1357" s="113"/>
    </row>
    <row r="1358" spans="1:13" x14ac:dyDescent="0.2">
      <c r="A1358" s="106">
        <v>46234</v>
      </c>
      <c r="B1358" s="105" t="s">
        <v>4945</v>
      </c>
      <c r="C1358" s="105" t="s">
        <v>6269</v>
      </c>
      <c r="D1358" s="149" t="s">
        <v>4982</v>
      </c>
      <c r="E1358" s="105">
        <v>1</v>
      </c>
      <c r="F1358" s="134">
        <v>22.45</v>
      </c>
      <c r="G1358" s="134">
        <v>26</v>
      </c>
      <c r="H1358" s="109">
        <f t="shared" si="67"/>
        <v>26</v>
      </c>
      <c r="I1358" s="119"/>
      <c r="J1358" s="119"/>
      <c r="K1358" s="119">
        <f t="shared" si="68"/>
        <v>26</v>
      </c>
      <c r="L1358" s="152">
        <f t="shared" si="69"/>
        <v>22.45</v>
      </c>
      <c r="M1358" s="113"/>
    </row>
    <row r="1359" spans="1:13" x14ac:dyDescent="0.2">
      <c r="A1359" s="106">
        <v>46234</v>
      </c>
      <c r="B1359" s="105" t="s">
        <v>2530</v>
      </c>
      <c r="C1359" s="105" t="s">
        <v>6269</v>
      </c>
      <c r="D1359" s="149" t="s">
        <v>2532</v>
      </c>
      <c r="E1359" s="105">
        <v>1</v>
      </c>
      <c r="F1359" s="134">
        <v>22.59</v>
      </c>
      <c r="G1359" s="134">
        <v>26</v>
      </c>
      <c r="H1359" s="109">
        <f t="shared" si="67"/>
        <v>26</v>
      </c>
      <c r="I1359" s="119"/>
      <c r="J1359" s="119"/>
      <c r="K1359" s="119">
        <f t="shared" si="68"/>
        <v>26</v>
      </c>
      <c r="L1359" s="152">
        <f t="shared" si="69"/>
        <v>22.59</v>
      </c>
      <c r="M1359" s="113"/>
    </row>
    <row r="1360" spans="1:13" x14ac:dyDescent="0.2">
      <c r="A1360" s="106">
        <v>46234</v>
      </c>
      <c r="B1360" s="105" t="s">
        <v>3326</v>
      </c>
      <c r="C1360" s="105" t="s">
        <v>6269</v>
      </c>
      <c r="D1360" s="149" t="s">
        <v>3327</v>
      </c>
      <c r="E1360" s="105">
        <v>26</v>
      </c>
      <c r="F1360" s="134">
        <v>6.12</v>
      </c>
      <c r="G1360" s="134">
        <v>7.25</v>
      </c>
      <c r="H1360" s="109">
        <f t="shared" si="67"/>
        <v>188.5</v>
      </c>
      <c r="I1360" s="119"/>
      <c r="J1360" s="119"/>
      <c r="K1360" s="119">
        <f t="shared" si="68"/>
        <v>188.5</v>
      </c>
      <c r="L1360" s="152">
        <f t="shared" si="69"/>
        <v>159.12</v>
      </c>
      <c r="M1360" s="113"/>
    </row>
    <row r="1361" spans="1:13" x14ac:dyDescent="0.2">
      <c r="A1361" s="106">
        <v>46234</v>
      </c>
      <c r="B1361" s="105" t="s">
        <v>2298</v>
      </c>
      <c r="C1361" s="105" t="s">
        <v>6269</v>
      </c>
      <c r="D1361" s="149" t="s">
        <v>2299</v>
      </c>
      <c r="E1361" s="105">
        <v>1</v>
      </c>
      <c r="F1361" s="134">
        <v>21.84</v>
      </c>
      <c r="G1361" s="134">
        <v>25.25</v>
      </c>
      <c r="H1361" s="109">
        <f t="shared" si="67"/>
        <v>25.25</v>
      </c>
      <c r="I1361" s="119"/>
      <c r="J1361" s="119"/>
      <c r="K1361" s="119">
        <f t="shared" si="68"/>
        <v>25.25</v>
      </c>
      <c r="L1361" s="152">
        <f t="shared" si="69"/>
        <v>21.84</v>
      </c>
      <c r="M1361" s="113"/>
    </row>
    <row r="1362" spans="1:13" x14ac:dyDescent="0.2">
      <c r="A1362" s="106">
        <v>46234</v>
      </c>
      <c r="B1362" s="105" t="s">
        <v>3761</v>
      </c>
      <c r="C1362" s="105" t="s">
        <v>6269</v>
      </c>
      <c r="D1362" s="149" t="s">
        <v>3763</v>
      </c>
      <c r="E1362" s="105">
        <v>1</v>
      </c>
      <c r="F1362" s="134">
        <v>26</v>
      </c>
      <c r="G1362" s="134">
        <v>30.5</v>
      </c>
      <c r="H1362" s="109">
        <f t="shared" si="67"/>
        <v>30.5</v>
      </c>
      <c r="I1362" s="119"/>
      <c r="J1362" s="119"/>
      <c r="K1362" s="119">
        <f t="shared" si="68"/>
        <v>30.5</v>
      </c>
      <c r="L1362" s="152">
        <f t="shared" si="69"/>
        <v>26</v>
      </c>
      <c r="M1362" s="113"/>
    </row>
    <row r="1363" spans="1:13" x14ac:dyDescent="0.2">
      <c r="A1363" s="106">
        <v>46234</v>
      </c>
      <c r="B1363" s="105" t="s">
        <v>2082</v>
      </c>
      <c r="C1363" s="105" t="s">
        <v>6269</v>
      </c>
      <c r="D1363" s="149" t="s">
        <v>2083</v>
      </c>
      <c r="E1363" s="105">
        <v>19</v>
      </c>
      <c r="F1363" s="134">
        <v>10.95</v>
      </c>
      <c r="G1363" s="134">
        <v>12.75</v>
      </c>
      <c r="H1363" s="109">
        <f t="shared" si="67"/>
        <v>242.25</v>
      </c>
      <c r="I1363" s="119"/>
      <c r="J1363" s="119"/>
      <c r="K1363" s="119">
        <f t="shared" si="68"/>
        <v>242.25</v>
      </c>
      <c r="L1363" s="152">
        <f t="shared" si="69"/>
        <v>208.04999999999998</v>
      </c>
      <c r="M1363" s="113"/>
    </row>
    <row r="1364" spans="1:13" x14ac:dyDescent="0.2">
      <c r="A1364" s="106">
        <v>46234</v>
      </c>
      <c r="B1364" s="105" t="s">
        <v>2855</v>
      </c>
      <c r="C1364" s="105" t="s">
        <v>6269</v>
      </c>
      <c r="D1364" s="149" t="s">
        <v>2856</v>
      </c>
      <c r="E1364" s="105">
        <v>1</v>
      </c>
      <c r="F1364" s="134">
        <v>6.73</v>
      </c>
      <c r="G1364" s="134">
        <v>7.75</v>
      </c>
      <c r="H1364" s="109">
        <f t="shared" si="67"/>
        <v>7.75</v>
      </c>
      <c r="I1364" s="119"/>
      <c r="J1364" s="119"/>
      <c r="K1364" s="119">
        <f t="shared" si="68"/>
        <v>7.75</v>
      </c>
      <c r="L1364" s="152">
        <f t="shared" si="69"/>
        <v>6.73</v>
      </c>
      <c r="M1364" s="113"/>
    </row>
    <row r="1365" spans="1:13" x14ac:dyDescent="0.2">
      <c r="A1365" s="106">
        <v>46234</v>
      </c>
      <c r="B1365" s="105" t="s">
        <v>1940</v>
      </c>
      <c r="C1365" s="105" t="s">
        <v>6269</v>
      </c>
      <c r="D1365" s="149" t="s">
        <v>1941</v>
      </c>
      <c r="E1365" s="105">
        <v>1</v>
      </c>
      <c r="F1365" s="134">
        <v>6</v>
      </c>
      <c r="G1365" s="134">
        <v>7</v>
      </c>
      <c r="H1365" s="109">
        <f t="shared" si="67"/>
        <v>7</v>
      </c>
      <c r="I1365" s="119"/>
      <c r="J1365" s="119"/>
      <c r="K1365" s="119">
        <f t="shared" si="68"/>
        <v>7</v>
      </c>
      <c r="L1365" s="152">
        <f t="shared" si="69"/>
        <v>6</v>
      </c>
      <c r="M1365" s="113"/>
    </row>
    <row r="1366" spans="1:13" x14ac:dyDescent="0.2">
      <c r="A1366" s="106">
        <v>46234</v>
      </c>
      <c r="B1366" s="105" t="s">
        <v>5690</v>
      </c>
      <c r="C1366" s="105" t="s">
        <v>6269</v>
      </c>
      <c r="D1366" s="149" t="s">
        <v>5828</v>
      </c>
      <c r="E1366" s="105">
        <v>2</v>
      </c>
      <c r="F1366" s="134">
        <v>5.0199999999999996</v>
      </c>
      <c r="G1366" s="134">
        <v>6</v>
      </c>
      <c r="H1366" s="109">
        <f t="shared" si="67"/>
        <v>12</v>
      </c>
      <c r="I1366" s="119"/>
      <c r="J1366" s="119"/>
      <c r="K1366" s="119">
        <f t="shared" si="68"/>
        <v>12</v>
      </c>
      <c r="L1366" s="152">
        <f t="shared" si="69"/>
        <v>10.039999999999999</v>
      </c>
      <c r="M1366" s="113"/>
    </row>
    <row r="1367" spans="1:13" x14ac:dyDescent="0.2">
      <c r="A1367" s="106">
        <v>46234</v>
      </c>
      <c r="B1367" s="105" t="s">
        <v>4759</v>
      </c>
      <c r="C1367" s="105" t="s">
        <v>6269</v>
      </c>
      <c r="D1367" s="149" t="s">
        <v>4786</v>
      </c>
      <c r="E1367" s="105">
        <v>2</v>
      </c>
      <c r="F1367" s="134">
        <v>6.12</v>
      </c>
      <c r="G1367" s="134">
        <v>7.25</v>
      </c>
      <c r="H1367" s="109">
        <f t="shared" si="67"/>
        <v>14.5</v>
      </c>
      <c r="I1367" s="119"/>
      <c r="J1367" s="119"/>
      <c r="K1367" s="119">
        <f t="shared" si="68"/>
        <v>14.5</v>
      </c>
      <c r="L1367" s="152">
        <f t="shared" si="69"/>
        <v>12.24</v>
      </c>
      <c r="M1367" s="113"/>
    </row>
    <row r="1368" spans="1:13" x14ac:dyDescent="0.2">
      <c r="A1368" s="106">
        <v>46234</v>
      </c>
      <c r="B1368" s="105" t="s">
        <v>3272</v>
      </c>
      <c r="C1368" s="105" t="s">
        <v>6269</v>
      </c>
      <c r="D1368" s="149" t="s">
        <v>3274</v>
      </c>
      <c r="E1368" s="105">
        <v>1</v>
      </c>
      <c r="F1368" s="134">
        <v>5.78</v>
      </c>
      <c r="G1368" s="134">
        <v>6.75</v>
      </c>
      <c r="H1368" s="109">
        <f t="shared" si="67"/>
        <v>6.75</v>
      </c>
      <c r="I1368" s="119"/>
      <c r="J1368" s="119"/>
      <c r="K1368" s="119">
        <f t="shared" si="68"/>
        <v>6.75</v>
      </c>
      <c r="L1368" s="152">
        <f t="shared" si="69"/>
        <v>5.78</v>
      </c>
      <c r="M1368" s="113"/>
    </row>
    <row r="1369" spans="1:13" x14ac:dyDescent="0.2">
      <c r="A1369" s="106">
        <v>46234</v>
      </c>
      <c r="B1369" s="105" t="s">
        <v>6263</v>
      </c>
      <c r="C1369" s="105" t="s">
        <v>6269</v>
      </c>
      <c r="D1369" s="149" t="s">
        <v>6273</v>
      </c>
      <c r="E1369" s="105">
        <v>1</v>
      </c>
      <c r="F1369" s="134">
        <v>5.41</v>
      </c>
      <c r="G1369" s="134">
        <v>6.25</v>
      </c>
      <c r="H1369" s="109">
        <f t="shared" si="67"/>
        <v>6.25</v>
      </c>
      <c r="I1369" s="119"/>
      <c r="J1369" s="119"/>
      <c r="K1369" s="119">
        <f t="shared" si="68"/>
        <v>6.25</v>
      </c>
      <c r="L1369" s="152">
        <f t="shared" si="69"/>
        <v>5.41</v>
      </c>
      <c r="M1369" s="113"/>
    </row>
    <row r="1370" spans="1:13" x14ac:dyDescent="0.2">
      <c r="A1370" s="106">
        <v>46234</v>
      </c>
      <c r="B1370" s="105" t="s">
        <v>5030</v>
      </c>
      <c r="C1370" s="105" t="s">
        <v>6269</v>
      </c>
      <c r="D1370" s="149" t="s">
        <v>5074</v>
      </c>
      <c r="E1370" s="105">
        <v>3</v>
      </c>
      <c r="F1370" s="134">
        <v>5.41</v>
      </c>
      <c r="G1370" s="134">
        <v>6.25</v>
      </c>
      <c r="H1370" s="109">
        <f t="shared" si="67"/>
        <v>18.75</v>
      </c>
      <c r="I1370" s="119"/>
      <c r="J1370" s="119"/>
      <c r="K1370" s="119">
        <f t="shared" si="68"/>
        <v>18.75</v>
      </c>
      <c r="L1370" s="152">
        <f t="shared" si="69"/>
        <v>16.23</v>
      </c>
      <c r="M1370" s="113"/>
    </row>
    <row r="1371" spans="1:13" x14ac:dyDescent="0.2">
      <c r="A1371" s="106">
        <v>46234</v>
      </c>
      <c r="B1371" s="105" t="s">
        <v>2367</v>
      </c>
      <c r="C1371" s="105" t="s">
        <v>6269</v>
      </c>
      <c r="D1371" s="149" t="s">
        <v>2369</v>
      </c>
      <c r="E1371" s="105">
        <v>10</v>
      </c>
      <c r="F1371" s="134">
        <v>6.38</v>
      </c>
      <c r="G1371" s="134">
        <v>7.5</v>
      </c>
      <c r="H1371" s="109">
        <f t="shared" si="67"/>
        <v>75</v>
      </c>
      <c r="I1371" s="119"/>
      <c r="J1371" s="119"/>
      <c r="K1371" s="119">
        <f t="shared" si="68"/>
        <v>75</v>
      </c>
      <c r="L1371" s="152">
        <f t="shared" si="69"/>
        <v>63.8</v>
      </c>
      <c r="M1371" s="113"/>
    </row>
    <row r="1372" spans="1:13" x14ac:dyDescent="0.2">
      <c r="A1372" s="106">
        <v>46234</v>
      </c>
      <c r="B1372" s="105" t="s">
        <v>3969</v>
      </c>
      <c r="C1372" s="105" t="s">
        <v>6269</v>
      </c>
      <c r="D1372" s="149" t="s">
        <v>3971</v>
      </c>
      <c r="E1372" s="105">
        <v>1</v>
      </c>
      <c r="F1372" s="134">
        <v>5</v>
      </c>
      <c r="G1372" s="134">
        <v>5.75</v>
      </c>
      <c r="H1372" s="109">
        <f t="shared" si="67"/>
        <v>5.75</v>
      </c>
      <c r="I1372" s="119"/>
      <c r="J1372" s="119"/>
      <c r="K1372" s="119">
        <f t="shared" si="68"/>
        <v>5.75</v>
      </c>
      <c r="L1372" s="152">
        <f t="shared" si="69"/>
        <v>5</v>
      </c>
      <c r="M1372" s="113"/>
    </row>
    <row r="1373" spans="1:13" x14ac:dyDescent="0.2">
      <c r="A1373" s="106">
        <v>46234</v>
      </c>
      <c r="B1373" s="105" t="s">
        <v>2226</v>
      </c>
      <c r="C1373" s="105" t="s">
        <v>6269</v>
      </c>
      <c r="D1373" s="149" t="s">
        <v>2228</v>
      </c>
      <c r="E1373" s="105">
        <v>1</v>
      </c>
      <c r="F1373" s="134">
        <v>19.47</v>
      </c>
      <c r="G1373" s="134">
        <v>23</v>
      </c>
      <c r="H1373" s="109">
        <f t="shared" si="67"/>
        <v>23</v>
      </c>
      <c r="I1373" s="119"/>
      <c r="J1373" s="119"/>
      <c r="K1373" s="119">
        <f t="shared" si="68"/>
        <v>23</v>
      </c>
      <c r="L1373" s="152">
        <f t="shared" si="69"/>
        <v>19.47</v>
      </c>
      <c r="M1373" s="113"/>
    </row>
    <row r="1374" spans="1:13" x14ac:dyDescent="0.2">
      <c r="A1374" s="106">
        <v>46234</v>
      </c>
      <c r="B1374" s="105" t="s">
        <v>3267</v>
      </c>
      <c r="C1374" s="105" t="s">
        <v>6269</v>
      </c>
      <c r="D1374" s="149" t="s">
        <v>3268</v>
      </c>
      <c r="E1374" s="105">
        <v>1</v>
      </c>
      <c r="F1374" s="134">
        <v>11.5</v>
      </c>
      <c r="G1374" s="134">
        <v>13.5</v>
      </c>
      <c r="H1374" s="109">
        <f t="shared" si="67"/>
        <v>13.5</v>
      </c>
      <c r="I1374" s="119"/>
      <c r="J1374" s="119"/>
      <c r="K1374" s="119">
        <f t="shared" si="68"/>
        <v>13.5</v>
      </c>
      <c r="L1374" s="152">
        <f t="shared" si="69"/>
        <v>11.5</v>
      </c>
      <c r="M1374" s="113"/>
    </row>
    <row r="1375" spans="1:13" x14ac:dyDescent="0.2">
      <c r="A1375" s="106">
        <v>46234</v>
      </c>
      <c r="B1375" s="105" t="s">
        <v>2872</v>
      </c>
      <c r="C1375" s="105" t="s">
        <v>6269</v>
      </c>
      <c r="D1375" s="149" t="s">
        <v>2873</v>
      </c>
      <c r="E1375" s="105">
        <v>1</v>
      </c>
      <c r="F1375" s="134">
        <v>4.4800000000000004</v>
      </c>
      <c r="G1375" s="134">
        <v>5.25</v>
      </c>
      <c r="H1375" s="109">
        <f t="shared" si="67"/>
        <v>5.25</v>
      </c>
      <c r="I1375" s="119"/>
      <c r="J1375" s="119"/>
      <c r="K1375" s="119">
        <f t="shared" si="68"/>
        <v>5.25</v>
      </c>
      <c r="L1375" s="152">
        <f t="shared" si="69"/>
        <v>4.4800000000000004</v>
      </c>
      <c r="M1375" s="113"/>
    </row>
    <row r="1376" spans="1:13" x14ac:dyDescent="0.2">
      <c r="A1376" s="106">
        <v>46234</v>
      </c>
      <c r="B1376" s="105" t="s">
        <v>1969</v>
      </c>
      <c r="C1376" s="105" t="s">
        <v>6269</v>
      </c>
      <c r="D1376" s="149" t="s">
        <v>1970</v>
      </c>
      <c r="E1376" s="105">
        <v>1</v>
      </c>
      <c r="F1376" s="134">
        <v>3.6</v>
      </c>
      <c r="G1376" s="134">
        <v>4.25</v>
      </c>
      <c r="H1376" s="109">
        <f t="shared" si="67"/>
        <v>4.25</v>
      </c>
      <c r="I1376" s="119"/>
      <c r="J1376" s="119"/>
      <c r="K1376" s="119">
        <f t="shared" si="68"/>
        <v>4.25</v>
      </c>
      <c r="L1376" s="152">
        <f t="shared" si="69"/>
        <v>3.6</v>
      </c>
      <c r="M1376" s="113"/>
    </row>
    <row r="1377" spans="1:13" x14ac:dyDescent="0.2">
      <c r="A1377" s="106">
        <v>46234</v>
      </c>
      <c r="B1377" s="105" t="s">
        <v>1933</v>
      </c>
      <c r="C1377" s="105" t="s">
        <v>6269</v>
      </c>
      <c r="D1377" s="149" t="s">
        <v>1934</v>
      </c>
      <c r="E1377" s="105">
        <v>2</v>
      </c>
      <c r="F1377" s="134">
        <v>3.6</v>
      </c>
      <c r="G1377" s="134">
        <v>4.25</v>
      </c>
      <c r="H1377" s="109">
        <f t="shared" si="67"/>
        <v>8.5</v>
      </c>
      <c r="I1377" s="119"/>
      <c r="J1377" s="119"/>
      <c r="K1377" s="119">
        <f t="shared" si="68"/>
        <v>8.5</v>
      </c>
      <c r="L1377" s="152">
        <f t="shared" si="69"/>
        <v>7.2</v>
      </c>
      <c r="M1377" s="113"/>
    </row>
    <row r="1378" spans="1:13" x14ac:dyDescent="0.2">
      <c r="A1378" s="106">
        <v>46234</v>
      </c>
      <c r="B1378" s="105" t="s">
        <v>4715</v>
      </c>
      <c r="C1378" s="105" t="s">
        <v>6269</v>
      </c>
      <c r="D1378" s="149" t="s">
        <v>4750</v>
      </c>
      <c r="E1378" s="105">
        <v>1</v>
      </c>
      <c r="F1378" s="134">
        <v>6.15</v>
      </c>
      <c r="G1378" s="134">
        <v>7.25</v>
      </c>
      <c r="H1378" s="109">
        <f t="shared" si="67"/>
        <v>7.25</v>
      </c>
      <c r="I1378" s="119"/>
      <c r="J1378" s="119"/>
      <c r="K1378" s="119">
        <f t="shared" si="68"/>
        <v>7.25</v>
      </c>
      <c r="L1378" s="152">
        <f t="shared" si="69"/>
        <v>6.15</v>
      </c>
      <c r="M1378" s="113"/>
    </row>
    <row r="1379" spans="1:13" x14ac:dyDescent="0.2">
      <c r="A1379" s="106">
        <v>46234</v>
      </c>
      <c r="B1379" s="105" t="s">
        <v>4946</v>
      </c>
      <c r="C1379" s="105" t="s">
        <v>6269</v>
      </c>
      <c r="D1379" s="149" t="s">
        <v>4983</v>
      </c>
      <c r="E1379" s="105">
        <v>1</v>
      </c>
      <c r="F1379" s="134">
        <v>6.4</v>
      </c>
      <c r="G1379" s="134">
        <v>7.5</v>
      </c>
      <c r="H1379" s="109">
        <f t="shared" si="67"/>
        <v>7.5</v>
      </c>
      <c r="I1379" s="119"/>
      <c r="J1379" s="119"/>
      <c r="K1379" s="119">
        <f t="shared" si="68"/>
        <v>7.5</v>
      </c>
      <c r="L1379" s="152">
        <f t="shared" si="69"/>
        <v>6.4</v>
      </c>
      <c r="M1379" s="113"/>
    </row>
    <row r="1380" spans="1:13" x14ac:dyDescent="0.2">
      <c r="A1380" s="106">
        <v>46234</v>
      </c>
      <c r="B1380" s="105" t="s">
        <v>6264</v>
      </c>
      <c r="C1380" s="105" t="s">
        <v>6269</v>
      </c>
      <c r="D1380" s="149" t="s">
        <v>6274</v>
      </c>
      <c r="E1380" s="105">
        <v>1</v>
      </c>
      <c r="F1380" s="134">
        <v>50.09</v>
      </c>
      <c r="G1380" s="134">
        <v>57.75</v>
      </c>
      <c r="H1380" s="109">
        <f t="shared" si="67"/>
        <v>57.75</v>
      </c>
      <c r="I1380" s="119"/>
      <c r="J1380" s="119"/>
      <c r="K1380" s="119">
        <f t="shared" si="68"/>
        <v>57.75</v>
      </c>
      <c r="L1380" s="152">
        <f t="shared" si="69"/>
        <v>50.09</v>
      </c>
      <c r="M1380" s="113"/>
    </row>
    <row r="1381" spans="1:13" x14ac:dyDescent="0.2">
      <c r="A1381" s="106">
        <v>46234</v>
      </c>
      <c r="B1381" s="105" t="s">
        <v>4566</v>
      </c>
      <c r="C1381" s="105" t="s">
        <v>6269</v>
      </c>
      <c r="D1381" s="149" t="s">
        <v>4671</v>
      </c>
      <c r="E1381" s="105">
        <v>3</v>
      </c>
      <c r="F1381" s="134">
        <v>22.19</v>
      </c>
      <c r="G1381" s="134">
        <v>25.75</v>
      </c>
      <c r="H1381" s="109">
        <f t="shared" si="67"/>
        <v>77.25</v>
      </c>
      <c r="I1381" s="119"/>
      <c r="J1381" s="119"/>
      <c r="K1381" s="119">
        <f t="shared" si="68"/>
        <v>77.25</v>
      </c>
      <c r="L1381" s="152">
        <f t="shared" si="69"/>
        <v>66.570000000000007</v>
      </c>
      <c r="M1381" s="113"/>
    </row>
    <row r="1382" spans="1:13" x14ac:dyDescent="0.2">
      <c r="A1382" s="106">
        <v>46234</v>
      </c>
      <c r="B1382" s="105" t="s">
        <v>2357</v>
      </c>
      <c r="C1382" s="105" t="s">
        <v>6269</v>
      </c>
      <c r="D1382" s="149" t="s">
        <v>2359</v>
      </c>
      <c r="E1382" s="105">
        <v>3</v>
      </c>
      <c r="F1382" s="134">
        <v>6.18</v>
      </c>
      <c r="G1382" s="134">
        <v>7.5</v>
      </c>
      <c r="H1382" s="109">
        <f t="shared" si="67"/>
        <v>22.5</v>
      </c>
      <c r="I1382" s="119"/>
      <c r="J1382" s="119"/>
      <c r="K1382" s="119">
        <f t="shared" si="68"/>
        <v>22.5</v>
      </c>
      <c r="L1382" s="152">
        <f t="shared" si="69"/>
        <v>18.54</v>
      </c>
      <c r="M1382" s="113"/>
    </row>
    <row r="1383" spans="1:13" x14ac:dyDescent="0.2">
      <c r="A1383" s="106">
        <v>46234</v>
      </c>
      <c r="B1383" s="105" t="s">
        <v>4569</v>
      </c>
      <c r="C1383" s="105" t="s">
        <v>6269</v>
      </c>
      <c r="D1383" s="149" t="s">
        <v>4674</v>
      </c>
      <c r="E1383" s="105">
        <v>3</v>
      </c>
      <c r="F1383" s="134">
        <v>6.8</v>
      </c>
      <c r="G1383" s="134">
        <v>8</v>
      </c>
      <c r="H1383" s="109">
        <f t="shared" si="67"/>
        <v>24</v>
      </c>
      <c r="I1383" s="119"/>
      <c r="J1383" s="119"/>
      <c r="K1383" s="119">
        <f t="shared" si="68"/>
        <v>24</v>
      </c>
      <c r="L1383" s="152">
        <f t="shared" si="69"/>
        <v>20.399999999999999</v>
      </c>
      <c r="M1383" s="113"/>
    </row>
    <row r="1384" spans="1:13" x14ac:dyDescent="0.2">
      <c r="A1384" s="106">
        <v>46234</v>
      </c>
      <c r="B1384" s="105" t="s">
        <v>6265</v>
      </c>
      <c r="C1384" s="105" t="s">
        <v>6269</v>
      </c>
      <c r="D1384" s="149" t="s">
        <v>6275</v>
      </c>
      <c r="E1384" s="105">
        <v>2</v>
      </c>
      <c r="F1384" s="134">
        <v>1.77</v>
      </c>
      <c r="G1384" s="134">
        <v>2.5</v>
      </c>
      <c r="H1384" s="109">
        <f t="shared" si="67"/>
        <v>5</v>
      </c>
      <c r="I1384" s="119"/>
      <c r="J1384" s="119"/>
      <c r="K1384" s="119">
        <f t="shared" si="68"/>
        <v>5</v>
      </c>
      <c r="L1384" s="152">
        <f t="shared" si="69"/>
        <v>3.54</v>
      </c>
      <c r="M1384" s="113"/>
    </row>
    <row r="1385" spans="1:13" x14ac:dyDescent="0.2">
      <c r="A1385" s="106">
        <v>46234</v>
      </c>
      <c r="B1385" s="105" t="s">
        <v>2429</v>
      </c>
      <c r="C1385" s="105" t="s">
        <v>6269</v>
      </c>
      <c r="D1385" s="149" t="s">
        <v>2431</v>
      </c>
      <c r="E1385" s="105">
        <v>6</v>
      </c>
      <c r="F1385" s="134">
        <v>14.31</v>
      </c>
      <c r="G1385" s="134">
        <v>16.5</v>
      </c>
      <c r="H1385" s="109">
        <f t="shared" si="67"/>
        <v>99</v>
      </c>
      <c r="I1385" s="119"/>
      <c r="J1385" s="119"/>
      <c r="K1385" s="119">
        <f t="shared" si="68"/>
        <v>99</v>
      </c>
      <c r="L1385" s="152">
        <f t="shared" si="69"/>
        <v>85.86</v>
      </c>
      <c r="M1385" s="113"/>
    </row>
    <row r="1386" spans="1:13" x14ac:dyDescent="0.2">
      <c r="A1386" s="106">
        <v>46234</v>
      </c>
      <c r="B1386" s="105" t="s">
        <v>6266</v>
      </c>
      <c r="C1386" s="105" t="s">
        <v>6269</v>
      </c>
      <c r="D1386" s="149" t="s">
        <v>6276</v>
      </c>
      <c r="E1386" s="105">
        <v>2</v>
      </c>
      <c r="F1386" s="134">
        <v>11.39</v>
      </c>
      <c r="G1386" s="134">
        <v>13.25</v>
      </c>
      <c r="H1386" s="109">
        <f t="shared" si="67"/>
        <v>26.5</v>
      </c>
      <c r="I1386" s="119"/>
      <c r="J1386" s="119"/>
      <c r="K1386" s="119">
        <f t="shared" si="68"/>
        <v>26.5</v>
      </c>
      <c r="L1386" s="152">
        <f t="shared" si="69"/>
        <v>22.78</v>
      </c>
      <c r="M1386" s="113"/>
    </row>
    <row r="1387" spans="1:13" x14ac:dyDescent="0.2">
      <c r="A1387" s="106">
        <v>46234</v>
      </c>
      <c r="B1387" s="105" t="s">
        <v>6267</v>
      </c>
      <c r="C1387" s="105" t="s">
        <v>6269</v>
      </c>
      <c r="D1387" s="149" t="s">
        <v>6277</v>
      </c>
      <c r="E1387" s="105">
        <v>1</v>
      </c>
      <c r="F1387" s="134">
        <v>32.799999999999997</v>
      </c>
      <c r="G1387" s="134">
        <v>37.75</v>
      </c>
      <c r="H1387" s="109">
        <f t="shared" si="67"/>
        <v>37.75</v>
      </c>
      <c r="I1387" s="119"/>
      <c r="J1387" s="119"/>
      <c r="K1387" s="119">
        <f t="shared" si="68"/>
        <v>37.75</v>
      </c>
      <c r="L1387" s="152">
        <f t="shared" si="69"/>
        <v>32.799999999999997</v>
      </c>
      <c r="M1387" s="113"/>
    </row>
    <row r="1388" spans="1:13" x14ac:dyDescent="0.2">
      <c r="A1388" s="106">
        <v>46234</v>
      </c>
      <c r="B1388" s="105" t="s">
        <v>3387</v>
      </c>
      <c r="C1388" s="105" t="s">
        <v>6269</v>
      </c>
      <c r="D1388" s="149" t="s">
        <v>3389</v>
      </c>
      <c r="E1388" s="105">
        <v>5</v>
      </c>
      <c r="F1388" s="134">
        <v>13.85</v>
      </c>
      <c r="G1388" s="134">
        <v>20</v>
      </c>
      <c r="H1388" s="109">
        <f t="shared" si="67"/>
        <v>100</v>
      </c>
      <c r="I1388" s="119"/>
      <c r="J1388" s="119"/>
      <c r="K1388" s="119">
        <f t="shared" si="68"/>
        <v>100</v>
      </c>
      <c r="L1388" s="152">
        <f t="shared" si="69"/>
        <v>69.25</v>
      </c>
      <c r="M1388" s="113"/>
    </row>
    <row r="1389" spans="1:13" x14ac:dyDescent="0.2">
      <c r="A1389" s="106">
        <v>46234</v>
      </c>
      <c r="B1389" s="105" t="s">
        <v>1977</v>
      </c>
      <c r="C1389" s="105" t="s">
        <v>6269</v>
      </c>
      <c r="D1389" s="149" t="s">
        <v>1979</v>
      </c>
      <c r="E1389" s="105">
        <v>3</v>
      </c>
      <c r="F1389" s="136">
        <v>0.76</v>
      </c>
      <c r="G1389" s="136">
        <v>1</v>
      </c>
      <c r="H1389" s="109">
        <f t="shared" si="67"/>
        <v>3</v>
      </c>
      <c r="I1389" s="119"/>
      <c r="J1389" s="119"/>
      <c r="K1389" s="119">
        <f t="shared" si="68"/>
        <v>3</v>
      </c>
      <c r="L1389" s="152">
        <f t="shared" si="69"/>
        <v>2.2800000000000002</v>
      </c>
      <c r="M1389" s="113"/>
    </row>
    <row r="1390" spans="1:13" x14ac:dyDescent="0.2">
      <c r="A1390" s="106">
        <v>46234</v>
      </c>
      <c r="B1390" s="105" t="s">
        <v>2089</v>
      </c>
      <c r="C1390" s="105" t="s">
        <v>6269</v>
      </c>
      <c r="D1390" s="149" t="s">
        <v>2090</v>
      </c>
      <c r="E1390" s="105">
        <v>57</v>
      </c>
      <c r="F1390" s="136">
        <v>0.76</v>
      </c>
      <c r="G1390" s="136">
        <v>1</v>
      </c>
      <c r="H1390" s="109">
        <f t="shared" si="67"/>
        <v>57</v>
      </c>
      <c r="I1390" s="119"/>
      <c r="J1390" s="119"/>
      <c r="K1390" s="119">
        <f t="shared" si="68"/>
        <v>57</v>
      </c>
      <c r="L1390" s="152">
        <f t="shared" si="69"/>
        <v>43.32</v>
      </c>
      <c r="M1390" s="113"/>
    </row>
    <row r="1391" spans="1:13" x14ac:dyDescent="0.2">
      <c r="A1391" s="106">
        <v>46234</v>
      </c>
      <c r="B1391" s="105" t="s">
        <v>3360</v>
      </c>
      <c r="C1391" s="105" t="s">
        <v>6269</v>
      </c>
      <c r="D1391" s="149" t="s">
        <v>3361</v>
      </c>
      <c r="E1391" s="105">
        <v>8</v>
      </c>
      <c r="F1391" s="136">
        <v>6.03</v>
      </c>
      <c r="G1391" s="136">
        <v>7</v>
      </c>
      <c r="H1391" s="109">
        <f t="shared" si="67"/>
        <v>56</v>
      </c>
      <c r="I1391" s="119"/>
      <c r="J1391" s="119"/>
      <c r="K1391" s="119">
        <f t="shared" si="68"/>
        <v>56</v>
      </c>
      <c r="L1391" s="152">
        <f t="shared" si="69"/>
        <v>48.24</v>
      </c>
      <c r="M1391" s="113"/>
    </row>
    <row r="1392" spans="1:13" x14ac:dyDescent="0.2">
      <c r="A1392" s="106">
        <v>46234</v>
      </c>
      <c r="B1392" s="105" t="s">
        <v>4716</v>
      </c>
      <c r="C1392" s="105" t="s">
        <v>6269</v>
      </c>
      <c r="D1392" s="149" t="s">
        <v>4751</v>
      </c>
      <c r="E1392" s="105">
        <v>14</v>
      </c>
      <c r="F1392" s="136">
        <v>0.81</v>
      </c>
      <c r="G1392" s="136">
        <v>1</v>
      </c>
      <c r="H1392" s="109">
        <f t="shared" si="67"/>
        <v>14</v>
      </c>
      <c r="I1392" s="119"/>
      <c r="J1392" s="119"/>
      <c r="K1392" s="119">
        <f t="shared" si="68"/>
        <v>14</v>
      </c>
      <c r="L1392" s="152">
        <f t="shared" si="69"/>
        <v>11.34</v>
      </c>
      <c r="M1392" s="113"/>
    </row>
    <row r="1393" spans="1:13" x14ac:dyDescent="0.2">
      <c r="A1393" s="106">
        <v>46234</v>
      </c>
      <c r="B1393" s="105" t="s">
        <v>6268</v>
      </c>
      <c r="C1393" s="105" t="s">
        <v>6269</v>
      </c>
      <c r="D1393" s="149" t="s">
        <v>6278</v>
      </c>
      <c r="E1393" s="105">
        <v>2</v>
      </c>
      <c r="F1393" s="136">
        <v>10</v>
      </c>
      <c r="G1393" s="136">
        <v>11.5</v>
      </c>
      <c r="H1393" s="109">
        <f t="shared" si="67"/>
        <v>23</v>
      </c>
      <c r="I1393" s="119"/>
      <c r="J1393" s="119">
        <v>390</v>
      </c>
      <c r="K1393" s="119">
        <f t="shared" si="68"/>
        <v>-367</v>
      </c>
      <c r="L1393" s="152">
        <f t="shared" si="69"/>
        <v>20</v>
      </c>
      <c r="M1393" s="113"/>
    </row>
    <row r="1394" spans="1:13" s="217" customFormat="1" ht="13.5" thickBot="1" x14ac:dyDescent="0.25">
      <c r="A1394" s="263" t="s">
        <v>0</v>
      </c>
      <c r="B1394" s="264"/>
      <c r="C1394" s="264"/>
      <c r="D1394" s="265"/>
      <c r="E1394" s="164">
        <f t="shared" ref="E1394:L1394" si="70">SUM(E6:E1393)</f>
        <v>3577</v>
      </c>
      <c r="F1394" s="164">
        <f t="shared" si="70"/>
        <v>101045.87000000007</v>
      </c>
      <c r="G1394" s="164">
        <f t="shared" si="70"/>
        <v>115083.45000000003</v>
      </c>
      <c r="H1394" s="164">
        <f t="shared" si="70"/>
        <v>148633.65000000002</v>
      </c>
      <c r="I1394" s="164">
        <f t="shared" si="70"/>
        <v>24000</v>
      </c>
      <c r="J1394" s="164">
        <f t="shared" si="70"/>
        <v>670</v>
      </c>
      <c r="K1394" s="239">
        <f t="shared" si="70"/>
        <v>171963.65000000002</v>
      </c>
      <c r="L1394" s="164">
        <f t="shared" si="70"/>
        <v>148123.67000000016</v>
      </c>
      <c r="M1394" s="235"/>
    </row>
    <row r="1395" spans="1:13" x14ac:dyDescent="0.2">
      <c r="G1395" s="167"/>
      <c r="H1395" s="167"/>
      <c r="I1395" s="167"/>
      <c r="J1395" s="167"/>
      <c r="K1395" s="233" t="s">
        <v>16</v>
      </c>
      <c r="L1395" s="119">
        <v>147963.65</v>
      </c>
      <c r="M1395" s="168">
        <v>46234</v>
      </c>
    </row>
    <row r="1396" spans="1:13" x14ac:dyDescent="0.2">
      <c r="D1396" s="219"/>
      <c r="E1396" s="220"/>
      <c r="F1396" s="221"/>
      <c r="G1396" s="167"/>
      <c r="H1396" s="222"/>
      <c r="I1396" s="222"/>
      <c r="J1396" s="167"/>
      <c r="K1396" s="234" t="s">
        <v>1704</v>
      </c>
      <c r="L1396" s="108">
        <v>24000</v>
      </c>
      <c r="M1396" s="168"/>
    </row>
    <row r="1397" spans="1:13" x14ac:dyDescent="0.2">
      <c r="D1397" s="219"/>
      <c r="E1397" s="220"/>
      <c r="F1397" s="222"/>
      <c r="G1397" s="167"/>
      <c r="H1397" s="222"/>
      <c r="I1397" s="167"/>
      <c r="J1397" s="167"/>
      <c r="K1397" s="234" t="s">
        <v>0</v>
      </c>
      <c r="L1397" s="232">
        <f>SUM(L1395:L1396)</f>
        <v>171963.65</v>
      </c>
      <c r="M1397" s="204"/>
    </row>
    <row r="1398" spans="1:13" x14ac:dyDescent="0.2">
      <c r="D1398" s="219"/>
      <c r="E1398" s="220"/>
      <c r="F1398" s="222"/>
      <c r="G1398" s="167"/>
      <c r="H1398" s="222"/>
      <c r="I1398" s="167"/>
      <c r="J1398" s="167"/>
      <c r="K1398" s="234"/>
      <c r="L1398" s="108">
        <f>K1394-L1397</f>
        <v>0</v>
      </c>
      <c r="M1398" s="204"/>
    </row>
    <row r="1399" spans="1:13" x14ac:dyDescent="0.2">
      <c r="A1399" s="223"/>
      <c r="C1399" s="224"/>
      <c r="D1399" s="225"/>
      <c r="E1399" s="224"/>
      <c r="F1399" s="224"/>
      <c r="G1399" s="167"/>
      <c r="H1399" s="167"/>
      <c r="I1399" s="224"/>
      <c r="J1399" s="224"/>
      <c r="K1399" s="224"/>
      <c r="L1399" s="204"/>
      <c r="M1399" s="217"/>
    </row>
    <row r="1400" spans="1:13" x14ac:dyDescent="0.2">
      <c r="D1400" s="219"/>
      <c r="E1400" s="220"/>
      <c r="F1400" s="221"/>
      <c r="G1400" s="226"/>
      <c r="H1400" s="222"/>
      <c r="I1400" s="167"/>
      <c r="J1400" s="167"/>
      <c r="K1400" s="167"/>
      <c r="L1400" s="204"/>
    </row>
    <row r="1401" spans="1:13" x14ac:dyDescent="0.2">
      <c r="D1401" s="219"/>
      <c r="E1401" s="220"/>
      <c r="F1401" s="222"/>
      <c r="G1401" s="222"/>
      <c r="H1401" s="222" t="s">
        <v>4875</v>
      </c>
      <c r="I1401" s="167"/>
      <c r="J1401" s="167"/>
      <c r="K1401" s="167"/>
    </row>
    <row r="1402" spans="1:13" s="139" customFormat="1" x14ac:dyDescent="0.2">
      <c r="A1402" s="218"/>
      <c r="D1402" s="219"/>
      <c r="E1402" s="220"/>
      <c r="F1402" s="221"/>
      <c r="G1402" s="222"/>
      <c r="H1402" s="222"/>
      <c r="I1402" s="167"/>
      <c r="J1402" s="167"/>
      <c r="K1402" s="167"/>
    </row>
    <row r="1403" spans="1:13" s="139" customFormat="1" x14ac:dyDescent="0.2">
      <c r="A1403" s="218"/>
      <c r="D1403" s="227"/>
      <c r="E1403" s="220"/>
      <c r="F1403" s="221"/>
      <c r="G1403" s="226"/>
      <c r="H1403" s="222"/>
      <c r="I1403" s="167"/>
      <c r="J1403" s="167"/>
      <c r="K1403" s="167"/>
    </row>
    <row r="1404" spans="1:13" s="139" customFormat="1" x14ac:dyDescent="0.2">
      <c r="A1404" s="218"/>
      <c r="D1404" s="219"/>
      <c r="E1404" s="220"/>
      <c r="F1404" s="221"/>
      <c r="G1404" s="226"/>
      <c r="H1404" s="222"/>
      <c r="I1404" s="167"/>
      <c r="J1404" s="167"/>
      <c r="K1404" s="167"/>
    </row>
    <row r="1405" spans="1:13" s="139" customFormat="1" x14ac:dyDescent="0.2">
      <c r="A1405" s="218"/>
      <c r="D1405" s="219"/>
      <c r="E1405" s="220"/>
      <c r="F1405" s="221"/>
      <c r="G1405" s="226"/>
      <c r="H1405" s="222"/>
      <c r="I1405" s="167"/>
      <c r="J1405" s="167"/>
      <c r="K1405" s="167"/>
    </row>
    <row r="1406" spans="1:13" s="139" customFormat="1" x14ac:dyDescent="0.2">
      <c r="A1406" s="218"/>
      <c r="D1406" s="219"/>
      <c r="E1406" s="220"/>
      <c r="F1406" s="222"/>
      <c r="G1406" s="222"/>
      <c r="H1406" s="222"/>
      <c r="I1406" s="167"/>
      <c r="J1406" s="167"/>
      <c r="K1406" s="167"/>
    </row>
    <row r="1407" spans="1:13" s="139" customFormat="1" x14ac:dyDescent="0.2">
      <c r="A1407" s="218"/>
      <c r="D1407" s="219"/>
      <c r="E1407" s="220"/>
      <c r="F1407" s="222"/>
      <c r="G1407" s="222"/>
      <c r="H1407" s="222"/>
      <c r="I1407" s="167"/>
      <c r="J1407" s="167"/>
      <c r="K1407" s="167"/>
    </row>
    <row r="1408" spans="1:13" s="139" customFormat="1" x14ac:dyDescent="0.2">
      <c r="A1408" s="218"/>
      <c r="D1408" s="219"/>
      <c r="E1408" s="220"/>
      <c r="F1408" s="221"/>
      <c r="G1408" s="226"/>
      <c r="H1408" s="222"/>
      <c r="I1408" s="167"/>
      <c r="J1408" s="167"/>
      <c r="K1408" s="167"/>
    </row>
    <row r="1409" spans="1:11" s="139" customFormat="1" x14ac:dyDescent="0.2">
      <c r="A1409" s="218"/>
      <c r="D1409" s="219"/>
      <c r="E1409" s="220"/>
      <c r="F1409" s="221"/>
      <c r="G1409" s="226"/>
      <c r="H1409" s="222"/>
      <c r="I1409" s="167"/>
      <c r="J1409" s="167"/>
      <c r="K1409" s="167"/>
    </row>
  </sheetData>
  <autoFilter ref="A5:M1398" xr:uid="{152C832E-3476-4B5D-BA78-998D25A4BCF3}"/>
  <mergeCells count="1">
    <mergeCell ref="A1394:D1394"/>
  </mergeCell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6889-BB82-42D5-A57A-3603ECE5AB30}">
  <sheetPr>
    <tabColor rgb="FF8DFB43"/>
    <pageSetUpPr fitToPage="1"/>
  </sheetPr>
  <dimension ref="A1:J20"/>
  <sheetViews>
    <sheetView view="pageBreakPreview" zoomScaleNormal="100" zoomScaleSheetLayoutView="100" workbookViewId="0">
      <selection activeCell="B173" sqref="B173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66" t="s">
        <v>3949</v>
      </c>
      <c r="B1" s="266"/>
      <c r="C1" s="266"/>
    </row>
    <row r="2" spans="1:10" x14ac:dyDescent="0.2">
      <c r="A2" s="202" t="s">
        <v>5201</v>
      </c>
      <c r="H2" s="267" t="s">
        <v>3950</v>
      </c>
      <c r="I2" s="267"/>
      <c r="J2" s="268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68"/>
    </row>
    <row r="4" spans="1:10" ht="18.75" x14ac:dyDescent="0.3">
      <c r="B4" s="175">
        <v>888123456781555</v>
      </c>
      <c r="C4" s="176" t="s">
        <v>3100</v>
      </c>
      <c r="D4" s="177">
        <v>11</v>
      </c>
      <c r="E4" s="178" t="s">
        <v>3956</v>
      </c>
      <c r="F4" s="179">
        <v>31.5</v>
      </c>
      <c r="G4" s="180">
        <v>37</v>
      </c>
      <c r="H4" s="181"/>
      <c r="I4" s="181">
        <f>G4*H4</f>
        <v>0</v>
      </c>
      <c r="J4" s="182">
        <f>D4-H4</f>
        <v>11</v>
      </c>
    </row>
    <row r="5" spans="1:10" s="183" customFormat="1" ht="18.75" x14ac:dyDescent="0.3">
      <c r="B5" s="175">
        <v>748485800011</v>
      </c>
      <c r="C5" s="176" t="s">
        <v>2171</v>
      </c>
      <c r="D5" s="177">
        <v>2</v>
      </c>
      <c r="E5" s="178" t="s">
        <v>3956</v>
      </c>
      <c r="F5" s="184">
        <v>38.81</v>
      </c>
      <c r="G5" s="185">
        <v>47.5</v>
      </c>
      <c r="H5" s="186">
        <v>2</v>
      </c>
      <c r="I5" s="186">
        <f t="shared" ref="I5:I10" si="0">G5*H5</f>
        <v>95</v>
      </c>
      <c r="J5" s="187">
        <f t="shared" ref="J5:J10" si="1">D5-H5</f>
        <v>0</v>
      </c>
    </row>
    <row r="6" spans="1:10" s="183" customFormat="1" ht="18.75" x14ac:dyDescent="0.3">
      <c r="B6" s="175">
        <v>750515018501</v>
      </c>
      <c r="C6" s="176" t="s">
        <v>1844</v>
      </c>
      <c r="D6" s="177">
        <v>5</v>
      </c>
      <c r="E6" s="178" t="s">
        <v>3956</v>
      </c>
      <c r="F6" s="184">
        <v>57.95</v>
      </c>
      <c r="G6" s="185">
        <v>73.25</v>
      </c>
      <c r="H6" s="186">
        <v>3</v>
      </c>
      <c r="I6" s="186">
        <f t="shared" si="0"/>
        <v>219.75</v>
      </c>
      <c r="J6" s="187">
        <f t="shared" si="1"/>
        <v>2</v>
      </c>
    </row>
    <row r="7" spans="1:10" s="183" customFormat="1" ht="18.75" x14ac:dyDescent="0.3">
      <c r="B7" s="175">
        <v>4800361390804</v>
      </c>
      <c r="C7" s="176" t="s">
        <v>2187</v>
      </c>
      <c r="D7" s="177">
        <v>10</v>
      </c>
      <c r="E7" s="178" t="s">
        <v>3956</v>
      </c>
      <c r="F7" s="184">
        <v>44.78</v>
      </c>
      <c r="G7" s="185">
        <v>59.5</v>
      </c>
      <c r="H7" s="186">
        <v>1</v>
      </c>
      <c r="I7" s="186">
        <f t="shared" si="0"/>
        <v>59.5</v>
      </c>
      <c r="J7" s="187">
        <f t="shared" si="1"/>
        <v>9</v>
      </c>
    </row>
    <row r="8" spans="1:10" s="183" customFormat="1" ht="18.75" x14ac:dyDescent="0.3">
      <c r="B8" s="175">
        <v>4800361393645</v>
      </c>
      <c r="C8" s="176" t="s">
        <v>1779</v>
      </c>
      <c r="D8" s="177">
        <v>5</v>
      </c>
      <c r="E8" s="178" t="s">
        <v>3956</v>
      </c>
      <c r="F8" s="184">
        <v>50.43</v>
      </c>
      <c r="G8" s="185">
        <v>58</v>
      </c>
      <c r="H8" s="186"/>
      <c r="I8" s="186">
        <f t="shared" si="0"/>
        <v>0</v>
      </c>
      <c r="J8" s="187">
        <f t="shared" si="1"/>
        <v>5</v>
      </c>
    </row>
    <row r="9" spans="1:10" s="183" customFormat="1" ht="18.75" x14ac:dyDescent="0.3">
      <c r="B9" s="175">
        <v>4800154013057</v>
      </c>
      <c r="C9" s="176" t="s">
        <v>3957</v>
      </c>
      <c r="D9" s="177">
        <v>27</v>
      </c>
      <c r="E9" s="178" t="s">
        <v>3956</v>
      </c>
      <c r="F9" s="184">
        <v>32.1</v>
      </c>
      <c r="G9" s="185">
        <v>38.25</v>
      </c>
      <c r="H9" s="186"/>
      <c r="I9" s="186">
        <f t="shared" si="0"/>
        <v>0</v>
      </c>
      <c r="J9" s="187">
        <f t="shared" si="1"/>
        <v>27</v>
      </c>
    </row>
    <row r="10" spans="1:10" s="183" customFormat="1" ht="19.5" thickBot="1" x14ac:dyDescent="0.35">
      <c r="B10" s="188" t="s">
        <v>3958</v>
      </c>
      <c r="C10" s="176" t="s">
        <v>3959</v>
      </c>
      <c r="D10" s="189">
        <v>14</v>
      </c>
      <c r="E10" s="178" t="s">
        <v>3956</v>
      </c>
      <c r="F10" s="184">
        <v>6</v>
      </c>
      <c r="G10" s="185">
        <v>20</v>
      </c>
      <c r="H10" s="190"/>
      <c r="I10" s="190">
        <f t="shared" si="0"/>
        <v>0</v>
      </c>
      <c r="J10" s="191">
        <f t="shared" si="1"/>
        <v>14</v>
      </c>
    </row>
    <row r="11" spans="1:10" ht="13.5" thickBot="1" x14ac:dyDescent="0.25">
      <c r="D11" s="192">
        <f>SUM(D4:D10)</f>
        <v>74</v>
      </c>
      <c r="H11" s="193" t="s">
        <v>0</v>
      </c>
      <c r="I11" s="194">
        <f>SUM(I4:I10)</f>
        <v>374.25</v>
      </c>
      <c r="J11" s="195">
        <f>SUM(J4:J10)</f>
        <v>68</v>
      </c>
    </row>
    <row r="13" spans="1:10" x14ac:dyDescent="0.2">
      <c r="B13" s="196" t="s">
        <v>3960</v>
      </c>
    </row>
    <row r="14" spans="1:10" x14ac:dyDescent="0.2">
      <c r="B14" s="197">
        <v>46234</v>
      </c>
      <c r="C14" s="269" t="s">
        <v>6282</v>
      </c>
      <c r="D14" s="269"/>
      <c r="E14" s="269"/>
      <c r="F14" s="172" t="s">
        <v>3962</v>
      </c>
      <c r="G14" s="172" t="s">
        <v>3963</v>
      </c>
    </row>
    <row r="15" spans="1:10" x14ac:dyDescent="0.2">
      <c r="B15" s="197"/>
      <c r="C15" s="198"/>
      <c r="F15" s="172"/>
      <c r="G15" s="172"/>
    </row>
    <row r="16" spans="1:10" ht="15" x14ac:dyDescent="0.25">
      <c r="B16" s="199"/>
      <c r="C16" s="198" t="s">
        <v>17</v>
      </c>
      <c r="F16" s="91">
        <f>I11</f>
        <v>374.25</v>
      </c>
      <c r="G16" s="91"/>
    </row>
    <row r="17" spans="2:7" x14ac:dyDescent="0.2">
      <c r="B17" s="200"/>
      <c r="C17" s="198" t="s">
        <v>3964</v>
      </c>
      <c r="F17" s="91"/>
      <c r="G17" s="91">
        <f>I11</f>
        <v>374.25</v>
      </c>
    </row>
    <row r="19" spans="2:7" x14ac:dyDescent="0.2">
      <c r="B19" s="201"/>
      <c r="C19" s="198"/>
    </row>
    <row r="20" spans="2:7" x14ac:dyDescent="0.2">
      <c r="C20" s="198"/>
    </row>
  </sheetData>
  <mergeCells count="4">
    <mergeCell ref="A1:C1"/>
    <mergeCell ref="H2:I2"/>
    <mergeCell ref="J2:J3"/>
    <mergeCell ref="C14:E14"/>
  </mergeCells>
  <pageMargins left="0.7" right="0.7" top="0.75" bottom="0.75" header="0.3" footer="0.3"/>
  <pageSetup scale="67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D4B1-98E5-4A65-A9DE-53FDF6A12CC1}">
  <sheetPr>
    <tabColor rgb="FFFFFFCC"/>
  </sheetPr>
  <dimension ref="A1:M189"/>
  <sheetViews>
    <sheetView topLeftCell="A52" zoomScale="70" zoomScaleNormal="70" workbookViewId="0">
      <selection activeCell="M177" sqref="M177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6283</v>
      </c>
      <c r="E3" s="58">
        <f>+E175</f>
        <v>8014</v>
      </c>
      <c r="H3" s="59">
        <f>H175</f>
        <v>5047</v>
      </c>
      <c r="I3" s="59">
        <f>I175</f>
        <v>113826.49999999996</v>
      </c>
      <c r="J3" s="59">
        <f>J175</f>
        <v>0</v>
      </c>
      <c r="K3" s="60">
        <f>K175</f>
        <v>118873.49999999996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 t="s">
        <v>6284</v>
      </c>
      <c r="B6" s="117" t="s">
        <v>6287</v>
      </c>
      <c r="C6" s="117" t="s">
        <v>6289</v>
      </c>
      <c r="D6" s="118" t="s">
        <v>1351</v>
      </c>
      <c r="E6" s="117">
        <v>1</v>
      </c>
      <c r="F6" s="133">
        <v>14.5</v>
      </c>
      <c r="G6" s="133">
        <v>20</v>
      </c>
      <c r="H6" s="109">
        <v>20</v>
      </c>
      <c r="I6" s="109"/>
      <c r="J6" s="110"/>
      <c r="K6" s="110">
        <f>H6+I6-J6</f>
        <v>20</v>
      </c>
      <c r="L6" s="120">
        <f>E6*F6</f>
        <v>14.5</v>
      </c>
      <c r="M6" s="113"/>
    </row>
    <row r="7" spans="1:13" s="114" customFormat="1" ht="14.25" customHeight="1" x14ac:dyDescent="0.2">
      <c r="A7" s="106" t="s">
        <v>6284</v>
      </c>
      <c r="B7" s="105" t="s">
        <v>1765</v>
      </c>
      <c r="C7" s="117" t="s">
        <v>6289</v>
      </c>
      <c r="D7" s="107" t="s">
        <v>1767</v>
      </c>
      <c r="E7" s="105">
        <v>6</v>
      </c>
      <c r="F7" s="134">
        <v>6.5</v>
      </c>
      <c r="G7" s="134">
        <v>10</v>
      </c>
      <c r="H7" s="109">
        <v>60</v>
      </c>
      <c r="I7" s="109"/>
      <c r="J7" s="110"/>
      <c r="K7" s="110">
        <f t="shared" ref="K7:K70" si="0">H7+I7-J7</f>
        <v>60</v>
      </c>
      <c r="L7" s="120">
        <f>E7*F7</f>
        <v>39</v>
      </c>
      <c r="M7" s="113"/>
    </row>
    <row r="8" spans="1:13" s="114" customFormat="1" ht="14.25" customHeight="1" x14ac:dyDescent="0.2">
      <c r="A8" s="106" t="s">
        <v>6284</v>
      </c>
      <c r="B8" s="105" t="s">
        <v>1475</v>
      </c>
      <c r="C8" s="117" t="s">
        <v>6290</v>
      </c>
      <c r="D8" s="107" t="s">
        <v>20</v>
      </c>
      <c r="E8" s="105">
        <v>10</v>
      </c>
      <c r="F8" s="134">
        <v>84</v>
      </c>
      <c r="G8" s="134">
        <v>157</v>
      </c>
      <c r="H8" s="109">
        <v>1570</v>
      </c>
      <c r="I8" s="109"/>
      <c r="J8" s="110"/>
      <c r="K8" s="110">
        <f t="shared" si="0"/>
        <v>1570</v>
      </c>
      <c r="L8" s="120">
        <f t="shared" ref="L8:L71" si="1">E8*F8</f>
        <v>840</v>
      </c>
      <c r="M8" s="113"/>
    </row>
    <row r="9" spans="1:13" s="114" customFormat="1" ht="14.25" customHeight="1" x14ac:dyDescent="0.2">
      <c r="A9" s="106" t="s">
        <v>6284</v>
      </c>
      <c r="B9" s="105" t="s">
        <v>1474</v>
      </c>
      <c r="C9" s="117" t="s">
        <v>6290</v>
      </c>
      <c r="D9" s="107" t="s">
        <v>23</v>
      </c>
      <c r="E9" s="105">
        <v>5</v>
      </c>
      <c r="F9" s="134">
        <v>99.3</v>
      </c>
      <c r="G9" s="134">
        <v>175</v>
      </c>
      <c r="H9" s="109">
        <v>875</v>
      </c>
      <c r="I9" s="109"/>
      <c r="J9" s="110"/>
      <c r="K9" s="110">
        <f t="shared" si="0"/>
        <v>875</v>
      </c>
      <c r="L9" s="120">
        <f t="shared" si="1"/>
        <v>496.5</v>
      </c>
      <c r="M9" s="113"/>
    </row>
    <row r="10" spans="1:13" s="114" customFormat="1" ht="14.25" customHeight="1" x14ac:dyDescent="0.2">
      <c r="A10" s="106" t="s">
        <v>6285</v>
      </c>
      <c r="B10" s="105" t="s">
        <v>1765</v>
      </c>
      <c r="C10" s="105" t="s">
        <v>6291</v>
      </c>
      <c r="D10" s="107" t="s">
        <v>1767</v>
      </c>
      <c r="E10" s="105">
        <v>3</v>
      </c>
      <c r="F10" s="134">
        <v>6.5</v>
      </c>
      <c r="G10" s="134">
        <v>10</v>
      </c>
      <c r="H10" s="109">
        <v>30</v>
      </c>
      <c r="I10" s="109"/>
      <c r="J10" s="110"/>
      <c r="K10" s="110">
        <f t="shared" si="0"/>
        <v>30</v>
      </c>
      <c r="L10" s="120">
        <f t="shared" si="1"/>
        <v>19.5</v>
      </c>
      <c r="M10" s="113"/>
    </row>
    <row r="11" spans="1:13" s="114" customFormat="1" ht="14.25" customHeight="1" x14ac:dyDescent="0.2">
      <c r="A11" s="106" t="s">
        <v>6286</v>
      </c>
      <c r="B11" s="105" t="s">
        <v>1518</v>
      </c>
      <c r="C11" s="105" t="s">
        <v>6292</v>
      </c>
      <c r="D11" s="107" t="s">
        <v>1262</v>
      </c>
      <c r="E11" s="105">
        <v>20</v>
      </c>
      <c r="F11" s="134">
        <v>12</v>
      </c>
      <c r="G11" s="134">
        <v>15.75</v>
      </c>
      <c r="H11" s="109"/>
      <c r="I11" s="109">
        <f t="shared" ref="I11:I74" si="2">E11*G11</f>
        <v>315</v>
      </c>
      <c r="J11" s="110"/>
      <c r="K11" s="110">
        <f t="shared" si="0"/>
        <v>315</v>
      </c>
      <c r="L11" s="120">
        <f t="shared" si="1"/>
        <v>240</v>
      </c>
      <c r="M11" s="113"/>
    </row>
    <row r="12" spans="1:13" s="114" customFormat="1" ht="14.25" customHeight="1" x14ac:dyDescent="0.2">
      <c r="A12" s="106" t="s">
        <v>6286</v>
      </c>
      <c r="B12" s="105" t="s">
        <v>1459</v>
      </c>
      <c r="C12" s="105" t="s">
        <v>6292</v>
      </c>
      <c r="D12" s="107" t="s">
        <v>1259</v>
      </c>
      <c r="E12" s="105">
        <v>2</v>
      </c>
      <c r="F12" s="134">
        <v>40</v>
      </c>
      <c r="G12" s="134">
        <v>52</v>
      </c>
      <c r="H12" s="109"/>
      <c r="I12" s="109">
        <f t="shared" si="2"/>
        <v>104</v>
      </c>
      <c r="J12" s="110"/>
      <c r="K12" s="110">
        <f t="shared" si="0"/>
        <v>104</v>
      </c>
      <c r="L12" s="120">
        <f t="shared" si="1"/>
        <v>80</v>
      </c>
      <c r="M12" s="113"/>
    </row>
    <row r="13" spans="1:13" s="114" customFormat="1" ht="14.25" customHeight="1" x14ac:dyDescent="0.2">
      <c r="A13" s="106" t="s">
        <v>6286</v>
      </c>
      <c r="B13" s="105" t="s">
        <v>1456</v>
      </c>
      <c r="C13" s="105" t="s">
        <v>6292</v>
      </c>
      <c r="D13" s="107" t="s">
        <v>21</v>
      </c>
      <c r="E13" s="105">
        <v>5</v>
      </c>
      <c r="F13" s="134">
        <v>148.9</v>
      </c>
      <c r="G13" s="134">
        <v>237</v>
      </c>
      <c r="H13" s="109"/>
      <c r="I13" s="109">
        <f t="shared" si="2"/>
        <v>1185</v>
      </c>
      <c r="J13" s="110"/>
      <c r="K13" s="110">
        <f t="shared" si="0"/>
        <v>1185</v>
      </c>
      <c r="L13" s="120">
        <f t="shared" si="1"/>
        <v>744.5</v>
      </c>
      <c r="M13" s="113"/>
    </row>
    <row r="14" spans="1:13" s="114" customFormat="1" ht="14.25" customHeight="1" x14ac:dyDescent="0.2">
      <c r="A14" s="106" t="s">
        <v>6286</v>
      </c>
      <c r="B14" s="105" t="s">
        <v>1458</v>
      </c>
      <c r="C14" s="105" t="s">
        <v>6292</v>
      </c>
      <c r="D14" s="107" t="s">
        <v>22</v>
      </c>
      <c r="E14" s="105">
        <v>5</v>
      </c>
      <c r="F14" s="134">
        <v>126</v>
      </c>
      <c r="G14" s="134">
        <v>201</v>
      </c>
      <c r="H14" s="109"/>
      <c r="I14" s="109">
        <f t="shared" si="2"/>
        <v>1005</v>
      </c>
      <c r="J14" s="110"/>
      <c r="K14" s="110">
        <f t="shared" si="0"/>
        <v>1005</v>
      </c>
      <c r="L14" s="120">
        <f t="shared" si="1"/>
        <v>630</v>
      </c>
      <c r="M14" s="113"/>
    </row>
    <row r="15" spans="1:13" s="114" customFormat="1" ht="14.25" customHeight="1" x14ac:dyDescent="0.2">
      <c r="A15" s="106" t="s">
        <v>6286</v>
      </c>
      <c r="B15" s="105" t="s">
        <v>1553</v>
      </c>
      <c r="C15" s="105" t="s">
        <v>6293</v>
      </c>
      <c r="D15" s="107" t="s">
        <v>1263</v>
      </c>
      <c r="E15" s="105">
        <v>5</v>
      </c>
      <c r="F15" s="134">
        <v>24</v>
      </c>
      <c r="G15" s="134">
        <v>31.25</v>
      </c>
      <c r="H15" s="109"/>
      <c r="I15" s="109">
        <f t="shared" si="2"/>
        <v>156.25</v>
      </c>
      <c r="J15" s="110"/>
      <c r="K15" s="110">
        <f t="shared" si="0"/>
        <v>156.25</v>
      </c>
      <c r="L15" s="120">
        <f t="shared" si="1"/>
        <v>120</v>
      </c>
      <c r="M15" s="113"/>
    </row>
    <row r="16" spans="1:13" s="114" customFormat="1" ht="14.25" customHeight="1" x14ac:dyDescent="0.2">
      <c r="A16" s="106" t="s">
        <v>6286</v>
      </c>
      <c r="B16" s="105" t="s">
        <v>1475</v>
      </c>
      <c r="C16" s="105" t="s">
        <v>6293</v>
      </c>
      <c r="D16" s="107" t="s">
        <v>20</v>
      </c>
      <c r="E16" s="105">
        <v>2</v>
      </c>
      <c r="F16" s="134">
        <v>84</v>
      </c>
      <c r="G16" s="134">
        <v>157</v>
      </c>
      <c r="H16" s="109"/>
      <c r="I16" s="109">
        <f t="shared" si="2"/>
        <v>314</v>
      </c>
      <c r="J16" s="110"/>
      <c r="K16" s="110">
        <f t="shared" si="0"/>
        <v>314</v>
      </c>
      <c r="L16" s="120">
        <f t="shared" si="1"/>
        <v>168</v>
      </c>
      <c r="M16" s="113"/>
    </row>
    <row r="17" spans="1:13" s="114" customFormat="1" ht="14.25" customHeight="1" x14ac:dyDescent="0.2">
      <c r="A17" s="106" t="s">
        <v>6286</v>
      </c>
      <c r="B17" s="105" t="s">
        <v>1474</v>
      </c>
      <c r="C17" s="105" t="s">
        <v>6293</v>
      </c>
      <c r="D17" s="107" t="s">
        <v>23</v>
      </c>
      <c r="E17" s="105">
        <v>1</v>
      </c>
      <c r="F17" s="134">
        <v>99.3</v>
      </c>
      <c r="G17" s="134">
        <v>175</v>
      </c>
      <c r="H17" s="109"/>
      <c r="I17" s="109">
        <f t="shared" si="2"/>
        <v>175</v>
      </c>
      <c r="J17" s="110"/>
      <c r="K17" s="110">
        <f t="shared" si="0"/>
        <v>175</v>
      </c>
      <c r="L17" s="120">
        <f t="shared" si="1"/>
        <v>99.3</v>
      </c>
      <c r="M17" s="113"/>
    </row>
    <row r="18" spans="1:13" s="114" customFormat="1" ht="14.25" customHeight="1" x14ac:dyDescent="0.2">
      <c r="A18" s="106" t="s">
        <v>6286</v>
      </c>
      <c r="B18" s="105" t="s">
        <v>1507</v>
      </c>
      <c r="C18" s="105" t="s">
        <v>6293</v>
      </c>
      <c r="D18" s="107" t="s">
        <v>1252</v>
      </c>
      <c r="E18" s="105">
        <v>1</v>
      </c>
      <c r="F18" s="134">
        <v>30</v>
      </c>
      <c r="G18" s="134">
        <v>39</v>
      </c>
      <c r="H18" s="109"/>
      <c r="I18" s="109">
        <f t="shared" si="2"/>
        <v>39</v>
      </c>
      <c r="J18" s="110"/>
      <c r="K18" s="110">
        <f t="shared" si="0"/>
        <v>39</v>
      </c>
      <c r="L18" s="120">
        <f t="shared" si="1"/>
        <v>30</v>
      </c>
      <c r="M18" s="113"/>
    </row>
    <row r="19" spans="1:13" s="114" customFormat="1" ht="14.25" customHeight="1" x14ac:dyDescent="0.2">
      <c r="A19" s="106" t="s">
        <v>6286</v>
      </c>
      <c r="B19" s="105" t="s">
        <v>1765</v>
      </c>
      <c r="C19" s="105" t="s">
        <v>6293</v>
      </c>
      <c r="D19" s="107" t="s">
        <v>1767</v>
      </c>
      <c r="E19" s="105">
        <v>10</v>
      </c>
      <c r="F19" s="134">
        <v>6.5</v>
      </c>
      <c r="G19" s="134">
        <v>10</v>
      </c>
      <c r="H19" s="109"/>
      <c r="I19" s="109">
        <f t="shared" si="2"/>
        <v>100</v>
      </c>
      <c r="J19" s="110"/>
      <c r="K19" s="110">
        <f t="shared" si="0"/>
        <v>100</v>
      </c>
      <c r="L19" s="120">
        <f t="shared" si="1"/>
        <v>65</v>
      </c>
      <c r="M19" s="113"/>
    </row>
    <row r="20" spans="1:13" s="114" customFormat="1" ht="14.25" customHeight="1" x14ac:dyDescent="0.2">
      <c r="A20" s="106" t="s">
        <v>6286</v>
      </c>
      <c r="B20" s="105" t="s">
        <v>1453</v>
      </c>
      <c r="C20" s="105" t="s">
        <v>6294</v>
      </c>
      <c r="D20" s="107" t="s">
        <v>26</v>
      </c>
      <c r="E20" s="105">
        <v>3</v>
      </c>
      <c r="F20" s="134">
        <v>167.8</v>
      </c>
      <c r="G20" s="134">
        <v>360</v>
      </c>
      <c r="H20" s="109"/>
      <c r="I20" s="109">
        <f t="shared" si="2"/>
        <v>1080</v>
      </c>
      <c r="J20" s="110"/>
      <c r="K20" s="110">
        <f t="shared" si="0"/>
        <v>1080</v>
      </c>
      <c r="L20" s="120">
        <f t="shared" si="1"/>
        <v>503.40000000000003</v>
      </c>
      <c r="M20" s="113"/>
    </row>
    <row r="21" spans="1:13" s="114" customFormat="1" ht="14.25" customHeight="1" x14ac:dyDescent="0.2">
      <c r="A21" s="106" t="s">
        <v>6286</v>
      </c>
      <c r="B21" s="105" t="s">
        <v>1455</v>
      </c>
      <c r="C21" s="105" t="s">
        <v>6294</v>
      </c>
      <c r="D21" s="107" t="s">
        <v>25</v>
      </c>
      <c r="E21" s="105">
        <v>4</v>
      </c>
      <c r="F21" s="134">
        <v>115.85</v>
      </c>
      <c r="G21" s="134">
        <v>280</v>
      </c>
      <c r="H21" s="109"/>
      <c r="I21" s="109">
        <f t="shared" si="2"/>
        <v>1120</v>
      </c>
      <c r="J21" s="110"/>
      <c r="K21" s="110">
        <f t="shared" si="0"/>
        <v>1120</v>
      </c>
      <c r="L21" s="120">
        <f t="shared" si="1"/>
        <v>463.4</v>
      </c>
      <c r="M21" s="113"/>
    </row>
    <row r="22" spans="1:13" s="114" customFormat="1" ht="14.25" customHeight="1" x14ac:dyDescent="0.2">
      <c r="A22" s="106" t="s">
        <v>6286</v>
      </c>
      <c r="B22" s="105" t="s">
        <v>1592</v>
      </c>
      <c r="C22" s="105" t="s">
        <v>6294</v>
      </c>
      <c r="D22" s="107" t="s">
        <v>1341</v>
      </c>
      <c r="E22" s="105">
        <v>250</v>
      </c>
      <c r="F22" s="134">
        <v>1.5</v>
      </c>
      <c r="G22" s="134">
        <v>3.5</v>
      </c>
      <c r="H22" s="109"/>
      <c r="I22" s="109">
        <f t="shared" si="2"/>
        <v>875</v>
      </c>
      <c r="J22" s="110"/>
      <c r="K22" s="110">
        <f t="shared" si="0"/>
        <v>875</v>
      </c>
      <c r="L22" s="120">
        <f t="shared" si="1"/>
        <v>375</v>
      </c>
      <c r="M22" s="113"/>
    </row>
    <row r="23" spans="1:13" s="114" customFormat="1" ht="14.25" customHeight="1" x14ac:dyDescent="0.2">
      <c r="A23" s="106" t="s">
        <v>6286</v>
      </c>
      <c r="B23" s="105" t="s">
        <v>4991</v>
      </c>
      <c r="C23" s="105" t="s">
        <v>6295</v>
      </c>
      <c r="D23" s="107" t="s">
        <v>4996</v>
      </c>
      <c r="E23" s="105">
        <v>12</v>
      </c>
      <c r="F23" s="134">
        <v>23</v>
      </c>
      <c r="G23" s="134">
        <v>30</v>
      </c>
      <c r="H23" s="109"/>
      <c r="I23" s="109">
        <f t="shared" si="2"/>
        <v>360</v>
      </c>
      <c r="J23" s="110"/>
      <c r="K23" s="110">
        <f t="shared" si="0"/>
        <v>360</v>
      </c>
      <c r="L23" s="120">
        <f t="shared" si="1"/>
        <v>276</v>
      </c>
      <c r="M23" s="113"/>
    </row>
    <row r="24" spans="1:13" s="114" customFormat="1" ht="14.25" customHeight="1" x14ac:dyDescent="0.2">
      <c r="A24" s="106" t="s">
        <v>6286</v>
      </c>
      <c r="B24" s="105" t="s">
        <v>1458</v>
      </c>
      <c r="C24" s="105" t="s">
        <v>6295</v>
      </c>
      <c r="D24" s="107" t="s">
        <v>22</v>
      </c>
      <c r="E24" s="105">
        <v>10</v>
      </c>
      <c r="F24" s="134">
        <v>126</v>
      </c>
      <c r="G24" s="134">
        <v>201</v>
      </c>
      <c r="H24" s="109"/>
      <c r="I24" s="109">
        <f t="shared" si="2"/>
        <v>2010</v>
      </c>
      <c r="J24" s="110"/>
      <c r="K24" s="110">
        <f t="shared" si="0"/>
        <v>2010</v>
      </c>
      <c r="L24" s="120">
        <f t="shared" si="1"/>
        <v>1260</v>
      </c>
      <c r="M24" s="113"/>
    </row>
    <row r="25" spans="1:13" s="114" customFormat="1" ht="14.25" customHeight="1" x14ac:dyDescent="0.2">
      <c r="A25" s="106" t="s">
        <v>6286</v>
      </c>
      <c r="B25" s="105" t="s">
        <v>6288</v>
      </c>
      <c r="C25" s="105" t="s">
        <v>6296</v>
      </c>
      <c r="D25" s="107" t="s">
        <v>6297</v>
      </c>
      <c r="E25" s="105">
        <v>1</v>
      </c>
      <c r="F25" s="134">
        <v>95.75</v>
      </c>
      <c r="G25" s="134">
        <v>175</v>
      </c>
      <c r="H25" s="109">
        <v>175</v>
      </c>
      <c r="I25" s="109"/>
      <c r="J25" s="110"/>
      <c r="K25" s="110">
        <f t="shared" si="0"/>
        <v>175</v>
      </c>
      <c r="L25" s="120">
        <f t="shared" si="1"/>
        <v>95.75</v>
      </c>
      <c r="M25" s="113"/>
    </row>
    <row r="26" spans="1:13" s="114" customFormat="1" ht="14.25" customHeight="1" x14ac:dyDescent="0.2">
      <c r="A26" s="106" t="s">
        <v>6286</v>
      </c>
      <c r="B26" s="105" t="s">
        <v>1475</v>
      </c>
      <c r="C26" s="105" t="s">
        <v>6296</v>
      </c>
      <c r="D26" s="107" t="s">
        <v>20</v>
      </c>
      <c r="E26" s="105">
        <v>1</v>
      </c>
      <c r="F26" s="134">
        <v>84</v>
      </c>
      <c r="G26" s="134">
        <v>157</v>
      </c>
      <c r="H26" s="109">
        <v>157</v>
      </c>
      <c r="I26" s="109"/>
      <c r="J26" s="110"/>
      <c r="K26" s="110">
        <f t="shared" si="0"/>
        <v>157</v>
      </c>
      <c r="L26" s="120">
        <f t="shared" si="1"/>
        <v>84</v>
      </c>
      <c r="M26" s="113"/>
    </row>
    <row r="27" spans="1:13" s="114" customFormat="1" ht="14.25" customHeight="1" x14ac:dyDescent="0.2">
      <c r="A27" s="106" t="s">
        <v>6759</v>
      </c>
      <c r="B27" s="105" t="s">
        <v>1503</v>
      </c>
      <c r="C27" s="105" t="s">
        <v>6761</v>
      </c>
      <c r="D27" s="107" t="s">
        <v>1344</v>
      </c>
      <c r="E27" s="105">
        <v>2</v>
      </c>
      <c r="F27" s="134">
        <v>167.8</v>
      </c>
      <c r="G27" s="134">
        <v>460</v>
      </c>
      <c r="H27" s="109"/>
      <c r="I27" s="109">
        <f t="shared" si="2"/>
        <v>920</v>
      </c>
      <c r="J27" s="110"/>
      <c r="K27" s="110">
        <f t="shared" si="0"/>
        <v>920</v>
      </c>
      <c r="L27" s="120">
        <f t="shared" si="1"/>
        <v>335.6</v>
      </c>
      <c r="M27" s="113"/>
    </row>
    <row r="28" spans="1:13" s="114" customFormat="1" ht="14.25" customHeight="1" x14ac:dyDescent="0.2">
      <c r="A28" s="106" t="s">
        <v>6759</v>
      </c>
      <c r="B28" s="105" t="s">
        <v>1689</v>
      </c>
      <c r="C28" s="105" t="s">
        <v>6762</v>
      </c>
      <c r="D28" s="107" t="s">
        <v>1702</v>
      </c>
      <c r="E28" s="105">
        <v>1</v>
      </c>
      <c r="F28" s="134">
        <v>10</v>
      </c>
      <c r="G28" s="134">
        <v>200</v>
      </c>
      <c r="H28" s="109"/>
      <c r="I28" s="109">
        <f t="shared" si="2"/>
        <v>200</v>
      </c>
      <c r="J28" s="110"/>
      <c r="K28" s="110">
        <f t="shared" si="0"/>
        <v>200</v>
      </c>
      <c r="L28" s="120">
        <f t="shared" si="1"/>
        <v>10</v>
      </c>
      <c r="M28" s="113"/>
    </row>
    <row r="29" spans="1:13" s="114" customFormat="1" ht="14.25" customHeight="1" x14ac:dyDescent="0.2">
      <c r="A29" s="106" t="s">
        <v>6759</v>
      </c>
      <c r="B29" s="105" t="s">
        <v>6760</v>
      </c>
      <c r="C29" s="105" t="s">
        <v>6763</v>
      </c>
      <c r="D29" s="107" t="s">
        <v>6766</v>
      </c>
      <c r="E29" s="105">
        <v>7000</v>
      </c>
      <c r="F29" s="134">
        <v>0.92857142857142805</v>
      </c>
      <c r="G29" s="134">
        <v>1.28571428571428</v>
      </c>
      <c r="H29" s="109"/>
      <c r="I29" s="109">
        <f t="shared" si="2"/>
        <v>8999.99999999996</v>
      </c>
      <c r="J29" s="110"/>
      <c r="K29" s="110">
        <f t="shared" si="0"/>
        <v>8999.99999999996</v>
      </c>
      <c r="L29" s="120">
        <f t="shared" si="1"/>
        <v>6499.9999999999964</v>
      </c>
      <c r="M29" s="113"/>
    </row>
    <row r="30" spans="1:13" s="114" customFormat="1" ht="14.25" customHeight="1" x14ac:dyDescent="0.2">
      <c r="A30" s="106" t="s">
        <v>6759</v>
      </c>
      <c r="B30" s="105" t="s">
        <v>1453</v>
      </c>
      <c r="C30" s="105" t="s">
        <v>6764</v>
      </c>
      <c r="D30" s="107" t="s">
        <v>26</v>
      </c>
      <c r="E30" s="105">
        <v>5</v>
      </c>
      <c r="F30" s="134">
        <v>167.8</v>
      </c>
      <c r="G30" s="134">
        <v>360</v>
      </c>
      <c r="H30" s="109"/>
      <c r="I30" s="109">
        <f t="shared" si="2"/>
        <v>1800</v>
      </c>
      <c r="J30" s="110"/>
      <c r="K30" s="110">
        <f t="shared" si="0"/>
        <v>1800</v>
      </c>
      <c r="L30" s="120">
        <f t="shared" si="1"/>
        <v>839</v>
      </c>
      <c r="M30" s="113"/>
    </row>
    <row r="31" spans="1:13" s="114" customFormat="1" ht="14.25" customHeight="1" x14ac:dyDescent="0.2">
      <c r="A31" s="106" t="s">
        <v>6759</v>
      </c>
      <c r="B31" s="105" t="s">
        <v>1455</v>
      </c>
      <c r="C31" s="105" t="s">
        <v>6764</v>
      </c>
      <c r="D31" s="107" t="s">
        <v>25</v>
      </c>
      <c r="E31" s="105">
        <v>2</v>
      </c>
      <c r="F31" s="134">
        <v>115.85</v>
      </c>
      <c r="G31" s="134">
        <v>280</v>
      </c>
      <c r="H31" s="109"/>
      <c r="I31" s="109">
        <f t="shared" si="2"/>
        <v>560</v>
      </c>
      <c r="J31" s="110"/>
      <c r="K31" s="110">
        <f t="shared" si="0"/>
        <v>560</v>
      </c>
      <c r="L31" s="120">
        <f t="shared" si="1"/>
        <v>231.7</v>
      </c>
      <c r="M31" s="113"/>
    </row>
    <row r="32" spans="1:13" s="114" customFormat="1" ht="14.25" customHeight="1" x14ac:dyDescent="0.2">
      <c r="A32" s="106" t="s">
        <v>6759</v>
      </c>
      <c r="B32" s="105" t="s">
        <v>1503</v>
      </c>
      <c r="C32" s="105" t="s">
        <v>6764</v>
      </c>
      <c r="D32" s="107" t="s">
        <v>1344</v>
      </c>
      <c r="E32" s="105">
        <v>3</v>
      </c>
      <c r="F32" s="134">
        <v>167.8</v>
      </c>
      <c r="G32" s="134">
        <v>460</v>
      </c>
      <c r="H32" s="109"/>
      <c r="I32" s="109">
        <f t="shared" si="2"/>
        <v>1380</v>
      </c>
      <c r="J32" s="110"/>
      <c r="K32" s="110">
        <f t="shared" si="0"/>
        <v>1380</v>
      </c>
      <c r="L32" s="120">
        <f t="shared" si="1"/>
        <v>503.40000000000003</v>
      </c>
      <c r="M32" s="113"/>
    </row>
    <row r="33" spans="1:13" s="114" customFormat="1" ht="14.25" customHeight="1" x14ac:dyDescent="0.2">
      <c r="A33" s="106" t="s">
        <v>6759</v>
      </c>
      <c r="B33" s="105" t="s">
        <v>1606</v>
      </c>
      <c r="C33" s="105" t="s">
        <v>6765</v>
      </c>
      <c r="D33" s="107" t="s">
        <v>1353</v>
      </c>
      <c r="E33" s="105">
        <v>10</v>
      </c>
      <c r="F33" s="134">
        <v>17</v>
      </c>
      <c r="G33" s="134">
        <v>31</v>
      </c>
      <c r="H33" s="109"/>
      <c r="I33" s="109">
        <f t="shared" si="2"/>
        <v>310</v>
      </c>
      <c r="J33" s="110"/>
      <c r="K33" s="110">
        <f t="shared" si="0"/>
        <v>310</v>
      </c>
      <c r="L33" s="120">
        <f t="shared" si="1"/>
        <v>170</v>
      </c>
      <c r="M33" s="113"/>
    </row>
    <row r="34" spans="1:13" s="114" customFormat="1" ht="14.25" customHeight="1" x14ac:dyDescent="0.2">
      <c r="A34" s="106" t="s">
        <v>6759</v>
      </c>
      <c r="B34" s="105" t="s">
        <v>1460</v>
      </c>
      <c r="C34" s="105" t="s">
        <v>6765</v>
      </c>
      <c r="D34" s="107" t="s">
        <v>24</v>
      </c>
      <c r="E34" s="105">
        <v>100</v>
      </c>
      <c r="F34" s="134">
        <v>2.7</v>
      </c>
      <c r="G34" s="134">
        <v>8</v>
      </c>
      <c r="H34" s="109"/>
      <c r="I34" s="109">
        <f t="shared" si="2"/>
        <v>800</v>
      </c>
      <c r="J34" s="110"/>
      <c r="K34" s="110">
        <f t="shared" si="0"/>
        <v>800</v>
      </c>
      <c r="L34" s="120">
        <f t="shared" si="1"/>
        <v>270</v>
      </c>
      <c r="M34" s="113"/>
    </row>
    <row r="35" spans="1:13" s="114" customFormat="1" ht="14.25" customHeight="1" x14ac:dyDescent="0.2">
      <c r="A35" s="106" t="s">
        <v>6759</v>
      </c>
      <c r="B35" s="105" t="s">
        <v>1461</v>
      </c>
      <c r="C35" s="105" t="s">
        <v>6765</v>
      </c>
      <c r="D35" s="107" t="s">
        <v>1399</v>
      </c>
      <c r="E35" s="105">
        <v>100</v>
      </c>
      <c r="F35" s="134">
        <v>3.1</v>
      </c>
      <c r="G35" s="134">
        <v>5</v>
      </c>
      <c r="H35" s="109"/>
      <c r="I35" s="109">
        <f t="shared" si="2"/>
        <v>500</v>
      </c>
      <c r="J35" s="110"/>
      <c r="K35" s="110">
        <f t="shared" si="0"/>
        <v>500</v>
      </c>
      <c r="L35" s="120">
        <f t="shared" si="1"/>
        <v>310</v>
      </c>
      <c r="M35" s="113"/>
    </row>
    <row r="36" spans="1:13" s="114" customFormat="1" ht="14.25" customHeight="1" x14ac:dyDescent="0.2">
      <c r="A36" s="106" t="s">
        <v>6854</v>
      </c>
      <c r="B36" s="105" t="s">
        <v>1453</v>
      </c>
      <c r="C36" s="105" t="s">
        <v>6857</v>
      </c>
      <c r="D36" s="107" t="s">
        <v>26</v>
      </c>
      <c r="E36" s="105">
        <v>3</v>
      </c>
      <c r="F36" s="136">
        <v>167.8</v>
      </c>
      <c r="G36" s="136">
        <v>360</v>
      </c>
      <c r="H36" s="109"/>
      <c r="I36" s="109">
        <f t="shared" si="2"/>
        <v>1080</v>
      </c>
      <c r="J36" s="110"/>
      <c r="K36" s="110">
        <f t="shared" si="0"/>
        <v>1080</v>
      </c>
      <c r="L36" s="120">
        <f t="shared" si="1"/>
        <v>503.40000000000003</v>
      </c>
      <c r="M36" s="113"/>
    </row>
    <row r="37" spans="1:13" s="114" customFormat="1" ht="14.25" customHeight="1" x14ac:dyDescent="0.2">
      <c r="A37" s="106" t="s">
        <v>6854</v>
      </c>
      <c r="B37" s="105" t="s">
        <v>1455</v>
      </c>
      <c r="C37" s="105" t="s">
        <v>6857</v>
      </c>
      <c r="D37" s="107" t="s">
        <v>25</v>
      </c>
      <c r="E37" s="105">
        <v>8</v>
      </c>
      <c r="F37" s="136">
        <v>115.85</v>
      </c>
      <c r="G37" s="136">
        <v>280</v>
      </c>
      <c r="H37" s="109"/>
      <c r="I37" s="109">
        <f t="shared" si="2"/>
        <v>2240</v>
      </c>
      <c r="J37" s="110"/>
      <c r="K37" s="110">
        <f t="shared" si="0"/>
        <v>2240</v>
      </c>
      <c r="L37" s="120">
        <f t="shared" si="1"/>
        <v>926.8</v>
      </c>
      <c r="M37" s="113"/>
    </row>
    <row r="38" spans="1:13" s="114" customFormat="1" ht="14.25" customHeight="1" x14ac:dyDescent="0.2">
      <c r="A38" s="106" t="s">
        <v>6854</v>
      </c>
      <c r="B38" s="105" t="s">
        <v>1503</v>
      </c>
      <c r="C38" s="105" t="s">
        <v>6857</v>
      </c>
      <c r="D38" s="107" t="s">
        <v>1344</v>
      </c>
      <c r="E38" s="105">
        <v>4</v>
      </c>
      <c r="F38" s="136">
        <v>167.8</v>
      </c>
      <c r="G38" s="136">
        <v>460</v>
      </c>
      <c r="H38" s="109"/>
      <c r="I38" s="109">
        <f t="shared" si="2"/>
        <v>1840</v>
      </c>
      <c r="J38" s="110"/>
      <c r="K38" s="110">
        <f t="shared" si="0"/>
        <v>1840</v>
      </c>
      <c r="L38" s="120">
        <f t="shared" si="1"/>
        <v>671.2</v>
      </c>
      <c r="M38" s="113"/>
    </row>
    <row r="39" spans="1:13" s="114" customFormat="1" ht="14.25" customHeight="1" x14ac:dyDescent="0.2">
      <c r="A39" s="106" t="s">
        <v>6855</v>
      </c>
      <c r="B39" s="105" t="s">
        <v>1453</v>
      </c>
      <c r="C39" s="105" t="s">
        <v>6858</v>
      </c>
      <c r="D39" s="107" t="s">
        <v>26</v>
      </c>
      <c r="E39" s="105">
        <v>6</v>
      </c>
      <c r="F39" s="134">
        <v>167.8</v>
      </c>
      <c r="G39" s="134">
        <v>360</v>
      </c>
      <c r="H39" s="109">
        <v>2160</v>
      </c>
      <c r="I39" s="109"/>
      <c r="J39" s="110"/>
      <c r="K39" s="110">
        <f t="shared" si="0"/>
        <v>2160</v>
      </c>
      <c r="L39" s="120">
        <f t="shared" si="1"/>
        <v>1006.8000000000001</v>
      </c>
      <c r="M39" s="113"/>
    </row>
    <row r="40" spans="1:13" s="114" customFormat="1" ht="14.25" customHeight="1" x14ac:dyDescent="0.2">
      <c r="A40" s="106" t="s">
        <v>6856</v>
      </c>
      <c r="B40" s="105" t="s">
        <v>1455</v>
      </c>
      <c r="C40" s="105" t="s">
        <v>6859</v>
      </c>
      <c r="D40" s="107" t="s">
        <v>25</v>
      </c>
      <c r="E40" s="105">
        <v>4</v>
      </c>
      <c r="F40" s="134">
        <v>115.85</v>
      </c>
      <c r="G40" s="134">
        <v>280</v>
      </c>
      <c r="H40" s="109"/>
      <c r="I40" s="109">
        <f t="shared" si="2"/>
        <v>1120</v>
      </c>
      <c r="J40" s="110"/>
      <c r="K40" s="110">
        <f t="shared" si="0"/>
        <v>1120</v>
      </c>
      <c r="L40" s="120">
        <f t="shared" si="1"/>
        <v>463.4</v>
      </c>
      <c r="M40" s="113"/>
    </row>
    <row r="41" spans="1:13" s="114" customFormat="1" ht="14.25" customHeight="1" x14ac:dyDescent="0.2">
      <c r="A41" s="106" t="s">
        <v>6856</v>
      </c>
      <c r="B41" s="105" t="s">
        <v>1546</v>
      </c>
      <c r="C41" s="105" t="s">
        <v>6860</v>
      </c>
      <c r="D41" s="107" t="s">
        <v>1547</v>
      </c>
      <c r="E41" s="105">
        <v>2</v>
      </c>
      <c r="F41" s="134">
        <v>1032</v>
      </c>
      <c r="G41" s="134">
        <v>1550</v>
      </c>
      <c r="H41" s="109"/>
      <c r="I41" s="109">
        <f t="shared" si="2"/>
        <v>3100</v>
      </c>
      <c r="J41" s="110"/>
      <c r="K41" s="110">
        <f t="shared" si="0"/>
        <v>3100</v>
      </c>
      <c r="L41" s="120">
        <f t="shared" si="1"/>
        <v>2064</v>
      </c>
      <c r="M41" s="113"/>
    </row>
    <row r="42" spans="1:13" s="114" customFormat="1" ht="14.25" customHeight="1" x14ac:dyDescent="0.2">
      <c r="A42" s="106" t="s">
        <v>6856</v>
      </c>
      <c r="B42" s="105" t="s">
        <v>1456</v>
      </c>
      <c r="C42" s="105" t="s">
        <v>6860</v>
      </c>
      <c r="D42" s="107" t="s">
        <v>21</v>
      </c>
      <c r="E42" s="105">
        <v>10</v>
      </c>
      <c r="F42" s="134">
        <v>148.9</v>
      </c>
      <c r="G42" s="134">
        <v>237</v>
      </c>
      <c r="H42" s="109"/>
      <c r="I42" s="109">
        <f t="shared" si="2"/>
        <v>2370</v>
      </c>
      <c r="J42" s="110"/>
      <c r="K42" s="110">
        <f t="shared" si="0"/>
        <v>2370</v>
      </c>
      <c r="L42" s="120">
        <f t="shared" si="1"/>
        <v>1489</v>
      </c>
      <c r="M42" s="113"/>
    </row>
    <row r="43" spans="1:13" s="114" customFormat="1" ht="14.25" customHeight="1" x14ac:dyDescent="0.2">
      <c r="A43" s="106" t="s">
        <v>6856</v>
      </c>
      <c r="B43" s="105" t="s">
        <v>1458</v>
      </c>
      <c r="C43" s="105" t="s">
        <v>6860</v>
      </c>
      <c r="D43" s="107" t="s">
        <v>22</v>
      </c>
      <c r="E43" s="105">
        <v>10</v>
      </c>
      <c r="F43" s="134">
        <v>126</v>
      </c>
      <c r="G43" s="134">
        <v>201</v>
      </c>
      <c r="H43" s="109"/>
      <c r="I43" s="109">
        <f t="shared" si="2"/>
        <v>2010</v>
      </c>
      <c r="J43" s="110"/>
      <c r="K43" s="110">
        <f t="shared" si="0"/>
        <v>2010</v>
      </c>
      <c r="L43" s="120">
        <f t="shared" si="1"/>
        <v>1260</v>
      </c>
      <c r="M43" s="113"/>
    </row>
    <row r="44" spans="1:13" s="114" customFormat="1" ht="14.25" customHeight="1" x14ac:dyDescent="0.2">
      <c r="A44" s="106" t="s">
        <v>6856</v>
      </c>
      <c r="B44" s="105" t="s">
        <v>1453</v>
      </c>
      <c r="C44" s="105" t="s">
        <v>6861</v>
      </c>
      <c r="D44" s="107" t="s">
        <v>26</v>
      </c>
      <c r="E44" s="105">
        <v>1</v>
      </c>
      <c r="F44" s="134">
        <v>167.8</v>
      </c>
      <c r="G44" s="134">
        <v>360</v>
      </c>
      <c r="H44" s="109"/>
      <c r="I44" s="109">
        <f t="shared" si="2"/>
        <v>360</v>
      </c>
      <c r="J44" s="110"/>
      <c r="K44" s="110">
        <f t="shared" si="0"/>
        <v>360</v>
      </c>
      <c r="L44" s="120">
        <f t="shared" si="1"/>
        <v>167.8</v>
      </c>
      <c r="M44" s="113"/>
    </row>
    <row r="45" spans="1:13" s="114" customFormat="1" ht="14.25" customHeight="1" x14ac:dyDescent="0.2">
      <c r="A45" s="106" t="s">
        <v>6856</v>
      </c>
      <c r="B45" s="105" t="s">
        <v>1455</v>
      </c>
      <c r="C45" s="105" t="s">
        <v>6862</v>
      </c>
      <c r="D45" s="107" t="s">
        <v>25</v>
      </c>
      <c r="E45" s="105">
        <v>6</v>
      </c>
      <c r="F45" s="134">
        <v>115.85</v>
      </c>
      <c r="G45" s="134">
        <v>280</v>
      </c>
      <c r="H45" s="109"/>
      <c r="I45" s="109">
        <f t="shared" si="2"/>
        <v>1680</v>
      </c>
      <c r="J45" s="110"/>
      <c r="K45" s="110">
        <f t="shared" si="0"/>
        <v>1680</v>
      </c>
      <c r="L45" s="120">
        <f t="shared" si="1"/>
        <v>695.09999999999991</v>
      </c>
      <c r="M45" s="113"/>
    </row>
    <row r="46" spans="1:13" s="114" customFormat="1" ht="14.25" customHeight="1" x14ac:dyDescent="0.2">
      <c r="A46" s="106" t="s">
        <v>6856</v>
      </c>
      <c r="B46" s="105" t="s">
        <v>1453</v>
      </c>
      <c r="C46" s="105" t="s">
        <v>6862</v>
      </c>
      <c r="D46" s="107" t="s">
        <v>26</v>
      </c>
      <c r="E46" s="105">
        <v>2</v>
      </c>
      <c r="F46" s="134">
        <v>167.8</v>
      </c>
      <c r="G46" s="134">
        <v>360</v>
      </c>
      <c r="H46" s="109"/>
      <c r="I46" s="109">
        <f t="shared" si="2"/>
        <v>720</v>
      </c>
      <c r="J46" s="110"/>
      <c r="K46" s="110">
        <f t="shared" si="0"/>
        <v>720</v>
      </c>
      <c r="L46" s="120">
        <f t="shared" si="1"/>
        <v>335.6</v>
      </c>
      <c r="M46" s="113"/>
    </row>
    <row r="47" spans="1:13" s="114" customFormat="1" ht="14.25" customHeight="1" x14ac:dyDescent="0.2">
      <c r="A47" s="106" t="s">
        <v>6856</v>
      </c>
      <c r="B47" s="105" t="s">
        <v>1503</v>
      </c>
      <c r="C47" s="105" t="s">
        <v>6862</v>
      </c>
      <c r="D47" s="107" t="s">
        <v>1344</v>
      </c>
      <c r="E47" s="105">
        <v>2</v>
      </c>
      <c r="F47" s="134">
        <v>167.8</v>
      </c>
      <c r="G47" s="134">
        <v>460</v>
      </c>
      <c r="H47" s="109"/>
      <c r="I47" s="109">
        <f t="shared" si="2"/>
        <v>920</v>
      </c>
      <c r="J47" s="110"/>
      <c r="K47" s="110">
        <f t="shared" si="0"/>
        <v>920</v>
      </c>
      <c r="L47" s="120">
        <f t="shared" si="1"/>
        <v>335.6</v>
      </c>
      <c r="M47" s="113"/>
    </row>
    <row r="48" spans="1:13" s="114" customFormat="1" ht="14.25" customHeight="1" x14ac:dyDescent="0.2">
      <c r="A48" s="106" t="s">
        <v>6856</v>
      </c>
      <c r="B48" s="105" t="s">
        <v>5841</v>
      </c>
      <c r="C48" s="105" t="s">
        <v>6863</v>
      </c>
      <c r="D48" s="107" t="s">
        <v>5859</v>
      </c>
      <c r="E48" s="105">
        <v>5</v>
      </c>
      <c r="F48" s="134">
        <v>81</v>
      </c>
      <c r="G48" s="134">
        <v>157</v>
      </c>
      <c r="H48" s="109"/>
      <c r="I48" s="109">
        <f t="shared" si="2"/>
        <v>785</v>
      </c>
      <c r="J48" s="110"/>
      <c r="K48" s="110">
        <f t="shared" si="0"/>
        <v>785</v>
      </c>
      <c r="L48" s="120">
        <f t="shared" si="1"/>
        <v>405</v>
      </c>
      <c r="M48" s="113"/>
    </row>
    <row r="49" spans="1:13" s="114" customFormat="1" ht="14.25" customHeight="1" x14ac:dyDescent="0.2">
      <c r="A49" s="106" t="s">
        <v>6856</v>
      </c>
      <c r="B49" s="105" t="s">
        <v>1456</v>
      </c>
      <c r="C49" s="105" t="s">
        <v>6863</v>
      </c>
      <c r="D49" s="107" t="s">
        <v>21</v>
      </c>
      <c r="E49" s="105">
        <v>5</v>
      </c>
      <c r="F49" s="134">
        <v>148.9</v>
      </c>
      <c r="G49" s="134">
        <v>237</v>
      </c>
      <c r="H49" s="109"/>
      <c r="I49" s="109">
        <f t="shared" si="2"/>
        <v>1185</v>
      </c>
      <c r="J49" s="110"/>
      <c r="K49" s="110">
        <f t="shared" si="0"/>
        <v>1185</v>
      </c>
      <c r="L49" s="120">
        <f t="shared" si="1"/>
        <v>744.5</v>
      </c>
      <c r="M49" s="113"/>
    </row>
    <row r="50" spans="1:13" s="114" customFormat="1" ht="14.25" customHeight="1" x14ac:dyDescent="0.2">
      <c r="A50" s="106" t="s">
        <v>6856</v>
      </c>
      <c r="B50" s="105" t="s">
        <v>5214</v>
      </c>
      <c r="C50" s="105" t="s">
        <v>6863</v>
      </c>
      <c r="D50" s="107" t="s">
        <v>5206</v>
      </c>
      <c r="E50" s="105">
        <v>1</v>
      </c>
      <c r="F50" s="134">
        <v>375</v>
      </c>
      <c r="G50" s="134">
        <v>488</v>
      </c>
      <c r="H50" s="109"/>
      <c r="I50" s="109">
        <f t="shared" si="2"/>
        <v>488</v>
      </c>
      <c r="J50" s="110"/>
      <c r="K50" s="110">
        <f t="shared" si="0"/>
        <v>488</v>
      </c>
      <c r="L50" s="120">
        <f t="shared" si="1"/>
        <v>375</v>
      </c>
      <c r="M50" s="113"/>
    </row>
    <row r="51" spans="1:13" s="114" customFormat="1" ht="14.25" customHeight="1" x14ac:dyDescent="0.2">
      <c r="A51" s="106" t="s">
        <v>6856</v>
      </c>
      <c r="B51" s="105" t="s">
        <v>1585</v>
      </c>
      <c r="C51" s="105" t="s">
        <v>6863</v>
      </c>
      <c r="D51" s="107" t="s">
        <v>1254</v>
      </c>
      <c r="E51" s="105">
        <v>5</v>
      </c>
      <c r="F51" s="134">
        <v>75</v>
      </c>
      <c r="G51" s="134">
        <v>97.5</v>
      </c>
      <c r="H51" s="109"/>
      <c r="I51" s="109">
        <f t="shared" si="2"/>
        <v>487.5</v>
      </c>
      <c r="J51" s="110"/>
      <c r="K51" s="110">
        <f t="shared" si="0"/>
        <v>487.5</v>
      </c>
      <c r="L51" s="120">
        <f t="shared" si="1"/>
        <v>375</v>
      </c>
      <c r="M51" s="113"/>
    </row>
    <row r="52" spans="1:13" s="114" customFormat="1" ht="14.25" customHeight="1" x14ac:dyDescent="0.2">
      <c r="A52" s="106" t="s">
        <v>6856</v>
      </c>
      <c r="B52" s="105" t="s">
        <v>5841</v>
      </c>
      <c r="C52" s="105" t="s">
        <v>6864</v>
      </c>
      <c r="D52" s="107" t="s">
        <v>5859</v>
      </c>
      <c r="E52" s="105">
        <v>5</v>
      </c>
      <c r="F52" s="134">
        <v>81</v>
      </c>
      <c r="G52" s="134">
        <v>157</v>
      </c>
      <c r="H52" s="109"/>
      <c r="I52" s="109">
        <f t="shared" si="2"/>
        <v>785</v>
      </c>
      <c r="J52" s="110"/>
      <c r="K52" s="110">
        <f t="shared" si="0"/>
        <v>785</v>
      </c>
      <c r="L52" s="120">
        <f t="shared" si="1"/>
        <v>405</v>
      </c>
      <c r="M52" s="113"/>
    </row>
    <row r="53" spans="1:13" s="114" customFormat="1" ht="14.25" customHeight="1" x14ac:dyDescent="0.2">
      <c r="A53" s="106" t="s">
        <v>6856</v>
      </c>
      <c r="B53" s="105" t="s">
        <v>1689</v>
      </c>
      <c r="C53" s="105" t="s">
        <v>6865</v>
      </c>
      <c r="D53" s="107" t="s">
        <v>1702</v>
      </c>
      <c r="E53" s="105">
        <v>5</v>
      </c>
      <c r="F53" s="134">
        <v>10</v>
      </c>
      <c r="G53" s="134">
        <v>200</v>
      </c>
      <c r="H53" s="109"/>
      <c r="I53" s="109">
        <f t="shared" si="2"/>
        <v>1000</v>
      </c>
      <c r="J53" s="110"/>
      <c r="K53" s="110">
        <f t="shared" si="0"/>
        <v>1000</v>
      </c>
      <c r="L53" s="120">
        <f t="shared" si="1"/>
        <v>50</v>
      </c>
      <c r="M53" s="113"/>
    </row>
    <row r="54" spans="1:13" s="114" customFormat="1" ht="14.25" customHeight="1" x14ac:dyDescent="0.2">
      <c r="A54" s="106" t="s">
        <v>6856</v>
      </c>
      <c r="B54" s="105" t="s">
        <v>1689</v>
      </c>
      <c r="C54" s="105" t="s">
        <v>6866</v>
      </c>
      <c r="D54" s="107" t="s">
        <v>1702</v>
      </c>
      <c r="E54" s="105">
        <v>19</v>
      </c>
      <c r="F54" s="134">
        <v>10</v>
      </c>
      <c r="G54" s="134">
        <v>200</v>
      </c>
      <c r="H54" s="109"/>
      <c r="I54" s="109">
        <f t="shared" si="2"/>
        <v>3800</v>
      </c>
      <c r="J54" s="110"/>
      <c r="K54" s="110">
        <f t="shared" si="0"/>
        <v>3800</v>
      </c>
      <c r="L54" s="120">
        <f t="shared" si="1"/>
        <v>190</v>
      </c>
      <c r="M54" s="113"/>
    </row>
    <row r="55" spans="1:13" s="114" customFormat="1" ht="14.25" customHeight="1" x14ac:dyDescent="0.2">
      <c r="A55" s="106" t="s">
        <v>6856</v>
      </c>
      <c r="B55" s="105" t="s">
        <v>1455</v>
      </c>
      <c r="C55" s="105" t="s">
        <v>6867</v>
      </c>
      <c r="D55" s="107" t="s">
        <v>25</v>
      </c>
      <c r="E55" s="105">
        <v>3</v>
      </c>
      <c r="F55" s="134">
        <v>115.85</v>
      </c>
      <c r="G55" s="134">
        <v>280</v>
      </c>
      <c r="H55" s="109"/>
      <c r="I55" s="109">
        <f t="shared" si="2"/>
        <v>840</v>
      </c>
      <c r="J55" s="110"/>
      <c r="K55" s="110">
        <f t="shared" si="0"/>
        <v>840</v>
      </c>
      <c r="L55" s="120">
        <f t="shared" si="1"/>
        <v>347.54999999999995</v>
      </c>
      <c r="M55" s="113"/>
    </row>
    <row r="56" spans="1:13" s="114" customFormat="1" ht="14.25" customHeight="1" x14ac:dyDescent="0.2">
      <c r="A56" s="106" t="s">
        <v>6856</v>
      </c>
      <c r="B56" s="105" t="s">
        <v>1514</v>
      </c>
      <c r="C56" s="105" t="s">
        <v>6867</v>
      </c>
      <c r="D56" s="107" t="s">
        <v>1343</v>
      </c>
      <c r="E56" s="105">
        <v>3</v>
      </c>
      <c r="F56" s="134">
        <v>88</v>
      </c>
      <c r="G56" s="134">
        <v>280</v>
      </c>
      <c r="H56" s="109"/>
      <c r="I56" s="109">
        <f t="shared" si="2"/>
        <v>840</v>
      </c>
      <c r="J56" s="110"/>
      <c r="K56" s="110">
        <f t="shared" si="0"/>
        <v>840</v>
      </c>
      <c r="L56" s="120">
        <f t="shared" si="1"/>
        <v>264</v>
      </c>
      <c r="M56" s="113"/>
    </row>
    <row r="57" spans="1:13" s="114" customFormat="1" ht="14.25" customHeight="1" x14ac:dyDescent="0.2">
      <c r="A57" s="106" t="s">
        <v>6990</v>
      </c>
      <c r="B57" s="105" t="s">
        <v>5842</v>
      </c>
      <c r="C57" s="105" t="s">
        <v>6992</v>
      </c>
      <c r="D57" s="107" t="s">
        <v>6998</v>
      </c>
      <c r="E57" s="105">
        <v>10</v>
      </c>
      <c r="F57" s="134">
        <v>252.5</v>
      </c>
      <c r="G57" s="134">
        <v>300</v>
      </c>
      <c r="H57" s="109"/>
      <c r="I57" s="109">
        <f t="shared" si="2"/>
        <v>3000</v>
      </c>
      <c r="J57" s="110"/>
      <c r="K57" s="110">
        <f t="shared" si="0"/>
        <v>3000</v>
      </c>
      <c r="L57" s="120">
        <f t="shared" si="1"/>
        <v>2525</v>
      </c>
      <c r="M57" s="113"/>
    </row>
    <row r="58" spans="1:13" s="114" customFormat="1" ht="14.25" customHeight="1" x14ac:dyDescent="0.2">
      <c r="A58" s="106" t="s">
        <v>6990</v>
      </c>
      <c r="B58" s="105" t="s">
        <v>1585</v>
      </c>
      <c r="C58" s="105" t="s">
        <v>6993</v>
      </c>
      <c r="D58" s="107" t="s">
        <v>1254</v>
      </c>
      <c r="E58" s="105">
        <v>5</v>
      </c>
      <c r="F58" s="134">
        <v>75</v>
      </c>
      <c r="G58" s="134">
        <v>97.5</v>
      </c>
      <c r="H58" s="109"/>
      <c r="I58" s="109">
        <f t="shared" si="2"/>
        <v>487.5</v>
      </c>
      <c r="J58" s="110"/>
      <c r="K58" s="110">
        <f t="shared" si="0"/>
        <v>487.5</v>
      </c>
      <c r="L58" s="120">
        <f t="shared" si="1"/>
        <v>375</v>
      </c>
      <c r="M58" s="113"/>
    </row>
    <row r="59" spans="1:13" s="114" customFormat="1" ht="14.25" customHeight="1" x14ac:dyDescent="0.2">
      <c r="A59" s="106" t="s">
        <v>6990</v>
      </c>
      <c r="B59" s="105" t="s">
        <v>1518</v>
      </c>
      <c r="C59" s="105" t="s">
        <v>6993</v>
      </c>
      <c r="D59" s="107" t="s">
        <v>1262</v>
      </c>
      <c r="E59" s="105">
        <v>2</v>
      </c>
      <c r="F59" s="134">
        <v>12</v>
      </c>
      <c r="G59" s="134">
        <v>15.75</v>
      </c>
      <c r="H59" s="109"/>
      <c r="I59" s="109">
        <f t="shared" si="2"/>
        <v>31.5</v>
      </c>
      <c r="J59" s="110"/>
      <c r="K59" s="110">
        <f t="shared" si="0"/>
        <v>31.5</v>
      </c>
      <c r="L59" s="120">
        <f t="shared" si="1"/>
        <v>24</v>
      </c>
      <c r="M59" s="113"/>
    </row>
    <row r="60" spans="1:13" s="114" customFormat="1" ht="14.25" customHeight="1" x14ac:dyDescent="0.2">
      <c r="A60" s="106" t="s">
        <v>6990</v>
      </c>
      <c r="B60" s="105" t="s">
        <v>1456</v>
      </c>
      <c r="C60" s="105" t="s">
        <v>6993</v>
      </c>
      <c r="D60" s="107" t="s">
        <v>21</v>
      </c>
      <c r="E60" s="105">
        <v>5</v>
      </c>
      <c r="F60" s="134">
        <v>148.9</v>
      </c>
      <c r="G60" s="134">
        <v>237</v>
      </c>
      <c r="H60" s="109"/>
      <c r="I60" s="109">
        <f t="shared" si="2"/>
        <v>1185</v>
      </c>
      <c r="J60" s="110"/>
      <c r="K60" s="110">
        <f t="shared" si="0"/>
        <v>1185</v>
      </c>
      <c r="L60" s="120">
        <f t="shared" si="1"/>
        <v>744.5</v>
      </c>
      <c r="M60" s="113"/>
    </row>
    <row r="61" spans="1:13" s="114" customFormat="1" ht="14.25" customHeight="1" x14ac:dyDescent="0.2">
      <c r="A61" s="106" t="s">
        <v>6990</v>
      </c>
      <c r="B61" s="105" t="s">
        <v>1459</v>
      </c>
      <c r="C61" s="105" t="s">
        <v>6993</v>
      </c>
      <c r="D61" s="107" t="s">
        <v>1259</v>
      </c>
      <c r="E61" s="105">
        <v>1</v>
      </c>
      <c r="F61" s="134">
        <v>40</v>
      </c>
      <c r="G61" s="134">
        <v>52</v>
      </c>
      <c r="H61" s="109"/>
      <c r="I61" s="109">
        <f t="shared" si="2"/>
        <v>52</v>
      </c>
      <c r="J61" s="110"/>
      <c r="K61" s="110">
        <f t="shared" si="0"/>
        <v>52</v>
      </c>
      <c r="L61" s="120">
        <f t="shared" si="1"/>
        <v>40</v>
      </c>
      <c r="M61" s="113"/>
    </row>
    <row r="62" spans="1:13" s="114" customFormat="1" ht="14.25" customHeight="1" x14ac:dyDescent="0.2">
      <c r="A62" s="106" t="s">
        <v>6990</v>
      </c>
      <c r="B62" s="105" t="s">
        <v>1622</v>
      </c>
      <c r="C62" s="105" t="s">
        <v>6993</v>
      </c>
      <c r="D62" s="107" t="s">
        <v>1630</v>
      </c>
      <c r="E62" s="105">
        <v>2</v>
      </c>
      <c r="F62" s="134">
        <v>10</v>
      </c>
      <c r="G62" s="134">
        <v>13</v>
      </c>
      <c r="H62" s="109"/>
      <c r="I62" s="109">
        <f t="shared" si="2"/>
        <v>26</v>
      </c>
      <c r="J62" s="110"/>
      <c r="K62" s="110">
        <f t="shared" si="0"/>
        <v>26</v>
      </c>
      <c r="L62" s="120">
        <f t="shared" si="1"/>
        <v>20</v>
      </c>
      <c r="M62" s="113"/>
    </row>
    <row r="63" spans="1:13" s="114" customFormat="1" ht="14.25" customHeight="1" x14ac:dyDescent="0.2">
      <c r="A63" s="106" t="s">
        <v>6990</v>
      </c>
      <c r="B63" s="105" t="s">
        <v>1623</v>
      </c>
      <c r="C63" s="105" t="s">
        <v>6993</v>
      </c>
      <c r="D63" s="107" t="s">
        <v>1387</v>
      </c>
      <c r="E63" s="105">
        <v>2</v>
      </c>
      <c r="F63" s="134">
        <v>30</v>
      </c>
      <c r="G63" s="134">
        <v>39</v>
      </c>
      <c r="H63" s="109"/>
      <c r="I63" s="109">
        <f t="shared" si="2"/>
        <v>78</v>
      </c>
      <c r="J63" s="110"/>
      <c r="K63" s="110">
        <f t="shared" si="0"/>
        <v>78</v>
      </c>
      <c r="L63" s="120">
        <f t="shared" si="1"/>
        <v>60</v>
      </c>
      <c r="M63" s="113"/>
    </row>
    <row r="64" spans="1:13" s="114" customFormat="1" ht="14.25" customHeight="1" x14ac:dyDescent="0.2">
      <c r="A64" s="106" t="s">
        <v>6990</v>
      </c>
      <c r="B64" s="105" t="s">
        <v>1624</v>
      </c>
      <c r="C64" s="105" t="s">
        <v>6993</v>
      </c>
      <c r="D64" s="107" t="s">
        <v>1631</v>
      </c>
      <c r="E64" s="105">
        <v>12</v>
      </c>
      <c r="F64" s="134">
        <v>6</v>
      </c>
      <c r="G64" s="134">
        <v>8</v>
      </c>
      <c r="H64" s="109"/>
      <c r="I64" s="109">
        <f t="shared" si="2"/>
        <v>96</v>
      </c>
      <c r="J64" s="110"/>
      <c r="K64" s="110">
        <f t="shared" si="0"/>
        <v>96</v>
      </c>
      <c r="L64" s="120">
        <f t="shared" si="1"/>
        <v>72</v>
      </c>
      <c r="M64" s="113"/>
    </row>
    <row r="65" spans="1:13" s="114" customFormat="1" ht="14.25" customHeight="1" x14ac:dyDescent="0.2">
      <c r="A65" s="106" t="s">
        <v>6990</v>
      </c>
      <c r="B65" s="105" t="s">
        <v>6991</v>
      </c>
      <c r="C65" s="105" t="s">
        <v>6994</v>
      </c>
      <c r="D65" s="107" t="s">
        <v>6999</v>
      </c>
      <c r="E65" s="105">
        <v>25</v>
      </c>
      <c r="F65" s="134">
        <v>165.6</v>
      </c>
      <c r="G65" s="134">
        <v>250</v>
      </c>
      <c r="H65" s="109"/>
      <c r="I65" s="109">
        <f t="shared" si="2"/>
        <v>6250</v>
      </c>
      <c r="J65" s="110"/>
      <c r="K65" s="110">
        <f t="shared" si="0"/>
        <v>6250</v>
      </c>
      <c r="L65" s="120">
        <f t="shared" si="1"/>
        <v>4140</v>
      </c>
      <c r="M65" s="113"/>
    </row>
    <row r="66" spans="1:13" s="114" customFormat="1" ht="14.25" customHeight="1" x14ac:dyDescent="0.2">
      <c r="A66" s="106" t="s">
        <v>6990</v>
      </c>
      <c r="B66" s="105" t="s">
        <v>1518</v>
      </c>
      <c r="C66" s="105" t="s">
        <v>6995</v>
      </c>
      <c r="D66" s="107" t="s">
        <v>1262</v>
      </c>
      <c r="E66" s="105">
        <v>5</v>
      </c>
      <c r="F66" s="134">
        <v>12</v>
      </c>
      <c r="G66" s="134">
        <v>15.75</v>
      </c>
      <c r="H66" s="109"/>
      <c r="I66" s="109">
        <f t="shared" si="2"/>
        <v>78.75</v>
      </c>
      <c r="J66" s="110"/>
      <c r="K66" s="110">
        <f t="shared" si="0"/>
        <v>78.75</v>
      </c>
      <c r="L66" s="120">
        <f t="shared" si="1"/>
        <v>60</v>
      </c>
      <c r="M66" s="113"/>
    </row>
    <row r="67" spans="1:13" s="114" customFormat="1" x14ac:dyDescent="0.2">
      <c r="A67" s="106" t="s">
        <v>6990</v>
      </c>
      <c r="B67" s="105" t="s">
        <v>1458</v>
      </c>
      <c r="C67" s="105" t="s">
        <v>6995</v>
      </c>
      <c r="D67" s="107" t="s">
        <v>22</v>
      </c>
      <c r="E67" s="105">
        <v>5</v>
      </c>
      <c r="F67" s="134">
        <v>126</v>
      </c>
      <c r="G67" s="134">
        <v>201</v>
      </c>
      <c r="H67" s="109"/>
      <c r="I67" s="109">
        <f t="shared" si="2"/>
        <v>1005</v>
      </c>
      <c r="J67" s="110"/>
      <c r="K67" s="110">
        <f t="shared" si="0"/>
        <v>1005</v>
      </c>
      <c r="L67" s="120">
        <f t="shared" si="1"/>
        <v>630</v>
      </c>
      <c r="M67" s="113"/>
    </row>
    <row r="68" spans="1:13" s="114" customFormat="1" x14ac:dyDescent="0.2">
      <c r="A68" s="106" t="s">
        <v>6990</v>
      </c>
      <c r="B68" s="105" t="s">
        <v>1459</v>
      </c>
      <c r="C68" s="105" t="s">
        <v>6995</v>
      </c>
      <c r="D68" s="107" t="s">
        <v>1259</v>
      </c>
      <c r="E68" s="105">
        <v>10</v>
      </c>
      <c r="F68" s="134">
        <v>40</v>
      </c>
      <c r="G68" s="134">
        <v>52</v>
      </c>
      <c r="H68" s="109"/>
      <c r="I68" s="109">
        <f t="shared" si="2"/>
        <v>520</v>
      </c>
      <c r="J68" s="110"/>
      <c r="K68" s="110">
        <f t="shared" si="0"/>
        <v>520</v>
      </c>
      <c r="L68" s="120">
        <f t="shared" si="1"/>
        <v>400</v>
      </c>
      <c r="M68" s="113"/>
    </row>
    <row r="69" spans="1:13" s="114" customFormat="1" x14ac:dyDescent="0.2">
      <c r="A69" s="106" t="s">
        <v>6990</v>
      </c>
      <c r="B69" s="105" t="s">
        <v>1514</v>
      </c>
      <c r="C69" s="105" t="s">
        <v>6996</v>
      </c>
      <c r="D69" s="107" t="s">
        <v>1343</v>
      </c>
      <c r="E69" s="105">
        <v>5</v>
      </c>
      <c r="F69" s="134">
        <v>88</v>
      </c>
      <c r="G69" s="134">
        <v>280</v>
      </c>
      <c r="H69" s="109"/>
      <c r="I69" s="109">
        <f t="shared" si="2"/>
        <v>1400</v>
      </c>
      <c r="J69" s="110"/>
      <c r="K69" s="110">
        <f t="shared" si="0"/>
        <v>1400</v>
      </c>
      <c r="L69" s="120">
        <f t="shared" si="1"/>
        <v>440</v>
      </c>
      <c r="M69" s="113"/>
    </row>
    <row r="70" spans="1:13" s="114" customFormat="1" x14ac:dyDescent="0.2">
      <c r="A70" s="106" t="s">
        <v>6990</v>
      </c>
      <c r="B70" s="105" t="s">
        <v>1455</v>
      </c>
      <c r="C70" s="105" t="s">
        <v>6996</v>
      </c>
      <c r="D70" s="107" t="s">
        <v>25</v>
      </c>
      <c r="E70" s="105">
        <v>9</v>
      </c>
      <c r="F70" s="134">
        <v>115.85</v>
      </c>
      <c r="G70" s="134">
        <v>280</v>
      </c>
      <c r="H70" s="109"/>
      <c r="I70" s="109">
        <f t="shared" si="2"/>
        <v>2520</v>
      </c>
      <c r="J70" s="110"/>
      <c r="K70" s="110">
        <f t="shared" si="0"/>
        <v>2520</v>
      </c>
      <c r="L70" s="120">
        <f t="shared" si="1"/>
        <v>1042.6499999999999</v>
      </c>
      <c r="M70" s="113"/>
    </row>
    <row r="71" spans="1:13" s="114" customFormat="1" x14ac:dyDescent="0.2">
      <c r="A71" s="106" t="s">
        <v>6990</v>
      </c>
      <c r="B71" s="105" t="s">
        <v>1689</v>
      </c>
      <c r="C71" s="105" t="s">
        <v>6997</v>
      </c>
      <c r="D71" s="107" t="s">
        <v>1702</v>
      </c>
      <c r="E71" s="105">
        <v>1</v>
      </c>
      <c r="F71" s="134">
        <v>10</v>
      </c>
      <c r="G71" s="134">
        <v>200</v>
      </c>
      <c r="H71" s="109"/>
      <c r="I71" s="109">
        <f t="shared" si="2"/>
        <v>200</v>
      </c>
      <c r="J71" s="110"/>
      <c r="K71" s="110">
        <f t="shared" ref="K71:K167" si="3">H71+I71-J71</f>
        <v>200</v>
      </c>
      <c r="L71" s="120">
        <f t="shared" si="1"/>
        <v>10</v>
      </c>
      <c r="M71" s="113"/>
    </row>
    <row r="72" spans="1:13" s="114" customFormat="1" x14ac:dyDescent="0.2">
      <c r="A72" s="106" t="s">
        <v>7051</v>
      </c>
      <c r="B72" s="105" t="s">
        <v>1522</v>
      </c>
      <c r="C72" s="105" t="s">
        <v>7054</v>
      </c>
      <c r="D72" s="107" t="s">
        <v>7059</v>
      </c>
      <c r="E72" s="105">
        <v>44</v>
      </c>
      <c r="F72" s="134">
        <v>112.73</v>
      </c>
      <c r="G72" s="134">
        <v>155</v>
      </c>
      <c r="H72" s="109"/>
      <c r="I72" s="109">
        <f t="shared" si="2"/>
        <v>6820</v>
      </c>
      <c r="J72" s="110"/>
      <c r="K72" s="110">
        <f t="shared" si="3"/>
        <v>6820</v>
      </c>
      <c r="L72" s="120">
        <f t="shared" ref="L72:L167" si="4">E72*F72</f>
        <v>4960.12</v>
      </c>
      <c r="M72" s="113"/>
    </row>
    <row r="73" spans="1:13" s="114" customFormat="1" x14ac:dyDescent="0.2">
      <c r="A73" s="106" t="s">
        <v>7051</v>
      </c>
      <c r="B73" s="105" t="s">
        <v>7052</v>
      </c>
      <c r="C73" s="105" t="s">
        <v>7054</v>
      </c>
      <c r="D73" s="107" t="s">
        <v>7060</v>
      </c>
      <c r="E73" s="105">
        <v>6</v>
      </c>
      <c r="F73" s="134">
        <v>140</v>
      </c>
      <c r="G73" s="134">
        <v>185</v>
      </c>
      <c r="H73" s="109"/>
      <c r="I73" s="109">
        <f t="shared" si="2"/>
        <v>1110</v>
      </c>
      <c r="J73" s="110"/>
      <c r="K73" s="110">
        <f t="shared" si="3"/>
        <v>1110</v>
      </c>
      <c r="L73" s="120">
        <f t="shared" si="4"/>
        <v>840</v>
      </c>
      <c r="M73" s="113"/>
    </row>
    <row r="74" spans="1:13" s="114" customFormat="1" x14ac:dyDescent="0.2">
      <c r="A74" s="106" t="s">
        <v>7051</v>
      </c>
      <c r="B74" s="105" t="s">
        <v>1458</v>
      </c>
      <c r="C74" s="105" t="s">
        <v>7055</v>
      </c>
      <c r="D74" s="107" t="s">
        <v>22</v>
      </c>
      <c r="E74" s="105">
        <v>10</v>
      </c>
      <c r="F74" s="134">
        <v>126</v>
      </c>
      <c r="G74" s="134">
        <v>211</v>
      </c>
      <c r="H74" s="109"/>
      <c r="I74" s="109">
        <f t="shared" si="2"/>
        <v>2110</v>
      </c>
      <c r="J74" s="110"/>
      <c r="K74" s="110">
        <f t="shared" si="3"/>
        <v>2110</v>
      </c>
      <c r="L74" s="120">
        <f t="shared" si="4"/>
        <v>1260</v>
      </c>
      <c r="M74" s="113"/>
    </row>
    <row r="75" spans="1:13" s="114" customFormat="1" x14ac:dyDescent="0.2">
      <c r="A75" s="106" t="s">
        <v>7051</v>
      </c>
      <c r="B75" s="105" t="s">
        <v>1456</v>
      </c>
      <c r="C75" s="105" t="s">
        <v>7055</v>
      </c>
      <c r="D75" s="107" t="s">
        <v>21</v>
      </c>
      <c r="E75" s="105">
        <v>3</v>
      </c>
      <c r="F75" s="134">
        <v>148.9</v>
      </c>
      <c r="G75" s="134">
        <v>249</v>
      </c>
      <c r="H75" s="109"/>
      <c r="I75" s="109">
        <f t="shared" ref="I75:I82" si="5">E75*G75</f>
        <v>747</v>
      </c>
      <c r="J75" s="110"/>
      <c r="K75" s="110">
        <f t="shared" si="3"/>
        <v>747</v>
      </c>
      <c r="L75" s="120">
        <f t="shared" si="4"/>
        <v>446.70000000000005</v>
      </c>
      <c r="M75" s="113"/>
    </row>
    <row r="76" spans="1:13" s="114" customFormat="1" x14ac:dyDescent="0.2">
      <c r="A76" s="106" t="s">
        <v>7051</v>
      </c>
      <c r="B76" s="105" t="s">
        <v>5841</v>
      </c>
      <c r="C76" s="105" t="s">
        <v>7056</v>
      </c>
      <c r="D76" s="107" t="s">
        <v>5859</v>
      </c>
      <c r="E76" s="105">
        <v>3</v>
      </c>
      <c r="F76" s="134">
        <v>81</v>
      </c>
      <c r="G76" s="134">
        <v>157</v>
      </c>
      <c r="H76" s="109"/>
      <c r="I76" s="109">
        <f t="shared" si="5"/>
        <v>471</v>
      </c>
      <c r="J76" s="110"/>
      <c r="K76" s="110">
        <f t="shared" si="3"/>
        <v>471</v>
      </c>
      <c r="L76" s="120">
        <f t="shared" si="4"/>
        <v>243</v>
      </c>
      <c r="M76" s="113"/>
    </row>
    <row r="77" spans="1:13" s="114" customFormat="1" x14ac:dyDescent="0.2">
      <c r="A77" s="106" t="s">
        <v>7051</v>
      </c>
      <c r="B77" s="105" t="s">
        <v>7053</v>
      </c>
      <c r="C77" s="105" t="s">
        <v>7057</v>
      </c>
      <c r="D77" s="107" t="s">
        <v>7061</v>
      </c>
      <c r="E77" s="105">
        <v>36</v>
      </c>
      <c r="F77" s="134">
        <v>269.32</v>
      </c>
      <c r="G77" s="134">
        <v>350</v>
      </c>
      <c r="H77" s="109"/>
      <c r="I77" s="109">
        <f t="shared" si="5"/>
        <v>12600</v>
      </c>
      <c r="J77" s="110"/>
      <c r="K77" s="110">
        <f t="shared" si="3"/>
        <v>12600</v>
      </c>
      <c r="L77" s="120">
        <f t="shared" si="4"/>
        <v>9695.52</v>
      </c>
      <c r="M77" s="113"/>
    </row>
    <row r="78" spans="1:13" s="114" customFormat="1" x14ac:dyDescent="0.2">
      <c r="A78" s="106" t="s">
        <v>7051</v>
      </c>
      <c r="B78" s="105" t="s">
        <v>1581</v>
      </c>
      <c r="C78" s="105" t="s">
        <v>7058</v>
      </c>
      <c r="D78" s="107" t="s">
        <v>7062</v>
      </c>
      <c r="E78" s="105">
        <v>124</v>
      </c>
      <c r="F78" s="134">
        <v>135.36000000000001</v>
      </c>
      <c r="G78" s="134">
        <v>170</v>
      </c>
      <c r="H78" s="109"/>
      <c r="I78" s="109">
        <f t="shared" si="5"/>
        <v>21080</v>
      </c>
      <c r="J78" s="110"/>
      <c r="K78" s="110">
        <f t="shared" si="3"/>
        <v>21080</v>
      </c>
      <c r="L78" s="120">
        <f t="shared" si="4"/>
        <v>16784.640000000003</v>
      </c>
      <c r="M78" s="113"/>
    </row>
    <row r="79" spans="1:13" s="114" customFormat="1" hidden="1" x14ac:dyDescent="0.2">
      <c r="A79" s="106"/>
      <c r="B79" s="105"/>
      <c r="C79" s="105"/>
      <c r="D79" s="107"/>
      <c r="E79" s="105"/>
      <c r="F79" s="134"/>
      <c r="G79" s="134"/>
      <c r="H79" s="109"/>
      <c r="I79" s="109">
        <f t="shared" si="5"/>
        <v>0</v>
      </c>
      <c r="J79" s="110"/>
      <c r="K79" s="110">
        <f t="shared" si="3"/>
        <v>0</v>
      </c>
      <c r="L79" s="120">
        <f t="shared" si="4"/>
        <v>0</v>
      </c>
      <c r="M79" s="113"/>
    </row>
    <row r="80" spans="1:13" s="114" customFormat="1" hidden="1" x14ac:dyDescent="0.2">
      <c r="A80" s="106"/>
      <c r="B80" s="105"/>
      <c r="C80" s="105"/>
      <c r="D80" s="107"/>
      <c r="E80" s="105"/>
      <c r="F80" s="134"/>
      <c r="G80" s="134"/>
      <c r="H80" s="109"/>
      <c r="I80" s="109">
        <f t="shared" si="5"/>
        <v>0</v>
      </c>
      <c r="J80" s="110"/>
      <c r="K80" s="110">
        <f t="shared" si="3"/>
        <v>0</v>
      </c>
      <c r="L80" s="120">
        <f t="shared" si="4"/>
        <v>0</v>
      </c>
      <c r="M80" s="113"/>
    </row>
    <row r="81" spans="1:13" s="114" customFormat="1" hidden="1" x14ac:dyDescent="0.2">
      <c r="A81" s="106"/>
      <c r="B81" s="105"/>
      <c r="C81" s="105"/>
      <c r="D81" s="107"/>
      <c r="E81" s="105"/>
      <c r="F81" s="134"/>
      <c r="G81" s="134"/>
      <c r="H81" s="109"/>
      <c r="I81" s="109">
        <f t="shared" si="5"/>
        <v>0</v>
      </c>
      <c r="J81" s="110"/>
      <c r="K81" s="110">
        <f t="shared" si="3"/>
        <v>0</v>
      </c>
      <c r="L81" s="120">
        <f t="shared" si="4"/>
        <v>0</v>
      </c>
      <c r="M81" s="113"/>
    </row>
    <row r="82" spans="1:13" s="114" customFormat="1" hidden="1" x14ac:dyDescent="0.2">
      <c r="A82" s="106"/>
      <c r="B82" s="105"/>
      <c r="C82" s="105"/>
      <c r="D82" s="107"/>
      <c r="E82" s="105"/>
      <c r="F82" s="134"/>
      <c r="G82" s="134"/>
      <c r="H82" s="109"/>
      <c r="I82" s="109">
        <f t="shared" si="5"/>
        <v>0</v>
      </c>
      <c r="J82" s="110"/>
      <c r="K82" s="110">
        <f t="shared" si="3"/>
        <v>0</v>
      </c>
      <c r="L82" s="120">
        <f t="shared" si="4"/>
        <v>0</v>
      </c>
      <c r="M82" s="113"/>
    </row>
    <row r="83" spans="1:13" s="114" customFormat="1" hidden="1" x14ac:dyDescent="0.2">
      <c r="A83" s="106"/>
      <c r="B83" s="105"/>
      <c r="C83" s="105"/>
      <c r="D83" s="107"/>
      <c r="E83" s="105"/>
      <c r="F83" s="134"/>
      <c r="G83" s="134"/>
      <c r="H83" s="109"/>
      <c r="I83" s="109">
        <f t="shared" ref="I83:I138" si="6">E83*G83</f>
        <v>0</v>
      </c>
      <c r="J83" s="110"/>
      <c r="K83" s="110">
        <f t="shared" si="3"/>
        <v>0</v>
      </c>
      <c r="L83" s="120">
        <f t="shared" si="4"/>
        <v>0</v>
      </c>
      <c r="M83" s="113"/>
    </row>
    <row r="84" spans="1:13" s="114" customFormat="1" hidden="1" x14ac:dyDescent="0.2">
      <c r="A84" s="106"/>
      <c r="B84" s="105"/>
      <c r="C84" s="105"/>
      <c r="D84" s="107"/>
      <c r="E84" s="105"/>
      <c r="F84" s="134"/>
      <c r="G84" s="134"/>
      <c r="H84" s="109"/>
      <c r="I84" s="109">
        <f t="shared" si="6"/>
        <v>0</v>
      </c>
      <c r="J84" s="110"/>
      <c r="K84" s="110">
        <f t="shared" si="3"/>
        <v>0</v>
      </c>
      <c r="L84" s="120">
        <f t="shared" si="4"/>
        <v>0</v>
      </c>
      <c r="M84" s="113"/>
    </row>
    <row r="85" spans="1:13" s="114" customFormat="1" hidden="1" x14ac:dyDescent="0.2">
      <c r="A85" s="106"/>
      <c r="B85" s="105"/>
      <c r="C85" s="105"/>
      <c r="D85" s="107"/>
      <c r="E85" s="105"/>
      <c r="F85" s="134"/>
      <c r="G85" s="134"/>
      <c r="H85" s="109"/>
      <c r="I85" s="109">
        <f t="shared" si="6"/>
        <v>0</v>
      </c>
      <c r="J85" s="110"/>
      <c r="K85" s="110">
        <f t="shared" si="3"/>
        <v>0</v>
      </c>
      <c r="L85" s="120">
        <f t="shared" si="4"/>
        <v>0</v>
      </c>
      <c r="M85" s="113"/>
    </row>
    <row r="86" spans="1:13" s="114" customFormat="1" hidden="1" x14ac:dyDescent="0.2">
      <c r="A86" s="106"/>
      <c r="B86" s="105"/>
      <c r="C86" s="105"/>
      <c r="D86" s="107"/>
      <c r="E86" s="105"/>
      <c r="F86" s="134"/>
      <c r="G86" s="134"/>
      <c r="H86" s="109"/>
      <c r="I86" s="109">
        <f t="shared" si="6"/>
        <v>0</v>
      </c>
      <c r="J86" s="110"/>
      <c r="K86" s="110">
        <f t="shared" si="3"/>
        <v>0</v>
      </c>
      <c r="L86" s="120">
        <f t="shared" si="4"/>
        <v>0</v>
      </c>
      <c r="M86" s="113"/>
    </row>
    <row r="87" spans="1:13" s="114" customFormat="1" hidden="1" x14ac:dyDescent="0.2">
      <c r="A87" s="106"/>
      <c r="B87" s="105"/>
      <c r="C87" s="105"/>
      <c r="D87" s="107"/>
      <c r="E87" s="105"/>
      <c r="F87" s="134"/>
      <c r="G87" s="134"/>
      <c r="H87" s="109"/>
      <c r="I87" s="109">
        <f t="shared" si="6"/>
        <v>0</v>
      </c>
      <c r="J87" s="110"/>
      <c r="K87" s="110">
        <f t="shared" si="3"/>
        <v>0</v>
      </c>
      <c r="L87" s="120">
        <f t="shared" si="4"/>
        <v>0</v>
      </c>
      <c r="M87" s="113"/>
    </row>
    <row r="88" spans="1:13" s="114" customFormat="1" hidden="1" x14ac:dyDescent="0.2">
      <c r="A88" s="106"/>
      <c r="B88" s="105"/>
      <c r="C88" s="105"/>
      <c r="D88" s="107"/>
      <c r="E88" s="105"/>
      <c r="F88" s="134"/>
      <c r="G88" s="134"/>
      <c r="H88" s="109"/>
      <c r="I88" s="109">
        <f t="shared" si="6"/>
        <v>0</v>
      </c>
      <c r="J88" s="110"/>
      <c r="K88" s="110">
        <f t="shared" si="3"/>
        <v>0</v>
      </c>
      <c r="L88" s="120">
        <f t="shared" si="4"/>
        <v>0</v>
      </c>
      <c r="M88" s="113"/>
    </row>
    <row r="89" spans="1:13" s="114" customFormat="1" hidden="1" x14ac:dyDescent="0.2">
      <c r="A89" s="106"/>
      <c r="B89" s="105"/>
      <c r="C89" s="105"/>
      <c r="D89" s="107"/>
      <c r="E89" s="105"/>
      <c r="F89" s="134"/>
      <c r="G89" s="134"/>
      <c r="H89" s="109"/>
      <c r="I89" s="109">
        <f t="shared" si="6"/>
        <v>0</v>
      </c>
      <c r="J89" s="110"/>
      <c r="K89" s="110">
        <f t="shared" si="3"/>
        <v>0</v>
      </c>
      <c r="L89" s="120">
        <f t="shared" si="4"/>
        <v>0</v>
      </c>
      <c r="M89" s="113"/>
    </row>
    <row r="90" spans="1:13" s="114" customFormat="1" hidden="1" x14ac:dyDescent="0.2">
      <c r="A90" s="106"/>
      <c r="B90" s="105"/>
      <c r="C90" s="105"/>
      <c r="D90" s="107"/>
      <c r="E90" s="105"/>
      <c r="F90" s="134"/>
      <c r="G90" s="134"/>
      <c r="H90" s="109"/>
      <c r="I90" s="109">
        <f t="shared" si="6"/>
        <v>0</v>
      </c>
      <c r="J90" s="110"/>
      <c r="K90" s="110">
        <f t="shared" si="3"/>
        <v>0</v>
      </c>
      <c r="L90" s="120">
        <f t="shared" si="4"/>
        <v>0</v>
      </c>
      <c r="M90" s="113"/>
    </row>
    <row r="91" spans="1:13" s="114" customFormat="1" hidden="1" x14ac:dyDescent="0.2">
      <c r="A91" s="106"/>
      <c r="B91" s="105"/>
      <c r="C91" s="105"/>
      <c r="D91" s="107"/>
      <c r="E91" s="105"/>
      <c r="F91" s="134"/>
      <c r="G91" s="134"/>
      <c r="H91" s="109"/>
      <c r="I91" s="109">
        <f t="shared" si="6"/>
        <v>0</v>
      </c>
      <c r="J91" s="110"/>
      <c r="K91" s="110">
        <f t="shared" si="3"/>
        <v>0</v>
      </c>
      <c r="L91" s="120">
        <f t="shared" si="4"/>
        <v>0</v>
      </c>
      <c r="M91" s="113"/>
    </row>
    <row r="92" spans="1:13" s="114" customFormat="1" hidden="1" x14ac:dyDescent="0.2">
      <c r="A92" s="106"/>
      <c r="B92" s="105"/>
      <c r="C92" s="105"/>
      <c r="D92" s="107"/>
      <c r="E92" s="105"/>
      <c r="F92" s="134"/>
      <c r="G92" s="134"/>
      <c r="H92" s="109"/>
      <c r="I92" s="109">
        <f t="shared" si="6"/>
        <v>0</v>
      </c>
      <c r="J92" s="110"/>
      <c r="K92" s="110">
        <f t="shared" si="3"/>
        <v>0</v>
      </c>
      <c r="L92" s="120">
        <f t="shared" si="4"/>
        <v>0</v>
      </c>
      <c r="M92" s="113"/>
    </row>
    <row r="93" spans="1:13" s="114" customFormat="1" hidden="1" x14ac:dyDescent="0.2">
      <c r="A93" s="106"/>
      <c r="B93" s="105"/>
      <c r="C93" s="105"/>
      <c r="D93" s="107"/>
      <c r="E93" s="105"/>
      <c r="F93" s="134"/>
      <c r="G93" s="134"/>
      <c r="H93" s="109"/>
      <c r="I93" s="109">
        <f t="shared" si="6"/>
        <v>0</v>
      </c>
      <c r="J93" s="110"/>
      <c r="K93" s="110">
        <f t="shared" si="3"/>
        <v>0</v>
      </c>
      <c r="L93" s="120">
        <f t="shared" si="4"/>
        <v>0</v>
      </c>
      <c r="M93" s="113"/>
    </row>
    <row r="94" spans="1:13" s="114" customFormat="1" hidden="1" x14ac:dyDescent="0.2">
      <c r="A94" s="106"/>
      <c r="B94" s="105"/>
      <c r="C94" s="105"/>
      <c r="D94" s="107"/>
      <c r="E94" s="105"/>
      <c r="F94" s="134"/>
      <c r="G94" s="134"/>
      <c r="H94" s="109"/>
      <c r="I94" s="109">
        <f t="shared" si="6"/>
        <v>0</v>
      </c>
      <c r="J94" s="110"/>
      <c r="K94" s="110">
        <f t="shared" si="3"/>
        <v>0</v>
      </c>
      <c r="L94" s="120">
        <f t="shared" si="4"/>
        <v>0</v>
      </c>
      <c r="M94" s="113"/>
    </row>
    <row r="95" spans="1:13" s="114" customFormat="1" hidden="1" x14ac:dyDescent="0.2">
      <c r="A95" s="106"/>
      <c r="B95" s="105"/>
      <c r="C95" s="105"/>
      <c r="D95" s="107"/>
      <c r="E95" s="105"/>
      <c r="F95" s="134"/>
      <c r="G95" s="134"/>
      <c r="H95" s="109"/>
      <c r="I95" s="109">
        <f t="shared" si="6"/>
        <v>0</v>
      </c>
      <c r="J95" s="110"/>
      <c r="K95" s="110">
        <f t="shared" si="3"/>
        <v>0</v>
      </c>
      <c r="L95" s="120">
        <f t="shared" si="4"/>
        <v>0</v>
      </c>
      <c r="M95" s="113"/>
    </row>
    <row r="96" spans="1:13" s="114" customFormat="1" hidden="1" x14ac:dyDescent="0.2">
      <c r="A96" s="106"/>
      <c r="B96" s="105"/>
      <c r="C96" s="105"/>
      <c r="D96" s="107"/>
      <c r="E96" s="105"/>
      <c r="F96" s="134"/>
      <c r="G96" s="134"/>
      <c r="H96" s="109"/>
      <c r="I96" s="109">
        <f t="shared" si="6"/>
        <v>0</v>
      </c>
      <c r="J96" s="110"/>
      <c r="K96" s="110">
        <f t="shared" si="3"/>
        <v>0</v>
      </c>
      <c r="L96" s="120">
        <f t="shared" si="4"/>
        <v>0</v>
      </c>
      <c r="M96" s="113"/>
    </row>
    <row r="97" spans="1:13" s="114" customFormat="1" hidden="1" x14ac:dyDescent="0.2">
      <c r="A97" s="106"/>
      <c r="B97" s="105"/>
      <c r="C97" s="105"/>
      <c r="D97" s="107"/>
      <c r="E97" s="105"/>
      <c r="F97" s="134"/>
      <c r="G97" s="134"/>
      <c r="H97" s="109"/>
      <c r="I97" s="109">
        <f t="shared" si="6"/>
        <v>0</v>
      </c>
      <c r="J97" s="110"/>
      <c r="K97" s="110">
        <f t="shared" si="3"/>
        <v>0</v>
      </c>
      <c r="L97" s="120">
        <f t="shared" si="4"/>
        <v>0</v>
      </c>
      <c r="M97" s="113"/>
    </row>
    <row r="98" spans="1:13" s="114" customFormat="1" hidden="1" x14ac:dyDescent="0.2">
      <c r="A98" s="106"/>
      <c r="B98" s="105"/>
      <c r="C98" s="105"/>
      <c r="D98" s="107"/>
      <c r="E98" s="105"/>
      <c r="F98" s="134"/>
      <c r="G98" s="134"/>
      <c r="H98" s="109"/>
      <c r="I98" s="109">
        <f t="shared" si="6"/>
        <v>0</v>
      </c>
      <c r="J98" s="110"/>
      <c r="K98" s="110">
        <f t="shared" si="3"/>
        <v>0</v>
      </c>
      <c r="L98" s="120">
        <f t="shared" si="4"/>
        <v>0</v>
      </c>
      <c r="M98" s="113"/>
    </row>
    <row r="99" spans="1:13" s="114" customFormat="1" hidden="1" x14ac:dyDescent="0.2">
      <c r="A99" s="106"/>
      <c r="B99" s="105"/>
      <c r="C99" s="105"/>
      <c r="D99" s="107"/>
      <c r="E99" s="105"/>
      <c r="F99" s="134"/>
      <c r="G99" s="134"/>
      <c r="H99" s="109"/>
      <c r="I99" s="109">
        <f t="shared" si="6"/>
        <v>0</v>
      </c>
      <c r="J99" s="110"/>
      <c r="K99" s="110">
        <f t="shared" si="3"/>
        <v>0</v>
      </c>
      <c r="L99" s="120">
        <f t="shared" si="4"/>
        <v>0</v>
      </c>
      <c r="M99" s="113"/>
    </row>
    <row r="100" spans="1:13" s="114" customFormat="1" hidden="1" x14ac:dyDescent="0.2">
      <c r="A100" s="106"/>
      <c r="B100" s="105"/>
      <c r="C100" s="105"/>
      <c r="D100" s="107"/>
      <c r="E100" s="105"/>
      <c r="F100" s="134"/>
      <c r="G100" s="134"/>
      <c r="H100" s="109"/>
      <c r="I100" s="109">
        <f t="shared" si="6"/>
        <v>0</v>
      </c>
      <c r="J100" s="110"/>
      <c r="K100" s="110">
        <f t="shared" si="3"/>
        <v>0</v>
      </c>
      <c r="L100" s="120">
        <f t="shared" si="4"/>
        <v>0</v>
      </c>
      <c r="M100" s="113"/>
    </row>
    <row r="101" spans="1:13" s="114" customFormat="1" hidden="1" x14ac:dyDescent="0.2">
      <c r="A101" s="106"/>
      <c r="B101" s="105"/>
      <c r="C101" s="105"/>
      <c r="D101" s="107"/>
      <c r="E101" s="105"/>
      <c r="F101" s="134"/>
      <c r="G101" s="134"/>
      <c r="H101" s="109"/>
      <c r="I101" s="109">
        <f t="shared" si="6"/>
        <v>0</v>
      </c>
      <c r="J101" s="110"/>
      <c r="K101" s="110">
        <f t="shared" si="3"/>
        <v>0</v>
      </c>
      <c r="L101" s="120">
        <f t="shared" si="4"/>
        <v>0</v>
      </c>
      <c r="M101" s="113"/>
    </row>
    <row r="102" spans="1:13" s="114" customFormat="1" hidden="1" x14ac:dyDescent="0.2">
      <c r="A102" s="106"/>
      <c r="B102" s="105"/>
      <c r="C102" s="105"/>
      <c r="D102" s="107"/>
      <c r="E102" s="105"/>
      <c r="F102" s="134"/>
      <c r="G102" s="134"/>
      <c r="H102" s="109"/>
      <c r="I102" s="109">
        <f t="shared" si="6"/>
        <v>0</v>
      </c>
      <c r="J102" s="110"/>
      <c r="K102" s="110">
        <f t="shared" si="3"/>
        <v>0</v>
      </c>
      <c r="L102" s="120">
        <f t="shared" si="4"/>
        <v>0</v>
      </c>
      <c r="M102" s="113"/>
    </row>
    <row r="103" spans="1:13" s="114" customFormat="1" hidden="1" x14ac:dyDescent="0.2">
      <c r="A103" s="106"/>
      <c r="B103" s="105"/>
      <c r="C103" s="105"/>
      <c r="D103" s="107"/>
      <c r="E103" s="105"/>
      <c r="F103" s="134"/>
      <c r="G103" s="134"/>
      <c r="H103" s="109"/>
      <c r="I103" s="109">
        <f t="shared" si="6"/>
        <v>0</v>
      </c>
      <c r="J103" s="110"/>
      <c r="K103" s="110">
        <f t="shared" si="3"/>
        <v>0</v>
      </c>
      <c r="L103" s="120">
        <f t="shared" si="4"/>
        <v>0</v>
      </c>
      <c r="M103" s="113"/>
    </row>
    <row r="104" spans="1:13" s="114" customFormat="1" hidden="1" x14ac:dyDescent="0.2">
      <c r="A104" s="106"/>
      <c r="B104" s="105"/>
      <c r="C104" s="105"/>
      <c r="D104" s="107"/>
      <c r="E104" s="105"/>
      <c r="F104" s="134"/>
      <c r="G104" s="134"/>
      <c r="H104" s="109"/>
      <c r="I104" s="109">
        <f t="shared" si="6"/>
        <v>0</v>
      </c>
      <c r="J104" s="110"/>
      <c r="K104" s="110">
        <f t="shared" si="3"/>
        <v>0</v>
      </c>
      <c r="L104" s="120">
        <f t="shared" si="4"/>
        <v>0</v>
      </c>
      <c r="M104" s="113"/>
    </row>
    <row r="105" spans="1:13" s="114" customFormat="1" hidden="1" x14ac:dyDescent="0.2">
      <c r="A105" s="106"/>
      <c r="B105" s="105"/>
      <c r="C105" s="105"/>
      <c r="D105" s="107"/>
      <c r="E105" s="105"/>
      <c r="F105" s="134"/>
      <c r="G105" s="134"/>
      <c r="H105" s="109"/>
      <c r="I105" s="109">
        <f t="shared" si="6"/>
        <v>0</v>
      </c>
      <c r="J105" s="110"/>
      <c r="K105" s="110">
        <f t="shared" si="3"/>
        <v>0</v>
      </c>
      <c r="L105" s="120">
        <f t="shared" si="4"/>
        <v>0</v>
      </c>
      <c r="M105" s="113"/>
    </row>
    <row r="106" spans="1:13" s="114" customFormat="1" hidden="1" x14ac:dyDescent="0.2">
      <c r="A106" s="106"/>
      <c r="B106" s="105"/>
      <c r="C106" s="105"/>
      <c r="D106" s="107"/>
      <c r="E106" s="105"/>
      <c r="F106" s="134"/>
      <c r="G106" s="134"/>
      <c r="H106" s="109"/>
      <c r="I106" s="109">
        <f t="shared" si="6"/>
        <v>0</v>
      </c>
      <c r="J106" s="110"/>
      <c r="K106" s="110">
        <f t="shared" si="3"/>
        <v>0</v>
      </c>
      <c r="L106" s="120">
        <f t="shared" si="4"/>
        <v>0</v>
      </c>
      <c r="M106" s="113"/>
    </row>
    <row r="107" spans="1:13" s="114" customFormat="1" hidden="1" x14ac:dyDescent="0.2">
      <c r="A107" s="106"/>
      <c r="B107" s="105"/>
      <c r="C107" s="105"/>
      <c r="D107" s="107"/>
      <c r="E107" s="105"/>
      <c r="F107" s="134"/>
      <c r="G107" s="134"/>
      <c r="H107" s="109"/>
      <c r="I107" s="109">
        <f t="shared" si="6"/>
        <v>0</v>
      </c>
      <c r="J107" s="110"/>
      <c r="K107" s="110">
        <f t="shared" si="3"/>
        <v>0</v>
      </c>
      <c r="L107" s="120">
        <f t="shared" si="4"/>
        <v>0</v>
      </c>
      <c r="M107" s="113"/>
    </row>
    <row r="108" spans="1:13" s="114" customFormat="1" hidden="1" x14ac:dyDescent="0.2">
      <c r="A108" s="106"/>
      <c r="B108" s="105"/>
      <c r="C108" s="105"/>
      <c r="D108" s="107"/>
      <c r="E108" s="105"/>
      <c r="F108" s="134"/>
      <c r="G108" s="134"/>
      <c r="H108" s="109"/>
      <c r="I108" s="109">
        <f t="shared" si="6"/>
        <v>0</v>
      </c>
      <c r="J108" s="110"/>
      <c r="K108" s="110">
        <f t="shared" si="3"/>
        <v>0</v>
      </c>
      <c r="L108" s="120">
        <f t="shared" si="4"/>
        <v>0</v>
      </c>
      <c r="M108" s="113"/>
    </row>
    <row r="109" spans="1:13" s="114" customFormat="1" hidden="1" x14ac:dyDescent="0.2">
      <c r="A109" s="106"/>
      <c r="B109" s="105"/>
      <c r="C109" s="105"/>
      <c r="D109" s="107"/>
      <c r="E109" s="105"/>
      <c r="F109" s="134"/>
      <c r="G109" s="134"/>
      <c r="H109" s="109"/>
      <c r="I109" s="109">
        <f t="shared" si="6"/>
        <v>0</v>
      </c>
      <c r="J109" s="110"/>
      <c r="K109" s="110">
        <f t="shared" si="3"/>
        <v>0</v>
      </c>
      <c r="L109" s="120">
        <f t="shared" si="4"/>
        <v>0</v>
      </c>
      <c r="M109" s="113"/>
    </row>
    <row r="110" spans="1:13" s="114" customFormat="1" hidden="1" x14ac:dyDescent="0.2">
      <c r="A110" s="106"/>
      <c r="B110" s="105"/>
      <c r="C110" s="105"/>
      <c r="D110" s="107"/>
      <c r="E110" s="105"/>
      <c r="F110" s="134"/>
      <c r="G110" s="134"/>
      <c r="H110" s="109"/>
      <c r="I110" s="109">
        <f t="shared" si="6"/>
        <v>0</v>
      </c>
      <c r="J110" s="110"/>
      <c r="K110" s="110">
        <f t="shared" si="3"/>
        <v>0</v>
      </c>
      <c r="L110" s="120">
        <f t="shared" si="4"/>
        <v>0</v>
      </c>
      <c r="M110" s="113"/>
    </row>
    <row r="111" spans="1:13" s="114" customFormat="1" hidden="1" x14ac:dyDescent="0.2">
      <c r="A111" s="106"/>
      <c r="B111" s="105"/>
      <c r="C111" s="105"/>
      <c r="D111" s="107"/>
      <c r="E111" s="105"/>
      <c r="F111" s="134"/>
      <c r="G111" s="134"/>
      <c r="H111" s="109"/>
      <c r="I111" s="109">
        <f t="shared" si="6"/>
        <v>0</v>
      </c>
      <c r="J111" s="110"/>
      <c r="K111" s="110">
        <f t="shared" si="3"/>
        <v>0</v>
      </c>
      <c r="L111" s="120">
        <f t="shared" si="4"/>
        <v>0</v>
      </c>
      <c r="M111" s="113"/>
    </row>
    <row r="112" spans="1:13" s="114" customFormat="1" hidden="1" x14ac:dyDescent="0.2">
      <c r="A112" s="106"/>
      <c r="B112" s="105"/>
      <c r="C112" s="105"/>
      <c r="D112" s="107"/>
      <c r="E112" s="105"/>
      <c r="F112" s="134"/>
      <c r="G112" s="134"/>
      <c r="H112" s="109"/>
      <c r="I112" s="109">
        <f t="shared" si="6"/>
        <v>0</v>
      </c>
      <c r="J112" s="110"/>
      <c r="K112" s="110">
        <f t="shared" si="3"/>
        <v>0</v>
      </c>
      <c r="L112" s="120">
        <f t="shared" si="4"/>
        <v>0</v>
      </c>
      <c r="M112" s="113"/>
    </row>
    <row r="113" spans="1:13" s="114" customFormat="1" hidden="1" x14ac:dyDescent="0.2">
      <c r="A113" s="106"/>
      <c r="B113" s="105"/>
      <c r="C113" s="105"/>
      <c r="D113" s="107"/>
      <c r="E113" s="105"/>
      <c r="F113" s="134"/>
      <c r="G113" s="134"/>
      <c r="H113" s="109"/>
      <c r="I113" s="109">
        <f t="shared" si="6"/>
        <v>0</v>
      </c>
      <c r="J113" s="110"/>
      <c r="K113" s="110">
        <f t="shared" si="3"/>
        <v>0</v>
      </c>
      <c r="L113" s="120">
        <f t="shared" si="4"/>
        <v>0</v>
      </c>
      <c r="M113" s="113"/>
    </row>
    <row r="114" spans="1:13" s="114" customFormat="1" hidden="1" x14ac:dyDescent="0.2">
      <c r="A114" s="106"/>
      <c r="B114" s="105"/>
      <c r="C114" s="105"/>
      <c r="D114" s="107"/>
      <c r="E114" s="105"/>
      <c r="F114" s="134"/>
      <c r="G114" s="134"/>
      <c r="H114" s="109"/>
      <c r="I114" s="109">
        <f t="shared" si="6"/>
        <v>0</v>
      </c>
      <c r="J114" s="110"/>
      <c r="K114" s="110">
        <f t="shared" si="3"/>
        <v>0</v>
      </c>
      <c r="L114" s="120">
        <f t="shared" si="4"/>
        <v>0</v>
      </c>
      <c r="M114" s="113"/>
    </row>
    <row r="115" spans="1:13" s="114" customFormat="1" hidden="1" x14ac:dyDescent="0.2">
      <c r="A115" s="106"/>
      <c r="B115" s="105"/>
      <c r="C115" s="105"/>
      <c r="D115" s="107"/>
      <c r="E115" s="105"/>
      <c r="F115" s="134"/>
      <c r="G115" s="134"/>
      <c r="H115" s="109"/>
      <c r="I115" s="109">
        <f t="shared" si="6"/>
        <v>0</v>
      </c>
      <c r="J115" s="110"/>
      <c r="K115" s="110">
        <f t="shared" si="3"/>
        <v>0</v>
      </c>
      <c r="L115" s="120">
        <f t="shared" si="4"/>
        <v>0</v>
      </c>
      <c r="M115" s="113"/>
    </row>
    <row r="116" spans="1:13" s="114" customFormat="1" hidden="1" x14ac:dyDescent="0.2">
      <c r="A116" s="106"/>
      <c r="B116" s="105"/>
      <c r="C116" s="105"/>
      <c r="D116" s="107"/>
      <c r="E116" s="105"/>
      <c r="F116" s="134"/>
      <c r="G116" s="134"/>
      <c r="H116" s="109"/>
      <c r="I116" s="109">
        <f t="shared" si="6"/>
        <v>0</v>
      </c>
      <c r="J116" s="110"/>
      <c r="K116" s="110">
        <f t="shared" si="3"/>
        <v>0</v>
      </c>
      <c r="L116" s="120">
        <f t="shared" si="4"/>
        <v>0</v>
      </c>
      <c r="M116" s="113"/>
    </row>
    <row r="117" spans="1:13" s="114" customFormat="1" hidden="1" x14ac:dyDescent="0.2">
      <c r="A117" s="106"/>
      <c r="B117" s="105"/>
      <c r="C117" s="105"/>
      <c r="D117" s="107"/>
      <c r="E117" s="105"/>
      <c r="F117" s="134"/>
      <c r="G117" s="134"/>
      <c r="H117" s="109"/>
      <c r="I117" s="109">
        <f t="shared" si="6"/>
        <v>0</v>
      </c>
      <c r="J117" s="110"/>
      <c r="K117" s="110">
        <f t="shared" si="3"/>
        <v>0</v>
      </c>
      <c r="L117" s="120">
        <f t="shared" si="4"/>
        <v>0</v>
      </c>
      <c r="M117" s="113"/>
    </row>
    <row r="118" spans="1:13" s="114" customFormat="1" hidden="1" x14ac:dyDescent="0.2">
      <c r="A118" s="106"/>
      <c r="B118" s="105"/>
      <c r="C118" s="105"/>
      <c r="D118" s="107"/>
      <c r="E118" s="105"/>
      <c r="F118" s="134"/>
      <c r="G118" s="134"/>
      <c r="H118" s="109"/>
      <c r="I118" s="109">
        <f t="shared" si="6"/>
        <v>0</v>
      </c>
      <c r="J118" s="110"/>
      <c r="K118" s="110">
        <f t="shared" si="3"/>
        <v>0</v>
      </c>
      <c r="L118" s="120">
        <f t="shared" si="4"/>
        <v>0</v>
      </c>
      <c r="M118" s="113"/>
    </row>
    <row r="119" spans="1:13" s="114" customFormat="1" hidden="1" x14ac:dyDescent="0.2">
      <c r="A119" s="106"/>
      <c r="B119" s="105"/>
      <c r="C119" s="105"/>
      <c r="D119" s="107"/>
      <c r="E119" s="105"/>
      <c r="F119" s="134"/>
      <c r="G119" s="134"/>
      <c r="H119" s="109"/>
      <c r="I119" s="109">
        <f t="shared" si="6"/>
        <v>0</v>
      </c>
      <c r="J119" s="110"/>
      <c r="K119" s="110">
        <f t="shared" si="3"/>
        <v>0</v>
      </c>
      <c r="L119" s="120">
        <f t="shared" si="4"/>
        <v>0</v>
      </c>
      <c r="M119" s="113"/>
    </row>
    <row r="120" spans="1:13" s="114" customFormat="1" hidden="1" x14ac:dyDescent="0.2">
      <c r="A120" s="106"/>
      <c r="B120" s="105"/>
      <c r="C120" s="105"/>
      <c r="D120" s="107"/>
      <c r="E120" s="105"/>
      <c r="F120" s="134"/>
      <c r="G120" s="134"/>
      <c r="H120" s="109"/>
      <c r="I120" s="109">
        <f t="shared" si="6"/>
        <v>0</v>
      </c>
      <c r="J120" s="110"/>
      <c r="K120" s="110">
        <f t="shared" si="3"/>
        <v>0</v>
      </c>
      <c r="L120" s="120">
        <f t="shared" si="4"/>
        <v>0</v>
      </c>
      <c r="M120" s="113"/>
    </row>
    <row r="121" spans="1:13" s="114" customFormat="1" hidden="1" x14ac:dyDescent="0.2">
      <c r="A121" s="106"/>
      <c r="B121" s="105"/>
      <c r="C121" s="105"/>
      <c r="D121" s="107"/>
      <c r="E121" s="105"/>
      <c r="F121" s="134"/>
      <c r="G121" s="134"/>
      <c r="H121" s="109"/>
      <c r="I121" s="109">
        <f t="shared" si="6"/>
        <v>0</v>
      </c>
      <c r="J121" s="110"/>
      <c r="K121" s="110">
        <f t="shared" si="3"/>
        <v>0</v>
      </c>
      <c r="L121" s="120">
        <f t="shared" si="4"/>
        <v>0</v>
      </c>
      <c r="M121" s="113"/>
    </row>
    <row r="122" spans="1:13" s="114" customFormat="1" hidden="1" x14ac:dyDescent="0.2">
      <c r="A122" s="106"/>
      <c r="B122" s="105"/>
      <c r="C122" s="105"/>
      <c r="D122" s="107"/>
      <c r="E122" s="105"/>
      <c r="F122" s="134"/>
      <c r="G122" s="134"/>
      <c r="H122" s="109"/>
      <c r="I122" s="109">
        <f t="shared" si="6"/>
        <v>0</v>
      </c>
      <c r="J122" s="110"/>
      <c r="K122" s="110">
        <f t="shared" si="3"/>
        <v>0</v>
      </c>
      <c r="L122" s="120">
        <f t="shared" si="4"/>
        <v>0</v>
      </c>
      <c r="M122" s="113"/>
    </row>
    <row r="123" spans="1:13" s="114" customFormat="1" hidden="1" x14ac:dyDescent="0.2">
      <c r="A123" s="106"/>
      <c r="B123" s="105"/>
      <c r="C123" s="105"/>
      <c r="D123" s="107"/>
      <c r="E123" s="105"/>
      <c r="F123" s="134"/>
      <c r="G123" s="134"/>
      <c r="H123" s="109"/>
      <c r="I123" s="109">
        <f t="shared" si="6"/>
        <v>0</v>
      </c>
      <c r="J123" s="110"/>
      <c r="K123" s="110">
        <f t="shared" si="3"/>
        <v>0</v>
      </c>
      <c r="L123" s="120">
        <f t="shared" si="4"/>
        <v>0</v>
      </c>
      <c r="M123" s="113"/>
    </row>
    <row r="124" spans="1:13" s="114" customFormat="1" hidden="1" x14ac:dyDescent="0.2">
      <c r="A124" s="106"/>
      <c r="B124" s="105"/>
      <c r="C124" s="105"/>
      <c r="D124" s="107"/>
      <c r="E124" s="105"/>
      <c r="F124" s="134"/>
      <c r="G124" s="134"/>
      <c r="H124" s="109"/>
      <c r="I124" s="109">
        <f t="shared" si="6"/>
        <v>0</v>
      </c>
      <c r="J124" s="110"/>
      <c r="K124" s="110">
        <f t="shared" si="3"/>
        <v>0</v>
      </c>
      <c r="L124" s="120">
        <f t="shared" si="4"/>
        <v>0</v>
      </c>
      <c r="M124" s="113"/>
    </row>
    <row r="125" spans="1:13" s="114" customFormat="1" hidden="1" x14ac:dyDescent="0.2">
      <c r="A125" s="106"/>
      <c r="B125" s="105"/>
      <c r="C125" s="105"/>
      <c r="D125" s="107"/>
      <c r="E125" s="105"/>
      <c r="F125" s="134"/>
      <c r="G125" s="134"/>
      <c r="H125" s="109"/>
      <c r="I125" s="109">
        <f t="shared" si="6"/>
        <v>0</v>
      </c>
      <c r="J125" s="110"/>
      <c r="K125" s="110">
        <f t="shared" si="3"/>
        <v>0</v>
      </c>
      <c r="L125" s="120">
        <f t="shared" si="4"/>
        <v>0</v>
      </c>
      <c r="M125" s="113"/>
    </row>
    <row r="126" spans="1:13" s="114" customFormat="1" hidden="1" x14ac:dyDescent="0.2">
      <c r="A126" s="106"/>
      <c r="B126" s="105"/>
      <c r="C126" s="105"/>
      <c r="D126" s="107"/>
      <c r="E126" s="105"/>
      <c r="F126" s="134"/>
      <c r="G126" s="134"/>
      <c r="H126" s="109"/>
      <c r="I126" s="109">
        <f t="shared" si="6"/>
        <v>0</v>
      </c>
      <c r="J126" s="110"/>
      <c r="K126" s="110">
        <f t="shared" si="3"/>
        <v>0</v>
      </c>
      <c r="L126" s="120">
        <f t="shared" si="4"/>
        <v>0</v>
      </c>
      <c r="M126" s="113"/>
    </row>
    <row r="127" spans="1:13" s="114" customFormat="1" hidden="1" x14ac:dyDescent="0.2">
      <c r="A127" s="106"/>
      <c r="B127" s="105"/>
      <c r="C127" s="105"/>
      <c r="D127" s="107"/>
      <c r="E127" s="105"/>
      <c r="F127" s="134"/>
      <c r="G127" s="134"/>
      <c r="H127" s="109"/>
      <c r="I127" s="109">
        <f t="shared" si="6"/>
        <v>0</v>
      </c>
      <c r="J127" s="110"/>
      <c r="K127" s="110">
        <f t="shared" si="3"/>
        <v>0</v>
      </c>
      <c r="L127" s="120">
        <f t="shared" si="4"/>
        <v>0</v>
      </c>
      <c r="M127" s="113"/>
    </row>
    <row r="128" spans="1:13" s="114" customFormat="1" hidden="1" x14ac:dyDescent="0.2">
      <c r="A128" s="106"/>
      <c r="B128" s="105"/>
      <c r="C128" s="105"/>
      <c r="D128" s="107"/>
      <c r="E128" s="105"/>
      <c r="F128" s="134"/>
      <c r="G128" s="134"/>
      <c r="H128" s="109"/>
      <c r="I128" s="109">
        <f t="shared" si="6"/>
        <v>0</v>
      </c>
      <c r="J128" s="110"/>
      <c r="K128" s="110">
        <f t="shared" si="3"/>
        <v>0</v>
      </c>
      <c r="L128" s="120">
        <f t="shared" si="4"/>
        <v>0</v>
      </c>
      <c r="M128" s="113"/>
    </row>
    <row r="129" spans="1:13" s="114" customFormat="1" hidden="1" x14ac:dyDescent="0.2">
      <c r="A129" s="106"/>
      <c r="B129" s="105"/>
      <c r="C129" s="105"/>
      <c r="D129" s="107"/>
      <c r="E129" s="105"/>
      <c r="F129" s="134"/>
      <c r="G129" s="134"/>
      <c r="H129" s="109"/>
      <c r="I129" s="109">
        <f t="shared" si="6"/>
        <v>0</v>
      </c>
      <c r="J129" s="110"/>
      <c r="K129" s="110">
        <f t="shared" si="3"/>
        <v>0</v>
      </c>
      <c r="L129" s="120">
        <f t="shared" si="4"/>
        <v>0</v>
      </c>
      <c r="M129" s="113"/>
    </row>
    <row r="130" spans="1:13" s="114" customFormat="1" hidden="1" x14ac:dyDescent="0.2">
      <c r="A130" s="106"/>
      <c r="B130" s="105"/>
      <c r="C130" s="105"/>
      <c r="D130" s="107"/>
      <c r="E130" s="105"/>
      <c r="F130" s="134"/>
      <c r="G130" s="134"/>
      <c r="H130" s="109"/>
      <c r="I130" s="109">
        <f t="shared" si="6"/>
        <v>0</v>
      </c>
      <c r="J130" s="110"/>
      <c r="K130" s="110">
        <f t="shared" si="3"/>
        <v>0</v>
      </c>
      <c r="L130" s="120">
        <f t="shared" si="4"/>
        <v>0</v>
      </c>
      <c r="M130" s="113"/>
    </row>
    <row r="131" spans="1:13" s="114" customFormat="1" hidden="1" x14ac:dyDescent="0.2">
      <c r="A131" s="106"/>
      <c r="B131" s="105"/>
      <c r="C131" s="105"/>
      <c r="D131" s="107"/>
      <c r="E131" s="105"/>
      <c r="F131" s="134"/>
      <c r="G131" s="134"/>
      <c r="H131" s="109"/>
      <c r="I131" s="109">
        <f t="shared" si="6"/>
        <v>0</v>
      </c>
      <c r="J131" s="110"/>
      <c r="K131" s="110">
        <f t="shared" si="3"/>
        <v>0</v>
      </c>
      <c r="L131" s="120">
        <f t="shared" si="4"/>
        <v>0</v>
      </c>
      <c r="M131" s="113"/>
    </row>
    <row r="132" spans="1:13" s="114" customFormat="1" hidden="1" x14ac:dyDescent="0.2">
      <c r="A132" s="106"/>
      <c r="B132" s="105"/>
      <c r="C132" s="105"/>
      <c r="D132" s="107"/>
      <c r="E132" s="105"/>
      <c r="F132" s="134"/>
      <c r="G132" s="134"/>
      <c r="H132" s="109"/>
      <c r="I132" s="109">
        <f t="shared" si="6"/>
        <v>0</v>
      </c>
      <c r="J132" s="110"/>
      <c r="K132" s="110">
        <f t="shared" si="3"/>
        <v>0</v>
      </c>
      <c r="L132" s="120">
        <f t="shared" si="4"/>
        <v>0</v>
      </c>
      <c r="M132" s="113"/>
    </row>
    <row r="133" spans="1:13" s="114" customFormat="1" hidden="1" x14ac:dyDescent="0.2">
      <c r="A133" s="106"/>
      <c r="B133" s="105"/>
      <c r="C133" s="105"/>
      <c r="D133" s="107"/>
      <c r="E133" s="105"/>
      <c r="F133" s="134"/>
      <c r="G133" s="134"/>
      <c r="H133" s="109"/>
      <c r="I133" s="109">
        <f t="shared" si="6"/>
        <v>0</v>
      </c>
      <c r="J133" s="110"/>
      <c r="K133" s="110">
        <f t="shared" si="3"/>
        <v>0</v>
      </c>
      <c r="L133" s="120">
        <f t="shared" si="4"/>
        <v>0</v>
      </c>
      <c r="M133" s="113"/>
    </row>
    <row r="134" spans="1:13" s="114" customFormat="1" hidden="1" x14ac:dyDescent="0.2">
      <c r="A134" s="106"/>
      <c r="B134" s="105"/>
      <c r="C134" s="105"/>
      <c r="D134" s="107"/>
      <c r="E134" s="105"/>
      <c r="F134" s="134"/>
      <c r="G134" s="134"/>
      <c r="H134" s="109"/>
      <c r="I134" s="109">
        <f t="shared" si="6"/>
        <v>0</v>
      </c>
      <c r="J134" s="110"/>
      <c r="K134" s="110">
        <f t="shared" si="3"/>
        <v>0</v>
      </c>
      <c r="L134" s="120">
        <f t="shared" si="4"/>
        <v>0</v>
      </c>
      <c r="M134" s="113"/>
    </row>
    <row r="135" spans="1:13" s="114" customFormat="1" hidden="1" x14ac:dyDescent="0.2">
      <c r="A135" s="106"/>
      <c r="B135" s="105"/>
      <c r="C135" s="105"/>
      <c r="D135" s="107"/>
      <c r="E135" s="105"/>
      <c r="F135" s="134"/>
      <c r="G135" s="134"/>
      <c r="H135" s="109"/>
      <c r="I135" s="109">
        <f t="shared" si="6"/>
        <v>0</v>
      </c>
      <c r="J135" s="110"/>
      <c r="K135" s="110">
        <f t="shared" si="3"/>
        <v>0</v>
      </c>
      <c r="L135" s="120">
        <f t="shared" si="4"/>
        <v>0</v>
      </c>
      <c r="M135" s="113"/>
    </row>
    <row r="136" spans="1:13" s="114" customFormat="1" hidden="1" x14ac:dyDescent="0.2">
      <c r="A136" s="106"/>
      <c r="B136" s="105"/>
      <c r="C136" s="105"/>
      <c r="D136" s="107"/>
      <c r="E136" s="105"/>
      <c r="F136" s="134"/>
      <c r="G136" s="134"/>
      <c r="H136" s="109"/>
      <c r="I136" s="109">
        <f t="shared" si="6"/>
        <v>0</v>
      </c>
      <c r="J136" s="110"/>
      <c r="K136" s="110">
        <f t="shared" si="3"/>
        <v>0</v>
      </c>
      <c r="L136" s="120">
        <f t="shared" si="4"/>
        <v>0</v>
      </c>
      <c r="M136" s="113"/>
    </row>
    <row r="137" spans="1:13" s="114" customFormat="1" hidden="1" x14ac:dyDescent="0.2">
      <c r="A137" s="106"/>
      <c r="B137" s="105"/>
      <c r="C137" s="105"/>
      <c r="D137" s="107"/>
      <c r="E137" s="105"/>
      <c r="F137" s="134"/>
      <c r="G137" s="134"/>
      <c r="H137" s="109"/>
      <c r="I137" s="109">
        <f t="shared" si="6"/>
        <v>0</v>
      </c>
      <c r="J137" s="110"/>
      <c r="K137" s="110">
        <f t="shared" si="3"/>
        <v>0</v>
      </c>
      <c r="L137" s="120">
        <f t="shared" si="4"/>
        <v>0</v>
      </c>
      <c r="M137" s="113"/>
    </row>
    <row r="138" spans="1:13" s="114" customFormat="1" hidden="1" x14ac:dyDescent="0.2">
      <c r="A138" s="106"/>
      <c r="B138" s="105"/>
      <c r="C138" s="105"/>
      <c r="D138" s="107"/>
      <c r="E138" s="105"/>
      <c r="F138" s="134"/>
      <c r="G138" s="134"/>
      <c r="H138" s="109"/>
      <c r="I138" s="109">
        <f t="shared" si="6"/>
        <v>0</v>
      </c>
      <c r="J138" s="110"/>
      <c r="K138" s="110">
        <f t="shared" si="3"/>
        <v>0</v>
      </c>
      <c r="L138" s="120">
        <f t="shared" si="4"/>
        <v>0</v>
      </c>
      <c r="M138" s="113"/>
    </row>
    <row r="139" spans="1:13" s="114" customFormat="1" hidden="1" x14ac:dyDescent="0.2">
      <c r="A139" s="106"/>
      <c r="B139" s="105"/>
      <c r="C139" s="105"/>
      <c r="D139" s="107"/>
      <c r="E139" s="105"/>
      <c r="F139" s="134"/>
      <c r="G139" s="134"/>
      <c r="H139" s="109"/>
      <c r="I139" s="109">
        <f t="shared" ref="I139:I161" si="7">E139*G139</f>
        <v>0</v>
      </c>
      <c r="J139" s="110"/>
      <c r="K139" s="110">
        <f t="shared" si="3"/>
        <v>0</v>
      </c>
      <c r="L139" s="120">
        <f t="shared" si="4"/>
        <v>0</v>
      </c>
      <c r="M139" s="113"/>
    </row>
    <row r="140" spans="1:13" s="114" customFormat="1" hidden="1" x14ac:dyDescent="0.2">
      <c r="A140" s="106"/>
      <c r="B140" s="105"/>
      <c r="C140" s="105"/>
      <c r="D140" s="107"/>
      <c r="E140" s="105"/>
      <c r="F140" s="134"/>
      <c r="G140" s="134"/>
      <c r="H140" s="109"/>
      <c r="I140" s="109">
        <f t="shared" si="7"/>
        <v>0</v>
      </c>
      <c r="J140" s="110"/>
      <c r="K140" s="110">
        <f t="shared" si="3"/>
        <v>0</v>
      </c>
      <c r="L140" s="120">
        <f t="shared" si="4"/>
        <v>0</v>
      </c>
      <c r="M140" s="113"/>
    </row>
    <row r="141" spans="1:13" s="114" customFormat="1" hidden="1" x14ac:dyDescent="0.2">
      <c r="A141" s="106"/>
      <c r="B141" s="105"/>
      <c r="C141" s="105"/>
      <c r="D141" s="107"/>
      <c r="E141" s="105"/>
      <c r="F141" s="134"/>
      <c r="G141" s="134"/>
      <c r="H141" s="109"/>
      <c r="I141" s="109">
        <f t="shared" si="7"/>
        <v>0</v>
      </c>
      <c r="J141" s="110"/>
      <c r="K141" s="110">
        <f t="shared" si="3"/>
        <v>0</v>
      </c>
      <c r="L141" s="120">
        <f t="shared" si="4"/>
        <v>0</v>
      </c>
      <c r="M141" s="113"/>
    </row>
    <row r="142" spans="1:13" s="114" customFormat="1" hidden="1" x14ac:dyDescent="0.2">
      <c r="A142" s="106"/>
      <c r="B142" s="105"/>
      <c r="C142" s="105"/>
      <c r="D142" s="107"/>
      <c r="E142" s="105"/>
      <c r="F142" s="134"/>
      <c r="G142" s="134"/>
      <c r="H142" s="109"/>
      <c r="I142" s="109">
        <f t="shared" si="7"/>
        <v>0</v>
      </c>
      <c r="J142" s="110"/>
      <c r="K142" s="110">
        <f t="shared" si="3"/>
        <v>0</v>
      </c>
      <c r="L142" s="120">
        <f t="shared" si="4"/>
        <v>0</v>
      </c>
      <c r="M142" s="113"/>
    </row>
    <row r="143" spans="1:13" s="114" customFormat="1" hidden="1" x14ac:dyDescent="0.2">
      <c r="A143" s="106"/>
      <c r="B143" s="105"/>
      <c r="C143" s="105"/>
      <c r="D143" s="107"/>
      <c r="E143" s="105"/>
      <c r="F143" s="134"/>
      <c r="G143" s="134"/>
      <c r="H143" s="109"/>
      <c r="I143" s="109">
        <f t="shared" si="7"/>
        <v>0</v>
      </c>
      <c r="J143" s="110"/>
      <c r="K143" s="110">
        <f t="shared" si="3"/>
        <v>0</v>
      </c>
      <c r="L143" s="120">
        <f t="shared" si="4"/>
        <v>0</v>
      </c>
      <c r="M143" s="113"/>
    </row>
    <row r="144" spans="1:13" s="114" customFormat="1" hidden="1" x14ac:dyDescent="0.2">
      <c r="A144" s="106"/>
      <c r="B144" s="105"/>
      <c r="C144" s="105"/>
      <c r="D144" s="107"/>
      <c r="E144" s="105"/>
      <c r="F144" s="134"/>
      <c r="G144" s="134"/>
      <c r="H144" s="109"/>
      <c r="I144" s="109">
        <f t="shared" si="7"/>
        <v>0</v>
      </c>
      <c r="J144" s="110"/>
      <c r="K144" s="110">
        <f t="shared" si="3"/>
        <v>0</v>
      </c>
      <c r="L144" s="120">
        <f t="shared" si="4"/>
        <v>0</v>
      </c>
      <c r="M144" s="113"/>
    </row>
    <row r="145" spans="1:13" s="114" customFormat="1" hidden="1" x14ac:dyDescent="0.2">
      <c r="A145" s="106"/>
      <c r="B145" s="105"/>
      <c r="C145" s="105"/>
      <c r="D145" s="107"/>
      <c r="E145" s="105"/>
      <c r="F145" s="134"/>
      <c r="G145" s="134"/>
      <c r="H145" s="109"/>
      <c r="I145" s="109">
        <f t="shared" si="7"/>
        <v>0</v>
      </c>
      <c r="J145" s="110"/>
      <c r="K145" s="110">
        <f t="shared" si="3"/>
        <v>0</v>
      </c>
      <c r="L145" s="120">
        <f t="shared" si="4"/>
        <v>0</v>
      </c>
      <c r="M145" s="113"/>
    </row>
    <row r="146" spans="1:13" s="114" customFormat="1" hidden="1" x14ac:dyDescent="0.2">
      <c r="A146" s="106"/>
      <c r="B146" s="105"/>
      <c r="C146" s="105"/>
      <c r="D146" s="107"/>
      <c r="E146" s="105"/>
      <c r="F146" s="134"/>
      <c r="G146" s="134"/>
      <c r="H146" s="109"/>
      <c r="I146" s="109">
        <f t="shared" si="7"/>
        <v>0</v>
      </c>
      <c r="J146" s="110"/>
      <c r="K146" s="110">
        <f t="shared" si="3"/>
        <v>0</v>
      </c>
      <c r="L146" s="120">
        <f t="shared" si="4"/>
        <v>0</v>
      </c>
      <c r="M146" s="113"/>
    </row>
    <row r="147" spans="1:13" s="114" customFormat="1" hidden="1" x14ac:dyDescent="0.2">
      <c r="A147" s="106"/>
      <c r="B147" s="105"/>
      <c r="C147" s="105"/>
      <c r="D147" s="107"/>
      <c r="E147" s="105"/>
      <c r="F147" s="134"/>
      <c r="G147" s="134"/>
      <c r="H147" s="109"/>
      <c r="I147" s="109">
        <f t="shared" si="7"/>
        <v>0</v>
      </c>
      <c r="J147" s="110"/>
      <c r="K147" s="110">
        <f t="shared" si="3"/>
        <v>0</v>
      </c>
      <c r="L147" s="120">
        <f t="shared" si="4"/>
        <v>0</v>
      </c>
      <c r="M147" s="113"/>
    </row>
    <row r="148" spans="1:13" s="114" customFormat="1" hidden="1" x14ac:dyDescent="0.2">
      <c r="A148" s="106"/>
      <c r="B148" s="105"/>
      <c r="C148" s="105"/>
      <c r="D148" s="107"/>
      <c r="E148" s="105"/>
      <c r="F148" s="134"/>
      <c r="G148" s="134"/>
      <c r="H148" s="109"/>
      <c r="I148" s="109">
        <f t="shared" si="7"/>
        <v>0</v>
      </c>
      <c r="J148" s="110"/>
      <c r="K148" s="110">
        <f t="shared" si="3"/>
        <v>0</v>
      </c>
      <c r="L148" s="120">
        <f t="shared" si="4"/>
        <v>0</v>
      </c>
      <c r="M148" s="113"/>
    </row>
    <row r="149" spans="1:13" s="114" customFormat="1" hidden="1" x14ac:dyDescent="0.2">
      <c r="A149" s="106"/>
      <c r="B149" s="105"/>
      <c r="C149" s="105"/>
      <c r="D149" s="107"/>
      <c r="E149" s="105"/>
      <c r="F149" s="134"/>
      <c r="G149" s="134"/>
      <c r="H149" s="109"/>
      <c r="I149" s="109">
        <f t="shared" si="7"/>
        <v>0</v>
      </c>
      <c r="J149" s="110"/>
      <c r="K149" s="110">
        <f t="shared" si="3"/>
        <v>0</v>
      </c>
      <c r="L149" s="120">
        <f t="shared" si="4"/>
        <v>0</v>
      </c>
      <c r="M149" s="113"/>
    </row>
    <row r="150" spans="1:13" s="114" customFormat="1" hidden="1" x14ac:dyDescent="0.2">
      <c r="A150" s="106"/>
      <c r="B150" s="105"/>
      <c r="C150" s="105"/>
      <c r="D150" s="107"/>
      <c r="E150" s="105"/>
      <c r="F150" s="134"/>
      <c r="G150" s="134"/>
      <c r="H150" s="109"/>
      <c r="I150" s="109">
        <f t="shared" si="7"/>
        <v>0</v>
      </c>
      <c r="J150" s="110"/>
      <c r="K150" s="110">
        <f t="shared" si="3"/>
        <v>0</v>
      </c>
      <c r="L150" s="120">
        <f t="shared" si="4"/>
        <v>0</v>
      </c>
      <c r="M150" s="113"/>
    </row>
    <row r="151" spans="1:13" s="114" customFormat="1" hidden="1" x14ac:dyDescent="0.2">
      <c r="A151" s="106"/>
      <c r="B151" s="105"/>
      <c r="C151" s="105"/>
      <c r="D151" s="107"/>
      <c r="E151" s="105"/>
      <c r="F151" s="134"/>
      <c r="G151" s="134"/>
      <c r="H151" s="109"/>
      <c r="I151" s="109">
        <f t="shared" si="7"/>
        <v>0</v>
      </c>
      <c r="J151" s="110"/>
      <c r="K151" s="110">
        <f t="shared" si="3"/>
        <v>0</v>
      </c>
      <c r="L151" s="120">
        <f t="shared" si="4"/>
        <v>0</v>
      </c>
      <c r="M151" s="113"/>
    </row>
    <row r="152" spans="1:13" s="114" customFormat="1" hidden="1" x14ac:dyDescent="0.2">
      <c r="A152" s="106"/>
      <c r="B152" s="105"/>
      <c r="C152" s="105"/>
      <c r="D152" s="107"/>
      <c r="E152" s="105"/>
      <c r="F152" s="134"/>
      <c r="G152" s="134"/>
      <c r="H152" s="109"/>
      <c r="I152" s="109">
        <f t="shared" si="7"/>
        <v>0</v>
      </c>
      <c r="J152" s="110"/>
      <c r="K152" s="110">
        <f t="shared" si="3"/>
        <v>0</v>
      </c>
      <c r="L152" s="120">
        <f t="shared" si="4"/>
        <v>0</v>
      </c>
      <c r="M152" s="113"/>
    </row>
    <row r="153" spans="1:13" s="114" customFormat="1" hidden="1" x14ac:dyDescent="0.2">
      <c r="A153" s="106"/>
      <c r="B153" s="105"/>
      <c r="C153" s="105"/>
      <c r="D153" s="107"/>
      <c r="E153" s="105"/>
      <c r="F153" s="134"/>
      <c r="G153" s="134"/>
      <c r="H153" s="109"/>
      <c r="I153" s="109">
        <f t="shared" si="7"/>
        <v>0</v>
      </c>
      <c r="J153" s="110"/>
      <c r="K153" s="110">
        <f t="shared" si="3"/>
        <v>0</v>
      </c>
      <c r="L153" s="120">
        <f t="shared" si="4"/>
        <v>0</v>
      </c>
      <c r="M153" s="113"/>
    </row>
    <row r="154" spans="1:13" s="114" customFormat="1" hidden="1" x14ac:dyDescent="0.2">
      <c r="A154" s="106"/>
      <c r="B154" s="105"/>
      <c r="C154" s="105"/>
      <c r="D154" s="107"/>
      <c r="E154" s="105"/>
      <c r="F154" s="134"/>
      <c r="G154" s="134"/>
      <c r="H154" s="109"/>
      <c r="I154" s="109">
        <f t="shared" si="7"/>
        <v>0</v>
      </c>
      <c r="J154" s="110"/>
      <c r="K154" s="110">
        <f t="shared" si="3"/>
        <v>0</v>
      </c>
      <c r="L154" s="120">
        <f t="shared" si="4"/>
        <v>0</v>
      </c>
      <c r="M154" s="113"/>
    </row>
    <row r="155" spans="1:13" s="114" customFormat="1" hidden="1" x14ac:dyDescent="0.2">
      <c r="A155" s="106"/>
      <c r="B155" s="105"/>
      <c r="C155" s="105"/>
      <c r="D155" s="107"/>
      <c r="E155" s="105"/>
      <c r="F155" s="134"/>
      <c r="G155" s="134"/>
      <c r="H155" s="109"/>
      <c r="I155" s="109">
        <f t="shared" si="7"/>
        <v>0</v>
      </c>
      <c r="J155" s="110"/>
      <c r="K155" s="110">
        <f t="shared" si="3"/>
        <v>0</v>
      </c>
      <c r="L155" s="120">
        <f t="shared" si="4"/>
        <v>0</v>
      </c>
      <c r="M155" s="113"/>
    </row>
    <row r="156" spans="1:13" s="114" customFormat="1" hidden="1" x14ac:dyDescent="0.2">
      <c r="A156" s="106"/>
      <c r="B156" s="105"/>
      <c r="C156" s="105"/>
      <c r="D156" s="107"/>
      <c r="E156" s="105"/>
      <c r="F156" s="134"/>
      <c r="G156" s="134"/>
      <c r="H156" s="109"/>
      <c r="I156" s="109">
        <f t="shared" si="7"/>
        <v>0</v>
      </c>
      <c r="J156" s="110"/>
      <c r="K156" s="110">
        <f t="shared" si="3"/>
        <v>0</v>
      </c>
      <c r="L156" s="120">
        <f t="shared" si="4"/>
        <v>0</v>
      </c>
      <c r="M156" s="113"/>
    </row>
    <row r="157" spans="1:13" s="114" customFormat="1" hidden="1" x14ac:dyDescent="0.2">
      <c r="A157" s="106"/>
      <c r="B157" s="105"/>
      <c r="C157" s="105"/>
      <c r="D157" s="107"/>
      <c r="E157" s="105"/>
      <c r="F157" s="134"/>
      <c r="G157" s="134"/>
      <c r="H157" s="109"/>
      <c r="I157" s="109">
        <f t="shared" si="7"/>
        <v>0</v>
      </c>
      <c r="J157" s="110"/>
      <c r="K157" s="110">
        <f t="shared" si="3"/>
        <v>0</v>
      </c>
      <c r="L157" s="120">
        <f t="shared" si="4"/>
        <v>0</v>
      </c>
      <c r="M157" s="113"/>
    </row>
    <row r="158" spans="1:13" s="114" customFormat="1" hidden="1" x14ac:dyDescent="0.2">
      <c r="A158" s="106"/>
      <c r="B158" s="105"/>
      <c r="C158" s="105"/>
      <c r="D158" s="107"/>
      <c r="E158" s="105"/>
      <c r="F158" s="134"/>
      <c r="G158" s="134"/>
      <c r="H158" s="109"/>
      <c r="I158" s="109">
        <f t="shared" si="7"/>
        <v>0</v>
      </c>
      <c r="J158" s="110"/>
      <c r="K158" s="110">
        <f t="shared" si="3"/>
        <v>0</v>
      </c>
      <c r="L158" s="120">
        <f t="shared" si="4"/>
        <v>0</v>
      </c>
      <c r="M158" s="113"/>
    </row>
    <row r="159" spans="1:13" s="114" customFormat="1" hidden="1" x14ac:dyDescent="0.2">
      <c r="A159" s="106"/>
      <c r="B159" s="105"/>
      <c r="C159" s="105"/>
      <c r="D159" s="107"/>
      <c r="E159" s="105"/>
      <c r="F159" s="134"/>
      <c r="G159" s="134"/>
      <c r="H159" s="109"/>
      <c r="I159" s="109">
        <f t="shared" si="7"/>
        <v>0</v>
      </c>
      <c r="J159" s="110"/>
      <c r="K159" s="110">
        <f t="shared" si="3"/>
        <v>0</v>
      </c>
      <c r="L159" s="120">
        <f t="shared" si="4"/>
        <v>0</v>
      </c>
      <c r="M159" s="113"/>
    </row>
    <row r="160" spans="1:13" s="114" customFormat="1" hidden="1" x14ac:dyDescent="0.2">
      <c r="A160" s="106"/>
      <c r="B160" s="105"/>
      <c r="C160" s="105"/>
      <c r="D160" s="107"/>
      <c r="E160" s="105"/>
      <c r="F160" s="134"/>
      <c r="G160" s="134"/>
      <c r="H160" s="109"/>
      <c r="I160" s="109">
        <f t="shared" si="7"/>
        <v>0</v>
      </c>
      <c r="J160" s="110"/>
      <c r="K160" s="110">
        <f t="shared" si="3"/>
        <v>0</v>
      </c>
      <c r="L160" s="120">
        <f t="shared" si="4"/>
        <v>0</v>
      </c>
      <c r="M160" s="113"/>
    </row>
    <row r="161" spans="1:13" s="114" customFormat="1" hidden="1" x14ac:dyDescent="0.2">
      <c r="A161" s="106"/>
      <c r="B161" s="105"/>
      <c r="C161" s="105"/>
      <c r="D161" s="107"/>
      <c r="E161" s="105"/>
      <c r="F161" s="134"/>
      <c r="G161" s="134"/>
      <c r="H161" s="109"/>
      <c r="I161" s="109">
        <f t="shared" si="7"/>
        <v>0</v>
      </c>
      <c r="J161" s="110"/>
      <c r="K161" s="110">
        <f t="shared" si="3"/>
        <v>0</v>
      </c>
      <c r="L161" s="120">
        <f t="shared" si="4"/>
        <v>0</v>
      </c>
      <c r="M161" s="113"/>
    </row>
    <row r="162" spans="1:13" s="114" customFormat="1" hidden="1" x14ac:dyDescent="0.2">
      <c r="A162" s="106"/>
      <c r="B162" s="105"/>
      <c r="C162" s="105"/>
      <c r="D162" s="107"/>
      <c r="E162" s="105"/>
      <c r="F162" s="134"/>
      <c r="G162" s="134"/>
      <c r="H162" s="109"/>
      <c r="I162" s="109">
        <f t="shared" ref="I162:I174" si="8">E162*G162</f>
        <v>0</v>
      </c>
      <c r="J162" s="110"/>
      <c r="K162" s="110">
        <f t="shared" si="3"/>
        <v>0</v>
      </c>
      <c r="L162" s="120">
        <f t="shared" si="4"/>
        <v>0</v>
      </c>
      <c r="M162" s="113"/>
    </row>
    <row r="163" spans="1:13" s="114" customFormat="1" hidden="1" x14ac:dyDescent="0.2">
      <c r="A163" s="106"/>
      <c r="B163" s="105"/>
      <c r="C163" s="105"/>
      <c r="D163" s="107"/>
      <c r="E163" s="105"/>
      <c r="F163" s="134"/>
      <c r="G163" s="134"/>
      <c r="H163" s="109"/>
      <c r="I163" s="109">
        <f t="shared" si="8"/>
        <v>0</v>
      </c>
      <c r="J163" s="110"/>
      <c r="K163" s="110">
        <f t="shared" si="3"/>
        <v>0</v>
      </c>
      <c r="L163" s="120">
        <f t="shared" si="4"/>
        <v>0</v>
      </c>
      <c r="M163" s="113"/>
    </row>
    <row r="164" spans="1:13" s="114" customFormat="1" hidden="1" x14ac:dyDescent="0.2">
      <c r="A164" s="106"/>
      <c r="B164" s="105"/>
      <c r="C164" s="105"/>
      <c r="D164" s="107"/>
      <c r="E164" s="105"/>
      <c r="F164" s="134"/>
      <c r="G164" s="134"/>
      <c r="H164" s="109"/>
      <c r="I164" s="109">
        <f t="shared" si="8"/>
        <v>0</v>
      </c>
      <c r="J164" s="110"/>
      <c r="K164" s="110">
        <f t="shared" si="3"/>
        <v>0</v>
      </c>
      <c r="L164" s="120">
        <f t="shared" si="4"/>
        <v>0</v>
      </c>
      <c r="M164" s="113"/>
    </row>
    <row r="165" spans="1:13" s="114" customFormat="1" hidden="1" x14ac:dyDescent="0.2">
      <c r="A165" s="106"/>
      <c r="B165" s="105"/>
      <c r="C165" s="105"/>
      <c r="D165" s="107"/>
      <c r="E165" s="105"/>
      <c r="F165" s="134"/>
      <c r="G165" s="134"/>
      <c r="H165" s="109"/>
      <c r="I165" s="109">
        <f t="shared" si="8"/>
        <v>0</v>
      </c>
      <c r="J165" s="110"/>
      <c r="K165" s="110">
        <f t="shared" si="3"/>
        <v>0</v>
      </c>
      <c r="L165" s="120">
        <f t="shared" si="4"/>
        <v>0</v>
      </c>
      <c r="M165" s="113"/>
    </row>
    <row r="166" spans="1:13" s="114" customFormat="1" hidden="1" x14ac:dyDescent="0.2">
      <c r="A166" s="106"/>
      <c r="B166" s="105"/>
      <c r="C166" s="105"/>
      <c r="D166" s="107"/>
      <c r="E166" s="105"/>
      <c r="F166" s="134"/>
      <c r="G166" s="134"/>
      <c r="H166" s="109"/>
      <c r="I166" s="109">
        <f t="shared" si="8"/>
        <v>0</v>
      </c>
      <c r="J166" s="110"/>
      <c r="K166" s="110">
        <f t="shared" si="3"/>
        <v>0</v>
      </c>
      <c r="L166" s="120">
        <f t="shared" si="4"/>
        <v>0</v>
      </c>
      <c r="M166" s="113"/>
    </row>
    <row r="167" spans="1:13" s="114" customFormat="1" hidden="1" x14ac:dyDescent="0.2">
      <c r="A167" s="106"/>
      <c r="B167" s="105"/>
      <c r="C167" s="105"/>
      <c r="D167" s="107"/>
      <c r="E167" s="105"/>
      <c r="F167" s="134"/>
      <c r="G167" s="134"/>
      <c r="H167" s="109"/>
      <c r="I167" s="109">
        <f t="shared" si="8"/>
        <v>0</v>
      </c>
      <c r="J167" s="110"/>
      <c r="K167" s="110">
        <f t="shared" si="3"/>
        <v>0</v>
      </c>
      <c r="L167" s="120">
        <f t="shared" si="4"/>
        <v>0</v>
      </c>
      <c r="M167" s="113"/>
    </row>
    <row r="168" spans="1:13" s="114" customFormat="1" hidden="1" x14ac:dyDescent="0.2">
      <c r="A168" s="106"/>
      <c r="B168" s="105"/>
      <c r="C168" s="105"/>
      <c r="D168" s="107"/>
      <c r="E168" s="105"/>
      <c r="F168" s="134"/>
      <c r="G168" s="134"/>
      <c r="H168" s="109"/>
      <c r="I168" s="109">
        <f t="shared" si="8"/>
        <v>0</v>
      </c>
      <c r="J168" s="110"/>
      <c r="K168" s="110">
        <f t="shared" ref="K168:K174" si="9">H168+I168-J168</f>
        <v>0</v>
      </c>
      <c r="L168" s="120">
        <f t="shared" ref="L168:L173" si="10">E168*F168</f>
        <v>0</v>
      </c>
      <c r="M168" s="113"/>
    </row>
    <row r="169" spans="1:13" s="114" customFormat="1" hidden="1" x14ac:dyDescent="0.2">
      <c r="A169" s="106"/>
      <c r="B169" s="105"/>
      <c r="C169" s="105"/>
      <c r="D169" s="107"/>
      <c r="E169" s="105"/>
      <c r="F169" s="134"/>
      <c r="G169" s="134"/>
      <c r="H169" s="109"/>
      <c r="I169" s="109">
        <f t="shared" si="8"/>
        <v>0</v>
      </c>
      <c r="J169" s="110"/>
      <c r="K169" s="110">
        <f t="shared" si="9"/>
        <v>0</v>
      </c>
      <c r="L169" s="120">
        <f t="shared" si="10"/>
        <v>0</v>
      </c>
      <c r="M169" s="113"/>
    </row>
    <row r="170" spans="1:13" s="114" customFormat="1" hidden="1" x14ac:dyDescent="0.2">
      <c r="A170" s="106"/>
      <c r="B170" s="105"/>
      <c r="C170" s="105"/>
      <c r="D170" s="107"/>
      <c r="E170" s="105"/>
      <c r="F170" s="134"/>
      <c r="G170" s="134"/>
      <c r="H170" s="109"/>
      <c r="I170" s="109">
        <f t="shared" si="8"/>
        <v>0</v>
      </c>
      <c r="J170" s="110"/>
      <c r="K170" s="110">
        <f t="shared" si="9"/>
        <v>0</v>
      </c>
      <c r="L170" s="120">
        <f t="shared" si="10"/>
        <v>0</v>
      </c>
      <c r="M170" s="113"/>
    </row>
    <row r="171" spans="1:13" s="114" customFormat="1" hidden="1" x14ac:dyDescent="0.2">
      <c r="A171" s="106"/>
      <c r="B171" s="105"/>
      <c r="C171" s="105"/>
      <c r="D171" s="107"/>
      <c r="E171" s="105"/>
      <c r="F171" s="134"/>
      <c r="G171" s="134"/>
      <c r="H171" s="109"/>
      <c r="I171" s="109">
        <f t="shared" si="8"/>
        <v>0</v>
      </c>
      <c r="J171" s="110"/>
      <c r="K171" s="110">
        <f t="shared" si="9"/>
        <v>0</v>
      </c>
      <c r="L171" s="120">
        <f>E171*F171</f>
        <v>0</v>
      </c>
      <c r="M171" s="113"/>
    </row>
    <row r="172" spans="1:13" s="114" customFormat="1" hidden="1" x14ac:dyDescent="0.2">
      <c r="A172" s="106"/>
      <c r="B172" s="105"/>
      <c r="C172" s="105"/>
      <c r="D172" s="107"/>
      <c r="E172" s="105"/>
      <c r="F172" s="134"/>
      <c r="G172" s="134"/>
      <c r="H172" s="109"/>
      <c r="I172" s="109">
        <f t="shared" si="8"/>
        <v>0</v>
      </c>
      <c r="J172" s="110"/>
      <c r="K172" s="110">
        <f t="shared" si="9"/>
        <v>0</v>
      </c>
      <c r="L172" s="120">
        <f t="shared" si="10"/>
        <v>0</v>
      </c>
      <c r="M172" s="113"/>
    </row>
    <row r="173" spans="1:13" s="114" customFormat="1" hidden="1" x14ac:dyDescent="0.2">
      <c r="A173" s="106"/>
      <c r="B173" s="105"/>
      <c r="C173" s="105"/>
      <c r="D173" s="107"/>
      <c r="E173" s="105"/>
      <c r="F173" s="134"/>
      <c r="G173" s="134"/>
      <c r="H173" s="109"/>
      <c r="I173" s="109">
        <f t="shared" si="8"/>
        <v>0</v>
      </c>
      <c r="J173" s="110"/>
      <c r="K173" s="110">
        <f t="shared" si="9"/>
        <v>0</v>
      </c>
      <c r="L173" s="120">
        <f t="shared" si="10"/>
        <v>0</v>
      </c>
      <c r="M173" s="113"/>
    </row>
    <row r="174" spans="1:13" s="114" customFormat="1" hidden="1" x14ac:dyDescent="0.2">
      <c r="A174" s="106"/>
      <c r="B174" s="105"/>
      <c r="C174" s="105"/>
      <c r="D174" s="107"/>
      <c r="E174" s="105"/>
      <c r="F174" s="134"/>
      <c r="G174" s="134"/>
      <c r="H174" s="109"/>
      <c r="I174" s="109">
        <f t="shared" si="8"/>
        <v>0</v>
      </c>
      <c r="J174" s="110"/>
      <c r="K174" s="110">
        <f t="shared" si="9"/>
        <v>0</v>
      </c>
      <c r="L174" s="120">
        <f>E174*F174</f>
        <v>0</v>
      </c>
      <c r="M174" s="113"/>
    </row>
    <row r="175" spans="1:13" s="75" customFormat="1" ht="13.5" thickBot="1" x14ac:dyDescent="0.25">
      <c r="A175" s="260" t="s">
        <v>0</v>
      </c>
      <c r="B175" s="261"/>
      <c r="C175" s="261"/>
      <c r="D175" s="262"/>
      <c r="E175" s="74">
        <f t="shared" ref="E175:L175" si="11">SUM(E6:E174)</f>
        <v>8014</v>
      </c>
      <c r="F175" s="74">
        <f t="shared" si="11"/>
        <v>7839.5385714285712</v>
      </c>
      <c r="G175" s="74">
        <f t="shared" si="11"/>
        <v>15104.285714285714</v>
      </c>
      <c r="H175" s="74">
        <f t="shared" si="11"/>
        <v>5047</v>
      </c>
      <c r="I175" s="74">
        <f t="shared" si="11"/>
        <v>113826.49999999996</v>
      </c>
      <c r="J175" s="74">
        <f t="shared" si="11"/>
        <v>0</v>
      </c>
      <c r="K175" s="239">
        <f t="shared" si="11"/>
        <v>118873.49999999996</v>
      </c>
      <c r="L175" s="74">
        <f t="shared" si="11"/>
        <v>73701.429999999993</v>
      </c>
      <c r="M175" s="61"/>
    </row>
    <row r="176" spans="1:13" x14ac:dyDescent="0.2">
      <c r="G176" s="79"/>
      <c r="H176" s="79"/>
      <c r="I176" s="79"/>
      <c r="J176" s="79"/>
      <c r="K176" s="231" t="s">
        <v>16</v>
      </c>
      <c r="L176" s="71">
        <v>5047</v>
      </c>
      <c r="M176" s="76">
        <v>46262</v>
      </c>
    </row>
    <row r="177" spans="1:13" x14ac:dyDescent="0.2">
      <c r="D177" s="102"/>
      <c r="E177" s="80"/>
      <c r="F177" s="103"/>
      <c r="G177" s="79"/>
      <c r="H177" s="83"/>
      <c r="I177" s="83"/>
      <c r="J177" s="79"/>
      <c r="K177" s="231" t="s">
        <v>1704</v>
      </c>
      <c r="L177" s="73">
        <v>113826.5</v>
      </c>
      <c r="M177" s="137"/>
    </row>
    <row r="178" spans="1:13" x14ac:dyDescent="0.2">
      <c r="D178" s="102"/>
      <c r="E178" s="80"/>
      <c r="F178" s="81"/>
      <c r="G178" s="79"/>
      <c r="H178" s="83"/>
      <c r="I178" s="79"/>
      <c r="J178" s="79"/>
      <c r="K178" s="231" t="s">
        <v>0</v>
      </c>
      <c r="L178" s="229">
        <f>SUM(L176:L177)</f>
        <v>118873.5</v>
      </c>
      <c r="M178" s="61"/>
    </row>
    <row r="179" spans="1:13" x14ac:dyDescent="0.2">
      <c r="A179" s="84"/>
      <c r="C179" s="85"/>
      <c r="D179" s="86"/>
      <c r="E179" s="85"/>
      <c r="F179" s="85"/>
      <c r="G179" s="79"/>
      <c r="H179" s="79"/>
      <c r="I179" s="85"/>
      <c r="J179" s="85"/>
      <c r="K179" s="85"/>
      <c r="L179" s="79">
        <f>K175-L178</f>
        <v>0</v>
      </c>
      <c r="M179" s="61"/>
    </row>
    <row r="180" spans="1:13" x14ac:dyDescent="0.2">
      <c r="D180" s="102"/>
      <c r="E180" s="80"/>
      <c r="F180" s="103"/>
      <c r="G180" s="82"/>
      <c r="H180" s="83"/>
      <c r="I180" s="79"/>
      <c r="J180" s="79"/>
    </row>
    <row r="181" spans="1:13" x14ac:dyDescent="0.2">
      <c r="D181" s="102"/>
      <c r="E181" s="80"/>
      <c r="F181" s="81"/>
      <c r="G181" s="81"/>
      <c r="H181" s="83"/>
      <c r="I181" s="79"/>
      <c r="J181" s="79"/>
      <c r="K181" s="79"/>
    </row>
    <row r="182" spans="1:13" x14ac:dyDescent="0.2">
      <c r="D182" s="102"/>
      <c r="E182" s="80"/>
      <c r="F182" s="103"/>
      <c r="G182" s="81"/>
      <c r="H182" s="83"/>
      <c r="I182" s="79"/>
      <c r="J182" s="79"/>
      <c r="K182" s="79"/>
    </row>
    <row r="183" spans="1:13" x14ac:dyDescent="0.2">
      <c r="D183" s="132"/>
      <c r="E183" s="80"/>
      <c r="F183" s="103"/>
      <c r="G183" s="82"/>
      <c r="H183" s="83"/>
      <c r="I183" s="79"/>
      <c r="J183" s="79"/>
      <c r="K183" s="79"/>
    </row>
    <row r="184" spans="1:13" x14ac:dyDescent="0.2">
      <c r="D184" s="102"/>
      <c r="E184" s="80"/>
      <c r="F184" s="103"/>
      <c r="G184" s="82"/>
      <c r="H184" s="83"/>
      <c r="I184" s="79"/>
      <c r="J184" s="79"/>
      <c r="K184" s="79"/>
    </row>
    <row r="185" spans="1:13" x14ac:dyDescent="0.2">
      <c r="D185" s="102"/>
      <c r="E185" s="80"/>
      <c r="F185" s="103"/>
      <c r="G185" s="82"/>
      <c r="H185" s="83"/>
      <c r="I185" s="79"/>
      <c r="J185" s="79"/>
      <c r="K185" s="79"/>
    </row>
    <row r="186" spans="1:13" x14ac:dyDescent="0.2">
      <c r="D186" s="102"/>
      <c r="E186" s="80"/>
      <c r="F186" s="81"/>
      <c r="G186" s="81"/>
      <c r="H186" s="83"/>
      <c r="I186" s="79"/>
      <c r="J186" s="79"/>
      <c r="K186" s="79"/>
    </row>
    <row r="187" spans="1:13" x14ac:dyDescent="0.2">
      <c r="D187" s="102"/>
      <c r="E187" s="80"/>
      <c r="F187" s="81"/>
      <c r="G187" s="81"/>
      <c r="H187" s="83"/>
      <c r="I187" s="79"/>
      <c r="J187" s="79"/>
      <c r="K187" s="79"/>
    </row>
    <row r="188" spans="1:13" x14ac:dyDescent="0.2">
      <c r="D188" s="102"/>
      <c r="E188" s="80"/>
      <c r="F188" s="103"/>
      <c r="G188" s="82"/>
      <c r="H188" s="83"/>
      <c r="I188" s="79"/>
      <c r="J188" s="79"/>
      <c r="K188" s="79"/>
    </row>
    <row r="189" spans="1:13" x14ac:dyDescent="0.2">
      <c r="D189" s="102"/>
      <c r="E189" s="80"/>
      <c r="F189" s="103"/>
      <c r="G189" s="82"/>
      <c r="H189" s="83"/>
      <c r="I189" s="79"/>
      <c r="J189" s="79"/>
      <c r="K189" s="79"/>
    </row>
  </sheetData>
  <mergeCells count="1">
    <mergeCell ref="A175:D175"/>
  </mergeCell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8A18-1A01-4D7C-8529-C7F35A4FD5D9}">
  <sheetPr>
    <tabColor rgb="FF8DFB43"/>
  </sheetPr>
  <dimension ref="A1:N1409"/>
  <sheetViews>
    <sheetView tabSelected="1" zoomScale="85" zoomScaleNormal="85" workbookViewId="0">
      <selection activeCell="B816" sqref="B816"/>
    </sheetView>
  </sheetViews>
  <sheetFormatPr defaultColWidth="9.140625" defaultRowHeight="12.75" x14ac:dyDescent="0.2"/>
  <cols>
    <col min="1" max="1" width="12.5703125" style="218" customWidth="1"/>
    <col min="2" max="2" width="20.140625" style="139" customWidth="1"/>
    <col min="3" max="3" width="16.5703125" style="139" customWidth="1"/>
    <col min="4" max="4" width="44.28515625" style="205" customWidth="1"/>
    <col min="5" max="5" width="11.140625" style="139" customWidth="1"/>
    <col min="6" max="6" width="13.7109375" style="139" customWidth="1"/>
    <col min="7" max="7" width="15" style="140" customWidth="1"/>
    <col min="8" max="8" width="14" style="140" customWidth="1"/>
    <col min="9" max="9" width="12.7109375" style="140" customWidth="1"/>
    <col min="10" max="10" width="14" style="140" customWidth="1"/>
    <col min="11" max="11" width="14.140625" style="140" customWidth="1"/>
    <col min="12" max="12" width="16.28515625" style="139" customWidth="1"/>
    <col min="13" max="13" width="15.5703125" style="114" customWidth="1"/>
    <col min="14" max="14" width="10.5703125" style="114" customWidth="1"/>
    <col min="15" max="16384" width="9.140625" style="114"/>
  </cols>
  <sheetData>
    <row r="1" spans="1:13" x14ac:dyDescent="0.2">
      <c r="A1" s="203" t="s">
        <v>1</v>
      </c>
      <c r="D1" s="138"/>
      <c r="L1" s="204"/>
    </row>
    <row r="2" spans="1:13" ht="13.5" thickBot="1" x14ac:dyDescent="0.25">
      <c r="A2" s="203" t="s">
        <v>1775</v>
      </c>
    </row>
    <row r="3" spans="1:13" ht="13.5" thickBot="1" x14ac:dyDescent="0.25">
      <c r="A3" s="206" t="s">
        <v>6283</v>
      </c>
      <c r="E3" s="207">
        <f>+E1394</f>
        <v>3695</v>
      </c>
      <c r="H3" s="208">
        <f>H1394</f>
        <v>129694.28000000001</v>
      </c>
      <c r="I3" s="208">
        <f>I1394</f>
        <v>121668.18000000001</v>
      </c>
      <c r="J3" s="208">
        <f>J1394</f>
        <v>1156.77</v>
      </c>
      <c r="K3" s="209">
        <f>K1394</f>
        <v>250205.69</v>
      </c>
      <c r="L3" s="204"/>
    </row>
    <row r="4" spans="1:13" ht="13.5" thickBot="1" x14ac:dyDescent="0.25">
      <c r="A4" s="203"/>
    </row>
    <row r="5" spans="1:13" s="215" customFormat="1" ht="45" customHeight="1" thickBot="1" x14ac:dyDescent="0.25">
      <c r="A5" s="210" t="s">
        <v>2</v>
      </c>
      <c r="B5" s="211" t="s">
        <v>7</v>
      </c>
      <c r="C5" s="211" t="s">
        <v>19</v>
      </c>
      <c r="D5" s="211" t="s">
        <v>4</v>
      </c>
      <c r="E5" s="211" t="s">
        <v>3</v>
      </c>
      <c r="F5" s="211" t="s">
        <v>18</v>
      </c>
      <c r="G5" s="212" t="s">
        <v>5</v>
      </c>
      <c r="H5" s="212" t="s">
        <v>1258</v>
      </c>
      <c r="I5" s="212" t="s">
        <v>1257</v>
      </c>
      <c r="J5" s="213" t="s">
        <v>8</v>
      </c>
      <c r="K5" s="214" t="s">
        <v>9</v>
      </c>
      <c r="L5" s="214" t="s">
        <v>31</v>
      </c>
    </row>
    <row r="6" spans="1:13" ht="14.25" customHeight="1" x14ac:dyDescent="0.2">
      <c r="A6" s="116" t="s">
        <v>6298</v>
      </c>
      <c r="B6" s="273" t="s">
        <v>1915</v>
      </c>
      <c r="C6" s="117" t="s">
        <v>6367</v>
      </c>
      <c r="D6" s="216" t="s">
        <v>1917</v>
      </c>
      <c r="E6" s="117">
        <v>3</v>
      </c>
      <c r="F6" s="133">
        <v>7.85</v>
      </c>
      <c r="G6" s="133">
        <v>12</v>
      </c>
      <c r="H6" s="109">
        <f t="shared" ref="H6:H69" si="0">E6*G6</f>
        <v>36</v>
      </c>
      <c r="I6" s="119"/>
      <c r="J6" s="119">
        <v>0</v>
      </c>
      <c r="K6" s="119">
        <f t="shared" ref="K6:K69" si="1">H6+I6-J6</f>
        <v>36</v>
      </c>
      <c r="L6" s="152">
        <f>E6*F6</f>
        <v>23.549999999999997</v>
      </c>
      <c r="M6" s="113"/>
    </row>
    <row r="7" spans="1:13" ht="14.25" customHeight="1" x14ac:dyDescent="0.2">
      <c r="A7" s="106" t="s">
        <v>6298</v>
      </c>
      <c r="B7" s="272" t="s">
        <v>2196</v>
      </c>
      <c r="C7" s="117" t="s">
        <v>6368</v>
      </c>
      <c r="D7" s="149" t="s">
        <v>2198</v>
      </c>
      <c r="E7" s="105">
        <v>1</v>
      </c>
      <c r="F7" s="133">
        <v>21.88</v>
      </c>
      <c r="G7" s="133">
        <v>25.25</v>
      </c>
      <c r="H7" s="109">
        <f t="shared" si="0"/>
        <v>25.25</v>
      </c>
      <c r="I7" s="119"/>
      <c r="J7" s="119">
        <v>0</v>
      </c>
      <c r="K7" s="119">
        <f t="shared" si="1"/>
        <v>25.25</v>
      </c>
      <c r="L7" s="152">
        <f t="shared" ref="L7:L70" si="2">E7*F7</f>
        <v>21.88</v>
      </c>
      <c r="M7" s="113"/>
    </row>
    <row r="8" spans="1:13" ht="14.25" customHeight="1" x14ac:dyDescent="0.2">
      <c r="A8" s="106" t="s">
        <v>6298</v>
      </c>
      <c r="B8" s="272" t="s">
        <v>3986</v>
      </c>
      <c r="C8" s="117" t="s">
        <v>6368</v>
      </c>
      <c r="D8" s="149" t="s">
        <v>3988</v>
      </c>
      <c r="E8" s="105">
        <v>1</v>
      </c>
      <c r="F8" s="133">
        <v>31.04</v>
      </c>
      <c r="G8" s="133">
        <v>37</v>
      </c>
      <c r="H8" s="109">
        <f t="shared" si="0"/>
        <v>37</v>
      </c>
      <c r="I8" s="119"/>
      <c r="J8" s="119">
        <v>0</v>
      </c>
      <c r="K8" s="119">
        <f t="shared" si="1"/>
        <v>37</v>
      </c>
      <c r="L8" s="152">
        <f t="shared" si="2"/>
        <v>31.04</v>
      </c>
      <c r="M8" s="113"/>
    </row>
    <row r="9" spans="1:13" ht="14.25" customHeight="1" x14ac:dyDescent="0.2">
      <c r="A9" s="106" t="s">
        <v>6298</v>
      </c>
      <c r="B9" s="272" t="s">
        <v>1793</v>
      </c>
      <c r="C9" s="117" t="s">
        <v>6368</v>
      </c>
      <c r="D9" s="149" t="s">
        <v>1795</v>
      </c>
      <c r="E9" s="105">
        <v>3</v>
      </c>
      <c r="F9" s="133">
        <v>12.17</v>
      </c>
      <c r="G9" s="133">
        <v>14.75</v>
      </c>
      <c r="H9" s="109">
        <f t="shared" si="0"/>
        <v>44.25</v>
      </c>
      <c r="I9" s="119"/>
      <c r="J9" s="119">
        <v>0</v>
      </c>
      <c r="K9" s="119">
        <f t="shared" si="1"/>
        <v>44.25</v>
      </c>
      <c r="L9" s="152">
        <f t="shared" si="2"/>
        <v>36.51</v>
      </c>
      <c r="M9" s="113"/>
    </row>
    <row r="10" spans="1:13" ht="14.25" customHeight="1" x14ac:dyDescent="0.2">
      <c r="A10" s="106" t="s">
        <v>6298</v>
      </c>
      <c r="B10" s="272" t="s">
        <v>5867</v>
      </c>
      <c r="C10" s="117" t="s">
        <v>6368</v>
      </c>
      <c r="D10" s="149" t="s">
        <v>5960</v>
      </c>
      <c r="E10" s="105">
        <v>1</v>
      </c>
      <c r="F10" s="133">
        <v>7.75</v>
      </c>
      <c r="G10" s="133">
        <v>9</v>
      </c>
      <c r="H10" s="109">
        <f t="shared" si="0"/>
        <v>9</v>
      </c>
      <c r="I10" s="119"/>
      <c r="J10" s="119">
        <v>0</v>
      </c>
      <c r="K10" s="119">
        <f t="shared" si="1"/>
        <v>9</v>
      </c>
      <c r="L10" s="152">
        <f t="shared" si="2"/>
        <v>7.75</v>
      </c>
      <c r="M10" s="113"/>
    </row>
    <row r="11" spans="1:13" ht="14.25" customHeight="1" x14ac:dyDescent="0.2">
      <c r="A11" s="106" t="s">
        <v>6298</v>
      </c>
      <c r="B11" s="272" t="s">
        <v>3314</v>
      </c>
      <c r="C11" s="117" t="s">
        <v>6368</v>
      </c>
      <c r="D11" s="149" t="s">
        <v>3316</v>
      </c>
      <c r="E11" s="105">
        <v>3</v>
      </c>
      <c r="F11" s="133">
        <v>16.579999999999998</v>
      </c>
      <c r="G11" s="133">
        <v>19</v>
      </c>
      <c r="H11" s="109">
        <f t="shared" si="0"/>
        <v>57</v>
      </c>
      <c r="I11" s="119"/>
      <c r="J11" s="119">
        <v>0</v>
      </c>
      <c r="K11" s="119">
        <f t="shared" si="1"/>
        <v>57</v>
      </c>
      <c r="L11" s="152">
        <f t="shared" si="2"/>
        <v>49.739999999999995</v>
      </c>
      <c r="M11" s="113"/>
    </row>
    <row r="12" spans="1:13" ht="14.25" customHeight="1" x14ac:dyDescent="0.2">
      <c r="A12" s="106" t="s">
        <v>6298</v>
      </c>
      <c r="B12" s="272" t="s">
        <v>3092</v>
      </c>
      <c r="C12" s="117" t="s">
        <v>6368</v>
      </c>
      <c r="D12" s="149" t="s">
        <v>3093</v>
      </c>
      <c r="E12" s="105">
        <v>1</v>
      </c>
      <c r="F12" s="133">
        <v>7.48</v>
      </c>
      <c r="G12" s="133">
        <v>8.75</v>
      </c>
      <c r="H12" s="109">
        <f t="shared" si="0"/>
        <v>8.75</v>
      </c>
      <c r="I12" s="119"/>
      <c r="J12" s="119">
        <v>0</v>
      </c>
      <c r="K12" s="119">
        <f t="shared" si="1"/>
        <v>8.75</v>
      </c>
      <c r="L12" s="152">
        <f t="shared" si="2"/>
        <v>7.48</v>
      </c>
      <c r="M12" s="113"/>
    </row>
    <row r="13" spans="1:13" ht="14.25" customHeight="1" x14ac:dyDescent="0.2">
      <c r="A13" s="106" t="s">
        <v>6298</v>
      </c>
      <c r="B13" s="272" t="s">
        <v>1962</v>
      </c>
      <c r="C13" s="117" t="s">
        <v>6368</v>
      </c>
      <c r="D13" s="149" t="s">
        <v>1964</v>
      </c>
      <c r="E13" s="105">
        <v>1</v>
      </c>
      <c r="F13" s="133">
        <v>7.48</v>
      </c>
      <c r="G13" s="133">
        <v>8.75</v>
      </c>
      <c r="H13" s="109">
        <f t="shared" si="0"/>
        <v>8.75</v>
      </c>
      <c r="I13" s="119"/>
      <c r="J13" s="119">
        <v>0</v>
      </c>
      <c r="K13" s="119">
        <f t="shared" si="1"/>
        <v>8.75</v>
      </c>
      <c r="L13" s="152">
        <f t="shared" si="2"/>
        <v>7.48</v>
      </c>
      <c r="M13" s="113"/>
    </row>
    <row r="14" spans="1:13" ht="14.25" customHeight="1" x14ac:dyDescent="0.2">
      <c r="A14" s="106" t="s">
        <v>6298</v>
      </c>
      <c r="B14" s="272" t="s">
        <v>4368</v>
      </c>
      <c r="C14" s="117" t="s">
        <v>6368</v>
      </c>
      <c r="D14" s="149" t="s">
        <v>4432</v>
      </c>
      <c r="E14" s="105">
        <v>1</v>
      </c>
      <c r="F14" s="133">
        <v>9.27</v>
      </c>
      <c r="G14" s="133">
        <v>10.75</v>
      </c>
      <c r="H14" s="109">
        <f t="shared" si="0"/>
        <v>10.75</v>
      </c>
      <c r="I14" s="119"/>
      <c r="J14" s="119">
        <v>0</v>
      </c>
      <c r="K14" s="119">
        <f t="shared" si="1"/>
        <v>10.75</v>
      </c>
      <c r="L14" s="152">
        <f t="shared" si="2"/>
        <v>9.27</v>
      </c>
      <c r="M14" s="113"/>
    </row>
    <row r="15" spans="1:13" ht="14.25" customHeight="1" x14ac:dyDescent="0.2">
      <c r="A15" s="106" t="s">
        <v>6298</v>
      </c>
      <c r="B15" s="272" t="s">
        <v>6309</v>
      </c>
      <c r="C15" s="117" t="s">
        <v>6369</v>
      </c>
      <c r="D15" s="149" t="s">
        <v>6650</v>
      </c>
      <c r="E15" s="105">
        <v>1</v>
      </c>
      <c r="F15" s="133">
        <v>276.95</v>
      </c>
      <c r="G15" s="133">
        <v>318.5</v>
      </c>
      <c r="H15" s="109">
        <f t="shared" si="0"/>
        <v>318.5</v>
      </c>
      <c r="I15" s="119"/>
      <c r="J15" s="119">
        <v>0</v>
      </c>
      <c r="K15" s="119">
        <f t="shared" si="1"/>
        <v>318.5</v>
      </c>
      <c r="L15" s="152">
        <f t="shared" si="2"/>
        <v>276.95</v>
      </c>
      <c r="M15" s="113"/>
    </row>
    <row r="16" spans="1:13" ht="14.25" customHeight="1" x14ac:dyDescent="0.2">
      <c r="A16" s="106" t="s">
        <v>6298</v>
      </c>
      <c r="B16" s="272" t="s">
        <v>3088</v>
      </c>
      <c r="C16" s="117" t="s">
        <v>6370</v>
      </c>
      <c r="D16" s="149" t="s">
        <v>3090</v>
      </c>
      <c r="E16" s="105">
        <v>1</v>
      </c>
      <c r="F16" s="133">
        <v>23.75</v>
      </c>
      <c r="G16" s="133">
        <v>27.5</v>
      </c>
      <c r="H16" s="109">
        <f t="shared" si="0"/>
        <v>27.5</v>
      </c>
      <c r="I16" s="119"/>
      <c r="J16" s="119">
        <v>0</v>
      </c>
      <c r="K16" s="119">
        <f t="shared" si="1"/>
        <v>27.5</v>
      </c>
      <c r="L16" s="152">
        <f t="shared" si="2"/>
        <v>23.75</v>
      </c>
      <c r="M16" s="113"/>
    </row>
    <row r="17" spans="1:13" ht="14.25" customHeight="1" x14ac:dyDescent="0.2">
      <c r="A17" s="106" t="s">
        <v>6298</v>
      </c>
      <c r="B17" s="272" t="s">
        <v>5693</v>
      </c>
      <c r="C17" s="117" t="s">
        <v>6371</v>
      </c>
      <c r="D17" s="149" t="s">
        <v>5831</v>
      </c>
      <c r="E17" s="105">
        <v>1</v>
      </c>
      <c r="F17" s="133">
        <v>5.61</v>
      </c>
      <c r="G17" s="133">
        <v>6.5</v>
      </c>
      <c r="H17" s="109">
        <f t="shared" si="0"/>
        <v>6.5</v>
      </c>
      <c r="I17" s="119"/>
      <c r="J17" s="119">
        <v>0</v>
      </c>
      <c r="K17" s="119">
        <f t="shared" si="1"/>
        <v>6.5</v>
      </c>
      <c r="L17" s="152">
        <f t="shared" si="2"/>
        <v>5.61</v>
      </c>
      <c r="M17" s="113"/>
    </row>
    <row r="18" spans="1:13" ht="14.25" customHeight="1" x14ac:dyDescent="0.2">
      <c r="A18" s="106" t="s">
        <v>6298</v>
      </c>
      <c r="B18" s="272" t="s">
        <v>3652</v>
      </c>
      <c r="C18" s="117" t="s">
        <v>6371</v>
      </c>
      <c r="D18" s="149" t="s">
        <v>3653</v>
      </c>
      <c r="E18" s="105">
        <v>1</v>
      </c>
      <c r="F18" s="133">
        <v>75</v>
      </c>
      <c r="G18" s="133">
        <v>83</v>
      </c>
      <c r="H18" s="109">
        <f t="shared" si="0"/>
        <v>83</v>
      </c>
      <c r="I18" s="119"/>
      <c r="J18" s="119">
        <v>0</v>
      </c>
      <c r="K18" s="119">
        <f t="shared" si="1"/>
        <v>83</v>
      </c>
      <c r="L18" s="152">
        <f t="shared" si="2"/>
        <v>75</v>
      </c>
      <c r="M18" s="113"/>
    </row>
    <row r="19" spans="1:13" ht="14.25" customHeight="1" x14ac:dyDescent="0.2">
      <c r="A19" s="106" t="s">
        <v>6298</v>
      </c>
      <c r="B19" s="272" t="s">
        <v>4806</v>
      </c>
      <c r="C19" s="117" t="s">
        <v>6371</v>
      </c>
      <c r="D19" s="149" t="s">
        <v>4874</v>
      </c>
      <c r="E19" s="105">
        <v>2</v>
      </c>
      <c r="F19" s="133">
        <v>8.58</v>
      </c>
      <c r="G19" s="133">
        <v>10</v>
      </c>
      <c r="H19" s="109">
        <f t="shared" si="0"/>
        <v>20</v>
      </c>
      <c r="I19" s="119"/>
      <c r="J19" s="119">
        <v>0</v>
      </c>
      <c r="K19" s="119">
        <f t="shared" si="1"/>
        <v>20</v>
      </c>
      <c r="L19" s="152">
        <f t="shared" si="2"/>
        <v>17.16</v>
      </c>
      <c r="M19" s="113"/>
    </row>
    <row r="20" spans="1:13" ht="14.25" customHeight="1" x14ac:dyDescent="0.2">
      <c r="A20" s="106" t="s">
        <v>6298</v>
      </c>
      <c r="B20" s="272" t="s">
        <v>1969</v>
      </c>
      <c r="C20" s="117" t="s">
        <v>6371</v>
      </c>
      <c r="D20" s="149" t="s">
        <v>1970</v>
      </c>
      <c r="E20" s="105">
        <v>3</v>
      </c>
      <c r="F20" s="133">
        <v>3.6</v>
      </c>
      <c r="G20" s="133">
        <v>4.25</v>
      </c>
      <c r="H20" s="109">
        <f t="shared" si="0"/>
        <v>12.75</v>
      </c>
      <c r="I20" s="119"/>
      <c r="J20" s="119">
        <v>0</v>
      </c>
      <c r="K20" s="119">
        <f t="shared" si="1"/>
        <v>12.75</v>
      </c>
      <c r="L20" s="152">
        <f t="shared" si="2"/>
        <v>10.8</v>
      </c>
      <c r="M20" s="113"/>
    </row>
    <row r="21" spans="1:13" ht="14.25" customHeight="1" x14ac:dyDescent="0.2">
      <c r="A21" s="106" t="s">
        <v>6298</v>
      </c>
      <c r="B21" s="272" t="s">
        <v>1884</v>
      </c>
      <c r="C21" s="117" t="s">
        <v>6371</v>
      </c>
      <c r="D21" s="149" t="s">
        <v>1885</v>
      </c>
      <c r="E21" s="105">
        <v>4</v>
      </c>
      <c r="F21" s="133">
        <v>7.06</v>
      </c>
      <c r="G21" s="133">
        <v>8.25</v>
      </c>
      <c r="H21" s="109">
        <f t="shared" si="0"/>
        <v>33</v>
      </c>
      <c r="I21" s="119"/>
      <c r="J21" s="119">
        <v>0</v>
      </c>
      <c r="K21" s="119">
        <f t="shared" si="1"/>
        <v>33</v>
      </c>
      <c r="L21" s="152">
        <f t="shared" si="2"/>
        <v>28.24</v>
      </c>
      <c r="M21" s="113"/>
    </row>
    <row r="22" spans="1:13" ht="14.25" customHeight="1" x14ac:dyDescent="0.2">
      <c r="A22" s="106" t="s">
        <v>6298</v>
      </c>
      <c r="B22" s="272" t="s">
        <v>4760</v>
      </c>
      <c r="C22" s="117" t="s">
        <v>6371</v>
      </c>
      <c r="D22" s="149" t="s">
        <v>4787</v>
      </c>
      <c r="E22" s="105">
        <v>1</v>
      </c>
      <c r="F22" s="133">
        <v>27.8</v>
      </c>
      <c r="G22" s="133">
        <v>35</v>
      </c>
      <c r="H22" s="109">
        <f t="shared" si="0"/>
        <v>35</v>
      </c>
      <c r="I22" s="119"/>
      <c r="J22" s="119">
        <v>0</v>
      </c>
      <c r="K22" s="119">
        <f t="shared" si="1"/>
        <v>35</v>
      </c>
      <c r="L22" s="152">
        <f t="shared" si="2"/>
        <v>27.8</v>
      </c>
      <c r="M22" s="113"/>
    </row>
    <row r="23" spans="1:13" ht="14.25" customHeight="1" x14ac:dyDescent="0.2">
      <c r="A23" s="106" t="s">
        <v>6298</v>
      </c>
      <c r="B23" s="272" t="s">
        <v>2196</v>
      </c>
      <c r="C23" s="117" t="s">
        <v>6371</v>
      </c>
      <c r="D23" s="149" t="s">
        <v>2198</v>
      </c>
      <c r="E23" s="105">
        <v>2</v>
      </c>
      <c r="F23" s="133">
        <v>21.88</v>
      </c>
      <c r="G23" s="133">
        <v>25.25</v>
      </c>
      <c r="H23" s="109">
        <f t="shared" si="0"/>
        <v>50.5</v>
      </c>
      <c r="I23" s="119"/>
      <c r="J23" s="119">
        <v>0</v>
      </c>
      <c r="K23" s="119">
        <f t="shared" si="1"/>
        <v>50.5</v>
      </c>
      <c r="L23" s="152">
        <f t="shared" si="2"/>
        <v>43.76</v>
      </c>
      <c r="M23" s="113"/>
    </row>
    <row r="24" spans="1:13" ht="14.25" customHeight="1" x14ac:dyDescent="0.2">
      <c r="A24" s="106" t="s">
        <v>6298</v>
      </c>
      <c r="B24" s="272" t="s">
        <v>3052</v>
      </c>
      <c r="C24" s="117" t="s">
        <v>6371</v>
      </c>
      <c r="D24" s="149" t="s">
        <v>3053</v>
      </c>
      <c r="E24" s="105">
        <v>1</v>
      </c>
      <c r="F24" s="133">
        <v>13.32</v>
      </c>
      <c r="G24" s="133">
        <v>15.5</v>
      </c>
      <c r="H24" s="109">
        <f t="shared" si="0"/>
        <v>15.5</v>
      </c>
      <c r="I24" s="119"/>
      <c r="J24" s="119">
        <v>0</v>
      </c>
      <c r="K24" s="119">
        <f t="shared" si="1"/>
        <v>15.5</v>
      </c>
      <c r="L24" s="152">
        <f t="shared" si="2"/>
        <v>13.32</v>
      </c>
      <c r="M24" s="113"/>
    </row>
    <row r="25" spans="1:13" ht="14.25" customHeight="1" x14ac:dyDescent="0.2">
      <c r="A25" s="106" t="s">
        <v>6298</v>
      </c>
      <c r="B25" s="272" t="s">
        <v>2380</v>
      </c>
      <c r="C25" s="117" t="s">
        <v>6371</v>
      </c>
      <c r="D25" s="149" t="s">
        <v>2381</v>
      </c>
      <c r="E25" s="105">
        <v>1</v>
      </c>
      <c r="F25" s="133">
        <v>22.73</v>
      </c>
      <c r="G25" s="133">
        <v>26.25</v>
      </c>
      <c r="H25" s="109">
        <f t="shared" si="0"/>
        <v>26.25</v>
      </c>
      <c r="I25" s="119"/>
      <c r="J25" s="119">
        <v>0</v>
      </c>
      <c r="K25" s="119">
        <f t="shared" si="1"/>
        <v>26.25</v>
      </c>
      <c r="L25" s="152">
        <f t="shared" si="2"/>
        <v>22.73</v>
      </c>
      <c r="M25" s="113"/>
    </row>
    <row r="26" spans="1:13" ht="14.25" customHeight="1" x14ac:dyDescent="0.2">
      <c r="A26" s="106" t="s">
        <v>6298</v>
      </c>
      <c r="B26" s="272" t="s">
        <v>2977</v>
      </c>
      <c r="C26" s="117" t="s">
        <v>6371</v>
      </c>
      <c r="D26" s="149" t="s">
        <v>2978</v>
      </c>
      <c r="E26" s="105">
        <v>2</v>
      </c>
      <c r="F26" s="133">
        <v>24.04</v>
      </c>
      <c r="G26" s="133">
        <v>27.75</v>
      </c>
      <c r="H26" s="109">
        <f t="shared" si="0"/>
        <v>55.5</v>
      </c>
      <c r="I26" s="119"/>
      <c r="J26" s="119">
        <v>0</v>
      </c>
      <c r="K26" s="119">
        <f t="shared" si="1"/>
        <v>55.5</v>
      </c>
      <c r="L26" s="152">
        <f t="shared" si="2"/>
        <v>48.08</v>
      </c>
      <c r="M26" s="113"/>
    </row>
    <row r="27" spans="1:13" ht="14.25" customHeight="1" x14ac:dyDescent="0.2">
      <c r="A27" s="106" t="s">
        <v>6298</v>
      </c>
      <c r="B27" s="272" t="s">
        <v>5686</v>
      </c>
      <c r="C27" s="117" t="s">
        <v>6371</v>
      </c>
      <c r="D27" s="149" t="s">
        <v>5824</v>
      </c>
      <c r="E27" s="105">
        <v>2</v>
      </c>
      <c r="F27" s="133">
        <v>12.17</v>
      </c>
      <c r="G27" s="133">
        <v>14.75</v>
      </c>
      <c r="H27" s="109">
        <f t="shared" si="0"/>
        <v>29.5</v>
      </c>
      <c r="I27" s="119"/>
      <c r="J27" s="119">
        <v>0</v>
      </c>
      <c r="K27" s="119">
        <f t="shared" si="1"/>
        <v>29.5</v>
      </c>
      <c r="L27" s="152">
        <f t="shared" si="2"/>
        <v>24.34</v>
      </c>
      <c r="M27" s="113"/>
    </row>
    <row r="28" spans="1:13" ht="14.25" customHeight="1" x14ac:dyDescent="0.2">
      <c r="A28" s="106" t="s">
        <v>6298</v>
      </c>
      <c r="B28" s="272" t="s">
        <v>4445</v>
      </c>
      <c r="C28" s="117" t="s">
        <v>6371</v>
      </c>
      <c r="D28" s="149" t="s">
        <v>4475</v>
      </c>
      <c r="E28" s="105">
        <v>1</v>
      </c>
      <c r="F28" s="133">
        <v>37.409999999999997</v>
      </c>
      <c r="G28" s="133">
        <v>43.25</v>
      </c>
      <c r="H28" s="109">
        <f t="shared" si="0"/>
        <v>43.25</v>
      </c>
      <c r="I28" s="119"/>
      <c r="J28" s="119">
        <v>0</v>
      </c>
      <c r="K28" s="119">
        <f t="shared" si="1"/>
        <v>43.25</v>
      </c>
      <c r="L28" s="152">
        <f t="shared" si="2"/>
        <v>37.409999999999997</v>
      </c>
      <c r="M28" s="113"/>
    </row>
    <row r="29" spans="1:13" ht="14.25" customHeight="1" x14ac:dyDescent="0.2">
      <c r="A29" s="106" t="s">
        <v>6298</v>
      </c>
      <c r="B29" s="272" t="s">
        <v>5247</v>
      </c>
      <c r="C29" s="117" t="s">
        <v>6371</v>
      </c>
      <c r="D29" s="149" t="s">
        <v>5407</v>
      </c>
      <c r="E29" s="105">
        <v>1</v>
      </c>
      <c r="F29" s="133">
        <v>32</v>
      </c>
      <c r="G29" s="133">
        <v>37</v>
      </c>
      <c r="H29" s="109">
        <f t="shared" si="0"/>
        <v>37</v>
      </c>
      <c r="I29" s="119"/>
      <c r="J29" s="119">
        <v>0</v>
      </c>
      <c r="K29" s="119">
        <f t="shared" si="1"/>
        <v>37</v>
      </c>
      <c r="L29" s="152">
        <f t="shared" si="2"/>
        <v>32</v>
      </c>
      <c r="M29" s="113"/>
    </row>
    <row r="30" spans="1:13" ht="14.25" customHeight="1" x14ac:dyDescent="0.2">
      <c r="A30" s="106" t="s">
        <v>6298</v>
      </c>
      <c r="B30" s="272" t="s">
        <v>5415</v>
      </c>
      <c r="C30" s="117" t="s">
        <v>6371</v>
      </c>
      <c r="D30" s="149" t="s">
        <v>5466</v>
      </c>
      <c r="E30" s="105">
        <v>1</v>
      </c>
      <c r="F30" s="133">
        <v>3.7</v>
      </c>
      <c r="G30" s="133">
        <v>5</v>
      </c>
      <c r="H30" s="109">
        <f t="shared" si="0"/>
        <v>5</v>
      </c>
      <c r="I30" s="119"/>
      <c r="J30" s="119">
        <v>0</v>
      </c>
      <c r="K30" s="119">
        <f t="shared" si="1"/>
        <v>5</v>
      </c>
      <c r="L30" s="152">
        <f t="shared" si="2"/>
        <v>3.7</v>
      </c>
      <c r="M30" s="113"/>
    </row>
    <row r="31" spans="1:13" ht="14.25" customHeight="1" x14ac:dyDescent="0.2">
      <c r="A31" s="106" t="s">
        <v>6298</v>
      </c>
      <c r="B31" s="272" t="s">
        <v>1802</v>
      </c>
      <c r="C31" s="117" t="s">
        <v>6371</v>
      </c>
      <c r="D31" s="149" t="s">
        <v>1803</v>
      </c>
      <c r="E31" s="105">
        <v>1</v>
      </c>
      <c r="F31" s="133">
        <v>7.75</v>
      </c>
      <c r="G31" s="133">
        <v>9</v>
      </c>
      <c r="H31" s="109">
        <f t="shared" si="0"/>
        <v>9</v>
      </c>
      <c r="I31" s="119"/>
      <c r="J31" s="119">
        <v>0</v>
      </c>
      <c r="K31" s="119">
        <f t="shared" si="1"/>
        <v>9</v>
      </c>
      <c r="L31" s="152">
        <f t="shared" si="2"/>
        <v>7.75</v>
      </c>
      <c r="M31" s="113"/>
    </row>
    <row r="32" spans="1:13" ht="14.25" customHeight="1" x14ac:dyDescent="0.2">
      <c r="A32" s="106" t="s">
        <v>6298</v>
      </c>
      <c r="B32" s="272" t="s">
        <v>4567</v>
      </c>
      <c r="C32" s="117" t="s">
        <v>6371</v>
      </c>
      <c r="D32" s="149" t="s">
        <v>4672</v>
      </c>
      <c r="E32" s="105">
        <v>1</v>
      </c>
      <c r="F32" s="133">
        <v>7.06</v>
      </c>
      <c r="G32" s="133">
        <v>8.25</v>
      </c>
      <c r="H32" s="109">
        <f t="shared" si="0"/>
        <v>8.25</v>
      </c>
      <c r="I32" s="119"/>
      <c r="J32" s="119">
        <v>0</v>
      </c>
      <c r="K32" s="119">
        <f t="shared" si="1"/>
        <v>8.25</v>
      </c>
      <c r="L32" s="152">
        <f t="shared" si="2"/>
        <v>7.06</v>
      </c>
      <c r="M32" s="113"/>
    </row>
    <row r="33" spans="1:13" ht="14.25" customHeight="1" x14ac:dyDescent="0.2">
      <c r="A33" s="106" t="s">
        <v>6298</v>
      </c>
      <c r="B33" s="272" t="s">
        <v>2745</v>
      </c>
      <c r="C33" s="117" t="s">
        <v>6371</v>
      </c>
      <c r="D33" s="149" t="s">
        <v>2747</v>
      </c>
      <c r="E33" s="105">
        <v>1</v>
      </c>
      <c r="F33" s="133">
        <v>109.97</v>
      </c>
      <c r="G33" s="133">
        <v>126.5</v>
      </c>
      <c r="H33" s="109">
        <f t="shared" si="0"/>
        <v>126.5</v>
      </c>
      <c r="I33" s="119"/>
      <c r="J33" s="119">
        <v>0</v>
      </c>
      <c r="K33" s="119">
        <f t="shared" si="1"/>
        <v>126.5</v>
      </c>
      <c r="L33" s="152">
        <f t="shared" si="2"/>
        <v>109.97</v>
      </c>
      <c r="M33" s="113"/>
    </row>
    <row r="34" spans="1:13" ht="14.25" customHeight="1" x14ac:dyDescent="0.2">
      <c r="A34" s="106" t="s">
        <v>6298</v>
      </c>
      <c r="B34" s="272" t="s">
        <v>4203</v>
      </c>
      <c r="C34" s="117" t="s">
        <v>6371</v>
      </c>
      <c r="D34" s="149" t="s">
        <v>4204</v>
      </c>
      <c r="E34" s="105">
        <v>1</v>
      </c>
      <c r="F34" s="133">
        <v>36.11</v>
      </c>
      <c r="G34" s="133">
        <v>41.75</v>
      </c>
      <c r="H34" s="109">
        <f t="shared" si="0"/>
        <v>41.75</v>
      </c>
      <c r="I34" s="119"/>
      <c r="J34" s="119">
        <v>0</v>
      </c>
      <c r="K34" s="119">
        <f t="shared" si="1"/>
        <v>41.75</v>
      </c>
      <c r="L34" s="152">
        <f t="shared" si="2"/>
        <v>36.11</v>
      </c>
      <c r="M34" s="113"/>
    </row>
    <row r="35" spans="1:13" ht="14.25" customHeight="1" x14ac:dyDescent="0.2">
      <c r="A35" s="106" t="s">
        <v>6298</v>
      </c>
      <c r="B35" s="272" t="s">
        <v>4088</v>
      </c>
      <c r="C35" s="117" t="s">
        <v>6371</v>
      </c>
      <c r="D35" s="149" t="s">
        <v>4089</v>
      </c>
      <c r="E35" s="105">
        <v>1</v>
      </c>
      <c r="F35" s="133">
        <v>59.5</v>
      </c>
      <c r="G35" s="133">
        <v>68.5</v>
      </c>
      <c r="H35" s="109">
        <f t="shared" si="0"/>
        <v>68.5</v>
      </c>
      <c r="I35" s="119"/>
      <c r="J35" s="119">
        <v>0</v>
      </c>
      <c r="K35" s="119">
        <f t="shared" si="1"/>
        <v>68.5</v>
      </c>
      <c r="L35" s="152">
        <f t="shared" si="2"/>
        <v>59.5</v>
      </c>
      <c r="M35" s="113"/>
    </row>
    <row r="36" spans="1:13" ht="14.25" customHeight="1" x14ac:dyDescent="0.2">
      <c r="A36" s="106" t="s">
        <v>6298</v>
      </c>
      <c r="B36" s="272" t="s">
        <v>3909</v>
      </c>
      <c r="C36" s="117" t="s">
        <v>6371</v>
      </c>
      <c r="D36" s="149" t="s">
        <v>3911</v>
      </c>
      <c r="E36" s="105">
        <v>4</v>
      </c>
      <c r="F36" s="133">
        <v>7.06</v>
      </c>
      <c r="G36" s="133">
        <v>8.25</v>
      </c>
      <c r="H36" s="109">
        <f t="shared" si="0"/>
        <v>33</v>
      </c>
      <c r="I36" s="119"/>
      <c r="J36" s="119">
        <v>0</v>
      </c>
      <c r="K36" s="119">
        <f t="shared" si="1"/>
        <v>33</v>
      </c>
      <c r="L36" s="152">
        <f t="shared" si="2"/>
        <v>28.24</v>
      </c>
      <c r="M36" s="113"/>
    </row>
    <row r="37" spans="1:13" ht="14.25" customHeight="1" x14ac:dyDescent="0.2">
      <c r="A37" s="106" t="s">
        <v>6298</v>
      </c>
      <c r="B37" s="272" t="s">
        <v>3434</v>
      </c>
      <c r="C37" s="117" t="s">
        <v>6371</v>
      </c>
      <c r="D37" s="149" t="s">
        <v>3436</v>
      </c>
      <c r="E37" s="105">
        <v>5</v>
      </c>
      <c r="F37" s="133">
        <v>7.41</v>
      </c>
      <c r="G37" s="133">
        <v>8.75</v>
      </c>
      <c r="H37" s="109">
        <f t="shared" si="0"/>
        <v>43.75</v>
      </c>
      <c r="I37" s="119"/>
      <c r="J37" s="119">
        <v>0</v>
      </c>
      <c r="K37" s="119">
        <f t="shared" si="1"/>
        <v>43.75</v>
      </c>
      <c r="L37" s="152">
        <f t="shared" si="2"/>
        <v>37.049999999999997</v>
      </c>
      <c r="M37" s="113"/>
    </row>
    <row r="38" spans="1:13" ht="14.25" customHeight="1" x14ac:dyDescent="0.2">
      <c r="A38" s="106" t="s">
        <v>6298</v>
      </c>
      <c r="B38" s="272" t="s">
        <v>3634</v>
      </c>
      <c r="C38" s="117" t="s">
        <v>6371</v>
      </c>
      <c r="D38" s="149" t="s">
        <v>3636</v>
      </c>
      <c r="E38" s="105">
        <v>1</v>
      </c>
      <c r="F38" s="133">
        <v>8.5299999999999994</v>
      </c>
      <c r="G38" s="133">
        <v>10</v>
      </c>
      <c r="H38" s="109">
        <f t="shared" si="0"/>
        <v>10</v>
      </c>
      <c r="I38" s="119"/>
      <c r="J38" s="119">
        <v>0</v>
      </c>
      <c r="K38" s="119">
        <f t="shared" si="1"/>
        <v>10</v>
      </c>
      <c r="L38" s="152">
        <f t="shared" si="2"/>
        <v>8.5299999999999994</v>
      </c>
      <c r="M38" s="113"/>
    </row>
    <row r="39" spans="1:13" ht="14.25" customHeight="1" x14ac:dyDescent="0.2">
      <c r="A39" s="106" t="s">
        <v>6298</v>
      </c>
      <c r="B39" s="272" t="s">
        <v>1793</v>
      </c>
      <c r="C39" s="117" t="s">
        <v>6371</v>
      </c>
      <c r="D39" s="149" t="s">
        <v>1795</v>
      </c>
      <c r="E39" s="105">
        <v>1</v>
      </c>
      <c r="F39" s="133">
        <v>12.17</v>
      </c>
      <c r="G39" s="133">
        <v>14.75</v>
      </c>
      <c r="H39" s="109">
        <f t="shared" si="0"/>
        <v>14.75</v>
      </c>
      <c r="I39" s="119"/>
      <c r="J39" s="119">
        <v>0</v>
      </c>
      <c r="K39" s="119">
        <f t="shared" si="1"/>
        <v>14.75</v>
      </c>
      <c r="L39" s="152">
        <f t="shared" si="2"/>
        <v>12.17</v>
      </c>
      <c r="M39" s="113"/>
    </row>
    <row r="40" spans="1:13" ht="14.25" customHeight="1" x14ac:dyDescent="0.2">
      <c r="A40" s="106" t="s">
        <v>6298</v>
      </c>
      <c r="B40" s="272" t="s">
        <v>3092</v>
      </c>
      <c r="C40" s="117" t="s">
        <v>6371</v>
      </c>
      <c r="D40" s="149" t="s">
        <v>3093</v>
      </c>
      <c r="E40" s="105">
        <v>8</v>
      </c>
      <c r="F40" s="133">
        <v>7.48</v>
      </c>
      <c r="G40" s="133">
        <v>8.75</v>
      </c>
      <c r="H40" s="109">
        <f t="shared" si="0"/>
        <v>70</v>
      </c>
      <c r="I40" s="119"/>
      <c r="J40" s="119">
        <v>0</v>
      </c>
      <c r="K40" s="119">
        <f t="shared" si="1"/>
        <v>70</v>
      </c>
      <c r="L40" s="152">
        <f t="shared" si="2"/>
        <v>59.84</v>
      </c>
      <c r="M40" s="113"/>
    </row>
    <row r="41" spans="1:13" ht="14.25" customHeight="1" x14ac:dyDescent="0.2">
      <c r="A41" s="106" t="s">
        <v>6298</v>
      </c>
      <c r="B41" s="272" t="s">
        <v>3267</v>
      </c>
      <c r="C41" s="117" t="s">
        <v>6371</v>
      </c>
      <c r="D41" s="149" t="s">
        <v>3268</v>
      </c>
      <c r="E41" s="105">
        <v>1</v>
      </c>
      <c r="F41" s="133">
        <v>11.5</v>
      </c>
      <c r="G41" s="133">
        <v>13.5</v>
      </c>
      <c r="H41" s="109">
        <f t="shared" si="0"/>
        <v>13.5</v>
      </c>
      <c r="I41" s="119"/>
      <c r="J41" s="119">
        <v>0</v>
      </c>
      <c r="K41" s="119">
        <f t="shared" si="1"/>
        <v>13.5</v>
      </c>
      <c r="L41" s="152">
        <f t="shared" si="2"/>
        <v>11.5</v>
      </c>
      <c r="M41" s="113"/>
    </row>
    <row r="42" spans="1:13" ht="14.25" customHeight="1" x14ac:dyDescent="0.2">
      <c r="A42" s="106" t="s">
        <v>6298</v>
      </c>
      <c r="B42" s="272" t="s">
        <v>3909</v>
      </c>
      <c r="C42" s="117" t="s">
        <v>6371</v>
      </c>
      <c r="D42" s="149" t="s">
        <v>3911</v>
      </c>
      <c r="E42" s="105">
        <v>4</v>
      </c>
      <c r="F42" s="133">
        <v>7.06</v>
      </c>
      <c r="G42" s="133">
        <v>8.25</v>
      </c>
      <c r="H42" s="109">
        <f t="shared" si="0"/>
        <v>33</v>
      </c>
      <c r="I42" s="119"/>
      <c r="J42" s="119">
        <v>0</v>
      </c>
      <c r="K42" s="119">
        <f t="shared" si="1"/>
        <v>33</v>
      </c>
      <c r="L42" s="152">
        <f t="shared" si="2"/>
        <v>28.24</v>
      </c>
      <c r="M42" s="113"/>
    </row>
    <row r="43" spans="1:13" ht="14.25" customHeight="1" x14ac:dyDescent="0.2">
      <c r="A43" s="106" t="s">
        <v>6298</v>
      </c>
      <c r="B43" s="272" t="s">
        <v>3753</v>
      </c>
      <c r="C43" s="105" t="s">
        <v>6372</v>
      </c>
      <c r="D43" s="149" t="s">
        <v>3755</v>
      </c>
      <c r="E43" s="105">
        <v>1</v>
      </c>
      <c r="F43" s="133">
        <v>18.98</v>
      </c>
      <c r="G43" s="133">
        <v>22</v>
      </c>
      <c r="H43" s="109">
        <f t="shared" si="0"/>
        <v>22</v>
      </c>
      <c r="I43" s="119"/>
      <c r="J43" s="119">
        <v>0</v>
      </c>
      <c r="K43" s="119">
        <f t="shared" si="1"/>
        <v>22</v>
      </c>
      <c r="L43" s="152">
        <f t="shared" si="2"/>
        <v>18.98</v>
      </c>
      <c r="M43" s="113"/>
    </row>
    <row r="44" spans="1:13" ht="14.25" customHeight="1" x14ac:dyDescent="0.2">
      <c r="A44" s="106" t="s">
        <v>6298</v>
      </c>
      <c r="B44" s="272" t="s">
        <v>2550</v>
      </c>
      <c r="C44" s="105" t="s">
        <v>6372</v>
      </c>
      <c r="D44" s="149" t="s">
        <v>2552</v>
      </c>
      <c r="E44" s="105">
        <v>6</v>
      </c>
      <c r="F44" s="133">
        <v>6.38</v>
      </c>
      <c r="G44" s="133">
        <v>7.5</v>
      </c>
      <c r="H44" s="109">
        <f t="shared" si="0"/>
        <v>45</v>
      </c>
      <c r="I44" s="119"/>
      <c r="J44" s="119">
        <v>0</v>
      </c>
      <c r="K44" s="119">
        <f t="shared" si="1"/>
        <v>45</v>
      </c>
      <c r="L44" s="152">
        <f t="shared" si="2"/>
        <v>38.28</v>
      </c>
      <c r="M44" s="113"/>
    </row>
    <row r="45" spans="1:13" ht="14.25" customHeight="1" x14ac:dyDescent="0.2">
      <c r="A45" s="106" t="s">
        <v>6298</v>
      </c>
      <c r="B45" s="272" t="s">
        <v>4520</v>
      </c>
      <c r="C45" s="105" t="s">
        <v>6372</v>
      </c>
      <c r="D45" s="149" t="s">
        <v>4625</v>
      </c>
      <c r="E45" s="105">
        <v>1</v>
      </c>
      <c r="F45" s="133">
        <v>60</v>
      </c>
      <c r="G45" s="133">
        <v>75</v>
      </c>
      <c r="H45" s="109">
        <f t="shared" si="0"/>
        <v>75</v>
      </c>
      <c r="I45" s="119"/>
      <c r="J45" s="119">
        <v>0</v>
      </c>
      <c r="K45" s="119">
        <f t="shared" si="1"/>
        <v>75</v>
      </c>
      <c r="L45" s="152">
        <f t="shared" si="2"/>
        <v>60</v>
      </c>
      <c r="M45" s="113"/>
    </row>
    <row r="46" spans="1:13" ht="14.25" customHeight="1" x14ac:dyDescent="0.2">
      <c r="A46" s="106" t="s">
        <v>6298</v>
      </c>
      <c r="B46" s="272" t="s">
        <v>6310</v>
      </c>
      <c r="C46" s="105" t="s">
        <v>6372</v>
      </c>
      <c r="D46" s="149" t="s">
        <v>6651</v>
      </c>
      <c r="E46" s="105">
        <v>1</v>
      </c>
      <c r="F46" s="133">
        <v>121</v>
      </c>
      <c r="G46" s="133">
        <v>149</v>
      </c>
      <c r="H46" s="109">
        <f t="shared" si="0"/>
        <v>149</v>
      </c>
      <c r="I46" s="119"/>
      <c r="J46" s="119">
        <v>0</v>
      </c>
      <c r="K46" s="119">
        <f t="shared" si="1"/>
        <v>149</v>
      </c>
      <c r="L46" s="152">
        <f t="shared" si="2"/>
        <v>121</v>
      </c>
      <c r="M46" s="113"/>
    </row>
    <row r="47" spans="1:13" ht="14.25" customHeight="1" x14ac:dyDescent="0.2">
      <c r="A47" s="106" t="s">
        <v>6298</v>
      </c>
      <c r="B47" s="272" t="s">
        <v>3842</v>
      </c>
      <c r="C47" s="105" t="s">
        <v>6372</v>
      </c>
      <c r="D47" s="149" t="s">
        <v>3844</v>
      </c>
      <c r="E47" s="105">
        <v>1</v>
      </c>
      <c r="F47" s="133">
        <v>41.83</v>
      </c>
      <c r="G47" s="133">
        <v>48.25</v>
      </c>
      <c r="H47" s="109">
        <f t="shared" si="0"/>
        <v>48.25</v>
      </c>
      <c r="I47" s="119"/>
      <c r="J47" s="119">
        <v>0</v>
      </c>
      <c r="K47" s="119">
        <f t="shared" si="1"/>
        <v>48.25</v>
      </c>
      <c r="L47" s="152">
        <f t="shared" si="2"/>
        <v>41.83</v>
      </c>
      <c r="M47" s="113"/>
    </row>
    <row r="48" spans="1:13" ht="14.25" customHeight="1" x14ac:dyDescent="0.2">
      <c r="A48" s="106" t="s">
        <v>6298</v>
      </c>
      <c r="B48" s="272" t="s">
        <v>1884</v>
      </c>
      <c r="C48" s="105" t="s">
        <v>6372</v>
      </c>
      <c r="D48" s="149" t="s">
        <v>1885</v>
      </c>
      <c r="E48" s="105">
        <v>1</v>
      </c>
      <c r="F48" s="133">
        <v>7.06</v>
      </c>
      <c r="G48" s="133">
        <v>8.25</v>
      </c>
      <c r="H48" s="109">
        <f t="shared" si="0"/>
        <v>8.25</v>
      </c>
      <c r="I48" s="119"/>
      <c r="J48" s="119">
        <v>0</v>
      </c>
      <c r="K48" s="119">
        <f t="shared" si="1"/>
        <v>8.25</v>
      </c>
      <c r="L48" s="152">
        <f t="shared" si="2"/>
        <v>7.06</v>
      </c>
      <c r="M48" s="113"/>
    </row>
    <row r="49" spans="1:13" ht="14.25" customHeight="1" x14ac:dyDescent="0.2">
      <c r="A49" s="106" t="s">
        <v>6298</v>
      </c>
      <c r="B49" s="272" t="s">
        <v>3314</v>
      </c>
      <c r="C49" s="105" t="s">
        <v>6372</v>
      </c>
      <c r="D49" s="149" t="s">
        <v>3316</v>
      </c>
      <c r="E49" s="105">
        <v>1</v>
      </c>
      <c r="F49" s="133">
        <v>16.579999999999998</v>
      </c>
      <c r="G49" s="133">
        <v>19</v>
      </c>
      <c r="H49" s="109">
        <f t="shared" si="0"/>
        <v>19</v>
      </c>
      <c r="I49" s="119"/>
      <c r="J49" s="119">
        <v>0</v>
      </c>
      <c r="K49" s="119">
        <f t="shared" si="1"/>
        <v>19</v>
      </c>
      <c r="L49" s="152">
        <f t="shared" si="2"/>
        <v>16.579999999999998</v>
      </c>
      <c r="M49" s="113"/>
    </row>
    <row r="50" spans="1:13" ht="14.25" customHeight="1" x14ac:dyDescent="0.2">
      <c r="A50" s="106" t="s">
        <v>6298</v>
      </c>
      <c r="B50" s="272" t="s">
        <v>1905</v>
      </c>
      <c r="C50" s="105" t="s">
        <v>6372</v>
      </c>
      <c r="D50" s="149" t="s">
        <v>1906</v>
      </c>
      <c r="E50" s="105">
        <v>1</v>
      </c>
      <c r="F50" s="133">
        <v>15.51</v>
      </c>
      <c r="G50" s="133">
        <v>18</v>
      </c>
      <c r="H50" s="109">
        <f t="shared" si="0"/>
        <v>18</v>
      </c>
      <c r="I50" s="119"/>
      <c r="J50" s="119">
        <v>0</v>
      </c>
      <c r="K50" s="119">
        <f t="shared" si="1"/>
        <v>18</v>
      </c>
      <c r="L50" s="152">
        <f t="shared" si="2"/>
        <v>15.51</v>
      </c>
      <c r="M50" s="113"/>
    </row>
    <row r="51" spans="1:13" ht="14.25" customHeight="1" x14ac:dyDescent="0.2">
      <c r="A51" s="106" t="s">
        <v>6298</v>
      </c>
      <c r="B51" s="272" t="s">
        <v>1861</v>
      </c>
      <c r="C51" s="105" t="s">
        <v>6372</v>
      </c>
      <c r="D51" s="149" t="s">
        <v>1862</v>
      </c>
      <c r="E51" s="105">
        <v>1</v>
      </c>
      <c r="F51" s="133">
        <v>15.65</v>
      </c>
      <c r="G51" s="133">
        <v>18</v>
      </c>
      <c r="H51" s="109">
        <f t="shared" si="0"/>
        <v>18</v>
      </c>
      <c r="I51" s="119"/>
      <c r="J51" s="119">
        <v>0</v>
      </c>
      <c r="K51" s="119">
        <f t="shared" si="1"/>
        <v>18</v>
      </c>
      <c r="L51" s="152">
        <f t="shared" si="2"/>
        <v>15.65</v>
      </c>
      <c r="M51" s="113"/>
    </row>
    <row r="52" spans="1:13" ht="14.25" customHeight="1" x14ac:dyDescent="0.2">
      <c r="A52" s="106" t="s">
        <v>6298</v>
      </c>
      <c r="B52" s="272" t="s">
        <v>4129</v>
      </c>
      <c r="C52" s="105" t="s">
        <v>6373</v>
      </c>
      <c r="D52" s="149" t="s">
        <v>4130</v>
      </c>
      <c r="E52" s="105">
        <v>5</v>
      </c>
      <c r="F52" s="133">
        <v>5.25</v>
      </c>
      <c r="G52" s="133">
        <v>6</v>
      </c>
      <c r="H52" s="109">
        <f t="shared" si="0"/>
        <v>30</v>
      </c>
      <c r="I52" s="119"/>
      <c r="J52" s="119">
        <v>0</v>
      </c>
      <c r="K52" s="119">
        <f t="shared" si="1"/>
        <v>30</v>
      </c>
      <c r="L52" s="152">
        <f t="shared" si="2"/>
        <v>26.25</v>
      </c>
      <c r="M52" s="113"/>
    </row>
    <row r="53" spans="1:13" ht="14.25" customHeight="1" x14ac:dyDescent="0.2">
      <c r="A53" s="106" t="s">
        <v>6298</v>
      </c>
      <c r="B53" s="272" t="s">
        <v>4068</v>
      </c>
      <c r="C53" s="105" t="s">
        <v>6373</v>
      </c>
      <c r="D53" s="149" t="s">
        <v>4070</v>
      </c>
      <c r="E53" s="105">
        <v>2</v>
      </c>
      <c r="F53" s="133">
        <v>20.57</v>
      </c>
      <c r="G53" s="133">
        <v>23.75</v>
      </c>
      <c r="H53" s="109">
        <f t="shared" si="0"/>
        <v>47.5</v>
      </c>
      <c r="I53" s="119"/>
      <c r="J53" s="119">
        <v>0</v>
      </c>
      <c r="K53" s="119">
        <f t="shared" si="1"/>
        <v>47.5</v>
      </c>
      <c r="L53" s="152">
        <f t="shared" si="2"/>
        <v>41.14</v>
      </c>
      <c r="M53" s="113"/>
    </row>
    <row r="54" spans="1:13" ht="14.25" customHeight="1" x14ac:dyDescent="0.2">
      <c r="A54" s="106" t="s">
        <v>6298</v>
      </c>
      <c r="B54" s="272" t="s">
        <v>3201</v>
      </c>
      <c r="C54" s="105" t="s">
        <v>6373</v>
      </c>
      <c r="D54" s="149" t="s">
        <v>3202</v>
      </c>
      <c r="E54" s="105">
        <v>1</v>
      </c>
      <c r="F54" s="133">
        <v>61.5</v>
      </c>
      <c r="G54" s="133">
        <v>70.75</v>
      </c>
      <c r="H54" s="109">
        <f t="shared" si="0"/>
        <v>70.75</v>
      </c>
      <c r="I54" s="119"/>
      <c r="J54" s="119">
        <v>0</v>
      </c>
      <c r="K54" s="119">
        <f t="shared" si="1"/>
        <v>70.75</v>
      </c>
      <c r="L54" s="152">
        <f t="shared" si="2"/>
        <v>61.5</v>
      </c>
      <c r="M54" s="113"/>
    </row>
    <row r="55" spans="1:13" ht="14.25" customHeight="1" x14ac:dyDescent="0.2">
      <c r="A55" s="106" t="s">
        <v>6298</v>
      </c>
      <c r="B55" s="272" t="s">
        <v>2233</v>
      </c>
      <c r="C55" s="105" t="s">
        <v>6373</v>
      </c>
      <c r="D55" s="149" t="s">
        <v>2235</v>
      </c>
      <c r="E55" s="105">
        <v>1</v>
      </c>
      <c r="F55" s="133">
        <v>11.17</v>
      </c>
      <c r="G55" s="133">
        <v>13</v>
      </c>
      <c r="H55" s="109">
        <f t="shared" si="0"/>
        <v>13</v>
      </c>
      <c r="I55" s="119"/>
      <c r="J55" s="119">
        <v>0</v>
      </c>
      <c r="K55" s="119">
        <f t="shared" si="1"/>
        <v>13</v>
      </c>
      <c r="L55" s="152">
        <f t="shared" si="2"/>
        <v>11.17</v>
      </c>
      <c r="M55" s="113"/>
    </row>
    <row r="56" spans="1:13" ht="14.25" customHeight="1" x14ac:dyDescent="0.2">
      <c r="A56" s="106" t="s">
        <v>6298</v>
      </c>
      <c r="B56" s="272" t="s">
        <v>4567</v>
      </c>
      <c r="C56" s="105" t="s">
        <v>6373</v>
      </c>
      <c r="D56" s="149" t="s">
        <v>4672</v>
      </c>
      <c r="E56" s="105">
        <v>1</v>
      </c>
      <c r="F56" s="133">
        <v>7.06</v>
      </c>
      <c r="G56" s="133">
        <v>8.25</v>
      </c>
      <c r="H56" s="109">
        <f t="shared" si="0"/>
        <v>8.25</v>
      </c>
      <c r="I56" s="119"/>
      <c r="J56" s="119">
        <v>0</v>
      </c>
      <c r="K56" s="119">
        <f t="shared" si="1"/>
        <v>8.25</v>
      </c>
      <c r="L56" s="152">
        <f t="shared" si="2"/>
        <v>7.06</v>
      </c>
      <c r="M56" s="113"/>
    </row>
    <row r="57" spans="1:13" ht="14.25" customHeight="1" x14ac:dyDescent="0.2">
      <c r="A57" s="106" t="s">
        <v>6298</v>
      </c>
      <c r="B57" s="272" t="s">
        <v>3088</v>
      </c>
      <c r="C57" s="105" t="s">
        <v>6373</v>
      </c>
      <c r="D57" s="149" t="s">
        <v>3090</v>
      </c>
      <c r="E57" s="105">
        <v>1</v>
      </c>
      <c r="F57" s="133">
        <v>23.75</v>
      </c>
      <c r="G57" s="133">
        <v>27.5</v>
      </c>
      <c r="H57" s="109">
        <f t="shared" si="0"/>
        <v>27.5</v>
      </c>
      <c r="I57" s="119"/>
      <c r="J57" s="119">
        <v>0</v>
      </c>
      <c r="K57" s="119">
        <f t="shared" si="1"/>
        <v>27.5</v>
      </c>
      <c r="L57" s="152">
        <f t="shared" si="2"/>
        <v>23.75</v>
      </c>
      <c r="M57" s="113"/>
    </row>
    <row r="58" spans="1:13" ht="14.25" customHeight="1" x14ac:dyDescent="0.2">
      <c r="A58" s="106" t="s">
        <v>6298</v>
      </c>
      <c r="B58" s="272" t="s">
        <v>5247</v>
      </c>
      <c r="C58" s="105" t="s">
        <v>6373</v>
      </c>
      <c r="D58" s="149" t="s">
        <v>5407</v>
      </c>
      <c r="E58" s="105">
        <v>1</v>
      </c>
      <c r="F58" s="133">
        <v>32</v>
      </c>
      <c r="G58" s="133">
        <v>37</v>
      </c>
      <c r="H58" s="109">
        <f t="shared" si="0"/>
        <v>37</v>
      </c>
      <c r="I58" s="119"/>
      <c r="J58" s="119">
        <v>0</v>
      </c>
      <c r="K58" s="119">
        <f t="shared" si="1"/>
        <v>37</v>
      </c>
      <c r="L58" s="152">
        <f t="shared" si="2"/>
        <v>32</v>
      </c>
      <c r="M58" s="113"/>
    </row>
    <row r="59" spans="1:13" ht="14.25" customHeight="1" x14ac:dyDescent="0.2">
      <c r="A59" s="106" t="s">
        <v>6298</v>
      </c>
      <c r="B59" s="272" t="s">
        <v>1793</v>
      </c>
      <c r="C59" s="105" t="s">
        <v>6374</v>
      </c>
      <c r="D59" s="149" t="s">
        <v>1795</v>
      </c>
      <c r="E59" s="105">
        <v>1</v>
      </c>
      <c r="F59" s="133">
        <v>12.17</v>
      </c>
      <c r="G59" s="133">
        <v>14.75</v>
      </c>
      <c r="H59" s="109">
        <f t="shared" si="0"/>
        <v>14.75</v>
      </c>
      <c r="I59" s="119"/>
      <c r="J59" s="119">
        <v>0</v>
      </c>
      <c r="K59" s="119">
        <f t="shared" si="1"/>
        <v>14.75</v>
      </c>
      <c r="L59" s="152">
        <f t="shared" si="2"/>
        <v>12.17</v>
      </c>
      <c r="M59" s="113"/>
    </row>
    <row r="60" spans="1:13" ht="14.25" customHeight="1" x14ac:dyDescent="0.2">
      <c r="A60" s="106" t="s">
        <v>6299</v>
      </c>
      <c r="B60" s="272" t="s">
        <v>4714</v>
      </c>
      <c r="C60" s="105" t="s">
        <v>6375</v>
      </c>
      <c r="D60" s="149" t="s">
        <v>4749</v>
      </c>
      <c r="E60" s="105">
        <v>1</v>
      </c>
      <c r="F60" s="133">
        <v>213.74</v>
      </c>
      <c r="G60" s="133">
        <v>246</v>
      </c>
      <c r="H60" s="109">
        <f t="shared" si="0"/>
        <v>246</v>
      </c>
      <c r="I60" s="119"/>
      <c r="J60" s="119">
        <v>0</v>
      </c>
      <c r="K60" s="119">
        <f t="shared" si="1"/>
        <v>246</v>
      </c>
      <c r="L60" s="152">
        <f t="shared" si="2"/>
        <v>213.74</v>
      </c>
      <c r="M60" s="113"/>
    </row>
    <row r="61" spans="1:13" ht="14.25" customHeight="1" x14ac:dyDescent="0.2">
      <c r="A61" s="106" t="s">
        <v>6299</v>
      </c>
      <c r="B61" s="272" t="s">
        <v>4186</v>
      </c>
      <c r="C61" s="105" t="s">
        <v>6376</v>
      </c>
      <c r="D61" s="149" t="s">
        <v>4187</v>
      </c>
      <c r="E61" s="105">
        <v>1</v>
      </c>
      <c r="F61" s="133">
        <v>18.559999999999999</v>
      </c>
      <c r="G61" s="133">
        <v>21.5</v>
      </c>
      <c r="H61" s="109">
        <f t="shared" si="0"/>
        <v>21.5</v>
      </c>
      <c r="I61" s="119"/>
      <c r="J61" s="119">
        <v>0</v>
      </c>
      <c r="K61" s="119">
        <f t="shared" si="1"/>
        <v>21.5</v>
      </c>
      <c r="L61" s="152">
        <f t="shared" si="2"/>
        <v>18.559999999999999</v>
      </c>
      <c r="M61" s="113"/>
    </row>
    <row r="62" spans="1:13" ht="14.25" customHeight="1" x14ac:dyDescent="0.2">
      <c r="A62" s="106" t="s">
        <v>6299</v>
      </c>
      <c r="B62" s="272" t="s">
        <v>3917</v>
      </c>
      <c r="C62" s="105" t="s">
        <v>6377</v>
      </c>
      <c r="D62" s="149" t="s">
        <v>3919</v>
      </c>
      <c r="E62" s="105">
        <v>6</v>
      </c>
      <c r="F62" s="133">
        <v>6.37</v>
      </c>
      <c r="G62" s="133">
        <v>7.5</v>
      </c>
      <c r="H62" s="109">
        <f t="shared" si="0"/>
        <v>45</v>
      </c>
      <c r="I62" s="119"/>
      <c r="J62" s="119">
        <v>0</v>
      </c>
      <c r="K62" s="119">
        <f t="shared" si="1"/>
        <v>45</v>
      </c>
      <c r="L62" s="152">
        <f t="shared" si="2"/>
        <v>38.22</v>
      </c>
      <c r="M62" s="113"/>
    </row>
    <row r="63" spans="1:13" ht="14.25" customHeight="1" x14ac:dyDescent="0.2">
      <c r="A63" s="106" t="s">
        <v>6299</v>
      </c>
      <c r="B63" s="272" t="s">
        <v>3169</v>
      </c>
      <c r="C63" s="105" t="s">
        <v>6377</v>
      </c>
      <c r="D63" s="149" t="s">
        <v>3170</v>
      </c>
      <c r="E63" s="105">
        <v>6</v>
      </c>
      <c r="F63" s="133">
        <v>5.41</v>
      </c>
      <c r="G63" s="133">
        <v>6.25</v>
      </c>
      <c r="H63" s="109">
        <f t="shared" si="0"/>
        <v>37.5</v>
      </c>
      <c r="I63" s="119"/>
      <c r="J63" s="119">
        <v>0</v>
      </c>
      <c r="K63" s="119">
        <f t="shared" si="1"/>
        <v>37.5</v>
      </c>
      <c r="L63" s="152">
        <f t="shared" si="2"/>
        <v>32.46</v>
      </c>
      <c r="M63" s="113"/>
    </row>
    <row r="64" spans="1:13" ht="14.25" customHeight="1" x14ac:dyDescent="0.2">
      <c r="A64" s="106" t="s">
        <v>6299</v>
      </c>
      <c r="B64" s="272" t="s">
        <v>2516</v>
      </c>
      <c r="C64" s="105" t="s">
        <v>6378</v>
      </c>
      <c r="D64" s="149" t="s">
        <v>2518</v>
      </c>
      <c r="E64" s="105">
        <v>1</v>
      </c>
      <c r="F64" s="133">
        <v>71.06</v>
      </c>
      <c r="G64" s="133">
        <v>81.75</v>
      </c>
      <c r="H64" s="109">
        <f t="shared" si="0"/>
        <v>81.75</v>
      </c>
      <c r="I64" s="119"/>
      <c r="J64" s="119">
        <v>0</v>
      </c>
      <c r="K64" s="119">
        <f t="shared" si="1"/>
        <v>81.75</v>
      </c>
      <c r="L64" s="152">
        <f t="shared" si="2"/>
        <v>71.06</v>
      </c>
      <c r="M64" s="113"/>
    </row>
    <row r="65" spans="1:13" ht="14.25" customHeight="1" x14ac:dyDescent="0.2">
      <c r="A65" s="106" t="s">
        <v>6299</v>
      </c>
      <c r="B65" s="272" t="s">
        <v>4568</v>
      </c>
      <c r="C65" s="105" t="s">
        <v>6378</v>
      </c>
      <c r="D65" s="149" t="s">
        <v>4673</v>
      </c>
      <c r="E65" s="105">
        <v>1</v>
      </c>
      <c r="F65" s="133">
        <v>34.47</v>
      </c>
      <c r="G65" s="133">
        <v>39.75</v>
      </c>
      <c r="H65" s="109">
        <f t="shared" si="0"/>
        <v>39.75</v>
      </c>
      <c r="I65" s="119"/>
      <c r="J65" s="119">
        <v>0</v>
      </c>
      <c r="K65" s="119">
        <f t="shared" si="1"/>
        <v>39.75</v>
      </c>
      <c r="L65" s="152">
        <f t="shared" si="2"/>
        <v>34.47</v>
      </c>
      <c r="M65" s="113"/>
    </row>
    <row r="66" spans="1:13" ht="14.25" customHeight="1" x14ac:dyDescent="0.2">
      <c r="A66" s="106" t="s">
        <v>6299</v>
      </c>
      <c r="B66" s="272" t="s">
        <v>3314</v>
      </c>
      <c r="C66" s="105" t="s">
        <v>6379</v>
      </c>
      <c r="D66" s="149" t="s">
        <v>3316</v>
      </c>
      <c r="E66" s="105">
        <v>1</v>
      </c>
      <c r="F66" s="133">
        <v>16.579999999999998</v>
      </c>
      <c r="G66" s="133">
        <v>19</v>
      </c>
      <c r="H66" s="109">
        <f t="shared" si="0"/>
        <v>19</v>
      </c>
      <c r="I66" s="119"/>
      <c r="J66" s="119">
        <v>0</v>
      </c>
      <c r="K66" s="119">
        <f t="shared" si="1"/>
        <v>19</v>
      </c>
      <c r="L66" s="152">
        <f t="shared" si="2"/>
        <v>16.579999999999998</v>
      </c>
      <c r="M66" s="113"/>
    </row>
    <row r="67" spans="1:13" ht="14.25" customHeight="1" x14ac:dyDescent="0.2">
      <c r="A67" s="106" t="s">
        <v>6299</v>
      </c>
      <c r="B67" s="272" t="s">
        <v>4952</v>
      </c>
      <c r="C67" s="105" t="s">
        <v>6379</v>
      </c>
      <c r="D67" s="149" t="s">
        <v>4989</v>
      </c>
      <c r="E67" s="105">
        <v>1</v>
      </c>
      <c r="F67" s="133">
        <v>9.26</v>
      </c>
      <c r="G67" s="133">
        <v>11</v>
      </c>
      <c r="H67" s="109">
        <f t="shared" si="0"/>
        <v>11</v>
      </c>
      <c r="I67" s="119"/>
      <c r="J67" s="119">
        <v>0</v>
      </c>
      <c r="K67" s="119">
        <f t="shared" si="1"/>
        <v>11</v>
      </c>
      <c r="L67" s="152">
        <f t="shared" si="2"/>
        <v>9.26</v>
      </c>
      <c r="M67" s="113"/>
    </row>
    <row r="68" spans="1:13" ht="14.25" customHeight="1" x14ac:dyDescent="0.2">
      <c r="A68" s="106" t="s">
        <v>6299</v>
      </c>
      <c r="B68" s="272" t="s">
        <v>5686</v>
      </c>
      <c r="C68" s="105" t="s">
        <v>6380</v>
      </c>
      <c r="D68" s="149" t="s">
        <v>5824</v>
      </c>
      <c r="E68" s="105">
        <v>1</v>
      </c>
      <c r="F68" s="133">
        <v>12.17</v>
      </c>
      <c r="G68" s="133">
        <v>14.75</v>
      </c>
      <c r="H68" s="109">
        <f t="shared" si="0"/>
        <v>14.75</v>
      </c>
      <c r="I68" s="119"/>
      <c r="J68" s="119">
        <v>0</v>
      </c>
      <c r="K68" s="119">
        <f t="shared" si="1"/>
        <v>14.75</v>
      </c>
      <c r="L68" s="152">
        <f t="shared" si="2"/>
        <v>12.17</v>
      </c>
      <c r="M68" s="113"/>
    </row>
    <row r="69" spans="1:13" ht="14.25" customHeight="1" x14ac:dyDescent="0.2">
      <c r="A69" s="106" t="s">
        <v>6299</v>
      </c>
      <c r="B69" s="272" t="s">
        <v>2912</v>
      </c>
      <c r="C69" s="105" t="s">
        <v>6381</v>
      </c>
      <c r="D69" s="149" t="s">
        <v>2914</v>
      </c>
      <c r="E69" s="105">
        <v>1</v>
      </c>
      <c r="F69" s="133">
        <v>27.85</v>
      </c>
      <c r="G69" s="133">
        <v>32</v>
      </c>
      <c r="H69" s="109">
        <f t="shared" si="0"/>
        <v>32</v>
      </c>
      <c r="I69" s="119"/>
      <c r="J69" s="119">
        <v>0</v>
      </c>
      <c r="K69" s="119">
        <f t="shared" si="1"/>
        <v>32</v>
      </c>
      <c r="L69" s="152">
        <f t="shared" si="2"/>
        <v>27.85</v>
      </c>
      <c r="M69" s="113"/>
    </row>
    <row r="70" spans="1:13" ht="14.25" customHeight="1" x14ac:dyDescent="0.2">
      <c r="A70" s="106" t="s">
        <v>6299</v>
      </c>
      <c r="B70" s="272" t="s">
        <v>3897</v>
      </c>
      <c r="C70" s="105" t="s">
        <v>6382</v>
      </c>
      <c r="D70" s="149" t="s">
        <v>3899</v>
      </c>
      <c r="E70" s="105">
        <v>1</v>
      </c>
      <c r="F70" s="133">
        <v>25.69</v>
      </c>
      <c r="G70" s="133">
        <v>29.75</v>
      </c>
      <c r="H70" s="109">
        <f t="shared" ref="H70:H133" si="3">E70*G70</f>
        <v>29.75</v>
      </c>
      <c r="I70" s="119"/>
      <c r="J70" s="119">
        <v>0</v>
      </c>
      <c r="K70" s="119">
        <f t="shared" ref="K70:K133" si="4">H70+I70-J70</f>
        <v>29.75</v>
      </c>
      <c r="L70" s="152">
        <f t="shared" si="2"/>
        <v>25.69</v>
      </c>
      <c r="M70" s="113"/>
    </row>
    <row r="71" spans="1:13" ht="14.25" customHeight="1" x14ac:dyDescent="0.2">
      <c r="A71" s="106" t="s">
        <v>6299</v>
      </c>
      <c r="B71" s="272" t="s">
        <v>2742</v>
      </c>
      <c r="C71" s="105" t="s">
        <v>6382</v>
      </c>
      <c r="D71" s="149" t="s">
        <v>2743</v>
      </c>
      <c r="E71" s="105">
        <v>1</v>
      </c>
      <c r="F71" s="133">
        <v>16.03</v>
      </c>
      <c r="G71" s="133">
        <v>18.5</v>
      </c>
      <c r="H71" s="109">
        <f t="shared" si="3"/>
        <v>18.5</v>
      </c>
      <c r="I71" s="119"/>
      <c r="J71" s="119">
        <v>0</v>
      </c>
      <c r="K71" s="119">
        <f t="shared" si="4"/>
        <v>18.5</v>
      </c>
      <c r="L71" s="152">
        <f t="shared" ref="L71:L134" si="5">E71*F71</f>
        <v>16.03</v>
      </c>
      <c r="M71" s="113"/>
    </row>
    <row r="72" spans="1:13" ht="14.25" customHeight="1" x14ac:dyDescent="0.2">
      <c r="A72" s="106" t="s">
        <v>6299</v>
      </c>
      <c r="B72" s="272" t="s">
        <v>2459</v>
      </c>
      <c r="C72" s="105" t="s">
        <v>6383</v>
      </c>
      <c r="D72" s="149" t="s">
        <v>2460</v>
      </c>
      <c r="E72" s="105">
        <v>1</v>
      </c>
      <c r="F72" s="133">
        <v>18.88</v>
      </c>
      <c r="G72" s="133">
        <v>21.75</v>
      </c>
      <c r="H72" s="109">
        <f t="shared" si="3"/>
        <v>21.75</v>
      </c>
      <c r="I72" s="119"/>
      <c r="J72" s="119">
        <v>0</v>
      </c>
      <c r="K72" s="119">
        <f t="shared" si="4"/>
        <v>21.75</v>
      </c>
      <c r="L72" s="152">
        <f t="shared" si="5"/>
        <v>18.88</v>
      </c>
      <c r="M72" s="113"/>
    </row>
    <row r="73" spans="1:13" ht="14.25" customHeight="1" x14ac:dyDescent="0.2">
      <c r="A73" s="106" t="s">
        <v>6299</v>
      </c>
      <c r="B73" s="272" t="s">
        <v>2110</v>
      </c>
      <c r="C73" s="105" t="s">
        <v>6384</v>
      </c>
      <c r="D73" s="149" t="s">
        <v>2112</v>
      </c>
      <c r="E73" s="105">
        <v>1</v>
      </c>
      <c r="F73" s="133">
        <v>23.13</v>
      </c>
      <c r="G73" s="133">
        <v>30.25</v>
      </c>
      <c r="H73" s="109">
        <f t="shared" si="3"/>
        <v>30.25</v>
      </c>
      <c r="I73" s="119"/>
      <c r="J73" s="119">
        <v>0</v>
      </c>
      <c r="K73" s="119">
        <f t="shared" si="4"/>
        <v>30.25</v>
      </c>
      <c r="L73" s="152">
        <f t="shared" si="5"/>
        <v>23.13</v>
      </c>
      <c r="M73" s="113"/>
    </row>
    <row r="74" spans="1:13" ht="14.25" customHeight="1" x14ac:dyDescent="0.2">
      <c r="A74" s="106" t="s">
        <v>6299</v>
      </c>
      <c r="B74" s="272" t="s">
        <v>4076</v>
      </c>
      <c r="C74" s="105" t="s">
        <v>6385</v>
      </c>
      <c r="D74" s="149" t="s">
        <v>4078</v>
      </c>
      <c r="E74" s="105">
        <v>2</v>
      </c>
      <c r="F74" s="133">
        <v>8.75</v>
      </c>
      <c r="G74" s="133">
        <v>10.25</v>
      </c>
      <c r="H74" s="109">
        <f t="shared" si="3"/>
        <v>20.5</v>
      </c>
      <c r="I74" s="119"/>
      <c r="J74" s="119">
        <v>0</v>
      </c>
      <c r="K74" s="119">
        <f t="shared" si="4"/>
        <v>20.5</v>
      </c>
      <c r="L74" s="152">
        <f t="shared" si="5"/>
        <v>17.5</v>
      </c>
      <c r="M74" s="113"/>
    </row>
    <row r="75" spans="1:13" ht="14.25" customHeight="1" x14ac:dyDescent="0.2">
      <c r="A75" s="106" t="s">
        <v>6299</v>
      </c>
      <c r="B75" s="272" t="s">
        <v>2459</v>
      </c>
      <c r="C75" s="105" t="s">
        <v>6386</v>
      </c>
      <c r="D75" s="149" t="s">
        <v>2460</v>
      </c>
      <c r="E75" s="105">
        <v>1</v>
      </c>
      <c r="F75" s="133">
        <v>18.88</v>
      </c>
      <c r="G75" s="133">
        <v>21.75</v>
      </c>
      <c r="H75" s="109">
        <f t="shared" si="3"/>
        <v>21.75</v>
      </c>
      <c r="I75" s="119"/>
      <c r="J75" s="119">
        <v>0</v>
      </c>
      <c r="K75" s="119">
        <f t="shared" si="4"/>
        <v>21.75</v>
      </c>
      <c r="L75" s="152">
        <f t="shared" si="5"/>
        <v>18.88</v>
      </c>
      <c r="M75" s="113"/>
    </row>
    <row r="76" spans="1:13" ht="14.25" customHeight="1" x14ac:dyDescent="0.2">
      <c r="A76" s="106" t="s">
        <v>6300</v>
      </c>
      <c r="B76" s="272" t="s">
        <v>5867</v>
      </c>
      <c r="C76" s="105" t="s">
        <v>6387</v>
      </c>
      <c r="D76" s="149" t="s">
        <v>5960</v>
      </c>
      <c r="E76" s="105">
        <v>1</v>
      </c>
      <c r="F76" s="133">
        <v>7.75</v>
      </c>
      <c r="G76" s="133">
        <v>9</v>
      </c>
      <c r="H76" s="109">
        <f t="shared" si="3"/>
        <v>9</v>
      </c>
      <c r="I76" s="119"/>
      <c r="J76" s="119">
        <v>0</v>
      </c>
      <c r="K76" s="119">
        <f t="shared" si="4"/>
        <v>9</v>
      </c>
      <c r="L76" s="152">
        <f t="shared" si="5"/>
        <v>7.75</v>
      </c>
      <c r="M76" s="113"/>
    </row>
    <row r="77" spans="1:13" ht="14.25" customHeight="1" x14ac:dyDescent="0.2">
      <c r="A77" s="106" t="s">
        <v>6300</v>
      </c>
      <c r="B77" s="272" t="s">
        <v>3909</v>
      </c>
      <c r="C77" s="105" t="s">
        <v>6387</v>
      </c>
      <c r="D77" s="149" t="s">
        <v>3911</v>
      </c>
      <c r="E77" s="105">
        <v>1</v>
      </c>
      <c r="F77" s="133">
        <v>7.06</v>
      </c>
      <c r="G77" s="133">
        <v>8.25</v>
      </c>
      <c r="H77" s="109">
        <f t="shared" si="3"/>
        <v>8.25</v>
      </c>
      <c r="I77" s="119"/>
      <c r="J77" s="119">
        <v>0</v>
      </c>
      <c r="K77" s="119">
        <f t="shared" si="4"/>
        <v>8.25</v>
      </c>
      <c r="L77" s="152">
        <f t="shared" si="5"/>
        <v>7.06</v>
      </c>
      <c r="M77" s="113"/>
    </row>
    <row r="78" spans="1:13" ht="14.25" customHeight="1" x14ac:dyDescent="0.2">
      <c r="A78" s="106" t="s">
        <v>6300</v>
      </c>
      <c r="B78" s="272" t="s">
        <v>4567</v>
      </c>
      <c r="C78" s="105" t="s">
        <v>6388</v>
      </c>
      <c r="D78" s="149" t="s">
        <v>4672</v>
      </c>
      <c r="E78" s="105">
        <v>2</v>
      </c>
      <c r="F78" s="133">
        <v>7.06</v>
      </c>
      <c r="G78" s="133">
        <v>8.25</v>
      </c>
      <c r="H78" s="109">
        <f t="shared" si="3"/>
        <v>16.5</v>
      </c>
      <c r="I78" s="119"/>
      <c r="J78" s="119">
        <v>0</v>
      </c>
      <c r="K78" s="119">
        <f t="shared" si="4"/>
        <v>16.5</v>
      </c>
      <c r="L78" s="152">
        <f t="shared" si="5"/>
        <v>14.12</v>
      </c>
      <c r="M78" s="113"/>
    </row>
    <row r="79" spans="1:13" ht="14.25" customHeight="1" x14ac:dyDescent="0.2">
      <c r="A79" s="106" t="s">
        <v>6300</v>
      </c>
      <c r="B79" s="272" t="s">
        <v>3543</v>
      </c>
      <c r="C79" s="105" t="s">
        <v>6388</v>
      </c>
      <c r="D79" s="149" t="s">
        <v>3544</v>
      </c>
      <c r="E79" s="105">
        <v>1</v>
      </c>
      <c r="F79" s="133">
        <v>68.540000000000006</v>
      </c>
      <c r="G79" s="133">
        <v>79</v>
      </c>
      <c r="H79" s="109">
        <f t="shared" si="3"/>
        <v>79</v>
      </c>
      <c r="I79" s="119"/>
      <c r="J79" s="119">
        <v>0</v>
      </c>
      <c r="K79" s="119">
        <f t="shared" si="4"/>
        <v>79</v>
      </c>
      <c r="L79" s="152">
        <f t="shared" si="5"/>
        <v>68.540000000000006</v>
      </c>
      <c r="M79" s="113"/>
    </row>
    <row r="80" spans="1:13" ht="14.25" customHeight="1" x14ac:dyDescent="0.2">
      <c r="A80" s="106" t="s">
        <v>6300</v>
      </c>
      <c r="B80" s="272" t="s">
        <v>5033</v>
      </c>
      <c r="C80" s="105" t="s">
        <v>6388</v>
      </c>
      <c r="D80" s="149" t="s">
        <v>5077</v>
      </c>
      <c r="E80" s="105">
        <v>1</v>
      </c>
      <c r="F80" s="133">
        <v>25</v>
      </c>
      <c r="G80" s="133">
        <v>28.75</v>
      </c>
      <c r="H80" s="109">
        <f t="shared" si="3"/>
        <v>28.75</v>
      </c>
      <c r="I80" s="119"/>
      <c r="J80" s="119">
        <v>0</v>
      </c>
      <c r="K80" s="119">
        <f t="shared" si="4"/>
        <v>28.75</v>
      </c>
      <c r="L80" s="152">
        <f t="shared" si="5"/>
        <v>25</v>
      </c>
      <c r="M80" s="113"/>
    </row>
    <row r="81" spans="1:13" ht="14.25" customHeight="1" x14ac:dyDescent="0.2">
      <c r="A81" s="106" t="s">
        <v>6300</v>
      </c>
      <c r="B81" s="272" t="s">
        <v>2146</v>
      </c>
      <c r="C81" s="105" t="s">
        <v>6388</v>
      </c>
      <c r="D81" s="149" t="s">
        <v>2147</v>
      </c>
      <c r="E81" s="105">
        <v>1</v>
      </c>
      <c r="F81" s="133">
        <v>13.2</v>
      </c>
      <c r="G81" s="133">
        <v>16</v>
      </c>
      <c r="H81" s="109">
        <f t="shared" si="3"/>
        <v>16</v>
      </c>
      <c r="I81" s="119"/>
      <c r="J81" s="119">
        <v>0</v>
      </c>
      <c r="K81" s="119">
        <f t="shared" si="4"/>
        <v>16</v>
      </c>
      <c r="L81" s="152">
        <f t="shared" si="5"/>
        <v>13.2</v>
      </c>
      <c r="M81" s="113"/>
    </row>
    <row r="82" spans="1:13" ht="14.25" customHeight="1" x14ac:dyDescent="0.2">
      <c r="A82" s="106" t="s">
        <v>6300</v>
      </c>
      <c r="B82" s="272" t="s">
        <v>3452</v>
      </c>
      <c r="C82" s="105" t="s">
        <v>6389</v>
      </c>
      <c r="D82" s="149" t="s">
        <v>3453</v>
      </c>
      <c r="E82" s="105">
        <v>1</v>
      </c>
      <c r="F82" s="133">
        <v>44.86</v>
      </c>
      <c r="G82" s="133">
        <v>51.25</v>
      </c>
      <c r="H82" s="109">
        <f t="shared" si="3"/>
        <v>51.25</v>
      </c>
      <c r="I82" s="119"/>
      <c r="J82" s="119">
        <v>0</v>
      </c>
      <c r="K82" s="119">
        <f t="shared" si="4"/>
        <v>51.25</v>
      </c>
      <c r="L82" s="152">
        <f t="shared" si="5"/>
        <v>44.86</v>
      </c>
      <c r="M82" s="113"/>
    </row>
    <row r="83" spans="1:13" ht="14.25" customHeight="1" x14ac:dyDescent="0.2">
      <c r="A83" s="106" t="s">
        <v>6300</v>
      </c>
      <c r="B83" s="272" t="s">
        <v>1818</v>
      </c>
      <c r="C83" s="105" t="s">
        <v>6389</v>
      </c>
      <c r="D83" s="149" t="s">
        <v>1819</v>
      </c>
      <c r="E83" s="105">
        <v>1</v>
      </c>
      <c r="F83" s="133">
        <v>46</v>
      </c>
      <c r="G83" s="133">
        <v>57</v>
      </c>
      <c r="H83" s="109">
        <f t="shared" si="3"/>
        <v>57</v>
      </c>
      <c r="I83" s="119"/>
      <c r="J83" s="119">
        <v>0</v>
      </c>
      <c r="K83" s="119">
        <f t="shared" si="4"/>
        <v>57</v>
      </c>
      <c r="L83" s="152">
        <f t="shared" si="5"/>
        <v>46</v>
      </c>
      <c r="M83" s="113"/>
    </row>
    <row r="84" spans="1:13" ht="14.25" customHeight="1" x14ac:dyDescent="0.2">
      <c r="A84" s="106" t="s">
        <v>6300</v>
      </c>
      <c r="B84" s="272" t="s">
        <v>4567</v>
      </c>
      <c r="C84" s="105" t="s">
        <v>6389</v>
      </c>
      <c r="D84" s="149" t="s">
        <v>4672</v>
      </c>
      <c r="E84" s="105">
        <v>3</v>
      </c>
      <c r="F84" s="133">
        <v>7.06</v>
      </c>
      <c r="G84" s="133">
        <v>8.25</v>
      </c>
      <c r="H84" s="109">
        <f t="shared" si="3"/>
        <v>24.75</v>
      </c>
      <c r="I84" s="119"/>
      <c r="J84" s="119">
        <v>0</v>
      </c>
      <c r="K84" s="119">
        <f t="shared" si="4"/>
        <v>24.75</v>
      </c>
      <c r="L84" s="152">
        <f t="shared" si="5"/>
        <v>21.18</v>
      </c>
      <c r="M84" s="113"/>
    </row>
    <row r="85" spans="1:13" ht="14.25" customHeight="1" x14ac:dyDescent="0.2">
      <c r="A85" s="106" t="s">
        <v>6300</v>
      </c>
      <c r="B85" s="272" t="s">
        <v>1944</v>
      </c>
      <c r="C85" s="105" t="s">
        <v>6390</v>
      </c>
      <c r="D85" s="149" t="s">
        <v>1946</v>
      </c>
      <c r="E85" s="105">
        <v>1</v>
      </c>
      <c r="F85" s="133">
        <v>14.38</v>
      </c>
      <c r="G85" s="133">
        <v>16.75</v>
      </c>
      <c r="H85" s="109">
        <f t="shared" si="3"/>
        <v>16.75</v>
      </c>
      <c r="I85" s="119"/>
      <c r="J85" s="119">
        <v>0</v>
      </c>
      <c r="K85" s="119">
        <f t="shared" si="4"/>
        <v>16.75</v>
      </c>
      <c r="L85" s="152">
        <f t="shared" si="5"/>
        <v>14.38</v>
      </c>
      <c r="M85" s="113"/>
    </row>
    <row r="86" spans="1:13" ht="14.25" customHeight="1" x14ac:dyDescent="0.2">
      <c r="A86" s="106" t="s">
        <v>6300</v>
      </c>
      <c r="B86" s="272" t="s">
        <v>4368</v>
      </c>
      <c r="C86" s="105" t="s">
        <v>6391</v>
      </c>
      <c r="D86" s="149" t="s">
        <v>4432</v>
      </c>
      <c r="E86" s="105">
        <v>1</v>
      </c>
      <c r="F86" s="133">
        <v>9.27</v>
      </c>
      <c r="G86" s="133">
        <v>10.75</v>
      </c>
      <c r="H86" s="109">
        <f t="shared" si="3"/>
        <v>10.75</v>
      </c>
      <c r="I86" s="119"/>
      <c r="J86" s="119">
        <v>0</v>
      </c>
      <c r="K86" s="119">
        <f t="shared" si="4"/>
        <v>10.75</v>
      </c>
      <c r="L86" s="152">
        <f t="shared" si="5"/>
        <v>9.27</v>
      </c>
      <c r="M86" s="113"/>
    </row>
    <row r="87" spans="1:13" ht="14.25" customHeight="1" x14ac:dyDescent="0.2">
      <c r="A87" s="106" t="s">
        <v>6300</v>
      </c>
      <c r="B87" s="272" t="s">
        <v>2002</v>
      </c>
      <c r="C87" s="105" t="s">
        <v>6392</v>
      </c>
      <c r="D87" s="149" t="s">
        <v>2004</v>
      </c>
      <c r="E87" s="105">
        <v>1</v>
      </c>
      <c r="F87" s="133">
        <v>12.56</v>
      </c>
      <c r="G87" s="133">
        <v>14.25</v>
      </c>
      <c r="H87" s="109">
        <f t="shared" si="3"/>
        <v>14.25</v>
      </c>
      <c r="I87" s="119"/>
      <c r="J87" s="119">
        <v>0</v>
      </c>
      <c r="K87" s="119">
        <f t="shared" si="4"/>
        <v>14.25</v>
      </c>
      <c r="L87" s="152">
        <f t="shared" si="5"/>
        <v>12.56</v>
      </c>
      <c r="M87" s="113"/>
    </row>
    <row r="88" spans="1:13" ht="14.25" customHeight="1" x14ac:dyDescent="0.2">
      <c r="A88" s="106" t="s">
        <v>6300</v>
      </c>
      <c r="B88" s="272" t="s">
        <v>4806</v>
      </c>
      <c r="C88" s="105" t="s">
        <v>6393</v>
      </c>
      <c r="D88" s="149" t="s">
        <v>4874</v>
      </c>
      <c r="E88" s="105">
        <v>1</v>
      </c>
      <c r="F88" s="133">
        <v>8.58</v>
      </c>
      <c r="G88" s="133">
        <v>10</v>
      </c>
      <c r="H88" s="109">
        <f t="shared" si="3"/>
        <v>10</v>
      </c>
      <c r="I88" s="119"/>
      <c r="J88" s="119">
        <v>0</v>
      </c>
      <c r="K88" s="119">
        <f t="shared" si="4"/>
        <v>10</v>
      </c>
      <c r="L88" s="152">
        <f t="shared" si="5"/>
        <v>8.58</v>
      </c>
      <c r="M88" s="113"/>
    </row>
    <row r="89" spans="1:13" ht="14.25" customHeight="1" x14ac:dyDescent="0.2">
      <c r="A89" s="106" t="s">
        <v>6300</v>
      </c>
      <c r="B89" s="272" t="s">
        <v>4806</v>
      </c>
      <c r="C89" s="105" t="s">
        <v>6394</v>
      </c>
      <c r="D89" s="149" t="s">
        <v>4874</v>
      </c>
      <c r="E89" s="105">
        <v>2</v>
      </c>
      <c r="F89" s="133">
        <v>8.58</v>
      </c>
      <c r="G89" s="133">
        <v>10</v>
      </c>
      <c r="H89" s="109">
        <f t="shared" si="3"/>
        <v>20</v>
      </c>
      <c r="I89" s="119"/>
      <c r="J89" s="119">
        <v>0</v>
      </c>
      <c r="K89" s="119">
        <f t="shared" si="4"/>
        <v>20</v>
      </c>
      <c r="L89" s="152">
        <f t="shared" si="5"/>
        <v>17.16</v>
      </c>
      <c r="M89" s="113"/>
    </row>
    <row r="90" spans="1:13" ht="14.25" customHeight="1" x14ac:dyDescent="0.2">
      <c r="A90" s="106" t="s">
        <v>6300</v>
      </c>
      <c r="B90" s="272" t="s">
        <v>2323</v>
      </c>
      <c r="C90" s="105" t="s">
        <v>6395</v>
      </c>
      <c r="D90" s="149" t="s">
        <v>2325</v>
      </c>
      <c r="E90" s="105">
        <v>1</v>
      </c>
      <c r="F90" s="133">
        <v>19.100000000000001</v>
      </c>
      <c r="G90" s="133">
        <v>22</v>
      </c>
      <c r="H90" s="109">
        <f t="shared" si="3"/>
        <v>22</v>
      </c>
      <c r="I90" s="119"/>
      <c r="J90" s="119">
        <v>0</v>
      </c>
      <c r="K90" s="119">
        <f t="shared" si="4"/>
        <v>22</v>
      </c>
      <c r="L90" s="152">
        <f t="shared" si="5"/>
        <v>19.100000000000001</v>
      </c>
      <c r="M90" s="113"/>
    </row>
    <row r="91" spans="1:13" ht="14.25" customHeight="1" x14ac:dyDescent="0.2">
      <c r="A91" s="106" t="s">
        <v>6300</v>
      </c>
      <c r="B91" s="272" t="s">
        <v>6311</v>
      </c>
      <c r="C91" s="105" t="s">
        <v>6395</v>
      </c>
      <c r="D91" s="149" t="s">
        <v>6652</v>
      </c>
      <c r="E91" s="105">
        <v>1</v>
      </c>
      <c r="F91" s="133">
        <v>22.81</v>
      </c>
      <c r="G91" s="133">
        <v>26.25</v>
      </c>
      <c r="H91" s="109">
        <f t="shared" si="3"/>
        <v>26.25</v>
      </c>
      <c r="I91" s="119"/>
      <c r="J91" s="119">
        <v>0</v>
      </c>
      <c r="K91" s="119">
        <f t="shared" si="4"/>
        <v>26.25</v>
      </c>
      <c r="L91" s="152">
        <f t="shared" si="5"/>
        <v>22.81</v>
      </c>
      <c r="M91" s="113"/>
    </row>
    <row r="92" spans="1:13" ht="14.25" customHeight="1" x14ac:dyDescent="0.2">
      <c r="A92" s="106" t="s">
        <v>6300</v>
      </c>
      <c r="B92" s="272" t="s">
        <v>6312</v>
      </c>
      <c r="C92" s="105" t="s">
        <v>6396</v>
      </c>
      <c r="D92" s="149" t="s">
        <v>6653</v>
      </c>
      <c r="E92" s="105">
        <v>1</v>
      </c>
      <c r="F92" s="133">
        <v>117.5</v>
      </c>
      <c r="G92" s="133">
        <v>147</v>
      </c>
      <c r="H92" s="109">
        <f t="shared" si="3"/>
        <v>147</v>
      </c>
      <c r="I92" s="119"/>
      <c r="J92" s="119">
        <v>0</v>
      </c>
      <c r="K92" s="119">
        <f t="shared" si="4"/>
        <v>147</v>
      </c>
      <c r="L92" s="152">
        <f t="shared" si="5"/>
        <v>117.5</v>
      </c>
      <c r="M92" s="113"/>
    </row>
    <row r="93" spans="1:13" ht="14.25" customHeight="1" x14ac:dyDescent="0.2">
      <c r="A93" s="106" t="s">
        <v>6301</v>
      </c>
      <c r="B93" s="272" t="s">
        <v>6311</v>
      </c>
      <c r="C93" s="105" t="s">
        <v>6397</v>
      </c>
      <c r="D93" s="149" t="s">
        <v>6652</v>
      </c>
      <c r="E93" s="105">
        <v>1</v>
      </c>
      <c r="F93" s="133">
        <v>22.81</v>
      </c>
      <c r="G93" s="133">
        <v>26.25</v>
      </c>
      <c r="H93" s="109">
        <f t="shared" si="3"/>
        <v>26.25</v>
      </c>
      <c r="I93" s="119"/>
      <c r="J93" s="119">
        <v>0</v>
      </c>
      <c r="K93" s="119">
        <f t="shared" si="4"/>
        <v>26.25</v>
      </c>
      <c r="L93" s="152">
        <f t="shared" si="5"/>
        <v>22.81</v>
      </c>
      <c r="M93" s="113"/>
    </row>
    <row r="94" spans="1:13" ht="14.25" customHeight="1" x14ac:dyDescent="0.2">
      <c r="A94" s="106" t="s">
        <v>6301</v>
      </c>
      <c r="B94" s="272" t="s">
        <v>2233</v>
      </c>
      <c r="C94" s="105" t="s">
        <v>6398</v>
      </c>
      <c r="D94" s="149" t="s">
        <v>2235</v>
      </c>
      <c r="E94" s="105">
        <v>2</v>
      </c>
      <c r="F94" s="133">
        <v>11.17</v>
      </c>
      <c r="G94" s="133">
        <v>13</v>
      </c>
      <c r="H94" s="109">
        <f t="shared" si="3"/>
        <v>26</v>
      </c>
      <c r="I94" s="119"/>
      <c r="J94" s="119">
        <v>0</v>
      </c>
      <c r="K94" s="119">
        <f t="shared" si="4"/>
        <v>26</v>
      </c>
      <c r="L94" s="152">
        <f t="shared" si="5"/>
        <v>22.34</v>
      </c>
      <c r="M94" s="113"/>
    </row>
    <row r="95" spans="1:13" ht="14.25" customHeight="1" x14ac:dyDescent="0.2">
      <c r="A95" s="106" t="s">
        <v>6301</v>
      </c>
      <c r="B95" s="272" t="s">
        <v>3753</v>
      </c>
      <c r="C95" s="105" t="s">
        <v>6398</v>
      </c>
      <c r="D95" s="149" t="s">
        <v>3755</v>
      </c>
      <c r="E95" s="105">
        <v>1</v>
      </c>
      <c r="F95" s="133">
        <v>18.98</v>
      </c>
      <c r="G95" s="133">
        <v>22</v>
      </c>
      <c r="H95" s="109">
        <f t="shared" si="3"/>
        <v>22</v>
      </c>
      <c r="I95" s="119"/>
      <c r="J95" s="119">
        <v>0</v>
      </c>
      <c r="K95" s="119">
        <f t="shared" si="4"/>
        <v>22</v>
      </c>
      <c r="L95" s="152">
        <f t="shared" si="5"/>
        <v>18.98</v>
      </c>
      <c r="M95" s="113"/>
    </row>
    <row r="96" spans="1:13" ht="14.25" customHeight="1" x14ac:dyDescent="0.2">
      <c r="A96" s="106" t="s">
        <v>6301</v>
      </c>
      <c r="B96" s="272" t="s">
        <v>4328</v>
      </c>
      <c r="C96" s="105" t="s">
        <v>6399</v>
      </c>
      <c r="D96" s="149" t="s">
        <v>4358</v>
      </c>
      <c r="E96" s="105">
        <v>2</v>
      </c>
      <c r="F96" s="133">
        <v>23.63</v>
      </c>
      <c r="G96" s="133">
        <v>27.25</v>
      </c>
      <c r="H96" s="109">
        <f t="shared" si="3"/>
        <v>54.5</v>
      </c>
      <c r="I96" s="119"/>
      <c r="J96" s="119">
        <v>0</v>
      </c>
      <c r="K96" s="119">
        <f t="shared" si="4"/>
        <v>54.5</v>
      </c>
      <c r="L96" s="152">
        <f t="shared" si="5"/>
        <v>47.26</v>
      </c>
      <c r="M96" s="113"/>
    </row>
    <row r="97" spans="1:13" ht="14.25" customHeight="1" x14ac:dyDescent="0.2">
      <c r="A97" s="106" t="s">
        <v>6301</v>
      </c>
      <c r="B97" s="272" t="s">
        <v>1888</v>
      </c>
      <c r="C97" s="105" t="s">
        <v>6400</v>
      </c>
      <c r="D97" s="149" t="s">
        <v>1890</v>
      </c>
      <c r="E97" s="105">
        <v>1</v>
      </c>
      <c r="F97" s="133">
        <v>20.68</v>
      </c>
      <c r="G97" s="133">
        <v>24</v>
      </c>
      <c r="H97" s="109">
        <f t="shared" si="3"/>
        <v>24</v>
      </c>
      <c r="I97" s="119"/>
      <c r="J97" s="119">
        <v>0</v>
      </c>
      <c r="K97" s="119">
        <f t="shared" si="4"/>
        <v>24</v>
      </c>
      <c r="L97" s="152">
        <f t="shared" si="5"/>
        <v>20.68</v>
      </c>
      <c r="M97" s="113"/>
    </row>
    <row r="98" spans="1:13" ht="14.25" customHeight="1" x14ac:dyDescent="0.2">
      <c r="A98" s="106" t="s">
        <v>6301</v>
      </c>
      <c r="B98" s="272" t="s">
        <v>5685</v>
      </c>
      <c r="C98" s="105" t="s">
        <v>6401</v>
      </c>
      <c r="D98" s="149" t="s">
        <v>5823</v>
      </c>
      <c r="E98" s="105">
        <v>1</v>
      </c>
      <c r="F98" s="133">
        <v>38.57</v>
      </c>
      <c r="G98" s="133">
        <v>44.5</v>
      </c>
      <c r="H98" s="109">
        <f t="shared" si="3"/>
        <v>44.5</v>
      </c>
      <c r="I98" s="119"/>
      <c r="J98" s="119">
        <v>0</v>
      </c>
      <c r="K98" s="119">
        <f t="shared" si="4"/>
        <v>44.5</v>
      </c>
      <c r="L98" s="152">
        <f t="shared" si="5"/>
        <v>38.57</v>
      </c>
      <c r="M98" s="113"/>
    </row>
    <row r="99" spans="1:13" ht="14.25" customHeight="1" x14ac:dyDescent="0.2">
      <c r="A99" s="106" t="s">
        <v>6301</v>
      </c>
      <c r="B99" s="272" t="s">
        <v>3974</v>
      </c>
      <c r="C99" s="105" t="s">
        <v>6402</v>
      </c>
      <c r="D99" s="149" t="s">
        <v>3975</v>
      </c>
      <c r="E99" s="105">
        <v>1</v>
      </c>
      <c r="F99" s="133">
        <v>59.51</v>
      </c>
      <c r="G99" s="133">
        <v>68.5</v>
      </c>
      <c r="H99" s="109">
        <f t="shared" si="3"/>
        <v>68.5</v>
      </c>
      <c r="I99" s="119"/>
      <c r="J99" s="119">
        <v>0</v>
      </c>
      <c r="K99" s="119">
        <f t="shared" si="4"/>
        <v>68.5</v>
      </c>
      <c r="L99" s="152">
        <f t="shared" si="5"/>
        <v>59.51</v>
      </c>
      <c r="M99" s="113"/>
    </row>
    <row r="100" spans="1:13" ht="14.25" customHeight="1" x14ac:dyDescent="0.2">
      <c r="A100" s="106" t="s">
        <v>6301</v>
      </c>
      <c r="B100" s="272" t="s">
        <v>1905</v>
      </c>
      <c r="C100" s="105" t="s">
        <v>6402</v>
      </c>
      <c r="D100" s="149" t="s">
        <v>1906</v>
      </c>
      <c r="E100" s="105">
        <v>1</v>
      </c>
      <c r="F100" s="133">
        <v>15.51</v>
      </c>
      <c r="G100" s="133">
        <v>18</v>
      </c>
      <c r="H100" s="109">
        <f t="shared" si="3"/>
        <v>18</v>
      </c>
      <c r="I100" s="119"/>
      <c r="J100" s="119">
        <v>0</v>
      </c>
      <c r="K100" s="119">
        <f t="shared" si="4"/>
        <v>18</v>
      </c>
      <c r="L100" s="152">
        <f t="shared" si="5"/>
        <v>15.51</v>
      </c>
      <c r="M100" s="113"/>
    </row>
    <row r="101" spans="1:13" ht="14.25" customHeight="1" x14ac:dyDescent="0.2">
      <c r="A101" s="106" t="s">
        <v>6301</v>
      </c>
      <c r="B101" s="272" t="s">
        <v>3143</v>
      </c>
      <c r="C101" s="105" t="s">
        <v>6402</v>
      </c>
      <c r="D101" s="149" t="s">
        <v>3145</v>
      </c>
      <c r="E101" s="105">
        <v>1</v>
      </c>
      <c r="F101" s="133">
        <v>18.649999999999999</v>
      </c>
      <c r="G101" s="133">
        <v>21.5</v>
      </c>
      <c r="H101" s="109">
        <f t="shared" si="3"/>
        <v>21.5</v>
      </c>
      <c r="I101" s="119"/>
      <c r="J101" s="119">
        <v>0</v>
      </c>
      <c r="K101" s="119">
        <f t="shared" si="4"/>
        <v>21.5</v>
      </c>
      <c r="L101" s="152">
        <f t="shared" si="5"/>
        <v>18.649999999999999</v>
      </c>
      <c r="M101" s="113"/>
    </row>
    <row r="102" spans="1:13" ht="14.25" customHeight="1" x14ac:dyDescent="0.2">
      <c r="A102" s="106" t="s">
        <v>6301</v>
      </c>
      <c r="B102" s="272" t="s">
        <v>1802</v>
      </c>
      <c r="C102" s="105" t="s">
        <v>6402</v>
      </c>
      <c r="D102" s="149" t="s">
        <v>1803</v>
      </c>
      <c r="E102" s="105">
        <v>1</v>
      </c>
      <c r="F102" s="133">
        <v>7.75</v>
      </c>
      <c r="G102" s="133">
        <v>9</v>
      </c>
      <c r="H102" s="109">
        <f t="shared" si="3"/>
        <v>9</v>
      </c>
      <c r="I102" s="119"/>
      <c r="J102" s="119">
        <v>0</v>
      </c>
      <c r="K102" s="119">
        <f t="shared" si="4"/>
        <v>9</v>
      </c>
      <c r="L102" s="152">
        <f t="shared" si="5"/>
        <v>7.75</v>
      </c>
      <c r="M102" s="113"/>
    </row>
    <row r="103" spans="1:13" ht="14.25" customHeight="1" x14ac:dyDescent="0.2">
      <c r="A103" s="106" t="s">
        <v>6301</v>
      </c>
      <c r="B103" s="272" t="s">
        <v>2360</v>
      </c>
      <c r="C103" s="105" t="s">
        <v>6402</v>
      </c>
      <c r="D103" s="149" t="s">
        <v>2361</v>
      </c>
      <c r="E103" s="105">
        <v>1</v>
      </c>
      <c r="F103" s="133">
        <v>18.649999999999999</v>
      </c>
      <c r="G103" s="133">
        <v>21.5</v>
      </c>
      <c r="H103" s="109">
        <f t="shared" si="3"/>
        <v>21.5</v>
      </c>
      <c r="I103" s="119"/>
      <c r="J103" s="119">
        <v>0</v>
      </c>
      <c r="K103" s="119">
        <f t="shared" si="4"/>
        <v>21.5</v>
      </c>
      <c r="L103" s="152">
        <f t="shared" si="5"/>
        <v>18.649999999999999</v>
      </c>
      <c r="M103" s="113"/>
    </row>
    <row r="104" spans="1:13" ht="14.25" customHeight="1" x14ac:dyDescent="0.2">
      <c r="A104" s="106" t="s">
        <v>6301</v>
      </c>
      <c r="B104" s="272" t="s">
        <v>1888</v>
      </c>
      <c r="C104" s="105" t="s">
        <v>6403</v>
      </c>
      <c r="D104" s="149" t="s">
        <v>1890</v>
      </c>
      <c r="E104" s="105">
        <v>1</v>
      </c>
      <c r="F104" s="133">
        <v>20.68</v>
      </c>
      <c r="G104" s="133">
        <v>24</v>
      </c>
      <c r="H104" s="109">
        <f t="shared" si="3"/>
        <v>24</v>
      </c>
      <c r="I104" s="119"/>
      <c r="J104" s="119">
        <v>0</v>
      </c>
      <c r="K104" s="119">
        <f t="shared" si="4"/>
        <v>24</v>
      </c>
      <c r="L104" s="152">
        <f t="shared" si="5"/>
        <v>20.68</v>
      </c>
      <c r="M104" s="113"/>
    </row>
    <row r="105" spans="1:13" ht="14.25" customHeight="1" x14ac:dyDescent="0.2">
      <c r="A105" s="106" t="s">
        <v>6301</v>
      </c>
      <c r="B105" s="272" t="s">
        <v>3446</v>
      </c>
      <c r="C105" s="105" t="s">
        <v>6404</v>
      </c>
      <c r="D105" s="149" t="s">
        <v>3447</v>
      </c>
      <c r="E105" s="105">
        <v>1</v>
      </c>
      <c r="F105" s="133">
        <v>33.75</v>
      </c>
      <c r="G105" s="133">
        <v>39</v>
      </c>
      <c r="H105" s="109">
        <f t="shared" si="3"/>
        <v>39</v>
      </c>
      <c r="I105" s="119"/>
      <c r="J105" s="119">
        <v>0</v>
      </c>
      <c r="K105" s="119">
        <f t="shared" si="4"/>
        <v>39</v>
      </c>
      <c r="L105" s="152">
        <f t="shared" si="5"/>
        <v>33.75</v>
      </c>
      <c r="M105" s="113"/>
    </row>
    <row r="106" spans="1:13" ht="14.25" customHeight="1" x14ac:dyDescent="0.2">
      <c r="A106" s="106" t="s">
        <v>6301</v>
      </c>
      <c r="B106" s="272" t="s">
        <v>1920</v>
      </c>
      <c r="C106" s="105" t="s">
        <v>6405</v>
      </c>
      <c r="D106" s="149" t="s">
        <v>1921</v>
      </c>
      <c r="E106" s="105">
        <v>1</v>
      </c>
      <c r="F106" s="133">
        <v>13.32</v>
      </c>
      <c r="G106" s="133">
        <v>15.5</v>
      </c>
      <c r="H106" s="109">
        <f t="shared" si="3"/>
        <v>15.5</v>
      </c>
      <c r="I106" s="119"/>
      <c r="J106" s="119">
        <v>0</v>
      </c>
      <c r="K106" s="119">
        <f t="shared" si="4"/>
        <v>15.5</v>
      </c>
      <c r="L106" s="152">
        <f t="shared" si="5"/>
        <v>13.32</v>
      </c>
      <c r="M106" s="113"/>
    </row>
    <row r="107" spans="1:13" ht="14.25" customHeight="1" x14ac:dyDescent="0.2">
      <c r="A107" s="106" t="s">
        <v>6301</v>
      </c>
      <c r="B107" s="272" t="s">
        <v>5693</v>
      </c>
      <c r="C107" s="105" t="s">
        <v>6405</v>
      </c>
      <c r="D107" s="149" t="s">
        <v>5831</v>
      </c>
      <c r="E107" s="105">
        <v>1</v>
      </c>
      <c r="F107" s="133">
        <v>5.61</v>
      </c>
      <c r="G107" s="133">
        <v>6.5</v>
      </c>
      <c r="H107" s="109">
        <f t="shared" si="3"/>
        <v>6.5</v>
      </c>
      <c r="I107" s="119"/>
      <c r="J107" s="119">
        <v>0</v>
      </c>
      <c r="K107" s="119">
        <f t="shared" si="4"/>
        <v>6.5</v>
      </c>
      <c r="L107" s="152">
        <f t="shared" si="5"/>
        <v>5.61</v>
      </c>
      <c r="M107" s="113"/>
    </row>
    <row r="108" spans="1:13" ht="14.25" customHeight="1" x14ac:dyDescent="0.2">
      <c r="A108" s="106" t="s">
        <v>6301</v>
      </c>
      <c r="B108" s="272" t="s">
        <v>1846</v>
      </c>
      <c r="C108" s="105" t="s">
        <v>6406</v>
      </c>
      <c r="D108" s="149" t="s">
        <v>1847</v>
      </c>
      <c r="E108" s="105">
        <v>1</v>
      </c>
      <c r="F108" s="133">
        <v>61.93</v>
      </c>
      <c r="G108" s="133">
        <v>71.25</v>
      </c>
      <c r="H108" s="109">
        <f t="shared" si="3"/>
        <v>71.25</v>
      </c>
      <c r="I108" s="119"/>
      <c r="J108" s="119">
        <v>0</v>
      </c>
      <c r="K108" s="119">
        <f t="shared" si="4"/>
        <v>71.25</v>
      </c>
      <c r="L108" s="152">
        <f t="shared" si="5"/>
        <v>61.93</v>
      </c>
      <c r="M108" s="113"/>
    </row>
    <row r="109" spans="1:13" ht="14.25" customHeight="1" x14ac:dyDescent="0.2">
      <c r="A109" s="106" t="s">
        <v>6301</v>
      </c>
      <c r="B109" s="272" t="s">
        <v>2367</v>
      </c>
      <c r="C109" s="105" t="s">
        <v>6407</v>
      </c>
      <c r="D109" s="149" t="s">
        <v>2369</v>
      </c>
      <c r="E109" s="105">
        <v>6</v>
      </c>
      <c r="F109" s="133">
        <v>6.38</v>
      </c>
      <c r="G109" s="133">
        <v>7.5</v>
      </c>
      <c r="H109" s="109">
        <f t="shared" si="3"/>
        <v>45</v>
      </c>
      <c r="I109" s="119"/>
      <c r="J109" s="119">
        <v>0</v>
      </c>
      <c r="K109" s="119">
        <f t="shared" si="4"/>
        <v>45</v>
      </c>
      <c r="L109" s="152">
        <f t="shared" si="5"/>
        <v>38.28</v>
      </c>
      <c r="M109" s="113"/>
    </row>
    <row r="110" spans="1:13" ht="14.25" customHeight="1" x14ac:dyDescent="0.2">
      <c r="A110" s="106" t="s">
        <v>6301</v>
      </c>
      <c r="B110" s="272" t="s">
        <v>4112</v>
      </c>
      <c r="C110" s="105" t="s">
        <v>6407</v>
      </c>
      <c r="D110" s="149" t="s">
        <v>4113</v>
      </c>
      <c r="E110" s="105">
        <v>2</v>
      </c>
      <c r="F110" s="133">
        <v>19.66</v>
      </c>
      <c r="G110" s="133">
        <v>23</v>
      </c>
      <c r="H110" s="109">
        <f t="shared" si="3"/>
        <v>46</v>
      </c>
      <c r="I110" s="119"/>
      <c r="J110" s="119">
        <v>0</v>
      </c>
      <c r="K110" s="119">
        <f t="shared" si="4"/>
        <v>46</v>
      </c>
      <c r="L110" s="152">
        <f t="shared" si="5"/>
        <v>39.32</v>
      </c>
      <c r="M110" s="113"/>
    </row>
    <row r="111" spans="1:13" ht="14.25" customHeight="1" x14ac:dyDescent="0.2">
      <c r="A111" s="106" t="s">
        <v>6301</v>
      </c>
      <c r="B111" s="272" t="s">
        <v>1905</v>
      </c>
      <c r="C111" s="105" t="s">
        <v>6408</v>
      </c>
      <c r="D111" s="149" t="s">
        <v>1906</v>
      </c>
      <c r="E111" s="105">
        <v>1</v>
      </c>
      <c r="F111" s="133">
        <v>15.51</v>
      </c>
      <c r="G111" s="133">
        <v>18</v>
      </c>
      <c r="H111" s="109">
        <f t="shared" si="3"/>
        <v>18</v>
      </c>
      <c r="I111" s="119"/>
      <c r="J111" s="119">
        <v>0</v>
      </c>
      <c r="K111" s="119">
        <f t="shared" si="4"/>
        <v>18</v>
      </c>
      <c r="L111" s="152">
        <f t="shared" si="5"/>
        <v>15.51</v>
      </c>
      <c r="M111" s="113"/>
    </row>
    <row r="112" spans="1:13" ht="14.25" customHeight="1" x14ac:dyDescent="0.2">
      <c r="A112" s="106" t="s">
        <v>6301</v>
      </c>
      <c r="B112" s="272" t="s">
        <v>2072</v>
      </c>
      <c r="C112" s="105" t="s">
        <v>6409</v>
      </c>
      <c r="D112" s="149" t="s">
        <v>2074</v>
      </c>
      <c r="E112" s="105">
        <v>1</v>
      </c>
      <c r="F112" s="133">
        <v>9.2799999999999994</v>
      </c>
      <c r="G112" s="133">
        <v>10.75</v>
      </c>
      <c r="H112" s="109">
        <f t="shared" si="3"/>
        <v>10.75</v>
      </c>
      <c r="I112" s="119"/>
      <c r="J112" s="119">
        <v>0</v>
      </c>
      <c r="K112" s="119">
        <f t="shared" si="4"/>
        <v>10.75</v>
      </c>
      <c r="L112" s="152">
        <f t="shared" si="5"/>
        <v>9.2799999999999994</v>
      </c>
      <c r="M112" s="113"/>
    </row>
    <row r="113" spans="1:13" ht="14.25" customHeight="1" x14ac:dyDescent="0.2">
      <c r="A113" s="106" t="s">
        <v>6301</v>
      </c>
      <c r="B113" s="272" t="s">
        <v>4163</v>
      </c>
      <c r="C113" s="105" t="s">
        <v>6409</v>
      </c>
      <c r="D113" s="149" t="s">
        <v>4165</v>
      </c>
      <c r="E113" s="105">
        <v>3</v>
      </c>
      <c r="F113" s="133">
        <v>9.2799999999999994</v>
      </c>
      <c r="G113" s="133">
        <v>10.75</v>
      </c>
      <c r="H113" s="109">
        <f t="shared" si="3"/>
        <v>32.25</v>
      </c>
      <c r="I113" s="119"/>
      <c r="J113" s="119">
        <v>0</v>
      </c>
      <c r="K113" s="119">
        <f t="shared" si="4"/>
        <v>32.25</v>
      </c>
      <c r="L113" s="152">
        <f t="shared" si="5"/>
        <v>27.839999999999996</v>
      </c>
      <c r="M113" s="113"/>
    </row>
    <row r="114" spans="1:13" ht="14.25" customHeight="1" x14ac:dyDescent="0.2">
      <c r="A114" s="106" t="s">
        <v>6301</v>
      </c>
      <c r="B114" s="272" t="s">
        <v>1793</v>
      </c>
      <c r="C114" s="105" t="s">
        <v>6410</v>
      </c>
      <c r="D114" s="149" t="s">
        <v>1795</v>
      </c>
      <c r="E114" s="105">
        <v>1</v>
      </c>
      <c r="F114" s="133">
        <v>12.17</v>
      </c>
      <c r="G114" s="133">
        <v>14.75</v>
      </c>
      <c r="H114" s="109">
        <f t="shared" si="3"/>
        <v>14.75</v>
      </c>
      <c r="I114" s="119"/>
      <c r="J114" s="119">
        <v>0</v>
      </c>
      <c r="K114" s="119">
        <f t="shared" si="4"/>
        <v>14.75</v>
      </c>
      <c r="L114" s="152">
        <f t="shared" si="5"/>
        <v>12.17</v>
      </c>
      <c r="M114" s="113"/>
    </row>
    <row r="115" spans="1:13" ht="14.25" customHeight="1" x14ac:dyDescent="0.2">
      <c r="A115" s="106" t="s">
        <v>6301</v>
      </c>
      <c r="B115" s="272" t="s">
        <v>4083</v>
      </c>
      <c r="C115" s="105" t="s">
        <v>6411</v>
      </c>
      <c r="D115" s="149" t="s">
        <v>4084</v>
      </c>
      <c r="E115" s="105">
        <v>1</v>
      </c>
      <c r="F115" s="133">
        <v>200.03</v>
      </c>
      <c r="G115" s="133">
        <v>230</v>
      </c>
      <c r="H115" s="109">
        <f t="shared" si="3"/>
        <v>230</v>
      </c>
      <c r="I115" s="119"/>
      <c r="J115" s="119">
        <v>0</v>
      </c>
      <c r="K115" s="119">
        <f t="shared" si="4"/>
        <v>230</v>
      </c>
      <c r="L115" s="152">
        <f t="shared" si="5"/>
        <v>200.03</v>
      </c>
      <c r="M115" s="113"/>
    </row>
    <row r="116" spans="1:13" ht="14.25" customHeight="1" x14ac:dyDescent="0.2">
      <c r="A116" s="106" t="s">
        <v>6301</v>
      </c>
      <c r="B116" s="272" t="s">
        <v>2459</v>
      </c>
      <c r="C116" s="105" t="s">
        <v>6412</v>
      </c>
      <c r="D116" s="149" t="s">
        <v>2460</v>
      </c>
      <c r="E116" s="105">
        <v>1</v>
      </c>
      <c r="F116" s="133">
        <v>18.88</v>
      </c>
      <c r="G116" s="133">
        <v>21.75</v>
      </c>
      <c r="H116" s="109">
        <f t="shared" si="3"/>
        <v>21.75</v>
      </c>
      <c r="I116" s="119"/>
      <c r="J116" s="119">
        <v>0</v>
      </c>
      <c r="K116" s="119">
        <f t="shared" si="4"/>
        <v>21.75</v>
      </c>
      <c r="L116" s="152">
        <f t="shared" si="5"/>
        <v>18.88</v>
      </c>
      <c r="M116" s="113"/>
    </row>
    <row r="117" spans="1:13" ht="14.25" customHeight="1" x14ac:dyDescent="0.2">
      <c r="A117" s="106" t="s">
        <v>6301</v>
      </c>
      <c r="B117" s="272" t="s">
        <v>1924</v>
      </c>
      <c r="C117" s="105" t="s">
        <v>6412</v>
      </c>
      <c r="D117" s="149" t="s">
        <v>1926</v>
      </c>
      <c r="E117" s="105">
        <v>1</v>
      </c>
      <c r="F117" s="133">
        <v>10.64</v>
      </c>
      <c r="G117" s="133">
        <v>12.25</v>
      </c>
      <c r="H117" s="109">
        <f t="shared" si="3"/>
        <v>12.25</v>
      </c>
      <c r="I117" s="119"/>
      <c r="J117" s="119">
        <v>0</v>
      </c>
      <c r="K117" s="119">
        <f t="shared" si="4"/>
        <v>12.25</v>
      </c>
      <c r="L117" s="152">
        <f t="shared" si="5"/>
        <v>10.64</v>
      </c>
      <c r="M117" s="113"/>
    </row>
    <row r="118" spans="1:13" ht="14.25" customHeight="1" x14ac:dyDescent="0.2">
      <c r="A118" s="106" t="s">
        <v>6301</v>
      </c>
      <c r="B118" s="272" t="s">
        <v>1924</v>
      </c>
      <c r="C118" s="105" t="s">
        <v>6413</v>
      </c>
      <c r="D118" s="149" t="s">
        <v>1926</v>
      </c>
      <c r="E118" s="105">
        <v>3</v>
      </c>
      <c r="F118" s="133">
        <v>10.64</v>
      </c>
      <c r="G118" s="133">
        <v>12.25</v>
      </c>
      <c r="H118" s="109">
        <f t="shared" si="3"/>
        <v>36.75</v>
      </c>
      <c r="I118" s="119"/>
      <c r="J118" s="119">
        <v>0</v>
      </c>
      <c r="K118" s="119">
        <f t="shared" si="4"/>
        <v>36.75</v>
      </c>
      <c r="L118" s="152">
        <f t="shared" si="5"/>
        <v>31.92</v>
      </c>
      <c r="M118" s="113"/>
    </row>
    <row r="119" spans="1:13" ht="14.25" customHeight="1" x14ac:dyDescent="0.2">
      <c r="A119" s="106" t="s">
        <v>6301</v>
      </c>
      <c r="B119" s="272" t="s">
        <v>3721</v>
      </c>
      <c r="C119" s="105" t="s">
        <v>6413</v>
      </c>
      <c r="D119" s="149" t="s">
        <v>3723</v>
      </c>
      <c r="E119" s="105">
        <v>1</v>
      </c>
      <c r="F119" s="133">
        <v>42.87</v>
      </c>
      <c r="G119" s="133">
        <v>49.5</v>
      </c>
      <c r="H119" s="109">
        <f t="shared" si="3"/>
        <v>49.5</v>
      </c>
      <c r="I119" s="119"/>
      <c r="J119" s="119">
        <v>0</v>
      </c>
      <c r="K119" s="119">
        <f t="shared" si="4"/>
        <v>49.5</v>
      </c>
      <c r="L119" s="152">
        <f t="shared" si="5"/>
        <v>42.87</v>
      </c>
      <c r="M119" s="113"/>
    </row>
    <row r="120" spans="1:13" ht="14.25" customHeight="1" x14ac:dyDescent="0.2">
      <c r="A120" s="106" t="s">
        <v>6301</v>
      </c>
      <c r="B120" s="272" t="s">
        <v>2162</v>
      </c>
      <c r="C120" s="105" t="s">
        <v>6414</v>
      </c>
      <c r="D120" s="149" t="s">
        <v>2163</v>
      </c>
      <c r="E120" s="105">
        <v>1</v>
      </c>
      <c r="F120" s="133">
        <v>67.290000000000006</v>
      </c>
      <c r="G120" s="133">
        <v>77.5</v>
      </c>
      <c r="H120" s="109">
        <f t="shared" si="3"/>
        <v>77.5</v>
      </c>
      <c r="I120" s="119"/>
      <c r="J120" s="119">
        <v>0</v>
      </c>
      <c r="K120" s="119">
        <f t="shared" si="4"/>
        <v>77.5</v>
      </c>
      <c r="L120" s="152">
        <f t="shared" si="5"/>
        <v>67.290000000000006</v>
      </c>
      <c r="M120" s="113"/>
    </row>
    <row r="121" spans="1:13" ht="14.25" customHeight="1" x14ac:dyDescent="0.2">
      <c r="A121" s="106" t="s">
        <v>6302</v>
      </c>
      <c r="B121" s="272" t="s">
        <v>2158</v>
      </c>
      <c r="C121" s="105" t="s">
        <v>6415</v>
      </c>
      <c r="D121" s="149" t="s">
        <v>2160</v>
      </c>
      <c r="E121" s="105">
        <v>1</v>
      </c>
      <c r="F121" s="133">
        <v>56.31</v>
      </c>
      <c r="G121" s="133">
        <v>67.5</v>
      </c>
      <c r="H121" s="109">
        <f t="shared" si="3"/>
        <v>67.5</v>
      </c>
      <c r="I121" s="119"/>
      <c r="J121" s="119">
        <v>0</v>
      </c>
      <c r="K121" s="119">
        <f t="shared" si="4"/>
        <v>67.5</v>
      </c>
      <c r="L121" s="152">
        <f t="shared" si="5"/>
        <v>56.31</v>
      </c>
      <c r="M121" s="113"/>
    </row>
    <row r="122" spans="1:13" ht="14.25" customHeight="1" x14ac:dyDescent="0.2">
      <c r="A122" s="106" t="s">
        <v>6302</v>
      </c>
      <c r="B122" s="272" t="s">
        <v>2690</v>
      </c>
      <c r="C122" s="105" t="s">
        <v>6416</v>
      </c>
      <c r="D122" s="149" t="s">
        <v>2692</v>
      </c>
      <c r="E122" s="105">
        <v>1</v>
      </c>
      <c r="F122" s="133">
        <v>32.86</v>
      </c>
      <c r="G122" s="133">
        <v>38</v>
      </c>
      <c r="H122" s="109">
        <f t="shared" si="3"/>
        <v>38</v>
      </c>
      <c r="I122" s="119"/>
      <c r="J122" s="119">
        <v>0</v>
      </c>
      <c r="K122" s="119">
        <f t="shared" si="4"/>
        <v>38</v>
      </c>
      <c r="L122" s="152">
        <f t="shared" si="5"/>
        <v>32.86</v>
      </c>
      <c r="M122" s="113"/>
    </row>
    <row r="123" spans="1:13" ht="14.25" customHeight="1" x14ac:dyDescent="0.2">
      <c r="A123" s="106" t="s">
        <v>6302</v>
      </c>
      <c r="B123" s="272" t="s">
        <v>2659</v>
      </c>
      <c r="C123" s="105" t="s">
        <v>6417</v>
      </c>
      <c r="D123" s="149" t="s">
        <v>2661</v>
      </c>
      <c r="E123" s="105">
        <v>1</v>
      </c>
      <c r="F123" s="133">
        <v>61.5</v>
      </c>
      <c r="G123" s="133">
        <v>70.75</v>
      </c>
      <c r="H123" s="109">
        <f t="shared" si="3"/>
        <v>70.75</v>
      </c>
      <c r="I123" s="119"/>
      <c r="J123" s="119">
        <v>0</v>
      </c>
      <c r="K123" s="119">
        <f t="shared" si="4"/>
        <v>70.75</v>
      </c>
      <c r="L123" s="152">
        <f t="shared" si="5"/>
        <v>61.5</v>
      </c>
      <c r="M123" s="113"/>
    </row>
    <row r="124" spans="1:13" ht="14.25" customHeight="1" x14ac:dyDescent="0.2">
      <c r="A124" s="106" t="s">
        <v>6302</v>
      </c>
      <c r="B124" s="272" t="s">
        <v>2717</v>
      </c>
      <c r="C124" s="105" t="s">
        <v>6418</v>
      </c>
      <c r="D124" s="149" t="s">
        <v>2718</v>
      </c>
      <c r="E124" s="105">
        <v>1</v>
      </c>
      <c r="F124" s="133">
        <v>50.5</v>
      </c>
      <c r="G124" s="133">
        <v>58.25</v>
      </c>
      <c r="H124" s="109">
        <f t="shared" si="3"/>
        <v>58.25</v>
      </c>
      <c r="I124" s="119"/>
      <c r="J124" s="119">
        <v>0</v>
      </c>
      <c r="K124" s="119">
        <f t="shared" si="4"/>
        <v>58.25</v>
      </c>
      <c r="L124" s="152">
        <f t="shared" si="5"/>
        <v>50.5</v>
      </c>
      <c r="M124" s="113"/>
    </row>
    <row r="125" spans="1:13" ht="14.25" customHeight="1" x14ac:dyDescent="0.2">
      <c r="A125" s="106" t="s">
        <v>6302</v>
      </c>
      <c r="B125" s="272" t="s">
        <v>2338</v>
      </c>
      <c r="C125" s="105" t="s">
        <v>6418</v>
      </c>
      <c r="D125" s="149" t="s">
        <v>2339</v>
      </c>
      <c r="E125" s="105">
        <v>1</v>
      </c>
      <c r="F125" s="133">
        <v>31.6</v>
      </c>
      <c r="G125" s="133">
        <v>36.33</v>
      </c>
      <c r="H125" s="109">
        <f t="shared" si="3"/>
        <v>36.33</v>
      </c>
      <c r="I125" s="119"/>
      <c r="J125" s="119">
        <v>0</v>
      </c>
      <c r="K125" s="119">
        <f t="shared" si="4"/>
        <v>36.33</v>
      </c>
      <c r="L125" s="152">
        <f t="shared" si="5"/>
        <v>31.6</v>
      </c>
      <c r="M125" s="113"/>
    </row>
    <row r="126" spans="1:13" ht="14.25" customHeight="1" x14ac:dyDescent="0.2">
      <c r="A126" s="106" t="s">
        <v>6302</v>
      </c>
      <c r="B126" s="272" t="s">
        <v>4054</v>
      </c>
      <c r="C126" s="105" t="s">
        <v>6418</v>
      </c>
      <c r="D126" s="149" t="s">
        <v>4056</v>
      </c>
      <c r="E126" s="105">
        <v>1</v>
      </c>
      <c r="F126" s="133">
        <v>12.69</v>
      </c>
      <c r="G126" s="133">
        <v>14.75</v>
      </c>
      <c r="H126" s="109">
        <f t="shared" si="3"/>
        <v>14.75</v>
      </c>
      <c r="I126" s="119"/>
      <c r="J126" s="119">
        <v>0</v>
      </c>
      <c r="K126" s="119">
        <f t="shared" si="4"/>
        <v>14.75</v>
      </c>
      <c r="L126" s="152">
        <f t="shared" si="5"/>
        <v>12.69</v>
      </c>
      <c r="M126" s="113"/>
    </row>
    <row r="127" spans="1:13" ht="14.25" customHeight="1" x14ac:dyDescent="0.2">
      <c r="A127" s="106" t="s">
        <v>6302</v>
      </c>
      <c r="B127" s="272" t="s">
        <v>3180</v>
      </c>
      <c r="C127" s="105" t="s">
        <v>6419</v>
      </c>
      <c r="D127" s="149" t="s">
        <v>3181</v>
      </c>
      <c r="E127" s="105">
        <v>1</v>
      </c>
      <c r="F127" s="133">
        <v>25.8</v>
      </c>
      <c r="G127" s="133">
        <v>29.75</v>
      </c>
      <c r="H127" s="109">
        <f t="shared" si="3"/>
        <v>29.75</v>
      </c>
      <c r="I127" s="119"/>
      <c r="J127" s="119">
        <v>0</v>
      </c>
      <c r="K127" s="119">
        <f t="shared" si="4"/>
        <v>29.75</v>
      </c>
      <c r="L127" s="152">
        <f t="shared" si="5"/>
        <v>25.8</v>
      </c>
      <c r="M127" s="113"/>
    </row>
    <row r="128" spans="1:13" ht="14.25" customHeight="1" x14ac:dyDescent="0.2">
      <c r="A128" s="106" t="s">
        <v>6302</v>
      </c>
      <c r="B128" s="272" t="s">
        <v>2158</v>
      </c>
      <c r="C128" s="105" t="s">
        <v>6419</v>
      </c>
      <c r="D128" s="149" t="s">
        <v>2160</v>
      </c>
      <c r="E128" s="105">
        <v>1</v>
      </c>
      <c r="F128" s="133">
        <v>56.31</v>
      </c>
      <c r="G128" s="133">
        <v>67.5</v>
      </c>
      <c r="H128" s="109">
        <f t="shared" si="3"/>
        <v>67.5</v>
      </c>
      <c r="I128" s="119"/>
      <c r="J128" s="119">
        <v>0</v>
      </c>
      <c r="K128" s="119">
        <f t="shared" si="4"/>
        <v>67.5</v>
      </c>
      <c r="L128" s="152">
        <f t="shared" si="5"/>
        <v>56.31</v>
      </c>
      <c r="M128" s="113"/>
    </row>
    <row r="129" spans="1:13" ht="14.25" customHeight="1" x14ac:dyDescent="0.2">
      <c r="A129" s="106" t="s">
        <v>6302</v>
      </c>
      <c r="B129" s="272" t="s">
        <v>4112</v>
      </c>
      <c r="C129" s="105" t="s">
        <v>6420</v>
      </c>
      <c r="D129" s="149" t="s">
        <v>4113</v>
      </c>
      <c r="E129" s="105">
        <v>1</v>
      </c>
      <c r="F129" s="133">
        <v>19.66</v>
      </c>
      <c r="G129" s="133">
        <v>23</v>
      </c>
      <c r="H129" s="109">
        <f t="shared" si="3"/>
        <v>23</v>
      </c>
      <c r="I129" s="119"/>
      <c r="J129" s="119">
        <v>0</v>
      </c>
      <c r="K129" s="119">
        <f t="shared" si="4"/>
        <v>23</v>
      </c>
      <c r="L129" s="152">
        <f t="shared" si="5"/>
        <v>19.66</v>
      </c>
      <c r="M129" s="113"/>
    </row>
    <row r="130" spans="1:13" ht="14.25" customHeight="1" x14ac:dyDescent="0.2">
      <c r="A130" s="106" t="s">
        <v>6302</v>
      </c>
      <c r="B130" s="272" t="s">
        <v>2857</v>
      </c>
      <c r="C130" s="105" t="s">
        <v>6421</v>
      </c>
      <c r="D130" s="149" t="s">
        <v>2859</v>
      </c>
      <c r="E130" s="105">
        <v>2</v>
      </c>
      <c r="F130" s="133">
        <v>6.96</v>
      </c>
      <c r="G130" s="133">
        <v>8</v>
      </c>
      <c r="H130" s="109">
        <f t="shared" si="3"/>
        <v>16</v>
      </c>
      <c r="I130" s="119"/>
      <c r="J130" s="119">
        <v>0</v>
      </c>
      <c r="K130" s="119">
        <f t="shared" si="4"/>
        <v>16</v>
      </c>
      <c r="L130" s="152">
        <f t="shared" si="5"/>
        <v>13.92</v>
      </c>
      <c r="M130" s="113"/>
    </row>
    <row r="131" spans="1:13" ht="14.25" customHeight="1" x14ac:dyDescent="0.2">
      <c r="A131" s="106" t="s">
        <v>6302</v>
      </c>
      <c r="B131" s="272" t="s">
        <v>1940</v>
      </c>
      <c r="C131" s="105" t="s">
        <v>6421</v>
      </c>
      <c r="D131" s="149" t="s">
        <v>1941</v>
      </c>
      <c r="E131" s="105">
        <v>2</v>
      </c>
      <c r="F131" s="133">
        <v>6</v>
      </c>
      <c r="G131" s="133">
        <v>7</v>
      </c>
      <c r="H131" s="109">
        <f t="shared" si="3"/>
        <v>14</v>
      </c>
      <c r="I131" s="119"/>
      <c r="J131" s="119">
        <v>0</v>
      </c>
      <c r="K131" s="119">
        <f t="shared" si="4"/>
        <v>14</v>
      </c>
      <c r="L131" s="152">
        <f t="shared" si="5"/>
        <v>12</v>
      </c>
      <c r="M131" s="113"/>
    </row>
    <row r="132" spans="1:13" ht="14.25" customHeight="1" x14ac:dyDescent="0.2">
      <c r="A132" s="106" t="s">
        <v>6302</v>
      </c>
      <c r="B132" s="272" t="s">
        <v>4129</v>
      </c>
      <c r="C132" s="105" t="s">
        <v>6421</v>
      </c>
      <c r="D132" s="149" t="s">
        <v>4130</v>
      </c>
      <c r="E132" s="105">
        <v>2</v>
      </c>
      <c r="F132" s="133">
        <v>5.25</v>
      </c>
      <c r="G132" s="133">
        <v>6</v>
      </c>
      <c r="H132" s="109">
        <f t="shared" si="3"/>
        <v>12</v>
      </c>
      <c r="I132" s="119"/>
      <c r="J132" s="119">
        <v>0</v>
      </c>
      <c r="K132" s="119">
        <f t="shared" si="4"/>
        <v>12</v>
      </c>
      <c r="L132" s="152">
        <f t="shared" si="5"/>
        <v>10.5</v>
      </c>
      <c r="M132" s="113"/>
    </row>
    <row r="133" spans="1:13" ht="14.25" customHeight="1" x14ac:dyDescent="0.2">
      <c r="A133" s="106" t="s">
        <v>6302</v>
      </c>
      <c r="B133" s="272" t="s">
        <v>4068</v>
      </c>
      <c r="C133" s="105" t="s">
        <v>6421</v>
      </c>
      <c r="D133" s="149" t="s">
        <v>4070</v>
      </c>
      <c r="E133" s="105">
        <v>1</v>
      </c>
      <c r="F133" s="133">
        <v>20.57</v>
      </c>
      <c r="G133" s="133">
        <v>23.75</v>
      </c>
      <c r="H133" s="109">
        <f t="shared" si="3"/>
        <v>23.75</v>
      </c>
      <c r="I133" s="119"/>
      <c r="J133" s="119">
        <v>0</v>
      </c>
      <c r="K133" s="119">
        <f t="shared" si="4"/>
        <v>23.75</v>
      </c>
      <c r="L133" s="152">
        <f t="shared" si="5"/>
        <v>20.57</v>
      </c>
      <c r="M133" s="113"/>
    </row>
    <row r="134" spans="1:13" ht="14.25" customHeight="1" x14ac:dyDescent="0.2">
      <c r="A134" s="106" t="s">
        <v>6302</v>
      </c>
      <c r="B134" s="272" t="s">
        <v>6313</v>
      </c>
      <c r="C134" s="105" t="s">
        <v>6422</v>
      </c>
      <c r="D134" s="149" t="s">
        <v>6654</v>
      </c>
      <c r="E134" s="105">
        <v>2</v>
      </c>
      <c r="F134" s="133">
        <v>41.67</v>
      </c>
      <c r="G134" s="133">
        <v>48</v>
      </c>
      <c r="H134" s="109">
        <f t="shared" ref="H134:H197" si="6">E134*G134</f>
        <v>96</v>
      </c>
      <c r="I134" s="119"/>
      <c r="J134" s="119">
        <v>0</v>
      </c>
      <c r="K134" s="119">
        <f t="shared" ref="K134:K197" si="7">H134+I134-J134</f>
        <v>96</v>
      </c>
      <c r="L134" s="152">
        <f t="shared" si="5"/>
        <v>83.34</v>
      </c>
      <c r="M134" s="113"/>
    </row>
    <row r="135" spans="1:13" ht="14.25" customHeight="1" x14ac:dyDescent="0.2">
      <c r="A135" s="106" t="s">
        <v>6302</v>
      </c>
      <c r="B135" s="272" t="s">
        <v>4797</v>
      </c>
      <c r="C135" s="105" t="s">
        <v>6422</v>
      </c>
      <c r="D135" s="149" t="s">
        <v>4866</v>
      </c>
      <c r="E135" s="105">
        <v>1</v>
      </c>
      <c r="F135" s="133">
        <v>50.88</v>
      </c>
      <c r="G135" s="133">
        <v>58.75</v>
      </c>
      <c r="H135" s="109">
        <f t="shared" si="6"/>
        <v>58.75</v>
      </c>
      <c r="I135" s="119"/>
      <c r="J135" s="119">
        <v>0</v>
      </c>
      <c r="K135" s="119">
        <f t="shared" si="7"/>
        <v>58.75</v>
      </c>
      <c r="L135" s="152">
        <f t="shared" ref="L135:L198" si="8">E135*F135</f>
        <v>50.88</v>
      </c>
      <c r="M135" s="113"/>
    </row>
    <row r="136" spans="1:13" ht="14.25" customHeight="1" x14ac:dyDescent="0.2">
      <c r="A136" s="106" t="s">
        <v>6302</v>
      </c>
      <c r="B136" s="272" t="s">
        <v>6314</v>
      </c>
      <c r="C136" s="105" t="s">
        <v>6422</v>
      </c>
      <c r="D136" s="149" t="s">
        <v>6655</v>
      </c>
      <c r="E136" s="105">
        <v>1</v>
      </c>
      <c r="F136" s="133">
        <v>11.5</v>
      </c>
      <c r="G136" s="133">
        <v>13.25</v>
      </c>
      <c r="H136" s="109">
        <f t="shared" si="6"/>
        <v>13.25</v>
      </c>
      <c r="I136" s="119"/>
      <c r="J136" s="119">
        <v>0</v>
      </c>
      <c r="K136" s="119">
        <f t="shared" si="7"/>
        <v>13.25</v>
      </c>
      <c r="L136" s="152">
        <f t="shared" si="8"/>
        <v>11.5</v>
      </c>
      <c r="M136" s="113"/>
    </row>
    <row r="137" spans="1:13" ht="14.25" customHeight="1" x14ac:dyDescent="0.2">
      <c r="A137" s="106" t="s">
        <v>6302</v>
      </c>
      <c r="B137" s="272" t="s">
        <v>2745</v>
      </c>
      <c r="C137" s="105" t="s">
        <v>6422</v>
      </c>
      <c r="D137" s="149" t="s">
        <v>2747</v>
      </c>
      <c r="E137" s="105">
        <v>1</v>
      </c>
      <c r="F137" s="133">
        <v>109.97</v>
      </c>
      <c r="G137" s="133">
        <v>126.5</v>
      </c>
      <c r="H137" s="109">
        <f t="shared" si="6"/>
        <v>126.5</v>
      </c>
      <c r="I137" s="119"/>
      <c r="J137" s="119">
        <v>0</v>
      </c>
      <c r="K137" s="119">
        <f t="shared" si="7"/>
        <v>126.5</v>
      </c>
      <c r="L137" s="152">
        <f t="shared" si="8"/>
        <v>109.97</v>
      </c>
      <c r="M137" s="113"/>
    </row>
    <row r="138" spans="1:13" ht="14.25" customHeight="1" x14ac:dyDescent="0.2">
      <c r="A138" s="106" t="s">
        <v>6302</v>
      </c>
      <c r="B138" s="272" t="s">
        <v>4763</v>
      </c>
      <c r="C138" s="105" t="s">
        <v>6423</v>
      </c>
      <c r="D138" s="149" t="s">
        <v>4790</v>
      </c>
      <c r="E138" s="105">
        <v>1</v>
      </c>
      <c r="F138" s="133">
        <v>125.7</v>
      </c>
      <c r="G138" s="133">
        <v>144.75</v>
      </c>
      <c r="H138" s="109">
        <f t="shared" si="6"/>
        <v>144.75</v>
      </c>
      <c r="I138" s="119"/>
      <c r="J138" s="119">
        <v>0</v>
      </c>
      <c r="K138" s="119">
        <f t="shared" si="7"/>
        <v>144.75</v>
      </c>
      <c r="L138" s="152">
        <f t="shared" si="8"/>
        <v>125.7</v>
      </c>
      <c r="M138" s="113"/>
    </row>
    <row r="139" spans="1:13" ht="14.25" customHeight="1" x14ac:dyDescent="0.2">
      <c r="A139" s="106" t="s">
        <v>6302</v>
      </c>
      <c r="B139" s="272" t="s">
        <v>3267</v>
      </c>
      <c r="C139" s="105" t="s">
        <v>6424</v>
      </c>
      <c r="D139" s="149" t="s">
        <v>3268</v>
      </c>
      <c r="E139" s="105">
        <v>1</v>
      </c>
      <c r="F139" s="133">
        <v>11.5</v>
      </c>
      <c r="G139" s="133">
        <v>13.5</v>
      </c>
      <c r="H139" s="109">
        <f t="shared" si="6"/>
        <v>13.5</v>
      </c>
      <c r="I139" s="119"/>
      <c r="J139" s="119">
        <v>0</v>
      </c>
      <c r="K139" s="119">
        <f t="shared" si="7"/>
        <v>13.5</v>
      </c>
      <c r="L139" s="152">
        <f t="shared" si="8"/>
        <v>11.5</v>
      </c>
      <c r="M139" s="113"/>
    </row>
    <row r="140" spans="1:13" ht="14.25" customHeight="1" x14ac:dyDescent="0.2">
      <c r="A140" s="106" t="s">
        <v>6302</v>
      </c>
      <c r="B140" s="272" t="s">
        <v>3211</v>
      </c>
      <c r="C140" s="105" t="s">
        <v>6424</v>
      </c>
      <c r="D140" s="149" t="s">
        <v>3212</v>
      </c>
      <c r="E140" s="105">
        <v>1</v>
      </c>
      <c r="F140" s="133">
        <v>23.32</v>
      </c>
      <c r="G140" s="133">
        <v>27</v>
      </c>
      <c r="H140" s="109">
        <f t="shared" si="6"/>
        <v>27</v>
      </c>
      <c r="I140" s="119"/>
      <c r="J140" s="119">
        <v>0</v>
      </c>
      <c r="K140" s="119">
        <f t="shared" si="7"/>
        <v>27</v>
      </c>
      <c r="L140" s="152">
        <f t="shared" si="8"/>
        <v>23.32</v>
      </c>
      <c r="M140" s="113"/>
    </row>
    <row r="141" spans="1:13" ht="14.25" customHeight="1" x14ac:dyDescent="0.2">
      <c r="A141" s="106" t="s">
        <v>6302</v>
      </c>
      <c r="B141" s="272" t="s">
        <v>2377</v>
      </c>
      <c r="C141" s="105" t="s">
        <v>6425</v>
      </c>
      <c r="D141" s="149" t="s">
        <v>2378</v>
      </c>
      <c r="E141" s="105">
        <v>2</v>
      </c>
      <c r="F141" s="133">
        <v>8.1999999999999993</v>
      </c>
      <c r="G141" s="133">
        <v>9.5</v>
      </c>
      <c r="H141" s="109">
        <f t="shared" si="6"/>
        <v>19</v>
      </c>
      <c r="I141" s="119"/>
      <c r="J141" s="119">
        <v>0</v>
      </c>
      <c r="K141" s="119">
        <f t="shared" si="7"/>
        <v>19</v>
      </c>
      <c r="L141" s="152">
        <f t="shared" si="8"/>
        <v>16.399999999999999</v>
      </c>
      <c r="M141" s="113"/>
    </row>
    <row r="142" spans="1:13" ht="14.25" customHeight="1" x14ac:dyDescent="0.2">
      <c r="A142" s="106" t="s">
        <v>6302</v>
      </c>
      <c r="B142" s="272" t="s">
        <v>1888</v>
      </c>
      <c r="C142" s="105" t="s">
        <v>6426</v>
      </c>
      <c r="D142" s="149" t="s">
        <v>1890</v>
      </c>
      <c r="E142" s="105">
        <v>1</v>
      </c>
      <c r="F142" s="133">
        <v>20.68</v>
      </c>
      <c r="G142" s="133">
        <v>24</v>
      </c>
      <c r="H142" s="109">
        <f t="shared" si="6"/>
        <v>24</v>
      </c>
      <c r="I142" s="119"/>
      <c r="J142" s="119">
        <v>0</v>
      </c>
      <c r="K142" s="119">
        <f t="shared" si="7"/>
        <v>24</v>
      </c>
      <c r="L142" s="152">
        <f t="shared" si="8"/>
        <v>20.68</v>
      </c>
      <c r="M142" s="113"/>
    </row>
    <row r="143" spans="1:13" ht="14.25" customHeight="1" x14ac:dyDescent="0.2">
      <c r="A143" s="106" t="s">
        <v>6302</v>
      </c>
      <c r="B143" s="272" t="s">
        <v>2521</v>
      </c>
      <c r="C143" s="105" t="s">
        <v>6427</v>
      </c>
      <c r="D143" s="149" t="s">
        <v>2522</v>
      </c>
      <c r="E143" s="105">
        <v>36</v>
      </c>
      <c r="F143" s="133">
        <v>6.12</v>
      </c>
      <c r="G143" s="133">
        <v>7.25</v>
      </c>
      <c r="H143" s="109">
        <f t="shared" si="6"/>
        <v>261</v>
      </c>
      <c r="I143" s="119"/>
      <c r="J143" s="119">
        <v>0</v>
      </c>
      <c r="K143" s="119">
        <f t="shared" si="7"/>
        <v>261</v>
      </c>
      <c r="L143" s="152">
        <f t="shared" si="8"/>
        <v>220.32</v>
      </c>
      <c r="M143" s="113"/>
    </row>
    <row r="144" spans="1:13" ht="14.25" customHeight="1" x14ac:dyDescent="0.2">
      <c r="A144" s="106" t="s">
        <v>6302</v>
      </c>
      <c r="B144" s="272" t="s">
        <v>5696</v>
      </c>
      <c r="C144" s="105" t="s">
        <v>6427</v>
      </c>
      <c r="D144" s="149" t="s">
        <v>5834</v>
      </c>
      <c r="E144" s="105">
        <v>17</v>
      </c>
      <c r="F144" s="133">
        <v>6.89</v>
      </c>
      <c r="G144" s="133">
        <v>8</v>
      </c>
      <c r="H144" s="109">
        <f t="shared" si="6"/>
        <v>136</v>
      </c>
      <c r="I144" s="119"/>
      <c r="J144" s="119">
        <v>0</v>
      </c>
      <c r="K144" s="119">
        <f t="shared" si="7"/>
        <v>136</v>
      </c>
      <c r="L144" s="152">
        <f t="shared" si="8"/>
        <v>117.13</v>
      </c>
      <c r="M144" s="113"/>
    </row>
    <row r="145" spans="1:13" ht="14.25" customHeight="1" x14ac:dyDescent="0.2">
      <c r="A145" s="106" t="s">
        <v>6302</v>
      </c>
      <c r="B145" s="272" t="s">
        <v>2941</v>
      </c>
      <c r="C145" s="105" t="s">
        <v>6427</v>
      </c>
      <c r="D145" s="149" t="s">
        <v>2943</v>
      </c>
      <c r="E145" s="105">
        <v>21</v>
      </c>
      <c r="F145" s="133">
        <v>7.14</v>
      </c>
      <c r="G145" s="133">
        <v>8.25</v>
      </c>
      <c r="H145" s="109">
        <f t="shared" si="6"/>
        <v>173.25</v>
      </c>
      <c r="I145" s="119"/>
      <c r="J145" s="119">
        <v>0</v>
      </c>
      <c r="K145" s="119">
        <f t="shared" si="7"/>
        <v>173.25</v>
      </c>
      <c r="L145" s="152">
        <f t="shared" si="8"/>
        <v>149.94</v>
      </c>
      <c r="M145" s="113"/>
    </row>
    <row r="146" spans="1:13" ht="14.25" customHeight="1" x14ac:dyDescent="0.2">
      <c r="A146" s="106" t="s">
        <v>6302</v>
      </c>
      <c r="B146" s="272" t="s">
        <v>5688</v>
      </c>
      <c r="C146" s="105" t="s">
        <v>6427</v>
      </c>
      <c r="D146" s="149" t="s">
        <v>5826</v>
      </c>
      <c r="E146" s="105">
        <v>1</v>
      </c>
      <c r="F146" s="133">
        <v>74.38</v>
      </c>
      <c r="G146" s="133">
        <v>89.25</v>
      </c>
      <c r="H146" s="109">
        <f t="shared" si="6"/>
        <v>89.25</v>
      </c>
      <c r="I146" s="119"/>
      <c r="J146" s="119">
        <v>0</v>
      </c>
      <c r="K146" s="119">
        <f t="shared" si="7"/>
        <v>89.25</v>
      </c>
      <c r="L146" s="152">
        <f t="shared" si="8"/>
        <v>74.38</v>
      </c>
      <c r="M146" s="113"/>
    </row>
    <row r="147" spans="1:13" ht="14.25" customHeight="1" x14ac:dyDescent="0.2">
      <c r="A147" s="106" t="s">
        <v>6302</v>
      </c>
      <c r="B147" s="272" t="s">
        <v>3158</v>
      </c>
      <c r="C147" s="105" t="s">
        <v>6427</v>
      </c>
      <c r="D147" s="149" t="s">
        <v>3159</v>
      </c>
      <c r="E147" s="105">
        <v>1</v>
      </c>
      <c r="F147" s="133">
        <v>1160.3499999999999</v>
      </c>
      <c r="G147" s="133">
        <v>1334.5</v>
      </c>
      <c r="H147" s="109">
        <f t="shared" si="6"/>
        <v>1334.5</v>
      </c>
      <c r="I147" s="119"/>
      <c r="J147" s="119">
        <v>0</v>
      </c>
      <c r="K147" s="119">
        <f t="shared" si="7"/>
        <v>1334.5</v>
      </c>
      <c r="L147" s="152">
        <f t="shared" si="8"/>
        <v>1160.3499999999999</v>
      </c>
      <c r="M147" s="113"/>
    </row>
    <row r="148" spans="1:13" ht="14.25" customHeight="1" x14ac:dyDescent="0.2">
      <c r="A148" s="106" t="s">
        <v>6302</v>
      </c>
      <c r="B148" s="272" t="s">
        <v>3043</v>
      </c>
      <c r="C148" s="105" t="s">
        <v>6427</v>
      </c>
      <c r="D148" s="149" t="s">
        <v>3044</v>
      </c>
      <c r="E148" s="105">
        <v>1</v>
      </c>
      <c r="F148" s="133">
        <v>309.11</v>
      </c>
      <c r="G148" s="133">
        <v>355.5</v>
      </c>
      <c r="H148" s="109">
        <f t="shared" si="6"/>
        <v>355.5</v>
      </c>
      <c r="I148" s="119"/>
      <c r="J148" s="119">
        <v>0</v>
      </c>
      <c r="K148" s="119">
        <f t="shared" si="7"/>
        <v>355.5</v>
      </c>
      <c r="L148" s="152">
        <f t="shared" si="8"/>
        <v>309.11</v>
      </c>
      <c r="M148" s="113"/>
    </row>
    <row r="149" spans="1:13" ht="14.25" customHeight="1" x14ac:dyDescent="0.2">
      <c r="A149" s="106" t="s">
        <v>6302</v>
      </c>
      <c r="B149" s="272" t="s">
        <v>2878</v>
      </c>
      <c r="C149" s="105" t="s">
        <v>6427</v>
      </c>
      <c r="D149" s="149" t="s">
        <v>2880</v>
      </c>
      <c r="E149" s="105">
        <v>2</v>
      </c>
      <c r="F149" s="133">
        <v>60.4</v>
      </c>
      <c r="G149" s="133">
        <v>70</v>
      </c>
      <c r="H149" s="109">
        <f t="shared" si="6"/>
        <v>140</v>
      </c>
      <c r="I149" s="119"/>
      <c r="J149" s="119">
        <v>0</v>
      </c>
      <c r="K149" s="119">
        <f t="shared" si="7"/>
        <v>140</v>
      </c>
      <c r="L149" s="152">
        <f t="shared" si="8"/>
        <v>120.8</v>
      </c>
      <c r="M149" s="113"/>
    </row>
    <row r="150" spans="1:13" x14ac:dyDescent="0.2">
      <c r="A150" s="106" t="s">
        <v>6302</v>
      </c>
      <c r="B150" s="272" t="s">
        <v>6315</v>
      </c>
      <c r="C150" s="105" t="s">
        <v>6427</v>
      </c>
      <c r="D150" s="149" t="s">
        <v>6656</v>
      </c>
      <c r="E150" s="105">
        <v>50</v>
      </c>
      <c r="F150" s="133">
        <v>4</v>
      </c>
      <c r="G150" s="133">
        <v>5</v>
      </c>
      <c r="H150" s="109">
        <f t="shared" si="6"/>
        <v>250</v>
      </c>
      <c r="I150" s="119"/>
      <c r="J150" s="119">
        <v>0</v>
      </c>
      <c r="K150" s="119">
        <f t="shared" si="7"/>
        <v>250</v>
      </c>
      <c r="L150" s="152">
        <f t="shared" si="8"/>
        <v>200</v>
      </c>
      <c r="M150" s="113"/>
    </row>
    <row r="151" spans="1:13" x14ac:dyDescent="0.2">
      <c r="A151" s="106" t="s">
        <v>6302</v>
      </c>
      <c r="B151" s="272" t="s">
        <v>2173</v>
      </c>
      <c r="C151" s="105" t="s">
        <v>6427</v>
      </c>
      <c r="D151" s="149" t="s">
        <v>2175</v>
      </c>
      <c r="E151" s="105">
        <v>1</v>
      </c>
      <c r="F151" s="133">
        <v>140</v>
      </c>
      <c r="G151" s="133">
        <v>161</v>
      </c>
      <c r="H151" s="109">
        <f t="shared" si="6"/>
        <v>161</v>
      </c>
      <c r="I151" s="119"/>
      <c r="J151" s="119">
        <v>0</v>
      </c>
      <c r="K151" s="119">
        <f t="shared" si="7"/>
        <v>161</v>
      </c>
      <c r="L151" s="152">
        <f t="shared" si="8"/>
        <v>140</v>
      </c>
      <c r="M151" s="113"/>
    </row>
    <row r="152" spans="1:13" x14ac:dyDescent="0.2">
      <c r="A152" s="106" t="s">
        <v>6302</v>
      </c>
      <c r="B152" s="272" t="s">
        <v>2162</v>
      </c>
      <c r="C152" s="105" t="s">
        <v>6427</v>
      </c>
      <c r="D152" s="149" t="s">
        <v>2163</v>
      </c>
      <c r="E152" s="105">
        <v>1</v>
      </c>
      <c r="F152" s="133">
        <v>67.290000000000006</v>
      </c>
      <c r="G152" s="133">
        <v>77.5</v>
      </c>
      <c r="H152" s="109">
        <f t="shared" si="6"/>
        <v>77.5</v>
      </c>
      <c r="I152" s="119"/>
      <c r="J152" s="119">
        <v>0</v>
      </c>
      <c r="K152" s="119">
        <f t="shared" si="7"/>
        <v>77.5</v>
      </c>
      <c r="L152" s="152">
        <f t="shared" si="8"/>
        <v>67.290000000000006</v>
      </c>
      <c r="M152" s="113"/>
    </row>
    <row r="153" spans="1:13" x14ac:dyDescent="0.2">
      <c r="A153" s="106" t="s">
        <v>6302</v>
      </c>
      <c r="B153" s="272" t="s">
        <v>2809</v>
      </c>
      <c r="C153" s="105" t="s">
        <v>6427</v>
      </c>
      <c r="D153" s="149" t="s">
        <v>2810</v>
      </c>
      <c r="E153" s="105">
        <v>1</v>
      </c>
      <c r="F153" s="133">
        <v>53.81</v>
      </c>
      <c r="G153" s="133">
        <v>62</v>
      </c>
      <c r="H153" s="109">
        <f t="shared" si="6"/>
        <v>62</v>
      </c>
      <c r="I153" s="119"/>
      <c r="J153" s="119">
        <v>0</v>
      </c>
      <c r="K153" s="119">
        <f t="shared" si="7"/>
        <v>62</v>
      </c>
      <c r="L153" s="152">
        <f t="shared" si="8"/>
        <v>53.81</v>
      </c>
      <c r="M153" s="113"/>
    </row>
    <row r="154" spans="1:13" x14ac:dyDescent="0.2">
      <c r="A154" s="106" t="s">
        <v>6302</v>
      </c>
      <c r="B154" s="272" t="s">
        <v>1846</v>
      </c>
      <c r="C154" s="105" t="s">
        <v>6427</v>
      </c>
      <c r="D154" s="149" t="s">
        <v>1847</v>
      </c>
      <c r="E154" s="105">
        <v>1</v>
      </c>
      <c r="F154" s="133">
        <v>61.93</v>
      </c>
      <c r="G154" s="133">
        <v>71.25</v>
      </c>
      <c r="H154" s="109">
        <f t="shared" si="6"/>
        <v>71.25</v>
      </c>
      <c r="I154" s="119"/>
      <c r="J154" s="119">
        <v>0</v>
      </c>
      <c r="K154" s="119">
        <f t="shared" si="7"/>
        <v>71.25</v>
      </c>
      <c r="L154" s="152">
        <f t="shared" si="8"/>
        <v>61.93</v>
      </c>
      <c r="M154" s="113"/>
    </row>
    <row r="155" spans="1:13" x14ac:dyDescent="0.2">
      <c r="A155" s="106" t="s">
        <v>6302</v>
      </c>
      <c r="B155" s="272" t="s">
        <v>6316</v>
      </c>
      <c r="C155" s="105" t="s">
        <v>6427</v>
      </c>
      <c r="D155" s="149" t="s">
        <v>6657</v>
      </c>
      <c r="E155" s="105">
        <v>50</v>
      </c>
      <c r="F155" s="133">
        <v>2.1800000000000002</v>
      </c>
      <c r="G155" s="133">
        <v>2.75</v>
      </c>
      <c r="H155" s="109">
        <f t="shared" si="6"/>
        <v>137.5</v>
      </c>
      <c r="I155" s="119"/>
      <c r="J155" s="119">
        <v>0</v>
      </c>
      <c r="K155" s="119">
        <f t="shared" si="7"/>
        <v>137.5</v>
      </c>
      <c r="L155" s="152">
        <f t="shared" si="8"/>
        <v>109.00000000000001</v>
      </c>
      <c r="M155" s="113"/>
    </row>
    <row r="156" spans="1:13" x14ac:dyDescent="0.2">
      <c r="A156" s="106" t="s">
        <v>6302</v>
      </c>
      <c r="B156" s="272" t="s">
        <v>5871</v>
      </c>
      <c r="C156" s="105" t="s">
        <v>6427</v>
      </c>
      <c r="D156" s="149" t="s">
        <v>5964</v>
      </c>
      <c r="E156" s="105">
        <v>50</v>
      </c>
      <c r="F156" s="133">
        <v>2.76</v>
      </c>
      <c r="G156" s="133">
        <v>3.5</v>
      </c>
      <c r="H156" s="109">
        <f t="shared" si="6"/>
        <v>175</v>
      </c>
      <c r="I156" s="119"/>
      <c r="J156" s="119">
        <v>0</v>
      </c>
      <c r="K156" s="119">
        <f t="shared" si="7"/>
        <v>175</v>
      </c>
      <c r="L156" s="152">
        <f t="shared" si="8"/>
        <v>138</v>
      </c>
      <c r="M156" s="113"/>
    </row>
    <row r="157" spans="1:13" x14ac:dyDescent="0.2">
      <c r="A157" s="106" t="s">
        <v>6302</v>
      </c>
      <c r="B157" s="272" t="s">
        <v>5698</v>
      </c>
      <c r="C157" s="105" t="s">
        <v>6427</v>
      </c>
      <c r="D157" s="149" t="s">
        <v>5836</v>
      </c>
      <c r="E157" s="105">
        <v>50</v>
      </c>
      <c r="F157" s="133">
        <v>3.81</v>
      </c>
      <c r="G157" s="133">
        <v>4.75</v>
      </c>
      <c r="H157" s="109">
        <f t="shared" si="6"/>
        <v>237.5</v>
      </c>
      <c r="I157" s="119"/>
      <c r="J157" s="119">
        <v>0</v>
      </c>
      <c r="K157" s="119">
        <f t="shared" si="7"/>
        <v>237.5</v>
      </c>
      <c r="L157" s="152">
        <f t="shared" si="8"/>
        <v>190.5</v>
      </c>
      <c r="M157" s="113"/>
    </row>
    <row r="158" spans="1:13" x14ac:dyDescent="0.2">
      <c r="A158" s="106" t="s">
        <v>6302</v>
      </c>
      <c r="B158" s="272" t="s">
        <v>2158</v>
      </c>
      <c r="C158" s="105" t="s">
        <v>6428</v>
      </c>
      <c r="D158" s="149" t="s">
        <v>2160</v>
      </c>
      <c r="E158" s="105">
        <v>4</v>
      </c>
      <c r="F158" s="133">
        <v>56.31</v>
      </c>
      <c r="G158" s="133">
        <v>67.5</v>
      </c>
      <c r="H158" s="109">
        <f t="shared" si="6"/>
        <v>270</v>
      </c>
      <c r="I158" s="119"/>
      <c r="J158" s="119">
        <v>0</v>
      </c>
      <c r="K158" s="119">
        <f t="shared" si="7"/>
        <v>270</v>
      </c>
      <c r="L158" s="152">
        <f t="shared" si="8"/>
        <v>225.24</v>
      </c>
      <c r="M158" s="113"/>
    </row>
    <row r="159" spans="1:13" x14ac:dyDescent="0.2">
      <c r="A159" s="106" t="s">
        <v>6302</v>
      </c>
      <c r="B159" s="272" t="s">
        <v>2809</v>
      </c>
      <c r="C159" s="105" t="s">
        <v>6428</v>
      </c>
      <c r="D159" s="149" t="s">
        <v>2810</v>
      </c>
      <c r="E159" s="105">
        <v>2</v>
      </c>
      <c r="F159" s="133">
        <v>53.81</v>
      </c>
      <c r="G159" s="133">
        <v>62</v>
      </c>
      <c r="H159" s="109">
        <f t="shared" si="6"/>
        <v>124</v>
      </c>
      <c r="I159" s="119"/>
      <c r="J159" s="119">
        <v>0</v>
      </c>
      <c r="K159" s="119">
        <f t="shared" si="7"/>
        <v>124</v>
      </c>
      <c r="L159" s="152">
        <f t="shared" si="8"/>
        <v>107.62</v>
      </c>
      <c r="M159" s="113"/>
    </row>
    <row r="160" spans="1:13" x14ac:dyDescent="0.2">
      <c r="A160" s="106" t="s">
        <v>6302</v>
      </c>
      <c r="B160" s="272" t="s">
        <v>2162</v>
      </c>
      <c r="C160" s="105" t="s">
        <v>6428</v>
      </c>
      <c r="D160" s="149" t="s">
        <v>2163</v>
      </c>
      <c r="E160" s="105">
        <v>4</v>
      </c>
      <c r="F160" s="133">
        <v>67.290000000000006</v>
      </c>
      <c r="G160" s="133">
        <v>77.5</v>
      </c>
      <c r="H160" s="109">
        <f t="shared" si="6"/>
        <v>310</v>
      </c>
      <c r="I160" s="119"/>
      <c r="J160" s="119">
        <v>0</v>
      </c>
      <c r="K160" s="119">
        <f t="shared" si="7"/>
        <v>310</v>
      </c>
      <c r="L160" s="152">
        <f t="shared" si="8"/>
        <v>269.16000000000003</v>
      </c>
      <c r="M160" s="113"/>
    </row>
    <row r="161" spans="1:13" x14ac:dyDescent="0.2">
      <c r="A161" s="106" t="s">
        <v>6302</v>
      </c>
      <c r="B161" s="272" t="s">
        <v>2584</v>
      </c>
      <c r="C161" s="105" t="s">
        <v>6428</v>
      </c>
      <c r="D161" s="149" t="s">
        <v>2585</v>
      </c>
      <c r="E161" s="105">
        <v>2</v>
      </c>
      <c r="F161" s="133">
        <v>17.899999999999999</v>
      </c>
      <c r="G161" s="133">
        <v>20.75</v>
      </c>
      <c r="H161" s="109">
        <f t="shared" si="6"/>
        <v>41.5</v>
      </c>
      <c r="I161" s="119"/>
      <c r="J161" s="119">
        <v>0</v>
      </c>
      <c r="K161" s="119">
        <f t="shared" si="7"/>
        <v>41.5</v>
      </c>
      <c r="L161" s="152">
        <f t="shared" si="8"/>
        <v>35.799999999999997</v>
      </c>
      <c r="M161" s="113"/>
    </row>
    <row r="162" spans="1:13" x14ac:dyDescent="0.2">
      <c r="A162" s="106" t="s">
        <v>6302</v>
      </c>
      <c r="B162" s="272" t="s">
        <v>2491</v>
      </c>
      <c r="C162" s="105" t="s">
        <v>6428</v>
      </c>
      <c r="D162" s="149" t="s">
        <v>2492</v>
      </c>
      <c r="E162" s="105">
        <v>2</v>
      </c>
      <c r="F162" s="133">
        <v>61.5</v>
      </c>
      <c r="G162" s="133">
        <v>66.5</v>
      </c>
      <c r="H162" s="109">
        <f t="shared" si="6"/>
        <v>133</v>
      </c>
      <c r="I162" s="119"/>
      <c r="J162" s="119">
        <v>0</v>
      </c>
      <c r="K162" s="119">
        <f t="shared" si="7"/>
        <v>133</v>
      </c>
      <c r="L162" s="152">
        <f t="shared" si="8"/>
        <v>123</v>
      </c>
      <c r="M162" s="113"/>
    </row>
    <row r="163" spans="1:13" x14ac:dyDescent="0.2">
      <c r="A163" s="106" t="s">
        <v>6302</v>
      </c>
      <c r="B163" s="272" t="s">
        <v>2205</v>
      </c>
      <c r="C163" s="105" t="s">
        <v>6428</v>
      </c>
      <c r="D163" s="149" t="s">
        <v>2207</v>
      </c>
      <c r="E163" s="105">
        <v>2</v>
      </c>
      <c r="F163" s="133">
        <v>41.86</v>
      </c>
      <c r="G163" s="133">
        <v>48.25</v>
      </c>
      <c r="H163" s="109">
        <f t="shared" si="6"/>
        <v>96.5</v>
      </c>
      <c r="I163" s="119"/>
      <c r="J163" s="119">
        <v>0</v>
      </c>
      <c r="K163" s="119">
        <f t="shared" si="7"/>
        <v>96.5</v>
      </c>
      <c r="L163" s="152">
        <f t="shared" si="8"/>
        <v>83.72</v>
      </c>
      <c r="M163" s="113"/>
    </row>
    <row r="164" spans="1:13" x14ac:dyDescent="0.2">
      <c r="A164" s="106" t="s">
        <v>6302</v>
      </c>
      <c r="B164" s="272" t="s">
        <v>5110</v>
      </c>
      <c r="C164" s="105" t="s">
        <v>6428</v>
      </c>
      <c r="D164" s="149" t="s">
        <v>5158</v>
      </c>
      <c r="E164" s="105">
        <v>1</v>
      </c>
      <c r="F164" s="133">
        <v>98.1</v>
      </c>
      <c r="G164" s="133">
        <v>113</v>
      </c>
      <c r="H164" s="109">
        <f t="shared" si="6"/>
        <v>113</v>
      </c>
      <c r="I164" s="119"/>
      <c r="J164" s="119">
        <v>0</v>
      </c>
      <c r="K164" s="119">
        <f t="shared" si="7"/>
        <v>113</v>
      </c>
      <c r="L164" s="152">
        <f t="shared" si="8"/>
        <v>98.1</v>
      </c>
      <c r="M164" s="113"/>
    </row>
    <row r="165" spans="1:13" x14ac:dyDescent="0.2">
      <c r="A165" s="106" t="s">
        <v>6302</v>
      </c>
      <c r="B165" s="272" t="s">
        <v>2173</v>
      </c>
      <c r="C165" s="105" t="s">
        <v>6428</v>
      </c>
      <c r="D165" s="149" t="s">
        <v>2175</v>
      </c>
      <c r="E165" s="105">
        <v>3</v>
      </c>
      <c r="F165" s="133">
        <v>140</v>
      </c>
      <c r="G165" s="133">
        <v>161</v>
      </c>
      <c r="H165" s="109">
        <f t="shared" si="6"/>
        <v>483</v>
      </c>
      <c r="I165" s="119"/>
      <c r="J165" s="119">
        <v>0</v>
      </c>
      <c r="K165" s="119">
        <f t="shared" si="7"/>
        <v>483</v>
      </c>
      <c r="L165" s="152">
        <f t="shared" si="8"/>
        <v>420</v>
      </c>
      <c r="M165" s="113"/>
    </row>
    <row r="166" spans="1:13" x14ac:dyDescent="0.2">
      <c r="A166" s="106" t="s">
        <v>6302</v>
      </c>
      <c r="B166" s="272" t="s">
        <v>5034</v>
      </c>
      <c r="C166" s="105" t="s">
        <v>6429</v>
      </c>
      <c r="D166" s="149" t="s">
        <v>5078</v>
      </c>
      <c r="E166" s="105">
        <v>5</v>
      </c>
      <c r="F166" s="133">
        <v>36.51</v>
      </c>
      <c r="G166" s="133">
        <v>42</v>
      </c>
      <c r="H166" s="109">
        <f t="shared" si="6"/>
        <v>210</v>
      </c>
      <c r="I166" s="119"/>
      <c r="J166" s="119">
        <v>0</v>
      </c>
      <c r="K166" s="119">
        <f t="shared" si="7"/>
        <v>210</v>
      </c>
      <c r="L166" s="152">
        <f t="shared" si="8"/>
        <v>182.54999999999998</v>
      </c>
      <c r="M166" s="113"/>
    </row>
    <row r="167" spans="1:13" x14ac:dyDescent="0.2">
      <c r="A167" s="106" t="s">
        <v>6302</v>
      </c>
      <c r="B167" s="272" t="s">
        <v>4112</v>
      </c>
      <c r="C167" s="105" t="s">
        <v>6429</v>
      </c>
      <c r="D167" s="149" t="s">
        <v>4113</v>
      </c>
      <c r="E167" s="105">
        <v>5</v>
      </c>
      <c r="F167" s="133">
        <v>19.66</v>
      </c>
      <c r="G167" s="133">
        <v>23</v>
      </c>
      <c r="H167" s="109">
        <f t="shared" si="6"/>
        <v>115</v>
      </c>
      <c r="I167" s="119"/>
      <c r="J167" s="119">
        <v>0</v>
      </c>
      <c r="K167" s="119">
        <f t="shared" si="7"/>
        <v>115</v>
      </c>
      <c r="L167" s="152">
        <f t="shared" si="8"/>
        <v>98.3</v>
      </c>
      <c r="M167" s="113"/>
    </row>
    <row r="168" spans="1:13" x14ac:dyDescent="0.2">
      <c r="A168" s="106" t="s">
        <v>6302</v>
      </c>
      <c r="B168" s="272" t="s">
        <v>5415</v>
      </c>
      <c r="C168" s="105" t="s">
        <v>6430</v>
      </c>
      <c r="D168" s="149" t="s">
        <v>5466</v>
      </c>
      <c r="E168" s="105">
        <v>1</v>
      </c>
      <c r="F168" s="133">
        <v>3.7</v>
      </c>
      <c r="G168" s="133">
        <v>5</v>
      </c>
      <c r="H168" s="109">
        <f t="shared" si="6"/>
        <v>5</v>
      </c>
      <c r="I168" s="119"/>
      <c r="J168" s="119">
        <v>0</v>
      </c>
      <c r="K168" s="119">
        <f t="shared" si="7"/>
        <v>5</v>
      </c>
      <c r="L168" s="152">
        <f t="shared" si="8"/>
        <v>3.7</v>
      </c>
      <c r="M168" s="113"/>
    </row>
    <row r="169" spans="1:13" x14ac:dyDescent="0.2">
      <c r="A169" s="106" t="s">
        <v>6302</v>
      </c>
      <c r="B169" s="272" t="s">
        <v>3050</v>
      </c>
      <c r="C169" s="105" t="s">
        <v>6431</v>
      </c>
      <c r="D169" s="149" t="s">
        <v>3051</v>
      </c>
      <c r="E169" s="105">
        <v>12</v>
      </c>
      <c r="F169" s="133">
        <v>6.02</v>
      </c>
      <c r="G169" s="133">
        <v>7.25</v>
      </c>
      <c r="H169" s="109">
        <f t="shared" si="6"/>
        <v>87</v>
      </c>
      <c r="I169" s="119"/>
      <c r="J169" s="119">
        <v>0</v>
      </c>
      <c r="K169" s="119">
        <f t="shared" si="7"/>
        <v>87</v>
      </c>
      <c r="L169" s="152">
        <f t="shared" si="8"/>
        <v>72.239999999999995</v>
      </c>
      <c r="M169" s="113"/>
    </row>
    <row r="170" spans="1:13" x14ac:dyDescent="0.2">
      <c r="A170" s="106" t="s">
        <v>6302</v>
      </c>
      <c r="B170" s="272" t="s">
        <v>2521</v>
      </c>
      <c r="C170" s="105" t="s">
        <v>6431</v>
      </c>
      <c r="D170" s="149" t="s">
        <v>2522</v>
      </c>
      <c r="E170" s="105">
        <v>12</v>
      </c>
      <c r="F170" s="133">
        <v>6.12</v>
      </c>
      <c r="G170" s="133">
        <v>7.25</v>
      </c>
      <c r="H170" s="109">
        <f t="shared" si="6"/>
        <v>87</v>
      </c>
      <c r="I170" s="119"/>
      <c r="J170" s="119">
        <v>0</v>
      </c>
      <c r="K170" s="119">
        <f t="shared" si="7"/>
        <v>87</v>
      </c>
      <c r="L170" s="152">
        <f t="shared" si="8"/>
        <v>73.44</v>
      </c>
      <c r="M170" s="113"/>
    </row>
    <row r="171" spans="1:13" x14ac:dyDescent="0.2">
      <c r="A171" s="106" t="s">
        <v>6302</v>
      </c>
      <c r="B171" s="272" t="s">
        <v>2323</v>
      </c>
      <c r="C171" s="105" t="s">
        <v>6432</v>
      </c>
      <c r="D171" s="149" t="s">
        <v>2325</v>
      </c>
      <c r="E171" s="105">
        <v>1</v>
      </c>
      <c r="F171" s="133">
        <v>19.100000000000001</v>
      </c>
      <c r="G171" s="133">
        <v>22</v>
      </c>
      <c r="H171" s="109">
        <f t="shared" si="6"/>
        <v>22</v>
      </c>
      <c r="I171" s="119"/>
      <c r="J171" s="119">
        <v>0</v>
      </c>
      <c r="K171" s="119">
        <f t="shared" si="7"/>
        <v>22</v>
      </c>
      <c r="L171" s="152">
        <f t="shared" si="8"/>
        <v>19.100000000000001</v>
      </c>
      <c r="M171" s="113"/>
    </row>
    <row r="172" spans="1:13" x14ac:dyDescent="0.2">
      <c r="A172" s="106" t="s">
        <v>6302</v>
      </c>
      <c r="B172" s="272" t="s">
        <v>1920</v>
      </c>
      <c r="C172" s="105" t="s">
        <v>6433</v>
      </c>
      <c r="D172" s="149" t="s">
        <v>1921</v>
      </c>
      <c r="E172" s="105">
        <v>1</v>
      </c>
      <c r="F172" s="133">
        <v>13.32</v>
      </c>
      <c r="G172" s="133">
        <v>15.5</v>
      </c>
      <c r="H172" s="109">
        <f t="shared" si="6"/>
        <v>15.5</v>
      </c>
      <c r="I172" s="119"/>
      <c r="J172" s="119">
        <v>0</v>
      </c>
      <c r="K172" s="119">
        <f t="shared" si="7"/>
        <v>15.5</v>
      </c>
      <c r="L172" s="152">
        <f t="shared" si="8"/>
        <v>13.32</v>
      </c>
      <c r="M172" s="113"/>
    </row>
    <row r="173" spans="1:13" x14ac:dyDescent="0.2">
      <c r="A173" s="106" t="s">
        <v>6302</v>
      </c>
      <c r="B173" s="272" t="s">
        <v>5873</v>
      </c>
      <c r="C173" s="105" t="s">
        <v>6434</v>
      </c>
      <c r="D173" s="149" t="s">
        <v>5966</v>
      </c>
      <c r="E173" s="105">
        <v>1</v>
      </c>
      <c r="F173" s="133">
        <v>35.35</v>
      </c>
      <c r="G173" s="133">
        <v>40.75</v>
      </c>
      <c r="H173" s="109">
        <f t="shared" si="6"/>
        <v>40.75</v>
      </c>
      <c r="I173" s="119"/>
      <c r="J173" s="119">
        <v>0</v>
      </c>
      <c r="K173" s="119">
        <f t="shared" si="7"/>
        <v>40.75</v>
      </c>
      <c r="L173" s="152">
        <f t="shared" si="8"/>
        <v>35.35</v>
      </c>
      <c r="M173" s="113"/>
    </row>
    <row r="174" spans="1:13" x14ac:dyDescent="0.2">
      <c r="A174" s="106" t="s">
        <v>6302</v>
      </c>
      <c r="B174" s="272" t="s">
        <v>4763</v>
      </c>
      <c r="C174" s="105" t="s">
        <v>6434</v>
      </c>
      <c r="D174" s="149" t="s">
        <v>4790</v>
      </c>
      <c r="E174" s="105">
        <v>1</v>
      </c>
      <c r="F174" s="133">
        <v>125.7</v>
      </c>
      <c r="G174" s="133">
        <v>144.75</v>
      </c>
      <c r="H174" s="109">
        <f t="shared" si="6"/>
        <v>144.75</v>
      </c>
      <c r="I174" s="119"/>
      <c r="J174" s="119">
        <v>0</v>
      </c>
      <c r="K174" s="119">
        <f t="shared" si="7"/>
        <v>144.75</v>
      </c>
      <c r="L174" s="152">
        <f t="shared" si="8"/>
        <v>125.7</v>
      </c>
      <c r="M174" s="113"/>
    </row>
    <row r="175" spans="1:13" x14ac:dyDescent="0.2">
      <c r="A175" s="106" t="s">
        <v>6302</v>
      </c>
      <c r="B175" s="272" t="s">
        <v>3236</v>
      </c>
      <c r="C175" s="105" t="s">
        <v>6434</v>
      </c>
      <c r="D175" s="149" t="s">
        <v>3237</v>
      </c>
      <c r="E175" s="105">
        <v>1</v>
      </c>
      <c r="F175" s="133">
        <v>22.73</v>
      </c>
      <c r="G175" s="133">
        <v>26.25</v>
      </c>
      <c r="H175" s="109">
        <f t="shared" si="6"/>
        <v>26.25</v>
      </c>
      <c r="I175" s="119"/>
      <c r="J175" s="119">
        <v>0</v>
      </c>
      <c r="K175" s="119">
        <f t="shared" si="7"/>
        <v>26.25</v>
      </c>
      <c r="L175" s="152">
        <f t="shared" si="8"/>
        <v>22.73</v>
      </c>
      <c r="M175" s="113"/>
    </row>
    <row r="176" spans="1:13" x14ac:dyDescent="0.2">
      <c r="A176" s="106" t="s">
        <v>6302</v>
      </c>
      <c r="B176" s="272" t="s">
        <v>5693</v>
      </c>
      <c r="C176" s="105" t="s">
        <v>6435</v>
      </c>
      <c r="D176" s="149" t="s">
        <v>5831</v>
      </c>
      <c r="E176" s="105">
        <v>1</v>
      </c>
      <c r="F176" s="133">
        <v>5.61</v>
      </c>
      <c r="G176" s="133">
        <v>6.5</v>
      </c>
      <c r="H176" s="109">
        <f t="shared" si="6"/>
        <v>6.5</v>
      </c>
      <c r="I176" s="119"/>
      <c r="J176" s="119">
        <v>0</v>
      </c>
      <c r="K176" s="119">
        <f t="shared" si="7"/>
        <v>6.5</v>
      </c>
      <c r="L176" s="152">
        <f t="shared" si="8"/>
        <v>5.61</v>
      </c>
      <c r="M176" s="113"/>
    </row>
    <row r="177" spans="1:13" x14ac:dyDescent="0.2">
      <c r="A177" s="106" t="s">
        <v>6302</v>
      </c>
      <c r="B177" s="272" t="s">
        <v>3088</v>
      </c>
      <c r="C177" s="105" t="s">
        <v>6436</v>
      </c>
      <c r="D177" s="149" t="s">
        <v>3090</v>
      </c>
      <c r="E177" s="105">
        <v>1</v>
      </c>
      <c r="F177" s="133">
        <v>23.75</v>
      </c>
      <c r="G177" s="133">
        <v>27.5</v>
      </c>
      <c r="H177" s="109">
        <f t="shared" si="6"/>
        <v>27.5</v>
      </c>
      <c r="I177" s="119"/>
      <c r="J177" s="119">
        <v>0</v>
      </c>
      <c r="K177" s="119">
        <f t="shared" si="7"/>
        <v>27.5</v>
      </c>
      <c r="L177" s="152">
        <f t="shared" si="8"/>
        <v>23.75</v>
      </c>
      <c r="M177" s="113"/>
    </row>
    <row r="178" spans="1:13" x14ac:dyDescent="0.2">
      <c r="A178" s="106" t="s">
        <v>6302</v>
      </c>
      <c r="B178" s="272" t="s">
        <v>3909</v>
      </c>
      <c r="C178" s="105" t="s">
        <v>6437</v>
      </c>
      <c r="D178" s="149" t="s">
        <v>3911</v>
      </c>
      <c r="E178" s="105">
        <v>1</v>
      </c>
      <c r="F178" s="133">
        <v>7.06</v>
      </c>
      <c r="G178" s="133">
        <v>8.25</v>
      </c>
      <c r="H178" s="109">
        <f t="shared" si="6"/>
        <v>8.25</v>
      </c>
      <c r="I178" s="119"/>
      <c r="J178" s="119">
        <v>0</v>
      </c>
      <c r="K178" s="119">
        <f t="shared" si="7"/>
        <v>8.25</v>
      </c>
      <c r="L178" s="152">
        <f t="shared" si="8"/>
        <v>7.06</v>
      </c>
      <c r="M178" s="113"/>
    </row>
    <row r="179" spans="1:13" x14ac:dyDescent="0.2">
      <c r="A179" s="106" t="s">
        <v>6303</v>
      </c>
      <c r="B179" s="272" t="s">
        <v>2848</v>
      </c>
      <c r="C179" s="105" t="s">
        <v>6438</v>
      </c>
      <c r="D179" s="149" t="s">
        <v>2850</v>
      </c>
      <c r="E179" s="105">
        <v>1</v>
      </c>
      <c r="F179" s="133">
        <v>16.55</v>
      </c>
      <c r="G179" s="133">
        <v>19.25</v>
      </c>
      <c r="H179" s="109">
        <f t="shared" si="6"/>
        <v>19.25</v>
      </c>
      <c r="I179" s="119"/>
      <c r="J179" s="119">
        <v>0</v>
      </c>
      <c r="K179" s="119">
        <f t="shared" si="7"/>
        <v>19.25</v>
      </c>
      <c r="L179" s="152">
        <f t="shared" si="8"/>
        <v>16.55</v>
      </c>
      <c r="M179" s="113"/>
    </row>
    <row r="180" spans="1:13" x14ac:dyDescent="0.2">
      <c r="A180" s="106" t="s">
        <v>6303</v>
      </c>
      <c r="B180" s="272" t="s">
        <v>2742</v>
      </c>
      <c r="C180" s="105" t="s">
        <v>6439</v>
      </c>
      <c r="D180" s="149" t="s">
        <v>2743</v>
      </c>
      <c r="E180" s="105">
        <v>1</v>
      </c>
      <c r="F180" s="133">
        <v>16.03</v>
      </c>
      <c r="G180" s="133">
        <v>18.5</v>
      </c>
      <c r="H180" s="109">
        <f t="shared" si="6"/>
        <v>18.5</v>
      </c>
      <c r="I180" s="119"/>
      <c r="J180" s="119">
        <v>0</v>
      </c>
      <c r="K180" s="119">
        <f t="shared" si="7"/>
        <v>18.5</v>
      </c>
      <c r="L180" s="152">
        <f t="shared" si="8"/>
        <v>16.03</v>
      </c>
      <c r="M180" s="113"/>
    </row>
    <row r="181" spans="1:13" x14ac:dyDescent="0.2">
      <c r="A181" s="106" t="s">
        <v>6303</v>
      </c>
      <c r="B181" s="272" t="s">
        <v>5873</v>
      </c>
      <c r="C181" s="105" t="s">
        <v>6439</v>
      </c>
      <c r="D181" s="149" t="s">
        <v>5966</v>
      </c>
      <c r="E181" s="105">
        <v>1</v>
      </c>
      <c r="F181" s="133">
        <v>35.35</v>
      </c>
      <c r="G181" s="133">
        <v>40.75</v>
      </c>
      <c r="H181" s="109">
        <f t="shared" si="6"/>
        <v>40.75</v>
      </c>
      <c r="I181" s="119"/>
      <c r="J181" s="119">
        <v>0</v>
      </c>
      <c r="K181" s="119">
        <f t="shared" si="7"/>
        <v>40.75</v>
      </c>
      <c r="L181" s="152">
        <f t="shared" si="8"/>
        <v>35.35</v>
      </c>
      <c r="M181" s="113"/>
    </row>
    <row r="182" spans="1:13" x14ac:dyDescent="0.2">
      <c r="A182" s="106" t="s">
        <v>6303</v>
      </c>
      <c r="B182" s="272" t="s">
        <v>3842</v>
      </c>
      <c r="C182" s="105" t="s">
        <v>6440</v>
      </c>
      <c r="D182" s="149" t="s">
        <v>3844</v>
      </c>
      <c r="E182" s="105">
        <v>1</v>
      </c>
      <c r="F182" s="133">
        <v>41.83</v>
      </c>
      <c r="G182" s="133">
        <v>48.25</v>
      </c>
      <c r="H182" s="109">
        <f t="shared" si="6"/>
        <v>48.25</v>
      </c>
      <c r="I182" s="119"/>
      <c r="J182" s="119">
        <v>0</v>
      </c>
      <c r="K182" s="119">
        <f t="shared" si="7"/>
        <v>48.25</v>
      </c>
      <c r="L182" s="152">
        <f t="shared" si="8"/>
        <v>41.83</v>
      </c>
      <c r="M182" s="113"/>
    </row>
    <row r="183" spans="1:13" x14ac:dyDescent="0.2">
      <c r="A183" s="106" t="s">
        <v>6303</v>
      </c>
      <c r="B183" s="272" t="s">
        <v>2115</v>
      </c>
      <c r="C183" s="105" t="s">
        <v>6440</v>
      </c>
      <c r="D183" s="149" t="s">
        <v>2117</v>
      </c>
      <c r="E183" s="105">
        <v>1</v>
      </c>
      <c r="F183" s="133">
        <v>84.8</v>
      </c>
      <c r="G183" s="133">
        <v>94</v>
      </c>
      <c r="H183" s="109">
        <f t="shared" si="6"/>
        <v>94</v>
      </c>
      <c r="I183" s="119"/>
      <c r="J183" s="119">
        <v>0</v>
      </c>
      <c r="K183" s="119">
        <f t="shared" si="7"/>
        <v>94</v>
      </c>
      <c r="L183" s="152">
        <f t="shared" si="8"/>
        <v>84.8</v>
      </c>
      <c r="M183" s="113"/>
    </row>
    <row r="184" spans="1:13" x14ac:dyDescent="0.2">
      <c r="A184" s="106" t="s">
        <v>6303</v>
      </c>
      <c r="B184" s="272" t="s">
        <v>2453</v>
      </c>
      <c r="C184" s="105" t="s">
        <v>6440</v>
      </c>
      <c r="D184" s="149" t="s">
        <v>2454</v>
      </c>
      <c r="E184" s="105">
        <v>1</v>
      </c>
      <c r="F184" s="133">
        <v>57.4</v>
      </c>
      <c r="G184" s="133">
        <v>66</v>
      </c>
      <c r="H184" s="109">
        <f t="shared" si="6"/>
        <v>66</v>
      </c>
      <c r="I184" s="119"/>
      <c r="J184" s="119">
        <v>0</v>
      </c>
      <c r="K184" s="119">
        <f t="shared" si="7"/>
        <v>66</v>
      </c>
      <c r="L184" s="152">
        <f t="shared" si="8"/>
        <v>57.4</v>
      </c>
      <c r="M184" s="113"/>
    </row>
    <row r="185" spans="1:13" x14ac:dyDescent="0.2">
      <c r="A185" s="106" t="s">
        <v>6303</v>
      </c>
      <c r="B185" s="272" t="s">
        <v>1865</v>
      </c>
      <c r="C185" s="105" t="s">
        <v>6441</v>
      </c>
      <c r="D185" s="149" t="s">
        <v>1866</v>
      </c>
      <c r="E185" s="105">
        <v>1</v>
      </c>
      <c r="F185" s="133">
        <v>300</v>
      </c>
      <c r="G185" s="133">
        <v>450</v>
      </c>
      <c r="H185" s="109">
        <f t="shared" si="6"/>
        <v>450</v>
      </c>
      <c r="I185" s="119"/>
      <c r="J185" s="119">
        <v>0</v>
      </c>
      <c r="K185" s="119">
        <f t="shared" si="7"/>
        <v>450</v>
      </c>
      <c r="L185" s="152">
        <f t="shared" si="8"/>
        <v>300</v>
      </c>
      <c r="M185" s="113"/>
    </row>
    <row r="186" spans="1:13" x14ac:dyDescent="0.2">
      <c r="A186" s="106" t="s">
        <v>6303</v>
      </c>
      <c r="B186" s="272" t="s">
        <v>4806</v>
      </c>
      <c r="C186" s="105" t="s">
        <v>6442</v>
      </c>
      <c r="D186" s="149" t="s">
        <v>4874</v>
      </c>
      <c r="E186" s="105">
        <v>12</v>
      </c>
      <c r="F186" s="133">
        <v>8.58</v>
      </c>
      <c r="G186" s="133">
        <v>10</v>
      </c>
      <c r="H186" s="109">
        <f t="shared" si="6"/>
        <v>120</v>
      </c>
      <c r="I186" s="119"/>
      <c r="J186" s="119">
        <v>0</v>
      </c>
      <c r="K186" s="119">
        <f t="shared" si="7"/>
        <v>120</v>
      </c>
      <c r="L186" s="152">
        <f t="shared" si="8"/>
        <v>102.96000000000001</v>
      </c>
      <c r="M186" s="113"/>
    </row>
    <row r="187" spans="1:13" x14ac:dyDescent="0.2">
      <c r="A187" s="106" t="s">
        <v>6303</v>
      </c>
      <c r="B187" s="272" t="s">
        <v>2094</v>
      </c>
      <c r="C187" s="105" t="s">
        <v>6442</v>
      </c>
      <c r="D187" s="149" t="s">
        <v>2096</v>
      </c>
      <c r="E187" s="105">
        <v>12</v>
      </c>
      <c r="F187" s="133">
        <v>12.56</v>
      </c>
      <c r="G187" s="133">
        <v>14.5</v>
      </c>
      <c r="H187" s="109">
        <f t="shared" si="6"/>
        <v>174</v>
      </c>
      <c r="I187" s="119"/>
      <c r="J187" s="119">
        <v>0</v>
      </c>
      <c r="K187" s="119">
        <f t="shared" si="7"/>
        <v>174</v>
      </c>
      <c r="L187" s="152">
        <f t="shared" si="8"/>
        <v>150.72</v>
      </c>
      <c r="M187" s="113"/>
    </row>
    <row r="188" spans="1:13" x14ac:dyDescent="0.2">
      <c r="A188" s="106" t="s">
        <v>6303</v>
      </c>
      <c r="B188" s="272" t="s">
        <v>2002</v>
      </c>
      <c r="C188" s="105" t="s">
        <v>6442</v>
      </c>
      <c r="D188" s="149" t="s">
        <v>2004</v>
      </c>
      <c r="E188" s="105">
        <v>12</v>
      </c>
      <c r="F188" s="133">
        <v>12.56</v>
      </c>
      <c r="G188" s="133">
        <v>14.25</v>
      </c>
      <c r="H188" s="109">
        <f t="shared" si="6"/>
        <v>171</v>
      </c>
      <c r="I188" s="119"/>
      <c r="J188" s="119">
        <v>0</v>
      </c>
      <c r="K188" s="119">
        <f t="shared" si="7"/>
        <v>171</v>
      </c>
      <c r="L188" s="152">
        <f t="shared" si="8"/>
        <v>150.72</v>
      </c>
      <c r="M188" s="113"/>
    </row>
    <row r="189" spans="1:13" x14ac:dyDescent="0.2">
      <c r="A189" s="106" t="s">
        <v>6303</v>
      </c>
      <c r="B189" s="272" t="s">
        <v>2278</v>
      </c>
      <c r="C189" s="105" t="s">
        <v>6442</v>
      </c>
      <c r="D189" s="149" t="s">
        <v>2280</v>
      </c>
      <c r="E189" s="105">
        <v>1</v>
      </c>
      <c r="F189" s="133">
        <v>144.31</v>
      </c>
      <c r="G189" s="133">
        <v>166</v>
      </c>
      <c r="H189" s="109">
        <f t="shared" si="6"/>
        <v>166</v>
      </c>
      <c r="I189" s="119"/>
      <c r="J189" s="119">
        <v>0</v>
      </c>
      <c r="K189" s="119">
        <f t="shared" si="7"/>
        <v>166</v>
      </c>
      <c r="L189" s="152">
        <f t="shared" si="8"/>
        <v>144.31</v>
      </c>
      <c r="M189" s="113"/>
    </row>
    <row r="190" spans="1:13" x14ac:dyDescent="0.2">
      <c r="A190" s="106" t="s">
        <v>6303</v>
      </c>
      <c r="B190" s="272" t="s">
        <v>3690</v>
      </c>
      <c r="C190" s="105" t="s">
        <v>6442</v>
      </c>
      <c r="D190" s="149" t="s">
        <v>3691</v>
      </c>
      <c r="E190" s="105">
        <v>1</v>
      </c>
      <c r="F190" s="133">
        <v>53.64</v>
      </c>
      <c r="G190" s="133">
        <v>61.75</v>
      </c>
      <c r="H190" s="109">
        <f t="shared" si="6"/>
        <v>61.75</v>
      </c>
      <c r="I190" s="119"/>
      <c r="J190" s="119">
        <v>0</v>
      </c>
      <c r="K190" s="119">
        <f t="shared" si="7"/>
        <v>61.75</v>
      </c>
      <c r="L190" s="152">
        <f t="shared" si="8"/>
        <v>53.64</v>
      </c>
      <c r="M190" s="113"/>
    </row>
    <row r="191" spans="1:13" x14ac:dyDescent="0.2">
      <c r="A191" s="106" t="s">
        <v>6303</v>
      </c>
      <c r="B191" s="272" t="s">
        <v>2002</v>
      </c>
      <c r="C191" s="105" t="s">
        <v>6443</v>
      </c>
      <c r="D191" s="149" t="s">
        <v>2004</v>
      </c>
      <c r="E191" s="105">
        <v>1</v>
      </c>
      <c r="F191" s="133">
        <v>12.56</v>
      </c>
      <c r="G191" s="133">
        <v>14.25</v>
      </c>
      <c r="H191" s="109">
        <f t="shared" si="6"/>
        <v>14.25</v>
      </c>
      <c r="I191" s="119"/>
      <c r="J191" s="119">
        <v>0</v>
      </c>
      <c r="K191" s="119">
        <f t="shared" si="7"/>
        <v>14.25</v>
      </c>
      <c r="L191" s="152">
        <f t="shared" si="8"/>
        <v>12.56</v>
      </c>
      <c r="M191" s="113"/>
    </row>
    <row r="192" spans="1:13" x14ac:dyDescent="0.2">
      <c r="A192" s="106" t="s">
        <v>6303</v>
      </c>
      <c r="B192" s="272" t="s">
        <v>5698</v>
      </c>
      <c r="C192" s="105" t="s">
        <v>6444</v>
      </c>
      <c r="D192" s="149" t="s">
        <v>5836</v>
      </c>
      <c r="E192" s="105">
        <v>50</v>
      </c>
      <c r="F192" s="133">
        <v>3.81</v>
      </c>
      <c r="G192" s="133">
        <v>4.75</v>
      </c>
      <c r="H192" s="109">
        <f t="shared" si="6"/>
        <v>237.5</v>
      </c>
      <c r="I192" s="119"/>
      <c r="J192" s="119">
        <v>0</v>
      </c>
      <c r="K192" s="119">
        <f t="shared" si="7"/>
        <v>237.5</v>
      </c>
      <c r="L192" s="152">
        <f t="shared" si="8"/>
        <v>190.5</v>
      </c>
      <c r="M192" s="113"/>
    </row>
    <row r="193" spans="1:13" x14ac:dyDescent="0.2">
      <c r="A193" s="106" t="s">
        <v>6303</v>
      </c>
      <c r="B193" s="272" t="s">
        <v>3765</v>
      </c>
      <c r="C193" s="105" t="s">
        <v>6444</v>
      </c>
      <c r="D193" s="149" t="s">
        <v>3766</v>
      </c>
      <c r="E193" s="105">
        <v>2</v>
      </c>
      <c r="F193" s="133">
        <v>68.569999999999993</v>
      </c>
      <c r="G193" s="133">
        <v>79</v>
      </c>
      <c r="H193" s="109">
        <f t="shared" si="6"/>
        <v>158</v>
      </c>
      <c r="I193" s="119"/>
      <c r="J193" s="119">
        <v>0</v>
      </c>
      <c r="K193" s="119">
        <f t="shared" si="7"/>
        <v>158</v>
      </c>
      <c r="L193" s="152">
        <f t="shared" si="8"/>
        <v>137.13999999999999</v>
      </c>
      <c r="M193" s="113"/>
    </row>
    <row r="194" spans="1:13" x14ac:dyDescent="0.2">
      <c r="A194" s="106" t="s">
        <v>6303</v>
      </c>
      <c r="B194" s="272" t="s">
        <v>2301</v>
      </c>
      <c r="C194" s="105" t="s">
        <v>6444</v>
      </c>
      <c r="D194" s="149" t="s">
        <v>2302</v>
      </c>
      <c r="E194" s="105">
        <v>2</v>
      </c>
      <c r="F194" s="133">
        <v>132.80000000000001</v>
      </c>
      <c r="G194" s="133">
        <v>152.75</v>
      </c>
      <c r="H194" s="109">
        <f t="shared" si="6"/>
        <v>305.5</v>
      </c>
      <c r="I194" s="119"/>
      <c r="J194" s="119">
        <v>0</v>
      </c>
      <c r="K194" s="119">
        <f t="shared" si="7"/>
        <v>305.5</v>
      </c>
      <c r="L194" s="152">
        <f t="shared" si="8"/>
        <v>265.60000000000002</v>
      </c>
      <c r="M194" s="113"/>
    </row>
    <row r="195" spans="1:13" x14ac:dyDescent="0.2">
      <c r="A195" s="106" t="s">
        <v>6303</v>
      </c>
      <c r="B195" s="272" t="s">
        <v>6316</v>
      </c>
      <c r="C195" s="105" t="s">
        <v>6444</v>
      </c>
      <c r="D195" s="149" t="s">
        <v>6657</v>
      </c>
      <c r="E195" s="105">
        <v>50</v>
      </c>
      <c r="F195" s="133">
        <v>2.1800000000000002</v>
      </c>
      <c r="G195" s="133">
        <v>2.75</v>
      </c>
      <c r="H195" s="109">
        <f t="shared" si="6"/>
        <v>137.5</v>
      </c>
      <c r="I195" s="119"/>
      <c r="J195" s="119">
        <v>0</v>
      </c>
      <c r="K195" s="119">
        <f t="shared" si="7"/>
        <v>137.5</v>
      </c>
      <c r="L195" s="152">
        <f t="shared" si="8"/>
        <v>109.00000000000001</v>
      </c>
      <c r="M195" s="113"/>
    </row>
    <row r="196" spans="1:13" x14ac:dyDescent="0.2">
      <c r="A196" s="106" t="s">
        <v>6303</v>
      </c>
      <c r="B196" s="272" t="s">
        <v>3112</v>
      </c>
      <c r="C196" s="105" t="s">
        <v>6445</v>
      </c>
      <c r="D196" s="149" t="s">
        <v>3113</v>
      </c>
      <c r="E196" s="105">
        <v>1</v>
      </c>
      <c r="F196" s="133">
        <v>109.57</v>
      </c>
      <c r="G196" s="133">
        <v>136.5</v>
      </c>
      <c r="H196" s="109">
        <f t="shared" si="6"/>
        <v>136.5</v>
      </c>
      <c r="I196" s="119"/>
      <c r="J196" s="119">
        <v>0</v>
      </c>
      <c r="K196" s="119">
        <f t="shared" si="7"/>
        <v>136.5</v>
      </c>
      <c r="L196" s="152">
        <f t="shared" si="8"/>
        <v>109.57</v>
      </c>
      <c r="M196" s="113"/>
    </row>
    <row r="197" spans="1:13" x14ac:dyDescent="0.2">
      <c r="A197" s="106" t="s">
        <v>6303</v>
      </c>
      <c r="B197" s="272" t="s">
        <v>1920</v>
      </c>
      <c r="C197" s="105" t="s">
        <v>6446</v>
      </c>
      <c r="D197" s="149" t="s">
        <v>1921</v>
      </c>
      <c r="E197" s="105">
        <v>1</v>
      </c>
      <c r="F197" s="133">
        <v>13.32</v>
      </c>
      <c r="G197" s="133">
        <v>15.5</v>
      </c>
      <c r="H197" s="109">
        <f t="shared" si="6"/>
        <v>15.5</v>
      </c>
      <c r="I197" s="119"/>
      <c r="J197" s="119">
        <v>0</v>
      </c>
      <c r="K197" s="119">
        <f t="shared" si="7"/>
        <v>15.5</v>
      </c>
      <c r="L197" s="152">
        <f t="shared" si="8"/>
        <v>13.32</v>
      </c>
      <c r="M197" s="113"/>
    </row>
    <row r="198" spans="1:13" x14ac:dyDescent="0.2">
      <c r="A198" s="106" t="s">
        <v>6303</v>
      </c>
      <c r="B198" s="272" t="s">
        <v>2271</v>
      </c>
      <c r="C198" s="105" t="s">
        <v>6447</v>
      </c>
      <c r="D198" s="149" t="s">
        <v>2273</v>
      </c>
      <c r="E198" s="105">
        <v>1</v>
      </c>
      <c r="F198" s="133">
        <v>16.03</v>
      </c>
      <c r="G198" s="133">
        <v>18.5</v>
      </c>
      <c r="H198" s="109">
        <f t="shared" ref="H198:H261" si="9">E198*G198</f>
        <v>18.5</v>
      </c>
      <c r="I198" s="119"/>
      <c r="J198" s="119">
        <v>0</v>
      </c>
      <c r="K198" s="119">
        <f t="shared" ref="K198:K261" si="10">H198+I198-J198</f>
        <v>18.5</v>
      </c>
      <c r="L198" s="152">
        <f t="shared" si="8"/>
        <v>16.03</v>
      </c>
      <c r="M198" s="113"/>
    </row>
    <row r="199" spans="1:13" x14ac:dyDescent="0.2">
      <c r="A199" s="106" t="s">
        <v>6303</v>
      </c>
      <c r="B199" s="272" t="s">
        <v>4806</v>
      </c>
      <c r="C199" s="105" t="s">
        <v>6448</v>
      </c>
      <c r="D199" s="149" t="s">
        <v>4874</v>
      </c>
      <c r="E199" s="105">
        <v>1</v>
      </c>
      <c r="F199" s="133">
        <v>8.58</v>
      </c>
      <c r="G199" s="133">
        <v>10</v>
      </c>
      <c r="H199" s="109">
        <f t="shared" si="9"/>
        <v>10</v>
      </c>
      <c r="I199" s="119"/>
      <c r="J199" s="119">
        <v>0</v>
      </c>
      <c r="K199" s="119">
        <f t="shared" si="10"/>
        <v>10</v>
      </c>
      <c r="L199" s="152">
        <f t="shared" ref="L199:L262" si="11">E199*F199</f>
        <v>8.58</v>
      </c>
      <c r="M199" s="113"/>
    </row>
    <row r="200" spans="1:13" x14ac:dyDescent="0.2">
      <c r="A200" s="106" t="s">
        <v>6303</v>
      </c>
      <c r="B200" s="272" t="s">
        <v>3413</v>
      </c>
      <c r="C200" s="105" t="s">
        <v>6449</v>
      </c>
      <c r="D200" s="149" t="s">
        <v>3414</v>
      </c>
      <c r="E200" s="105">
        <v>1</v>
      </c>
      <c r="F200" s="133">
        <v>33.1</v>
      </c>
      <c r="G200" s="133">
        <v>38.25</v>
      </c>
      <c r="H200" s="109">
        <f t="shared" si="9"/>
        <v>38.25</v>
      </c>
      <c r="I200" s="119"/>
      <c r="J200" s="119">
        <v>0</v>
      </c>
      <c r="K200" s="119">
        <f t="shared" si="10"/>
        <v>38.25</v>
      </c>
      <c r="L200" s="152">
        <f t="shared" si="11"/>
        <v>33.1</v>
      </c>
      <c r="M200" s="113"/>
    </row>
    <row r="201" spans="1:13" x14ac:dyDescent="0.2">
      <c r="A201" s="106" t="s">
        <v>6303</v>
      </c>
      <c r="B201" s="272" t="s">
        <v>1826</v>
      </c>
      <c r="C201" s="105" t="s">
        <v>6450</v>
      </c>
      <c r="D201" s="149" t="s">
        <v>1827</v>
      </c>
      <c r="E201" s="105">
        <v>3</v>
      </c>
      <c r="F201" s="133">
        <v>90</v>
      </c>
      <c r="G201" s="133">
        <v>120</v>
      </c>
      <c r="H201" s="109">
        <f t="shared" si="9"/>
        <v>360</v>
      </c>
      <c r="I201" s="119"/>
      <c r="J201" s="119">
        <v>0</v>
      </c>
      <c r="K201" s="119">
        <f t="shared" si="10"/>
        <v>360</v>
      </c>
      <c r="L201" s="152">
        <f t="shared" si="11"/>
        <v>270</v>
      </c>
      <c r="M201" s="113"/>
    </row>
    <row r="202" spans="1:13" x14ac:dyDescent="0.2">
      <c r="A202" s="106" t="s">
        <v>6303</v>
      </c>
      <c r="B202" s="272" t="s">
        <v>6317</v>
      </c>
      <c r="C202" s="105" t="s">
        <v>6451</v>
      </c>
      <c r="D202" s="149" t="s">
        <v>6658</v>
      </c>
      <c r="E202" s="105">
        <v>1</v>
      </c>
      <c r="F202" s="133">
        <v>802.62</v>
      </c>
      <c r="G202" s="133">
        <v>923.25</v>
      </c>
      <c r="H202" s="109">
        <f t="shared" si="9"/>
        <v>923.25</v>
      </c>
      <c r="I202" s="119"/>
      <c r="J202" s="119">
        <v>0.25</v>
      </c>
      <c r="K202" s="119">
        <f t="shared" si="10"/>
        <v>923</v>
      </c>
      <c r="L202" s="152">
        <f t="shared" si="11"/>
        <v>802.62</v>
      </c>
      <c r="M202" s="113"/>
    </row>
    <row r="203" spans="1:13" x14ac:dyDescent="0.2">
      <c r="A203" s="106" t="s">
        <v>6303</v>
      </c>
      <c r="B203" s="272" t="s">
        <v>4567</v>
      </c>
      <c r="C203" s="105" t="s">
        <v>6452</v>
      </c>
      <c r="D203" s="149" t="s">
        <v>4672</v>
      </c>
      <c r="E203" s="105">
        <v>1</v>
      </c>
      <c r="F203" s="133">
        <v>7.06</v>
      </c>
      <c r="G203" s="133">
        <v>8.25</v>
      </c>
      <c r="H203" s="109">
        <f t="shared" si="9"/>
        <v>8.25</v>
      </c>
      <c r="I203" s="119"/>
      <c r="J203" s="119">
        <v>0</v>
      </c>
      <c r="K203" s="119">
        <f t="shared" si="10"/>
        <v>8.25</v>
      </c>
      <c r="L203" s="152">
        <f t="shared" si="11"/>
        <v>7.06</v>
      </c>
      <c r="M203" s="113"/>
    </row>
    <row r="204" spans="1:13" x14ac:dyDescent="0.2">
      <c r="A204" s="106" t="s">
        <v>6303</v>
      </c>
      <c r="B204" s="272" t="s">
        <v>2895</v>
      </c>
      <c r="C204" s="105" t="s">
        <v>6453</v>
      </c>
      <c r="D204" s="149" t="s">
        <v>2897</v>
      </c>
      <c r="E204" s="105">
        <v>1</v>
      </c>
      <c r="F204" s="133">
        <v>9.17</v>
      </c>
      <c r="G204" s="133">
        <v>10.75</v>
      </c>
      <c r="H204" s="109">
        <f t="shared" si="9"/>
        <v>10.75</v>
      </c>
      <c r="I204" s="119"/>
      <c r="J204" s="119">
        <v>0</v>
      </c>
      <c r="K204" s="119">
        <f t="shared" si="10"/>
        <v>10.75</v>
      </c>
      <c r="L204" s="152">
        <f t="shared" si="11"/>
        <v>9.17</v>
      </c>
      <c r="M204" s="113"/>
    </row>
    <row r="205" spans="1:13" x14ac:dyDescent="0.2">
      <c r="A205" s="106" t="s">
        <v>6303</v>
      </c>
      <c r="B205" s="272" t="s">
        <v>2240</v>
      </c>
      <c r="C205" s="105" t="s">
        <v>6454</v>
      </c>
      <c r="D205" s="149" t="s">
        <v>2241</v>
      </c>
      <c r="E205" s="105">
        <v>1</v>
      </c>
      <c r="F205" s="133">
        <v>18.649999999999999</v>
      </c>
      <c r="G205" s="133">
        <v>21.5</v>
      </c>
      <c r="H205" s="109">
        <f t="shared" si="9"/>
        <v>21.5</v>
      </c>
      <c r="I205" s="119"/>
      <c r="J205" s="119">
        <v>0</v>
      </c>
      <c r="K205" s="119">
        <f t="shared" si="10"/>
        <v>21.5</v>
      </c>
      <c r="L205" s="152">
        <f t="shared" si="11"/>
        <v>18.649999999999999</v>
      </c>
      <c r="M205" s="113"/>
    </row>
    <row r="206" spans="1:13" x14ac:dyDescent="0.2">
      <c r="A206" s="106" t="s">
        <v>6303</v>
      </c>
      <c r="B206" s="272" t="s">
        <v>2082</v>
      </c>
      <c r="C206" s="105" t="s">
        <v>6455</v>
      </c>
      <c r="D206" s="149" t="s">
        <v>2083</v>
      </c>
      <c r="E206" s="105">
        <v>1</v>
      </c>
      <c r="F206" s="133">
        <v>10.95</v>
      </c>
      <c r="G206" s="133">
        <v>12.75</v>
      </c>
      <c r="H206" s="109">
        <f t="shared" si="9"/>
        <v>12.75</v>
      </c>
      <c r="I206" s="119"/>
      <c r="J206" s="119">
        <v>0</v>
      </c>
      <c r="K206" s="119">
        <f t="shared" si="10"/>
        <v>12.75</v>
      </c>
      <c r="L206" s="152">
        <f t="shared" si="11"/>
        <v>10.95</v>
      </c>
      <c r="M206" s="113"/>
    </row>
    <row r="207" spans="1:13" x14ac:dyDescent="0.2">
      <c r="A207" s="106" t="s">
        <v>6303</v>
      </c>
      <c r="B207" s="272" t="s">
        <v>3909</v>
      </c>
      <c r="C207" s="105" t="s">
        <v>6456</v>
      </c>
      <c r="D207" s="149" t="s">
        <v>3911</v>
      </c>
      <c r="E207" s="105">
        <v>1</v>
      </c>
      <c r="F207" s="133">
        <v>7.06</v>
      </c>
      <c r="G207" s="133">
        <v>8.25</v>
      </c>
      <c r="H207" s="109">
        <f t="shared" si="9"/>
        <v>8.25</v>
      </c>
      <c r="I207" s="119"/>
      <c r="J207" s="119">
        <v>0</v>
      </c>
      <c r="K207" s="119">
        <f t="shared" si="10"/>
        <v>8.25</v>
      </c>
      <c r="L207" s="152">
        <f t="shared" si="11"/>
        <v>7.06</v>
      </c>
      <c r="M207" s="113"/>
    </row>
    <row r="208" spans="1:13" x14ac:dyDescent="0.2">
      <c r="A208" s="106" t="s">
        <v>6303</v>
      </c>
      <c r="B208" s="272" t="s">
        <v>3352</v>
      </c>
      <c r="C208" s="105" t="s">
        <v>6457</v>
      </c>
      <c r="D208" s="149" t="s">
        <v>3353</v>
      </c>
      <c r="E208" s="105">
        <v>4</v>
      </c>
      <c r="F208" s="133">
        <v>6.35</v>
      </c>
      <c r="G208" s="133">
        <v>7.5</v>
      </c>
      <c r="H208" s="109">
        <f t="shared" si="9"/>
        <v>30</v>
      </c>
      <c r="I208" s="119"/>
      <c r="J208" s="119">
        <v>0</v>
      </c>
      <c r="K208" s="119">
        <f t="shared" si="10"/>
        <v>30</v>
      </c>
      <c r="L208" s="152">
        <f t="shared" si="11"/>
        <v>25.4</v>
      </c>
      <c r="M208" s="113"/>
    </row>
    <row r="209" spans="1:13" x14ac:dyDescent="0.2">
      <c r="A209" s="106" t="s">
        <v>6303</v>
      </c>
      <c r="B209" s="272" t="s">
        <v>3676</v>
      </c>
      <c r="C209" s="105" t="s">
        <v>6457</v>
      </c>
      <c r="D209" s="149" t="s">
        <v>3677</v>
      </c>
      <c r="E209" s="105">
        <v>2</v>
      </c>
      <c r="F209" s="133">
        <v>38.25</v>
      </c>
      <c r="G209" s="133">
        <v>44</v>
      </c>
      <c r="H209" s="109">
        <f t="shared" si="9"/>
        <v>88</v>
      </c>
      <c r="I209" s="119"/>
      <c r="J209" s="119">
        <v>0</v>
      </c>
      <c r="K209" s="119">
        <f t="shared" si="10"/>
        <v>88</v>
      </c>
      <c r="L209" s="152">
        <f t="shared" si="11"/>
        <v>76.5</v>
      </c>
      <c r="M209" s="113"/>
    </row>
    <row r="210" spans="1:13" x14ac:dyDescent="0.2">
      <c r="A210" s="106" t="s">
        <v>6303</v>
      </c>
      <c r="B210" s="272" t="s">
        <v>2031</v>
      </c>
      <c r="C210" s="105" t="s">
        <v>6458</v>
      </c>
      <c r="D210" s="149" t="s">
        <v>2033</v>
      </c>
      <c r="E210" s="105">
        <v>17</v>
      </c>
      <c r="F210" s="133">
        <v>20.399999999999999</v>
      </c>
      <c r="G210" s="133">
        <v>24</v>
      </c>
      <c r="H210" s="109">
        <f t="shared" si="9"/>
        <v>408</v>
      </c>
      <c r="I210" s="119"/>
      <c r="J210" s="119">
        <v>0</v>
      </c>
      <c r="K210" s="119">
        <f t="shared" si="10"/>
        <v>408</v>
      </c>
      <c r="L210" s="152">
        <f t="shared" si="11"/>
        <v>346.79999999999995</v>
      </c>
      <c r="M210" s="113"/>
    </row>
    <row r="211" spans="1:13" x14ac:dyDescent="0.2">
      <c r="A211" s="106" t="s">
        <v>6303</v>
      </c>
      <c r="B211" s="272" t="s">
        <v>3195</v>
      </c>
      <c r="C211" s="105" t="s">
        <v>6458</v>
      </c>
      <c r="D211" s="149" t="s">
        <v>3196</v>
      </c>
      <c r="E211" s="105">
        <v>1</v>
      </c>
      <c r="F211" s="133">
        <v>64.58</v>
      </c>
      <c r="G211" s="133">
        <v>74.5</v>
      </c>
      <c r="H211" s="109">
        <f t="shared" si="9"/>
        <v>74.5</v>
      </c>
      <c r="I211" s="119"/>
      <c r="J211" s="119">
        <v>0</v>
      </c>
      <c r="K211" s="119">
        <f t="shared" si="10"/>
        <v>74.5</v>
      </c>
      <c r="L211" s="152">
        <f t="shared" si="11"/>
        <v>64.58</v>
      </c>
      <c r="M211" s="113"/>
    </row>
    <row r="212" spans="1:13" x14ac:dyDescent="0.2">
      <c r="A212" s="106" t="s">
        <v>6303</v>
      </c>
      <c r="B212" s="272" t="s">
        <v>3374</v>
      </c>
      <c r="C212" s="105" t="s">
        <v>6459</v>
      </c>
      <c r="D212" s="149" t="s">
        <v>3376</v>
      </c>
      <c r="E212" s="105">
        <v>1</v>
      </c>
      <c r="F212" s="133">
        <v>49.2</v>
      </c>
      <c r="G212" s="133">
        <v>60</v>
      </c>
      <c r="H212" s="109">
        <f t="shared" si="9"/>
        <v>60</v>
      </c>
      <c r="I212" s="119"/>
      <c r="J212" s="119">
        <v>0</v>
      </c>
      <c r="K212" s="119">
        <f t="shared" si="10"/>
        <v>60</v>
      </c>
      <c r="L212" s="152">
        <f t="shared" si="11"/>
        <v>49.2</v>
      </c>
      <c r="M212" s="113"/>
    </row>
    <row r="213" spans="1:13" x14ac:dyDescent="0.2">
      <c r="A213" s="106" t="s">
        <v>6303</v>
      </c>
      <c r="B213" s="272" t="s">
        <v>5687</v>
      </c>
      <c r="C213" s="105" t="s">
        <v>6459</v>
      </c>
      <c r="D213" s="149" t="s">
        <v>5825</v>
      </c>
      <c r="E213" s="105">
        <v>1</v>
      </c>
      <c r="F213" s="133">
        <v>310</v>
      </c>
      <c r="G213" s="133">
        <v>372</v>
      </c>
      <c r="H213" s="109">
        <f t="shared" si="9"/>
        <v>372</v>
      </c>
      <c r="I213" s="119"/>
      <c r="J213" s="119">
        <v>0</v>
      </c>
      <c r="K213" s="119">
        <f t="shared" si="10"/>
        <v>372</v>
      </c>
      <c r="L213" s="152">
        <f t="shared" si="11"/>
        <v>310</v>
      </c>
      <c r="M213" s="113"/>
    </row>
    <row r="214" spans="1:13" x14ac:dyDescent="0.2">
      <c r="A214" s="106" t="s">
        <v>6303</v>
      </c>
      <c r="B214" s="272" t="s">
        <v>2590</v>
      </c>
      <c r="C214" s="105" t="s">
        <v>6459</v>
      </c>
      <c r="D214" s="149" t="s">
        <v>2591</v>
      </c>
      <c r="E214" s="105">
        <v>1</v>
      </c>
      <c r="F214" s="133">
        <v>90.24</v>
      </c>
      <c r="G214" s="133">
        <v>103.75</v>
      </c>
      <c r="H214" s="109">
        <f t="shared" si="9"/>
        <v>103.75</v>
      </c>
      <c r="I214" s="119"/>
      <c r="J214" s="119">
        <v>0</v>
      </c>
      <c r="K214" s="119">
        <f t="shared" si="10"/>
        <v>103.75</v>
      </c>
      <c r="L214" s="152">
        <f t="shared" si="11"/>
        <v>90.24</v>
      </c>
      <c r="M214" s="113"/>
    </row>
    <row r="215" spans="1:13" x14ac:dyDescent="0.2">
      <c r="A215" s="106" t="s">
        <v>6303</v>
      </c>
      <c r="B215" s="272" t="s">
        <v>3195</v>
      </c>
      <c r="C215" s="105" t="s">
        <v>6459</v>
      </c>
      <c r="D215" s="149" t="s">
        <v>3196</v>
      </c>
      <c r="E215" s="105">
        <v>1</v>
      </c>
      <c r="F215" s="133">
        <v>64.58</v>
      </c>
      <c r="G215" s="133">
        <v>74.5</v>
      </c>
      <c r="H215" s="109">
        <f t="shared" si="9"/>
        <v>74.5</v>
      </c>
      <c r="I215" s="119"/>
      <c r="J215" s="119">
        <v>0</v>
      </c>
      <c r="K215" s="119">
        <f t="shared" si="10"/>
        <v>74.5</v>
      </c>
      <c r="L215" s="152">
        <f t="shared" si="11"/>
        <v>64.58</v>
      </c>
      <c r="M215" s="113"/>
    </row>
    <row r="216" spans="1:13" x14ac:dyDescent="0.2">
      <c r="A216" s="106" t="s">
        <v>6303</v>
      </c>
      <c r="B216" s="272" t="s">
        <v>1826</v>
      </c>
      <c r="C216" s="105" t="s">
        <v>6460</v>
      </c>
      <c r="D216" s="149" t="s">
        <v>1827</v>
      </c>
      <c r="E216" s="105">
        <v>1</v>
      </c>
      <c r="F216" s="133">
        <v>90</v>
      </c>
      <c r="G216" s="133">
        <v>120</v>
      </c>
      <c r="H216" s="109">
        <f t="shared" si="9"/>
        <v>120</v>
      </c>
      <c r="I216" s="119"/>
      <c r="J216" s="119">
        <v>0</v>
      </c>
      <c r="K216" s="119">
        <f t="shared" si="10"/>
        <v>120</v>
      </c>
      <c r="L216" s="152">
        <f t="shared" si="11"/>
        <v>90</v>
      </c>
      <c r="M216" s="113"/>
    </row>
    <row r="217" spans="1:13" x14ac:dyDescent="0.2">
      <c r="A217" s="106" t="s">
        <v>6303</v>
      </c>
      <c r="B217" s="272" t="s">
        <v>4520</v>
      </c>
      <c r="C217" s="105" t="s">
        <v>6460</v>
      </c>
      <c r="D217" s="149" t="s">
        <v>4625</v>
      </c>
      <c r="E217" s="105">
        <v>1</v>
      </c>
      <c r="F217" s="133">
        <v>60</v>
      </c>
      <c r="G217" s="133">
        <v>75</v>
      </c>
      <c r="H217" s="109">
        <f t="shared" si="9"/>
        <v>75</v>
      </c>
      <c r="I217" s="119"/>
      <c r="J217" s="119">
        <v>0</v>
      </c>
      <c r="K217" s="119">
        <f t="shared" si="10"/>
        <v>75</v>
      </c>
      <c r="L217" s="152">
        <f t="shared" si="11"/>
        <v>60</v>
      </c>
      <c r="M217" s="113"/>
    </row>
    <row r="218" spans="1:13" x14ac:dyDescent="0.2">
      <c r="A218" s="106" t="s">
        <v>6303</v>
      </c>
      <c r="B218" s="272" t="s">
        <v>2959</v>
      </c>
      <c r="C218" s="105" t="s">
        <v>6461</v>
      </c>
      <c r="D218" s="149" t="s">
        <v>2960</v>
      </c>
      <c r="E218" s="105">
        <v>1</v>
      </c>
      <c r="F218" s="133">
        <v>529.58000000000004</v>
      </c>
      <c r="G218" s="133">
        <v>615</v>
      </c>
      <c r="H218" s="109">
        <f t="shared" si="9"/>
        <v>615</v>
      </c>
      <c r="I218" s="119"/>
      <c r="J218" s="119">
        <v>0</v>
      </c>
      <c r="K218" s="119">
        <f t="shared" si="10"/>
        <v>615</v>
      </c>
      <c r="L218" s="152">
        <f t="shared" si="11"/>
        <v>529.58000000000004</v>
      </c>
      <c r="M218" s="113"/>
    </row>
    <row r="219" spans="1:13" x14ac:dyDescent="0.2">
      <c r="A219" s="106" t="s">
        <v>6303</v>
      </c>
      <c r="B219" s="272" t="s">
        <v>2158</v>
      </c>
      <c r="C219" s="105" t="s">
        <v>6462</v>
      </c>
      <c r="D219" s="149" t="s">
        <v>2160</v>
      </c>
      <c r="E219" s="105">
        <v>6</v>
      </c>
      <c r="F219" s="133">
        <v>56.31</v>
      </c>
      <c r="G219" s="133">
        <v>67.5</v>
      </c>
      <c r="H219" s="109">
        <f t="shared" si="9"/>
        <v>405</v>
      </c>
      <c r="I219" s="119"/>
      <c r="J219" s="119">
        <v>0</v>
      </c>
      <c r="K219" s="119">
        <f t="shared" si="10"/>
        <v>405</v>
      </c>
      <c r="L219" s="152">
        <f t="shared" si="11"/>
        <v>337.86</v>
      </c>
      <c r="M219" s="113"/>
    </row>
    <row r="220" spans="1:13" x14ac:dyDescent="0.2">
      <c r="A220" s="106" t="s">
        <v>6303</v>
      </c>
      <c r="B220" s="272" t="s">
        <v>2476</v>
      </c>
      <c r="C220" s="105" t="s">
        <v>6462</v>
      </c>
      <c r="D220" s="149" t="s">
        <v>2478</v>
      </c>
      <c r="E220" s="105">
        <v>1</v>
      </c>
      <c r="F220" s="133">
        <v>41.25</v>
      </c>
      <c r="G220" s="133">
        <v>48.75</v>
      </c>
      <c r="H220" s="109">
        <f t="shared" si="9"/>
        <v>48.75</v>
      </c>
      <c r="I220" s="119"/>
      <c r="J220" s="119">
        <v>0</v>
      </c>
      <c r="K220" s="119">
        <f t="shared" si="10"/>
        <v>48.75</v>
      </c>
      <c r="L220" s="152">
        <f t="shared" si="11"/>
        <v>41.25</v>
      </c>
      <c r="M220" s="113"/>
    </row>
    <row r="221" spans="1:13" x14ac:dyDescent="0.2">
      <c r="A221" s="106" t="s">
        <v>6303</v>
      </c>
      <c r="B221" s="272" t="s">
        <v>2521</v>
      </c>
      <c r="C221" s="105" t="s">
        <v>6462</v>
      </c>
      <c r="D221" s="149" t="s">
        <v>2522</v>
      </c>
      <c r="E221" s="105">
        <v>12</v>
      </c>
      <c r="F221" s="133">
        <v>6.12</v>
      </c>
      <c r="G221" s="133">
        <v>7.25</v>
      </c>
      <c r="H221" s="109">
        <f t="shared" si="9"/>
        <v>87</v>
      </c>
      <c r="I221" s="119"/>
      <c r="J221" s="119">
        <v>0</v>
      </c>
      <c r="K221" s="119">
        <f t="shared" si="10"/>
        <v>87</v>
      </c>
      <c r="L221" s="152">
        <f t="shared" si="11"/>
        <v>73.44</v>
      </c>
      <c r="M221" s="113"/>
    </row>
    <row r="222" spans="1:13" x14ac:dyDescent="0.2">
      <c r="A222" s="106" t="s">
        <v>6303</v>
      </c>
      <c r="B222" s="272" t="s">
        <v>3180</v>
      </c>
      <c r="C222" s="105" t="s">
        <v>6462</v>
      </c>
      <c r="D222" s="149" t="s">
        <v>3181</v>
      </c>
      <c r="E222" s="105">
        <v>4</v>
      </c>
      <c r="F222" s="133">
        <v>25.8</v>
      </c>
      <c r="G222" s="133">
        <v>29.75</v>
      </c>
      <c r="H222" s="109">
        <f t="shared" si="9"/>
        <v>119</v>
      </c>
      <c r="I222" s="119"/>
      <c r="J222" s="119">
        <v>0</v>
      </c>
      <c r="K222" s="119">
        <f t="shared" si="10"/>
        <v>119</v>
      </c>
      <c r="L222" s="152">
        <f t="shared" si="11"/>
        <v>103.2</v>
      </c>
      <c r="M222" s="113"/>
    </row>
    <row r="223" spans="1:13" x14ac:dyDescent="0.2">
      <c r="A223" s="106" t="s">
        <v>6303</v>
      </c>
      <c r="B223" s="272" t="s">
        <v>3765</v>
      </c>
      <c r="C223" s="105" t="s">
        <v>6462</v>
      </c>
      <c r="D223" s="149" t="s">
        <v>3766</v>
      </c>
      <c r="E223" s="105">
        <v>2</v>
      </c>
      <c r="F223" s="133">
        <v>68.569999999999993</v>
      </c>
      <c r="G223" s="133">
        <v>79</v>
      </c>
      <c r="H223" s="109">
        <f t="shared" si="9"/>
        <v>158</v>
      </c>
      <c r="I223" s="119"/>
      <c r="J223" s="119">
        <v>0</v>
      </c>
      <c r="K223" s="119">
        <f t="shared" si="10"/>
        <v>158</v>
      </c>
      <c r="L223" s="152">
        <f t="shared" si="11"/>
        <v>137.13999999999999</v>
      </c>
      <c r="M223" s="113"/>
    </row>
    <row r="224" spans="1:13" x14ac:dyDescent="0.2">
      <c r="A224" s="106" t="s">
        <v>6303</v>
      </c>
      <c r="B224" s="272" t="s">
        <v>4301</v>
      </c>
      <c r="C224" s="105" t="s">
        <v>6462</v>
      </c>
      <c r="D224" s="149" t="s">
        <v>4302</v>
      </c>
      <c r="E224" s="105">
        <v>2</v>
      </c>
      <c r="F224" s="133">
        <v>38.75</v>
      </c>
      <c r="G224" s="133">
        <v>44.75</v>
      </c>
      <c r="H224" s="109">
        <f t="shared" si="9"/>
        <v>89.5</v>
      </c>
      <c r="I224" s="119"/>
      <c r="J224" s="119">
        <v>0</v>
      </c>
      <c r="K224" s="119">
        <f t="shared" si="10"/>
        <v>89.5</v>
      </c>
      <c r="L224" s="152">
        <f t="shared" si="11"/>
        <v>77.5</v>
      </c>
      <c r="M224" s="113"/>
    </row>
    <row r="225" spans="1:13" x14ac:dyDescent="0.2">
      <c r="A225" s="106" t="s">
        <v>6303</v>
      </c>
      <c r="B225" s="272" t="s">
        <v>4585</v>
      </c>
      <c r="C225" s="105" t="s">
        <v>6462</v>
      </c>
      <c r="D225" s="149" t="s">
        <v>4690</v>
      </c>
      <c r="E225" s="105">
        <v>2</v>
      </c>
      <c r="F225" s="133">
        <v>39.5</v>
      </c>
      <c r="G225" s="133">
        <v>45.5</v>
      </c>
      <c r="H225" s="109">
        <f t="shared" si="9"/>
        <v>91</v>
      </c>
      <c r="I225" s="119"/>
      <c r="J225" s="119">
        <v>0</v>
      </c>
      <c r="K225" s="119">
        <f t="shared" si="10"/>
        <v>91</v>
      </c>
      <c r="L225" s="152">
        <f t="shared" si="11"/>
        <v>79</v>
      </c>
      <c r="M225" s="113"/>
    </row>
    <row r="226" spans="1:13" x14ac:dyDescent="0.2">
      <c r="A226" s="106" t="s">
        <v>6303</v>
      </c>
      <c r="B226" s="272" t="s">
        <v>5686</v>
      </c>
      <c r="C226" s="105" t="s">
        <v>6463</v>
      </c>
      <c r="D226" s="149" t="s">
        <v>5824</v>
      </c>
      <c r="E226" s="105">
        <v>1</v>
      </c>
      <c r="F226" s="133">
        <v>12.17</v>
      </c>
      <c r="G226" s="133">
        <v>14.75</v>
      </c>
      <c r="H226" s="109">
        <f t="shared" si="9"/>
        <v>14.75</v>
      </c>
      <c r="I226" s="119"/>
      <c r="J226" s="119">
        <v>0</v>
      </c>
      <c r="K226" s="119">
        <f t="shared" si="10"/>
        <v>14.75</v>
      </c>
      <c r="L226" s="152">
        <f t="shared" si="11"/>
        <v>12.17</v>
      </c>
      <c r="M226" s="113"/>
    </row>
    <row r="227" spans="1:13" x14ac:dyDescent="0.2">
      <c r="A227" s="106" t="s">
        <v>6303</v>
      </c>
      <c r="B227" s="272" t="s">
        <v>2196</v>
      </c>
      <c r="C227" s="105" t="s">
        <v>6464</v>
      </c>
      <c r="D227" s="149" t="s">
        <v>2198</v>
      </c>
      <c r="E227" s="105">
        <v>1</v>
      </c>
      <c r="F227" s="133">
        <v>21.88</v>
      </c>
      <c r="G227" s="133">
        <v>25.25</v>
      </c>
      <c r="H227" s="109">
        <f t="shared" si="9"/>
        <v>25.25</v>
      </c>
      <c r="I227" s="119"/>
      <c r="J227" s="119">
        <v>0</v>
      </c>
      <c r="K227" s="119">
        <f t="shared" si="10"/>
        <v>25.25</v>
      </c>
      <c r="L227" s="152">
        <f t="shared" si="11"/>
        <v>21.88</v>
      </c>
      <c r="M227" s="113"/>
    </row>
    <row r="228" spans="1:13" x14ac:dyDescent="0.2">
      <c r="A228" s="106" t="s">
        <v>6304</v>
      </c>
      <c r="B228" s="272" t="s">
        <v>1951</v>
      </c>
      <c r="C228" s="105" t="s">
        <v>6465</v>
      </c>
      <c r="D228" s="149" t="s">
        <v>1952</v>
      </c>
      <c r="E228" s="105">
        <v>1</v>
      </c>
      <c r="F228" s="133">
        <v>12.17</v>
      </c>
      <c r="G228" s="133">
        <v>14.75</v>
      </c>
      <c r="H228" s="109">
        <f t="shared" si="9"/>
        <v>14.75</v>
      </c>
      <c r="I228" s="119"/>
      <c r="J228" s="119">
        <v>0</v>
      </c>
      <c r="K228" s="119">
        <f t="shared" si="10"/>
        <v>14.75</v>
      </c>
      <c r="L228" s="152">
        <f t="shared" si="11"/>
        <v>12.17</v>
      </c>
      <c r="M228" s="113"/>
    </row>
    <row r="229" spans="1:13" x14ac:dyDescent="0.2">
      <c r="A229" s="106" t="s">
        <v>6304</v>
      </c>
      <c r="B229" s="272" t="s">
        <v>1793</v>
      </c>
      <c r="C229" s="105" t="s">
        <v>6465</v>
      </c>
      <c r="D229" s="149" t="s">
        <v>1795</v>
      </c>
      <c r="E229" s="105">
        <v>1</v>
      </c>
      <c r="F229" s="133">
        <v>12.17</v>
      </c>
      <c r="G229" s="133">
        <v>14.75</v>
      </c>
      <c r="H229" s="109">
        <f t="shared" si="9"/>
        <v>14.75</v>
      </c>
      <c r="I229" s="119"/>
      <c r="J229" s="119">
        <v>0</v>
      </c>
      <c r="K229" s="119">
        <f t="shared" si="10"/>
        <v>14.75</v>
      </c>
      <c r="L229" s="152">
        <f t="shared" si="11"/>
        <v>12.17</v>
      </c>
      <c r="M229" s="113"/>
    </row>
    <row r="230" spans="1:13" x14ac:dyDescent="0.2">
      <c r="A230" s="106" t="s">
        <v>6304</v>
      </c>
      <c r="B230" s="272" t="s">
        <v>5686</v>
      </c>
      <c r="C230" s="105" t="s">
        <v>6465</v>
      </c>
      <c r="D230" s="149" t="s">
        <v>5824</v>
      </c>
      <c r="E230" s="105">
        <v>1</v>
      </c>
      <c r="F230" s="133">
        <v>12.17</v>
      </c>
      <c r="G230" s="133">
        <v>14.75</v>
      </c>
      <c r="H230" s="109">
        <f t="shared" si="9"/>
        <v>14.75</v>
      </c>
      <c r="I230" s="119"/>
      <c r="J230" s="119">
        <v>0</v>
      </c>
      <c r="K230" s="119">
        <f t="shared" si="10"/>
        <v>14.75</v>
      </c>
      <c r="L230" s="152">
        <f t="shared" si="11"/>
        <v>12.17</v>
      </c>
      <c r="M230" s="113"/>
    </row>
    <row r="231" spans="1:13" x14ac:dyDescent="0.2">
      <c r="A231" s="106" t="s">
        <v>6304</v>
      </c>
      <c r="B231" s="272" t="s">
        <v>1888</v>
      </c>
      <c r="C231" s="105" t="s">
        <v>6465</v>
      </c>
      <c r="D231" s="149" t="s">
        <v>1890</v>
      </c>
      <c r="E231" s="105">
        <v>3</v>
      </c>
      <c r="F231" s="133">
        <v>20.68</v>
      </c>
      <c r="G231" s="133">
        <v>24</v>
      </c>
      <c r="H231" s="109">
        <f t="shared" si="9"/>
        <v>72</v>
      </c>
      <c r="I231" s="119"/>
      <c r="J231" s="119">
        <v>0</v>
      </c>
      <c r="K231" s="119">
        <f t="shared" si="10"/>
        <v>72</v>
      </c>
      <c r="L231" s="152">
        <f t="shared" si="11"/>
        <v>62.04</v>
      </c>
      <c r="M231" s="113"/>
    </row>
    <row r="232" spans="1:13" x14ac:dyDescent="0.2">
      <c r="A232" s="106" t="s">
        <v>6304</v>
      </c>
      <c r="B232" s="272" t="s">
        <v>2193</v>
      </c>
      <c r="C232" s="105" t="s">
        <v>6465</v>
      </c>
      <c r="D232" s="149" t="s">
        <v>2195</v>
      </c>
      <c r="E232" s="105">
        <v>3</v>
      </c>
      <c r="F232" s="133">
        <v>20.68</v>
      </c>
      <c r="G232" s="133">
        <v>24</v>
      </c>
      <c r="H232" s="109">
        <f t="shared" si="9"/>
        <v>72</v>
      </c>
      <c r="I232" s="119"/>
      <c r="J232" s="119">
        <v>0</v>
      </c>
      <c r="K232" s="119">
        <f t="shared" si="10"/>
        <v>72</v>
      </c>
      <c r="L232" s="152">
        <f t="shared" si="11"/>
        <v>62.04</v>
      </c>
      <c r="M232" s="113"/>
    </row>
    <row r="233" spans="1:13" x14ac:dyDescent="0.2">
      <c r="A233" s="106" t="s">
        <v>6304</v>
      </c>
      <c r="B233" s="272" t="s">
        <v>2380</v>
      </c>
      <c r="C233" s="105" t="s">
        <v>6466</v>
      </c>
      <c r="D233" s="149" t="s">
        <v>2381</v>
      </c>
      <c r="E233" s="105">
        <v>1</v>
      </c>
      <c r="F233" s="133">
        <v>22.73</v>
      </c>
      <c r="G233" s="133">
        <v>26.25</v>
      </c>
      <c r="H233" s="109">
        <f t="shared" si="9"/>
        <v>26.25</v>
      </c>
      <c r="I233" s="119"/>
      <c r="J233" s="119">
        <v>0</v>
      </c>
      <c r="K233" s="119">
        <f t="shared" si="10"/>
        <v>26.25</v>
      </c>
      <c r="L233" s="152">
        <f t="shared" si="11"/>
        <v>22.73</v>
      </c>
      <c r="M233" s="113"/>
    </row>
    <row r="234" spans="1:13" x14ac:dyDescent="0.2">
      <c r="A234" s="106" t="s">
        <v>6304</v>
      </c>
      <c r="B234" s="272" t="s">
        <v>4520</v>
      </c>
      <c r="C234" s="105" t="s">
        <v>6467</v>
      </c>
      <c r="D234" s="149" t="s">
        <v>4625</v>
      </c>
      <c r="E234" s="105">
        <v>1</v>
      </c>
      <c r="F234" s="133">
        <v>60</v>
      </c>
      <c r="G234" s="133">
        <v>75</v>
      </c>
      <c r="H234" s="109">
        <f t="shared" si="9"/>
        <v>75</v>
      </c>
      <c r="I234" s="119"/>
      <c r="J234" s="119">
        <v>0</v>
      </c>
      <c r="K234" s="119">
        <f t="shared" si="10"/>
        <v>75</v>
      </c>
      <c r="L234" s="152">
        <f t="shared" si="11"/>
        <v>60</v>
      </c>
      <c r="M234" s="113"/>
    </row>
    <row r="235" spans="1:13" x14ac:dyDescent="0.2">
      <c r="A235" s="106" t="s">
        <v>6304</v>
      </c>
      <c r="B235" s="272" t="s">
        <v>3459</v>
      </c>
      <c r="C235" s="105" t="s">
        <v>6468</v>
      </c>
      <c r="D235" s="149" t="s">
        <v>3460</v>
      </c>
      <c r="E235" s="105">
        <v>1</v>
      </c>
      <c r="F235" s="133">
        <v>273</v>
      </c>
      <c r="G235" s="133">
        <v>314</v>
      </c>
      <c r="H235" s="109">
        <f t="shared" si="9"/>
        <v>314</v>
      </c>
      <c r="I235" s="119"/>
      <c r="J235" s="119">
        <v>0</v>
      </c>
      <c r="K235" s="119">
        <f t="shared" si="10"/>
        <v>314</v>
      </c>
      <c r="L235" s="152">
        <f t="shared" si="11"/>
        <v>273</v>
      </c>
      <c r="M235" s="113"/>
    </row>
    <row r="236" spans="1:13" x14ac:dyDescent="0.2">
      <c r="A236" s="106" t="s">
        <v>6304</v>
      </c>
      <c r="B236" s="272" t="s">
        <v>3909</v>
      </c>
      <c r="C236" s="105" t="s">
        <v>6469</v>
      </c>
      <c r="D236" s="149" t="s">
        <v>3911</v>
      </c>
      <c r="E236" s="105">
        <v>1</v>
      </c>
      <c r="F236" s="133">
        <v>7.06</v>
      </c>
      <c r="G236" s="133">
        <v>8.25</v>
      </c>
      <c r="H236" s="109">
        <f t="shared" si="9"/>
        <v>8.25</v>
      </c>
      <c r="I236" s="119"/>
      <c r="J236" s="119">
        <v>0</v>
      </c>
      <c r="K236" s="119">
        <f t="shared" si="10"/>
        <v>8.25</v>
      </c>
      <c r="L236" s="152">
        <f t="shared" si="11"/>
        <v>7.06</v>
      </c>
      <c r="M236" s="113"/>
    </row>
    <row r="237" spans="1:13" x14ac:dyDescent="0.2">
      <c r="A237" s="106" t="s">
        <v>6304</v>
      </c>
      <c r="B237" s="272" t="s">
        <v>1884</v>
      </c>
      <c r="C237" s="105" t="s">
        <v>6470</v>
      </c>
      <c r="D237" s="149" t="s">
        <v>1885</v>
      </c>
      <c r="E237" s="105">
        <v>1</v>
      </c>
      <c r="F237" s="133">
        <v>7.06</v>
      </c>
      <c r="G237" s="133">
        <v>8.25</v>
      </c>
      <c r="H237" s="109">
        <f t="shared" si="9"/>
        <v>8.25</v>
      </c>
      <c r="I237" s="119"/>
      <c r="J237" s="119">
        <v>0</v>
      </c>
      <c r="K237" s="119">
        <f t="shared" si="10"/>
        <v>8.25</v>
      </c>
      <c r="L237" s="152">
        <f t="shared" si="11"/>
        <v>7.06</v>
      </c>
      <c r="M237" s="113"/>
    </row>
    <row r="238" spans="1:13" x14ac:dyDescent="0.2">
      <c r="A238" s="106" t="s">
        <v>6304</v>
      </c>
      <c r="B238" s="272" t="s">
        <v>3917</v>
      </c>
      <c r="C238" s="105" t="s">
        <v>6471</v>
      </c>
      <c r="D238" s="149" t="s">
        <v>3919</v>
      </c>
      <c r="E238" s="105">
        <v>6</v>
      </c>
      <c r="F238" s="133">
        <v>6.37</v>
      </c>
      <c r="G238" s="133">
        <v>7.5</v>
      </c>
      <c r="H238" s="109">
        <f t="shared" si="9"/>
        <v>45</v>
      </c>
      <c r="I238" s="119"/>
      <c r="J238" s="119">
        <v>0</v>
      </c>
      <c r="K238" s="119">
        <f t="shared" si="10"/>
        <v>45</v>
      </c>
      <c r="L238" s="152">
        <f t="shared" si="11"/>
        <v>38.22</v>
      </c>
      <c r="M238" s="113"/>
    </row>
    <row r="239" spans="1:13" x14ac:dyDescent="0.2">
      <c r="A239" s="106" t="s">
        <v>6304</v>
      </c>
      <c r="B239" s="272" t="s">
        <v>3169</v>
      </c>
      <c r="C239" s="105" t="s">
        <v>6471</v>
      </c>
      <c r="D239" s="149" t="s">
        <v>3170</v>
      </c>
      <c r="E239" s="105">
        <v>6</v>
      </c>
      <c r="F239" s="133">
        <v>5.41</v>
      </c>
      <c r="G239" s="133">
        <v>6.25</v>
      </c>
      <c r="H239" s="109">
        <f t="shared" si="9"/>
        <v>37.5</v>
      </c>
      <c r="I239" s="119"/>
      <c r="J239" s="119">
        <v>0</v>
      </c>
      <c r="K239" s="119">
        <f t="shared" si="10"/>
        <v>37.5</v>
      </c>
      <c r="L239" s="152">
        <f t="shared" si="11"/>
        <v>32.46</v>
      </c>
      <c r="M239" s="113"/>
    </row>
    <row r="240" spans="1:13" x14ac:dyDescent="0.2">
      <c r="A240" s="106" t="s">
        <v>6304</v>
      </c>
      <c r="B240" s="272" t="s">
        <v>2794</v>
      </c>
      <c r="C240" s="105" t="s">
        <v>6471</v>
      </c>
      <c r="D240" s="149" t="s">
        <v>2795</v>
      </c>
      <c r="E240" s="105">
        <v>1</v>
      </c>
      <c r="F240" s="133">
        <v>23.15</v>
      </c>
      <c r="G240" s="133">
        <v>27</v>
      </c>
      <c r="H240" s="109">
        <f t="shared" si="9"/>
        <v>27</v>
      </c>
      <c r="I240" s="119"/>
      <c r="J240" s="119">
        <v>0</v>
      </c>
      <c r="K240" s="119">
        <f t="shared" si="10"/>
        <v>27</v>
      </c>
      <c r="L240" s="152">
        <f t="shared" si="11"/>
        <v>23.15</v>
      </c>
      <c r="M240" s="113"/>
    </row>
    <row r="241" spans="1:13" x14ac:dyDescent="0.2">
      <c r="A241" s="106" t="s">
        <v>6304</v>
      </c>
      <c r="B241" s="272" t="s">
        <v>2094</v>
      </c>
      <c r="C241" s="105" t="s">
        <v>6472</v>
      </c>
      <c r="D241" s="149" t="s">
        <v>2096</v>
      </c>
      <c r="E241" s="105">
        <v>2</v>
      </c>
      <c r="F241" s="133">
        <v>12.56</v>
      </c>
      <c r="G241" s="133">
        <v>14.5</v>
      </c>
      <c r="H241" s="109">
        <f t="shared" si="9"/>
        <v>29</v>
      </c>
      <c r="I241" s="119"/>
      <c r="J241" s="119">
        <v>0</v>
      </c>
      <c r="K241" s="119">
        <f t="shared" si="10"/>
        <v>29</v>
      </c>
      <c r="L241" s="152">
        <f t="shared" si="11"/>
        <v>25.12</v>
      </c>
      <c r="M241" s="113"/>
    </row>
    <row r="242" spans="1:13" x14ac:dyDescent="0.2">
      <c r="A242" s="106" t="s">
        <v>6304</v>
      </c>
      <c r="B242" s="272" t="s">
        <v>2707</v>
      </c>
      <c r="C242" s="105" t="s">
        <v>6473</v>
      </c>
      <c r="D242" s="149" t="s">
        <v>2709</v>
      </c>
      <c r="E242" s="105">
        <v>1</v>
      </c>
      <c r="F242" s="133">
        <v>250.75</v>
      </c>
      <c r="G242" s="133">
        <v>288.5</v>
      </c>
      <c r="H242" s="109">
        <f t="shared" si="9"/>
        <v>288.5</v>
      </c>
      <c r="I242" s="119"/>
      <c r="J242" s="119">
        <v>0</v>
      </c>
      <c r="K242" s="119">
        <f t="shared" si="10"/>
        <v>288.5</v>
      </c>
      <c r="L242" s="152">
        <f t="shared" si="11"/>
        <v>250.75</v>
      </c>
      <c r="M242" s="113"/>
    </row>
    <row r="243" spans="1:13" x14ac:dyDescent="0.2">
      <c r="A243" s="106" t="s">
        <v>6304</v>
      </c>
      <c r="B243" s="272" t="s">
        <v>2590</v>
      </c>
      <c r="C243" s="105" t="s">
        <v>6473</v>
      </c>
      <c r="D243" s="149" t="s">
        <v>2591</v>
      </c>
      <c r="E243" s="105">
        <v>1</v>
      </c>
      <c r="F243" s="133">
        <v>90.24</v>
      </c>
      <c r="G243" s="133">
        <v>103.75</v>
      </c>
      <c r="H243" s="109">
        <f t="shared" si="9"/>
        <v>103.75</v>
      </c>
      <c r="I243" s="119"/>
      <c r="J243" s="119">
        <v>0</v>
      </c>
      <c r="K243" s="119">
        <f t="shared" si="10"/>
        <v>103.75</v>
      </c>
      <c r="L243" s="152">
        <f t="shared" si="11"/>
        <v>90.24</v>
      </c>
      <c r="M243" s="113"/>
    </row>
    <row r="244" spans="1:13" x14ac:dyDescent="0.2">
      <c r="A244" s="106" t="s">
        <v>6304</v>
      </c>
      <c r="B244" s="272" t="s">
        <v>2488</v>
      </c>
      <c r="C244" s="105" t="s">
        <v>6473</v>
      </c>
      <c r="D244" s="149" t="s">
        <v>2489</v>
      </c>
      <c r="E244" s="105">
        <v>2</v>
      </c>
      <c r="F244" s="133">
        <v>31.19</v>
      </c>
      <c r="G244" s="133">
        <v>36</v>
      </c>
      <c r="H244" s="109">
        <f t="shared" si="9"/>
        <v>72</v>
      </c>
      <c r="I244" s="119"/>
      <c r="J244" s="119">
        <v>0</v>
      </c>
      <c r="K244" s="119">
        <f t="shared" si="10"/>
        <v>72</v>
      </c>
      <c r="L244" s="152">
        <f t="shared" si="11"/>
        <v>62.38</v>
      </c>
      <c r="M244" s="113"/>
    </row>
    <row r="245" spans="1:13" x14ac:dyDescent="0.2">
      <c r="A245" s="106" t="s">
        <v>6304</v>
      </c>
      <c r="B245" s="272" t="s">
        <v>3083</v>
      </c>
      <c r="C245" s="105" t="s">
        <v>6473</v>
      </c>
      <c r="D245" s="149" t="s">
        <v>3085</v>
      </c>
      <c r="E245" s="105">
        <v>4</v>
      </c>
      <c r="F245" s="133">
        <v>29.95</v>
      </c>
      <c r="G245" s="133">
        <v>34.5</v>
      </c>
      <c r="H245" s="109">
        <f t="shared" si="9"/>
        <v>138</v>
      </c>
      <c r="I245" s="119"/>
      <c r="J245" s="119">
        <v>0</v>
      </c>
      <c r="K245" s="119">
        <f t="shared" si="10"/>
        <v>138</v>
      </c>
      <c r="L245" s="152">
        <f t="shared" si="11"/>
        <v>119.8</v>
      </c>
      <c r="M245" s="113"/>
    </row>
    <row r="246" spans="1:13" x14ac:dyDescent="0.2">
      <c r="A246" s="106" t="s">
        <v>6304</v>
      </c>
      <c r="B246" s="272" t="s">
        <v>2521</v>
      </c>
      <c r="C246" s="105" t="s">
        <v>6473</v>
      </c>
      <c r="D246" s="149" t="s">
        <v>2522</v>
      </c>
      <c r="E246" s="105">
        <v>12</v>
      </c>
      <c r="F246" s="133">
        <v>6.12</v>
      </c>
      <c r="G246" s="133">
        <v>7.25</v>
      </c>
      <c r="H246" s="109">
        <f t="shared" si="9"/>
        <v>87</v>
      </c>
      <c r="I246" s="119"/>
      <c r="J246" s="119">
        <v>0</v>
      </c>
      <c r="K246" s="119">
        <f t="shared" si="10"/>
        <v>87</v>
      </c>
      <c r="L246" s="152">
        <f t="shared" si="11"/>
        <v>73.44</v>
      </c>
      <c r="M246" s="113"/>
    </row>
    <row r="247" spans="1:13" x14ac:dyDescent="0.2">
      <c r="A247" s="106" t="s">
        <v>6304</v>
      </c>
      <c r="B247" s="272" t="s">
        <v>3326</v>
      </c>
      <c r="C247" s="105" t="s">
        <v>6473</v>
      </c>
      <c r="D247" s="149" t="s">
        <v>3327</v>
      </c>
      <c r="E247" s="105">
        <v>12</v>
      </c>
      <c r="F247" s="133">
        <v>6.12</v>
      </c>
      <c r="G247" s="133">
        <v>7.25</v>
      </c>
      <c r="H247" s="109">
        <f t="shared" si="9"/>
        <v>87</v>
      </c>
      <c r="I247" s="119"/>
      <c r="J247" s="119">
        <v>0</v>
      </c>
      <c r="K247" s="119">
        <f t="shared" si="10"/>
        <v>87</v>
      </c>
      <c r="L247" s="152">
        <f t="shared" si="11"/>
        <v>73.44</v>
      </c>
      <c r="M247" s="113"/>
    </row>
    <row r="248" spans="1:13" x14ac:dyDescent="0.2">
      <c r="A248" s="106" t="s">
        <v>6304</v>
      </c>
      <c r="B248" s="272" t="s">
        <v>2446</v>
      </c>
      <c r="C248" s="105" t="s">
        <v>6474</v>
      </c>
      <c r="D248" s="149" t="s">
        <v>2448</v>
      </c>
      <c r="E248" s="105">
        <v>1</v>
      </c>
      <c r="F248" s="133">
        <v>58.2</v>
      </c>
      <c r="G248" s="133">
        <v>67</v>
      </c>
      <c r="H248" s="109">
        <f t="shared" si="9"/>
        <v>67</v>
      </c>
      <c r="I248" s="119"/>
      <c r="J248" s="119">
        <v>0</v>
      </c>
      <c r="K248" s="119">
        <f t="shared" si="10"/>
        <v>67</v>
      </c>
      <c r="L248" s="152">
        <f t="shared" si="11"/>
        <v>58.2</v>
      </c>
      <c r="M248" s="113"/>
    </row>
    <row r="249" spans="1:13" x14ac:dyDescent="0.2">
      <c r="A249" s="106" t="s">
        <v>6304</v>
      </c>
      <c r="B249" s="272" t="s">
        <v>4479</v>
      </c>
      <c r="C249" s="105" t="s">
        <v>6474</v>
      </c>
      <c r="D249" s="149" t="s">
        <v>4511</v>
      </c>
      <c r="E249" s="105">
        <v>6</v>
      </c>
      <c r="F249" s="133">
        <v>5.92</v>
      </c>
      <c r="G249" s="133">
        <v>6.75</v>
      </c>
      <c r="H249" s="109">
        <f t="shared" si="9"/>
        <v>40.5</v>
      </c>
      <c r="I249" s="119"/>
      <c r="J249" s="119">
        <v>0</v>
      </c>
      <c r="K249" s="119">
        <f t="shared" si="10"/>
        <v>40.5</v>
      </c>
      <c r="L249" s="152">
        <f t="shared" si="11"/>
        <v>35.519999999999996</v>
      </c>
      <c r="M249" s="113"/>
    </row>
    <row r="250" spans="1:13" x14ac:dyDescent="0.2">
      <c r="A250" s="106" t="s">
        <v>6304</v>
      </c>
      <c r="B250" s="272" t="s">
        <v>4328</v>
      </c>
      <c r="C250" s="105" t="s">
        <v>6475</v>
      </c>
      <c r="D250" s="149" t="s">
        <v>4358</v>
      </c>
      <c r="E250" s="105">
        <v>2</v>
      </c>
      <c r="F250" s="133">
        <v>23.63</v>
      </c>
      <c r="G250" s="133">
        <v>27.25</v>
      </c>
      <c r="H250" s="109">
        <f t="shared" si="9"/>
        <v>54.5</v>
      </c>
      <c r="I250" s="119"/>
      <c r="J250" s="119">
        <v>0</v>
      </c>
      <c r="K250" s="119">
        <f t="shared" si="10"/>
        <v>54.5</v>
      </c>
      <c r="L250" s="152">
        <f t="shared" si="11"/>
        <v>47.26</v>
      </c>
      <c r="M250" s="113"/>
    </row>
    <row r="251" spans="1:13" x14ac:dyDescent="0.2">
      <c r="A251" s="106" t="s">
        <v>6304</v>
      </c>
      <c r="B251" s="272" t="s">
        <v>2762</v>
      </c>
      <c r="C251" s="105" t="s">
        <v>6476</v>
      </c>
      <c r="D251" s="149" t="s">
        <v>2764</v>
      </c>
      <c r="E251" s="105">
        <v>2</v>
      </c>
      <c r="F251" s="133">
        <v>18.57</v>
      </c>
      <c r="G251" s="133">
        <v>21.5</v>
      </c>
      <c r="H251" s="109">
        <f t="shared" si="9"/>
        <v>43</v>
      </c>
      <c r="I251" s="119"/>
      <c r="J251" s="119">
        <v>0</v>
      </c>
      <c r="K251" s="119">
        <f t="shared" si="10"/>
        <v>43</v>
      </c>
      <c r="L251" s="152">
        <f t="shared" si="11"/>
        <v>37.14</v>
      </c>
      <c r="M251" s="113"/>
    </row>
    <row r="252" spans="1:13" x14ac:dyDescent="0.2">
      <c r="A252" s="106" t="s">
        <v>6304</v>
      </c>
      <c r="B252" s="272" t="s">
        <v>3753</v>
      </c>
      <c r="C252" s="105" t="s">
        <v>6477</v>
      </c>
      <c r="D252" s="149" t="s">
        <v>3755</v>
      </c>
      <c r="E252" s="105">
        <v>5</v>
      </c>
      <c r="F252" s="133">
        <v>18.98</v>
      </c>
      <c r="G252" s="133">
        <v>22</v>
      </c>
      <c r="H252" s="109">
        <f t="shared" si="9"/>
        <v>110</v>
      </c>
      <c r="I252" s="119"/>
      <c r="J252" s="119">
        <v>0</v>
      </c>
      <c r="K252" s="119">
        <f t="shared" si="10"/>
        <v>110</v>
      </c>
      <c r="L252" s="152">
        <f t="shared" si="11"/>
        <v>94.9</v>
      </c>
      <c r="M252" s="113"/>
    </row>
    <row r="253" spans="1:13" x14ac:dyDescent="0.2">
      <c r="A253" s="106" t="s">
        <v>6304</v>
      </c>
      <c r="B253" s="272" t="s">
        <v>2826</v>
      </c>
      <c r="C253" s="105" t="s">
        <v>6478</v>
      </c>
      <c r="D253" s="149" t="s">
        <v>2827</v>
      </c>
      <c r="E253" s="105">
        <v>4</v>
      </c>
      <c r="F253" s="133">
        <v>3.72</v>
      </c>
      <c r="G253" s="133">
        <v>4.5</v>
      </c>
      <c r="H253" s="109">
        <f t="shared" si="9"/>
        <v>18</v>
      </c>
      <c r="I253" s="119"/>
      <c r="J253" s="119">
        <v>0</v>
      </c>
      <c r="K253" s="119">
        <f t="shared" si="10"/>
        <v>18</v>
      </c>
      <c r="L253" s="152">
        <f t="shared" si="11"/>
        <v>14.88</v>
      </c>
      <c r="M253" s="113"/>
    </row>
    <row r="254" spans="1:13" x14ac:dyDescent="0.2">
      <c r="A254" s="106" t="s">
        <v>6304</v>
      </c>
      <c r="B254" s="272" t="s">
        <v>3917</v>
      </c>
      <c r="C254" s="105" t="s">
        <v>6478</v>
      </c>
      <c r="D254" s="149" t="s">
        <v>3919</v>
      </c>
      <c r="E254" s="105">
        <v>6</v>
      </c>
      <c r="F254" s="133">
        <v>6.37</v>
      </c>
      <c r="G254" s="133">
        <v>7.5</v>
      </c>
      <c r="H254" s="109">
        <f t="shared" si="9"/>
        <v>45</v>
      </c>
      <c r="I254" s="119"/>
      <c r="J254" s="119">
        <v>0</v>
      </c>
      <c r="K254" s="119">
        <f t="shared" si="10"/>
        <v>45</v>
      </c>
      <c r="L254" s="152">
        <f t="shared" si="11"/>
        <v>38.22</v>
      </c>
      <c r="M254" s="113"/>
    </row>
    <row r="255" spans="1:13" x14ac:dyDescent="0.2">
      <c r="A255" s="106" t="s">
        <v>6304</v>
      </c>
      <c r="B255" s="272" t="s">
        <v>3105</v>
      </c>
      <c r="C255" s="105" t="s">
        <v>6479</v>
      </c>
      <c r="D255" s="149" t="s">
        <v>3106</v>
      </c>
      <c r="E255" s="105">
        <v>1</v>
      </c>
      <c r="F255" s="133">
        <v>40.950000000000003</v>
      </c>
      <c r="G255" s="133">
        <v>45</v>
      </c>
      <c r="H255" s="109">
        <f t="shared" si="9"/>
        <v>45</v>
      </c>
      <c r="I255" s="119"/>
      <c r="J255" s="119">
        <v>0</v>
      </c>
      <c r="K255" s="119">
        <f t="shared" si="10"/>
        <v>45</v>
      </c>
      <c r="L255" s="152">
        <f t="shared" si="11"/>
        <v>40.950000000000003</v>
      </c>
      <c r="M255" s="113"/>
    </row>
    <row r="256" spans="1:13" x14ac:dyDescent="0.2">
      <c r="A256" s="106" t="s">
        <v>6304</v>
      </c>
      <c r="B256" s="272" t="s">
        <v>2002</v>
      </c>
      <c r="C256" s="105" t="s">
        <v>6479</v>
      </c>
      <c r="D256" s="149" t="s">
        <v>2004</v>
      </c>
      <c r="E256" s="105">
        <v>1</v>
      </c>
      <c r="F256" s="133">
        <v>12.56</v>
      </c>
      <c r="G256" s="133">
        <v>14.25</v>
      </c>
      <c r="H256" s="109">
        <f t="shared" si="9"/>
        <v>14.25</v>
      </c>
      <c r="I256" s="119"/>
      <c r="J256" s="119">
        <v>0</v>
      </c>
      <c r="K256" s="119">
        <f t="shared" si="10"/>
        <v>14.25</v>
      </c>
      <c r="L256" s="152">
        <f t="shared" si="11"/>
        <v>12.56</v>
      </c>
      <c r="M256" s="113"/>
    </row>
    <row r="257" spans="1:13" x14ac:dyDescent="0.2">
      <c r="A257" s="106" t="s">
        <v>6304</v>
      </c>
      <c r="B257" s="272" t="s">
        <v>1962</v>
      </c>
      <c r="C257" s="105" t="s">
        <v>6480</v>
      </c>
      <c r="D257" s="149" t="s">
        <v>1964</v>
      </c>
      <c r="E257" s="105">
        <v>2</v>
      </c>
      <c r="F257" s="133">
        <v>7.48</v>
      </c>
      <c r="G257" s="133">
        <v>8.75</v>
      </c>
      <c r="H257" s="109">
        <f t="shared" si="9"/>
        <v>17.5</v>
      </c>
      <c r="I257" s="119"/>
      <c r="J257" s="119">
        <v>0</v>
      </c>
      <c r="K257" s="119">
        <f t="shared" si="10"/>
        <v>17.5</v>
      </c>
      <c r="L257" s="152">
        <f t="shared" si="11"/>
        <v>14.96</v>
      </c>
      <c r="M257" s="113"/>
    </row>
    <row r="258" spans="1:13" x14ac:dyDescent="0.2">
      <c r="A258" s="106" t="s">
        <v>6304</v>
      </c>
      <c r="B258" s="272" t="s">
        <v>3634</v>
      </c>
      <c r="C258" s="105" t="s">
        <v>6480</v>
      </c>
      <c r="D258" s="149" t="s">
        <v>3636</v>
      </c>
      <c r="E258" s="105">
        <v>1</v>
      </c>
      <c r="F258" s="133">
        <v>8.5299999999999994</v>
      </c>
      <c r="G258" s="133">
        <v>10</v>
      </c>
      <c r="H258" s="109">
        <f t="shared" si="9"/>
        <v>10</v>
      </c>
      <c r="I258" s="119"/>
      <c r="J258" s="119">
        <v>0</v>
      </c>
      <c r="K258" s="119">
        <f t="shared" si="10"/>
        <v>10</v>
      </c>
      <c r="L258" s="152">
        <f t="shared" si="11"/>
        <v>8.5299999999999994</v>
      </c>
      <c r="M258" s="113"/>
    </row>
    <row r="259" spans="1:13" x14ac:dyDescent="0.2">
      <c r="A259" s="106" t="s">
        <v>6304</v>
      </c>
      <c r="B259" s="272" t="s">
        <v>2115</v>
      </c>
      <c r="C259" s="105" t="s">
        <v>6481</v>
      </c>
      <c r="D259" s="149" t="s">
        <v>2117</v>
      </c>
      <c r="E259" s="105">
        <v>1</v>
      </c>
      <c r="F259" s="133">
        <v>84.8</v>
      </c>
      <c r="G259" s="133">
        <v>94</v>
      </c>
      <c r="H259" s="109">
        <f t="shared" si="9"/>
        <v>94</v>
      </c>
      <c r="I259" s="119"/>
      <c r="J259" s="119">
        <v>0</v>
      </c>
      <c r="K259" s="119">
        <f t="shared" si="10"/>
        <v>94</v>
      </c>
      <c r="L259" s="152">
        <f t="shared" si="11"/>
        <v>84.8</v>
      </c>
      <c r="M259" s="113"/>
    </row>
    <row r="260" spans="1:13" x14ac:dyDescent="0.2">
      <c r="A260" s="106" t="s">
        <v>6304</v>
      </c>
      <c r="B260" s="272" t="s">
        <v>1962</v>
      </c>
      <c r="C260" s="105" t="s">
        <v>6482</v>
      </c>
      <c r="D260" s="149" t="s">
        <v>1964</v>
      </c>
      <c r="E260" s="105">
        <v>2</v>
      </c>
      <c r="F260" s="133">
        <v>7.48</v>
      </c>
      <c r="G260" s="133">
        <v>8.75</v>
      </c>
      <c r="H260" s="109">
        <f t="shared" si="9"/>
        <v>17.5</v>
      </c>
      <c r="I260" s="119"/>
      <c r="J260" s="119">
        <v>0</v>
      </c>
      <c r="K260" s="119">
        <f t="shared" si="10"/>
        <v>17.5</v>
      </c>
      <c r="L260" s="152">
        <f t="shared" si="11"/>
        <v>14.96</v>
      </c>
      <c r="M260" s="113"/>
    </row>
    <row r="261" spans="1:13" x14ac:dyDescent="0.2">
      <c r="A261" s="106" t="s">
        <v>6304</v>
      </c>
      <c r="B261" s="272" t="s">
        <v>5415</v>
      </c>
      <c r="C261" s="105" t="s">
        <v>6483</v>
      </c>
      <c r="D261" s="149" t="s">
        <v>5466</v>
      </c>
      <c r="E261" s="105">
        <v>1</v>
      </c>
      <c r="F261" s="133">
        <v>3.7</v>
      </c>
      <c r="G261" s="133">
        <v>5</v>
      </c>
      <c r="H261" s="109">
        <f t="shared" si="9"/>
        <v>5</v>
      </c>
      <c r="I261" s="119"/>
      <c r="J261" s="119">
        <v>0</v>
      </c>
      <c r="K261" s="119">
        <f t="shared" si="10"/>
        <v>5</v>
      </c>
      <c r="L261" s="152">
        <f t="shared" si="11"/>
        <v>3.7</v>
      </c>
      <c r="M261" s="113"/>
    </row>
    <row r="262" spans="1:13" x14ac:dyDescent="0.2">
      <c r="A262" s="106" t="s">
        <v>6304</v>
      </c>
      <c r="B262" s="272" t="s">
        <v>1802</v>
      </c>
      <c r="C262" s="105" t="s">
        <v>6484</v>
      </c>
      <c r="D262" s="149" t="s">
        <v>1803</v>
      </c>
      <c r="E262" s="105">
        <v>1</v>
      </c>
      <c r="F262" s="133">
        <v>7.75</v>
      </c>
      <c r="G262" s="133">
        <v>9</v>
      </c>
      <c r="H262" s="109">
        <f t="shared" ref="H262:H325" si="12">E262*G262</f>
        <v>9</v>
      </c>
      <c r="I262" s="119"/>
      <c r="J262" s="119">
        <v>0</v>
      </c>
      <c r="K262" s="119">
        <f t="shared" ref="K262:K325" si="13">H262+I262-J262</f>
        <v>9</v>
      </c>
      <c r="L262" s="152">
        <f t="shared" si="11"/>
        <v>7.75</v>
      </c>
      <c r="M262" s="113"/>
    </row>
    <row r="263" spans="1:13" x14ac:dyDescent="0.2">
      <c r="A263" s="106" t="s">
        <v>6304</v>
      </c>
      <c r="B263" s="272" t="s">
        <v>1884</v>
      </c>
      <c r="C263" s="105" t="s">
        <v>6484</v>
      </c>
      <c r="D263" s="149" t="s">
        <v>1885</v>
      </c>
      <c r="E263" s="105">
        <v>1</v>
      </c>
      <c r="F263" s="133">
        <v>7.06</v>
      </c>
      <c r="G263" s="133">
        <v>8.25</v>
      </c>
      <c r="H263" s="109">
        <f t="shared" si="12"/>
        <v>8.25</v>
      </c>
      <c r="I263" s="119"/>
      <c r="J263" s="119">
        <v>0</v>
      </c>
      <c r="K263" s="119">
        <f t="shared" si="13"/>
        <v>8.25</v>
      </c>
      <c r="L263" s="152">
        <f t="shared" ref="L263:L326" si="14">E263*F263</f>
        <v>7.06</v>
      </c>
      <c r="M263" s="113"/>
    </row>
    <row r="264" spans="1:13" x14ac:dyDescent="0.2">
      <c r="A264" s="106" t="s">
        <v>6304</v>
      </c>
      <c r="B264" s="272" t="s">
        <v>1884</v>
      </c>
      <c r="C264" s="105" t="s">
        <v>6485</v>
      </c>
      <c r="D264" s="149" t="s">
        <v>1885</v>
      </c>
      <c r="E264" s="105">
        <v>1</v>
      </c>
      <c r="F264" s="133">
        <v>7.06</v>
      </c>
      <c r="G264" s="133">
        <v>8.25</v>
      </c>
      <c r="H264" s="109">
        <f t="shared" si="12"/>
        <v>8.25</v>
      </c>
      <c r="I264" s="119"/>
      <c r="J264" s="119">
        <v>0</v>
      </c>
      <c r="K264" s="119">
        <f t="shared" si="13"/>
        <v>8.25</v>
      </c>
      <c r="L264" s="152">
        <f t="shared" si="14"/>
        <v>7.06</v>
      </c>
      <c r="M264" s="113"/>
    </row>
    <row r="265" spans="1:13" x14ac:dyDescent="0.2">
      <c r="A265" s="106" t="s">
        <v>6304</v>
      </c>
      <c r="B265" s="272" t="s">
        <v>1806</v>
      </c>
      <c r="C265" s="105" t="s">
        <v>6486</v>
      </c>
      <c r="D265" s="149" t="s">
        <v>1807</v>
      </c>
      <c r="E265" s="105">
        <v>1</v>
      </c>
      <c r="F265" s="133">
        <v>15.65</v>
      </c>
      <c r="G265" s="133">
        <v>18</v>
      </c>
      <c r="H265" s="109">
        <f t="shared" si="12"/>
        <v>18</v>
      </c>
      <c r="I265" s="119"/>
      <c r="J265" s="119">
        <v>0</v>
      </c>
      <c r="K265" s="119">
        <f t="shared" si="13"/>
        <v>18</v>
      </c>
      <c r="L265" s="152">
        <f t="shared" si="14"/>
        <v>15.65</v>
      </c>
      <c r="M265" s="113"/>
    </row>
    <row r="266" spans="1:13" x14ac:dyDescent="0.2">
      <c r="A266" s="106" t="s">
        <v>6304</v>
      </c>
      <c r="B266" s="272" t="s">
        <v>5474</v>
      </c>
      <c r="C266" s="105" t="s">
        <v>6487</v>
      </c>
      <c r="D266" s="149" t="s">
        <v>5486</v>
      </c>
      <c r="E266" s="105">
        <v>3</v>
      </c>
      <c r="F266" s="133">
        <v>50</v>
      </c>
      <c r="G266" s="133">
        <v>65</v>
      </c>
      <c r="H266" s="109">
        <f t="shared" si="12"/>
        <v>195</v>
      </c>
      <c r="I266" s="119"/>
      <c r="J266" s="119">
        <v>0</v>
      </c>
      <c r="K266" s="119">
        <f t="shared" si="13"/>
        <v>195</v>
      </c>
      <c r="L266" s="152">
        <f t="shared" si="14"/>
        <v>150</v>
      </c>
      <c r="M266" s="113"/>
    </row>
    <row r="267" spans="1:13" x14ac:dyDescent="0.2">
      <c r="A267" s="106" t="s">
        <v>6304</v>
      </c>
      <c r="B267" s="272" t="s">
        <v>4520</v>
      </c>
      <c r="C267" s="105" t="s">
        <v>6487</v>
      </c>
      <c r="D267" s="149" t="s">
        <v>4625</v>
      </c>
      <c r="E267" s="105">
        <v>2</v>
      </c>
      <c r="F267" s="133">
        <v>60</v>
      </c>
      <c r="G267" s="133">
        <v>75</v>
      </c>
      <c r="H267" s="109">
        <f t="shared" si="12"/>
        <v>150</v>
      </c>
      <c r="I267" s="119"/>
      <c r="J267" s="119">
        <v>0</v>
      </c>
      <c r="K267" s="119">
        <f t="shared" si="13"/>
        <v>150</v>
      </c>
      <c r="L267" s="152">
        <f t="shared" si="14"/>
        <v>120</v>
      </c>
      <c r="M267" s="113"/>
    </row>
    <row r="268" spans="1:13" x14ac:dyDescent="0.2">
      <c r="A268" s="106" t="s">
        <v>6304</v>
      </c>
      <c r="B268" s="272" t="s">
        <v>1826</v>
      </c>
      <c r="C268" s="105" t="s">
        <v>6487</v>
      </c>
      <c r="D268" s="149" t="s">
        <v>1827</v>
      </c>
      <c r="E268" s="105">
        <v>1</v>
      </c>
      <c r="F268" s="133">
        <v>90</v>
      </c>
      <c r="G268" s="133">
        <v>120</v>
      </c>
      <c r="H268" s="109">
        <f t="shared" si="12"/>
        <v>120</v>
      </c>
      <c r="I268" s="119"/>
      <c r="J268" s="119">
        <v>0</v>
      </c>
      <c r="K268" s="119">
        <f t="shared" si="13"/>
        <v>120</v>
      </c>
      <c r="L268" s="152">
        <f t="shared" si="14"/>
        <v>90</v>
      </c>
      <c r="M268" s="113"/>
    </row>
    <row r="269" spans="1:13" x14ac:dyDescent="0.2">
      <c r="A269" s="106" t="s">
        <v>6304</v>
      </c>
      <c r="B269" s="272" t="s">
        <v>5497</v>
      </c>
      <c r="C269" s="105" t="s">
        <v>6487</v>
      </c>
      <c r="D269" s="149" t="s">
        <v>5573</v>
      </c>
      <c r="E269" s="105">
        <v>1</v>
      </c>
      <c r="F269" s="133">
        <v>30</v>
      </c>
      <c r="G269" s="133">
        <v>45</v>
      </c>
      <c r="H269" s="109">
        <f t="shared" si="12"/>
        <v>45</v>
      </c>
      <c r="I269" s="119"/>
      <c r="J269" s="119">
        <v>0</v>
      </c>
      <c r="K269" s="119">
        <f t="shared" si="13"/>
        <v>45</v>
      </c>
      <c r="L269" s="152">
        <f t="shared" si="14"/>
        <v>30</v>
      </c>
      <c r="M269" s="113"/>
    </row>
    <row r="270" spans="1:13" x14ac:dyDescent="0.2">
      <c r="A270" s="106" t="s">
        <v>6304</v>
      </c>
      <c r="B270" s="272" t="s">
        <v>4949</v>
      </c>
      <c r="C270" s="105" t="s">
        <v>6488</v>
      </c>
      <c r="D270" s="149" t="s">
        <v>4986</v>
      </c>
      <c r="E270" s="105">
        <v>1</v>
      </c>
      <c r="F270" s="133">
        <v>30.25</v>
      </c>
      <c r="G270" s="133">
        <v>35</v>
      </c>
      <c r="H270" s="109">
        <f t="shared" si="12"/>
        <v>35</v>
      </c>
      <c r="I270" s="119"/>
      <c r="J270" s="119">
        <v>0</v>
      </c>
      <c r="K270" s="119">
        <f t="shared" si="13"/>
        <v>35</v>
      </c>
      <c r="L270" s="152">
        <f t="shared" si="14"/>
        <v>30.25</v>
      </c>
      <c r="M270" s="113"/>
    </row>
    <row r="271" spans="1:13" x14ac:dyDescent="0.2">
      <c r="A271" s="106" t="s">
        <v>6304</v>
      </c>
      <c r="B271" s="272" t="s">
        <v>2240</v>
      </c>
      <c r="C271" s="105" t="s">
        <v>6489</v>
      </c>
      <c r="D271" s="149" t="s">
        <v>2241</v>
      </c>
      <c r="E271" s="105">
        <v>1</v>
      </c>
      <c r="F271" s="133">
        <v>18.649999999999999</v>
      </c>
      <c r="G271" s="133">
        <v>21.5</v>
      </c>
      <c r="H271" s="109">
        <f t="shared" si="12"/>
        <v>21.5</v>
      </c>
      <c r="I271" s="119"/>
      <c r="J271" s="119">
        <v>0</v>
      </c>
      <c r="K271" s="119">
        <f t="shared" si="13"/>
        <v>21.5</v>
      </c>
      <c r="L271" s="152">
        <f t="shared" si="14"/>
        <v>18.649999999999999</v>
      </c>
      <c r="M271" s="113"/>
    </row>
    <row r="272" spans="1:13" x14ac:dyDescent="0.2">
      <c r="A272" s="106" t="s">
        <v>6304</v>
      </c>
      <c r="B272" s="272" t="s">
        <v>3825</v>
      </c>
      <c r="C272" s="105" t="s">
        <v>6490</v>
      </c>
      <c r="D272" s="149" t="s">
        <v>3827</v>
      </c>
      <c r="E272" s="105">
        <v>1</v>
      </c>
      <c r="F272" s="133">
        <v>63.2</v>
      </c>
      <c r="G272" s="133">
        <v>72.75</v>
      </c>
      <c r="H272" s="109">
        <f t="shared" si="12"/>
        <v>72.75</v>
      </c>
      <c r="I272" s="119"/>
      <c r="J272" s="119">
        <v>0</v>
      </c>
      <c r="K272" s="119">
        <f t="shared" si="13"/>
        <v>72.75</v>
      </c>
      <c r="L272" s="152">
        <f t="shared" si="14"/>
        <v>63.2</v>
      </c>
      <c r="M272" s="113"/>
    </row>
    <row r="273" spans="1:13" x14ac:dyDescent="0.2">
      <c r="A273" s="106" t="s">
        <v>6304</v>
      </c>
      <c r="B273" s="272" t="s">
        <v>2521</v>
      </c>
      <c r="C273" s="105" t="s">
        <v>6490</v>
      </c>
      <c r="D273" s="149" t="s">
        <v>2522</v>
      </c>
      <c r="E273" s="105">
        <v>48</v>
      </c>
      <c r="F273" s="133">
        <v>6.12</v>
      </c>
      <c r="G273" s="133">
        <v>7.25</v>
      </c>
      <c r="H273" s="109">
        <f t="shared" si="12"/>
        <v>348</v>
      </c>
      <c r="I273" s="119"/>
      <c r="J273" s="119">
        <v>0</v>
      </c>
      <c r="K273" s="119">
        <f t="shared" si="13"/>
        <v>348</v>
      </c>
      <c r="L273" s="152">
        <f t="shared" si="14"/>
        <v>293.76</v>
      </c>
      <c r="M273" s="113"/>
    </row>
    <row r="274" spans="1:13" x14ac:dyDescent="0.2">
      <c r="A274" s="106" t="s">
        <v>6304</v>
      </c>
      <c r="B274" s="272" t="s">
        <v>3448</v>
      </c>
      <c r="C274" s="105" t="s">
        <v>6490</v>
      </c>
      <c r="D274" s="149" t="s">
        <v>3450</v>
      </c>
      <c r="E274" s="105">
        <v>5</v>
      </c>
      <c r="F274" s="133">
        <v>15.91</v>
      </c>
      <c r="G274" s="133">
        <v>18.5</v>
      </c>
      <c r="H274" s="109">
        <f t="shared" si="12"/>
        <v>92.5</v>
      </c>
      <c r="I274" s="119"/>
      <c r="J274" s="119">
        <v>0</v>
      </c>
      <c r="K274" s="119">
        <f t="shared" si="13"/>
        <v>92.5</v>
      </c>
      <c r="L274" s="152">
        <f t="shared" si="14"/>
        <v>79.55</v>
      </c>
      <c r="M274" s="113"/>
    </row>
    <row r="275" spans="1:13" x14ac:dyDescent="0.2">
      <c r="A275" s="106" t="s">
        <v>6304</v>
      </c>
      <c r="B275" s="272" t="s">
        <v>3448</v>
      </c>
      <c r="C275" s="105" t="s">
        <v>6491</v>
      </c>
      <c r="D275" s="149" t="s">
        <v>3450</v>
      </c>
      <c r="E275" s="105">
        <v>10</v>
      </c>
      <c r="F275" s="133">
        <v>15.91</v>
      </c>
      <c r="G275" s="133">
        <v>18.5</v>
      </c>
      <c r="H275" s="109">
        <f t="shared" si="12"/>
        <v>185</v>
      </c>
      <c r="I275" s="119"/>
      <c r="J275" s="119">
        <v>0</v>
      </c>
      <c r="K275" s="119">
        <f t="shared" si="13"/>
        <v>185</v>
      </c>
      <c r="L275" s="152">
        <f t="shared" si="14"/>
        <v>159.1</v>
      </c>
      <c r="M275" s="113"/>
    </row>
    <row r="276" spans="1:13" x14ac:dyDescent="0.2">
      <c r="A276" s="106" t="s">
        <v>6304</v>
      </c>
      <c r="B276" s="272" t="s">
        <v>2702</v>
      </c>
      <c r="C276" s="105" t="s">
        <v>6492</v>
      </c>
      <c r="D276" s="149" t="s">
        <v>2703</v>
      </c>
      <c r="E276" s="105">
        <v>2</v>
      </c>
      <c r="F276" s="133">
        <v>51.5</v>
      </c>
      <c r="G276" s="133">
        <v>59.25</v>
      </c>
      <c r="H276" s="109">
        <f t="shared" si="12"/>
        <v>118.5</v>
      </c>
      <c r="I276" s="119"/>
      <c r="J276" s="119">
        <v>0</v>
      </c>
      <c r="K276" s="119">
        <f t="shared" si="13"/>
        <v>118.5</v>
      </c>
      <c r="L276" s="152">
        <f t="shared" si="14"/>
        <v>103</v>
      </c>
      <c r="M276" s="113"/>
    </row>
    <row r="277" spans="1:13" x14ac:dyDescent="0.2">
      <c r="A277" s="106" t="s">
        <v>6304</v>
      </c>
      <c r="B277" s="272" t="s">
        <v>3457</v>
      </c>
      <c r="C277" s="105" t="s">
        <v>6492</v>
      </c>
      <c r="D277" s="149" t="s">
        <v>3458</v>
      </c>
      <c r="E277" s="105">
        <v>4</v>
      </c>
      <c r="F277" s="133">
        <v>51.97</v>
      </c>
      <c r="G277" s="133">
        <v>60</v>
      </c>
      <c r="H277" s="109">
        <f t="shared" si="12"/>
        <v>240</v>
      </c>
      <c r="I277" s="119"/>
      <c r="J277" s="119">
        <v>0</v>
      </c>
      <c r="K277" s="119">
        <f t="shared" si="13"/>
        <v>240</v>
      </c>
      <c r="L277" s="152">
        <f t="shared" si="14"/>
        <v>207.88</v>
      </c>
      <c r="M277" s="113"/>
    </row>
    <row r="278" spans="1:13" x14ac:dyDescent="0.2">
      <c r="A278" s="106" t="s">
        <v>6304</v>
      </c>
      <c r="B278" s="272" t="s">
        <v>3842</v>
      </c>
      <c r="C278" s="105" t="s">
        <v>6493</v>
      </c>
      <c r="D278" s="149" t="s">
        <v>3844</v>
      </c>
      <c r="E278" s="105">
        <v>1</v>
      </c>
      <c r="F278" s="133">
        <v>41.83</v>
      </c>
      <c r="G278" s="133">
        <v>48.25</v>
      </c>
      <c r="H278" s="109">
        <f t="shared" si="12"/>
        <v>48.25</v>
      </c>
      <c r="I278" s="119"/>
      <c r="J278" s="119">
        <v>0</v>
      </c>
      <c r="K278" s="119">
        <f t="shared" si="13"/>
        <v>48.25</v>
      </c>
      <c r="L278" s="152">
        <f t="shared" si="14"/>
        <v>41.83</v>
      </c>
      <c r="M278" s="113"/>
    </row>
    <row r="279" spans="1:13" x14ac:dyDescent="0.2">
      <c r="A279" s="106" t="s">
        <v>6304</v>
      </c>
      <c r="B279" s="272" t="s">
        <v>2377</v>
      </c>
      <c r="C279" s="105" t="s">
        <v>6493</v>
      </c>
      <c r="D279" s="149" t="s">
        <v>2378</v>
      </c>
      <c r="E279" s="105">
        <v>2</v>
      </c>
      <c r="F279" s="133">
        <v>8.1999999999999993</v>
      </c>
      <c r="G279" s="133">
        <v>9.5</v>
      </c>
      <c r="H279" s="109">
        <f t="shared" si="12"/>
        <v>19</v>
      </c>
      <c r="I279" s="119"/>
      <c r="J279" s="119">
        <v>0</v>
      </c>
      <c r="K279" s="119">
        <f t="shared" si="13"/>
        <v>19</v>
      </c>
      <c r="L279" s="152">
        <f t="shared" si="14"/>
        <v>16.399999999999999</v>
      </c>
      <c r="M279" s="113"/>
    </row>
    <row r="280" spans="1:13" x14ac:dyDescent="0.2">
      <c r="A280" s="106" t="s">
        <v>6304</v>
      </c>
      <c r="B280" s="272" t="s">
        <v>5243</v>
      </c>
      <c r="C280" s="105" t="s">
        <v>6494</v>
      </c>
      <c r="D280" s="149" t="s">
        <v>5403</v>
      </c>
      <c r="E280" s="105">
        <v>1</v>
      </c>
      <c r="F280" s="133">
        <v>22.19</v>
      </c>
      <c r="G280" s="133">
        <v>25.75</v>
      </c>
      <c r="H280" s="109">
        <f t="shared" si="12"/>
        <v>25.75</v>
      </c>
      <c r="I280" s="119"/>
      <c r="J280" s="119">
        <v>0</v>
      </c>
      <c r="K280" s="119">
        <f t="shared" si="13"/>
        <v>25.75</v>
      </c>
      <c r="L280" s="152">
        <f t="shared" si="14"/>
        <v>22.19</v>
      </c>
      <c r="M280" s="113"/>
    </row>
    <row r="281" spans="1:13" x14ac:dyDescent="0.2">
      <c r="A281" s="106" t="s">
        <v>6304</v>
      </c>
      <c r="B281" s="272" t="s">
        <v>5033</v>
      </c>
      <c r="C281" s="105" t="s">
        <v>6495</v>
      </c>
      <c r="D281" s="149" t="s">
        <v>5077</v>
      </c>
      <c r="E281" s="105">
        <v>1</v>
      </c>
      <c r="F281" s="133">
        <v>25</v>
      </c>
      <c r="G281" s="133">
        <v>28.75</v>
      </c>
      <c r="H281" s="109">
        <f t="shared" si="12"/>
        <v>28.75</v>
      </c>
      <c r="I281" s="119"/>
      <c r="J281" s="119">
        <v>0</v>
      </c>
      <c r="K281" s="119">
        <f t="shared" si="13"/>
        <v>28.75</v>
      </c>
      <c r="L281" s="152">
        <f t="shared" si="14"/>
        <v>25</v>
      </c>
      <c r="M281" s="113"/>
    </row>
    <row r="282" spans="1:13" x14ac:dyDescent="0.2">
      <c r="A282" s="106" t="s">
        <v>6304</v>
      </c>
      <c r="B282" s="272" t="s">
        <v>1802</v>
      </c>
      <c r="C282" s="105" t="s">
        <v>6496</v>
      </c>
      <c r="D282" s="149" t="s">
        <v>1803</v>
      </c>
      <c r="E282" s="105">
        <v>1</v>
      </c>
      <c r="F282" s="133">
        <v>7.75</v>
      </c>
      <c r="G282" s="133">
        <v>9</v>
      </c>
      <c r="H282" s="109">
        <f t="shared" si="12"/>
        <v>9</v>
      </c>
      <c r="I282" s="119"/>
      <c r="J282" s="119">
        <v>0</v>
      </c>
      <c r="K282" s="119">
        <f t="shared" si="13"/>
        <v>9</v>
      </c>
      <c r="L282" s="152">
        <f t="shared" si="14"/>
        <v>7.75</v>
      </c>
      <c r="M282" s="113"/>
    </row>
    <row r="283" spans="1:13" x14ac:dyDescent="0.2">
      <c r="A283" s="106" t="s">
        <v>6304</v>
      </c>
      <c r="B283" s="272" t="s">
        <v>3909</v>
      </c>
      <c r="C283" s="105" t="s">
        <v>6497</v>
      </c>
      <c r="D283" s="149" t="s">
        <v>3911</v>
      </c>
      <c r="E283" s="105">
        <v>1</v>
      </c>
      <c r="F283" s="133">
        <v>7.06</v>
      </c>
      <c r="G283" s="133">
        <v>8.25</v>
      </c>
      <c r="H283" s="109">
        <f t="shared" si="12"/>
        <v>8.25</v>
      </c>
      <c r="I283" s="119"/>
      <c r="J283" s="119">
        <v>0</v>
      </c>
      <c r="K283" s="119">
        <f t="shared" si="13"/>
        <v>8.25</v>
      </c>
      <c r="L283" s="152">
        <f t="shared" si="14"/>
        <v>7.06</v>
      </c>
      <c r="M283" s="113"/>
    </row>
    <row r="284" spans="1:13" x14ac:dyDescent="0.2">
      <c r="A284" s="106" t="s">
        <v>6304</v>
      </c>
      <c r="B284" s="272" t="s">
        <v>2584</v>
      </c>
      <c r="C284" s="105" t="s">
        <v>6498</v>
      </c>
      <c r="D284" s="149" t="s">
        <v>2585</v>
      </c>
      <c r="E284" s="105">
        <v>2</v>
      </c>
      <c r="F284" s="133">
        <v>17.899999999999999</v>
      </c>
      <c r="G284" s="133">
        <v>20.75</v>
      </c>
      <c r="H284" s="109">
        <f t="shared" si="12"/>
        <v>41.5</v>
      </c>
      <c r="I284" s="119"/>
      <c r="J284" s="119">
        <v>0</v>
      </c>
      <c r="K284" s="119">
        <f t="shared" si="13"/>
        <v>41.5</v>
      </c>
      <c r="L284" s="152">
        <f t="shared" si="14"/>
        <v>35.799999999999997</v>
      </c>
      <c r="M284" s="113"/>
    </row>
    <row r="285" spans="1:13" x14ac:dyDescent="0.2">
      <c r="A285" s="106" t="s">
        <v>6304</v>
      </c>
      <c r="B285" s="272" t="s">
        <v>5687</v>
      </c>
      <c r="C285" s="105" t="s">
        <v>6498</v>
      </c>
      <c r="D285" s="149" t="s">
        <v>5825</v>
      </c>
      <c r="E285" s="105">
        <v>1</v>
      </c>
      <c r="F285" s="133">
        <v>310</v>
      </c>
      <c r="G285" s="133">
        <v>372</v>
      </c>
      <c r="H285" s="109">
        <f t="shared" si="12"/>
        <v>372</v>
      </c>
      <c r="I285" s="119"/>
      <c r="J285" s="119">
        <v>0</v>
      </c>
      <c r="K285" s="119">
        <f t="shared" si="13"/>
        <v>372</v>
      </c>
      <c r="L285" s="152">
        <f t="shared" si="14"/>
        <v>310</v>
      </c>
      <c r="M285" s="113"/>
    </row>
    <row r="286" spans="1:13" x14ac:dyDescent="0.2">
      <c r="A286" s="106" t="s">
        <v>6304</v>
      </c>
      <c r="B286" s="272" t="s">
        <v>1830</v>
      </c>
      <c r="C286" s="105" t="s">
        <v>6499</v>
      </c>
      <c r="D286" s="149" t="s">
        <v>1831</v>
      </c>
      <c r="E286" s="105">
        <v>1</v>
      </c>
      <c r="F286" s="133">
        <v>16.84</v>
      </c>
      <c r="G286" s="133">
        <v>19.5</v>
      </c>
      <c r="H286" s="109">
        <f t="shared" si="12"/>
        <v>19.5</v>
      </c>
      <c r="I286" s="119"/>
      <c r="J286" s="119">
        <v>0</v>
      </c>
      <c r="K286" s="119">
        <f t="shared" si="13"/>
        <v>19.5</v>
      </c>
      <c r="L286" s="152">
        <f t="shared" si="14"/>
        <v>16.84</v>
      </c>
      <c r="M286" s="113"/>
    </row>
    <row r="287" spans="1:13" x14ac:dyDescent="0.2">
      <c r="A287" s="106" t="s">
        <v>6304</v>
      </c>
      <c r="B287" s="272" t="s">
        <v>4520</v>
      </c>
      <c r="C287" s="105" t="s">
        <v>6500</v>
      </c>
      <c r="D287" s="149" t="s">
        <v>4625</v>
      </c>
      <c r="E287" s="105">
        <v>2</v>
      </c>
      <c r="F287" s="133">
        <v>60</v>
      </c>
      <c r="G287" s="133">
        <v>75</v>
      </c>
      <c r="H287" s="109">
        <f t="shared" si="12"/>
        <v>150</v>
      </c>
      <c r="I287" s="119"/>
      <c r="J287" s="119">
        <v>0</v>
      </c>
      <c r="K287" s="119">
        <f t="shared" si="13"/>
        <v>150</v>
      </c>
      <c r="L287" s="152">
        <f t="shared" si="14"/>
        <v>120</v>
      </c>
      <c r="M287" s="113"/>
    </row>
    <row r="288" spans="1:13" x14ac:dyDescent="0.2">
      <c r="A288" s="106" t="s">
        <v>6304</v>
      </c>
      <c r="B288" s="272" t="s">
        <v>1826</v>
      </c>
      <c r="C288" s="105" t="s">
        <v>6500</v>
      </c>
      <c r="D288" s="149" t="s">
        <v>1827</v>
      </c>
      <c r="E288" s="105">
        <v>2</v>
      </c>
      <c r="F288" s="133">
        <v>90</v>
      </c>
      <c r="G288" s="133">
        <v>120</v>
      </c>
      <c r="H288" s="109">
        <f t="shared" si="12"/>
        <v>240</v>
      </c>
      <c r="I288" s="119"/>
      <c r="J288" s="119">
        <v>0</v>
      </c>
      <c r="K288" s="119">
        <f t="shared" si="13"/>
        <v>240</v>
      </c>
      <c r="L288" s="152">
        <f t="shared" si="14"/>
        <v>180</v>
      </c>
      <c r="M288" s="113"/>
    </row>
    <row r="289" spans="1:13" x14ac:dyDescent="0.2">
      <c r="A289" s="106" t="s">
        <v>6304</v>
      </c>
      <c r="B289" s="272" t="s">
        <v>2884</v>
      </c>
      <c r="C289" s="105" t="s">
        <v>6501</v>
      </c>
      <c r="D289" s="149" t="s">
        <v>2886</v>
      </c>
      <c r="E289" s="105">
        <v>2</v>
      </c>
      <c r="F289" s="133">
        <v>251.67</v>
      </c>
      <c r="G289" s="133">
        <v>362.75</v>
      </c>
      <c r="H289" s="109">
        <f t="shared" si="12"/>
        <v>725.5</v>
      </c>
      <c r="I289" s="119"/>
      <c r="J289" s="119">
        <v>0</v>
      </c>
      <c r="K289" s="119">
        <f t="shared" si="13"/>
        <v>725.5</v>
      </c>
      <c r="L289" s="152">
        <f t="shared" si="14"/>
        <v>503.34</v>
      </c>
      <c r="M289" s="113"/>
    </row>
    <row r="290" spans="1:13" x14ac:dyDescent="0.2">
      <c r="A290" s="106" t="s">
        <v>6305</v>
      </c>
      <c r="B290" s="272" t="s">
        <v>5685</v>
      </c>
      <c r="C290" s="105" t="s">
        <v>6502</v>
      </c>
      <c r="D290" s="149" t="s">
        <v>5823</v>
      </c>
      <c r="E290" s="105">
        <v>1</v>
      </c>
      <c r="F290" s="133">
        <v>38.57</v>
      </c>
      <c r="G290" s="133">
        <v>44.5</v>
      </c>
      <c r="H290" s="109">
        <f t="shared" si="12"/>
        <v>44.5</v>
      </c>
      <c r="I290" s="119"/>
      <c r="J290" s="119">
        <v>0</v>
      </c>
      <c r="K290" s="119">
        <f t="shared" si="13"/>
        <v>44.5</v>
      </c>
      <c r="L290" s="152">
        <f t="shared" si="14"/>
        <v>38.57</v>
      </c>
      <c r="M290" s="113"/>
    </row>
    <row r="291" spans="1:13" x14ac:dyDescent="0.2">
      <c r="A291" s="106" t="s">
        <v>6305</v>
      </c>
      <c r="B291" s="272" t="s">
        <v>2271</v>
      </c>
      <c r="C291" s="105" t="s">
        <v>6503</v>
      </c>
      <c r="D291" s="149" t="s">
        <v>2273</v>
      </c>
      <c r="E291" s="105">
        <v>1</v>
      </c>
      <c r="F291" s="133">
        <v>16.03</v>
      </c>
      <c r="G291" s="133">
        <v>18.5</v>
      </c>
      <c r="H291" s="109">
        <f t="shared" si="12"/>
        <v>18.5</v>
      </c>
      <c r="I291" s="119"/>
      <c r="J291" s="119">
        <v>0</v>
      </c>
      <c r="K291" s="119">
        <f t="shared" si="13"/>
        <v>18.5</v>
      </c>
      <c r="L291" s="152">
        <f t="shared" si="14"/>
        <v>16.03</v>
      </c>
      <c r="M291" s="113"/>
    </row>
    <row r="292" spans="1:13" x14ac:dyDescent="0.2">
      <c r="A292" s="106" t="s">
        <v>6305</v>
      </c>
      <c r="B292" s="272" t="s">
        <v>1933</v>
      </c>
      <c r="C292" s="105" t="s">
        <v>6504</v>
      </c>
      <c r="D292" s="149" t="s">
        <v>1934</v>
      </c>
      <c r="E292" s="105">
        <v>2</v>
      </c>
      <c r="F292" s="133">
        <v>3.6</v>
      </c>
      <c r="G292" s="133">
        <v>4.25</v>
      </c>
      <c r="H292" s="109">
        <f t="shared" si="12"/>
        <v>8.5</v>
      </c>
      <c r="I292" s="119"/>
      <c r="J292" s="119">
        <v>0</v>
      </c>
      <c r="K292" s="119">
        <f t="shared" si="13"/>
        <v>8.5</v>
      </c>
      <c r="L292" s="152">
        <f t="shared" si="14"/>
        <v>7.2</v>
      </c>
      <c r="M292" s="113"/>
    </row>
    <row r="293" spans="1:13" x14ac:dyDescent="0.2">
      <c r="A293" s="106" t="s">
        <v>6305</v>
      </c>
      <c r="B293" s="272" t="s">
        <v>5864</v>
      </c>
      <c r="C293" s="105" t="s">
        <v>6505</v>
      </c>
      <c r="D293" s="149" t="s">
        <v>5957</v>
      </c>
      <c r="E293" s="105">
        <v>1</v>
      </c>
      <c r="F293" s="133">
        <v>100.03</v>
      </c>
      <c r="G293" s="133">
        <v>115.25</v>
      </c>
      <c r="H293" s="109">
        <f t="shared" si="12"/>
        <v>115.25</v>
      </c>
      <c r="I293" s="119"/>
      <c r="J293" s="119">
        <v>0</v>
      </c>
      <c r="K293" s="119">
        <f t="shared" si="13"/>
        <v>115.25</v>
      </c>
      <c r="L293" s="152">
        <f t="shared" si="14"/>
        <v>100.03</v>
      </c>
      <c r="M293" s="113"/>
    </row>
    <row r="294" spans="1:13" x14ac:dyDescent="0.2">
      <c r="A294" s="106" t="s">
        <v>6305</v>
      </c>
      <c r="B294" s="272" t="s">
        <v>4567</v>
      </c>
      <c r="C294" s="105" t="s">
        <v>6506</v>
      </c>
      <c r="D294" s="149" t="s">
        <v>4672</v>
      </c>
      <c r="E294" s="105">
        <v>1</v>
      </c>
      <c r="F294" s="133">
        <v>7.06</v>
      </c>
      <c r="G294" s="133">
        <v>8.25</v>
      </c>
      <c r="H294" s="109">
        <f t="shared" si="12"/>
        <v>8.25</v>
      </c>
      <c r="I294" s="119"/>
      <c r="J294" s="119">
        <v>0</v>
      </c>
      <c r="K294" s="119">
        <f t="shared" si="13"/>
        <v>8.25</v>
      </c>
      <c r="L294" s="152">
        <f t="shared" si="14"/>
        <v>7.06</v>
      </c>
      <c r="M294" s="113"/>
    </row>
    <row r="295" spans="1:13" x14ac:dyDescent="0.2">
      <c r="A295" s="106" t="s">
        <v>6305</v>
      </c>
      <c r="B295" s="272" t="s">
        <v>3974</v>
      </c>
      <c r="C295" s="105" t="s">
        <v>6507</v>
      </c>
      <c r="D295" s="149" t="s">
        <v>3975</v>
      </c>
      <c r="E295" s="105">
        <v>1</v>
      </c>
      <c r="F295" s="133">
        <v>59.51</v>
      </c>
      <c r="G295" s="133">
        <v>68.5</v>
      </c>
      <c r="H295" s="109">
        <f t="shared" si="12"/>
        <v>68.5</v>
      </c>
      <c r="I295" s="119"/>
      <c r="J295" s="119">
        <v>0</v>
      </c>
      <c r="K295" s="119">
        <f t="shared" si="13"/>
        <v>68.5</v>
      </c>
      <c r="L295" s="152">
        <f t="shared" si="14"/>
        <v>59.51</v>
      </c>
      <c r="M295" s="113"/>
    </row>
    <row r="296" spans="1:13" x14ac:dyDescent="0.2">
      <c r="A296" s="106" t="s">
        <v>6305</v>
      </c>
      <c r="B296" s="272" t="s">
        <v>5497</v>
      </c>
      <c r="C296" s="105" t="s">
        <v>6507</v>
      </c>
      <c r="D296" s="149" t="s">
        <v>5573</v>
      </c>
      <c r="E296" s="105">
        <v>1</v>
      </c>
      <c r="F296" s="133">
        <v>30</v>
      </c>
      <c r="G296" s="133">
        <v>45</v>
      </c>
      <c r="H296" s="109">
        <f t="shared" si="12"/>
        <v>45</v>
      </c>
      <c r="I296" s="119"/>
      <c r="J296" s="119">
        <v>0</v>
      </c>
      <c r="K296" s="119">
        <f t="shared" si="13"/>
        <v>45</v>
      </c>
      <c r="L296" s="152">
        <f t="shared" si="14"/>
        <v>30</v>
      </c>
      <c r="M296" s="113"/>
    </row>
    <row r="297" spans="1:13" x14ac:dyDescent="0.2">
      <c r="A297" s="106" t="s">
        <v>6305</v>
      </c>
      <c r="B297" s="272" t="s">
        <v>6208</v>
      </c>
      <c r="C297" s="105" t="s">
        <v>6508</v>
      </c>
      <c r="D297" s="149" t="s">
        <v>6252</v>
      </c>
      <c r="E297" s="105">
        <v>2</v>
      </c>
      <c r="F297" s="133">
        <v>265</v>
      </c>
      <c r="G297" s="133">
        <v>305</v>
      </c>
      <c r="H297" s="109">
        <f t="shared" si="12"/>
        <v>610</v>
      </c>
      <c r="I297" s="119"/>
      <c r="J297" s="119">
        <v>0</v>
      </c>
      <c r="K297" s="119">
        <f t="shared" si="13"/>
        <v>610</v>
      </c>
      <c r="L297" s="152">
        <f t="shared" si="14"/>
        <v>530</v>
      </c>
      <c r="M297" s="113"/>
    </row>
    <row r="298" spans="1:13" x14ac:dyDescent="0.2">
      <c r="A298" s="106" t="s">
        <v>6305</v>
      </c>
      <c r="B298" s="272" t="s">
        <v>2977</v>
      </c>
      <c r="C298" s="105" t="s">
        <v>6509</v>
      </c>
      <c r="D298" s="149" t="s">
        <v>2978</v>
      </c>
      <c r="E298" s="105">
        <v>2</v>
      </c>
      <c r="F298" s="133">
        <v>24.04</v>
      </c>
      <c r="G298" s="133">
        <v>27.75</v>
      </c>
      <c r="H298" s="109">
        <f t="shared" si="12"/>
        <v>55.5</v>
      </c>
      <c r="I298" s="119"/>
      <c r="J298" s="119">
        <v>0</v>
      </c>
      <c r="K298" s="119">
        <f t="shared" si="13"/>
        <v>55.5</v>
      </c>
      <c r="L298" s="152">
        <f t="shared" si="14"/>
        <v>48.08</v>
      </c>
      <c r="M298" s="113"/>
    </row>
    <row r="299" spans="1:13" x14ac:dyDescent="0.2">
      <c r="A299" s="106" t="s">
        <v>6305</v>
      </c>
      <c r="B299" s="272" t="s">
        <v>2193</v>
      </c>
      <c r="C299" s="105" t="s">
        <v>6510</v>
      </c>
      <c r="D299" s="149" t="s">
        <v>2195</v>
      </c>
      <c r="E299" s="105">
        <v>1</v>
      </c>
      <c r="F299" s="133">
        <v>20.68</v>
      </c>
      <c r="G299" s="133">
        <v>24</v>
      </c>
      <c r="H299" s="109">
        <f t="shared" si="12"/>
        <v>24</v>
      </c>
      <c r="I299" s="119"/>
      <c r="J299" s="119">
        <v>0</v>
      </c>
      <c r="K299" s="119">
        <f t="shared" si="13"/>
        <v>24</v>
      </c>
      <c r="L299" s="152">
        <f t="shared" si="14"/>
        <v>20.68</v>
      </c>
      <c r="M299" s="113"/>
    </row>
    <row r="300" spans="1:13" x14ac:dyDescent="0.2">
      <c r="A300" s="106" t="s">
        <v>6305</v>
      </c>
      <c r="B300" s="272" t="s">
        <v>1888</v>
      </c>
      <c r="C300" s="105" t="s">
        <v>6510</v>
      </c>
      <c r="D300" s="149" t="s">
        <v>1890</v>
      </c>
      <c r="E300" s="105">
        <v>1</v>
      </c>
      <c r="F300" s="133">
        <v>20.68</v>
      </c>
      <c r="G300" s="133">
        <v>24</v>
      </c>
      <c r="H300" s="109">
        <f t="shared" si="12"/>
        <v>24</v>
      </c>
      <c r="I300" s="119"/>
      <c r="J300" s="119">
        <v>0</v>
      </c>
      <c r="K300" s="119">
        <f t="shared" si="13"/>
        <v>24</v>
      </c>
      <c r="L300" s="152">
        <f t="shared" si="14"/>
        <v>20.68</v>
      </c>
      <c r="M300" s="113"/>
    </row>
    <row r="301" spans="1:13" x14ac:dyDescent="0.2">
      <c r="A301" s="106" t="s">
        <v>6305</v>
      </c>
      <c r="B301" s="272" t="s">
        <v>1924</v>
      </c>
      <c r="C301" s="105" t="s">
        <v>6510</v>
      </c>
      <c r="D301" s="149" t="s">
        <v>1926</v>
      </c>
      <c r="E301" s="105">
        <v>5</v>
      </c>
      <c r="F301" s="133">
        <v>10.64</v>
      </c>
      <c r="G301" s="133">
        <v>12.25</v>
      </c>
      <c r="H301" s="109">
        <f t="shared" si="12"/>
        <v>61.25</v>
      </c>
      <c r="I301" s="119"/>
      <c r="J301" s="119">
        <v>0</v>
      </c>
      <c r="K301" s="119">
        <f t="shared" si="13"/>
        <v>61.25</v>
      </c>
      <c r="L301" s="152">
        <f t="shared" si="14"/>
        <v>53.2</v>
      </c>
      <c r="M301" s="113"/>
    </row>
    <row r="302" spans="1:13" x14ac:dyDescent="0.2">
      <c r="A302" s="106" t="s">
        <v>6305</v>
      </c>
      <c r="B302" s="272" t="s">
        <v>2189</v>
      </c>
      <c r="C302" s="105" t="s">
        <v>6510</v>
      </c>
      <c r="D302" s="149" t="s">
        <v>2190</v>
      </c>
      <c r="E302" s="105">
        <v>1</v>
      </c>
      <c r="F302" s="133">
        <v>65</v>
      </c>
      <c r="G302" s="133">
        <v>71.5</v>
      </c>
      <c r="H302" s="109">
        <f t="shared" si="12"/>
        <v>71.5</v>
      </c>
      <c r="I302" s="119"/>
      <c r="J302" s="119">
        <v>0</v>
      </c>
      <c r="K302" s="119">
        <f t="shared" si="13"/>
        <v>71.5</v>
      </c>
      <c r="L302" s="152">
        <f t="shared" si="14"/>
        <v>65</v>
      </c>
      <c r="M302" s="113"/>
    </row>
    <row r="303" spans="1:13" x14ac:dyDescent="0.2">
      <c r="A303" s="106" t="s">
        <v>6305</v>
      </c>
      <c r="B303" s="272" t="s">
        <v>1888</v>
      </c>
      <c r="C303" s="105" t="s">
        <v>6511</v>
      </c>
      <c r="D303" s="149" t="s">
        <v>1890</v>
      </c>
      <c r="E303" s="105">
        <v>1</v>
      </c>
      <c r="F303" s="133">
        <v>20.68</v>
      </c>
      <c r="G303" s="133">
        <v>24</v>
      </c>
      <c r="H303" s="109">
        <f t="shared" si="12"/>
        <v>24</v>
      </c>
      <c r="I303" s="119"/>
      <c r="J303" s="119">
        <v>0</v>
      </c>
      <c r="K303" s="119">
        <f t="shared" si="13"/>
        <v>24</v>
      </c>
      <c r="L303" s="152">
        <f t="shared" si="14"/>
        <v>20.68</v>
      </c>
      <c r="M303" s="113"/>
    </row>
    <row r="304" spans="1:13" x14ac:dyDescent="0.2">
      <c r="A304" s="106" t="s">
        <v>6305</v>
      </c>
      <c r="B304" s="272" t="s">
        <v>3909</v>
      </c>
      <c r="C304" s="105" t="s">
        <v>6512</v>
      </c>
      <c r="D304" s="149" t="s">
        <v>3911</v>
      </c>
      <c r="E304" s="105">
        <v>1</v>
      </c>
      <c r="F304" s="133">
        <v>7.06</v>
      </c>
      <c r="G304" s="133">
        <v>8.25</v>
      </c>
      <c r="H304" s="109">
        <f t="shared" si="12"/>
        <v>8.25</v>
      </c>
      <c r="I304" s="119"/>
      <c r="J304" s="119">
        <v>0</v>
      </c>
      <c r="K304" s="119">
        <f t="shared" si="13"/>
        <v>8.25</v>
      </c>
      <c r="L304" s="152">
        <f t="shared" si="14"/>
        <v>7.06</v>
      </c>
      <c r="M304" s="113"/>
    </row>
    <row r="305" spans="1:13" x14ac:dyDescent="0.2">
      <c r="A305" s="106" t="s">
        <v>6306</v>
      </c>
      <c r="B305" s="272" t="s">
        <v>3652</v>
      </c>
      <c r="C305" s="105" t="s">
        <v>6513</v>
      </c>
      <c r="D305" s="149" t="s">
        <v>3653</v>
      </c>
      <c r="E305" s="105">
        <v>1</v>
      </c>
      <c r="F305" s="133">
        <v>75</v>
      </c>
      <c r="G305" s="133">
        <v>83</v>
      </c>
      <c r="H305" s="109">
        <f t="shared" si="12"/>
        <v>83</v>
      </c>
      <c r="I305" s="119"/>
      <c r="J305" s="119">
        <v>0</v>
      </c>
      <c r="K305" s="119">
        <f t="shared" si="13"/>
        <v>83</v>
      </c>
      <c r="L305" s="152">
        <f t="shared" si="14"/>
        <v>75</v>
      </c>
      <c r="M305" s="113"/>
    </row>
    <row r="306" spans="1:13" x14ac:dyDescent="0.2">
      <c r="A306" s="106" t="s">
        <v>6306</v>
      </c>
      <c r="B306" s="272" t="s">
        <v>3201</v>
      </c>
      <c r="C306" s="105" t="s">
        <v>6513</v>
      </c>
      <c r="D306" s="149" t="s">
        <v>3202</v>
      </c>
      <c r="E306" s="105">
        <v>1</v>
      </c>
      <c r="F306" s="133">
        <v>61.5</v>
      </c>
      <c r="G306" s="133">
        <v>70.75</v>
      </c>
      <c r="H306" s="109">
        <f t="shared" si="12"/>
        <v>70.75</v>
      </c>
      <c r="I306" s="119"/>
      <c r="J306" s="119">
        <v>0</v>
      </c>
      <c r="K306" s="119">
        <f t="shared" si="13"/>
        <v>70.75</v>
      </c>
      <c r="L306" s="152">
        <f t="shared" si="14"/>
        <v>61.5</v>
      </c>
      <c r="M306" s="113"/>
    </row>
    <row r="307" spans="1:13" x14ac:dyDescent="0.2">
      <c r="A307" s="106" t="s">
        <v>6306</v>
      </c>
      <c r="B307" s="272" t="s">
        <v>4796</v>
      </c>
      <c r="C307" s="105" t="s">
        <v>6513</v>
      </c>
      <c r="D307" s="149" t="s">
        <v>4865</v>
      </c>
      <c r="E307" s="105">
        <v>1</v>
      </c>
      <c r="F307" s="133">
        <v>23.21</v>
      </c>
      <c r="G307" s="133">
        <v>26.75</v>
      </c>
      <c r="H307" s="109">
        <f t="shared" si="12"/>
        <v>26.75</v>
      </c>
      <c r="I307" s="119"/>
      <c r="J307" s="119">
        <v>0</v>
      </c>
      <c r="K307" s="119">
        <f t="shared" si="13"/>
        <v>26.75</v>
      </c>
      <c r="L307" s="152">
        <f t="shared" si="14"/>
        <v>23.21</v>
      </c>
      <c r="M307" s="113"/>
    </row>
    <row r="308" spans="1:13" x14ac:dyDescent="0.2">
      <c r="A308" s="106" t="s">
        <v>6306</v>
      </c>
      <c r="B308" s="272" t="s">
        <v>3507</v>
      </c>
      <c r="C308" s="105" t="s">
        <v>6513</v>
      </c>
      <c r="D308" s="149" t="s">
        <v>3508</v>
      </c>
      <c r="E308" s="105">
        <v>1</v>
      </c>
      <c r="F308" s="133">
        <v>18.2</v>
      </c>
      <c r="G308" s="133">
        <v>21</v>
      </c>
      <c r="H308" s="109">
        <f t="shared" si="12"/>
        <v>21</v>
      </c>
      <c r="I308" s="119"/>
      <c r="J308" s="119">
        <v>0</v>
      </c>
      <c r="K308" s="119">
        <f t="shared" si="13"/>
        <v>21</v>
      </c>
      <c r="L308" s="152">
        <f t="shared" si="14"/>
        <v>18.2</v>
      </c>
      <c r="M308" s="113"/>
    </row>
    <row r="309" spans="1:13" x14ac:dyDescent="0.2">
      <c r="A309" s="106" t="s">
        <v>6306</v>
      </c>
      <c r="B309" s="272" t="s">
        <v>4330</v>
      </c>
      <c r="C309" s="105" t="s">
        <v>6513</v>
      </c>
      <c r="D309" s="149" t="s">
        <v>4360</v>
      </c>
      <c r="E309" s="105">
        <v>1</v>
      </c>
      <c r="F309" s="133">
        <v>69.510000000000005</v>
      </c>
      <c r="G309" s="133">
        <v>80</v>
      </c>
      <c r="H309" s="109">
        <f t="shared" si="12"/>
        <v>80</v>
      </c>
      <c r="I309" s="119"/>
      <c r="J309" s="119">
        <v>0</v>
      </c>
      <c r="K309" s="119">
        <f t="shared" si="13"/>
        <v>80</v>
      </c>
      <c r="L309" s="152">
        <f t="shared" si="14"/>
        <v>69.510000000000005</v>
      </c>
      <c r="M309" s="113"/>
    </row>
    <row r="310" spans="1:13" x14ac:dyDescent="0.2">
      <c r="A310" s="106" t="s">
        <v>6306</v>
      </c>
      <c r="B310" s="272" t="s">
        <v>2268</v>
      </c>
      <c r="C310" s="105" t="s">
        <v>6514</v>
      </c>
      <c r="D310" s="149" t="s">
        <v>2269</v>
      </c>
      <c r="E310" s="105">
        <v>6</v>
      </c>
      <c r="F310" s="133">
        <v>12.69</v>
      </c>
      <c r="G310" s="133">
        <v>14.75</v>
      </c>
      <c r="H310" s="109">
        <f t="shared" si="12"/>
        <v>88.5</v>
      </c>
      <c r="I310" s="119"/>
      <c r="J310" s="119">
        <v>0</v>
      </c>
      <c r="K310" s="119">
        <f t="shared" si="13"/>
        <v>88.5</v>
      </c>
      <c r="L310" s="152">
        <f t="shared" si="14"/>
        <v>76.14</v>
      </c>
      <c r="M310" s="113"/>
    </row>
    <row r="311" spans="1:13" x14ac:dyDescent="0.2">
      <c r="A311" s="106" t="s">
        <v>6306</v>
      </c>
      <c r="B311" s="272" t="s">
        <v>3105</v>
      </c>
      <c r="C311" s="105" t="s">
        <v>6515</v>
      </c>
      <c r="D311" s="149" t="s">
        <v>3106</v>
      </c>
      <c r="E311" s="105">
        <v>1</v>
      </c>
      <c r="F311" s="133">
        <v>40.950000000000003</v>
      </c>
      <c r="G311" s="133">
        <v>45</v>
      </c>
      <c r="H311" s="109">
        <f t="shared" si="12"/>
        <v>45</v>
      </c>
      <c r="I311" s="119"/>
      <c r="J311" s="119">
        <v>0</v>
      </c>
      <c r="K311" s="119">
        <f t="shared" si="13"/>
        <v>45</v>
      </c>
      <c r="L311" s="152">
        <f t="shared" si="14"/>
        <v>40.950000000000003</v>
      </c>
      <c r="M311" s="113"/>
    </row>
    <row r="312" spans="1:13" x14ac:dyDescent="0.2">
      <c r="A312" s="106" t="s">
        <v>6306</v>
      </c>
      <c r="B312" s="272" t="s">
        <v>5686</v>
      </c>
      <c r="C312" s="105" t="s">
        <v>6516</v>
      </c>
      <c r="D312" s="149" t="s">
        <v>5824</v>
      </c>
      <c r="E312" s="105">
        <v>1</v>
      </c>
      <c r="F312" s="133">
        <v>12.17</v>
      </c>
      <c r="G312" s="133">
        <v>14.75</v>
      </c>
      <c r="H312" s="109">
        <f t="shared" si="12"/>
        <v>14.75</v>
      </c>
      <c r="I312" s="119"/>
      <c r="J312" s="119">
        <v>0</v>
      </c>
      <c r="K312" s="119">
        <f t="shared" si="13"/>
        <v>14.75</v>
      </c>
      <c r="L312" s="152">
        <f t="shared" si="14"/>
        <v>12.17</v>
      </c>
      <c r="M312" s="113"/>
    </row>
    <row r="313" spans="1:13" x14ac:dyDescent="0.2">
      <c r="A313" s="106" t="s">
        <v>6306</v>
      </c>
      <c r="B313" s="272" t="s">
        <v>1884</v>
      </c>
      <c r="C313" s="105" t="s">
        <v>6517</v>
      </c>
      <c r="D313" s="149" t="s">
        <v>1885</v>
      </c>
      <c r="E313" s="105">
        <v>1</v>
      </c>
      <c r="F313" s="133">
        <v>7.06</v>
      </c>
      <c r="G313" s="133">
        <v>8.25</v>
      </c>
      <c r="H313" s="109">
        <f t="shared" si="12"/>
        <v>8.25</v>
      </c>
      <c r="I313" s="119"/>
      <c r="J313" s="119">
        <v>0</v>
      </c>
      <c r="K313" s="119">
        <f t="shared" si="13"/>
        <v>8.25</v>
      </c>
      <c r="L313" s="152">
        <f t="shared" si="14"/>
        <v>7.06</v>
      </c>
      <c r="M313" s="113"/>
    </row>
    <row r="314" spans="1:13" x14ac:dyDescent="0.2">
      <c r="A314" s="106" t="s">
        <v>6306</v>
      </c>
      <c r="B314" s="272" t="s">
        <v>4558</v>
      </c>
      <c r="C314" s="105" t="s">
        <v>6518</v>
      </c>
      <c r="D314" s="149" t="s">
        <v>4663</v>
      </c>
      <c r="E314" s="105">
        <v>2</v>
      </c>
      <c r="F314" s="133">
        <v>12.39</v>
      </c>
      <c r="G314" s="133">
        <v>14.25</v>
      </c>
      <c r="H314" s="109">
        <f t="shared" si="12"/>
        <v>28.5</v>
      </c>
      <c r="I314" s="119"/>
      <c r="J314" s="119">
        <v>0</v>
      </c>
      <c r="K314" s="119">
        <f t="shared" si="13"/>
        <v>28.5</v>
      </c>
      <c r="L314" s="152">
        <f t="shared" si="14"/>
        <v>24.78</v>
      </c>
      <c r="M314" s="113"/>
    </row>
    <row r="315" spans="1:13" x14ac:dyDescent="0.2">
      <c r="A315" s="106" t="s">
        <v>6306</v>
      </c>
      <c r="B315" s="272" t="s">
        <v>1810</v>
      </c>
      <c r="C315" s="105" t="s">
        <v>6518</v>
      </c>
      <c r="D315" s="149" t="s">
        <v>1811</v>
      </c>
      <c r="E315" s="105">
        <v>1</v>
      </c>
      <c r="F315" s="133">
        <v>38.39</v>
      </c>
      <c r="G315" s="133">
        <v>44.25</v>
      </c>
      <c r="H315" s="109">
        <f t="shared" si="12"/>
        <v>44.25</v>
      </c>
      <c r="I315" s="119"/>
      <c r="J315" s="119">
        <v>0</v>
      </c>
      <c r="K315" s="119">
        <f t="shared" si="13"/>
        <v>44.25</v>
      </c>
      <c r="L315" s="152">
        <f t="shared" si="14"/>
        <v>38.39</v>
      </c>
      <c r="M315" s="113"/>
    </row>
    <row r="316" spans="1:13" x14ac:dyDescent="0.2">
      <c r="A316" s="106" t="s">
        <v>6306</v>
      </c>
      <c r="B316" s="272" t="s">
        <v>3712</v>
      </c>
      <c r="C316" s="105" t="s">
        <v>6518</v>
      </c>
      <c r="D316" s="149" t="s">
        <v>3714</v>
      </c>
      <c r="E316" s="105">
        <v>1</v>
      </c>
      <c r="F316" s="133">
        <v>41.15</v>
      </c>
      <c r="G316" s="133">
        <v>42</v>
      </c>
      <c r="H316" s="109">
        <f t="shared" si="12"/>
        <v>42</v>
      </c>
      <c r="I316" s="119"/>
      <c r="J316" s="119">
        <v>0</v>
      </c>
      <c r="K316" s="119">
        <f t="shared" si="13"/>
        <v>42</v>
      </c>
      <c r="L316" s="152">
        <f t="shared" si="14"/>
        <v>41.15</v>
      </c>
      <c r="M316" s="113"/>
    </row>
    <row r="317" spans="1:13" x14ac:dyDescent="0.2">
      <c r="A317" s="106" t="s">
        <v>6306</v>
      </c>
      <c r="B317" s="272" t="s">
        <v>3909</v>
      </c>
      <c r="C317" s="105" t="s">
        <v>6519</v>
      </c>
      <c r="D317" s="149" t="s">
        <v>3911</v>
      </c>
      <c r="E317" s="105">
        <v>1</v>
      </c>
      <c r="F317" s="133">
        <v>7.06</v>
      </c>
      <c r="G317" s="133">
        <v>8.25</v>
      </c>
      <c r="H317" s="109">
        <f t="shared" si="12"/>
        <v>8.25</v>
      </c>
      <c r="I317" s="119"/>
      <c r="J317" s="119">
        <v>0</v>
      </c>
      <c r="K317" s="119">
        <f t="shared" si="13"/>
        <v>8.25</v>
      </c>
      <c r="L317" s="152">
        <f t="shared" si="14"/>
        <v>7.06</v>
      </c>
      <c r="M317" s="113"/>
    </row>
    <row r="318" spans="1:13" x14ac:dyDescent="0.2">
      <c r="A318" s="106" t="s">
        <v>6306</v>
      </c>
      <c r="B318" s="272" t="s">
        <v>1884</v>
      </c>
      <c r="C318" s="105" t="s">
        <v>6520</v>
      </c>
      <c r="D318" s="149" t="s">
        <v>1885</v>
      </c>
      <c r="E318" s="105">
        <v>1</v>
      </c>
      <c r="F318" s="133">
        <v>7.06</v>
      </c>
      <c r="G318" s="133">
        <v>8.25</v>
      </c>
      <c r="H318" s="109">
        <f t="shared" si="12"/>
        <v>8.25</v>
      </c>
      <c r="I318" s="119"/>
      <c r="J318" s="119">
        <v>0</v>
      </c>
      <c r="K318" s="119">
        <f t="shared" si="13"/>
        <v>8.25</v>
      </c>
      <c r="L318" s="152">
        <f t="shared" si="14"/>
        <v>7.06</v>
      </c>
      <c r="M318" s="113"/>
    </row>
    <row r="319" spans="1:13" x14ac:dyDescent="0.2">
      <c r="A319" s="250" t="s">
        <v>6306</v>
      </c>
      <c r="B319" s="272" t="s">
        <v>1843</v>
      </c>
      <c r="C319" s="251" t="s">
        <v>6521</v>
      </c>
      <c r="D319" s="252" t="s">
        <v>1844</v>
      </c>
      <c r="E319" s="251">
        <v>1</v>
      </c>
      <c r="F319" s="253"/>
      <c r="G319" s="253">
        <v>73.25</v>
      </c>
      <c r="H319" s="254">
        <f t="shared" si="12"/>
        <v>73.25</v>
      </c>
      <c r="I319" s="255"/>
      <c r="J319" s="255">
        <v>0</v>
      </c>
      <c r="K319" s="255">
        <f t="shared" si="13"/>
        <v>73.25</v>
      </c>
      <c r="L319" s="256">
        <f t="shared" si="14"/>
        <v>0</v>
      </c>
      <c r="M319" s="113"/>
    </row>
    <row r="320" spans="1:13" x14ac:dyDescent="0.2">
      <c r="A320" s="106" t="s">
        <v>6306</v>
      </c>
      <c r="B320" s="272" t="s">
        <v>3413</v>
      </c>
      <c r="C320" s="105" t="s">
        <v>6522</v>
      </c>
      <c r="D320" s="149" t="s">
        <v>3414</v>
      </c>
      <c r="E320" s="105">
        <v>1</v>
      </c>
      <c r="F320" s="133">
        <v>33.1</v>
      </c>
      <c r="G320" s="133">
        <v>38.25</v>
      </c>
      <c r="H320" s="109">
        <f t="shared" si="12"/>
        <v>38.25</v>
      </c>
      <c r="I320" s="119"/>
      <c r="J320" s="119">
        <v>0</v>
      </c>
      <c r="K320" s="119">
        <f t="shared" si="13"/>
        <v>38.25</v>
      </c>
      <c r="L320" s="152">
        <f t="shared" si="14"/>
        <v>33.1</v>
      </c>
      <c r="M320" s="113"/>
    </row>
    <row r="321" spans="1:13" x14ac:dyDescent="0.2">
      <c r="A321" s="106" t="s">
        <v>6307</v>
      </c>
      <c r="B321" s="272" t="s">
        <v>2794</v>
      </c>
      <c r="C321" s="105" t="s">
        <v>6523</v>
      </c>
      <c r="D321" s="149" t="s">
        <v>2795</v>
      </c>
      <c r="E321" s="105">
        <v>2</v>
      </c>
      <c r="F321" s="133">
        <v>23.15</v>
      </c>
      <c r="G321" s="133">
        <v>27</v>
      </c>
      <c r="H321" s="109">
        <f t="shared" si="12"/>
        <v>54</v>
      </c>
      <c r="I321" s="119"/>
      <c r="J321" s="119">
        <v>0</v>
      </c>
      <c r="K321" s="119">
        <f t="shared" si="13"/>
        <v>54</v>
      </c>
      <c r="L321" s="152">
        <f t="shared" si="14"/>
        <v>46.3</v>
      </c>
      <c r="M321" s="113"/>
    </row>
    <row r="322" spans="1:13" x14ac:dyDescent="0.2">
      <c r="A322" s="106" t="s">
        <v>6307</v>
      </c>
      <c r="B322" s="272" t="s">
        <v>2731</v>
      </c>
      <c r="C322" s="105" t="s">
        <v>6524</v>
      </c>
      <c r="D322" s="149" t="s">
        <v>2732</v>
      </c>
      <c r="E322" s="105">
        <v>6</v>
      </c>
      <c r="F322" s="133">
        <v>7.3</v>
      </c>
      <c r="G322" s="133">
        <v>8.5</v>
      </c>
      <c r="H322" s="109">
        <f t="shared" si="12"/>
        <v>51</v>
      </c>
      <c r="I322" s="119"/>
      <c r="J322" s="119">
        <v>0</v>
      </c>
      <c r="K322" s="119">
        <f t="shared" si="13"/>
        <v>51</v>
      </c>
      <c r="L322" s="152">
        <f t="shared" si="14"/>
        <v>43.8</v>
      </c>
      <c r="M322" s="113"/>
    </row>
    <row r="323" spans="1:13" x14ac:dyDescent="0.2">
      <c r="A323" s="106" t="s">
        <v>6307</v>
      </c>
      <c r="B323" s="272" t="s">
        <v>2794</v>
      </c>
      <c r="C323" s="105" t="s">
        <v>6525</v>
      </c>
      <c r="D323" s="149" t="s">
        <v>2795</v>
      </c>
      <c r="E323" s="105">
        <v>1</v>
      </c>
      <c r="F323" s="133">
        <v>23.15</v>
      </c>
      <c r="G323" s="133">
        <v>27</v>
      </c>
      <c r="H323" s="109">
        <f t="shared" si="12"/>
        <v>27</v>
      </c>
      <c r="I323" s="119"/>
      <c r="J323" s="119">
        <v>0</v>
      </c>
      <c r="K323" s="119">
        <f t="shared" si="13"/>
        <v>27</v>
      </c>
      <c r="L323" s="152">
        <f t="shared" si="14"/>
        <v>23.15</v>
      </c>
      <c r="M323" s="113"/>
    </row>
    <row r="324" spans="1:13" x14ac:dyDescent="0.2">
      <c r="A324" s="106" t="s">
        <v>6307</v>
      </c>
      <c r="B324" s="272" t="s">
        <v>2636</v>
      </c>
      <c r="C324" s="105" t="s">
        <v>6525</v>
      </c>
      <c r="D324" s="149" t="s">
        <v>2637</v>
      </c>
      <c r="E324" s="105">
        <v>6</v>
      </c>
      <c r="F324" s="133">
        <v>14.91</v>
      </c>
      <c r="G324" s="133">
        <v>17.25</v>
      </c>
      <c r="H324" s="109">
        <f t="shared" si="12"/>
        <v>103.5</v>
      </c>
      <c r="I324" s="119"/>
      <c r="J324" s="119">
        <v>0</v>
      </c>
      <c r="K324" s="119">
        <f t="shared" si="13"/>
        <v>103.5</v>
      </c>
      <c r="L324" s="152">
        <f t="shared" si="14"/>
        <v>89.460000000000008</v>
      </c>
      <c r="M324" s="113"/>
    </row>
    <row r="325" spans="1:13" x14ac:dyDescent="0.2">
      <c r="A325" s="106" t="s">
        <v>6307</v>
      </c>
      <c r="B325" s="272" t="s">
        <v>2237</v>
      </c>
      <c r="C325" s="105" t="s">
        <v>6526</v>
      </c>
      <c r="D325" s="149" t="s">
        <v>2239</v>
      </c>
      <c r="E325" s="105">
        <v>1</v>
      </c>
      <c r="F325" s="133">
        <v>13.32</v>
      </c>
      <c r="G325" s="133">
        <v>15.5</v>
      </c>
      <c r="H325" s="109">
        <f t="shared" si="12"/>
        <v>15.5</v>
      </c>
      <c r="I325" s="119"/>
      <c r="J325" s="119">
        <v>0</v>
      </c>
      <c r="K325" s="119">
        <f t="shared" si="13"/>
        <v>15.5</v>
      </c>
      <c r="L325" s="152">
        <f t="shared" si="14"/>
        <v>13.32</v>
      </c>
      <c r="M325" s="113"/>
    </row>
    <row r="326" spans="1:13" x14ac:dyDescent="0.2">
      <c r="A326" s="106" t="s">
        <v>6307</v>
      </c>
      <c r="B326" s="272" t="s">
        <v>5591</v>
      </c>
      <c r="C326" s="105" t="s">
        <v>6527</v>
      </c>
      <c r="D326" s="149" t="s">
        <v>5636</v>
      </c>
      <c r="E326" s="105">
        <v>2</v>
      </c>
      <c r="F326" s="133">
        <v>5.85</v>
      </c>
      <c r="G326" s="133">
        <v>7</v>
      </c>
      <c r="H326" s="109">
        <f t="shared" ref="H326:H375" si="15">E326*G326</f>
        <v>14</v>
      </c>
      <c r="I326" s="119"/>
      <c r="J326" s="119">
        <v>0</v>
      </c>
      <c r="K326" s="119">
        <f t="shared" ref="K326:K389" si="16">H326+I326-J326</f>
        <v>14</v>
      </c>
      <c r="L326" s="152">
        <f t="shared" si="14"/>
        <v>11.7</v>
      </c>
      <c r="M326" s="113"/>
    </row>
    <row r="327" spans="1:13" x14ac:dyDescent="0.2">
      <c r="A327" s="106" t="s">
        <v>6307</v>
      </c>
      <c r="B327" s="272" t="s">
        <v>5982</v>
      </c>
      <c r="C327" s="105" t="s">
        <v>6527</v>
      </c>
      <c r="D327" s="149" t="s">
        <v>6100</v>
      </c>
      <c r="E327" s="105">
        <v>2</v>
      </c>
      <c r="F327" s="133">
        <v>5.74</v>
      </c>
      <c r="G327" s="133">
        <v>7</v>
      </c>
      <c r="H327" s="109">
        <f t="shared" si="15"/>
        <v>14</v>
      </c>
      <c r="I327" s="119"/>
      <c r="J327" s="119">
        <v>0</v>
      </c>
      <c r="K327" s="119">
        <f t="shared" si="16"/>
        <v>14</v>
      </c>
      <c r="L327" s="152">
        <f t="shared" ref="L327:L390" si="17">E327*F327</f>
        <v>11.48</v>
      </c>
      <c r="M327" s="113"/>
    </row>
    <row r="328" spans="1:13" x14ac:dyDescent="0.2">
      <c r="A328" s="106" t="s">
        <v>6307</v>
      </c>
      <c r="B328" s="272" t="s">
        <v>5687</v>
      </c>
      <c r="C328" s="105" t="s">
        <v>6528</v>
      </c>
      <c r="D328" s="149" t="s">
        <v>5825</v>
      </c>
      <c r="E328" s="105">
        <v>1</v>
      </c>
      <c r="F328" s="133">
        <v>310</v>
      </c>
      <c r="G328" s="133">
        <v>372</v>
      </c>
      <c r="H328" s="109">
        <f t="shared" si="15"/>
        <v>372</v>
      </c>
      <c r="I328" s="119"/>
      <c r="J328" s="119">
        <v>0</v>
      </c>
      <c r="K328" s="119">
        <f t="shared" si="16"/>
        <v>372</v>
      </c>
      <c r="L328" s="152">
        <f t="shared" si="17"/>
        <v>310</v>
      </c>
      <c r="M328" s="113"/>
    </row>
    <row r="329" spans="1:13" x14ac:dyDescent="0.2">
      <c r="A329" s="106" t="s">
        <v>6307</v>
      </c>
      <c r="B329" s="272" t="s">
        <v>2298</v>
      </c>
      <c r="C329" s="105" t="s">
        <v>6528</v>
      </c>
      <c r="D329" s="149" t="s">
        <v>2299</v>
      </c>
      <c r="E329" s="105">
        <v>3</v>
      </c>
      <c r="F329" s="133">
        <v>21.84</v>
      </c>
      <c r="G329" s="133">
        <v>25.25</v>
      </c>
      <c r="H329" s="109">
        <f t="shared" si="15"/>
        <v>75.75</v>
      </c>
      <c r="I329" s="119"/>
      <c r="J329" s="119">
        <v>0</v>
      </c>
      <c r="K329" s="119">
        <f t="shared" si="16"/>
        <v>75.75</v>
      </c>
      <c r="L329" s="152">
        <f t="shared" si="17"/>
        <v>65.52</v>
      </c>
      <c r="M329" s="113"/>
    </row>
    <row r="330" spans="1:13" x14ac:dyDescent="0.2">
      <c r="A330" s="106" t="s">
        <v>6307</v>
      </c>
      <c r="B330" s="272" t="s">
        <v>3326</v>
      </c>
      <c r="C330" s="105" t="s">
        <v>6528</v>
      </c>
      <c r="D330" s="149" t="s">
        <v>3327</v>
      </c>
      <c r="E330" s="105">
        <v>12</v>
      </c>
      <c r="F330" s="133">
        <v>6.12</v>
      </c>
      <c r="G330" s="133">
        <v>7.25</v>
      </c>
      <c r="H330" s="109">
        <f t="shared" si="15"/>
        <v>87</v>
      </c>
      <c r="I330" s="119"/>
      <c r="J330" s="119">
        <v>0</v>
      </c>
      <c r="K330" s="119">
        <f t="shared" si="16"/>
        <v>87</v>
      </c>
      <c r="L330" s="152">
        <f t="shared" si="17"/>
        <v>73.44</v>
      </c>
      <c r="M330" s="113"/>
    </row>
    <row r="331" spans="1:13" x14ac:dyDescent="0.2">
      <c r="A331" s="106" t="s">
        <v>6307</v>
      </c>
      <c r="B331" s="272" t="s">
        <v>2521</v>
      </c>
      <c r="C331" s="105" t="s">
        <v>6528</v>
      </c>
      <c r="D331" s="149" t="s">
        <v>2522</v>
      </c>
      <c r="E331" s="105">
        <v>12</v>
      </c>
      <c r="F331" s="133">
        <v>6.12</v>
      </c>
      <c r="G331" s="133">
        <v>7.25</v>
      </c>
      <c r="H331" s="109">
        <f t="shared" si="15"/>
        <v>87</v>
      </c>
      <c r="I331" s="119"/>
      <c r="J331" s="119">
        <v>0</v>
      </c>
      <c r="K331" s="119">
        <f t="shared" si="16"/>
        <v>87</v>
      </c>
      <c r="L331" s="152">
        <f t="shared" si="17"/>
        <v>73.44</v>
      </c>
      <c r="M331" s="113"/>
    </row>
    <row r="332" spans="1:13" x14ac:dyDescent="0.2">
      <c r="A332" s="106" t="s">
        <v>6307</v>
      </c>
      <c r="B332" s="272" t="s">
        <v>6318</v>
      </c>
      <c r="C332" s="105" t="s">
        <v>6529</v>
      </c>
      <c r="D332" s="149" t="s">
        <v>6659</v>
      </c>
      <c r="E332" s="105">
        <v>1</v>
      </c>
      <c r="F332" s="133">
        <v>38</v>
      </c>
      <c r="G332" s="133">
        <v>43.75</v>
      </c>
      <c r="H332" s="109"/>
      <c r="I332" s="119">
        <v>43.75</v>
      </c>
      <c r="J332" s="119">
        <v>0</v>
      </c>
      <c r="K332" s="119">
        <f t="shared" si="16"/>
        <v>43.75</v>
      </c>
      <c r="L332" s="152">
        <f t="shared" si="17"/>
        <v>38</v>
      </c>
      <c r="M332" s="113"/>
    </row>
    <row r="333" spans="1:13" x14ac:dyDescent="0.2">
      <c r="A333" s="106" t="s">
        <v>6307</v>
      </c>
      <c r="B333" s="272" t="s">
        <v>2446</v>
      </c>
      <c r="C333" s="105" t="s">
        <v>6529</v>
      </c>
      <c r="D333" s="149" t="s">
        <v>2448</v>
      </c>
      <c r="E333" s="105">
        <v>2</v>
      </c>
      <c r="F333" s="133">
        <v>58.2</v>
      </c>
      <c r="G333" s="133">
        <v>67</v>
      </c>
      <c r="H333" s="109"/>
      <c r="I333" s="119">
        <v>134</v>
      </c>
      <c r="J333" s="119">
        <v>0</v>
      </c>
      <c r="K333" s="119">
        <f t="shared" si="16"/>
        <v>134</v>
      </c>
      <c r="L333" s="152">
        <f t="shared" si="17"/>
        <v>116.4</v>
      </c>
      <c r="M333" s="113"/>
    </row>
    <row r="334" spans="1:13" x14ac:dyDescent="0.2">
      <c r="A334" s="106" t="s">
        <v>6307</v>
      </c>
      <c r="B334" s="272" t="s">
        <v>6319</v>
      </c>
      <c r="C334" s="105" t="s">
        <v>6529</v>
      </c>
      <c r="D334" s="149" t="s">
        <v>6660</v>
      </c>
      <c r="E334" s="105">
        <v>2</v>
      </c>
      <c r="F334" s="133">
        <v>28.1</v>
      </c>
      <c r="G334" s="133">
        <v>32.5</v>
      </c>
      <c r="H334" s="109"/>
      <c r="I334" s="119">
        <v>65</v>
      </c>
      <c r="J334" s="119">
        <v>0</v>
      </c>
      <c r="K334" s="119">
        <f t="shared" si="16"/>
        <v>65</v>
      </c>
      <c r="L334" s="152">
        <f t="shared" si="17"/>
        <v>56.2</v>
      </c>
      <c r="M334" s="113"/>
    </row>
    <row r="335" spans="1:13" x14ac:dyDescent="0.2">
      <c r="A335" s="106" t="s">
        <v>6307</v>
      </c>
      <c r="B335" s="272" t="s">
        <v>6320</v>
      </c>
      <c r="C335" s="105" t="s">
        <v>6529</v>
      </c>
      <c r="D335" s="149" t="s">
        <v>6661</v>
      </c>
      <c r="E335" s="105">
        <v>2</v>
      </c>
      <c r="F335" s="133">
        <v>28.1</v>
      </c>
      <c r="G335" s="133">
        <v>32.5</v>
      </c>
      <c r="H335" s="109"/>
      <c r="I335" s="119">
        <v>65</v>
      </c>
      <c r="J335" s="119">
        <v>0</v>
      </c>
      <c r="K335" s="119">
        <f t="shared" si="16"/>
        <v>65</v>
      </c>
      <c r="L335" s="152">
        <f t="shared" si="17"/>
        <v>56.2</v>
      </c>
      <c r="M335" s="113"/>
    </row>
    <row r="336" spans="1:13" x14ac:dyDescent="0.2">
      <c r="A336" s="106" t="s">
        <v>6307</v>
      </c>
      <c r="B336" s="272" t="s">
        <v>3986</v>
      </c>
      <c r="C336" s="105" t="s">
        <v>6529</v>
      </c>
      <c r="D336" s="149" t="s">
        <v>3988</v>
      </c>
      <c r="E336" s="105">
        <v>3</v>
      </c>
      <c r="F336" s="133">
        <v>31.04</v>
      </c>
      <c r="G336" s="133">
        <v>37</v>
      </c>
      <c r="H336" s="109"/>
      <c r="I336" s="119">
        <v>111</v>
      </c>
      <c r="J336" s="119">
        <v>0</v>
      </c>
      <c r="K336" s="119">
        <f t="shared" si="16"/>
        <v>111</v>
      </c>
      <c r="L336" s="152">
        <f t="shared" si="17"/>
        <v>93.12</v>
      </c>
      <c r="M336" s="113"/>
    </row>
    <row r="337" spans="1:13" x14ac:dyDescent="0.2">
      <c r="A337" s="106" t="s">
        <v>6307</v>
      </c>
      <c r="B337" s="272" t="s">
        <v>2146</v>
      </c>
      <c r="C337" s="105" t="s">
        <v>6529</v>
      </c>
      <c r="D337" s="149" t="s">
        <v>2147</v>
      </c>
      <c r="E337" s="105">
        <v>100</v>
      </c>
      <c r="F337" s="133">
        <v>13.2</v>
      </c>
      <c r="G337" s="133">
        <v>16</v>
      </c>
      <c r="H337" s="109"/>
      <c r="I337" s="119">
        <v>1600</v>
      </c>
      <c r="J337" s="119">
        <v>0</v>
      </c>
      <c r="K337" s="119">
        <f t="shared" si="16"/>
        <v>1600</v>
      </c>
      <c r="L337" s="152">
        <f t="shared" si="17"/>
        <v>1320</v>
      </c>
      <c r="M337" s="113"/>
    </row>
    <row r="338" spans="1:13" x14ac:dyDescent="0.2">
      <c r="A338" s="106" t="s">
        <v>6307</v>
      </c>
      <c r="B338" s="272" t="s">
        <v>2512</v>
      </c>
      <c r="C338" s="105" t="s">
        <v>6529</v>
      </c>
      <c r="D338" s="149" t="s">
        <v>2514</v>
      </c>
      <c r="E338" s="105">
        <v>1</v>
      </c>
      <c r="F338" s="133">
        <v>58</v>
      </c>
      <c r="G338" s="133">
        <v>67</v>
      </c>
      <c r="H338" s="109"/>
      <c r="I338" s="119">
        <v>67</v>
      </c>
      <c r="J338" s="119">
        <v>0</v>
      </c>
      <c r="K338" s="119">
        <f t="shared" si="16"/>
        <v>67</v>
      </c>
      <c r="L338" s="152">
        <f t="shared" si="17"/>
        <v>58</v>
      </c>
      <c r="M338" s="113"/>
    </row>
    <row r="339" spans="1:13" x14ac:dyDescent="0.2">
      <c r="A339" s="106" t="s">
        <v>6307</v>
      </c>
      <c r="B339" s="272" t="s">
        <v>6321</v>
      </c>
      <c r="C339" s="105" t="s">
        <v>6529</v>
      </c>
      <c r="D339" s="149" t="s">
        <v>6662</v>
      </c>
      <c r="E339" s="105">
        <v>3</v>
      </c>
      <c r="F339" s="133">
        <v>45</v>
      </c>
      <c r="G339" s="133">
        <v>50</v>
      </c>
      <c r="H339" s="109"/>
      <c r="I339" s="119">
        <v>150</v>
      </c>
      <c r="J339" s="119">
        <v>270</v>
      </c>
      <c r="K339" s="119">
        <f t="shared" si="16"/>
        <v>-120</v>
      </c>
      <c r="L339" s="152">
        <f t="shared" si="17"/>
        <v>135</v>
      </c>
      <c r="M339" s="113"/>
    </row>
    <row r="340" spans="1:13" x14ac:dyDescent="0.2">
      <c r="A340" s="106" t="s">
        <v>6307</v>
      </c>
      <c r="B340" s="272" t="s">
        <v>6322</v>
      </c>
      <c r="C340" s="105" t="s">
        <v>6529</v>
      </c>
      <c r="D340" s="149" t="s">
        <v>6663</v>
      </c>
      <c r="E340" s="105">
        <v>2</v>
      </c>
      <c r="F340" s="133">
        <v>95</v>
      </c>
      <c r="G340" s="133">
        <v>110</v>
      </c>
      <c r="H340" s="109"/>
      <c r="I340" s="119">
        <v>220</v>
      </c>
      <c r="J340" s="119">
        <v>0</v>
      </c>
      <c r="K340" s="119">
        <f t="shared" si="16"/>
        <v>220</v>
      </c>
      <c r="L340" s="152">
        <f t="shared" si="17"/>
        <v>190</v>
      </c>
      <c r="M340" s="113"/>
    </row>
    <row r="341" spans="1:13" x14ac:dyDescent="0.2">
      <c r="A341" s="106" t="s">
        <v>6307</v>
      </c>
      <c r="B341" s="272" t="s">
        <v>6323</v>
      </c>
      <c r="C341" s="105" t="s">
        <v>6529</v>
      </c>
      <c r="D341" s="149" t="s">
        <v>6664</v>
      </c>
      <c r="E341" s="105">
        <v>1</v>
      </c>
      <c r="F341" s="133">
        <v>100</v>
      </c>
      <c r="G341" s="133">
        <v>115</v>
      </c>
      <c r="H341" s="109"/>
      <c r="I341" s="119">
        <v>115</v>
      </c>
      <c r="J341" s="119">
        <v>0</v>
      </c>
      <c r="K341" s="119">
        <f t="shared" si="16"/>
        <v>115</v>
      </c>
      <c r="L341" s="152">
        <f t="shared" si="17"/>
        <v>100</v>
      </c>
      <c r="M341" s="113"/>
    </row>
    <row r="342" spans="1:13" x14ac:dyDescent="0.2">
      <c r="A342" s="106" t="s">
        <v>6307</v>
      </c>
      <c r="B342" s="272" t="s">
        <v>6324</v>
      </c>
      <c r="C342" s="105" t="s">
        <v>6530</v>
      </c>
      <c r="D342" s="149" t="s">
        <v>6665</v>
      </c>
      <c r="E342" s="105">
        <v>2</v>
      </c>
      <c r="F342" s="133">
        <v>63.14</v>
      </c>
      <c r="G342" s="133">
        <v>72.75</v>
      </c>
      <c r="H342" s="109"/>
      <c r="I342" s="119">
        <v>145.5</v>
      </c>
      <c r="J342" s="119">
        <v>0</v>
      </c>
      <c r="K342" s="119">
        <f t="shared" si="16"/>
        <v>145.5</v>
      </c>
      <c r="L342" s="152">
        <f t="shared" si="17"/>
        <v>126.28</v>
      </c>
      <c r="M342" s="113"/>
    </row>
    <row r="343" spans="1:13" x14ac:dyDescent="0.2">
      <c r="A343" s="106" t="s">
        <v>6307</v>
      </c>
      <c r="B343" s="272" t="s">
        <v>2512</v>
      </c>
      <c r="C343" s="105" t="s">
        <v>6530</v>
      </c>
      <c r="D343" s="149" t="s">
        <v>2514</v>
      </c>
      <c r="E343" s="105">
        <v>1</v>
      </c>
      <c r="F343" s="133">
        <v>58</v>
      </c>
      <c r="G343" s="133">
        <v>67</v>
      </c>
      <c r="H343" s="109"/>
      <c r="I343" s="119">
        <v>67</v>
      </c>
      <c r="J343" s="119">
        <v>0</v>
      </c>
      <c r="K343" s="119">
        <f t="shared" si="16"/>
        <v>67</v>
      </c>
      <c r="L343" s="152">
        <f t="shared" si="17"/>
        <v>58</v>
      </c>
      <c r="M343" s="113"/>
    </row>
    <row r="344" spans="1:13" x14ac:dyDescent="0.2">
      <c r="A344" s="106" t="s">
        <v>6307</v>
      </c>
      <c r="B344" s="272" t="s">
        <v>6325</v>
      </c>
      <c r="C344" s="105" t="s">
        <v>6530</v>
      </c>
      <c r="D344" s="149" t="s">
        <v>6666</v>
      </c>
      <c r="E344" s="105">
        <v>2</v>
      </c>
      <c r="F344" s="133">
        <v>81.5</v>
      </c>
      <c r="G344" s="133">
        <v>93.75</v>
      </c>
      <c r="H344" s="109"/>
      <c r="I344" s="119">
        <v>187.5</v>
      </c>
      <c r="J344" s="119">
        <v>0</v>
      </c>
      <c r="K344" s="119">
        <f t="shared" si="16"/>
        <v>187.5</v>
      </c>
      <c r="L344" s="152">
        <f t="shared" si="17"/>
        <v>163</v>
      </c>
      <c r="M344" s="113"/>
    </row>
    <row r="345" spans="1:13" x14ac:dyDescent="0.2">
      <c r="A345" s="106" t="s">
        <v>6307</v>
      </c>
      <c r="B345" s="272" t="s">
        <v>4802</v>
      </c>
      <c r="C345" s="105" t="s">
        <v>6530</v>
      </c>
      <c r="D345" s="149" t="s">
        <v>4870</v>
      </c>
      <c r="E345" s="105">
        <v>1</v>
      </c>
      <c r="F345" s="133">
        <v>127.18</v>
      </c>
      <c r="G345" s="133">
        <v>146.5</v>
      </c>
      <c r="H345" s="109"/>
      <c r="I345" s="119">
        <v>146.5</v>
      </c>
      <c r="J345" s="119">
        <v>0</v>
      </c>
      <c r="K345" s="119">
        <f t="shared" si="16"/>
        <v>146.5</v>
      </c>
      <c r="L345" s="152">
        <f t="shared" si="17"/>
        <v>127.18</v>
      </c>
      <c r="M345" s="113"/>
    </row>
    <row r="346" spans="1:13" x14ac:dyDescent="0.2">
      <c r="A346" s="106" t="s">
        <v>6307</v>
      </c>
      <c r="B346" s="272" t="s">
        <v>4806</v>
      </c>
      <c r="C346" s="105" t="s">
        <v>6530</v>
      </c>
      <c r="D346" s="149" t="s">
        <v>4874</v>
      </c>
      <c r="E346" s="105">
        <v>24</v>
      </c>
      <c r="F346" s="133">
        <v>8.58</v>
      </c>
      <c r="G346" s="133">
        <v>10</v>
      </c>
      <c r="H346" s="109"/>
      <c r="I346" s="119">
        <v>240</v>
      </c>
      <c r="J346" s="119">
        <v>0</v>
      </c>
      <c r="K346" s="119">
        <f t="shared" si="16"/>
        <v>240</v>
      </c>
      <c r="L346" s="152">
        <f t="shared" si="17"/>
        <v>205.92000000000002</v>
      </c>
      <c r="M346" s="113"/>
    </row>
    <row r="347" spans="1:13" x14ac:dyDescent="0.2">
      <c r="A347" s="106" t="s">
        <v>6307</v>
      </c>
      <c r="B347" s="272" t="s">
        <v>4329</v>
      </c>
      <c r="C347" s="105" t="s">
        <v>6530</v>
      </c>
      <c r="D347" s="149" t="s">
        <v>4359</v>
      </c>
      <c r="E347" s="105">
        <v>12</v>
      </c>
      <c r="F347" s="133">
        <v>13.21</v>
      </c>
      <c r="G347" s="133">
        <v>15.25</v>
      </c>
      <c r="H347" s="109"/>
      <c r="I347" s="119">
        <v>183</v>
      </c>
      <c r="J347" s="119">
        <v>0</v>
      </c>
      <c r="K347" s="119">
        <f t="shared" si="16"/>
        <v>183</v>
      </c>
      <c r="L347" s="152">
        <f t="shared" si="17"/>
        <v>158.52000000000001</v>
      </c>
      <c r="M347" s="113"/>
    </row>
    <row r="348" spans="1:13" x14ac:dyDescent="0.2">
      <c r="A348" s="106" t="s">
        <v>6307</v>
      </c>
      <c r="B348" s="272" t="s">
        <v>6326</v>
      </c>
      <c r="C348" s="105" t="s">
        <v>6530</v>
      </c>
      <c r="D348" s="149" t="s">
        <v>6667</v>
      </c>
      <c r="E348" s="105">
        <v>11</v>
      </c>
      <c r="F348" s="133">
        <v>11.03</v>
      </c>
      <c r="G348" s="133">
        <v>13.75</v>
      </c>
      <c r="H348" s="109"/>
      <c r="I348" s="119">
        <v>151.25</v>
      </c>
      <c r="J348" s="119">
        <v>0</v>
      </c>
      <c r="K348" s="119">
        <f t="shared" si="16"/>
        <v>151.25</v>
      </c>
      <c r="L348" s="152">
        <f t="shared" si="17"/>
        <v>121.33</v>
      </c>
      <c r="M348" s="113"/>
    </row>
    <row r="349" spans="1:13" x14ac:dyDescent="0.2">
      <c r="A349" s="106" t="s">
        <v>6307</v>
      </c>
      <c r="B349" s="272" t="s">
        <v>2002</v>
      </c>
      <c r="C349" s="105" t="s">
        <v>6530</v>
      </c>
      <c r="D349" s="149" t="s">
        <v>2004</v>
      </c>
      <c r="E349" s="105">
        <v>12</v>
      </c>
      <c r="F349" s="133">
        <v>12.56</v>
      </c>
      <c r="G349" s="133">
        <v>14.25</v>
      </c>
      <c r="H349" s="109"/>
      <c r="I349" s="119">
        <v>171</v>
      </c>
      <c r="J349" s="119">
        <v>0</v>
      </c>
      <c r="K349" s="119">
        <f t="shared" si="16"/>
        <v>171</v>
      </c>
      <c r="L349" s="152">
        <f t="shared" si="17"/>
        <v>150.72</v>
      </c>
      <c r="M349" s="113"/>
    </row>
    <row r="350" spans="1:13" x14ac:dyDescent="0.2">
      <c r="A350" s="106" t="s">
        <v>6307</v>
      </c>
      <c r="B350" s="272" t="s">
        <v>6327</v>
      </c>
      <c r="C350" s="105" t="s">
        <v>6530</v>
      </c>
      <c r="D350" s="149" t="s">
        <v>6668</v>
      </c>
      <c r="E350" s="105">
        <v>10</v>
      </c>
      <c r="F350" s="133">
        <v>95.6</v>
      </c>
      <c r="G350" s="133">
        <v>110</v>
      </c>
      <c r="H350" s="109"/>
      <c r="I350" s="119">
        <v>1100</v>
      </c>
      <c r="J350" s="119">
        <v>0</v>
      </c>
      <c r="K350" s="119">
        <f t="shared" si="16"/>
        <v>1100</v>
      </c>
      <c r="L350" s="152">
        <f t="shared" si="17"/>
        <v>956</v>
      </c>
      <c r="M350" s="113"/>
    </row>
    <row r="351" spans="1:13" x14ac:dyDescent="0.2">
      <c r="A351" s="106" t="s">
        <v>6307</v>
      </c>
      <c r="B351" s="272" t="s">
        <v>6328</v>
      </c>
      <c r="C351" s="105" t="s">
        <v>6530</v>
      </c>
      <c r="D351" s="149" t="s">
        <v>6669</v>
      </c>
      <c r="E351" s="105">
        <v>10</v>
      </c>
      <c r="F351" s="133">
        <v>95.6</v>
      </c>
      <c r="G351" s="133">
        <v>105</v>
      </c>
      <c r="H351" s="109"/>
      <c r="I351" s="119">
        <v>1050</v>
      </c>
      <c r="J351" s="119">
        <v>0</v>
      </c>
      <c r="K351" s="119">
        <f t="shared" si="16"/>
        <v>1050</v>
      </c>
      <c r="L351" s="152">
        <f t="shared" si="17"/>
        <v>956</v>
      </c>
      <c r="M351" s="113"/>
    </row>
    <row r="352" spans="1:13" x14ac:dyDescent="0.2">
      <c r="A352" s="106" t="s">
        <v>6307</v>
      </c>
      <c r="B352" s="272" t="s">
        <v>6329</v>
      </c>
      <c r="C352" s="105" t="s">
        <v>6530</v>
      </c>
      <c r="D352" s="149" t="s">
        <v>6670</v>
      </c>
      <c r="E352" s="105">
        <v>6</v>
      </c>
      <c r="F352" s="133">
        <v>103.5</v>
      </c>
      <c r="G352" s="133">
        <v>119</v>
      </c>
      <c r="H352" s="109"/>
      <c r="I352" s="119">
        <v>714</v>
      </c>
      <c r="J352" s="119">
        <v>0</v>
      </c>
      <c r="K352" s="119">
        <f t="shared" si="16"/>
        <v>714</v>
      </c>
      <c r="L352" s="152">
        <f t="shared" si="17"/>
        <v>621</v>
      </c>
      <c r="M352" s="113"/>
    </row>
    <row r="353" spans="1:13" x14ac:dyDescent="0.2">
      <c r="A353" s="106" t="s">
        <v>6307</v>
      </c>
      <c r="B353" s="272" t="s">
        <v>6330</v>
      </c>
      <c r="C353" s="105" t="s">
        <v>6530</v>
      </c>
      <c r="D353" s="149" t="s">
        <v>6671</v>
      </c>
      <c r="E353" s="105">
        <v>6</v>
      </c>
      <c r="F353" s="133">
        <v>192</v>
      </c>
      <c r="G353" s="133">
        <v>220</v>
      </c>
      <c r="H353" s="109"/>
      <c r="I353" s="119">
        <v>1320</v>
      </c>
      <c r="J353" s="119">
        <v>0</v>
      </c>
      <c r="K353" s="119">
        <f t="shared" si="16"/>
        <v>1320</v>
      </c>
      <c r="L353" s="152">
        <f t="shared" si="17"/>
        <v>1152</v>
      </c>
      <c r="M353" s="113"/>
    </row>
    <row r="354" spans="1:13" x14ac:dyDescent="0.2">
      <c r="A354" s="106" t="s">
        <v>6307</v>
      </c>
      <c r="B354" s="272" t="s">
        <v>6331</v>
      </c>
      <c r="C354" s="105" t="s">
        <v>6530</v>
      </c>
      <c r="D354" s="149" t="s">
        <v>6672</v>
      </c>
      <c r="E354" s="105">
        <v>2</v>
      </c>
      <c r="F354" s="133">
        <v>172</v>
      </c>
      <c r="G354" s="133">
        <v>197</v>
      </c>
      <c r="H354" s="109"/>
      <c r="I354" s="119">
        <v>394</v>
      </c>
      <c r="J354" s="119">
        <v>50</v>
      </c>
      <c r="K354" s="119">
        <f t="shared" si="16"/>
        <v>344</v>
      </c>
      <c r="L354" s="152">
        <f t="shared" si="17"/>
        <v>344</v>
      </c>
      <c r="M354" s="113"/>
    </row>
    <row r="355" spans="1:13" x14ac:dyDescent="0.2">
      <c r="A355" s="106" t="s">
        <v>6307</v>
      </c>
      <c r="B355" s="272" t="s">
        <v>2996</v>
      </c>
      <c r="C355" s="105" t="s">
        <v>6531</v>
      </c>
      <c r="D355" s="149" t="s">
        <v>2997</v>
      </c>
      <c r="E355" s="105">
        <v>1</v>
      </c>
      <c r="F355" s="133">
        <v>46.3</v>
      </c>
      <c r="G355" s="133">
        <v>53.25</v>
      </c>
      <c r="H355" s="109">
        <f t="shared" si="15"/>
        <v>53.25</v>
      </c>
      <c r="I355" s="119"/>
      <c r="J355" s="119">
        <v>0</v>
      </c>
      <c r="K355" s="119">
        <f t="shared" si="16"/>
        <v>53.25</v>
      </c>
      <c r="L355" s="152">
        <f t="shared" si="17"/>
        <v>46.3</v>
      </c>
      <c r="M355" s="113"/>
    </row>
    <row r="356" spans="1:13" x14ac:dyDescent="0.2">
      <c r="A356" s="106" t="s">
        <v>6307</v>
      </c>
      <c r="B356" s="272" t="s">
        <v>4068</v>
      </c>
      <c r="C356" s="105" t="s">
        <v>6531</v>
      </c>
      <c r="D356" s="149" t="s">
        <v>4070</v>
      </c>
      <c r="E356" s="105">
        <v>1</v>
      </c>
      <c r="F356" s="133">
        <v>20.57</v>
      </c>
      <c r="G356" s="133">
        <v>23.75</v>
      </c>
      <c r="H356" s="109">
        <f t="shared" si="15"/>
        <v>23.75</v>
      </c>
      <c r="I356" s="119"/>
      <c r="J356" s="119">
        <v>0</v>
      </c>
      <c r="K356" s="119">
        <f t="shared" si="16"/>
        <v>23.75</v>
      </c>
      <c r="L356" s="152">
        <f t="shared" si="17"/>
        <v>20.57</v>
      </c>
      <c r="M356" s="113"/>
    </row>
    <row r="357" spans="1:13" x14ac:dyDescent="0.2">
      <c r="A357" s="106" t="s">
        <v>6307</v>
      </c>
      <c r="B357" s="272" t="s">
        <v>1884</v>
      </c>
      <c r="C357" s="105" t="s">
        <v>6532</v>
      </c>
      <c r="D357" s="149" t="s">
        <v>1885</v>
      </c>
      <c r="E357" s="105">
        <v>1</v>
      </c>
      <c r="F357" s="133">
        <v>7.06</v>
      </c>
      <c r="G357" s="133">
        <v>8.25</v>
      </c>
      <c r="H357" s="109">
        <f t="shared" si="15"/>
        <v>8.25</v>
      </c>
      <c r="I357" s="119"/>
      <c r="J357" s="119">
        <v>0</v>
      </c>
      <c r="K357" s="119">
        <f t="shared" si="16"/>
        <v>8.25</v>
      </c>
      <c r="L357" s="152">
        <f t="shared" si="17"/>
        <v>7.06</v>
      </c>
      <c r="M357" s="113"/>
    </row>
    <row r="358" spans="1:13" x14ac:dyDescent="0.2">
      <c r="A358" s="106" t="s">
        <v>6307</v>
      </c>
      <c r="B358" s="272" t="s">
        <v>3092</v>
      </c>
      <c r="C358" s="105" t="s">
        <v>6533</v>
      </c>
      <c r="D358" s="149" t="s">
        <v>3093</v>
      </c>
      <c r="E358" s="105">
        <v>2</v>
      </c>
      <c r="F358" s="133">
        <v>7.48</v>
      </c>
      <c r="G358" s="133">
        <v>8.75</v>
      </c>
      <c r="H358" s="109">
        <f t="shared" si="15"/>
        <v>17.5</v>
      </c>
      <c r="I358" s="119"/>
      <c r="J358" s="119">
        <v>0</v>
      </c>
      <c r="K358" s="119">
        <f t="shared" si="16"/>
        <v>17.5</v>
      </c>
      <c r="L358" s="152">
        <f t="shared" si="17"/>
        <v>14.96</v>
      </c>
      <c r="M358" s="113"/>
    </row>
    <row r="359" spans="1:13" x14ac:dyDescent="0.2">
      <c r="A359" s="106" t="s">
        <v>6307</v>
      </c>
      <c r="B359" s="272" t="s">
        <v>1830</v>
      </c>
      <c r="C359" s="105" t="s">
        <v>6533</v>
      </c>
      <c r="D359" s="149" t="s">
        <v>1831</v>
      </c>
      <c r="E359" s="105">
        <v>1</v>
      </c>
      <c r="F359" s="133">
        <v>16.84</v>
      </c>
      <c r="G359" s="133">
        <v>19.5</v>
      </c>
      <c r="H359" s="109">
        <f t="shared" si="15"/>
        <v>19.5</v>
      </c>
      <c r="I359" s="119"/>
      <c r="J359" s="119">
        <v>0</v>
      </c>
      <c r="K359" s="119">
        <f t="shared" si="16"/>
        <v>19.5</v>
      </c>
      <c r="L359" s="152">
        <f t="shared" si="17"/>
        <v>16.84</v>
      </c>
      <c r="M359" s="113"/>
    </row>
    <row r="360" spans="1:13" x14ac:dyDescent="0.2">
      <c r="A360" s="106" t="s">
        <v>6307</v>
      </c>
      <c r="B360" s="272" t="s">
        <v>2727</v>
      </c>
      <c r="C360" s="105" t="s">
        <v>6534</v>
      </c>
      <c r="D360" s="149" t="s">
        <v>2729</v>
      </c>
      <c r="E360" s="105">
        <v>2</v>
      </c>
      <c r="F360" s="133">
        <v>7.75</v>
      </c>
      <c r="G360" s="133">
        <v>9</v>
      </c>
      <c r="H360" s="109">
        <f t="shared" si="15"/>
        <v>18</v>
      </c>
      <c r="I360" s="119"/>
      <c r="J360" s="119">
        <v>0</v>
      </c>
      <c r="K360" s="119">
        <f t="shared" si="16"/>
        <v>18</v>
      </c>
      <c r="L360" s="152">
        <f t="shared" si="17"/>
        <v>15.5</v>
      </c>
      <c r="M360" s="113"/>
    </row>
    <row r="361" spans="1:13" x14ac:dyDescent="0.2">
      <c r="A361" s="106" t="s">
        <v>6307</v>
      </c>
      <c r="B361" s="272" t="s">
        <v>2278</v>
      </c>
      <c r="C361" s="105" t="s">
        <v>6535</v>
      </c>
      <c r="D361" s="149" t="s">
        <v>2280</v>
      </c>
      <c r="E361" s="105">
        <v>13</v>
      </c>
      <c r="F361" s="133">
        <v>144.31</v>
      </c>
      <c r="G361" s="133">
        <v>166</v>
      </c>
      <c r="H361" s="109"/>
      <c r="I361" s="119">
        <v>2158</v>
      </c>
      <c r="J361" s="119">
        <v>0</v>
      </c>
      <c r="K361" s="119">
        <f t="shared" si="16"/>
        <v>2158</v>
      </c>
      <c r="L361" s="152">
        <f t="shared" si="17"/>
        <v>1876.03</v>
      </c>
      <c r="M361" s="113"/>
    </row>
    <row r="362" spans="1:13" x14ac:dyDescent="0.2">
      <c r="A362" s="106" t="s">
        <v>6307</v>
      </c>
      <c r="B362" s="272" t="s">
        <v>4447</v>
      </c>
      <c r="C362" s="105" t="s">
        <v>6535</v>
      </c>
      <c r="D362" s="149" t="s">
        <v>4477</v>
      </c>
      <c r="E362" s="105">
        <v>5</v>
      </c>
      <c r="F362" s="133">
        <v>118.16</v>
      </c>
      <c r="G362" s="133">
        <v>136</v>
      </c>
      <c r="H362" s="109"/>
      <c r="I362" s="119">
        <v>680</v>
      </c>
      <c r="J362" s="119">
        <v>0</v>
      </c>
      <c r="K362" s="119">
        <f t="shared" si="16"/>
        <v>680</v>
      </c>
      <c r="L362" s="152">
        <f t="shared" si="17"/>
        <v>590.79999999999995</v>
      </c>
      <c r="M362" s="113"/>
    </row>
    <row r="363" spans="1:13" x14ac:dyDescent="0.2">
      <c r="A363" s="106" t="s">
        <v>6307</v>
      </c>
      <c r="B363" s="272" t="s">
        <v>5694</v>
      </c>
      <c r="C363" s="105" t="s">
        <v>6535</v>
      </c>
      <c r="D363" s="149" t="s">
        <v>5832</v>
      </c>
      <c r="E363" s="105">
        <v>2</v>
      </c>
      <c r="F363" s="133">
        <v>109.83</v>
      </c>
      <c r="G363" s="133">
        <v>126.5</v>
      </c>
      <c r="H363" s="109"/>
      <c r="I363" s="119">
        <v>253</v>
      </c>
      <c r="J363" s="119">
        <v>0</v>
      </c>
      <c r="K363" s="119">
        <f t="shared" si="16"/>
        <v>253</v>
      </c>
      <c r="L363" s="152">
        <f t="shared" si="17"/>
        <v>219.66</v>
      </c>
      <c r="M363" s="113"/>
    </row>
    <row r="364" spans="1:13" x14ac:dyDescent="0.2">
      <c r="A364" s="106" t="s">
        <v>6307</v>
      </c>
      <c r="B364" s="272" t="s">
        <v>2947</v>
      </c>
      <c r="C364" s="105" t="s">
        <v>6535</v>
      </c>
      <c r="D364" s="149" t="s">
        <v>2948</v>
      </c>
      <c r="E364" s="105">
        <v>10</v>
      </c>
      <c r="F364" s="133">
        <v>74.8</v>
      </c>
      <c r="G364" s="133">
        <v>86.25</v>
      </c>
      <c r="H364" s="109"/>
      <c r="I364" s="119">
        <v>862.5</v>
      </c>
      <c r="J364" s="119">
        <v>0</v>
      </c>
      <c r="K364" s="119">
        <f t="shared" si="16"/>
        <v>862.5</v>
      </c>
      <c r="L364" s="152">
        <f t="shared" si="17"/>
        <v>748</v>
      </c>
      <c r="M364" s="113"/>
    </row>
    <row r="365" spans="1:13" x14ac:dyDescent="0.2">
      <c r="A365" s="106" t="s">
        <v>6307</v>
      </c>
      <c r="B365" s="272" t="s">
        <v>2884</v>
      </c>
      <c r="C365" s="105" t="s">
        <v>6535</v>
      </c>
      <c r="D365" s="149" t="s">
        <v>2886</v>
      </c>
      <c r="E365" s="105">
        <v>5</v>
      </c>
      <c r="F365" s="133">
        <v>251.67</v>
      </c>
      <c r="G365" s="133">
        <v>362.75</v>
      </c>
      <c r="H365" s="109"/>
      <c r="I365" s="119">
        <v>1813.75</v>
      </c>
      <c r="J365" s="119">
        <v>0</v>
      </c>
      <c r="K365" s="119">
        <f t="shared" si="16"/>
        <v>1813.75</v>
      </c>
      <c r="L365" s="152">
        <f t="shared" si="17"/>
        <v>1258.3499999999999</v>
      </c>
      <c r="M365" s="113"/>
    </row>
    <row r="366" spans="1:13" x14ac:dyDescent="0.2">
      <c r="A366" s="106" t="s">
        <v>6307</v>
      </c>
      <c r="B366" s="272" t="s">
        <v>6332</v>
      </c>
      <c r="C366" s="105" t="s">
        <v>6535</v>
      </c>
      <c r="D366" s="149" t="s">
        <v>6673</v>
      </c>
      <c r="E366" s="105">
        <v>10</v>
      </c>
      <c r="F366" s="133">
        <v>43.5</v>
      </c>
      <c r="G366" s="133">
        <v>50</v>
      </c>
      <c r="H366" s="109"/>
      <c r="I366" s="119">
        <v>500</v>
      </c>
      <c r="J366" s="119">
        <v>0</v>
      </c>
      <c r="K366" s="119">
        <f t="shared" si="16"/>
        <v>500</v>
      </c>
      <c r="L366" s="152">
        <f t="shared" si="17"/>
        <v>435</v>
      </c>
      <c r="M366" s="113"/>
    </row>
    <row r="367" spans="1:13" x14ac:dyDescent="0.2">
      <c r="A367" s="106" t="s">
        <v>6307</v>
      </c>
      <c r="B367" s="272" t="s">
        <v>2951</v>
      </c>
      <c r="C367" s="105" t="s">
        <v>6535</v>
      </c>
      <c r="D367" s="149" t="s">
        <v>2952</v>
      </c>
      <c r="E367" s="105">
        <v>6</v>
      </c>
      <c r="F367" s="133">
        <v>166.15</v>
      </c>
      <c r="G367" s="133">
        <v>249</v>
      </c>
      <c r="H367" s="109"/>
      <c r="I367" s="119">
        <v>1494</v>
      </c>
      <c r="J367" s="119">
        <v>0</v>
      </c>
      <c r="K367" s="119">
        <f t="shared" si="16"/>
        <v>1494</v>
      </c>
      <c r="L367" s="152">
        <f t="shared" si="17"/>
        <v>996.90000000000009</v>
      </c>
      <c r="M367" s="113"/>
    </row>
    <row r="368" spans="1:13" x14ac:dyDescent="0.2">
      <c r="A368" s="106" t="s">
        <v>6307</v>
      </c>
      <c r="B368" s="272" t="s">
        <v>4999</v>
      </c>
      <c r="C368" s="105" t="s">
        <v>6535</v>
      </c>
      <c r="D368" s="149" t="s">
        <v>5025</v>
      </c>
      <c r="E368" s="105">
        <v>3</v>
      </c>
      <c r="F368" s="133">
        <v>296.10000000000002</v>
      </c>
      <c r="G368" s="133">
        <v>340.75</v>
      </c>
      <c r="H368" s="109"/>
      <c r="I368" s="119">
        <v>1022.25</v>
      </c>
      <c r="J368" s="119">
        <v>0</v>
      </c>
      <c r="K368" s="119">
        <f t="shared" si="16"/>
        <v>1022.25</v>
      </c>
      <c r="L368" s="152">
        <f t="shared" si="17"/>
        <v>888.30000000000007</v>
      </c>
      <c r="M368" s="113"/>
    </row>
    <row r="369" spans="1:13" x14ac:dyDescent="0.2">
      <c r="A369" s="106" t="s">
        <v>6307</v>
      </c>
      <c r="B369" s="272" t="s">
        <v>2955</v>
      </c>
      <c r="C369" s="105" t="s">
        <v>6535</v>
      </c>
      <c r="D369" s="149" t="s">
        <v>2956</v>
      </c>
      <c r="E369" s="105">
        <v>3</v>
      </c>
      <c r="F369" s="133">
        <v>360.65</v>
      </c>
      <c r="G369" s="133">
        <v>414.75</v>
      </c>
      <c r="H369" s="109"/>
      <c r="I369" s="119">
        <v>1244.25</v>
      </c>
      <c r="J369" s="119">
        <v>0</v>
      </c>
      <c r="K369" s="119">
        <f t="shared" si="16"/>
        <v>1244.25</v>
      </c>
      <c r="L369" s="152">
        <f t="shared" si="17"/>
        <v>1081.9499999999998</v>
      </c>
      <c r="M369" s="113"/>
    </row>
    <row r="370" spans="1:13" x14ac:dyDescent="0.2">
      <c r="A370" s="106" t="s">
        <v>6307</v>
      </c>
      <c r="B370" s="272" t="s">
        <v>2959</v>
      </c>
      <c r="C370" s="105" t="s">
        <v>6535</v>
      </c>
      <c r="D370" s="149" t="s">
        <v>2960</v>
      </c>
      <c r="E370" s="105">
        <v>9</v>
      </c>
      <c r="F370" s="133">
        <v>529.58000000000004</v>
      </c>
      <c r="G370" s="133">
        <v>615</v>
      </c>
      <c r="H370" s="109"/>
      <c r="I370" s="119">
        <v>5535</v>
      </c>
      <c r="J370" s="119">
        <v>0</v>
      </c>
      <c r="K370" s="119">
        <f t="shared" si="16"/>
        <v>5535</v>
      </c>
      <c r="L370" s="152">
        <f t="shared" si="17"/>
        <v>4766.22</v>
      </c>
      <c r="M370" s="113"/>
    </row>
    <row r="371" spans="1:13" x14ac:dyDescent="0.2">
      <c r="A371" s="106" t="s">
        <v>6307</v>
      </c>
      <c r="B371" s="272" t="s">
        <v>2963</v>
      </c>
      <c r="C371" s="105" t="s">
        <v>6535</v>
      </c>
      <c r="D371" s="149" t="s">
        <v>2964</v>
      </c>
      <c r="E371" s="105">
        <v>10</v>
      </c>
      <c r="F371" s="133">
        <v>160.51</v>
      </c>
      <c r="G371" s="133">
        <v>184.75</v>
      </c>
      <c r="H371" s="109"/>
      <c r="I371" s="119">
        <v>1847.5</v>
      </c>
      <c r="J371" s="119">
        <v>0</v>
      </c>
      <c r="K371" s="119">
        <f t="shared" si="16"/>
        <v>1847.5</v>
      </c>
      <c r="L371" s="152">
        <f t="shared" si="17"/>
        <v>1605.1</v>
      </c>
      <c r="M371" s="113"/>
    </row>
    <row r="372" spans="1:13" x14ac:dyDescent="0.2">
      <c r="A372" s="106" t="s">
        <v>6307</v>
      </c>
      <c r="B372" s="272" t="s">
        <v>1834</v>
      </c>
      <c r="C372" s="105" t="s">
        <v>6535</v>
      </c>
      <c r="D372" s="149" t="s">
        <v>1836</v>
      </c>
      <c r="E372" s="105">
        <v>12</v>
      </c>
      <c r="F372" s="133">
        <v>14.92</v>
      </c>
      <c r="G372" s="133">
        <v>17.25</v>
      </c>
      <c r="H372" s="109"/>
      <c r="I372" s="119">
        <v>207</v>
      </c>
      <c r="J372" s="119">
        <v>0</v>
      </c>
      <c r="K372" s="119">
        <f t="shared" si="16"/>
        <v>207</v>
      </c>
      <c r="L372" s="152">
        <f t="shared" si="17"/>
        <v>179.04</v>
      </c>
      <c r="M372" s="113"/>
    </row>
    <row r="373" spans="1:13" x14ac:dyDescent="0.2">
      <c r="A373" s="106" t="s">
        <v>6307</v>
      </c>
      <c r="B373" s="272" t="s">
        <v>3457</v>
      </c>
      <c r="C373" s="105" t="s">
        <v>6536</v>
      </c>
      <c r="D373" s="149" t="s">
        <v>3458</v>
      </c>
      <c r="E373" s="105">
        <v>2</v>
      </c>
      <c r="F373" s="133">
        <v>51.97</v>
      </c>
      <c r="G373" s="133">
        <v>60</v>
      </c>
      <c r="H373" s="109">
        <f t="shared" si="15"/>
        <v>120</v>
      </c>
      <c r="I373" s="119"/>
      <c r="J373" s="119">
        <v>0</v>
      </c>
      <c r="K373" s="119">
        <f t="shared" si="16"/>
        <v>120</v>
      </c>
      <c r="L373" s="152">
        <f t="shared" si="17"/>
        <v>103.94</v>
      </c>
      <c r="M373" s="113"/>
    </row>
    <row r="374" spans="1:13" x14ac:dyDescent="0.2">
      <c r="A374" s="106" t="s">
        <v>6307</v>
      </c>
      <c r="B374" s="272" t="s">
        <v>6333</v>
      </c>
      <c r="C374" s="105" t="s">
        <v>6537</v>
      </c>
      <c r="D374" s="149" t="s">
        <v>6674</v>
      </c>
      <c r="E374" s="105">
        <v>1</v>
      </c>
      <c r="F374" s="133">
        <v>6995</v>
      </c>
      <c r="G374" s="133">
        <v>8000</v>
      </c>
      <c r="H374" s="109">
        <f t="shared" si="15"/>
        <v>8000</v>
      </c>
      <c r="I374" s="119"/>
      <c r="J374" s="119">
        <v>0</v>
      </c>
      <c r="K374" s="119">
        <f t="shared" si="16"/>
        <v>8000</v>
      </c>
      <c r="L374" s="152">
        <f t="shared" si="17"/>
        <v>6995</v>
      </c>
      <c r="M374" s="113"/>
    </row>
    <row r="375" spans="1:13" x14ac:dyDescent="0.2">
      <c r="A375" s="106" t="s">
        <v>6307</v>
      </c>
      <c r="B375" s="272" t="s">
        <v>5415</v>
      </c>
      <c r="C375" s="105" t="s">
        <v>6538</v>
      </c>
      <c r="D375" s="149" t="s">
        <v>5466</v>
      </c>
      <c r="E375" s="105">
        <v>1</v>
      </c>
      <c r="F375" s="133">
        <v>3.7</v>
      </c>
      <c r="G375" s="133">
        <v>5</v>
      </c>
      <c r="H375" s="109">
        <f t="shared" si="15"/>
        <v>5</v>
      </c>
      <c r="I375" s="119"/>
      <c r="J375" s="119">
        <v>0</v>
      </c>
      <c r="K375" s="119">
        <f t="shared" si="16"/>
        <v>5</v>
      </c>
      <c r="L375" s="152">
        <f t="shared" si="17"/>
        <v>3.7</v>
      </c>
      <c r="M375" s="113"/>
    </row>
    <row r="376" spans="1:13" x14ac:dyDescent="0.2">
      <c r="A376" s="106" t="s">
        <v>6307</v>
      </c>
      <c r="B376" s="272" t="s">
        <v>2512</v>
      </c>
      <c r="C376" s="105" t="s">
        <v>6539</v>
      </c>
      <c r="D376" s="149" t="s">
        <v>2514</v>
      </c>
      <c r="E376" s="105">
        <v>2</v>
      </c>
      <c r="F376" s="133">
        <v>58</v>
      </c>
      <c r="G376" s="133">
        <v>67</v>
      </c>
      <c r="H376" s="109"/>
      <c r="I376" s="119">
        <v>134</v>
      </c>
      <c r="J376" s="119">
        <v>0</v>
      </c>
      <c r="K376" s="119">
        <f t="shared" si="16"/>
        <v>134</v>
      </c>
      <c r="L376" s="152">
        <f t="shared" si="17"/>
        <v>116</v>
      </c>
      <c r="M376" s="113"/>
    </row>
    <row r="377" spans="1:13" x14ac:dyDescent="0.2">
      <c r="A377" s="106" t="s">
        <v>6307</v>
      </c>
      <c r="B377" s="272" t="s">
        <v>6334</v>
      </c>
      <c r="C377" s="105" t="s">
        <v>6539</v>
      </c>
      <c r="D377" s="149" t="s">
        <v>6675</v>
      </c>
      <c r="E377" s="105">
        <v>5</v>
      </c>
      <c r="F377" s="133">
        <v>45</v>
      </c>
      <c r="G377" s="133">
        <v>55</v>
      </c>
      <c r="H377" s="109"/>
      <c r="I377" s="119">
        <v>275</v>
      </c>
      <c r="J377" s="119">
        <v>0</v>
      </c>
      <c r="K377" s="119">
        <f t="shared" si="16"/>
        <v>275</v>
      </c>
      <c r="L377" s="152">
        <f t="shared" si="17"/>
        <v>225</v>
      </c>
      <c r="M377" s="113"/>
    </row>
    <row r="378" spans="1:13" x14ac:dyDescent="0.2">
      <c r="A378" s="106" t="s">
        <v>6307</v>
      </c>
      <c r="B378" s="272" t="s">
        <v>6335</v>
      </c>
      <c r="C378" s="105" t="s">
        <v>6539</v>
      </c>
      <c r="D378" s="149" t="s">
        <v>6676</v>
      </c>
      <c r="E378" s="105">
        <v>3</v>
      </c>
      <c r="F378" s="133">
        <v>50</v>
      </c>
      <c r="G378" s="133">
        <v>55</v>
      </c>
      <c r="H378" s="109"/>
      <c r="I378" s="119">
        <v>165</v>
      </c>
      <c r="J378" s="119">
        <v>0</v>
      </c>
      <c r="K378" s="119">
        <f t="shared" si="16"/>
        <v>165</v>
      </c>
      <c r="L378" s="152">
        <f t="shared" si="17"/>
        <v>150</v>
      </c>
      <c r="M378" s="113"/>
    </row>
    <row r="379" spans="1:13" x14ac:dyDescent="0.2">
      <c r="A379" s="106" t="s">
        <v>6307</v>
      </c>
      <c r="B379" s="272" t="s">
        <v>6336</v>
      </c>
      <c r="C379" s="105" t="s">
        <v>6539</v>
      </c>
      <c r="D379" s="149" t="s">
        <v>6677</v>
      </c>
      <c r="E379" s="105">
        <v>3</v>
      </c>
      <c r="F379" s="133">
        <v>25</v>
      </c>
      <c r="G379" s="133">
        <v>30</v>
      </c>
      <c r="H379" s="109"/>
      <c r="I379" s="119">
        <v>90</v>
      </c>
      <c r="J379" s="119">
        <v>0</v>
      </c>
      <c r="K379" s="119">
        <f t="shared" si="16"/>
        <v>90</v>
      </c>
      <c r="L379" s="152">
        <f t="shared" si="17"/>
        <v>75</v>
      </c>
      <c r="M379" s="113"/>
    </row>
    <row r="380" spans="1:13" x14ac:dyDescent="0.2">
      <c r="A380" s="106" t="s">
        <v>6307</v>
      </c>
      <c r="B380" s="272" t="s">
        <v>6337</v>
      </c>
      <c r="C380" s="105" t="s">
        <v>6539</v>
      </c>
      <c r="D380" s="149" t="s">
        <v>6678</v>
      </c>
      <c r="E380" s="105">
        <v>4</v>
      </c>
      <c r="F380" s="133">
        <v>35</v>
      </c>
      <c r="G380" s="133">
        <v>50</v>
      </c>
      <c r="H380" s="109"/>
      <c r="I380" s="119">
        <v>200</v>
      </c>
      <c r="J380" s="119">
        <v>0</v>
      </c>
      <c r="K380" s="119">
        <f t="shared" si="16"/>
        <v>200</v>
      </c>
      <c r="L380" s="152">
        <f t="shared" si="17"/>
        <v>140</v>
      </c>
      <c r="M380" s="113"/>
    </row>
    <row r="381" spans="1:13" x14ac:dyDescent="0.2">
      <c r="A381" s="106" t="s">
        <v>6307</v>
      </c>
      <c r="B381" s="272" t="s">
        <v>6338</v>
      </c>
      <c r="C381" s="105" t="s">
        <v>6540</v>
      </c>
      <c r="D381" s="149" t="s">
        <v>6679</v>
      </c>
      <c r="E381" s="105">
        <v>2</v>
      </c>
      <c r="F381" s="133">
        <v>30</v>
      </c>
      <c r="G381" s="133">
        <v>35</v>
      </c>
      <c r="H381" s="109"/>
      <c r="I381" s="119">
        <v>70</v>
      </c>
      <c r="J381" s="119">
        <v>0</v>
      </c>
      <c r="K381" s="119">
        <f t="shared" si="16"/>
        <v>70</v>
      </c>
      <c r="L381" s="152">
        <f t="shared" si="17"/>
        <v>60</v>
      </c>
      <c r="M381" s="113"/>
    </row>
    <row r="382" spans="1:13" x14ac:dyDescent="0.2">
      <c r="A382" s="106" t="s">
        <v>6307</v>
      </c>
      <c r="B382" s="272" t="s">
        <v>6339</v>
      </c>
      <c r="C382" s="105" t="s">
        <v>6540</v>
      </c>
      <c r="D382" s="149" t="s">
        <v>6680</v>
      </c>
      <c r="E382" s="105">
        <v>3</v>
      </c>
      <c r="F382" s="133">
        <v>82</v>
      </c>
      <c r="G382" s="133">
        <v>94.3</v>
      </c>
      <c r="H382" s="109"/>
      <c r="I382" s="119">
        <v>282.89999999999998</v>
      </c>
      <c r="J382" s="119">
        <v>0</v>
      </c>
      <c r="K382" s="119">
        <f t="shared" si="16"/>
        <v>282.89999999999998</v>
      </c>
      <c r="L382" s="152">
        <f t="shared" si="17"/>
        <v>246</v>
      </c>
      <c r="M382" s="113"/>
    </row>
    <row r="383" spans="1:13" x14ac:dyDescent="0.2">
      <c r="A383" s="106" t="s">
        <v>6307</v>
      </c>
      <c r="B383" s="272" t="s">
        <v>6340</v>
      </c>
      <c r="C383" s="105" t="s">
        <v>6540</v>
      </c>
      <c r="D383" s="149" t="s">
        <v>6681</v>
      </c>
      <c r="E383" s="105">
        <v>2</v>
      </c>
      <c r="F383" s="133">
        <v>81.25</v>
      </c>
      <c r="G383" s="133">
        <v>93.44</v>
      </c>
      <c r="H383" s="109"/>
      <c r="I383" s="119">
        <v>186.88</v>
      </c>
      <c r="J383" s="119">
        <v>0</v>
      </c>
      <c r="K383" s="119">
        <f t="shared" si="16"/>
        <v>186.88</v>
      </c>
      <c r="L383" s="152">
        <f t="shared" si="17"/>
        <v>162.5</v>
      </c>
      <c r="M383" s="113"/>
    </row>
    <row r="384" spans="1:13" x14ac:dyDescent="0.2">
      <c r="A384" s="106" t="s">
        <v>6307</v>
      </c>
      <c r="B384" s="272" t="s">
        <v>6341</v>
      </c>
      <c r="C384" s="105" t="s">
        <v>6540</v>
      </c>
      <c r="D384" s="149" t="s">
        <v>6682</v>
      </c>
      <c r="E384" s="105">
        <v>2</v>
      </c>
      <c r="F384" s="133">
        <v>83</v>
      </c>
      <c r="G384" s="133">
        <v>95.45</v>
      </c>
      <c r="H384" s="109"/>
      <c r="I384" s="119">
        <v>190.9</v>
      </c>
      <c r="J384" s="119">
        <v>0</v>
      </c>
      <c r="K384" s="119">
        <f t="shared" si="16"/>
        <v>190.9</v>
      </c>
      <c r="L384" s="152">
        <f t="shared" si="17"/>
        <v>166</v>
      </c>
      <c r="M384" s="113"/>
    </row>
    <row r="385" spans="1:13" x14ac:dyDescent="0.2">
      <c r="A385" s="106" t="s">
        <v>6307</v>
      </c>
      <c r="B385" s="272" t="s">
        <v>6342</v>
      </c>
      <c r="C385" s="105" t="s">
        <v>6540</v>
      </c>
      <c r="D385" s="149" t="s">
        <v>6683</v>
      </c>
      <c r="E385" s="105">
        <v>5</v>
      </c>
      <c r="F385" s="133">
        <v>20.8</v>
      </c>
      <c r="G385" s="133">
        <v>25</v>
      </c>
      <c r="H385" s="109"/>
      <c r="I385" s="119">
        <v>125</v>
      </c>
      <c r="J385" s="119">
        <v>0</v>
      </c>
      <c r="K385" s="119">
        <f t="shared" si="16"/>
        <v>125</v>
      </c>
      <c r="L385" s="152">
        <f t="shared" si="17"/>
        <v>104</v>
      </c>
      <c r="M385" s="113"/>
    </row>
    <row r="386" spans="1:13" x14ac:dyDescent="0.2">
      <c r="A386" s="106" t="s">
        <v>6307</v>
      </c>
      <c r="B386" s="272" t="s">
        <v>6343</v>
      </c>
      <c r="C386" s="105" t="s">
        <v>6540</v>
      </c>
      <c r="D386" s="149" t="s">
        <v>6684</v>
      </c>
      <c r="E386" s="105">
        <v>10</v>
      </c>
      <c r="F386" s="133">
        <v>20.8</v>
      </c>
      <c r="G386" s="133">
        <v>25</v>
      </c>
      <c r="H386" s="109"/>
      <c r="I386" s="119">
        <v>250</v>
      </c>
      <c r="J386" s="119">
        <v>0</v>
      </c>
      <c r="K386" s="119">
        <f t="shared" si="16"/>
        <v>250</v>
      </c>
      <c r="L386" s="152">
        <f t="shared" si="17"/>
        <v>208</v>
      </c>
      <c r="M386" s="113"/>
    </row>
    <row r="387" spans="1:13" x14ac:dyDescent="0.2">
      <c r="A387" s="106" t="s">
        <v>6307</v>
      </c>
      <c r="B387" s="272" t="s">
        <v>6344</v>
      </c>
      <c r="C387" s="105" t="s">
        <v>6540</v>
      </c>
      <c r="D387" s="149" t="s">
        <v>6685</v>
      </c>
      <c r="E387" s="105">
        <v>5</v>
      </c>
      <c r="F387" s="133">
        <v>20.85</v>
      </c>
      <c r="G387" s="133">
        <v>25</v>
      </c>
      <c r="H387" s="109"/>
      <c r="I387" s="119">
        <v>125</v>
      </c>
      <c r="J387" s="119">
        <v>0</v>
      </c>
      <c r="K387" s="119">
        <f t="shared" si="16"/>
        <v>125</v>
      </c>
      <c r="L387" s="152">
        <f t="shared" si="17"/>
        <v>104.25</v>
      </c>
      <c r="M387" s="113"/>
    </row>
    <row r="388" spans="1:13" x14ac:dyDescent="0.2">
      <c r="A388" s="106" t="s">
        <v>6307</v>
      </c>
      <c r="B388" s="272" t="s">
        <v>6345</v>
      </c>
      <c r="C388" s="105" t="s">
        <v>6540</v>
      </c>
      <c r="D388" s="149" t="s">
        <v>6686</v>
      </c>
      <c r="E388" s="105">
        <v>5</v>
      </c>
      <c r="F388" s="133">
        <v>19.25</v>
      </c>
      <c r="G388" s="133">
        <v>24</v>
      </c>
      <c r="H388" s="109"/>
      <c r="I388" s="119">
        <v>120</v>
      </c>
      <c r="J388" s="119">
        <v>0</v>
      </c>
      <c r="K388" s="119">
        <f t="shared" si="16"/>
        <v>120</v>
      </c>
      <c r="L388" s="152">
        <f t="shared" si="17"/>
        <v>96.25</v>
      </c>
      <c r="M388" s="113"/>
    </row>
    <row r="389" spans="1:13" x14ac:dyDescent="0.2">
      <c r="A389" s="106" t="s">
        <v>6307</v>
      </c>
      <c r="B389" s="272" t="s">
        <v>6346</v>
      </c>
      <c r="C389" s="105" t="s">
        <v>6540</v>
      </c>
      <c r="D389" s="149" t="s">
        <v>6687</v>
      </c>
      <c r="E389" s="105">
        <v>5</v>
      </c>
      <c r="F389" s="133">
        <v>53.25</v>
      </c>
      <c r="G389" s="133">
        <v>61</v>
      </c>
      <c r="H389" s="109"/>
      <c r="I389" s="119">
        <v>305</v>
      </c>
      <c r="J389" s="119">
        <v>0</v>
      </c>
      <c r="K389" s="119">
        <f t="shared" si="16"/>
        <v>305</v>
      </c>
      <c r="L389" s="152">
        <f t="shared" si="17"/>
        <v>266.25</v>
      </c>
      <c r="M389" s="113"/>
    </row>
    <row r="390" spans="1:13" x14ac:dyDescent="0.2">
      <c r="A390" s="106" t="s">
        <v>6307</v>
      </c>
      <c r="B390" s="272" t="s">
        <v>6334</v>
      </c>
      <c r="C390" s="105" t="s">
        <v>6540</v>
      </c>
      <c r="D390" s="149" t="s">
        <v>6675</v>
      </c>
      <c r="E390" s="105">
        <v>3</v>
      </c>
      <c r="F390" s="133">
        <v>45</v>
      </c>
      <c r="G390" s="133">
        <v>55</v>
      </c>
      <c r="H390" s="109"/>
      <c r="I390" s="119">
        <v>165</v>
      </c>
      <c r="J390" s="119">
        <v>0</v>
      </c>
      <c r="K390" s="119">
        <f t="shared" ref="K390:K453" si="18">H390+I390-J390</f>
        <v>165</v>
      </c>
      <c r="L390" s="152">
        <f t="shared" si="17"/>
        <v>135</v>
      </c>
      <c r="M390" s="113"/>
    </row>
    <row r="391" spans="1:13" x14ac:dyDescent="0.2">
      <c r="A391" s="106" t="s">
        <v>6307</v>
      </c>
      <c r="B391" s="272" t="s">
        <v>6347</v>
      </c>
      <c r="C391" s="105" t="s">
        <v>6540</v>
      </c>
      <c r="D391" s="149" t="s">
        <v>6688</v>
      </c>
      <c r="E391" s="105">
        <v>4</v>
      </c>
      <c r="F391" s="133">
        <v>28</v>
      </c>
      <c r="G391" s="133">
        <v>33</v>
      </c>
      <c r="H391" s="109"/>
      <c r="I391" s="119">
        <v>132</v>
      </c>
      <c r="J391" s="119">
        <v>0</v>
      </c>
      <c r="K391" s="119">
        <f t="shared" si="18"/>
        <v>132</v>
      </c>
      <c r="L391" s="152">
        <f t="shared" ref="L391:L454" si="19">E391*F391</f>
        <v>112</v>
      </c>
      <c r="M391" s="113"/>
    </row>
    <row r="392" spans="1:13" x14ac:dyDescent="0.2">
      <c r="A392" s="106" t="s">
        <v>6307</v>
      </c>
      <c r="B392" s="272" t="s">
        <v>6348</v>
      </c>
      <c r="C392" s="105" t="s">
        <v>6540</v>
      </c>
      <c r="D392" s="149" t="s">
        <v>6689</v>
      </c>
      <c r="E392" s="105">
        <v>4</v>
      </c>
      <c r="F392" s="133">
        <v>19</v>
      </c>
      <c r="G392" s="133">
        <v>25</v>
      </c>
      <c r="H392" s="109"/>
      <c r="I392" s="119">
        <v>100</v>
      </c>
      <c r="J392" s="119">
        <v>0</v>
      </c>
      <c r="K392" s="119">
        <f t="shared" si="18"/>
        <v>100</v>
      </c>
      <c r="L392" s="152">
        <f t="shared" si="19"/>
        <v>76</v>
      </c>
      <c r="M392" s="113"/>
    </row>
    <row r="393" spans="1:13" x14ac:dyDescent="0.2">
      <c r="A393" s="106" t="s">
        <v>6307</v>
      </c>
      <c r="B393" s="272" t="s">
        <v>6323</v>
      </c>
      <c r="C393" s="105" t="s">
        <v>6540</v>
      </c>
      <c r="D393" s="149" t="s">
        <v>6664</v>
      </c>
      <c r="E393" s="105">
        <v>1</v>
      </c>
      <c r="F393" s="133">
        <v>100</v>
      </c>
      <c r="G393" s="133">
        <v>115</v>
      </c>
      <c r="H393" s="109"/>
      <c r="I393" s="119">
        <v>115</v>
      </c>
      <c r="J393" s="119">
        <v>0</v>
      </c>
      <c r="K393" s="119">
        <f t="shared" si="18"/>
        <v>115</v>
      </c>
      <c r="L393" s="152">
        <f t="shared" si="19"/>
        <v>100</v>
      </c>
      <c r="M393" s="113"/>
    </row>
    <row r="394" spans="1:13" x14ac:dyDescent="0.2">
      <c r="A394" s="106" t="s">
        <v>6307</v>
      </c>
      <c r="B394" s="272" t="s">
        <v>6349</v>
      </c>
      <c r="C394" s="105" t="s">
        <v>6540</v>
      </c>
      <c r="D394" s="149" t="s">
        <v>6690</v>
      </c>
      <c r="E394" s="105">
        <v>3</v>
      </c>
      <c r="F394" s="133">
        <v>32</v>
      </c>
      <c r="G394" s="133">
        <v>50</v>
      </c>
      <c r="H394" s="109"/>
      <c r="I394" s="119">
        <v>150</v>
      </c>
      <c r="J394" s="119">
        <v>0</v>
      </c>
      <c r="K394" s="119">
        <f t="shared" si="18"/>
        <v>150</v>
      </c>
      <c r="L394" s="152">
        <f t="shared" si="19"/>
        <v>96</v>
      </c>
      <c r="M394" s="113"/>
    </row>
    <row r="395" spans="1:13" x14ac:dyDescent="0.2">
      <c r="A395" s="106" t="s">
        <v>6307</v>
      </c>
      <c r="B395" s="272" t="s">
        <v>6326</v>
      </c>
      <c r="C395" s="105" t="s">
        <v>6541</v>
      </c>
      <c r="D395" s="149" t="s">
        <v>6667</v>
      </c>
      <c r="E395" s="105">
        <v>22</v>
      </c>
      <c r="F395" s="133">
        <v>11.03</v>
      </c>
      <c r="G395" s="133">
        <v>13.75</v>
      </c>
      <c r="H395" s="109"/>
      <c r="I395" s="119">
        <v>302.5</v>
      </c>
      <c r="J395" s="119">
        <v>0</v>
      </c>
      <c r="K395" s="119">
        <f t="shared" si="18"/>
        <v>302.5</v>
      </c>
      <c r="L395" s="152">
        <f t="shared" si="19"/>
        <v>242.66</v>
      </c>
      <c r="M395" s="113"/>
    </row>
    <row r="396" spans="1:13" x14ac:dyDescent="0.2">
      <c r="A396" s="106" t="s">
        <v>6307</v>
      </c>
      <c r="B396" s="272" t="s">
        <v>4806</v>
      </c>
      <c r="C396" s="105" t="s">
        <v>6541</v>
      </c>
      <c r="D396" s="149" t="s">
        <v>4874</v>
      </c>
      <c r="E396" s="105">
        <v>12</v>
      </c>
      <c r="F396" s="133">
        <v>8.58</v>
      </c>
      <c r="G396" s="133">
        <v>10</v>
      </c>
      <c r="H396" s="109"/>
      <c r="I396" s="119">
        <v>120</v>
      </c>
      <c r="J396" s="119">
        <v>0</v>
      </c>
      <c r="K396" s="119">
        <f t="shared" si="18"/>
        <v>120</v>
      </c>
      <c r="L396" s="152">
        <f t="shared" si="19"/>
        <v>102.96000000000001</v>
      </c>
      <c r="M396" s="113"/>
    </row>
    <row r="397" spans="1:13" x14ac:dyDescent="0.2">
      <c r="A397" s="106" t="s">
        <v>6307</v>
      </c>
      <c r="B397" s="272" t="s">
        <v>2002</v>
      </c>
      <c r="C397" s="105" t="s">
        <v>6541</v>
      </c>
      <c r="D397" s="149" t="s">
        <v>2004</v>
      </c>
      <c r="E397" s="105">
        <v>10</v>
      </c>
      <c r="F397" s="133">
        <v>12.56</v>
      </c>
      <c r="G397" s="133">
        <v>14.25</v>
      </c>
      <c r="H397" s="109"/>
      <c r="I397" s="119">
        <v>142.5</v>
      </c>
      <c r="J397" s="119">
        <v>22</v>
      </c>
      <c r="K397" s="119">
        <f t="shared" si="18"/>
        <v>120.5</v>
      </c>
      <c r="L397" s="152">
        <f t="shared" si="19"/>
        <v>125.60000000000001</v>
      </c>
      <c r="M397" s="113"/>
    </row>
    <row r="398" spans="1:13" x14ac:dyDescent="0.2">
      <c r="A398" s="106" t="s">
        <v>6307</v>
      </c>
      <c r="B398" s="272" t="s">
        <v>2451</v>
      </c>
      <c r="C398" s="105" t="s">
        <v>6541</v>
      </c>
      <c r="D398" s="149" t="s">
        <v>2452</v>
      </c>
      <c r="E398" s="105">
        <v>2</v>
      </c>
      <c r="F398" s="133">
        <v>39</v>
      </c>
      <c r="G398" s="133">
        <v>45</v>
      </c>
      <c r="H398" s="109"/>
      <c r="I398" s="119">
        <v>90</v>
      </c>
      <c r="J398" s="119">
        <v>0</v>
      </c>
      <c r="K398" s="119">
        <f t="shared" si="18"/>
        <v>90</v>
      </c>
      <c r="L398" s="152">
        <f t="shared" si="19"/>
        <v>78</v>
      </c>
      <c r="M398" s="113"/>
    </row>
    <row r="399" spans="1:13" x14ac:dyDescent="0.2">
      <c r="A399" s="106" t="s">
        <v>6307</v>
      </c>
      <c r="B399" s="272" t="s">
        <v>5870</v>
      </c>
      <c r="C399" s="105" t="s">
        <v>6541</v>
      </c>
      <c r="D399" s="149" t="s">
        <v>5963</v>
      </c>
      <c r="E399" s="105">
        <v>2</v>
      </c>
      <c r="F399" s="133">
        <v>39</v>
      </c>
      <c r="G399" s="133">
        <v>45</v>
      </c>
      <c r="H399" s="109"/>
      <c r="I399" s="119">
        <v>90</v>
      </c>
      <c r="J399" s="119">
        <v>0</v>
      </c>
      <c r="K399" s="119">
        <f t="shared" si="18"/>
        <v>90</v>
      </c>
      <c r="L399" s="152">
        <f t="shared" si="19"/>
        <v>78</v>
      </c>
      <c r="M399" s="113"/>
    </row>
    <row r="400" spans="1:13" x14ac:dyDescent="0.2">
      <c r="A400" s="106" t="s">
        <v>6307</v>
      </c>
      <c r="B400" s="272" t="s">
        <v>3986</v>
      </c>
      <c r="C400" s="105" t="s">
        <v>6541</v>
      </c>
      <c r="D400" s="149" t="s">
        <v>3988</v>
      </c>
      <c r="E400" s="105">
        <v>1</v>
      </c>
      <c r="F400" s="133">
        <v>31.04</v>
      </c>
      <c r="G400" s="133">
        <v>37</v>
      </c>
      <c r="H400" s="109"/>
      <c r="I400" s="119">
        <v>37</v>
      </c>
      <c r="J400" s="119">
        <v>0</v>
      </c>
      <c r="K400" s="119">
        <f t="shared" si="18"/>
        <v>37</v>
      </c>
      <c r="L400" s="152">
        <f t="shared" si="19"/>
        <v>31.04</v>
      </c>
      <c r="M400" s="113"/>
    </row>
    <row r="401" spans="1:13" x14ac:dyDescent="0.2">
      <c r="A401" s="106" t="s">
        <v>6307</v>
      </c>
      <c r="B401" s="272" t="s">
        <v>6318</v>
      </c>
      <c r="C401" s="105" t="s">
        <v>6541</v>
      </c>
      <c r="D401" s="149" t="s">
        <v>6659</v>
      </c>
      <c r="E401" s="105">
        <v>1</v>
      </c>
      <c r="F401" s="133">
        <v>38</v>
      </c>
      <c r="G401" s="133">
        <v>43.75</v>
      </c>
      <c r="H401" s="109"/>
      <c r="I401" s="119">
        <v>43.75</v>
      </c>
      <c r="J401" s="119">
        <v>0</v>
      </c>
      <c r="K401" s="119">
        <f t="shared" si="18"/>
        <v>43.75</v>
      </c>
      <c r="L401" s="152">
        <f t="shared" si="19"/>
        <v>38</v>
      </c>
      <c r="M401" s="113"/>
    </row>
    <row r="402" spans="1:13" x14ac:dyDescent="0.2">
      <c r="A402" s="106" t="s">
        <v>6307</v>
      </c>
      <c r="B402" s="272" t="s">
        <v>5033</v>
      </c>
      <c r="C402" s="105" t="s">
        <v>6541</v>
      </c>
      <c r="D402" s="149" t="s">
        <v>5077</v>
      </c>
      <c r="E402" s="105">
        <v>2</v>
      </c>
      <c r="F402" s="133">
        <v>25</v>
      </c>
      <c r="G402" s="133">
        <v>28.75</v>
      </c>
      <c r="H402" s="109"/>
      <c r="I402" s="119">
        <v>57.5</v>
      </c>
      <c r="J402" s="119">
        <v>0</v>
      </c>
      <c r="K402" s="119">
        <f t="shared" si="18"/>
        <v>57.5</v>
      </c>
      <c r="L402" s="152">
        <f t="shared" si="19"/>
        <v>50</v>
      </c>
      <c r="M402" s="113"/>
    </row>
    <row r="403" spans="1:13" x14ac:dyDescent="0.2">
      <c r="A403" s="106" t="s">
        <v>6307</v>
      </c>
      <c r="B403" s="272" t="s">
        <v>5654</v>
      </c>
      <c r="C403" s="105" t="s">
        <v>6541</v>
      </c>
      <c r="D403" s="149" t="s">
        <v>5677</v>
      </c>
      <c r="E403" s="105">
        <v>1</v>
      </c>
      <c r="F403" s="133">
        <v>50.5</v>
      </c>
      <c r="G403" s="133">
        <v>58.25</v>
      </c>
      <c r="H403" s="109"/>
      <c r="I403" s="119">
        <v>58.25</v>
      </c>
      <c r="J403" s="119">
        <v>0</v>
      </c>
      <c r="K403" s="119">
        <f t="shared" si="18"/>
        <v>58.25</v>
      </c>
      <c r="L403" s="152">
        <f t="shared" si="19"/>
        <v>50.5</v>
      </c>
      <c r="M403" s="113"/>
    </row>
    <row r="404" spans="1:13" x14ac:dyDescent="0.2">
      <c r="A404" s="106" t="s">
        <v>6307</v>
      </c>
      <c r="B404" s="272" t="s">
        <v>6350</v>
      </c>
      <c r="C404" s="105" t="s">
        <v>6541</v>
      </c>
      <c r="D404" s="149" t="s">
        <v>6691</v>
      </c>
      <c r="E404" s="105">
        <v>1</v>
      </c>
      <c r="F404" s="133">
        <v>29</v>
      </c>
      <c r="G404" s="133">
        <v>33.5</v>
      </c>
      <c r="H404" s="109"/>
      <c r="I404" s="119">
        <v>33.5</v>
      </c>
      <c r="J404" s="119">
        <v>0</v>
      </c>
      <c r="K404" s="119">
        <f t="shared" si="18"/>
        <v>33.5</v>
      </c>
      <c r="L404" s="152">
        <f t="shared" si="19"/>
        <v>29</v>
      </c>
      <c r="M404" s="113"/>
    </row>
    <row r="405" spans="1:13" x14ac:dyDescent="0.2">
      <c r="A405" s="106" t="s">
        <v>6307</v>
      </c>
      <c r="B405" s="272" t="s">
        <v>6351</v>
      </c>
      <c r="C405" s="105" t="s">
        <v>6542</v>
      </c>
      <c r="D405" s="149" t="s">
        <v>6692</v>
      </c>
      <c r="E405" s="105">
        <v>5</v>
      </c>
      <c r="F405" s="133">
        <v>28.85</v>
      </c>
      <c r="G405" s="133">
        <v>33.25</v>
      </c>
      <c r="H405" s="109"/>
      <c r="I405" s="119">
        <v>166.25</v>
      </c>
      <c r="J405" s="119">
        <v>0</v>
      </c>
      <c r="K405" s="119">
        <f t="shared" si="18"/>
        <v>166.25</v>
      </c>
      <c r="L405" s="152">
        <f t="shared" si="19"/>
        <v>144.25</v>
      </c>
      <c r="M405" s="113"/>
    </row>
    <row r="406" spans="1:13" x14ac:dyDescent="0.2">
      <c r="A406" s="106" t="s">
        <v>6307</v>
      </c>
      <c r="B406" s="272" t="s">
        <v>5868</v>
      </c>
      <c r="C406" s="105" t="s">
        <v>6542</v>
      </c>
      <c r="D406" s="149" t="s">
        <v>5961</v>
      </c>
      <c r="E406" s="105">
        <v>4</v>
      </c>
      <c r="F406" s="133">
        <v>28.85</v>
      </c>
      <c r="G406" s="133">
        <v>33.25</v>
      </c>
      <c r="H406" s="109"/>
      <c r="I406" s="119">
        <v>133</v>
      </c>
      <c r="J406" s="119">
        <v>0</v>
      </c>
      <c r="K406" s="119">
        <f t="shared" si="18"/>
        <v>133</v>
      </c>
      <c r="L406" s="152">
        <f t="shared" si="19"/>
        <v>115.4</v>
      </c>
      <c r="M406" s="113"/>
    </row>
    <row r="407" spans="1:13" x14ac:dyDescent="0.2">
      <c r="A407" s="106" t="s">
        <v>6307</v>
      </c>
      <c r="B407" s="272" t="s">
        <v>3060</v>
      </c>
      <c r="C407" s="105" t="s">
        <v>6542</v>
      </c>
      <c r="D407" s="149" t="s">
        <v>3062</v>
      </c>
      <c r="E407" s="105">
        <v>5</v>
      </c>
      <c r="F407" s="133">
        <v>44.8</v>
      </c>
      <c r="G407" s="133">
        <v>51.75</v>
      </c>
      <c r="H407" s="109"/>
      <c r="I407" s="119">
        <v>258.75</v>
      </c>
      <c r="J407" s="119">
        <v>0</v>
      </c>
      <c r="K407" s="119">
        <f t="shared" si="18"/>
        <v>258.75</v>
      </c>
      <c r="L407" s="152">
        <f t="shared" si="19"/>
        <v>224</v>
      </c>
      <c r="M407" s="113"/>
    </row>
    <row r="408" spans="1:13" x14ac:dyDescent="0.2">
      <c r="A408" s="106" t="s">
        <v>6307</v>
      </c>
      <c r="B408" s="272" t="s">
        <v>2008</v>
      </c>
      <c r="C408" s="105" t="s">
        <v>6542</v>
      </c>
      <c r="D408" s="149" t="s">
        <v>2010</v>
      </c>
      <c r="E408" s="105">
        <v>5</v>
      </c>
      <c r="F408" s="133">
        <v>44.8</v>
      </c>
      <c r="G408" s="133">
        <v>51.75</v>
      </c>
      <c r="H408" s="109"/>
      <c r="I408" s="119">
        <v>258.75</v>
      </c>
      <c r="J408" s="119">
        <v>0</v>
      </c>
      <c r="K408" s="119">
        <f t="shared" si="18"/>
        <v>258.75</v>
      </c>
      <c r="L408" s="152">
        <f t="shared" si="19"/>
        <v>224</v>
      </c>
      <c r="M408" s="113"/>
    </row>
    <row r="409" spans="1:13" x14ac:dyDescent="0.2">
      <c r="A409" s="106" t="s">
        <v>6307</v>
      </c>
      <c r="B409" s="272" t="s">
        <v>6352</v>
      </c>
      <c r="C409" s="105" t="s">
        <v>6542</v>
      </c>
      <c r="D409" s="149" t="s">
        <v>6693</v>
      </c>
      <c r="E409" s="105">
        <v>3</v>
      </c>
      <c r="F409" s="133">
        <v>38</v>
      </c>
      <c r="G409" s="133">
        <v>43.75</v>
      </c>
      <c r="H409" s="109"/>
      <c r="I409" s="119">
        <v>131.25</v>
      </c>
      <c r="J409" s="119">
        <v>0</v>
      </c>
      <c r="K409" s="119">
        <f t="shared" si="18"/>
        <v>131.25</v>
      </c>
      <c r="L409" s="152">
        <f t="shared" si="19"/>
        <v>114</v>
      </c>
      <c r="M409" s="113"/>
    </row>
    <row r="410" spans="1:13" x14ac:dyDescent="0.2">
      <c r="A410" s="106" t="s">
        <v>6307</v>
      </c>
      <c r="B410" s="272" t="s">
        <v>2068</v>
      </c>
      <c r="C410" s="105" t="s">
        <v>6542</v>
      </c>
      <c r="D410" s="149" t="s">
        <v>2069</v>
      </c>
      <c r="E410" s="105">
        <v>2</v>
      </c>
      <c r="F410" s="133">
        <v>38</v>
      </c>
      <c r="G410" s="133">
        <v>43.75</v>
      </c>
      <c r="H410" s="109"/>
      <c r="I410" s="119">
        <v>87.5</v>
      </c>
      <c r="J410" s="119">
        <v>0</v>
      </c>
      <c r="K410" s="119">
        <f t="shared" si="18"/>
        <v>87.5</v>
      </c>
      <c r="L410" s="152">
        <f t="shared" si="19"/>
        <v>76</v>
      </c>
      <c r="M410" s="113"/>
    </row>
    <row r="411" spans="1:13" x14ac:dyDescent="0.2">
      <c r="A411" s="106" t="s">
        <v>6307</v>
      </c>
      <c r="B411" s="272" t="s">
        <v>5870</v>
      </c>
      <c r="C411" s="105" t="s">
        <v>6542</v>
      </c>
      <c r="D411" s="149" t="s">
        <v>5963</v>
      </c>
      <c r="E411" s="105">
        <v>2</v>
      </c>
      <c r="F411" s="133">
        <v>39</v>
      </c>
      <c r="G411" s="133">
        <v>45</v>
      </c>
      <c r="H411" s="109"/>
      <c r="I411" s="119">
        <v>90</v>
      </c>
      <c r="J411" s="119">
        <v>0</v>
      </c>
      <c r="K411" s="119">
        <f t="shared" si="18"/>
        <v>90</v>
      </c>
      <c r="L411" s="152">
        <f t="shared" si="19"/>
        <v>78</v>
      </c>
      <c r="M411" s="113"/>
    </row>
    <row r="412" spans="1:13" x14ac:dyDescent="0.2">
      <c r="A412" s="106" t="s">
        <v>6307</v>
      </c>
      <c r="B412" s="272" t="s">
        <v>4519</v>
      </c>
      <c r="C412" s="105" t="s">
        <v>6542</v>
      </c>
      <c r="D412" s="149" t="s">
        <v>4624</v>
      </c>
      <c r="E412" s="105">
        <v>3</v>
      </c>
      <c r="F412" s="133">
        <v>91.4</v>
      </c>
      <c r="G412" s="133">
        <v>105.25</v>
      </c>
      <c r="H412" s="109"/>
      <c r="I412" s="119">
        <v>315.75</v>
      </c>
      <c r="J412" s="119">
        <v>0</v>
      </c>
      <c r="K412" s="119">
        <f t="shared" si="18"/>
        <v>315.75</v>
      </c>
      <c r="L412" s="152">
        <f t="shared" si="19"/>
        <v>274.20000000000005</v>
      </c>
      <c r="M412" s="113"/>
    </row>
    <row r="413" spans="1:13" x14ac:dyDescent="0.2">
      <c r="A413" s="106" t="s">
        <v>6307</v>
      </c>
      <c r="B413" s="272" t="s">
        <v>4209</v>
      </c>
      <c r="C413" s="105" t="s">
        <v>6542</v>
      </c>
      <c r="D413" s="149" t="s">
        <v>4211</v>
      </c>
      <c r="E413" s="105">
        <v>2</v>
      </c>
      <c r="F413" s="133">
        <v>38</v>
      </c>
      <c r="G413" s="133">
        <v>43.75</v>
      </c>
      <c r="H413" s="109"/>
      <c r="I413" s="119">
        <v>87.5</v>
      </c>
      <c r="J413" s="119">
        <v>0</v>
      </c>
      <c r="K413" s="119">
        <f t="shared" si="18"/>
        <v>87.5</v>
      </c>
      <c r="L413" s="152">
        <f t="shared" si="19"/>
        <v>76</v>
      </c>
      <c r="M413" s="113"/>
    </row>
    <row r="414" spans="1:13" x14ac:dyDescent="0.2">
      <c r="A414" s="106" t="s">
        <v>6307</v>
      </c>
      <c r="B414" s="272" t="s">
        <v>2451</v>
      </c>
      <c r="C414" s="105" t="s">
        <v>6542</v>
      </c>
      <c r="D414" s="149" t="s">
        <v>2452</v>
      </c>
      <c r="E414" s="105">
        <v>3</v>
      </c>
      <c r="F414" s="133">
        <v>39</v>
      </c>
      <c r="G414" s="133">
        <v>45</v>
      </c>
      <c r="H414" s="109"/>
      <c r="I414" s="119">
        <v>135</v>
      </c>
      <c r="J414" s="119">
        <v>0</v>
      </c>
      <c r="K414" s="119">
        <f t="shared" si="18"/>
        <v>135</v>
      </c>
      <c r="L414" s="152">
        <f t="shared" si="19"/>
        <v>117</v>
      </c>
      <c r="M414" s="113"/>
    </row>
    <row r="415" spans="1:13" x14ac:dyDescent="0.2">
      <c r="A415" s="106" t="s">
        <v>6307</v>
      </c>
      <c r="B415" s="272" t="s">
        <v>2712</v>
      </c>
      <c r="C415" s="105" t="s">
        <v>6542</v>
      </c>
      <c r="D415" s="149" t="s">
        <v>2714</v>
      </c>
      <c r="E415" s="105">
        <v>4</v>
      </c>
      <c r="F415" s="133">
        <v>185</v>
      </c>
      <c r="G415" s="133">
        <v>212.75</v>
      </c>
      <c r="H415" s="109"/>
      <c r="I415" s="119">
        <v>851</v>
      </c>
      <c r="J415" s="119">
        <v>0</v>
      </c>
      <c r="K415" s="119">
        <f t="shared" si="18"/>
        <v>851</v>
      </c>
      <c r="L415" s="152">
        <f t="shared" si="19"/>
        <v>740</v>
      </c>
      <c r="M415" s="113"/>
    </row>
    <row r="416" spans="1:13" x14ac:dyDescent="0.2">
      <c r="A416" s="106" t="s">
        <v>6307</v>
      </c>
      <c r="B416" s="272" t="s">
        <v>5114</v>
      </c>
      <c r="C416" s="105" t="s">
        <v>6542</v>
      </c>
      <c r="D416" s="149" t="s">
        <v>5162</v>
      </c>
      <c r="E416" s="105">
        <v>2</v>
      </c>
      <c r="F416" s="133">
        <v>74</v>
      </c>
      <c r="G416" s="133">
        <v>85.25</v>
      </c>
      <c r="H416" s="109"/>
      <c r="I416" s="119">
        <v>170.5</v>
      </c>
      <c r="J416" s="119">
        <v>0</v>
      </c>
      <c r="K416" s="119">
        <f t="shared" si="18"/>
        <v>170.5</v>
      </c>
      <c r="L416" s="152">
        <f t="shared" si="19"/>
        <v>148</v>
      </c>
      <c r="M416" s="113"/>
    </row>
    <row r="417" spans="1:13" x14ac:dyDescent="0.2">
      <c r="A417" s="106" t="s">
        <v>6307</v>
      </c>
      <c r="B417" s="272" t="s">
        <v>4215</v>
      </c>
      <c r="C417" s="105" t="s">
        <v>6542</v>
      </c>
      <c r="D417" s="149" t="s">
        <v>4216</v>
      </c>
      <c r="E417" s="105">
        <v>4</v>
      </c>
      <c r="F417" s="133">
        <v>39.15</v>
      </c>
      <c r="G417" s="133">
        <v>45.25</v>
      </c>
      <c r="H417" s="109"/>
      <c r="I417" s="119">
        <v>181</v>
      </c>
      <c r="J417" s="119">
        <v>0</v>
      </c>
      <c r="K417" s="119">
        <f t="shared" si="18"/>
        <v>181</v>
      </c>
      <c r="L417" s="152">
        <f t="shared" si="19"/>
        <v>156.6</v>
      </c>
      <c r="M417" s="113"/>
    </row>
    <row r="418" spans="1:13" x14ac:dyDescent="0.2">
      <c r="A418" s="106" t="s">
        <v>6307</v>
      </c>
      <c r="B418" s="272" t="s">
        <v>4549</v>
      </c>
      <c r="C418" s="105" t="s">
        <v>6542</v>
      </c>
      <c r="D418" s="149" t="s">
        <v>4654</v>
      </c>
      <c r="E418" s="105">
        <v>1</v>
      </c>
      <c r="F418" s="133">
        <v>38</v>
      </c>
      <c r="G418" s="133">
        <v>43.75</v>
      </c>
      <c r="H418" s="109"/>
      <c r="I418" s="119">
        <v>43.75</v>
      </c>
      <c r="J418" s="119">
        <v>0</v>
      </c>
      <c r="K418" s="119">
        <f t="shared" si="18"/>
        <v>43.75</v>
      </c>
      <c r="L418" s="152">
        <f t="shared" si="19"/>
        <v>38</v>
      </c>
      <c r="M418" s="113"/>
    </row>
    <row r="419" spans="1:13" x14ac:dyDescent="0.2">
      <c r="A419" s="106" t="s">
        <v>6307</v>
      </c>
      <c r="B419" s="272" t="s">
        <v>6352</v>
      </c>
      <c r="C419" s="105" t="s">
        <v>6542</v>
      </c>
      <c r="D419" s="149" t="s">
        <v>6693</v>
      </c>
      <c r="E419" s="105">
        <v>1</v>
      </c>
      <c r="F419" s="133">
        <v>38</v>
      </c>
      <c r="G419" s="133">
        <v>43.75</v>
      </c>
      <c r="H419" s="109"/>
      <c r="I419" s="119">
        <v>43.75</v>
      </c>
      <c r="J419" s="119">
        <v>21</v>
      </c>
      <c r="K419" s="119">
        <f t="shared" si="18"/>
        <v>22.75</v>
      </c>
      <c r="L419" s="152">
        <f t="shared" si="19"/>
        <v>38</v>
      </c>
      <c r="M419" s="113"/>
    </row>
    <row r="420" spans="1:13" x14ac:dyDescent="0.2">
      <c r="A420" s="106" t="s">
        <v>6307</v>
      </c>
      <c r="B420" s="272" t="s">
        <v>2491</v>
      </c>
      <c r="C420" s="105" t="s">
        <v>6543</v>
      </c>
      <c r="D420" s="149" t="s">
        <v>2492</v>
      </c>
      <c r="E420" s="105">
        <v>3</v>
      </c>
      <c r="F420" s="133">
        <v>61.5</v>
      </c>
      <c r="G420" s="133">
        <v>66.5</v>
      </c>
      <c r="H420" s="109">
        <f t="shared" ref="H420:H453" si="20">E420*G420</f>
        <v>199.5</v>
      </c>
      <c r="I420" s="119"/>
      <c r="J420" s="119">
        <v>0</v>
      </c>
      <c r="K420" s="119">
        <f t="shared" si="18"/>
        <v>199.5</v>
      </c>
      <c r="L420" s="152">
        <f t="shared" si="19"/>
        <v>184.5</v>
      </c>
      <c r="M420" s="113"/>
    </row>
    <row r="421" spans="1:13" x14ac:dyDescent="0.2">
      <c r="A421" s="106" t="s">
        <v>6307</v>
      </c>
      <c r="B421" s="272" t="s">
        <v>2809</v>
      </c>
      <c r="C421" s="105" t="s">
        <v>6543</v>
      </c>
      <c r="D421" s="149" t="s">
        <v>2810</v>
      </c>
      <c r="E421" s="105">
        <v>2</v>
      </c>
      <c r="F421" s="133">
        <v>53.81</v>
      </c>
      <c r="G421" s="133">
        <v>62</v>
      </c>
      <c r="H421" s="109">
        <f t="shared" si="20"/>
        <v>124</v>
      </c>
      <c r="I421" s="119"/>
      <c r="J421" s="119">
        <v>0</v>
      </c>
      <c r="K421" s="119">
        <f t="shared" si="18"/>
        <v>124</v>
      </c>
      <c r="L421" s="152">
        <f t="shared" si="19"/>
        <v>107.62</v>
      </c>
      <c r="M421" s="113"/>
    </row>
    <row r="422" spans="1:13" x14ac:dyDescent="0.2">
      <c r="A422" s="106" t="s">
        <v>6307</v>
      </c>
      <c r="B422" s="272" t="s">
        <v>2495</v>
      </c>
      <c r="C422" s="105" t="s">
        <v>6543</v>
      </c>
      <c r="D422" s="149" t="s">
        <v>2496</v>
      </c>
      <c r="E422" s="105">
        <v>2</v>
      </c>
      <c r="F422" s="133">
        <v>35.75</v>
      </c>
      <c r="G422" s="133">
        <v>41.25</v>
      </c>
      <c r="H422" s="109">
        <f t="shared" si="20"/>
        <v>82.5</v>
      </c>
      <c r="I422" s="119"/>
      <c r="J422" s="119">
        <v>0</v>
      </c>
      <c r="K422" s="119">
        <f t="shared" si="18"/>
        <v>82.5</v>
      </c>
      <c r="L422" s="152">
        <f t="shared" si="19"/>
        <v>71.5</v>
      </c>
      <c r="M422" s="113"/>
    </row>
    <row r="423" spans="1:13" x14ac:dyDescent="0.2">
      <c r="A423" s="106" t="s">
        <v>6307</v>
      </c>
      <c r="B423" s="272" t="s">
        <v>2476</v>
      </c>
      <c r="C423" s="105" t="s">
        <v>6543</v>
      </c>
      <c r="D423" s="149" t="s">
        <v>2478</v>
      </c>
      <c r="E423" s="105">
        <v>1</v>
      </c>
      <c r="F423" s="133">
        <v>41.25</v>
      </c>
      <c r="G423" s="133">
        <v>48.75</v>
      </c>
      <c r="H423" s="109">
        <f t="shared" si="20"/>
        <v>48.75</v>
      </c>
      <c r="I423" s="119"/>
      <c r="J423" s="119">
        <v>0</v>
      </c>
      <c r="K423" s="119">
        <f t="shared" si="18"/>
        <v>48.75</v>
      </c>
      <c r="L423" s="152">
        <f t="shared" si="19"/>
        <v>41.25</v>
      </c>
      <c r="M423" s="113"/>
    </row>
    <row r="424" spans="1:13" x14ac:dyDescent="0.2">
      <c r="A424" s="106" t="s">
        <v>6307</v>
      </c>
      <c r="B424" s="272" t="s">
        <v>3043</v>
      </c>
      <c r="C424" s="105" t="s">
        <v>6543</v>
      </c>
      <c r="D424" s="149" t="s">
        <v>3044</v>
      </c>
      <c r="E424" s="105">
        <v>1</v>
      </c>
      <c r="F424" s="133">
        <v>309.11</v>
      </c>
      <c r="G424" s="133">
        <v>355.5</v>
      </c>
      <c r="H424" s="109">
        <f t="shared" si="20"/>
        <v>355.5</v>
      </c>
      <c r="I424" s="119"/>
      <c r="J424" s="119">
        <v>0</v>
      </c>
      <c r="K424" s="119">
        <f t="shared" si="18"/>
        <v>355.5</v>
      </c>
      <c r="L424" s="152">
        <f t="shared" si="19"/>
        <v>309.11</v>
      </c>
      <c r="M424" s="113"/>
    </row>
    <row r="425" spans="1:13" x14ac:dyDescent="0.2">
      <c r="A425" s="106" t="s">
        <v>6307</v>
      </c>
      <c r="B425" s="272" t="s">
        <v>2488</v>
      </c>
      <c r="C425" s="105" t="s">
        <v>6543</v>
      </c>
      <c r="D425" s="149" t="s">
        <v>2489</v>
      </c>
      <c r="E425" s="105">
        <v>2</v>
      </c>
      <c r="F425" s="133">
        <v>31.19</v>
      </c>
      <c r="G425" s="133">
        <v>36</v>
      </c>
      <c r="H425" s="109">
        <f t="shared" si="20"/>
        <v>72</v>
      </c>
      <c r="I425" s="119"/>
      <c r="J425" s="119">
        <v>0</v>
      </c>
      <c r="K425" s="119">
        <f t="shared" si="18"/>
        <v>72</v>
      </c>
      <c r="L425" s="152">
        <f t="shared" si="19"/>
        <v>62.38</v>
      </c>
      <c r="M425" s="113"/>
    </row>
    <row r="426" spans="1:13" x14ac:dyDescent="0.2">
      <c r="A426" s="106" t="s">
        <v>6307</v>
      </c>
      <c r="B426" s="272" t="s">
        <v>2590</v>
      </c>
      <c r="C426" s="105" t="s">
        <v>6543</v>
      </c>
      <c r="D426" s="149" t="s">
        <v>2591</v>
      </c>
      <c r="E426" s="105">
        <v>2</v>
      </c>
      <c r="F426" s="133">
        <v>90.24</v>
      </c>
      <c r="G426" s="133">
        <v>103.75</v>
      </c>
      <c r="H426" s="109">
        <f t="shared" si="20"/>
        <v>207.5</v>
      </c>
      <c r="I426" s="119"/>
      <c r="J426" s="119">
        <v>0</v>
      </c>
      <c r="K426" s="119">
        <f t="shared" si="18"/>
        <v>207.5</v>
      </c>
      <c r="L426" s="152">
        <f t="shared" si="19"/>
        <v>180.48</v>
      </c>
      <c r="M426" s="113"/>
    </row>
    <row r="427" spans="1:13" x14ac:dyDescent="0.2">
      <c r="A427" s="106" t="s">
        <v>6307</v>
      </c>
      <c r="B427" s="272" t="s">
        <v>2274</v>
      </c>
      <c r="C427" s="105" t="s">
        <v>6544</v>
      </c>
      <c r="D427" s="149" t="s">
        <v>2276</v>
      </c>
      <c r="E427" s="105">
        <v>3</v>
      </c>
      <c r="F427" s="133">
        <v>12.39</v>
      </c>
      <c r="G427" s="133">
        <v>14.5</v>
      </c>
      <c r="H427" s="109">
        <f t="shared" si="20"/>
        <v>43.5</v>
      </c>
      <c r="I427" s="119"/>
      <c r="J427" s="119">
        <v>0</v>
      </c>
      <c r="K427" s="119">
        <f t="shared" si="18"/>
        <v>43.5</v>
      </c>
      <c r="L427" s="152">
        <f t="shared" si="19"/>
        <v>37.17</v>
      </c>
      <c r="M427" s="113"/>
    </row>
    <row r="428" spans="1:13" x14ac:dyDescent="0.2">
      <c r="A428" s="106" t="s">
        <v>6307</v>
      </c>
      <c r="B428" s="272" t="s">
        <v>2115</v>
      </c>
      <c r="C428" s="105" t="s">
        <v>6544</v>
      </c>
      <c r="D428" s="149" t="s">
        <v>2117</v>
      </c>
      <c r="E428" s="105">
        <v>1</v>
      </c>
      <c r="F428" s="133">
        <v>84.8</v>
      </c>
      <c r="G428" s="133">
        <v>94</v>
      </c>
      <c r="H428" s="109">
        <f t="shared" si="20"/>
        <v>94</v>
      </c>
      <c r="I428" s="119"/>
      <c r="J428" s="119">
        <v>0</v>
      </c>
      <c r="K428" s="119">
        <f t="shared" si="18"/>
        <v>94</v>
      </c>
      <c r="L428" s="152">
        <f t="shared" si="19"/>
        <v>84.8</v>
      </c>
      <c r="M428" s="113"/>
    </row>
    <row r="429" spans="1:13" x14ac:dyDescent="0.2">
      <c r="A429" s="106" t="s">
        <v>6307</v>
      </c>
      <c r="B429" s="272" t="s">
        <v>3917</v>
      </c>
      <c r="C429" s="105" t="s">
        <v>6544</v>
      </c>
      <c r="D429" s="149" t="s">
        <v>3919</v>
      </c>
      <c r="E429" s="105">
        <v>6</v>
      </c>
      <c r="F429" s="133">
        <v>6.37</v>
      </c>
      <c r="G429" s="133">
        <v>7.5</v>
      </c>
      <c r="H429" s="109">
        <f t="shared" si="20"/>
        <v>45</v>
      </c>
      <c r="I429" s="119"/>
      <c r="J429" s="119">
        <v>0</v>
      </c>
      <c r="K429" s="119">
        <f t="shared" si="18"/>
        <v>45</v>
      </c>
      <c r="L429" s="152">
        <f t="shared" si="19"/>
        <v>38.22</v>
      </c>
      <c r="M429" s="113"/>
    </row>
    <row r="430" spans="1:13" x14ac:dyDescent="0.2">
      <c r="A430" s="106" t="s">
        <v>6307</v>
      </c>
      <c r="B430" s="272" t="s">
        <v>4806</v>
      </c>
      <c r="C430" s="105" t="s">
        <v>6545</v>
      </c>
      <c r="D430" s="149" t="s">
        <v>4874</v>
      </c>
      <c r="E430" s="105">
        <v>12</v>
      </c>
      <c r="F430" s="133">
        <v>8.58</v>
      </c>
      <c r="G430" s="133">
        <v>10</v>
      </c>
      <c r="H430" s="109">
        <f t="shared" si="20"/>
        <v>120</v>
      </c>
      <c r="I430" s="119"/>
      <c r="J430" s="119">
        <v>0</v>
      </c>
      <c r="K430" s="119">
        <f t="shared" si="18"/>
        <v>120</v>
      </c>
      <c r="L430" s="152">
        <f t="shared" si="19"/>
        <v>102.96000000000001</v>
      </c>
      <c r="M430" s="113"/>
    </row>
    <row r="431" spans="1:13" x14ac:dyDescent="0.2">
      <c r="A431" s="106" t="s">
        <v>6307</v>
      </c>
      <c r="B431" s="272" t="s">
        <v>2610</v>
      </c>
      <c r="C431" s="105" t="s">
        <v>6546</v>
      </c>
      <c r="D431" s="149" t="s">
        <v>2612</v>
      </c>
      <c r="E431" s="105">
        <v>1</v>
      </c>
      <c r="F431" s="133">
        <v>53.9</v>
      </c>
      <c r="G431" s="133">
        <v>59.25</v>
      </c>
      <c r="H431" s="109">
        <f t="shared" si="20"/>
        <v>59.25</v>
      </c>
      <c r="I431" s="119"/>
      <c r="J431" s="119">
        <v>0</v>
      </c>
      <c r="K431" s="119">
        <f t="shared" si="18"/>
        <v>59.25</v>
      </c>
      <c r="L431" s="152">
        <f t="shared" si="19"/>
        <v>53.9</v>
      </c>
      <c r="M431" s="113"/>
    </row>
    <row r="432" spans="1:13" x14ac:dyDescent="0.2">
      <c r="A432" s="106" t="s">
        <v>6307</v>
      </c>
      <c r="B432" s="272" t="s">
        <v>1810</v>
      </c>
      <c r="C432" s="105" t="s">
        <v>6546</v>
      </c>
      <c r="D432" s="149" t="s">
        <v>1811</v>
      </c>
      <c r="E432" s="105">
        <v>1</v>
      </c>
      <c r="F432" s="133">
        <v>38.39</v>
      </c>
      <c r="G432" s="133">
        <v>44.25</v>
      </c>
      <c r="H432" s="109">
        <f t="shared" si="20"/>
        <v>44.25</v>
      </c>
      <c r="I432" s="119"/>
      <c r="J432" s="119">
        <v>0</v>
      </c>
      <c r="K432" s="119">
        <f t="shared" si="18"/>
        <v>44.25</v>
      </c>
      <c r="L432" s="152">
        <f t="shared" si="19"/>
        <v>38.39</v>
      </c>
      <c r="M432" s="113"/>
    </row>
    <row r="433" spans="1:13" x14ac:dyDescent="0.2">
      <c r="A433" s="106" t="s">
        <v>6307</v>
      </c>
      <c r="B433" s="272" t="s">
        <v>3909</v>
      </c>
      <c r="C433" s="105" t="s">
        <v>6547</v>
      </c>
      <c r="D433" s="149" t="s">
        <v>3911</v>
      </c>
      <c r="E433" s="105">
        <v>1</v>
      </c>
      <c r="F433" s="133">
        <v>7.06</v>
      </c>
      <c r="G433" s="133">
        <v>8.25</v>
      </c>
      <c r="H433" s="109">
        <f t="shared" si="20"/>
        <v>8.25</v>
      </c>
      <c r="I433" s="119"/>
      <c r="J433" s="119">
        <v>0</v>
      </c>
      <c r="K433" s="119">
        <f t="shared" si="18"/>
        <v>8.25</v>
      </c>
      <c r="L433" s="152">
        <f t="shared" si="19"/>
        <v>7.06</v>
      </c>
      <c r="M433" s="113"/>
    </row>
    <row r="434" spans="1:13" x14ac:dyDescent="0.2">
      <c r="A434" s="106" t="s">
        <v>6307</v>
      </c>
      <c r="B434" s="272" t="s">
        <v>5415</v>
      </c>
      <c r="C434" s="105" t="s">
        <v>6548</v>
      </c>
      <c r="D434" s="149" t="s">
        <v>5466</v>
      </c>
      <c r="E434" s="105">
        <v>1</v>
      </c>
      <c r="F434" s="133">
        <v>3.7</v>
      </c>
      <c r="G434" s="133">
        <v>5</v>
      </c>
      <c r="H434" s="109">
        <f t="shared" si="20"/>
        <v>5</v>
      </c>
      <c r="I434" s="119"/>
      <c r="J434" s="119">
        <v>0</v>
      </c>
      <c r="K434" s="119">
        <f t="shared" si="18"/>
        <v>5</v>
      </c>
      <c r="L434" s="152">
        <f t="shared" si="19"/>
        <v>3.7</v>
      </c>
      <c r="M434" s="113"/>
    </row>
    <row r="435" spans="1:13" x14ac:dyDescent="0.2">
      <c r="A435" s="106" t="s">
        <v>6307</v>
      </c>
      <c r="B435" s="272" t="s">
        <v>3909</v>
      </c>
      <c r="C435" s="105" t="s">
        <v>6549</v>
      </c>
      <c r="D435" s="149" t="s">
        <v>3911</v>
      </c>
      <c r="E435" s="105">
        <v>1</v>
      </c>
      <c r="F435" s="133">
        <v>7.06</v>
      </c>
      <c r="G435" s="133">
        <v>8.25</v>
      </c>
      <c r="H435" s="109">
        <f t="shared" si="20"/>
        <v>8.25</v>
      </c>
      <c r="I435" s="119"/>
      <c r="J435" s="119">
        <v>0</v>
      </c>
      <c r="K435" s="119">
        <f t="shared" si="18"/>
        <v>8.25</v>
      </c>
      <c r="L435" s="152">
        <f t="shared" si="19"/>
        <v>7.06</v>
      </c>
      <c r="M435" s="113"/>
    </row>
    <row r="436" spans="1:13" x14ac:dyDescent="0.2">
      <c r="A436" s="106" t="s">
        <v>6307</v>
      </c>
      <c r="B436" s="272" t="s">
        <v>2323</v>
      </c>
      <c r="C436" s="105" t="s">
        <v>6550</v>
      </c>
      <c r="D436" s="149" t="s">
        <v>2325</v>
      </c>
      <c r="E436" s="105">
        <v>1</v>
      </c>
      <c r="F436" s="133">
        <v>19.100000000000001</v>
      </c>
      <c r="G436" s="133">
        <v>22</v>
      </c>
      <c r="H436" s="109">
        <f t="shared" si="20"/>
        <v>22</v>
      </c>
      <c r="I436" s="119"/>
      <c r="J436" s="119">
        <v>0</v>
      </c>
      <c r="K436" s="119">
        <f t="shared" si="18"/>
        <v>22</v>
      </c>
      <c r="L436" s="152">
        <f t="shared" si="19"/>
        <v>19.100000000000001</v>
      </c>
      <c r="M436" s="113"/>
    </row>
    <row r="437" spans="1:13" x14ac:dyDescent="0.2">
      <c r="A437" s="106" t="s">
        <v>6284</v>
      </c>
      <c r="B437" s="272" t="s">
        <v>3993</v>
      </c>
      <c r="C437" s="105" t="s">
        <v>6551</v>
      </c>
      <c r="D437" s="149" t="s">
        <v>3995</v>
      </c>
      <c r="E437" s="105">
        <v>1</v>
      </c>
      <c r="F437" s="133">
        <v>18.649999999999999</v>
      </c>
      <c r="G437" s="133">
        <v>21.5</v>
      </c>
      <c r="H437" s="109">
        <f t="shared" si="20"/>
        <v>21.5</v>
      </c>
      <c r="I437" s="119"/>
      <c r="J437" s="119">
        <v>0</v>
      </c>
      <c r="K437" s="119">
        <f t="shared" si="18"/>
        <v>21.5</v>
      </c>
      <c r="L437" s="152">
        <f t="shared" si="19"/>
        <v>18.649999999999999</v>
      </c>
      <c r="M437" s="113"/>
    </row>
    <row r="438" spans="1:13" x14ac:dyDescent="0.2">
      <c r="A438" s="106" t="s">
        <v>6284</v>
      </c>
      <c r="B438" s="272" t="s">
        <v>2240</v>
      </c>
      <c r="C438" s="105" t="s">
        <v>6551</v>
      </c>
      <c r="D438" s="149" t="s">
        <v>2241</v>
      </c>
      <c r="E438" s="105">
        <v>1</v>
      </c>
      <c r="F438" s="133">
        <v>18.649999999999999</v>
      </c>
      <c r="G438" s="133">
        <v>21.5</v>
      </c>
      <c r="H438" s="109">
        <f t="shared" si="20"/>
        <v>21.5</v>
      </c>
      <c r="I438" s="119"/>
      <c r="J438" s="119">
        <v>0</v>
      </c>
      <c r="K438" s="119">
        <f t="shared" si="18"/>
        <v>21.5</v>
      </c>
      <c r="L438" s="152">
        <f t="shared" si="19"/>
        <v>18.649999999999999</v>
      </c>
      <c r="M438" s="113"/>
    </row>
    <row r="439" spans="1:13" x14ac:dyDescent="0.2">
      <c r="A439" s="106" t="s">
        <v>6284</v>
      </c>
      <c r="B439" s="272" t="s">
        <v>4163</v>
      </c>
      <c r="C439" s="105" t="s">
        <v>6552</v>
      </c>
      <c r="D439" s="149" t="s">
        <v>4165</v>
      </c>
      <c r="E439" s="105">
        <v>1</v>
      </c>
      <c r="F439" s="133">
        <v>9.2799999999999994</v>
      </c>
      <c r="G439" s="133">
        <v>10.75</v>
      </c>
      <c r="H439" s="109">
        <f t="shared" si="20"/>
        <v>10.75</v>
      </c>
      <c r="I439" s="119"/>
      <c r="J439" s="119">
        <v>0</v>
      </c>
      <c r="K439" s="119">
        <f t="shared" si="18"/>
        <v>10.75</v>
      </c>
      <c r="L439" s="152">
        <f t="shared" si="19"/>
        <v>9.2799999999999994</v>
      </c>
      <c r="M439" s="113"/>
    </row>
    <row r="440" spans="1:13" x14ac:dyDescent="0.2">
      <c r="A440" s="106" t="s">
        <v>6284</v>
      </c>
      <c r="B440" s="272" t="s">
        <v>1920</v>
      </c>
      <c r="C440" s="105" t="s">
        <v>6553</v>
      </c>
      <c r="D440" s="149" t="s">
        <v>1921</v>
      </c>
      <c r="E440" s="105">
        <v>4</v>
      </c>
      <c r="F440" s="133">
        <v>13.32</v>
      </c>
      <c r="G440" s="133">
        <v>15.5</v>
      </c>
      <c r="H440" s="109">
        <f t="shared" si="20"/>
        <v>62</v>
      </c>
      <c r="I440" s="119"/>
      <c r="J440" s="119">
        <v>0</v>
      </c>
      <c r="K440" s="119">
        <f t="shared" si="18"/>
        <v>62</v>
      </c>
      <c r="L440" s="152">
        <f t="shared" si="19"/>
        <v>53.28</v>
      </c>
      <c r="M440" s="113"/>
    </row>
    <row r="441" spans="1:13" x14ac:dyDescent="0.2">
      <c r="A441" s="106" t="s">
        <v>6284</v>
      </c>
      <c r="B441" s="272" t="s">
        <v>1962</v>
      </c>
      <c r="C441" s="105" t="s">
        <v>6553</v>
      </c>
      <c r="D441" s="149" t="s">
        <v>1964</v>
      </c>
      <c r="E441" s="105">
        <v>3</v>
      </c>
      <c r="F441" s="133">
        <v>7.48</v>
      </c>
      <c r="G441" s="133">
        <v>8.75</v>
      </c>
      <c r="H441" s="109">
        <f t="shared" si="20"/>
        <v>26.25</v>
      </c>
      <c r="I441" s="119"/>
      <c r="J441" s="119">
        <v>0</v>
      </c>
      <c r="K441" s="119">
        <f t="shared" si="18"/>
        <v>26.25</v>
      </c>
      <c r="L441" s="152">
        <f t="shared" si="19"/>
        <v>22.44</v>
      </c>
      <c r="M441" s="113"/>
    </row>
    <row r="442" spans="1:13" x14ac:dyDescent="0.2">
      <c r="A442" s="106" t="s">
        <v>6284</v>
      </c>
      <c r="B442" s="272" t="s">
        <v>5497</v>
      </c>
      <c r="C442" s="105" t="s">
        <v>6553</v>
      </c>
      <c r="D442" s="149" t="s">
        <v>5573</v>
      </c>
      <c r="E442" s="105">
        <v>1</v>
      </c>
      <c r="F442" s="133">
        <v>30</v>
      </c>
      <c r="G442" s="133">
        <v>45</v>
      </c>
      <c r="H442" s="109">
        <f t="shared" si="20"/>
        <v>45</v>
      </c>
      <c r="I442" s="119"/>
      <c r="J442" s="119">
        <v>0</v>
      </c>
      <c r="K442" s="119">
        <f t="shared" si="18"/>
        <v>45</v>
      </c>
      <c r="L442" s="152">
        <f t="shared" si="19"/>
        <v>30</v>
      </c>
      <c r="M442" s="113"/>
    </row>
    <row r="443" spans="1:13" x14ac:dyDescent="0.2">
      <c r="A443" s="106" t="s">
        <v>6284</v>
      </c>
      <c r="B443" s="272" t="s">
        <v>5686</v>
      </c>
      <c r="C443" s="105" t="s">
        <v>6553</v>
      </c>
      <c r="D443" s="149" t="s">
        <v>5824</v>
      </c>
      <c r="E443" s="105">
        <v>1</v>
      </c>
      <c r="F443" s="133">
        <v>12.17</v>
      </c>
      <c r="G443" s="133">
        <v>14.75</v>
      </c>
      <c r="H443" s="109">
        <f t="shared" si="20"/>
        <v>14.75</v>
      </c>
      <c r="I443" s="119"/>
      <c r="J443" s="119">
        <v>0</v>
      </c>
      <c r="K443" s="119">
        <f t="shared" si="18"/>
        <v>14.75</v>
      </c>
      <c r="L443" s="152">
        <f t="shared" si="19"/>
        <v>12.17</v>
      </c>
      <c r="M443" s="113"/>
    </row>
    <row r="444" spans="1:13" x14ac:dyDescent="0.2">
      <c r="A444" s="106" t="s">
        <v>6284</v>
      </c>
      <c r="B444" s="272" t="s">
        <v>2655</v>
      </c>
      <c r="C444" s="105" t="s">
        <v>6553</v>
      </c>
      <c r="D444" s="149" t="s">
        <v>2656</v>
      </c>
      <c r="E444" s="105">
        <v>1</v>
      </c>
      <c r="F444" s="133">
        <v>67.28</v>
      </c>
      <c r="G444" s="133">
        <v>77.5</v>
      </c>
      <c r="H444" s="109">
        <f t="shared" si="20"/>
        <v>77.5</v>
      </c>
      <c r="I444" s="119"/>
      <c r="J444" s="119">
        <v>0</v>
      </c>
      <c r="K444" s="119">
        <f t="shared" si="18"/>
        <v>77.5</v>
      </c>
      <c r="L444" s="152">
        <f t="shared" si="19"/>
        <v>67.28</v>
      </c>
      <c r="M444" s="113"/>
    </row>
    <row r="445" spans="1:13" x14ac:dyDescent="0.2">
      <c r="A445" s="106" t="s">
        <v>6284</v>
      </c>
      <c r="B445" s="272" t="s">
        <v>3519</v>
      </c>
      <c r="C445" s="105" t="s">
        <v>6554</v>
      </c>
      <c r="D445" s="149" t="s">
        <v>3520</v>
      </c>
      <c r="E445" s="105">
        <v>1</v>
      </c>
      <c r="F445" s="133">
        <v>37</v>
      </c>
      <c r="G445" s="133">
        <v>42.75</v>
      </c>
      <c r="H445" s="109">
        <f t="shared" si="20"/>
        <v>42.75</v>
      </c>
      <c r="I445" s="119"/>
      <c r="J445" s="119">
        <v>0</v>
      </c>
      <c r="K445" s="119">
        <f t="shared" si="18"/>
        <v>42.75</v>
      </c>
      <c r="L445" s="152">
        <f t="shared" si="19"/>
        <v>37</v>
      </c>
      <c r="M445" s="113"/>
    </row>
    <row r="446" spans="1:13" x14ac:dyDescent="0.2">
      <c r="A446" s="106" t="s">
        <v>6284</v>
      </c>
      <c r="B446" s="272" t="s">
        <v>2323</v>
      </c>
      <c r="C446" s="105" t="s">
        <v>6554</v>
      </c>
      <c r="D446" s="149" t="s">
        <v>2325</v>
      </c>
      <c r="E446" s="105">
        <v>1</v>
      </c>
      <c r="F446" s="133">
        <v>19.100000000000001</v>
      </c>
      <c r="G446" s="133">
        <v>22</v>
      </c>
      <c r="H446" s="109">
        <f t="shared" si="20"/>
        <v>22</v>
      </c>
      <c r="I446" s="119"/>
      <c r="J446" s="119">
        <v>0</v>
      </c>
      <c r="K446" s="119">
        <f t="shared" si="18"/>
        <v>22</v>
      </c>
      <c r="L446" s="152">
        <f t="shared" si="19"/>
        <v>19.100000000000001</v>
      </c>
      <c r="M446" s="113"/>
    </row>
    <row r="447" spans="1:13" x14ac:dyDescent="0.2">
      <c r="A447" s="106" t="s">
        <v>6284</v>
      </c>
      <c r="B447" s="272" t="s">
        <v>6353</v>
      </c>
      <c r="C447" s="105" t="s">
        <v>6555</v>
      </c>
      <c r="D447" s="149" t="s">
        <v>6694</v>
      </c>
      <c r="E447" s="105">
        <v>1</v>
      </c>
      <c r="F447" s="133">
        <v>16.59</v>
      </c>
      <c r="G447" s="133">
        <v>19.25</v>
      </c>
      <c r="H447" s="109">
        <f t="shared" si="20"/>
        <v>19.25</v>
      </c>
      <c r="I447" s="119"/>
      <c r="J447" s="119">
        <v>0</v>
      </c>
      <c r="K447" s="119">
        <f t="shared" si="18"/>
        <v>19.25</v>
      </c>
      <c r="L447" s="152">
        <f t="shared" si="19"/>
        <v>16.59</v>
      </c>
      <c r="M447" s="113"/>
    </row>
    <row r="448" spans="1:13" x14ac:dyDescent="0.2">
      <c r="A448" s="106" t="s">
        <v>6284</v>
      </c>
      <c r="B448" s="272" t="s">
        <v>5979</v>
      </c>
      <c r="C448" s="105" t="s">
        <v>6556</v>
      </c>
      <c r="D448" s="149" t="s">
        <v>6097</v>
      </c>
      <c r="E448" s="105">
        <v>1</v>
      </c>
      <c r="F448" s="133">
        <v>5.74</v>
      </c>
      <c r="G448" s="133">
        <v>7</v>
      </c>
      <c r="H448" s="109">
        <f t="shared" si="20"/>
        <v>7</v>
      </c>
      <c r="I448" s="119"/>
      <c r="J448" s="119">
        <v>0</v>
      </c>
      <c r="K448" s="119">
        <f t="shared" si="18"/>
        <v>7</v>
      </c>
      <c r="L448" s="152">
        <f t="shared" si="19"/>
        <v>5.74</v>
      </c>
      <c r="M448" s="113"/>
    </row>
    <row r="449" spans="1:13" x14ac:dyDescent="0.2">
      <c r="A449" s="106" t="s">
        <v>6284</v>
      </c>
      <c r="B449" s="272" t="s">
        <v>1924</v>
      </c>
      <c r="C449" s="105" t="s">
        <v>6557</v>
      </c>
      <c r="D449" s="149" t="s">
        <v>1926</v>
      </c>
      <c r="E449" s="105">
        <v>1</v>
      </c>
      <c r="F449" s="133">
        <v>10.64</v>
      </c>
      <c r="G449" s="133">
        <v>12.25</v>
      </c>
      <c r="H449" s="109">
        <f t="shared" si="20"/>
        <v>12.25</v>
      </c>
      <c r="I449" s="119"/>
      <c r="J449" s="119">
        <v>0</v>
      </c>
      <c r="K449" s="119">
        <f t="shared" si="18"/>
        <v>12.25</v>
      </c>
      <c r="L449" s="152">
        <f t="shared" si="19"/>
        <v>10.64</v>
      </c>
      <c r="M449" s="113"/>
    </row>
    <row r="450" spans="1:13" x14ac:dyDescent="0.2">
      <c r="A450" s="106" t="s">
        <v>6284</v>
      </c>
      <c r="B450" s="272" t="s">
        <v>3345</v>
      </c>
      <c r="C450" s="105" t="s">
        <v>6558</v>
      </c>
      <c r="D450" s="149" t="s">
        <v>3347</v>
      </c>
      <c r="E450" s="105">
        <v>1</v>
      </c>
      <c r="F450" s="133">
        <v>12.39</v>
      </c>
      <c r="G450" s="133">
        <v>14.25</v>
      </c>
      <c r="H450" s="109">
        <f t="shared" si="20"/>
        <v>14.25</v>
      </c>
      <c r="I450" s="119"/>
      <c r="J450" s="119">
        <v>0</v>
      </c>
      <c r="K450" s="119">
        <f t="shared" si="18"/>
        <v>14.25</v>
      </c>
      <c r="L450" s="152">
        <f t="shared" si="19"/>
        <v>12.39</v>
      </c>
      <c r="M450" s="113"/>
    </row>
    <row r="451" spans="1:13" x14ac:dyDescent="0.2">
      <c r="A451" s="106" t="s">
        <v>6284</v>
      </c>
      <c r="B451" s="272" t="s">
        <v>3641</v>
      </c>
      <c r="C451" s="105" t="s">
        <v>6559</v>
      </c>
      <c r="D451" s="149" t="s">
        <v>3642</v>
      </c>
      <c r="E451" s="105">
        <v>1</v>
      </c>
      <c r="F451" s="133">
        <v>12.39</v>
      </c>
      <c r="G451" s="133">
        <v>14.5</v>
      </c>
      <c r="H451" s="109">
        <f t="shared" si="20"/>
        <v>14.5</v>
      </c>
      <c r="I451" s="119"/>
      <c r="J451" s="119">
        <v>0</v>
      </c>
      <c r="K451" s="119">
        <f t="shared" si="18"/>
        <v>14.5</v>
      </c>
      <c r="L451" s="152">
        <f t="shared" si="19"/>
        <v>12.39</v>
      </c>
      <c r="M451" s="113"/>
    </row>
    <row r="452" spans="1:13" x14ac:dyDescent="0.2">
      <c r="A452" s="106" t="s">
        <v>6284</v>
      </c>
      <c r="B452" s="272" t="s">
        <v>5415</v>
      </c>
      <c r="C452" s="105" t="s">
        <v>6559</v>
      </c>
      <c r="D452" s="149" t="s">
        <v>5466</v>
      </c>
      <c r="E452" s="105">
        <v>1</v>
      </c>
      <c r="F452" s="133">
        <v>3.7</v>
      </c>
      <c r="G452" s="133">
        <v>5</v>
      </c>
      <c r="H452" s="109">
        <f t="shared" si="20"/>
        <v>5</v>
      </c>
      <c r="I452" s="119"/>
      <c r="J452" s="119">
        <v>0</v>
      </c>
      <c r="K452" s="119">
        <f t="shared" si="18"/>
        <v>5</v>
      </c>
      <c r="L452" s="152">
        <f t="shared" si="19"/>
        <v>3.7</v>
      </c>
      <c r="M452" s="113"/>
    </row>
    <row r="453" spans="1:13" x14ac:dyDescent="0.2">
      <c r="A453" s="106" t="s">
        <v>6284</v>
      </c>
      <c r="B453" s="272" t="s">
        <v>2655</v>
      </c>
      <c r="C453" s="105" t="s">
        <v>6560</v>
      </c>
      <c r="D453" s="149" t="s">
        <v>2656</v>
      </c>
      <c r="E453" s="105">
        <v>1</v>
      </c>
      <c r="F453" s="133">
        <v>67.28</v>
      </c>
      <c r="G453" s="133">
        <v>77.5</v>
      </c>
      <c r="H453" s="109">
        <f t="shared" si="20"/>
        <v>77.5</v>
      </c>
      <c r="I453" s="119"/>
      <c r="J453" s="119">
        <v>0</v>
      </c>
      <c r="K453" s="119">
        <f t="shared" si="18"/>
        <v>77.5</v>
      </c>
      <c r="L453" s="152">
        <f t="shared" si="19"/>
        <v>67.28</v>
      </c>
      <c r="M453" s="113"/>
    </row>
    <row r="454" spans="1:13" x14ac:dyDescent="0.2">
      <c r="A454" s="106" t="s">
        <v>6284</v>
      </c>
      <c r="B454" s="272" t="s">
        <v>1962</v>
      </c>
      <c r="C454" s="105" t="s">
        <v>6561</v>
      </c>
      <c r="D454" s="149" t="s">
        <v>1964</v>
      </c>
      <c r="E454" s="105">
        <v>2</v>
      </c>
      <c r="F454" s="133">
        <v>7.48</v>
      </c>
      <c r="G454" s="133">
        <v>8.75</v>
      </c>
      <c r="H454" s="109">
        <f t="shared" ref="H454:H517" si="21">E454*G454</f>
        <v>17.5</v>
      </c>
      <c r="I454" s="119"/>
      <c r="J454" s="119">
        <v>0</v>
      </c>
      <c r="K454" s="119">
        <f t="shared" ref="K454:K517" si="22">H454+I454-J454</f>
        <v>17.5</v>
      </c>
      <c r="L454" s="152">
        <f t="shared" si="19"/>
        <v>14.96</v>
      </c>
      <c r="M454" s="113"/>
    </row>
    <row r="455" spans="1:13" x14ac:dyDescent="0.2">
      <c r="A455" s="106" t="s">
        <v>6284</v>
      </c>
      <c r="B455" s="272" t="s">
        <v>5591</v>
      </c>
      <c r="C455" s="105" t="s">
        <v>6561</v>
      </c>
      <c r="D455" s="149" t="s">
        <v>5636</v>
      </c>
      <c r="E455" s="105">
        <v>1</v>
      </c>
      <c r="F455" s="133">
        <v>5.85</v>
      </c>
      <c r="G455" s="133">
        <v>7</v>
      </c>
      <c r="H455" s="109">
        <f t="shared" si="21"/>
        <v>7</v>
      </c>
      <c r="I455" s="119"/>
      <c r="J455" s="119">
        <v>0</v>
      </c>
      <c r="K455" s="119">
        <f t="shared" si="22"/>
        <v>7</v>
      </c>
      <c r="L455" s="152">
        <f t="shared" ref="L455:L518" si="23">E455*F455</f>
        <v>5.85</v>
      </c>
      <c r="M455" s="113"/>
    </row>
    <row r="456" spans="1:13" x14ac:dyDescent="0.2">
      <c r="A456" s="106" t="s">
        <v>6284</v>
      </c>
      <c r="B456" s="272" t="s">
        <v>1877</v>
      </c>
      <c r="C456" s="105" t="s">
        <v>6562</v>
      </c>
      <c r="D456" s="149" t="s">
        <v>1878</v>
      </c>
      <c r="E456" s="105">
        <v>4</v>
      </c>
      <c r="F456" s="133">
        <v>20.399999999999999</v>
      </c>
      <c r="G456" s="133">
        <v>23.5</v>
      </c>
      <c r="H456" s="109">
        <f t="shared" si="21"/>
        <v>94</v>
      </c>
      <c r="I456" s="119"/>
      <c r="J456" s="119">
        <v>0</v>
      </c>
      <c r="K456" s="119">
        <f t="shared" si="22"/>
        <v>94</v>
      </c>
      <c r="L456" s="152">
        <f t="shared" si="23"/>
        <v>81.599999999999994</v>
      </c>
      <c r="M456" s="113"/>
    </row>
    <row r="457" spans="1:13" x14ac:dyDescent="0.2">
      <c r="A457" s="106" t="s">
        <v>6284</v>
      </c>
      <c r="B457" s="272" t="s">
        <v>2031</v>
      </c>
      <c r="C457" s="105" t="s">
        <v>6562</v>
      </c>
      <c r="D457" s="149" t="s">
        <v>2033</v>
      </c>
      <c r="E457" s="105">
        <v>1</v>
      </c>
      <c r="F457" s="133">
        <v>20.399999999999999</v>
      </c>
      <c r="G457" s="133">
        <v>24</v>
      </c>
      <c r="H457" s="109">
        <f t="shared" si="21"/>
        <v>24</v>
      </c>
      <c r="I457" s="119"/>
      <c r="J457" s="119">
        <v>0</v>
      </c>
      <c r="K457" s="119">
        <f t="shared" si="22"/>
        <v>24</v>
      </c>
      <c r="L457" s="152">
        <f t="shared" si="23"/>
        <v>20.399999999999999</v>
      </c>
      <c r="M457" s="113"/>
    </row>
    <row r="458" spans="1:13" x14ac:dyDescent="0.2">
      <c r="A458" s="106" t="s">
        <v>6284</v>
      </c>
      <c r="B458" s="272" t="s">
        <v>6354</v>
      </c>
      <c r="C458" s="105" t="s">
        <v>6562</v>
      </c>
      <c r="D458" s="149" t="s">
        <v>6695</v>
      </c>
      <c r="E458" s="105">
        <v>1</v>
      </c>
      <c r="F458" s="133">
        <v>7.7</v>
      </c>
      <c r="G458" s="133">
        <v>9</v>
      </c>
      <c r="H458" s="109">
        <f t="shared" si="21"/>
        <v>9</v>
      </c>
      <c r="I458" s="119"/>
      <c r="J458" s="119">
        <v>0</v>
      </c>
      <c r="K458" s="119">
        <f t="shared" si="22"/>
        <v>9</v>
      </c>
      <c r="L458" s="152">
        <f t="shared" si="23"/>
        <v>7.7</v>
      </c>
      <c r="M458" s="113"/>
    </row>
    <row r="459" spans="1:13" x14ac:dyDescent="0.2">
      <c r="A459" s="106" t="s">
        <v>6284</v>
      </c>
      <c r="B459" s="272" t="s">
        <v>5415</v>
      </c>
      <c r="C459" s="105" t="s">
        <v>6563</v>
      </c>
      <c r="D459" s="149" t="s">
        <v>5466</v>
      </c>
      <c r="E459" s="105">
        <v>1</v>
      </c>
      <c r="F459" s="133">
        <v>3.7</v>
      </c>
      <c r="G459" s="133">
        <v>5</v>
      </c>
      <c r="H459" s="109">
        <f t="shared" si="21"/>
        <v>5</v>
      </c>
      <c r="I459" s="119"/>
      <c r="J459" s="119">
        <v>0</v>
      </c>
      <c r="K459" s="119">
        <f t="shared" si="22"/>
        <v>5</v>
      </c>
      <c r="L459" s="152">
        <f t="shared" si="23"/>
        <v>3.7</v>
      </c>
      <c r="M459" s="113"/>
    </row>
    <row r="460" spans="1:13" x14ac:dyDescent="0.2">
      <c r="A460" s="106" t="s">
        <v>6284</v>
      </c>
      <c r="B460" s="272" t="s">
        <v>1884</v>
      </c>
      <c r="C460" s="105" t="s">
        <v>6564</v>
      </c>
      <c r="D460" s="149" t="s">
        <v>1885</v>
      </c>
      <c r="E460" s="105">
        <v>1</v>
      </c>
      <c r="F460" s="133">
        <v>7.06</v>
      </c>
      <c r="G460" s="133">
        <v>8.25</v>
      </c>
      <c r="H460" s="109">
        <f t="shared" si="21"/>
        <v>8.25</v>
      </c>
      <c r="I460" s="119"/>
      <c r="J460" s="119">
        <v>0</v>
      </c>
      <c r="K460" s="119">
        <f t="shared" si="22"/>
        <v>8.25</v>
      </c>
      <c r="L460" s="152">
        <f t="shared" si="23"/>
        <v>7.06</v>
      </c>
      <c r="M460" s="113"/>
    </row>
    <row r="461" spans="1:13" x14ac:dyDescent="0.2">
      <c r="A461" s="106" t="s">
        <v>6284</v>
      </c>
      <c r="B461" s="272" t="s">
        <v>4567</v>
      </c>
      <c r="C461" s="105" t="s">
        <v>6565</v>
      </c>
      <c r="D461" s="149" t="s">
        <v>4672</v>
      </c>
      <c r="E461" s="105">
        <v>1</v>
      </c>
      <c r="F461" s="133">
        <v>7.06</v>
      </c>
      <c r="G461" s="133">
        <v>8.25</v>
      </c>
      <c r="H461" s="109">
        <f t="shared" si="21"/>
        <v>8.25</v>
      </c>
      <c r="I461" s="119"/>
      <c r="J461" s="119">
        <v>0</v>
      </c>
      <c r="K461" s="119">
        <f t="shared" si="22"/>
        <v>8.25</v>
      </c>
      <c r="L461" s="152">
        <f t="shared" si="23"/>
        <v>7.06</v>
      </c>
      <c r="M461" s="113"/>
    </row>
    <row r="462" spans="1:13" x14ac:dyDescent="0.2">
      <c r="A462" s="106" t="s">
        <v>6284</v>
      </c>
      <c r="B462" s="272" t="s">
        <v>2441</v>
      </c>
      <c r="C462" s="105" t="s">
        <v>6565</v>
      </c>
      <c r="D462" s="149" t="s">
        <v>2443</v>
      </c>
      <c r="E462" s="105">
        <v>1</v>
      </c>
      <c r="F462" s="133">
        <v>0.81</v>
      </c>
      <c r="G462" s="133">
        <v>1</v>
      </c>
      <c r="H462" s="109">
        <f t="shared" si="21"/>
        <v>1</v>
      </c>
      <c r="I462" s="119"/>
      <c r="J462" s="119">
        <v>0</v>
      </c>
      <c r="K462" s="119">
        <f t="shared" si="22"/>
        <v>1</v>
      </c>
      <c r="L462" s="152">
        <f t="shared" si="23"/>
        <v>0.81</v>
      </c>
      <c r="M462" s="113"/>
    </row>
    <row r="463" spans="1:13" x14ac:dyDescent="0.2">
      <c r="A463" s="106" t="s">
        <v>6284</v>
      </c>
      <c r="B463" s="272" t="s">
        <v>4567</v>
      </c>
      <c r="C463" s="105" t="s">
        <v>6566</v>
      </c>
      <c r="D463" s="149" t="s">
        <v>4672</v>
      </c>
      <c r="E463" s="105">
        <v>1</v>
      </c>
      <c r="F463" s="133">
        <v>7.06</v>
      </c>
      <c r="G463" s="133">
        <v>8.25</v>
      </c>
      <c r="H463" s="109">
        <f t="shared" si="21"/>
        <v>8.25</v>
      </c>
      <c r="I463" s="119"/>
      <c r="J463" s="119">
        <v>0</v>
      </c>
      <c r="K463" s="119">
        <f t="shared" si="22"/>
        <v>8.25</v>
      </c>
      <c r="L463" s="152">
        <f t="shared" si="23"/>
        <v>7.06</v>
      </c>
      <c r="M463" s="113"/>
    </row>
    <row r="464" spans="1:13" x14ac:dyDescent="0.2">
      <c r="A464" s="106" t="s">
        <v>6284</v>
      </c>
      <c r="B464" s="272" t="s">
        <v>6355</v>
      </c>
      <c r="C464" s="105" t="s">
        <v>6567</v>
      </c>
      <c r="D464" s="149" t="s">
        <v>6696</v>
      </c>
      <c r="E464" s="105">
        <v>5</v>
      </c>
      <c r="F464" s="133">
        <v>4.75</v>
      </c>
      <c r="G464" s="133">
        <v>5.5</v>
      </c>
      <c r="H464" s="109">
        <f t="shared" si="21"/>
        <v>27.5</v>
      </c>
      <c r="I464" s="119"/>
      <c r="J464" s="119">
        <v>0</v>
      </c>
      <c r="K464" s="119">
        <f t="shared" si="22"/>
        <v>27.5</v>
      </c>
      <c r="L464" s="152">
        <f t="shared" si="23"/>
        <v>23.75</v>
      </c>
      <c r="M464" s="113"/>
    </row>
    <row r="465" spans="1:13" x14ac:dyDescent="0.2">
      <c r="A465" s="106" t="s">
        <v>6284</v>
      </c>
      <c r="B465" s="272" t="s">
        <v>6355</v>
      </c>
      <c r="C465" s="105" t="s">
        <v>6568</v>
      </c>
      <c r="D465" s="149" t="s">
        <v>6696</v>
      </c>
      <c r="E465" s="105">
        <v>3</v>
      </c>
      <c r="F465" s="133">
        <v>4.75</v>
      </c>
      <c r="G465" s="133">
        <v>5.5</v>
      </c>
      <c r="H465" s="109">
        <f t="shared" si="21"/>
        <v>16.5</v>
      </c>
      <c r="I465" s="119"/>
      <c r="J465" s="119">
        <v>0</v>
      </c>
      <c r="K465" s="119">
        <f t="shared" si="22"/>
        <v>16.5</v>
      </c>
      <c r="L465" s="152">
        <f t="shared" si="23"/>
        <v>14.25</v>
      </c>
      <c r="M465" s="113"/>
    </row>
    <row r="466" spans="1:13" x14ac:dyDescent="0.2">
      <c r="A466" s="106" t="s">
        <v>6284</v>
      </c>
      <c r="B466" s="272" t="s">
        <v>6356</v>
      </c>
      <c r="C466" s="105" t="s">
        <v>6568</v>
      </c>
      <c r="D466" s="149" t="s">
        <v>6697</v>
      </c>
      <c r="E466" s="105">
        <v>3</v>
      </c>
      <c r="F466" s="133">
        <v>4.75</v>
      </c>
      <c r="G466" s="133">
        <v>5.5</v>
      </c>
      <c r="H466" s="109">
        <f t="shared" si="21"/>
        <v>16.5</v>
      </c>
      <c r="I466" s="119"/>
      <c r="J466" s="119">
        <v>0</v>
      </c>
      <c r="K466" s="119">
        <f t="shared" si="22"/>
        <v>16.5</v>
      </c>
      <c r="L466" s="152">
        <f t="shared" si="23"/>
        <v>14.25</v>
      </c>
      <c r="M466" s="113"/>
    </row>
    <row r="467" spans="1:13" x14ac:dyDescent="0.2">
      <c r="A467" s="106" t="s">
        <v>6284</v>
      </c>
      <c r="B467" s="272" t="s">
        <v>4806</v>
      </c>
      <c r="C467" s="105" t="s">
        <v>6569</v>
      </c>
      <c r="D467" s="149" t="s">
        <v>4874</v>
      </c>
      <c r="E467" s="105">
        <v>2</v>
      </c>
      <c r="F467" s="133">
        <v>8.58</v>
      </c>
      <c r="G467" s="133">
        <v>10</v>
      </c>
      <c r="H467" s="109">
        <f t="shared" si="21"/>
        <v>20</v>
      </c>
      <c r="I467" s="119"/>
      <c r="J467" s="119">
        <v>0</v>
      </c>
      <c r="K467" s="119">
        <f t="shared" si="22"/>
        <v>20</v>
      </c>
      <c r="L467" s="152">
        <f t="shared" si="23"/>
        <v>17.16</v>
      </c>
      <c r="M467" s="113"/>
    </row>
    <row r="468" spans="1:13" x14ac:dyDescent="0.2">
      <c r="A468" s="106" t="s">
        <v>6284</v>
      </c>
      <c r="B468" s="272" t="s">
        <v>3869</v>
      </c>
      <c r="C468" s="105" t="s">
        <v>6570</v>
      </c>
      <c r="D468" s="149" t="s">
        <v>3871</v>
      </c>
      <c r="E468" s="105">
        <v>1</v>
      </c>
      <c r="F468" s="133">
        <v>16.25</v>
      </c>
      <c r="G468" s="133">
        <v>19</v>
      </c>
      <c r="H468" s="109">
        <f t="shared" si="21"/>
        <v>19</v>
      </c>
      <c r="I468" s="119"/>
      <c r="J468" s="119">
        <v>0</v>
      </c>
      <c r="K468" s="119">
        <f t="shared" si="22"/>
        <v>19</v>
      </c>
      <c r="L468" s="152">
        <f t="shared" si="23"/>
        <v>16.25</v>
      </c>
      <c r="M468" s="113"/>
    </row>
    <row r="469" spans="1:13" x14ac:dyDescent="0.2">
      <c r="A469" s="106" t="s">
        <v>6285</v>
      </c>
      <c r="B469" s="272" t="s">
        <v>3993</v>
      </c>
      <c r="C469" s="105" t="s">
        <v>6571</v>
      </c>
      <c r="D469" s="149" t="s">
        <v>3995</v>
      </c>
      <c r="E469" s="105">
        <v>1</v>
      </c>
      <c r="F469" s="133">
        <v>18.649999999999999</v>
      </c>
      <c r="G469" s="133">
        <v>21.5</v>
      </c>
      <c r="H469" s="109">
        <f t="shared" si="21"/>
        <v>21.5</v>
      </c>
      <c r="I469" s="119"/>
      <c r="J469" s="119">
        <v>0</v>
      </c>
      <c r="K469" s="119">
        <f t="shared" si="22"/>
        <v>21.5</v>
      </c>
      <c r="L469" s="152">
        <f t="shared" si="23"/>
        <v>18.649999999999999</v>
      </c>
      <c r="M469" s="113"/>
    </row>
    <row r="470" spans="1:13" x14ac:dyDescent="0.2">
      <c r="A470" s="106" t="s">
        <v>6285</v>
      </c>
      <c r="B470" s="272" t="s">
        <v>2323</v>
      </c>
      <c r="C470" s="105" t="s">
        <v>6572</v>
      </c>
      <c r="D470" s="149" t="s">
        <v>2325</v>
      </c>
      <c r="E470" s="105">
        <v>1</v>
      </c>
      <c r="F470" s="133">
        <v>19.100000000000001</v>
      </c>
      <c r="G470" s="133">
        <v>22</v>
      </c>
      <c r="H470" s="109">
        <f t="shared" si="21"/>
        <v>22</v>
      </c>
      <c r="I470" s="119"/>
      <c r="J470" s="119">
        <v>0</v>
      </c>
      <c r="K470" s="119">
        <f t="shared" si="22"/>
        <v>22</v>
      </c>
      <c r="L470" s="152">
        <f t="shared" si="23"/>
        <v>19.100000000000001</v>
      </c>
      <c r="M470" s="113"/>
    </row>
    <row r="471" spans="1:13" x14ac:dyDescent="0.2">
      <c r="A471" s="106" t="s">
        <v>6285</v>
      </c>
      <c r="B471" s="272" t="s">
        <v>1888</v>
      </c>
      <c r="C471" s="105" t="s">
        <v>6572</v>
      </c>
      <c r="D471" s="149" t="s">
        <v>1890</v>
      </c>
      <c r="E471" s="105">
        <v>1</v>
      </c>
      <c r="F471" s="133">
        <v>20.68</v>
      </c>
      <c r="G471" s="133">
        <v>24</v>
      </c>
      <c r="H471" s="109">
        <f t="shared" si="21"/>
        <v>24</v>
      </c>
      <c r="I471" s="119"/>
      <c r="J471" s="119">
        <v>0</v>
      </c>
      <c r="K471" s="119">
        <f t="shared" si="22"/>
        <v>24</v>
      </c>
      <c r="L471" s="152">
        <f t="shared" si="23"/>
        <v>20.68</v>
      </c>
      <c r="M471" s="113"/>
    </row>
    <row r="472" spans="1:13" x14ac:dyDescent="0.2">
      <c r="A472" s="106" t="s">
        <v>6285</v>
      </c>
      <c r="B472" s="272" t="s">
        <v>3267</v>
      </c>
      <c r="C472" s="105" t="s">
        <v>6572</v>
      </c>
      <c r="D472" s="149" t="s">
        <v>3268</v>
      </c>
      <c r="E472" s="105">
        <v>1</v>
      </c>
      <c r="F472" s="133">
        <v>11.5</v>
      </c>
      <c r="G472" s="133">
        <v>13.5</v>
      </c>
      <c r="H472" s="109">
        <f t="shared" si="21"/>
        <v>13.5</v>
      </c>
      <c r="I472" s="119"/>
      <c r="J472" s="119">
        <v>0</v>
      </c>
      <c r="K472" s="119">
        <f t="shared" si="22"/>
        <v>13.5</v>
      </c>
      <c r="L472" s="152">
        <f t="shared" si="23"/>
        <v>11.5</v>
      </c>
      <c r="M472" s="113"/>
    </row>
    <row r="473" spans="1:13" x14ac:dyDescent="0.2">
      <c r="A473" s="106" t="s">
        <v>6285</v>
      </c>
      <c r="B473" s="272" t="s">
        <v>2836</v>
      </c>
      <c r="C473" s="105" t="s">
        <v>6573</v>
      </c>
      <c r="D473" s="149" t="s">
        <v>2837</v>
      </c>
      <c r="E473" s="105">
        <v>1</v>
      </c>
      <c r="F473" s="133">
        <v>14.65</v>
      </c>
      <c r="G473" s="133">
        <v>17</v>
      </c>
      <c r="H473" s="109">
        <f t="shared" si="21"/>
        <v>17</v>
      </c>
      <c r="I473" s="119"/>
      <c r="J473" s="119">
        <v>0</v>
      </c>
      <c r="K473" s="119">
        <f t="shared" si="22"/>
        <v>17</v>
      </c>
      <c r="L473" s="152">
        <f t="shared" si="23"/>
        <v>14.65</v>
      </c>
      <c r="M473" s="113"/>
    </row>
    <row r="474" spans="1:13" x14ac:dyDescent="0.2">
      <c r="A474" s="106" t="s">
        <v>6285</v>
      </c>
      <c r="B474" s="272" t="s">
        <v>5247</v>
      </c>
      <c r="C474" s="105" t="s">
        <v>6574</v>
      </c>
      <c r="D474" s="149" t="s">
        <v>5407</v>
      </c>
      <c r="E474" s="105">
        <v>1</v>
      </c>
      <c r="F474" s="133">
        <v>32.909999999999997</v>
      </c>
      <c r="G474" s="133">
        <v>38</v>
      </c>
      <c r="H474" s="109">
        <f t="shared" si="21"/>
        <v>38</v>
      </c>
      <c r="I474" s="119"/>
      <c r="J474" s="119">
        <v>0</v>
      </c>
      <c r="K474" s="119">
        <f t="shared" si="22"/>
        <v>38</v>
      </c>
      <c r="L474" s="152">
        <f t="shared" si="23"/>
        <v>32.909999999999997</v>
      </c>
      <c r="M474" s="113"/>
    </row>
    <row r="475" spans="1:13" x14ac:dyDescent="0.2">
      <c r="A475" s="106" t="s">
        <v>6285</v>
      </c>
      <c r="B475" s="272" t="s">
        <v>3060</v>
      </c>
      <c r="C475" s="105" t="s">
        <v>6574</v>
      </c>
      <c r="D475" s="149" t="s">
        <v>3062</v>
      </c>
      <c r="E475" s="105">
        <v>1</v>
      </c>
      <c r="F475" s="133">
        <v>44.8</v>
      </c>
      <c r="G475" s="133">
        <v>51.75</v>
      </c>
      <c r="H475" s="109">
        <f t="shared" si="21"/>
        <v>51.75</v>
      </c>
      <c r="I475" s="119"/>
      <c r="J475" s="119">
        <v>0</v>
      </c>
      <c r="K475" s="119">
        <f t="shared" si="22"/>
        <v>51.75</v>
      </c>
      <c r="L475" s="152">
        <f t="shared" si="23"/>
        <v>44.8</v>
      </c>
      <c r="M475" s="113"/>
    </row>
    <row r="476" spans="1:13" x14ac:dyDescent="0.2">
      <c r="A476" s="106" t="s">
        <v>6285</v>
      </c>
      <c r="B476" s="272" t="s">
        <v>1911</v>
      </c>
      <c r="C476" s="105" t="s">
        <v>6574</v>
      </c>
      <c r="D476" s="149" t="s">
        <v>1912</v>
      </c>
      <c r="E476" s="105">
        <v>1</v>
      </c>
      <c r="F476" s="133">
        <v>32.26</v>
      </c>
      <c r="G476" s="133">
        <v>37.25</v>
      </c>
      <c r="H476" s="109">
        <f t="shared" si="21"/>
        <v>37.25</v>
      </c>
      <c r="I476" s="119"/>
      <c r="J476" s="119">
        <v>0</v>
      </c>
      <c r="K476" s="119">
        <f t="shared" si="22"/>
        <v>37.25</v>
      </c>
      <c r="L476" s="152">
        <f t="shared" si="23"/>
        <v>32.26</v>
      </c>
      <c r="M476" s="113"/>
    </row>
    <row r="477" spans="1:13" x14ac:dyDescent="0.2">
      <c r="A477" s="106" t="s">
        <v>6285</v>
      </c>
      <c r="B477" s="272" t="s">
        <v>2240</v>
      </c>
      <c r="C477" s="105" t="s">
        <v>6575</v>
      </c>
      <c r="D477" s="149" t="s">
        <v>2241</v>
      </c>
      <c r="E477" s="105">
        <v>1</v>
      </c>
      <c r="F477" s="133">
        <v>18.649999999999999</v>
      </c>
      <c r="G477" s="133">
        <v>21.5</v>
      </c>
      <c r="H477" s="109">
        <f t="shared" si="21"/>
        <v>21.5</v>
      </c>
      <c r="I477" s="119"/>
      <c r="J477" s="119">
        <v>0</v>
      </c>
      <c r="K477" s="119">
        <f t="shared" si="22"/>
        <v>21.5</v>
      </c>
      <c r="L477" s="152">
        <f t="shared" si="23"/>
        <v>18.649999999999999</v>
      </c>
      <c r="M477" s="113"/>
    </row>
    <row r="478" spans="1:13" x14ac:dyDescent="0.2">
      <c r="A478" s="106" t="s">
        <v>6285</v>
      </c>
      <c r="B478" s="272" t="s">
        <v>2220</v>
      </c>
      <c r="C478" s="105" t="s">
        <v>6575</v>
      </c>
      <c r="D478" s="149" t="s">
        <v>2222</v>
      </c>
      <c r="E478" s="105">
        <v>1</v>
      </c>
      <c r="F478" s="133">
        <v>34.51</v>
      </c>
      <c r="G478" s="133">
        <v>41</v>
      </c>
      <c r="H478" s="109">
        <f t="shared" si="21"/>
        <v>41</v>
      </c>
      <c r="I478" s="119"/>
      <c r="J478" s="119">
        <v>0</v>
      </c>
      <c r="K478" s="119">
        <f t="shared" si="22"/>
        <v>41</v>
      </c>
      <c r="L478" s="152">
        <f t="shared" si="23"/>
        <v>34.51</v>
      </c>
      <c r="M478" s="113"/>
    </row>
    <row r="479" spans="1:13" x14ac:dyDescent="0.2">
      <c r="A479" s="106" t="s">
        <v>6285</v>
      </c>
      <c r="B479" s="272" t="s">
        <v>2031</v>
      </c>
      <c r="C479" s="105" t="s">
        <v>6576</v>
      </c>
      <c r="D479" s="149" t="s">
        <v>2033</v>
      </c>
      <c r="E479" s="105">
        <v>1</v>
      </c>
      <c r="F479" s="133">
        <v>20.399999999999999</v>
      </c>
      <c r="G479" s="133">
        <v>24</v>
      </c>
      <c r="H479" s="109">
        <f t="shared" si="21"/>
        <v>24</v>
      </c>
      <c r="I479" s="119"/>
      <c r="J479" s="119">
        <v>0</v>
      </c>
      <c r="K479" s="119">
        <f t="shared" si="22"/>
        <v>24</v>
      </c>
      <c r="L479" s="152">
        <f t="shared" si="23"/>
        <v>20.399999999999999</v>
      </c>
      <c r="M479" s="113"/>
    </row>
    <row r="480" spans="1:13" x14ac:dyDescent="0.2">
      <c r="A480" s="106" t="s">
        <v>6285</v>
      </c>
      <c r="B480" s="272" t="s">
        <v>2323</v>
      </c>
      <c r="C480" s="105" t="s">
        <v>6577</v>
      </c>
      <c r="D480" s="149" t="s">
        <v>2325</v>
      </c>
      <c r="E480" s="105">
        <v>1</v>
      </c>
      <c r="F480" s="133">
        <v>19.100000000000001</v>
      </c>
      <c r="G480" s="133">
        <v>22</v>
      </c>
      <c r="H480" s="109">
        <f t="shared" si="21"/>
        <v>22</v>
      </c>
      <c r="I480" s="119"/>
      <c r="J480" s="119">
        <v>0</v>
      </c>
      <c r="K480" s="119">
        <f t="shared" si="22"/>
        <v>22</v>
      </c>
      <c r="L480" s="152">
        <f t="shared" si="23"/>
        <v>19.100000000000001</v>
      </c>
      <c r="M480" s="113"/>
    </row>
    <row r="481" spans="1:13" x14ac:dyDescent="0.2">
      <c r="A481" s="106" t="s">
        <v>6285</v>
      </c>
      <c r="B481" s="272" t="s">
        <v>3917</v>
      </c>
      <c r="C481" s="105" t="s">
        <v>6578</v>
      </c>
      <c r="D481" s="149" t="s">
        <v>3919</v>
      </c>
      <c r="E481" s="105">
        <v>6</v>
      </c>
      <c r="F481" s="133">
        <v>6.37</v>
      </c>
      <c r="G481" s="133">
        <v>7.5</v>
      </c>
      <c r="H481" s="109">
        <f t="shared" si="21"/>
        <v>45</v>
      </c>
      <c r="I481" s="119"/>
      <c r="J481" s="119">
        <v>0</v>
      </c>
      <c r="K481" s="119">
        <f t="shared" si="22"/>
        <v>45</v>
      </c>
      <c r="L481" s="152">
        <f t="shared" si="23"/>
        <v>38.22</v>
      </c>
      <c r="M481" s="113"/>
    </row>
    <row r="482" spans="1:13" x14ac:dyDescent="0.2">
      <c r="A482" s="106" t="s">
        <v>6285</v>
      </c>
      <c r="B482" s="272" t="s">
        <v>2193</v>
      </c>
      <c r="C482" s="105" t="s">
        <v>6579</v>
      </c>
      <c r="D482" s="149" t="s">
        <v>2195</v>
      </c>
      <c r="E482" s="105">
        <v>2</v>
      </c>
      <c r="F482" s="133">
        <v>20.68</v>
      </c>
      <c r="G482" s="133">
        <v>24</v>
      </c>
      <c r="H482" s="109">
        <f t="shared" si="21"/>
        <v>48</v>
      </c>
      <c r="I482" s="119"/>
      <c r="J482" s="119">
        <v>0</v>
      </c>
      <c r="K482" s="119">
        <f t="shared" si="22"/>
        <v>48</v>
      </c>
      <c r="L482" s="152">
        <f t="shared" si="23"/>
        <v>41.36</v>
      </c>
      <c r="M482" s="113"/>
    </row>
    <row r="483" spans="1:13" x14ac:dyDescent="0.2">
      <c r="A483" s="106" t="s">
        <v>6285</v>
      </c>
      <c r="B483" s="272" t="s">
        <v>1888</v>
      </c>
      <c r="C483" s="105" t="s">
        <v>6579</v>
      </c>
      <c r="D483" s="149" t="s">
        <v>1890</v>
      </c>
      <c r="E483" s="105">
        <v>1</v>
      </c>
      <c r="F483" s="133">
        <v>20.68</v>
      </c>
      <c r="G483" s="133">
        <v>24</v>
      </c>
      <c r="H483" s="109">
        <f t="shared" si="21"/>
        <v>24</v>
      </c>
      <c r="I483" s="119"/>
      <c r="J483" s="119">
        <v>0</v>
      </c>
      <c r="K483" s="119">
        <f t="shared" si="22"/>
        <v>24</v>
      </c>
      <c r="L483" s="152">
        <f t="shared" si="23"/>
        <v>20.68</v>
      </c>
      <c r="M483" s="113"/>
    </row>
    <row r="484" spans="1:13" x14ac:dyDescent="0.2">
      <c r="A484" s="106" t="s">
        <v>6285</v>
      </c>
      <c r="B484" s="272" t="s">
        <v>4195</v>
      </c>
      <c r="C484" s="105" t="s">
        <v>6580</v>
      </c>
      <c r="D484" s="149" t="s">
        <v>4196</v>
      </c>
      <c r="E484" s="105">
        <v>2</v>
      </c>
      <c r="F484" s="133">
        <v>13.1</v>
      </c>
      <c r="G484" s="133">
        <v>15</v>
      </c>
      <c r="H484" s="109">
        <f t="shared" si="21"/>
        <v>30</v>
      </c>
      <c r="I484" s="119"/>
      <c r="J484" s="119">
        <v>0</v>
      </c>
      <c r="K484" s="119">
        <f t="shared" si="22"/>
        <v>30</v>
      </c>
      <c r="L484" s="152">
        <f t="shared" si="23"/>
        <v>26.2</v>
      </c>
      <c r="M484" s="113"/>
    </row>
    <row r="485" spans="1:13" x14ac:dyDescent="0.2">
      <c r="A485" s="106" t="s">
        <v>6285</v>
      </c>
      <c r="B485" s="272" t="s">
        <v>2809</v>
      </c>
      <c r="C485" s="105" t="s">
        <v>6581</v>
      </c>
      <c r="D485" s="149" t="s">
        <v>2810</v>
      </c>
      <c r="E485" s="105">
        <v>1</v>
      </c>
      <c r="F485" s="133">
        <v>53.81</v>
      </c>
      <c r="G485" s="133">
        <v>62</v>
      </c>
      <c r="H485" s="109">
        <f t="shared" si="21"/>
        <v>62</v>
      </c>
      <c r="I485" s="119"/>
      <c r="J485" s="119">
        <v>0</v>
      </c>
      <c r="K485" s="119">
        <f t="shared" si="22"/>
        <v>62</v>
      </c>
      <c r="L485" s="152">
        <f t="shared" si="23"/>
        <v>53.81</v>
      </c>
      <c r="M485" s="113"/>
    </row>
    <row r="486" spans="1:13" x14ac:dyDescent="0.2">
      <c r="A486" s="106" t="s">
        <v>6285</v>
      </c>
      <c r="B486" s="272" t="s">
        <v>2115</v>
      </c>
      <c r="C486" s="105" t="s">
        <v>6582</v>
      </c>
      <c r="D486" s="149" t="s">
        <v>2117</v>
      </c>
      <c r="E486" s="105">
        <v>1</v>
      </c>
      <c r="F486" s="133">
        <v>84.85</v>
      </c>
      <c r="G486" s="133">
        <v>94</v>
      </c>
      <c r="H486" s="109">
        <f t="shared" si="21"/>
        <v>94</v>
      </c>
      <c r="I486" s="119"/>
      <c r="J486" s="119">
        <v>0</v>
      </c>
      <c r="K486" s="119">
        <f t="shared" si="22"/>
        <v>94</v>
      </c>
      <c r="L486" s="152">
        <f t="shared" si="23"/>
        <v>84.85</v>
      </c>
      <c r="M486" s="113"/>
    </row>
    <row r="487" spans="1:13" x14ac:dyDescent="0.2">
      <c r="A487" s="106" t="s">
        <v>6285</v>
      </c>
      <c r="B487" s="272" t="s">
        <v>3825</v>
      </c>
      <c r="C487" s="105" t="s">
        <v>6583</v>
      </c>
      <c r="D487" s="149" t="s">
        <v>3827</v>
      </c>
      <c r="E487" s="105">
        <v>2</v>
      </c>
      <c r="F487" s="133">
        <v>63.2</v>
      </c>
      <c r="G487" s="133">
        <v>72.75</v>
      </c>
      <c r="H487" s="109">
        <f t="shared" si="21"/>
        <v>145.5</v>
      </c>
      <c r="I487" s="119"/>
      <c r="J487" s="119">
        <v>0</v>
      </c>
      <c r="K487" s="119">
        <f t="shared" si="22"/>
        <v>145.5</v>
      </c>
      <c r="L487" s="152">
        <f t="shared" si="23"/>
        <v>126.4</v>
      </c>
      <c r="M487" s="113"/>
    </row>
    <row r="488" spans="1:13" x14ac:dyDescent="0.2">
      <c r="A488" s="106" t="s">
        <v>6285</v>
      </c>
      <c r="B488" s="272" t="s">
        <v>3690</v>
      </c>
      <c r="C488" s="105" t="s">
        <v>6584</v>
      </c>
      <c r="D488" s="149" t="s">
        <v>3691</v>
      </c>
      <c r="E488" s="105">
        <v>2</v>
      </c>
      <c r="F488" s="133">
        <v>53.64</v>
      </c>
      <c r="G488" s="133">
        <v>61.75</v>
      </c>
      <c r="H488" s="109">
        <f t="shared" si="21"/>
        <v>123.5</v>
      </c>
      <c r="I488" s="119"/>
      <c r="J488" s="119">
        <v>0</v>
      </c>
      <c r="K488" s="119">
        <f t="shared" si="22"/>
        <v>123.5</v>
      </c>
      <c r="L488" s="152">
        <f t="shared" si="23"/>
        <v>107.28</v>
      </c>
      <c r="M488" s="113"/>
    </row>
    <row r="489" spans="1:13" x14ac:dyDescent="0.2">
      <c r="A489" s="106" t="s">
        <v>6285</v>
      </c>
      <c r="B489" s="272" t="s">
        <v>4112</v>
      </c>
      <c r="C489" s="105" t="s">
        <v>6584</v>
      </c>
      <c r="D489" s="149" t="s">
        <v>4113</v>
      </c>
      <c r="E489" s="105">
        <v>1</v>
      </c>
      <c r="F489" s="133">
        <v>19.66</v>
      </c>
      <c r="G489" s="133">
        <v>23</v>
      </c>
      <c r="H489" s="109">
        <f t="shared" si="21"/>
        <v>23</v>
      </c>
      <c r="I489" s="119"/>
      <c r="J489" s="119">
        <v>0</v>
      </c>
      <c r="K489" s="119">
        <f t="shared" si="22"/>
        <v>23</v>
      </c>
      <c r="L489" s="152">
        <f t="shared" si="23"/>
        <v>19.66</v>
      </c>
      <c r="M489" s="113"/>
    </row>
    <row r="490" spans="1:13" x14ac:dyDescent="0.2">
      <c r="A490" s="106" t="s">
        <v>6285</v>
      </c>
      <c r="B490" s="272" t="s">
        <v>4186</v>
      </c>
      <c r="C490" s="105" t="s">
        <v>6584</v>
      </c>
      <c r="D490" s="149" t="s">
        <v>4187</v>
      </c>
      <c r="E490" s="105">
        <v>1</v>
      </c>
      <c r="F490" s="133">
        <v>18.559999999999999</v>
      </c>
      <c r="G490" s="133">
        <v>21.5</v>
      </c>
      <c r="H490" s="109">
        <f t="shared" si="21"/>
        <v>21.5</v>
      </c>
      <c r="I490" s="119"/>
      <c r="J490" s="119">
        <v>0</v>
      </c>
      <c r="K490" s="119">
        <f t="shared" si="22"/>
        <v>21.5</v>
      </c>
      <c r="L490" s="152">
        <f t="shared" si="23"/>
        <v>18.559999999999999</v>
      </c>
      <c r="M490" s="113"/>
    </row>
    <row r="491" spans="1:13" x14ac:dyDescent="0.2">
      <c r="A491" s="106" t="s">
        <v>6285</v>
      </c>
      <c r="B491" s="272" t="s">
        <v>4368</v>
      </c>
      <c r="C491" s="105" t="s">
        <v>6584</v>
      </c>
      <c r="D491" s="149" t="s">
        <v>4432</v>
      </c>
      <c r="E491" s="105">
        <v>1</v>
      </c>
      <c r="F491" s="133">
        <v>9.27</v>
      </c>
      <c r="G491" s="133">
        <v>10.75</v>
      </c>
      <c r="H491" s="109">
        <f t="shared" si="21"/>
        <v>10.75</v>
      </c>
      <c r="I491" s="119"/>
      <c r="J491" s="119">
        <v>0</v>
      </c>
      <c r="K491" s="119">
        <f t="shared" si="22"/>
        <v>10.75</v>
      </c>
      <c r="L491" s="152">
        <f t="shared" si="23"/>
        <v>9.27</v>
      </c>
      <c r="M491" s="113"/>
    </row>
    <row r="492" spans="1:13" x14ac:dyDescent="0.2">
      <c r="A492" s="106" t="s">
        <v>6285</v>
      </c>
      <c r="B492" s="272" t="s">
        <v>3825</v>
      </c>
      <c r="C492" s="105" t="s">
        <v>6584</v>
      </c>
      <c r="D492" s="149" t="s">
        <v>3827</v>
      </c>
      <c r="E492" s="105">
        <v>1</v>
      </c>
      <c r="F492" s="133">
        <v>63.2</v>
      </c>
      <c r="G492" s="133">
        <v>72.75</v>
      </c>
      <c r="H492" s="109">
        <f t="shared" si="21"/>
        <v>72.75</v>
      </c>
      <c r="I492" s="119"/>
      <c r="J492" s="119">
        <v>0</v>
      </c>
      <c r="K492" s="119">
        <f t="shared" si="22"/>
        <v>72.75</v>
      </c>
      <c r="L492" s="152">
        <f t="shared" si="23"/>
        <v>63.2</v>
      </c>
      <c r="M492" s="113"/>
    </row>
    <row r="493" spans="1:13" x14ac:dyDescent="0.2">
      <c r="A493" s="106" t="s">
        <v>6285</v>
      </c>
      <c r="B493" s="272" t="s">
        <v>5033</v>
      </c>
      <c r="C493" s="105" t="s">
        <v>6584</v>
      </c>
      <c r="D493" s="149" t="s">
        <v>5077</v>
      </c>
      <c r="E493" s="105">
        <v>1</v>
      </c>
      <c r="F493" s="133">
        <v>25</v>
      </c>
      <c r="G493" s="133">
        <v>28.75</v>
      </c>
      <c r="H493" s="109">
        <f t="shared" si="21"/>
        <v>28.75</v>
      </c>
      <c r="I493" s="119"/>
      <c r="J493" s="119">
        <v>0</v>
      </c>
      <c r="K493" s="119">
        <f t="shared" si="22"/>
        <v>28.75</v>
      </c>
      <c r="L493" s="152">
        <f t="shared" si="23"/>
        <v>25</v>
      </c>
      <c r="M493" s="113"/>
    </row>
    <row r="494" spans="1:13" x14ac:dyDescent="0.2">
      <c r="A494" s="106" t="s">
        <v>6285</v>
      </c>
      <c r="B494" s="272" t="s">
        <v>3733</v>
      </c>
      <c r="C494" s="105" t="s">
        <v>6585</v>
      </c>
      <c r="D494" s="149" t="s">
        <v>6698</v>
      </c>
      <c r="E494" s="105">
        <v>1</v>
      </c>
      <c r="F494" s="133">
        <v>82500</v>
      </c>
      <c r="G494" s="133">
        <v>86000</v>
      </c>
      <c r="H494" s="109"/>
      <c r="I494" s="119">
        <v>86000</v>
      </c>
      <c r="J494" s="119">
        <v>0</v>
      </c>
      <c r="K494" s="119">
        <f t="shared" si="22"/>
        <v>86000</v>
      </c>
      <c r="L494" s="152">
        <f t="shared" si="23"/>
        <v>82500</v>
      </c>
      <c r="M494" s="113"/>
    </row>
    <row r="495" spans="1:13" x14ac:dyDescent="0.2">
      <c r="A495" s="106" t="s">
        <v>6285</v>
      </c>
      <c r="B495" s="272" t="s">
        <v>6357</v>
      </c>
      <c r="C495" s="105" t="s">
        <v>6585</v>
      </c>
      <c r="D495" s="149" t="s">
        <v>6699</v>
      </c>
      <c r="E495" s="105">
        <v>1</v>
      </c>
      <c r="F495" s="133">
        <v>2000</v>
      </c>
      <c r="G495" s="133">
        <v>2500</v>
      </c>
      <c r="H495" s="109"/>
      <c r="I495" s="119">
        <v>2500</v>
      </c>
      <c r="J495" s="119">
        <v>0</v>
      </c>
      <c r="K495" s="119">
        <f t="shared" si="22"/>
        <v>2500</v>
      </c>
      <c r="L495" s="152">
        <f t="shared" si="23"/>
        <v>2000</v>
      </c>
      <c r="M495" s="113"/>
    </row>
    <row r="496" spans="1:13" x14ac:dyDescent="0.2">
      <c r="A496" s="106" t="s">
        <v>6285</v>
      </c>
      <c r="B496" s="272" t="s">
        <v>3617</v>
      </c>
      <c r="C496" s="105" t="s">
        <v>6586</v>
      </c>
      <c r="D496" s="149" t="s">
        <v>3619</v>
      </c>
      <c r="E496" s="105">
        <v>10</v>
      </c>
      <c r="F496" s="133">
        <v>13.21</v>
      </c>
      <c r="G496" s="133">
        <v>15.25</v>
      </c>
      <c r="H496" s="109">
        <f t="shared" si="21"/>
        <v>152.5</v>
      </c>
      <c r="I496" s="119"/>
      <c r="J496" s="119">
        <v>0</v>
      </c>
      <c r="K496" s="119">
        <f t="shared" si="22"/>
        <v>152.5</v>
      </c>
      <c r="L496" s="152">
        <f t="shared" si="23"/>
        <v>132.10000000000002</v>
      </c>
      <c r="M496" s="113"/>
    </row>
    <row r="497" spans="1:13" x14ac:dyDescent="0.2">
      <c r="A497" s="106" t="s">
        <v>6285</v>
      </c>
      <c r="B497" s="272" t="s">
        <v>4567</v>
      </c>
      <c r="C497" s="105" t="s">
        <v>6587</v>
      </c>
      <c r="D497" s="149" t="s">
        <v>4672</v>
      </c>
      <c r="E497" s="105">
        <v>1</v>
      </c>
      <c r="F497" s="133">
        <v>7.06</v>
      </c>
      <c r="G497" s="133">
        <v>8.25</v>
      </c>
      <c r="H497" s="109">
        <f t="shared" si="21"/>
        <v>8.25</v>
      </c>
      <c r="I497" s="119"/>
      <c r="J497" s="119">
        <v>0</v>
      </c>
      <c r="K497" s="119">
        <f t="shared" si="22"/>
        <v>8.25</v>
      </c>
      <c r="L497" s="152">
        <f t="shared" si="23"/>
        <v>7.06</v>
      </c>
      <c r="M497" s="113"/>
    </row>
    <row r="498" spans="1:13" x14ac:dyDescent="0.2">
      <c r="A498" s="106" t="s">
        <v>6285</v>
      </c>
      <c r="B498" s="272" t="s">
        <v>2441</v>
      </c>
      <c r="C498" s="105" t="s">
        <v>6587</v>
      </c>
      <c r="D498" s="149" t="s">
        <v>2443</v>
      </c>
      <c r="E498" s="105">
        <v>1</v>
      </c>
      <c r="F498" s="133">
        <v>0.81</v>
      </c>
      <c r="G498" s="133">
        <v>1</v>
      </c>
      <c r="H498" s="109">
        <f t="shared" si="21"/>
        <v>1</v>
      </c>
      <c r="I498" s="119"/>
      <c r="J498" s="119">
        <v>0</v>
      </c>
      <c r="K498" s="119">
        <f t="shared" si="22"/>
        <v>1</v>
      </c>
      <c r="L498" s="152">
        <f t="shared" si="23"/>
        <v>0.81</v>
      </c>
      <c r="M498" s="113"/>
    </row>
    <row r="499" spans="1:13" x14ac:dyDescent="0.2">
      <c r="A499" s="106" t="s">
        <v>6285</v>
      </c>
      <c r="B499" s="272" t="s">
        <v>5415</v>
      </c>
      <c r="C499" s="105" t="s">
        <v>6588</v>
      </c>
      <c r="D499" s="149" t="s">
        <v>5466</v>
      </c>
      <c r="E499" s="105">
        <v>1</v>
      </c>
      <c r="F499" s="133">
        <v>3.7</v>
      </c>
      <c r="G499" s="133">
        <v>5</v>
      </c>
      <c r="H499" s="109">
        <f t="shared" si="21"/>
        <v>5</v>
      </c>
      <c r="I499" s="119"/>
      <c r="J499" s="119">
        <v>0</v>
      </c>
      <c r="K499" s="119">
        <f t="shared" si="22"/>
        <v>5</v>
      </c>
      <c r="L499" s="152">
        <f t="shared" si="23"/>
        <v>3.7</v>
      </c>
      <c r="M499" s="113"/>
    </row>
    <row r="500" spans="1:13" x14ac:dyDescent="0.2">
      <c r="A500" s="106" t="s">
        <v>6285</v>
      </c>
      <c r="B500" s="272" t="s">
        <v>6358</v>
      </c>
      <c r="C500" s="105" t="s">
        <v>6589</v>
      </c>
      <c r="D500" s="149" t="s">
        <v>6700</v>
      </c>
      <c r="E500" s="105">
        <v>6</v>
      </c>
      <c r="F500" s="133">
        <v>6.12</v>
      </c>
      <c r="G500" s="133">
        <v>7.25</v>
      </c>
      <c r="H500" s="109">
        <f t="shared" si="21"/>
        <v>43.5</v>
      </c>
      <c r="I500" s="119"/>
      <c r="J500" s="119">
        <v>0</v>
      </c>
      <c r="K500" s="119">
        <f t="shared" si="22"/>
        <v>43.5</v>
      </c>
      <c r="L500" s="152">
        <f t="shared" si="23"/>
        <v>36.72</v>
      </c>
      <c r="M500" s="113"/>
    </row>
    <row r="501" spans="1:13" x14ac:dyDescent="0.2">
      <c r="A501" s="106" t="s">
        <v>6285</v>
      </c>
      <c r="B501" s="272" t="s">
        <v>2441</v>
      </c>
      <c r="C501" s="105" t="s">
        <v>6590</v>
      </c>
      <c r="D501" s="149" t="s">
        <v>2443</v>
      </c>
      <c r="E501" s="105">
        <v>9</v>
      </c>
      <c r="F501" s="133">
        <v>0.81</v>
      </c>
      <c r="G501" s="133">
        <v>1</v>
      </c>
      <c r="H501" s="109">
        <f t="shared" si="21"/>
        <v>9</v>
      </c>
      <c r="I501" s="119"/>
      <c r="J501" s="119">
        <v>0</v>
      </c>
      <c r="K501" s="119">
        <f t="shared" si="22"/>
        <v>9</v>
      </c>
      <c r="L501" s="152">
        <f t="shared" si="23"/>
        <v>7.2900000000000009</v>
      </c>
      <c r="M501" s="113"/>
    </row>
    <row r="502" spans="1:13" x14ac:dyDescent="0.2">
      <c r="A502" s="106" t="s">
        <v>6285</v>
      </c>
      <c r="B502" s="272" t="s">
        <v>2884</v>
      </c>
      <c r="C502" s="105" t="s">
        <v>6591</v>
      </c>
      <c r="D502" s="149" t="s">
        <v>2886</v>
      </c>
      <c r="E502" s="105">
        <v>4</v>
      </c>
      <c r="F502" s="133">
        <v>251.67</v>
      </c>
      <c r="G502" s="133">
        <v>362.75</v>
      </c>
      <c r="H502" s="109">
        <f t="shared" si="21"/>
        <v>1451</v>
      </c>
      <c r="I502" s="119"/>
      <c r="J502" s="119">
        <v>0</v>
      </c>
      <c r="K502" s="119">
        <f t="shared" si="22"/>
        <v>1451</v>
      </c>
      <c r="L502" s="152">
        <f t="shared" si="23"/>
        <v>1006.68</v>
      </c>
      <c r="M502" s="113"/>
    </row>
    <row r="503" spans="1:13" x14ac:dyDescent="0.2">
      <c r="A503" s="106" t="s">
        <v>6285</v>
      </c>
      <c r="B503" s="272" t="s">
        <v>2031</v>
      </c>
      <c r="C503" s="105" t="s">
        <v>6592</v>
      </c>
      <c r="D503" s="149" t="s">
        <v>2033</v>
      </c>
      <c r="E503" s="105">
        <v>1</v>
      </c>
      <c r="F503" s="133">
        <v>20.399999999999999</v>
      </c>
      <c r="G503" s="133">
        <v>24</v>
      </c>
      <c r="H503" s="109">
        <f t="shared" si="21"/>
        <v>24</v>
      </c>
      <c r="I503" s="119"/>
      <c r="J503" s="119">
        <v>0</v>
      </c>
      <c r="K503" s="119">
        <f t="shared" si="22"/>
        <v>24</v>
      </c>
      <c r="L503" s="152">
        <f t="shared" si="23"/>
        <v>20.399999999999999</v>
      </c>
      <c r="M503" s="113"/>
    </row>
    <row r="504" spans="1:13" x14ac:dyDescent="0.2">
      <c r="A504" s="106" t="s">
        <v>6285</v>
      </c>
      <c r="B504" s="272" t="s">
        <v>1877</v>
      </c>
      <c r="C504" s="105" t="s">
        <v>6592</v>
      </c>
      <c r="D504" s="149" t="s">
        <v>1878</v>
      </c>
      <c r="E504" s="105">
        <v>1</v>
      </c>
      <c r="F504" s="133">
        <v>20.399999999999999</v>
      </c>
      <c r="G504" s="133">
        <v>23.5</v>
      </c>
      <c r="H504" s="109">
        <f t="shared" si="21"/>
        <v>23.5</v>
      </c>
      <c r="I504" s="119"/>
      <c r="J504" s="119">
        <v>0</v>
      </c>
      <c r="K504" s="119">
        <f t="shared" si="22"/>
        <v>23.5</v>
      </c>
      <c r="L504" s="152">
        <f t="shared" si="23"/>
        <v>20.399999999999999</v>
      </c>
      <c r="M504" s="113"/>
    </row>
    <row r="505" spans="1:13" x14ac:dyDescent="0.2">
      <c r="A505" s="106" t="s">
        <v>6285</v>
      </c>
      <c r="B505" s="272" t="s">
        <v>4520</v>
      </c>
      <c r="C505" s="105" t="s">
        <v>6593</v>
      </c>
      <c r="D505" s="149" t="s">
        <v>4625</v>
      </c>
      <c r="E505" s="105">
        <v>1</v>
      </c>
      <c r="F505" s="133">
        <v>60</v>
      </c>
      <c r="G505" s="133">
        <v>75</v>
      </c>
      <c r="H505" s="109">
        <f t="shared" si="21"/>
        <v>75</v>
      </c>
      <c r="I505" s="119"/>
      <c r="J505" s="119">
        <v>0</v>
      </c>
      <c r="K505" s="119">
        <f t="shared" si="22"/>
        <v>75</v>
      </c>
      <c r="L505" s="152">
        <f t="shared" si="23"/>
        <v>60</v>
      </c>
      <c r="M505" s="113"/>
    </row>
    <row r="506" spans="1:13" x14ac:dyDescent="0.2">
      <c r="A506" s="106" t="s">
        <v>6285</v>
      </c>
      <c r="B506" s="272" t="s">
        <v>3909</v>
      </c>
      <c r="C506" s="105" t="s">
        <v>6594</v>
      </c>
      <c r="D506" s="149" t="s">
        <v>3911</v>
      </c>
      <c r="E506" s="105">
        <v>1</v>
      </c>
      <c r="F506" s="133">
        <v>7.06</v>
      </c>
      <c r="G506" s="133">
        <v>8.25</v>
      </c>
      <c r="H506" s="109">
        <f t="shared" si="21"/>
        <v>8.25</v>
      </c>
      <c r="I506" s="119"/>
      <c r="J506" s="119">
        <v>0</v>
      </c>
      <c r="K506" s="119">
        <f t="shared" si="22"/>
        <v>8.25</v>
      </c>
      <c r="L506" s="152">
        <f t="shared" si="23"/>
        <v>7.06</v>
      </c>
      <c r="M506" s="113"/>
    </row>
    <row r="507" spans="1:13" x14ac:dyDescent="0.2">
      <c r="A507" s="106" t="s">
        <v>6285</v>
      </c>
      <c r="B507" s="272" t="s">
        <v>4716</v>
      </c>
      <c r="C507" s="105" t="s">
        <v>6594</v>
      </c>
      <c r="D507" s="149" t="s">
        <v>4751</v>
      </c>
      <c r="E507" s="105">
        <v>1</v>
      </c>
      <c r="F507" s="133">
        <v>0.81</v>
      </c>
      <c r="G507" s="133">
        <v>1</v>
      </c>
      <c r="H507" s="109">
        <f t="shared" si="21"/>
        <v>1</v>
      </c>
      <c r="I507" s="119"/>
      <c r="J507" s="119">
        <v>0</v>
      </c>
      <c r="K507" s="119">
        <f t="shared" si="22"/>
        <v>1</v>
      </c>
      <c r="L507" s="152">
        <f t="shared" si="23"/>
        <v>0.81</v>
      </c>
      <c r="M507" s="113"/>
    </row>
    <row r="508" spans="1:13" x14ac:dyDescent="0.2">
      <c r="A508" s="106" t="s">
        <v>6285</v>
      </c>
      <c r="B508" s="272" t="s">
        <v>3112</v>
      </c>
      <c r="C508" s="105" t="s">
        <v>6595</v>
      </c>
      <c r="D508" s="149" t="s">
        <v>3113</v>
      </c>
      <c r="E508" s="105">
        <v>2</v>
      </c>
      <c r="F508" s="133">
        <v>113.38</v>
      </c>
      <c r="G508" s="133">
        <v>136.5</v>
      </c>
      <c r="H508" s="109">
        <f t="shared" si="21"/>
        <v>273</v>
      </c>
      <c r="I508" s="119"/>
      <c r="J508" s="119">
        <v>0</v>
      </c>
      <c r="K508" s="119">
        <f t="shared" si="22"/>
        <v>273</v>
      </c>
      <c r="L508" s="152">
        <f t="shared" si="23"/>
        <v>226.76</v>
      </c>
      <c r="M508" s="113"/>
    </row>
    <row r="509" spans="1:13" x14ac:dyDescent="0.2">
      <c r="A509" s="106" t="s">
        <v>6285</v>
      </c>
      <c r="B509" s="272" t="s">
        <v>2884</v>
      </c>
      <c r="C509" s="105" t="s">
        <v>6596</v>
      </c>
      <c r="D509" s="149" t="s">
        <v>2886</v>
      </c>
      <c r="E509" s="105">
        <v>2</v>
      </c>
      <c r="F509" s="133">
        <v>251.67</v>
      </c>
      <c r="G509" s="133">
        <v>362.75</v>
      </c>
      <c r="H509" s="109">
        <f t="shared" si="21"/>
        <v>725.5</v>
      </c>
      <c r="I509" s="119"/>
      <c r="J509" s="119">
        <v>0</v>
      </c>
      <c r="K509" s="119">
        <f t="shared" si="22"/>
        <v>725.5</v>
      </c>
      <c r="L509" s="152">
        <f t="shared" si="23"/>
        <v>503.34</v>
      </c>
      <c r="M509" s="113"/>
    </row>
    <row r="510" spans="1:13" x14ac:dyDescent="0.2">
      <c r="A510" s="106" t="s">
        <v>6285</v>
      </c>
      <c r="B510" s="272" t="s">
        <v>3569</v>
      </c>
      <c r="C510" s="105" t="s">
        <v>6597</v>
      </c>
      <c r="D510" s="149" t="s">
        <v>3571</v>
      </c>
      <c r="E510" s="105">
        <v>1</v>
      </c>
      <c r="F510" s="133">
        <v>21.88</v>
      </c>
      <c r="G510" s="133">
        <v>25.25</v>
      </c>
      <c r="H510" s="109">
        <f t="shared" si="21"/>
        <v>25.25</v>
      </c>
      <c r="I510" s="119"/>
      <c r="J510" s="119">
        <v>0</v>
      </c>
      <c r="K510" s="119">
        <f t="shared" si="22"/>
        <v>25.25</v>
      </c>
      <c r="L510" s="152">
        <f t="shared" si="23"/>
        <v>21.88</v>
      </c>
      <c r="M510" s="113"/>
    </row>
    <row r="511" spans="1:13" x14ac:dyDescent="0.2">
      <c r="A511" s="106" t="s">
        <v>6285</v>
      </c>
      <c r="B511" s="272" t="s">
        <v>5982</v>
      </c>
      <c r="C511" s="105" t="s">
        <v>6597</v>
      </c>
      <c r="D511" s="149" t="s">
        <v>6100</v>
      </c>
      <c r="E511" s="105">
        <v>1</v>
      </c>
      <c r="F511" s="133">
        <v>5.74</v>
      </c>
      <c r="G511" s="133">
        <v>7</v>
      </c>
      <c r="H511" s="109">
        <f t="shared" si="21"/>
        <v>7</v>
      </c>
      <c r="I511" s="119"/>
      <c r="J511" s="119">
        <v>0</v>
      </c>
      <c r="K511" s="119">
        <f t="shared" si="22"/>
        <v>7</v>
      </c>
      <c r="L511" s="152">
        <f t="shared" si="23"/>
        <v>5.74</v>
      </c>
      <c r="M511" s="113"/>
    </row>
    <row r="512" spans="1:13" x14ac:dyDescent="0.2">
      <c r="A512" s="106" t="s">
        <v>6285</v>
      </c>
      <c r="B512" s="272" t="s">
        <v>3352</v>
      </c>
      <c r="C512" s="105" t="s">
        <v>6597</v>
      </c>
      <c r="D512" s="149" t="s">
        <v>3353</v>
      </c>
      <c r="E512" s="105">
        <v>3</v>
      </c>
      <c r="F512" s="133">
        <v>6.35</v>
      </c>
      <c r="G512" s="133">
        <v>7.5</v>
      </c>
      <c r="H512" s="109">
        <f t="shared" si="21"/>
        <v>22.5</v>
      </c>
      <c r="I512" s="119"/>
      <c r="J512" s="119">
        <v>0</v>
      </c>
      <c r="K512" s="119">
        <f t="shared" si="22"/>
        <v>22.5</v>
      </c>
      <c r="L512" s="152">
        <f t="shared" si="23"/>
        <v>19.049999999999997</v>
      </c>
      <c r="M512" s="113"/>
    </row>
    <row r="513" spans="1:13" x14ac:dyDescent="0.2">
      <c r="A513" s="106" t="s">
        <v>6285</v>
      </c>
      <c r="B513" s="272" t="s">
        <v>1888</v>
      </c>
      <c r="C513" s="105" t="s">
        <v>6597</v>
      </c>
      <c r="D513" s="149" t="s">
        <v>1890</v>
      </c>
      <c r="E513" s="105">
        <v>1</v>
      </c>
      <c r="F513" s="133">
        <v>20.68</v>
      </c>
      <c r="G513" s="133">
        <v>24</v>
      </c>
      <c r="H513" s="109">
        <f t="shared" si="21"/>
        <v>24</v>
      </c>
      <c r="I513" s="119"/>
      <c r="J513" s="119">
        <v>0</v>
      </c>
      <c r="K513" s="119">
        <f t="shared" si="22"/>
        <v>24</v>
      </c>
      <c r="L513" s="152">
        <f t="shared" si="23"/>
        <v>20.68</v>
      </c>
      <c r="M513" s="113"/>
    </row>
    <row r="514" spans="1:13" x14ac:dyDescent="0.2">
      <c r="A514" s="106" t="s">
        <v>6285</v>
      </c>
      <c r="B514" s="272" t="s">
        <v>6359</v>
      </c>
      <c r="C514" s="105" t="s">
        <v>6597</v>
      </c>
      <c r="D514" s="149" t="s">
        <v>6701</v>
      </c>
      <c r="E514" s="105">
        <v>1</v>
      </c>
      <c r="F514" s="133">
        <v>32</v>
      </c>
      <c r="G514" s="133">
        <v>37</v>
      </c>
      <c r="H514" s="109">
        <f t="shared" si="21"/>
        <v>37</v>
      </c>
      <c r="I514" s="119"/>
      <c r="J514" s="119">
        <v>0</v>
      </c>
      <c r="K514" s="119">
        <f t="shared" si="22"/>
        <v>37</v>
      </c>
      <c r="L514" s="152">
        <f t="shared" si="23"/>
        <v>32</v>
      </c>
      <c r="M514" s="113"/>
    </row>
    <row r="515" spans="1:13" x14ac:dyDescent="0.2">
      <c r="A515" s="106" t="s">
        <v>6285</v>
      </c>
      <c r="B515" s="272" t="s">
        <v>6360</v>
      </c>
      <c r="C515" s="105" t="s">
        <v>6597</v>
      </c>
      <c r="D515" s="149" t="s">
        <v>6702</v>
      </c>
      <c r="E515" s="105">
        <v>1</v>
      </c>
      <c r="F515" s="133">
        <v>31.47</v>
      </c>
      <c r="G515" s="133">
        <v>36.25</v>
      </c>
      <c r="H515" s="109">
        <f t="shared" si="21"/>
        <v>36.25</v>
      </c>
      <c r="I515" s="119"/>
      <c r="J515" s="119">
        <v>0</v>
      </c>
      <c r="K515" s="119">
        <f t="shared" si="22"/>
        <v>36.25</v>
      </c>
      <c r="L515" s="152">
        <f t="shared" si="23"/>
        <v>31.47</v>
      </c>
      <c r="M515" s="113"/>
    </row>
    <row r="516" spans="1:13" x14ac:dyDescent="0.2">
      <c r="A516" s="106" t="s">
        <v>6286</v>
      </c>
      <c r="B516" s="272" t="s">
        <v>2951</v>
      </c>
      <c r="C516" s="105" t="s">
        <v>6598</v>
      </c>
      <c r="D516" s="149" t="s">
        <v>2952</v>
      </c>
      <c r="E516" s="105">
        <v>1</v>
      </c>
      <c r="F516" s="133">
        <v>166.15</v>
      </c>
      <c r="G516" s="133">
        <v>249</v>
      </c>
      <c r="H516" s="109">
        <f t="shared" si="21"/>
        <v>249</v>
      </c>
      <c r="I516" s="119"/>
      <c r="J516" s="119">
        <v>0</v>
      </c>
      <c r="K516" s="119">
        <f t="shared" si="22"/>
        <v>249</v>
      </c>
      <c r="L516" s="152">
        <f t="shared" si="23"/>
        <v>166.15</v>
      </c>
      <c r="M516" s="113"/>
    </row>
    <row r="517" spans="1:13" x14ac:dyDescent="0.2">
      <c r="A517" s="106" t="s">
        <v>6286</v>
      </c>
      <c r="B517" s="272" t="s">
        <v>1830</v>
      </c>
      <c r="C517" s="105" t="s">
        <v>6599</v>
      </c>
      <c r="D517" s="149" t="s">
        <v>1831</v>
      </c>
      <c r="E517" s="105">
        <v>1</v>
      </c>
      <c r="F517" s="133">
        <v>16.84</v>
      </c>
      <c r="G517" s="133">
        <v>19.5</v>
      </c>
      <c r="H517" s="109">
        <f t="shared" si="21"/>
        <v>19.5</v>
      </c>
      <c r="I517" s="119"/>
      <c r="J517" s="119">
        <v>0</v>
      </c>
      <c r="K517" s="119">
        <f t="shared" si="22"/>
        <v>19.5</v>
      </c>
      <c r="L517" s="152">
        <f t="shared" si="23"/>
        <v>16.84</v>
      </c>
      <c r="M517" s="113"/>
    </row>
    <row r="518" spans="1:13" x14ac:dyDescent="0.2">
      <c r="A518" s="106" t="s">
        <v>6286</v>
      </c>
      <c r="B518" s="272" t="s">
        <v>6360</v>
      </c>
      <c r="C518" s="105" t="s">
        <v>6600</v>
      </c>
      <c r="D518" s="149" t="s">
        <v>6702</v>
      </c>
      <c r="E518" s="105">
        <v>1</v>
      </c>
      <c r="F518" s="133">
        <v>31.47</v>
      </c>
      <c r="G518" s="133">
        <v>36.25</v>
      </c>
      <c r="H518" s="109">
        <f t="shared" ref="H518:H581" si="24">E518*G518</f>
        <v>36.25</v>
      </c>
      <c r="I518" s="119"/>
      <c r="J518" s="119">
        <v>0</v>
      </c>
      <c r="K518" s="119">
        <f t="shared" ref="K518:K581" si="25">H518+I518-J518</f>
        <v>36.25</v>
      </c>
      <c r="L518" s="152">
        <f t="shared" si="23"/>
        <v>31.47</v>
      </c>
      <c r="M518" s="113"/>
    </row>
    <row r="519" spans="1:13" x14ac:dyDescent="0.2">
      <c r="A519" s="106" t="s">
        <v>6286</v>
      </c>
      <c r="B519" s="272" t="s">
        <v>1962</v>
      </c>
      <c r="C519" s="105" t="s">
        <v>6601</v>
      </c>
      <c r="D519" s="149" t="s">
        <v>1964</v>
      </c>
      <c r="E519" s="105">
        <v>2</v>
      </c>
      <c r="F519" s="133">
        <v>7.48</v>
      </c>
      <c r="G519" s="133">
        <v>8.75</v>
      </c>
      <c r="H519" s="109">
        <f t="shared" si="24"/>
        <v>17.5</v>
      </c>
      <c r="I519" s="119"/>
      <c r="J519" s="119">
        <v>0</v>
      </c>
      <c r="K519" s="119">
        <f t="shared" si="25"/>
        <v>17.5</v>
      </c>
      <c r="L519" s="152">
        <f t="shared" ref="L519:L582" si="26">E519*F519</f>
        <v>14.96</v>
      </c>
      <c r="M519" s="113"/>
    </row>
    <row r="520" spans="1:13" x14ac:dyDescent="0.2">
      <c r="A520" s="106" t="s">
        <v>6286</v>
      </c>
      <c r="B520" s="272" t="s">
        <v>1969</v>
      </c>
      <c r="C520" s="105" t="s">
        <v>6601</v>
      </c>
      <c r="D520" s="149" t="s">
        <v>1970</v>
      </c>
      <c r="E520" s="105">
        <v>1</v>
      </c>
      <c r="F520" s="133">
        <v>3.6</v>
      </c>
      <c r="G520" s="133">
        <v>4.25</v>
      </c>
      <c r="H520" s="109">
        <f t="shared" si="24"/>
        <v>4.25</v>
      </c>
      <c r="I520" s="119"/>
      <c r="J520" s="119">
        <v>0</v>
      </c>
      <c r="K520" s="119">
        <f t="shared" si="25"/>
        <v>4.25</v>
      </c>
      <c r="L520" s="152">
        <f t="shared" si="26"/>
        <v>3.6</v>
      </c>
      <c r="M520" s="113"/>
    </row>
    <row r="521" spans="1:13" x14ac:dyDescent="0.2">
      <c r="A521" s="106" t="s">
        <v>6286</v>
      </c>
      <c r="B521" s="272" t="s">
        <v>5979</v>
      </c>
      <c r="C521" s="105" t="s">
        <v>6602</v>
      </c>
      <c r="D521" s="149" t="s">
        <v>6097</v>
      </c>
      <c r="E521" s="105">
        <v>1</v>
      </c>
      <c r="F521" s="133">
        <v>5.74</v>
      </c>
      <c r="G521" s="133">
        <v>7</v>
      </c>
      <c r="H521" s="109">
        <f t="shared" si="24"/>
        <v>7</v>
      </c>
      <c r="I521" s="119"/>
      <c r="J521" s="119">
        <v>0</v>
      </c>
      <c r="K521" s="119">
        <f t="shared" si="25"/>
        <v>7</v>
      </c>
      <c r="L521" s="152">
        <f t="shared" si="26"/>
        <v>5.74</v>
      </c>
      <c r="M521" s="113"/>
    </row>
    <row r="522" spans="1:13" x14ac:dyDescent="0.2">
      <c r="A522" s="106" t="s">
        <v>6286</v>
      </c>
      <c r="B522" s="272" t="s">
        <v>3617</v>
      </c>
      <c r="C522" s="105" t="s">
        <v>6603</v>
      </c>
      <c r="D522" s="149" t="s">
        <v>3619</v>
      </c>
      <c r="E522" s="105">
        <v>5</v>
      </c>
      <c r="F522" s="133">
        <v>13.21</v>
      </c>
      <c r="G522" s="133">
        <v>15.25</v>
      </c>
      <c r="H522" s="109">
        <f t="shared" si="24"/>
        <v>76.25</v>
      </c>
      <c r="I522" s="119"/>
      <c r="J522" s="119">
        <v>0</v>
      </c>
      <c r="K522" s="119">
        <f t="shared" si="25"/>
        <v>76.25</v>
      </c>
      <c r="L522" s="152">
        <f t="shared" si="26"/>
        <v>66.050000000000011</v>
      </c>
      <c r="M522" s="113"/>
    </row>
    <row r="523" spans="1:13" x14ac:dyDescent="0.2">
      <c r="A523" s="106" t="s">
        <v>6286</v>
      </c>
      <c r="B523" s="272" t="s">
        <v>4797</v>
      </c>
      <c r="C523" s="105" t="s">
        <v>6603</v>
      </c>
      <c r="D523" s="149" t="s">
        <v>4866</v>
      </c>
      <c r="E523" s="105">
        <v>1</v>
      </c>
      <c r="F523" s="133">
        <v>50.88</v>
      </c>
      <c r="G523" s="133">
        <v>58.75</v>
      </c>
      <c r="H523" s="109">
        <f t="shared" si="24"/>
        <v>58.75</v>
      </c>
      <c r="I523" s="119"/>
      <c r="J523" s="119">
        <v>0</v>
      </c>
      <c r="K523" s="119">
        <f t="shared" si="25"/>
        <v>58.75</v>
      </c>
      <c r="L523" s="152">
        <f t="shared" si="26"/>
        <v>50.88</v>
      </c>
      <c r="M523" s="113"/>
    </row>
    <row r="524" spans="1:13" x14ac:dyDescent="0.2">
      <c r="A524" s="106" t="s">
        <v>6286</v>
      </c>
      <c r="B524" s="272" t="s">
        <v>4184</v>
      </c>
      <c r="C524" s="105" t="s">
        <v>6603</v>
      </c>
      <c r="D524" s="149" t="s">
        <v>4185</v>
      </c>
      <c r="E524" s="105">
        <v>1</v>
      </c>
      <c r="F524" s="133">
        <v>57.4</v>
      </c>
      <c r="G524" s="133">
        <v>66</v>
      </c>
      <c r="H524" s="109">
        <f t="shared" si="24"/>
        <v>66</v>
      </c>
      <c r="I524" s="119"/>
      <c r="J524" s="119">
        <v>0</v>
      </c>
      <c r="K524" s="119">
        <f t="shared" si="25"/>
        <v>66</v>
      </c>
      <c r="L524" s="152">
        <f t="shared" si="26"/>
        <v>57.4</v>
      </c>
      <c r="M524" s="113"/>
    </row>
    <row r="525" spans="1:13" x14ac:dyDescent="0.2">
      <c r="A525" s="106" t="s">
        <v>6286</v>
      </c>
      <c r="B525" s="272" t="s">
        <v>2323</v>
      </c>
      <c r="C525" s="105" t="s">
        <v>6604</v>
      </c>
      <c r="D525" s="149" t="s">
        <v>2325</v>
      </c>
      <c r="E525" s="105">
        <v>1</v>
      </c>
      <c r="F525" s="133">
        <v>19.100000000000001</v>
      </c>
      <c r="G525" s="133">
        <v>22</v>
      </c>
      <c r="H525" s="109">
        <f t="shared" si="24"/>
        <v>22</v>
      </c>
      <c r="I525" s="119"/>
      <c r="J525" s="119">
        <v>0</v>
      </c>
      <c r="K525" s="119">
        <f t="shared" si="25"/>
        <v>22</v>
      </c>
      <c r="L525" s="152">
        <f t="shared" si="26"/>
        <v>19.100000000000001</v>
      </c>
      <c r="M525" s="113"/>
    </row>
    <row r="526" spans="1:13" x14ac:dyDescent="0.2">
      <c r="A526" s="106" t="s">
        <v>6286</v>
      </c>
      <c r="B526" s="272" t="s">
        <v>3753</v>
      </c>
      <c r="C526" s="105" t="s">
        <v>6605</v>
      </c>
      <c r="D526" s="149" t="s">
        <v>3755</v>
      </c>
      <c r="E526" s="105">
        <v>2</v>
      </c>
      <c r="F526" s="133">
        <v>18.98</v>
      </c>
      <c r="G526" s="133">
        <v>22</v>
      </c>
      <c r="H526" s="109">
        <f t="shared" si="24"/>
        <v>44</v>
      </c>
      <c r="I526" s="119"/>
      <c r="J526" s="119">
        <v>0</v>
      </c>
      <c r="K526" s="119">
        <f t="shared" si="25"/>
        <v>44</v>
      </c>
      <c r="L526" s="152">
        <f t="shared" si="26"/>
        <v>37.96</v>
      </c>
      <c r="M526" s="113"/>
    </row>
    <row r="527" spans="1:13" x14ac:dyDescent="0.2">
      <c r="A527" s="106" t="s">
        <v>6286</v>
      </c>
      <c r="B527" s="272" t="s">
        <v>4585</v>
      </c>
      <c r="C527" s="105" t="s">
        <v>6606</v>
      </c>
      <c r="D527" s="149" t="s">
        <v>4690</v>
      </c>
      <c r="E527" s="105">
        <v>1</v>
      </c>
      <c r="F527" s="133">
        <v>39.5</v>
      </c>
      <c r="G527" s="133">
        <v>45.5</v>
      </c>
      <c r="H527" s="109">
        <f t="shared" si="24"/>
        <v>45.5</v>
      </c>
      <c r="I527" s="119"/>
      <c r="J527" s="119">
        <v>0</v>
      </c>
      <c r="K527" s="119">
        <f t="shared" si="25"/>
        <v>45.5</v>
      </c>
      <c r="L527" s="152">
        <f t="shared" si="26"/>
        <v>39.5</v>
      </c>
      <c r="M527" s="113"/>
    </row>
    <row r="528" spans="1:13" x14ac:dyDescent="0.2">
      <c r="A528" s="106" t="s">
        <v>6286</v>
      </c>
      <c r="B528" s="272" t="s">
        <v>1944</v>
      </c>
      <c r="C528" s="105" t="s">
        <v>6607</v>
      </c>
      <c r="D528" s="149" t="s">
        <v>1946</v>
      </c>
      <c r="E528" s="105">
        <v>2</v>
      </c>
      <c r="F528" s="133">
        <v>14.84</v>
      </c>
      <c r="G528" s="133">
        <v>17.25</v>
      </c>
      <c r="H528" s="109">
        <f t="shared" si="24"/>
        <v>34.5</v>
      </c>
      <c r="I528" s="119"/>
      <c r="J528" s="119">
        <v>0</v>
      </c>
      <c r="K528" s="119">
        <f t="shared" si="25"/>
        <v>34.5</v>
      </c>
      <c r="L528" s="152">
        <f t="shared" si="26"/>
        <v>29.68</v>
      </c>
      <c r="M528" s="113"/>
    </row>
    <row r="529" spans="1:13" x14ac:dyDescent="0.2">
      <c r="A529" s="106" t="s">
        <v>6286</v>
      </c>
      <c r="B529" s="272" t="s">
        <v>4802</v>
      </c>
      <c r="C529" s="105" t="s">
        <v>6608</v>
      </c>
      <c r="D529" s="149" t="s">
        <v>4870</v>
      </c>
      <c r="E529" s="105">
        <v>1</v>
      </c>
      <c r="F529" s="133">
        <v>127.18</v>
      </c>
      <c r="G529" s="133">
        <v>146.5</v>
      </c>
      <c r="H529" s="109">
        <f t="shared" si="24"/>
        <v>146.5</v>
      </c>
      <c r="I529" s="119"/>
      <c r="J529" s="119">
        <v>0</v>
      </c>
      <c r="K529" s="119">
        <f t="shared" si="25"/>
        <v>146.5</v>
      </c>
      <c r="L529" s="152">
        <f t="shared" si="26"/>
        <v>127.18</v>
      </c>
      <c r="M529" s="113"/>
    </row>
    <row r="530" spans="1:13" x14ac:dyDescent="0.2">
      <c r="A530" s="106" t="s">
        <v>6286</v>
      </c>
      <c r="B530" s="272" t="s">
        <v>3909</v>
      </c>
      <c r="C530" s="105" t="s">
        <v>6609</v>
      </c>
      <c r="D530" s="149" t="s">
        <v>3911</v>
      </c>
      <c r="E530" s="105">
        <v>1</v>
      </c>
      <c r="F530" s="133">
        <v>7.06</v>
      </c>
      <c r="G530" s="133">
        <v>8.25</v>
      </c>
      <c r="H530" s="109">
        <f t="shared" si="24"/>
        <v>8.25</v>
      </c>
      <c r="I530" s="119"/>
      <c r="J530" s="119">
        <v>0</v>
      </c>
      <c r="K530" s="119">
        <f t="shared" si="25"/>
        <v>8.25</v>
      </c>
      <c r="L530" s="152">
        <f t="shared" si="26"/>
        <v>7.06</v>
      </c>
      <c r="M530" s="113"/>
    </row>
    <row r="531" spans="1:13" x14ac:dyDescent="0.2">
      <c r="A531" s="106" t="s">
        <v>6286</v>
      </c>
      <c r="B531" s="272" t="s">
        <v>4567</v>
      </c>
      <c r="C531" s="105" t="s">
        <v>6610</v>
      </c>
      <c r="D531" s="149" t="s">
        <v>4672</v>
      </c>
      <c r="E531" s="105">
        <v>1</v>
      </c>
      <c r="F531" s="133">
        <v>7.06</v>
      </c>
      <c r="G531" s="133">
        <v>8.25</v>
      </c>
      <c r="H531" s="109">
        <f t="shared" si="24"/>
        <v>8.25</v>
      </c>
      <c r="I531" s="119"/>
      <c r="J531" s="119">
        <v>0</v>
      </c>
      <c r="K531" s="119">
        <f t="shared" si="25"/>
        <v>8.25</v>
      </c>
      <c r="L531" s="152">
        <f t="shared" si="26"/>
        <v>7.06</v>
      </c>
      <c r="M531" s="113"/>
    </row>
    <row r="532" spans="1:13" x14ac:dyDescent="0.2">
      <c r="A532" s="106" t="s">
        <v>6286</v>
      </c>
      <c r="B532" s="272" t="s">
        <v>5689</v>
      </c>
      <c r="C532" s="105" t="s">
        <v>6611</v>
      </c>
      <c r="D532" s="149" t="s">
        <v>5827</v>
      </c>
      <c r="E532" s="105">
        <v>1</v>
      </c>
      <c r="F532" s="133">
        <v>3.75</v>
      </c>
      <c r="G532" s="133">
        <v>5</v>
      </c>
      <c r="H532" s="109">
        <f t="shared" si="24"/>
        <v>5</v>
      </c>
      <c r="I532" s="119"/>
      <c r="J532" s="119">
        <v>0</v>
      </c>
      <c r="K532" s="119">
        <f t="shared" si="25"/>
        <v>5</v>
      </c>
      <c r="L532" s="152">
        <f t="shared" si="26"/>
        <v>3.75</v>
      </c>
      <c r="M532" s="113"/>
    </row>
    <row r="533" spans="1:13" x14ac:dyDescent="0.2">
      <c r="A533" s="106" t="s">
        <v>6286</v>
      </c>
      <c r="B533" s="272" t="s">
        <v>5979</v>
      </c>
      <c r="C533" s="105" t="s">
        <v>6612</v>
      </c>
      <c r="D533" s="149" t="s">
        <v>6097</v>
      </c>
      <c r="E533" s="105">
        <v>1</v>
      </c>
      <c r="F533" s="133">
        <v>5.74</v>
      </c>
      <c r="G533" s="133">
        <v>7</v>
      </c>
      <c r="H533" s="109">
        <f t="shared" si="24"/>
        <v>7</v>
      </c>
      <c r="I533" s="119"/>
      <c r="J533" s="119">
        <v>0</v>
      </c>
      <c r="K533" s="119">
        <f t="shared" si="25"/>
        <v>7</v>
      </c>
      <c r="L533" s="152">
        <f t="shared" si="26"/>
        <v>5.74</v>
      </c>
      <c r="M533" s="113"/>
    </row>
    <row r="534" spans="1:13" x14ac:dyDescent="0.2">
      <c r="A534" s="106" t="s">
        <v>6286</v>
      </c>
      <c r="B534" s="272" t="s">
        <v>4716</v>
      </c>
      <c r="C534" s="105" t="s">
        <v>6613</v>
      </c>
      <c r="D534" s="149" t="s">
        <v>4751</v>
      </c>
      <c r="E534" s="105">
        <v>10</v>
      </c>
      <c r="F534" s="133">
        <v>0.81</v>
      </c>
      <c r="G534" s="133">
        <v>1</v>
      </c>
      <c r="H534" s="109">
        <f t="shared" si="24"/>
        <v>10</v>
      </c>
      <c r="I534" s="119"/>
      <c r="J534" s="119">
        <v>0</v>
      </c>
      <c r="K534" s="119">
        <f t="shared" si="25"/>
        <v>10</v>
      </c>
      <c r="L534" s="152">
        <f t="shared" si="26"/>
        <v>8.1000000000000014</v>
      </c>
      <c r="M534" s="113"/>
    </row>
    <row r="535" spans="1:13" x14ac:dyDescent="0.2">
      <c r="A535" s="106" t="s">
        <v>6286</v>
      </c>
      <c r="B535" s="272" t="s">
        <v>2237</v>
      </c>
      <c r="C535" s="105" t="s">
        <v>6614</v>
      </c>
      <c r="D535" s="149" t="s">
        <v>2239</v>
      </c>
      <c r="E535" s="105">
        <v>2</v>
      </c>
      <c r="F535" s="133">
        <v>13.32</v>
      </c>
      <c r="G535" s="133">
        <v>15.5</v>
      </c>
      <c r="H535" s="109">
        <f t="shared" si="24"/>
        <v>31</v>
      </c>
      <c r="I535" s="119"/>
      <c r="J535" s="119">
        <v>0</v>
      </c>
      <c r="K535" s="119">
        <f t="shared" si="25"/>
        <v>31</v>
      </c>
      <c r="L535" s="152">
        <f t="shared" si="26"/>
        <v>26.64</v>
      </c>
      <c r="M535" s="113"/>
    </row>
    <row r="536" spans="1:13" x14ac:dyDescent="0.2">
      <c r="A536" s="106" t="s">
        <v>6286</v>
      </c>
      <c r="B536" s="272" t="s">
        <v>1924</v>
      </c>
      <c r="C536" s="105" t="s">
        <v>6614</v>
      </c>
      <c r="D536" s="149" t="s">
        <v>1926</v>
      </c>
      <c r="E536" s="105">
        <v>4</v>
      </c>
      <c r="F536" s="133">
        <v>10.64</v>
      </c>
      <c r="G536" s="133">
        <v>12.25</v>
      </c>
      <c r="H536" s="109">
        <f t="shared" si="24"/>
        <v>49</v>
      </c>
      <c r="I536" s="119"/>
      <c r="J536" s="119">
        <v>0</v>
      </c>
      <c r="K536" s="119">
        <f t="shared" si="25"/>
        <v>49</v>
      </c>
      <c r="L536" s="152">
        <f t="shared" si="26"/>
        <v>42.56</v>
      </c>
      <c r="M536" s="113"/>
    </row>
    <row r="537" spans="1:13" x14ac:dyDescent="0.2">
      <c r="A537" s="106" t="s">
        <v>6286</v>
      </c>
      <c r="B537" s="272" t="s">
        <v>2115</v>
      </c>
      <c r="C537" s="105" t="s">
        <v>6615</v>
      </c>
      <c r="D537" s="149" t="s">
        <v>2117</v>
      </c>
      <c r="E537" s="105">
        <v>1</v>
      </c>
      <c r="F537" s="133">
        <v>84.85</v>
      </c>
      <c r="G537" s="133">
        <v>94</v>
      </c>
      <c r="H537" s="109">
        <f t="shared" si="24"/>
        <v>94</v>
      </c>
      <c r="I537" s="119"/>
      <c r="J537" s="119">
        <v>0</v>
      </c>
      <c r="K537" s="119">
        <f t="shared" si="25"/>
        <v>94</v>
      </c>
      <c r="L537" s="152">
        <f t="shared" si="26"/>
        <v>84.85</v>
      </c>
      <c r="M537" s="113"/>
    </row>
    <row r="538" spans="1:13" x14ac:dyDescent="0.2">
      <c r="A538" s="106" t="s">
        <v>6286</v>
      </c>
      <c r="B538" s="272" t="s">
        <v>4567</v>
      </c>
      <c r="C538" s="105" t="s">
        <v>6616</v>
      </c>
      <c r="D538" s="149" t="s">
        <v>4672</v>
      </c>
      <c r="E538" s="105">
        <v>1</v>
      </c>
      <c r="F538" s="133">
        <v>7.06</v>
      </c>
      <c r="G538" s="133">
        <v>8.25</v>
      </c>
      <c r="H538" s="109">
        <f t="shared" si="24"/>
        <v>8.25</v>
      </c>
      <c r="I538" s="119"/>
      <c r="J538" s="119">
        <v>0</v>
      </c>
      <c r="K538" s="119">
        <f t="shared" si="25"/>
        <v>8.25</v>
      </c>
      <c r="L538" s="152">
        <f t="shared" si="26"/>
        <v>7.06</v>
      </c>
      <c r="M538" s="113"/>
    </row>
    <row r="539" spans="1:13" x14ac:dyDescent="0.2">
      <c r="A539" s="106" t="s">
        <v>6286</v>
      </c>
      <c r="B539" s="272" t="s">
        <v>2521</v>
      </c>
      <c r="C539" s="105" t="s">
        <v>6617</v>
      </c>
      <c r="D539" s="149" t="s">
        <v>2522</v>
      </c>
      <c r="E539" s="105">
        <v>12</v>
      </c>
      <c r="F539" s="133">
        <v>6.12</v>
      </c>
      <c r="G539" s="133">
        <v>7.25</v>
      </c>
      <c r="H539" s="109">
        <f t="shared" si="24"/>
        <v>87</v>
      </c>
      <c r="I539" s="119"/>
      <c r="J539" s="119">
        <v>0</v>
      </c>
      <c r="K539" s="119">
        <f t="shared" si="25"/>
        <v>87</v>
      </c>
      <c r="L539" s="152">
        <f t="shared" si="26"/>
        <v>73.44</v>
      </c>
      <c r="M539" s="113"/>
    </row>
    <row r="540" spans="1:13" x14ac:dyDescent="0.2">
      <c r="A540" s="106" t="s">
        <v>6286</v>
      </c>
      <c r="B540" s="272" t="s">
        <v>4799</v>
      </c>
      <c r="C540" s="105" t="s">
        <v>6618</v>
      </c>
      <c r="D540" s="149" t="s">
        <v>4867</v>
      </c>
      <c r="E540" s="105">
        <v>1</v>
      </c>
      <c r="F540" s="133">
        <v>31.83</v>
      </c>
      <c r="G540" s="133">
        <v>39.75</v>
      </c>
      <c r="H540" s="109">
        <f t="shared" si="24"/>
        <v>39.75</v>
      </c>
      <c r="I540" s="119"/>
      <c r="J540" s="119">
        <v>0</v>
      </c>
      <c r="K540" s="119">
        <f t="shared" si="25"/>
        <v>39.75</v>
      </c>
      <c r="L540" s="152">
        <f t="shared" si="26"/>
        <v>31.83</v>
      </c>
      <c r="M540" s="113"/>
    </row>
    <row r="541" spans="1:13" x14ac:dyDescent="0.2">
      <c r="A541" s="106" t="s">
        <v>6286</v>
      </c>
      <c r="B541" s="272" t="s">
        <v>5238</v>
      </c>
      <c r="C541" s="105" t="s">
        <v>6619</v>
      </c>
      <c r="D541" s="149" t="s">
        <v>5398</v>
      </c>
      <c r="E541" s="105">
        <v>1</v>
      </c>
      <c r="F541" s="133">
        <v>8.75</v>
      </c>
      <c r="G541" s="133">
        <v>10.25</v>
      </c>
      <c r="H541" s="109">
        <f t="shared" si="24"/>
        <v>10.25</v>
      </c>
      <c r="I541" s="119"/>
      <c r="J541" s="119">
        <v>0</v>
      </c>
      <c r="K541" s="119">
        <f t="shared" si="25"/>
        <v>10.25</v>
      </c>
      <c r="L541" s="152">
        <f t="shared" si="26"/>
        <v>8.75</v>
      </c>
      <c r="M541" s="113"/>
    </row>
    <row r="542" spans="1:13" x14ac:dyDescent="0.2">
      <c r="A542" s="106" t="s">
        <v>6286</v>
      </c>
      <c r="B542" s="272" t="s">
        <v>5867</v>
      </c>
      <c r="C542" s="105" t="s">
        <v>6620</v>
      </c>
      <c r="D542" s="149" t="s">
        <v>5960</v>
      </c>
      <c r="E542" s="105">
        <v>1</v>
      </c>
      <c r="F542" s="133">
        <v>7.75</v>
      </c>
      <c r="G542" s="133">
        <v>9</v>
      </c>
      <c r="H542" s="109">
        <f t="shared" si="24"/>
        <v>9</v>
      </c>
      <c r="I542" s="119"/>
      <c r="J542" s="119">
        <v>0</v>
      </c>
      <c r="K542" s="119">
        <f t="shared" si="25"/>
        <v>9</v>
      </c>
      <c r="L542" s="152">
        <f t="shared" si="26"/>
        <v>7.75</v>
      </c>
      <c r="M542" s="113"/>
    </row>
    <row r="543" spans="1:13" x14ac:dyDescent="0.2">
      <c r="A543" s="106" t="s">
        <v>6286</v>
      </c>
      <c r="B543" s="272" t="s">
        <v>2018</v>
      </c>
      <c r="C543" s="105" t="s">
        <v>6621</v>
      </c>
      <c r="D543" s="149" t="s">
        <v>2019</v>
      </c>
      <c r="E543" s="105">
        <v>1</v>
      </c>
      <c r="F543" s="133">
        <v>30.79</v>
      </c>
      <c r="G543" s="133">
        <v>36.75</v>
      </c>
      <c r="H543" s="109">
        <f t="shared" si="24"/>
        <v>36.75</v>
      </c>
      <c r="I543" s="119"/>
      <c r="J543" s="119">
        <v>0</v>
      </c>
      <c r="K543" s="119">
        <f t="shared" si="25"/>
        <v>36.75</v>
      </c>
      <c r="L543" s="152">
        <f t="shared" si="26"/>
        <v>30.79</v>
      </c>
      <c r="M543" s="113"/>
    </row>
    <row r="544" spans="1:13" x14ac:dyDescent="0.2">
      <c r="A544" s="106" t="s">
        <v>6286</v>
      </c>
      <c r="B544" s="272" t="s">
        <v>2094</v>
      </c>
      <c r="C544" s="105" t="s">
        <v>6622</v>
      </c>
      <c r="D544" s="149" t="s">
        <v>2096</v>
      </c>
      <c r="E544" s="105">
        <v>2</v>
      </c>
      <c r="F544" s="133">
        <v>12.56</v>
      </c>
      <c r="G544" s="133">
        <v>14.5</v>
      </c>
      <c r="H544" s="109">
        <f t="shared" si="24"/>
        <v>29</v>
      </c>
      <c r="I544" s="119"/>
      <c r="J544" s="119">
        <v>0</v>
      </c>
      <c r="K544" s="119">
        <f t="shared" si="25"/>
        <v>29</v>
      </c>
      <c r="L544" s="152">
        <f t="shared" si="26"/>
        <v>25.12</v>
      </c>
      <c r="M544" s="113"/>
    </row>
    <row r="545" spans="1:13" x14ac:dyDescent="0.2">
      <c r="A545" s="106" t="s">
        <v>6286</v>
      </c>
      <c r="B545" s="272" t="s">
        <v>4806</v>
      </c>
      <c r="C545" s="105" t="s">
        <v>6622</v>
      </c>
      <c r="D545" s="149" t="s">
        <v>4874</v>
      </c>
      <c r="E545" s="105">
        <v>1</v>
      </c>
      <c r="F545" s="133">
        <v>8.58</v>
      </c>
      <c r="G545" s="133">
        <v>10</v>
      </c>
      <c r="H545" s="109">
        <f t="shared" si="24"/>
        <v>10</v>
      </c>
      <c r="I545" s="119"/>
      <c r="J545" s="119">
        <v>0</v>
      </c>
      <c r="K545" s="119">
        <f t="shared" si="25"/>
        <v>10</v>
      </c>
      <c r="L545" s="152">
        <f t="shared" si="26"/>
        <v>8.58</v>
      </c>
      <c r="M545" s="113"/>
    </row>
    <row r="546" spans="1:13" x14ac:dyDescent="0.2">
      <c r="A546" s="106" t="s">
        <v>6308</v>
      </c>
      <c r="B546" s="272" t="s">
        <v>4520</v>
      </c>
      <c r="C546" s="105" t="s">
        <v>6623</v>
      </c>
      <c r="D546" s="149" t="s">
        <v>4625</v>
      </c>
      <c r="E546" s="105">
        <v>1</v>
      </c>
      <c r="F546" s="133">
        <v>60</v>
      </c>
      <c r="G546" s="133">
        <v>75</v>
      </c>
      <c r="H546" s="109">
        <f t="shared" si="24"/>
        <v>75</v>
      </c>
      <c r="I546" s="119"/>
      <c r="J546" s="119">
        <v>0</v>
      </c>
      <c r="K546" s="119">
        <f t="shared" si="25"/>
        <v>75</v>
      </c>
      <c r="L546" s="152">
        <f t="shared" si="26"/>
        <v>60</v>
      </c>
      <c r="M546" s="113"/>
    </row>
    <row r="547" spans="1:13" x14ac:dyDescent="0.2">
      <c r="A547" s="106" t="s">
        <v>6308</v>
      </c>
      <c r="B547" s="272" t="s">
        <v>3352</v>
      </c>
      <c r="C547" s="105" t="s">
        <v>6624</v>
      </c>
      <c r="D547" s="149" t="s">
        <v>3353</v>
      </c>
      <c r="E547" s="105">
        <v>4</v>
      </c>
      <c r="F547" s="133">
        <v>6.35</v>
      </c>
      <c r="G547" s="133">
        <v>7.5</v>
      </c>
      <c r="H547" s="109">
        <f t="shared" si="24"/>
        <v>30</v>
      </c>
      <c r="I547" s="119"/>
      <c r="J547" s="119">
        <v>0</v>
      </c>
      <c r="K547" s="119">
        <f t="shared" si="25"/>
        <v>30</v>
      </c>
      <c r="L547" s="152">
        <f t="shared" si="26"/>
        <v>25.4</v>
      </c>
      <c r="M547" s="113"/>
    </row>
    <row r="548" spans="1:13" x14ac:dyDescent="0.2">
      <c r="A548" s="106" t="s">
        <v>6308</v>
      </c>
      <c r="B548" s="272" t="s">
        <v>3267</v>
      </c>
      <c r="C548" s="105" t="s">
        <v>6624</v>
      </c>
      <c r="D548" s="149" t="s">
        <v>3268</v>
      </c>
      <c r="E548" s="105">
        <v>1</v>
      </c>
      <c r="F548" s="133">
        <v>11.5</v>
      </c>
      <c r="G548" s="133">
        <v>13.5</v>
      </c>
      <c r="H548" s="109">
        <f t="shared" si="24"/>
        <v>13.5</v>
      </c>
      <c r="I548" s="119"/>
      <c r="J548" s="119">
        <v>0</v>
      </c>
      <c r="K548" s="119">
        <f t="shared" si="25"/>
        <v>13.5</v>
      </c>
      <c r="L548" s="152">
        <f t="shared" si="26"/>
        <v>11.5</v>
      </c>
      <c r="M548" s="113"/>
    </row>
    <row r="549" spans="1:13" x14ac:dyDescent="0.2">
      <c r="A549" s="106" t="s">
        <v>6308</v>
      </c>
      <c r="B549" s="272" t="s">
        <v>3652</v>
      </c>
      <c r="C549" s="105" t="s">
        <v>6624</v>
      </c>
      <c r="D549" s="149" t="s">
        <v>3653</v>
      </c>
      <c r="E549" s="105">
        <v>1</v>
      </c>
      <c r="F549" s="133">
        <v>75</v>
      </c>
      <c r="G549" s="133">
        <v>83</v>
      </c>
      <c r="H549" s="109">
        <f t="shared" si="24"/>
        <v>83</v>
      </c>
      <c r="I549" s="119"/>
      <c r="J549" s="119">
        <v>0</v>
      </c>
      <c r="K549" s="119">
        <f t="shared" si="25"/>
        <v>83</v>
      </c>
      <c r="L549" s="152">
        <f t="shared" si="26"/>
        <v>75</v>
      </c>
      <c r="M549" s="113"/>
    </row>
    <row r="550" spans="1:13" x14ac:dyDescent="0.2">
      <c r="A550" s="106" t="s">
        <v>6308</v>
      </c>
      <c r="B550" s="272" t="s">
        <v>2794</v>
      </c>
      <c r="C550" s="105" t="s">
        <v>6625</v>
      </c>
      <c r="D550" s="149" t="s">
        <v>2795</v>
      </c>
      <c r="E550" s="105">
        <v>1</v>
      </c>
      <c r="F550" s="133">
        <v>23.15</v>
      </c>
      <c r="G550" s="133">
        <v>27</v>
      </c>
      <c r="H550" s="109">
        <f t="shared" si="24"/>
        <v>27</v>
      </c>
      <c r="I550" s="119"/>
      <c r="J550" s="119">
        <v>0</v>
      </c>
      <c r="K550" s="119">
        <f t="shared" si="25"/>
        <v>27</v>
      </c>
      <c r="L550" s="152">
        <f t="shared" si="26"/>
        <v>23.15</v>
      </c>
      <c r="M550" s="113"/>
    </row>
    <row r="551" spans="1:13" x14ac:dyDescent="0.2">
      <c r="A551" s="106" t="s">
        <v>6308</v>
      </c>
      <c r="B551" s="272" t="s">
        <v>3917</v>
      </c>
      <c r="C551" s="105" t="s">
        <v>6625</v>
      </c>
      <c r="D551" s="149" t="s">
        <v>3919</v>
      </c>
      <c r="E551" s="105">
        <v>6</v>
      </c>
      <c r="F551" s="133">
        <v>6.37</v>
      </c>
      <c r="G551" s="133">
        <v>7.5</v>
      </c>
      <c r="H551" s="109">
        <f t="shared" si="24"/>
        <v>45</v>
      </c>
      <c r="I551" s="119"/>
      <c r="J551" s="119">
        <v>0</v>
      </c>
      <c r="K551" s="119">
        <f t="shared" si="25"/>
        <v>45</v>
      </c>
      <c r="L551" s="152">
        <f t="shared" si="26"/>
        <v>38.22</v>
      </c>
      <c r="M551" s="113"/>
    </row>
    <row r="552" spans="1:13" x14ac:dyDescent="0.2">
      <c r="A552" s="106" t="s">
        <v>6308</v>
      </c>
      <c r="B552" s="272" t="s">
        <v>2240</v>
      </c>
      <c r="C552" s="105" t="s">
        <v>6626</v>
      </c>
      <c r="D552" s="149" t="s">
        <v>2241</v>
      </c>
      <c r="E552" s="105">
        <v>1</v>
      </c>
      <c r="F552" s="133">
        <v>18.649999999999999</v>
      </c>
      <c r="G552" s="133">
        <v>21.5</v>
      </c>
      <c r="H552" s="109">
        <f t="shared" si="24"/>
        <v>21.5</v>
      </c>
      <c r="I552" s="119"/>
      <c r="J552" s="119">
        <v>0</v>
      </c>
      <c r="K552" s="119">
        <f t="shared" si="25"/>
        <v>21.5</v>
      </c>
      <c r="L552" s="152">
        <f t="shared" si="26"/>
        <v>18.649999999999999</v>
      </c>
      <c r="M552" s="113"/>
    </row>
    <row r="553" spans="1:13" x14ac:dyDescent="0.2">
      <c r="A553" s="106" t="s">
        <v>6308</v>
      </c>
      <c r="B553" s="272" t="s">
        <v>2323</v>
      </c>
      <c r="C553" s="105" t="s">
        <v>6626</v>
      </c>
      <c r="D553" s="149" t="s">
        <v>2325</v>
      </c>
      <c r="E553" s="105">
        <v>1</v>
      </c>
      <c r="F553" s="133">
        <v>19.100000000000001</v>
      </c>
      <c r="G553" s="133">
        <v>22</v>
      </c>
      <c r="H553" s="109">
        <f t="shared" si="24"/>
        <v>22</v>
      </c>
      <c r="I553" s="119"/>
      <c r="J553" s="119">
        <v>0</v>
      </c>
      <c r="K553" s="119">
        <f t="shared" si="25"/>
        <v>22</v>
      </c>
      <c r="L553" s="152">
        <f t="shared" si="26"/>
        <v>19.100000000000001</v>
      </c>
      <c r="M553" s="113"/>
    </row>
    <row r="554" spans="1:13" x14ac:dyDescent="0.2">
      <c r="A554" s="106" t="s">
        <v>6308</v>
      </c>
      <c r="B554" s="272" t="s">
        <v>6361</v>
      </c>
      <c r="C554" s="105" t="s">
        <v>6626</v>
      </c>
      <c r="D554" s="149" t="s">
        <v>6703</v>
      </c>
      <c r="E554" s="105">
        <v>1</v>
      </c>
      <c r="F554" s="133">
        <v>56.79</v>
      </c>
      <c r="G554" s="133">
        <v>65.5</v>
      </c>
      <c r="H554" s="109">
        <f t="shared" si="24"/>
        <v>65.5</v>
      </c>
      <c r="I554" s="119"/>
      <c r="J554" s="119">
        <v>0</v>
      </c>
      <c r="K554" s="119">
        <f t="shared" si="25"/>
        <v>65.5</v>
      </c>
      <c r="L554" s="152">
        <f t="shared" si="26"/>
        <v>56.79</v>
      </c>
      <c r="M554" s="113"/>
    </row>
    <row r="555" spans="1:13" x14ac:dyDescent="0.2">
      <c r="A555" s="106" t="s">
        <v>6308</v>
      </c>
      <c r="B555" s="272" t="s">
        <v>3753</v>
      </c>
      <c r="C555" s="105" t="s">
        <v>6627</v>
      </c>
      <c r="D555" s="149" t="s">
        <v>3755</v>
      </c>
      <c r="E555" s="105">
        <v>1</v>
      </c>
      <c r="F555" s="133">
        <v>18.98</v>
      </c>
      <c r="G555" s="133">
        <v>22</v>
      </c>
      <c r="H555" s="109">
        <f t="shared" si="24"/>
        <v>22</v>
      </c>
      <c r="I555" s="119"/>
      <c r="J555" s="119">
        <v>0</v>
      </c>
      <c r="K555" s="119">
        <f t="shared" si="25"/>
        <v>22</v>
      </c>
      <c r="L555" s="152">
        <f t="shared" si="26"/>
        <v>18.98</v>
      </c>
      <c r="M555" s="113"/>
    </row>
    <row r="556" spans="1:13" x14ac:dyDescent="0.2">
      <c r="A556" s="106" t="s">
        <v>6308</v>
      </c>
      <c r="B556" s="272" t="s">
        <v>4443</v>
      </c>
      <c r="C556" s="105" t="s">
        <v>6628</v>
      </c>
      <c r="D556" s="149" t="s">
        <v>4473</v>
      </c>
      <c r="E556" s="105">
        <v>1</v>
      </c>
      <c r="F556" s="133">
        <v>68.5</v>
      </c>
      <c r="G556" s="133">
        <v>79</v>
      </c>
      <c r="H556" s="109">
        <f t="shared" si="24"/>
        <v>79</v>
      </c>
      <c r="I556" s="119"/>
      <c r="J556" s="119">
        <v>0</v>
      </c>
      <c r="K556" s="119">
        <f t="shared" si="25"/>
        <v>79</v>
      </c>
      <c r="L556" s="152">
        <f t="shared" si="26"/>
        <v>68.5</v>
      </c>
      <c r="M556" s="113"/>
    </row>
    <row r="557" spans="1:13" x14ac:dyDescent="0.2">
      <c r="A557" s="106" t="s">
        <v>6308</v>
      </c>
      <c r="B557" s="272" t="s">
        <v>5982</v>
      </c>
      <c r="C557" s="105" t="s">
        <v>6629</v>
      </c>
      <c r="D557" s="149" t="s">
        <v>6100</v>
      </c>
      <c r="E557" s="105">
        <v>1</v>
      </c>
      <c r="F557" s="133">
        <v>5.74</v>
      </c>
      <c r="G557" s="133">
        <v>7</v>
      </c>
      <c r="H557" s="109">
        <f t="shared" si="24"/>
        <v>7</v>
      </c>
      <c r="I557" s="119"/>
      <c r="J557" s="119">
        <v>0</v>
      </c>
      <c r="K557" s="119">
        <f t="shared" si="25"/>
        <v>7</v>
      </c>
      <c r="L557" s="152">
        <f t="shared" si="26"/>
        <v>5.74</v>
      </c>
      <c r="M557" s="113"/>
    </row>
    <row r="558" spans="1:13" x14ac:dyDescent="0.2">
      <c r="A558" s="106" t="s">
        <v>6308</v>
      </c>
      <c r="B558" s="272" t="s">
        <v>6362</v>
      </c>
      <c r="C558" s="105" t="s">
        <v>6630</v>
      </c>
      <c r="D558" s="149" t="s">
        <v>6704</v>
      </c>
      <c r="E558" s="105">
        <v>1</v>
      </c>
      <c r="F558" s="133">
        <v>41.67</v>
      </c>
      <c r="G558" s="133">
        <v>50</v>
      </c>
      <c r="H558" s="109">
        <f t="shared" si="24"/>
        <v>50</v>
      </c>
      <c r="I558" s="119"/>
      <c r="J558" s="119">
        <v>0</v>
      </c>
      <c r="K558" s="119">
        <f t="shared" si="25"/>
        <v>50</v>
      </c>
      <c r="L558" s="152">
        <f t="shared" si="26"/>
        <v>41.67</v>
      </c>
      <c r="M558" s="113"/>
    </row>
    <row r="559" spans="1:13" x14ac:dyDescent="0.2">
      <c r="A559" s="106" t="s">
        <v>6308</v>
      </c>
      <c r="B559" s="272" t="s">
        <v>3652</v>
      </c>
      <c r="C559" s="105" t="s">
        <v>6631</v>
      </c>
      <c r="D559" s="149" t="s">
        <v>3653</v>
      </c>
      <c r="E559" s="105">
        <v>1</v>
      </c>
      <c r="F559" s="133">
        <v>75</v>
      </c>
      <c r="G559" s="133">
        <v>83</v>
      </c>
      <c r="H559" s="109">
        <f t="shared" si="24"/>
        <v>83</v>
      </c>
      <c r="I559" s="119"/>
      <c r="J559" s="119">
        <v>0</v>
      </c>
      <c r="K559" s="119">
        <f t="shared" si="25"/>
        <v>83</v>
      </c>
      <c r="L559" s="152">
        <f t="shared" si="26"/>
        <v>75</v>
      </c>
      <c r="M559" s="113"/>
    </row>
    <row r="560" spans="1:13" x14ac:dyDescent="0.2">
      <c r="A560" s="106" t="s">
        <v>6308</v>
      </c>
      <c r="B560" s="272" t="s">
        <v>3088</v>
      </c>
      <c r="C560" s="105" t="s">
        <v>6631</v>
      </c>
      <c r="D560" s="149" t="s">
        <v>3090</v>
      </c>
      <c r="E560" s="105">
        <v>1</v>
      </c>
      <c r="F560" s="133">
        <v>23.75</v>
      </c>
      <c r="G560" s="133">
        <v>27.5</v>
      </c>
      <c r="H560" s="109">
        <f t="shared" si="24"/>
        <v>27.5</v>
      </c>
      <c r="I560" s="119"/>
      <c r="J560" s="119">
        <v>0</v>
      </c>
      <c r="K560" s="119">
        <f t="shared" si="25"/>
        <v>27.5</v>
      </c>
      <c r="L560" s="152">
        <f t="shared" si="26"/>
        <v>23.75</v>
      </c>
      <c r="M560" s="113"/>
    </row>
    <row r="561" spans="1:13" x14ac:dyDescent="0.2">
      <c r="A561" s="106" t="s">
        <v>6308</v>
      </c>
      <c r="B561" s="272" t="s">
        <v>4205</v>
      </c>
      <c r="C561" s="105" t="s">
        <v>6632</v>
      </c>
      <c r="D561" s="149" t="s">
        <v>4206</v>
      </c>
      <c r="E561" s="105">
        <v>1</v>
      </c>
      <c r="F561" s="133">
        <v>8.3000000000000007</v>
      </c>
      <c r="G561" s="133">
        <v>9.75</v>
      </c>
      <c r="H561" s="109">
        <f t="shared" si="24"/>
        <v>9.75</v>
      </c>
      <c r="I561" s="119"/>
      <c r="J561" s="119">
        <v>0</v>
      </c>
      <c r="K561" s="119">
        <f t="shared" si="25"/>
        <v>9.75</v>
      </c>
      <c r="L561" s="152">
        <f t="shared" si="26"/>
        <v>8.3000000000000007</v>
      </c>
      <c r="M561" s="113"/>
    </row>
    <row r="562" spans="1:13" x14ac:dyDescent="0.2">
      <c r="A562" s="106" t="s">
        <v>6308</v>
      </c>
      <c r="B562" s="272" t="s">
        <v>4205</v>
      </c>
      <c r="C562" s="105" t="s">
        <v>6633</v>
      </c>
      <c r="D562" s="149" t="s">
        <v>4206</v>
      </c>
      <c r="E562" s="105">
        <v>1</v>
      </c>
      <c r="F562" s="133">
        <v>8.3000000000000007</v>
      </c>
      <c r="G562" s="133">
        <v>9.75</v>
      </c>
      <c r="H562" s="109">
        <f t="shared" si="24"/>
        <v>9.75</v>
      </c>
      <c r="I562" s="119"/>
      <c r="J562" s="119">
        <v>0</v>
      </c>
      <c r="K562" s="119">
        <f t="shared" si="25"/>
        <v>9.75</v>
      </c>
      <c r="L562" s="152">
        <f t="shared" si="26"/>
        <v>8.3000000000000007</v>
      </c>
      <c r="M562" s="113"/>
    </row>
    <row r="563" spans="1:13" x14ac:dyDescent="0.2">
      <c r="A563" s="106" t="s">
        <v>6308</v>
      </c>
      <c r="B563" s="272" t="s">
        <v>2100</v>
      </c>
      <c r="C563" s="105" t="s">
        <v>6633</v>
      </c>
      <c r="D563" s="149" t="s">
        <v>2101</v>
      </c>
      <c r="E563" s="105">
        <v>1</v>
      </c>
      <c r="F563" s="133">
        <v>6.73</v>
      </c>
      <c r="G563" s="133">
        <v>7.75</v>
      </c>
      <c r="H563" s="109">
        <f t="shared" si="24"/>
        <v>7.75</v>
      </c>
      <c r="I563" s="119"/>
      <c r="J563" s="119">
        <v>0</v>
      </c>
      <c r="K563" s="119">
        <f t="shared" si="25"/>
        <v>7.75</v>
      </c>
      <c r="L563" s="152">
        <f t="shared" si="26"/>
        <v>6.73</v>
      </c>
      <c r="M563" s="113"/>
    </row>
    <row r="564" spans="1:13" x14ac:dyDescent="0.2">
      <c r="A564" s="106" t="s">
        <v>6308</v>
      </c>
      <c r="B564" s="272" t="s">
        <v>2971</v>
      </c>
      <c r="C564" s="105" t="s">
        <v>6634</v>
      </c>
      <c r="D564" s="149" t="s">
        <v>2973</v>
      </c>
      <c r="E564" s="105">
        <v>1</v>
      </c>
      <c r="F564" s="133">
        <v>29</v>
      </c>
      <c r="G564" s="133">
        <v>33.75</v>
      </c>
      <c r="H564" s="109">
        <f t="shared" si="24"/>
        <v>33.75</v>
      </c>
      <c r="I564" s="119"/>
      <c r="J564" s="119">
        <v>0</v>
      </c>
      <c r="K564" s="119">
        <f t="shared" si="25"/>
        <v>33.75</v>
      </c>
      <c r="L564" s="152">
        <f t="shared" si="26"/>
        <v>29</v>
      </c>
      <c r="M564" s="113"/>
    </row>
    <row r="565" spans="1:13" x14ac:dyDescent="0.2">
      <c r="A565" s="106" t="s">
        <v>6308</v>
      </c>
      <c r="B565" s="272" t="s">
        <v>2446</v>
      </c>
      <c r="C565" s="105" t="s">
        <v>6635</v>
      </c>
      <c r="D565" s="149" t="s">
        <v>2448</v>
      </c>
      <c r="E565" s="105">
        <v>1</v>
      </c>
      <c r="F565" s="133">
        <v>58.2</v>
      </c>
      <c r="G565" s="133">
        <v>67</v>
      </c>
      <c r="H565" s="109">
        <f t="shared" si="24"/>
        <v>67</v>
      </c>
      <c r="I565" s="119"/>
      <c r="J565" s="119">
        <v>0</v>
      </c>
      <c r="K565" s="119">
        <f t="shared" si="25"/>
        <v>67</v>
      </c>
      <c r="L565" s="152">
        <f t="shared" si="26"/>
        <v>58.2</v>
      </c>
      <c r="M565" s="113"/>
    </row>
    <row r="566" spans="1:13" x14ac:dyDescent="0.2">
      <c r="A566" s="106" t="s">
        <v>6308</v>
      </c>
      <c r="B566" s="272" t="s">
        <v>2115</v>
      </c>
      <c r="C566" s="105" t="s">
        <v>6635</v>
      </c>
      <c r="D566" s="149" t="s">
        <v>2117</v>
      </c>
      <c r="E566" s="105">
        <v>1</v>
      </c>
      <c r="F566" s="133">
        <v>84.85</v>
      </c>
      <c r="G566" s="133">
        <v>94</v>
      </c>
      <c r="H566" s="109">
        <f t="shared" si="24"/>
        <v>94</v>
      </c>
      <c r="I566" s="119"/>
      <c r="J566" s="119">
        <v>0</v>
      </c>
      <c r="K566" s="119">
        <f t="shared" si="25"/>
        <v>94</v>
      </c>
      <c r="L566" s="152">
        <f t="shared" si="26"/>
        <v>84.85</v>
      </c>
      <c r="M566" s="113"/>
    </row>
    <row r="567" spans="1:13" x14ac:dyDescent="0.2">
      <c r="A567" s="106" t="s">
        <v>6308</v>
      </c>
      <c r="B567" s="272" t="s">
        <v>2936</v>
      </c>
      <c r="C567" s="105" t="s">
        <v>6635</v>
      </c>
      <c r="D567" s="149" t="s">
        <v>2938</v>
      </c>
      <c r="E567" s="105">
        <v>1</v>
      </c>
      <c r="F567" s="133">
        <v>61.75</v>
      </c>
      <c r="G567" s="133">
        <v>71.25</v>
      </c>
      <c r="H567" s="109">
        <f t="shared" si="24"/>
        <v>71.25</v>
      </c>
      <c r="I567" s="119"/>
      <c r="J567" s="119">
        <v>0</v>
      </c>
      <c r="K567" s="119">
        <f t="shared" si="25"/>
        <v>71.25</v>
      </c>
      <c r="L567" s="152">
        <f t="shared" si="26"/>
        <v>61.75</v>
      </c>
      <c r="M567" s="113"/>
    </row>
    <row r="568" spans="1:13" x14ac:dyDescent="0.2">
      <c r="A568" s="106" t="s">
        <v>6308</v>
      </c>
      <c r="B568" s="272" t="s">
        <v>3413</v>
      </c>
      <c r="C568" s="105" t="s">
        <v>6635</v>
      </c>
      <c r="D568" s="149" t="s">
        <v>3414</v>
      </c>
      <c r="E568" s="105">
        <v>1</v>
      </c>
      <c r="F568" s="133">
        <v>33.1</v>
      </c>
      <c r="G568" s="133">
        <v>38.25</v>
      </c>
      <c r="H568" s="109">
        <f t="shared" si="24"/>
        <v>38.25</v>
      </c>
      <c r="I568" s="119"/>
      <c r="J568" s="119">
        <v>0</v>
      </c>
      <c r="K568" s="119">
        <f t="shared" si="25"/>
        <v>38.25</v>
      </c>
      <c r="L568" s="152">
        <f t="shared" si="26"/>
        <v>33.1</v>
      </c>
      <c r="M568" s="113"/>
    </row>
    <row r="569" spans="1:13" x14ac:dyDescent="0.2">
      <c r="A569" s="106" t="s">
        <v>6308</v>
      </c>
      <c r="B569" s="272" t="s">
        <v>3690</v>
      </c>
      <c r="C569" s="105" t="s">
        <v>6635</v>
      </c>
      <c r="D569" s="149" t="s">
        <v>3691</v>
      </c>
      <c r="E569" s="105">
        <v>1</v>
      </c>
      <c r="F569" s="133">
        <v>53.64</v>
      </c>
      <c r="G569" s="133">
        <v>61.75</v>
      </c>
      <c r="H569" s="109">
        <f t="shared" si="24"/>
        <v>61.75</v>
      </c>
      <c r="I569" s="119"/>
      <c r="J569" s="119">
        <v>0</v>
      </c>
      <c r="K569" s="119">
        <f t="shared" si="25"/>
        <v>61.75</v>
      </c>
      <c r="L569" s="152">
        <f t="shared" si="26"/>
        <v>53.64</v>
      </c>
      <c r="M569" s="113"/>
    </row>
    <row r="570" spans="1:13" x14ac:dyDescent="0.2">
      <c r="A570" s="106" t="s">
        <v>6308</v>
      </c>
      <c r="B570" s="272" t="s">
        <v>6363</v>
      </c>
      <c r="C570" s="105" t="s">
        <v>6635</v>
      </c>
      <c r="D570" s="149" t="s">
        <v>6705</v>
      </c>
      <c r="E570" s="105">
        <v>1</v>
      </c>
      <c r="F570" s="133">
        <v>87.5</v>
      </c>
      <c r="G570" s="133">
        <v>100.75</v>
      </c>
      <c r="H570" s="109">
        <f t="shared" si="24"/>
        <v>100.75</v>
      </c>
      <c r="I570" s="119"/>
      <c r="J570" s="119">
        <v>0</v>
      </c>
      <c r="K570" s="119">
        <f t="shared" si="25"/>
        <v>100.75</v>
      </c>
      <c r="L570" s="152">
        <f t="shared" si="26"/>
        <v>87.5</v>
      </c>
      <c r="M570" s="113"/>
    </row>
    <row r="571" spans="1:13" x14ac:dyDescent="0.2">
      <c r="A571" s="250" t="s">
        <v>6308</v>
      </c>
      <c r="B571" s="272" t="s">
        <v>2185</v>
      </c>
      <c r="C571" s="251" t="s">
        <v>6635</v>
      </c>
      <c r="D571" s="252" t="s">
        <v>2187</v>
      </c>
      <c r="E571" s="251">
        <v>1</v>
      </c>
      <c r="F571" s="253"/>
      <c r="G571" s="253">
        <v>59.5</v>
      </c>
      <c r="H571" s="254">
        <f t="shared" si="24"/>
        <v>59.5</v>
      </c>
      <c r="I571" s="255"/>
      <c r="J571" s="255">
        <v>0</v>
      </c>
      <c r="K571" s="255">
        <f t="shared" si="25"/>
        <v>59.5</v>
      </c>
      <c r="L571" s="256">
        <f t="shared" si="26"/>
        <v>0</v>
      </c>
      <c r="M571" s="113"/>
    </row>
    <row r="572" spans="1:13" x14ac:dyDescent="0.2">
      <c r="A572" s="106" t="s">
        <v>6308</v>
      </c>
      <c r="B572" s="272" t="s">
        <v>3352</v>
      </c>
      <c r="C572" s="105" t="s">
        <v>6635</v>
      </c>
      <c r="D572" s="149" t="s">
        <v>3353</v>
      </c>
      <c r="E572" s="105">
        <v>12</v>
      </c>
      <c r="F572" s="133">
        <v>6.35</v>
      </c>
      <c r="G572" s="133">
        <v>7.5</v>
      </c>
      <c r="H572" s="109">
        <f t="shared" si="24"/>
        <v>90</v>
      </c>
      <c r="I572" s="119"/>
      <c r="J572" s="119">
        <v>0</v>
      </c>
      <c r="K572" s="119">
        <f t="shared" si="25"/>
        <v>90</v>
      </c>
      <c r="L572" s="152">
        <f t="shared" si="26"/>
        <v>76.199999999999989</v>
      </c>
      <c r="M572" s="113"/>
    </row>
    <row r="573" spans="1:13" x14ac:dyDescent="0.2">
      <c r="A573" s="106" t="s">
        <v>6308</v>
      </c>
      <c r="B573" s="272" t="s">
        <v>3778</v>
      </c>
      <c r="C573" s="105" t="s">
        <v>6635</v>
      </c>
      <c r="D573" s="149" t="s">
        <v>3780</v>
      </c>
      <c r="E573" s="105">
        <v>2</v>
      </c>
      <c r="F573" s="133">
        <v>38.25</v>
      </c>
      <c r="G573" s="133">
        <v>44</v>
      </c>
      <c r="H573" s="109">
        <f t="shared" si="24"/>
        <v>88</v>
      </c>
      <c r="I573" s="119"/>
      <c r="J573" s="119">
        <v>0</v>
      </c>
      <c r="K573" s="119">
        <f t="shared" si="25"/>
        <v>88</v>
      </c>
      <c r="L573" s="152">
        <f t="shared" si="26"/>
        <v>76.5</v>
      </c>
      <c r="M573" s="113"/>
    </row>
    <row r="574" spans="1:13" x14ac:dyDescent="0.2">
      <c r="A574" s="106" t="s">
        <v>6308</v>
      </c>
      <c r="B574" s="272" t="s">
        <v>3446</v>
      </c>
      <c r="C574" s="105" t="s">
        <v>6635</v>
      </c>
      <c r="D574" s="149" t="s">
        <v>3447</v>
      </c>
      <c r="E574" s="105">
        <v>1</v>
      </c>
      <c r="F574" s="133">
        <v>33.75</v>
      </c>
      <c r="G574" s="133">
        <v>39</v>
      </c>
      <c r="H574" s="109">
        <f t="shared" si="24"/>
        <v>39</v>
      </c>
      <c r="I574" s="119"/>
      <c r="J574" s="119">
        <v>0</v>
      </c>
      <c r="K574" s="119">
        <f t="shared" si="25"/>
        <v>39</v>
      </c>
      <c r="L574" s="152">
        <f t="shared" si="26"/>
        <v>33.75</v>
      </c>
      <c r="M574" s="113"/>
    </row>
    <row r="575" spans="1:13" x14ac:dyDescent="0.2">
      <c r="A575" s="106" t="s">
        <v>6308</v>
      </c>
      <c r="B575" s="272" t="s">
        <v>3078</v>
      </c>
      <c r="C575" s="105" t="s">
        <v>6635</v>
      </c>
      <c r="D575" s="149" t="s">
        <v>3080</v>
      </c>
      <c r="E575" s="105">
        <v>1</v>
      </c>
      <c r="F575" s="133">
        <v>58.84</v>
      </c>
      <c r="G575" s="133">
        <v>67.75</v>
      </c>
      <c r="H575" s="109">
        <f t="shared" si="24"/>
        <v>67.75</v>
      </c>
      <c r="I575" s="119"/>
      <c r="J575" s="119">
        <v>0</v>
      </c>
      <c r="K575" s="119">
        <f t="shared" si="25"/>
        <v>67.75</v>
      </c>
      <c r="L575" s="152">
        <f t="shared" si="26"/>
        <v>58.84</v>
      </c>
      <c r="M575" s="113"/>
    </row>
    <row r="576" spans="1:13" x14ac:dyDescent="0.2">
      <c r="A576" s="106" t="s">
        <v>6308</v>
      </c>
      <c r="B576" s="272" t="s">
        <v>2971</v>
      </c>
      <c r="C576" s="105" t="s">
        <v>6635</v>
      </c>
      <c r="D576" s="149" t="s">
        <v>2973</v>
      </c>
      <c r="E576" s="105">
        <v>2</v>
      </c>
      <c r="F576" s="133">
        <v>29</v>
      </c>
      <c r="G576" s="133">
        <v>33.75</v>
      </c>
      <c r="H576" s="109">
        <f t="shared" si="24"/>
        <v>67.5</v>
      </c>
      <c r="I576" s="119"/>
      <c r="J576" s="119">
        <v>0</v>
      </c>
      <c r="K576" s="119">
        <f t="shared" si="25"/>
        <v>67.5</v>
      </c>
      <c r="L576" s="152">
        <f t="shared" si="26"/>
        <v>58</v>
      </c>
      <c r="M576" s="113"/>
    </row>
    <row r="577" spans="1:13" x14ac:dyDescent="0.2">
      <c r="A577" s="106" t="s">
        <v>6308</v>
      </c>
      <c r="B577" s="272" t="s">
        <v>2521</v>
      </c>
      <c r="C577" s="105" t="s">
        <v>6635</v>
      </c>
      <c r="D577" s="149" t="s">
        <v>2522</v>
      </c>
      <c r="E577" s="105">
        <v>2</v>
      </c>
      <c r="F577" s="133">
        <v>6.12</v>
      </c>
      <c r="G577" s="133">
        <v>7.25</v>
      </c>
      <c r="H577" s="109">
        <f t="shared" si="24"/>
        <v>14.5</v>
      </c>
      <c r="I577" s="119"/>
      <c r="J577" s="119">
        <v>0</v>
      </c>
      <c r="K577" s="119">
        <f t="shared" si="25"/>
        <v>14.5</v>
      </c>
      <c r="L577" s="152">
        <f t="shared" si="26"/>
        <v>12.24</v>
      </c>
      <c r="M577" s="113"/>
    </row>
    <row r="578" spans="1:13" x14ac:dyDescent="0.2">
      <c r="A578" s="106" t="s">
        <v>6308</v>
      </c>
      <c r="B578" s="272" t="s">
        <v>3326</v>
      </c>
      <c r="C578" s="105" t="s">
        <v>6635</v>
      </c>
      <c r="D578" s="149" t="s">
        <v>3327</v>
      </c>
      <c r="E578" s="105">
        <v>2</v>
      </c>
      <c r="F578" s="133">
        <v>6.12</v>
      </c>
      <c r="G578" s="133">
        <v>7.25</v>
      </c>
      <c r="H578" s="109">
        <f t="shared" si="24"/>
        <v>14.5</v>
      </c>
      <c r="I578" s="119"/>
      <c r="J578" s="119">
        <v>0</v>
      </c>
      <c r="K578" s="119">
        <f t="shared" si="25"/>
        <v>14.5</v>
      </c>
      <c r="L578" s="152">
        <f t="shared" si="26"/>
        <v>12.24</v>
      </c>
      <c r="M578" s="113"/>
    </row>
    <row r="579" spans="1:13" x14ac:dyDescent="0.2">
      <c r="A579" s="106" t="s">
        <v>6308</v>
      </c>
      <c r="B579" s="272" t="s">
        <v>4797</v>
      </c>
      <c r="C579" s="105" t="s">
        <v>6635</v>
      </c>
      <c r="D579" s="149" t="s">
        <v>4866</v>
      </c>
      <c r="E579" s="105">
        <v>1</v>
      </c>
      <c r="F579" s="133">
        <v>50.88</v>
      </c>
      <c r="G579" s="133">
        <v>58.75</v>
      </c>
      <c r="H579" s="109">
        <f t="shared" si="24"/>
        <v>58.75</v>
      </c>
      <c r="I579" s="119"/>
      <c r="J579" s="119">
        <v>46.5</v>
      </c>
      <c r="K579" s="119">
        <f t="shared" si="25"/>
        <v>12.25</v>
      </c>
      <c r="L579" s="152">
        <f t="shared" si="26"/>
        <v>50.88</v>
      </c>
      <c r="M579" s="113"/>
    </row>
    <row r="580" spans="1:13" x14ac:dyDescent="0.2">
      <c r="A580" s="106" t="s">
        <v>6308</v>
      </c>
      <c r="B580" s="272" t="s">
        <v>3446</v>
      </c>
      <c r="C580" s="105" t="s">
        <v>6636</v>
      </c>
      <c r="D580" s="149" t="s">
        <v>3447</v>
      </c>
      <c r="E580" s="105">
        <v>1</v>
      </c>
      <c r="F580" s="133">
        <v>33.75</v>
      </c>
      <c r="G580" s="133">
        <v>39</v>
      </c>
      <c r="H580" s="109">
        <f t="shared" si="24"/>
        <v>39</v>
      </c>
      <c r="I580" s="119"/>
      <c r="J580" s="119">
        <v>0</v>
      </c>
      <c r="K580" s="119">
        <f t="shared" si="25"/>
        <v>39</v>
      </c>
      <c r="L580" s="152">
        <f t="shared" si="26"/>
        <v>33.75</v>
      </c>
      <c r="M580" s="113"/>
    </row>
    <row r="581" spans="1:13" x14ac:dyDescent="0.2">
      <c r="A581" s="106" t="s">
        <v>6308</v>
      </c>
      <c r="B581" s="272" t="s">
        <v>4090</v>
      </c>
      <c r="C581" s="105" t="s">
        <v>6637</v>
      </c>
      <c r="D581" s="149" t="s">
        <v>4091</v>
      </c>
      <c r="E581" s="105">
        <v>1</v>
      </c>
      <c r="F581" s="133">
        <v>178.1</v>
      </c>
      <c r="G581" s="133">
        <v>205</v>
      </c>
      <c r="H581" s="109">
        <f t="shared" si="24"/>
        <v>205</v>
      </c>
      <c r="I581" s="119"/>
      <c r="J581" s="119">
        <v>0</v>
      </c>
      <c r="K581" s="119">
        <f t="shared" si="25"/>
        <v>205</v>
      </c>
      <c r="L581" s="152">
        <f t="shared" si="26"/>
        <v>178.1</v>
      </c>
      <c r="M581" s="113"/>
    </row>
    <row r="582" spans="1:13" x14ac:dyDescent="0.2">
      <c r="A582" s="106" t="s">
        <v>6308</v>
      </c>
      <c r="B582" s="272" t="s">
        <v>2441</v>
      </c>
      <c r="C582" s="105" t="s">
        <v>6638</v>
      </c>
      <c r="D582" s="149" t="s">
        <v>2443</v>
      </c>
      <c r="E582" s="105">
        <v>2</v>
      </c>
      <c r="F582" s="133">
        <v>0.81</v>
      </c>
      <c r="G582" s="133">
        <v>1</v>
      </c>
      <c r="H582" s="109">
        <f t="shared" ref="H582:H645" si="27">E582*G582</f>
        <v>2</v>
      </c>
      <c r="I582" s="119"/>
      <c r="J582" s="119">
        <v>0</v>
      </c>
      <c r="K582" s="119">
        <f t="shared" ref="K582:K607" si="28">H582+I582-J582</f>
        <v>2</v>
      </c>
      <c r="L582" s="152">
        <f t="shared" si="26"/>
        <v>1.62</v>
      </c>
      <c r="M582" s="113"/>
    </row>
    <row r="583" spans="1:13" x14ac:dyDescent="0.2">
      <c r="A583" s="106" t="s">
        <v>6308</v>
      </c>
      <c r="B583" s="272" t="s">
        <v>4716</v>
      </c>
      <c r="C583" s="105" t="s">
        <v>6638</v>
      </c>
      <c r="D583" s="149" t="s">
        <v>4751</v>
      </c>
      <c r="E583" s="105">
        <v>3</v>
      </c>
      <c r="F583" s="133">
        <v>0.81</v>
      </c>
      <c r="G583" s="133">
        <v>1</v>
      </c>
      <c r="H583" s="109">
        <f t="shared" si="27"/>
        <v>3</v>
      </c>
      <c r="I583" s="119"/>
      <c r="J583" s="119">
        <v>0</v>
      </c>
      <c r="K583" s="119">
        <f t="shared" si="28"/>
        <v>3</v>
      </c>
      <c r="L583" s="152">
        <f t="shared" ref="L583:L646" si="29">E583*F583</f>
        <v>2.4300000000000002</v>
      </c>
      <c r="M583" s="113"/>
    </row>
    <row r="584" spans="1:13" x14ac:dyDescent="0.2">
      <c r="A584" s="106" t="s">
        <v>6308</v>
      </c>
      <c r="B584" s="272" t="s">
        <v>1826</v>
      </c>
      <c r="C584" s="105" t="s">
        <v>6639</v>
      </c>
      <c r="D584" s="149" t="s">
        <v>1827</v>
      </c>
      <c r="E584" s="105">
        <v>3</v>
      </c>
      <c r="F584" s="133">
        <v>90</v>
      </c>
      <c r="G584" s="133">
        <v>120</v>
      </c>
      <c r="H584" s="109">
        <f t="shared" si="27"/>
        <v>360</v>
      </c>
      <c r="I584" s="119"/>
      <c r="J584" s="119">
        <v>0</v>
      </c>
      <c r="K584" s="119">
        <f t="shared" si="28"/>
        <v>360</v>
      </c>
      <c r="L584" s="152">
        <f t="shared" si="29"/>
        <v>270</v>
      </c>
      <c r="M584" s="113"/>
    </row>
    <row r="585" spans="1:13" x14ac:dyDescent="0.2">
      <c r="A585" s="106" t="s">
        <v>6308</v>
      </c>
      <c r="B585" s="272" t="s">
        <v>4520</v>
      </c>
      <c r="C585" s="105" t="s">
        <v>6639</v>
      </c>
      <c r="D585" s="149" t="s">
        <v>4625</v>
      </c>
      <c r="E585" s="105">
        <v>3</v>
      </c>
      <c r="F585" s="133">
        <v>60</v>
      </c>
      <c r="G585" s="133">
        <v>75</v>
      </c>
      <c r="H585" s="109">
        <f t="shared" si="27"/>
        <v>225</v>
      </c>
      <c r="I585" s="119"/>
      <c r="J585" s="119">
        <v>0</v>
      </c>
      <c r="K585" s="119">
        <f t="shared" si="28"/>
        <v>225</v>
      </c>
      <c r="L585" s="152">
        <f t="shared" si="29"/>
        <v>180</v>
      </c>
      <c r="M585" s="113"/>
    </row>
    <row r="586" spans="1:13" x14ac:dyDescent="0.2">
      <c r="A586" s="106" t="s">
        <v>6308</v>
      </c>
      <c r="B586" s="272" t="s">
        <v>1865</v>
      </c>
      <c r="C586" s="105" t="s">
        <v>6640</v>
      </c>
      <c r="D586" s="149" t="s">
        <v>1866</v>
      </c>
      <c r="E586" s="105">
        <v>1</v>
      </c>
      <c r="F586" s="133">
        <v>300</v>
      </c>
      <c r="G586" s="133">
        <v>450</v>
      </c>
      <c r="H586" s="109">
        <f t="shared" si="27"/>
        <v>450</v>
      </c>
      <c r="I586" s="119"/>
      <c r="J586" s="119">
        <v>0</v>
      </c>
      <c r="K586" s="119">
        <f t="shared" si="28"/>
        <v>450</v>
      </c>
      <c r="L586" s="152">
        <f t="shared" si="29"/>
        <v>300</v>
      </c>
      <c r="M586" s="113"/>
    </row>
    <row r="587" spans="1:13" x14ac:dyDescent="0.2">
      <c r="A587" s="106" t="s">
        <v>6308</v>
      </c>
      <c r="B587" s="272" t="s">
        <v>5497</v>
      </c>
      <c r="C587" s="105" t="s">
        <v>6641</v>
      </c>
      <c r="D587" s="149" t="s">
        <v>5573</v>
      </c>
      <c r="E587" s="105">
        <v>3</v>
      </c>
      <c r="F587" s="133">
        <v>30</v>
      </c>
      <c r="G587" s="133">
        <v>45</v>
      </c>
      <c r="H587" s="109">
        <f t="shared" si="27"/>
        <v>135</v>
      </c>
      <c r="I587" s="119"/>
      <c r="J587" s="119">
        <v>0</v>
      </c>
      <c r="K587" s="119">
        <f t="shared" si="28"/>
        <v>135</v>
      </c>
      <c r="L587" s="152">
        <f t="shared" si="29"/>
        <v>90</v>
      </c>
      <c r="M587" s="113"/>
    </row>
    <row r="588" spans="1:13" x14ac:dyDescent="0.2">
      <c r="A588" s="106" t="s">
        <v>6308</v>
      </c>
      <c r="B588" s="272" t="s">
        <v>4806</v>
      </c>
      <c r="C588" s="105" t="s">
        <v>6642</v>
      </c>
      <c r="D588" s="149" t="s">
        <v>4874</v>
      </c>
      <c r="E588" s="105">
        <v>1</v>
      </c>
      <c r="F588" s="133">
        <v>8.58</v>
      </c>
      <c r="G588" s="133">
        <v>10</v>
      </c>
      <c r="H588" s="109">
        <f t="shared" si="27"/>
        <v>10</v>
      </c>
      <c r="I588" s="119"/>
      <c r="J588" s="119">
        <v>0</v>
      </c>
      <c r="K588" s="119">
        <f t="shared" si="28"/>
        <v>10</v>
      </c>
      <c r="L588" s="152">
        <f t="shared" si="29"/>
        <v>8.58</v>
      </c>
      <c r="M588" s="113"/>
    </row>
    <row r="589" spans="1:13" x14ac:dyDescent="0.2">
      <c r="A589" s="106" t="s">
        <v>6308</v>
      </c>
      <c r="B589" s="272" t="s">
        <v>1905</v>
      </c>
      <c r="C589" s="105" t="s">
        <v>6643</v>
      </c>
      <c r="D589" s="149" t="s">
        <v>1906</v>
      </c>
      <c r="E589" s="105">
        <v>1</v>
      </c>
      <c r="F589" s="133">
        <v>15.51</v>
      </c>
      <c r="G589" s="133">
        <v>18</v>
      </c>
      <c r="H589" s="109">
        <f t="shared" si="27"/>
        <v>18</v>
      </c>
      <c r="I589" s="119"/>
      <c r="J589" s="119">
        <v>0</v>
      </c>
      <c r="K589" s="119">
        <f t="shared" si="28"/>
        <v>18</v>
      </c>
      <c r="L589" s="152">
        <f t="shared" si="29"/>
        <v>15.51</v>
      </c>
      <c r="M589" s="113"/>
    </row>
    <row r="590" spans="1:13" x14ac:dyDescent="0.2">
      <c r="A590" s="106" t="s">
        <v>6308</v>
      </c>
      <c r="B590" s="272" t="s">
        <v>1826</v>
      </c>
      <c r="C590" s="105" t="s">
        <v>6643</v>
      </c>
      <c r="D590" s="149" t="s">
        <v>1827</v>
      </c>
      <c r="E590" s="105">
        <v>1</v>
      </c>
      <c r="F590" s="133">
        <v>90</v>
      </c>
      <c r="G590" s="133">
        <v>120</v>
      </c>
      <c r="H590" s="109">
        <f t="shared" si="27"/>
        <v>120</v>
      </c>
      <c r="I590" s="119"/>
      <c r="J590" s="119">
        <v>0</v>
      </c>
      <c r="K590" s="119">
        <f t="shared" si="28"/>
        <v>120</v>
      </c>
      <c r="L590" s="152">
        <f t="shared" si="29"/>
        <v>90</v>
      </c>
      <c r="M590" s="113"/>
    </row>
    <row r="591" spans="1:13" x14ac:dyDescent="0.2">
      <c r="A591" s="106" t="s">
        <v>6308</v>
      </c>
      <c r="B591" s="272" t="s">
        <v>4719</v>
      </c>
      <c r="C591" s="105" t="s">
        <v>6644</v>
      </c>
      <c r="D591" s="149" t="s">
        <v>4754</v>
      </c>
      <c r="E591" s="105">
        <v>1</v>
      </c>
      <c r="F591" s="133">
        <v>115.88</v>
      </c>
      <c r="G591" s="133">
        <v>133.5</v>
      </c>
      <c r="H591" s="109">
        <f t="shared" si="27"/>
        <v>133.5</v>
      </c>
      <c r="I591" s="119"/>
      <c r="J591" s="119">
        <v>0</v>
      </c>
      <c r="K591" s="119">
        <f t="shared" si="28"/>
        <v>133.5</v>
      </c>
      <c r="L591" s="152">
        <f t="shared" si="29"/>
        <v>115.88</v>
      </c>
      <c r="M591" s="113"/>
    </row>
    <row r="592" spans="1:13" x14ac:dyDescent="0.2">
      <c r="A592" s="106" t="s">
        <v>6308</v>
      </c>
      <c r="B592" s="272" t="s">
        <v>6364</v>
      </c>
      <c r="C592" s="105" t="s">
        <v>6645</v>
      </c>
      <c r="D592" s="149" t="s">
        <v>6706</v>
      </c>
      <c r="E592" s="105">
        <v>6</v>
      </c>
      <c r="F592" s="133">
        <v>100</v>
      </c>
      <c r="G592" s="133">
        <v>130</v>
      </c>
      <c r="H592" s="109">
        <f t="shared" si="27"/>
        <v>780</v>
      </c>
      <c r="I592" s="119"/>
      <c r="J592" s="119">
        <v>0</v>
      </c>
      <c r="K592" s="119">
        <f t="shared" si="28"/>
        <v>780</v>
      </c>
      <c r="L592" s="152">
        <f t="shared" si="29"/>
        <v>600</v>
      </c>
      <c r="M592" s="113"/>
    </row>
    <row r="593" spans="1:13" x14ac:dyDescent="0.2">
      <c r="A593" s="106" t="s">
        <v>6308</v>
      </c>
      <c r="B593" s="272" t="s">
        <v>1826</v>
      </c>
      <c r="C593" s="105" t="s">
        <v>6645</v>
      </c>
      <c r="D593" s="149" t="s">
        <v>1827</v>
      </c>
      <c r="E593" s="105">
        <v>4</v>
      </c>
      <c r="F593" s="133">
        <v>90</v>
      </c>
      <c r="G593" s="133">
        <v>120</v>
      </c>
      <c r="H593" s="109">
        <f t="shared" si="27"/>
        <v>480</v>
      </c>
      <c r="I593" s="119"/>
      <c r="J593" s="119">
        <v>0</v>
      </c>
      <c r="K593" s="119">
        <f t="shared" si="28"/>
        <v>480</v>
      </c>
      <c r="L593" s="152">
        <f t="shared" si="29"/>
        <v>360</v>
      </c>
      <c r="M593" s="113"/>
    </row>
    <row r="594" spans="1:13" x14ac:dyDescent="0.2">
      <c r="A594" s="106" t="s">
        <v>6308</v>
      </c>
      <c r="B594" s="272" t="s">
        <v>4209</v>
      </c>
      <c r="C594" s="105" t="s">
        <v>6645</v>
      </c>
      <c r="D594" s="149" t="s">
        <v>4211</v>
      </c>
      <c r="E594" s="105">
        <v>1</v>
      </c>
      <c r="F594" s="133">
        <v>39</v>
      </c>
      <c r="G594" s="133">
        <v>45</v>
      </c>
      <c r="H594" s="109">
        <f t="shared" si="27"/>
        <v>45</v>
      </c>
      <c r="I594" s="119"/>
      <c r="J594" s="119">
        <v>0</v>
      </c>
      <c r="K594" s="119">
        <f t="shared" si="28"/>
        <v>45</v>
      </c>
      <c r="L594" s="152">
        <f t="shared" si="29"/>
        <v>39</v>
      </c>
      <c r="M594" s="113"/>
    </row>
    <row r="595" spans="1:13" x14ac:dyDescent="0.2">
      <c r="A595" s="106" t="s">
        <v>6308</v>
      </c>
      <c r="B595" s="272" t="s">
        <v>6364</v>
      </c>
      <c r="C595" s="105" t="s">
        <v>6646</v>
      </c>
      <c r="D595" s="149" t="s">
        <v>6706</v>
      </c>
      <c r="E595" s="105">
        <v>1</v>
      </c>
      <c r="F595" s="133">
        <v>100</v>
      </c>
      <c r="G595" s="133">
        <v>130</v>
      </c>
      <c r="H595" s="109">
        <f t="shared" si="27"/>
        <v>130</v>
      </c>
      <c r="I595" s="119"/>
      <c r="J595" s="119">
        <v>0</v>
      </c>
      <c r="K595" s="119">
        <f t="shared" si="28"/>
        <v>130</v>
      </c>
      <c r="L595" s="152">
        <f t="shared" si="29"/>
        <v>100</v>
      </c>
      <c r="M595" s="113"/>
    </row>
    <row r="596" spans="1:13" x14ac:dyDescent="0.2">
      <c r="A596" s="106" t="s">
        <v>6308</v>
      </c>
      <c r="B596" s="272" t="s">
        <v>4520</v>
      </c>
      <c r="C596" s="105" t="s">
        <v>6646</v>
      </c>
      <c r="D596" s="149" t="s">
        <v>4625</v>
      </c>
      <c r="E596" s="105">
        <v>1</v>
      </c>
      <c r="F596" s="133">
        <v>60</v>
      </c>
      <c r="G596" s="133">
        <v>75</v>
      </c>
      <c r="H596" s="109">
        <f t="shared" si="27"/>
        <v>75</v>
      </c>
      <c r="I596" s="119"/>
      <c r="J596" s="119">
        <v>0</v>
      </c>
      <c r="K596" s="119">
        <f t="shared" si="28"/>
        <v>75</v>
      </c>
      <c r="L596" s="152">
        <f t="shared" si="29"/>
        <v>60</v>
      </c>
      <c r="M596" s="113"/>
    </row>
    <row r="597" spans="1:13" x14ac:dyDescent="0.2">
      <c r="A597" s="106" t="s">
        <v>6308</v>
      </c>
      <c r="B597" s="272" t="s">
        <v>6364</v>
      </c>
      <c r="C597" s="105" t="s">
        <v>6647</v>
      </c>
      <c r="D597" s="149" t="s">
        <v>6706</v>
      </c>
      <c r="E597" s="105">
        <v>1</v>
      </c>
      <c r="F597" s="133">
        <v>100</v>
      </c>
      <c r="G597" s="133">
        <v>130</v>
      </c>
      <c r="H597" s="109">
        <f t="shared" si="27"/>
        <v>130</v>
      </c>
      <c r="I597" s="119"/>
      <c r="J597" s="119">
        <v>0</v>
      </c>
      <c r="K597" s="119">
        <f t="shared" si="28"/>
        <v>130</v>
      </c>
      <c r="L597" s="152">
        <f t="shared" si="29"/>
        <v>100</v>
      </c>
      <c r="M597" s="113"/>
    </row>
    <row r="598" spans="1:13" x14ac:dyDescent="0.2">
      <c r="A598" s="106" t="s">
        <v>6308</v>
      </c>
      <c r="B598" s="272" t="s">
        <v>6364</v>
      </c>
      <c r="C598" s="105" t="s">
        <v>6648</v>
      </c>
      <c r="D598" s="149" t="s">
        <v>6706</v>
      </c>
      <c r="E598" s="105">
        <v>3</v>
      </c>
      <c r="F598" s="133">
        <v>100</v>
      </c>
      <c r="G598" s="133">
        <v>130</v>
      </c>
      <c r="H598" s="109">
        <f t="shared" si="27"/>
        <v>390</v>
      </c>
      <c r="I598" s="119"/>
      <c r="J598" s="119">
        <v>0</v>
      </c>
      <c r="K598" s="119">
        <f t="shared" si="28"/>
        <v>390</v>
      </c>
      <c r="L598" s="152">
        <f t="shared" si="29"/>
        <v>300</v>
      </c>
      <c r="M598" s="113"/>
    </row>
    <row r="599" spans="1:13" x14ac:dyDescent="0.2">
      <c r="A599" s="106" t="s">
        <v>6308</v>
      </c>
      <c r="B599" s="272" t="s">
        <v>6365</v>
      </c>
      <c r="C599" s="105" t="s">
        <v>6649</v>
      </c>
      <c r="D599" s="149" t="s">
        <v>6707</v>
      </c>
      <c r="E599" s="105">
        <v>1</v>
      </c>
      <c r="F599" s="133">
        <v>105</v>
      </c>
      <c r="G599" s="133">
        <v>150</v>
      </c>
      <c r="H599" s="109">
        <f t="shared" si="27"/>
        <v>150</v>
      </c>
      <c r="I599" s="119"/>
      <c r="J599" s="119">
        <v>0</v>
      </c>
      <c r="K599" s="119">
        <f t="shared" si="28"/>
        <v>150</v>
      </c>
      <c r="L599" s="152">
        <f t="shared" si="29"/>
        <v>105</v>
      </c>
      <c r="M599" s="113"/>
    </row>
    <row r="600" spans="1:13" x14ac:dyDescent="0.2">
      <c r="A600" s="106" t="s">
        <v>6308</v>
      </c>
      <c r="B600" s="272" t="s">
        <v>6366</v>
      </c>
      <c r="C600" s="105" t="s">
        <v>6649</v>
      </c>
      <c r="D600" s="149" t="s">
        <v>6708</v>
      </c>
      <c r="E600" s="105">
        <v>1</v>
      </c>
      <c r="F600" s="133">
        <v>105</v>
      </c>
      <c r="G600" s="133">
        <v>120.75</v>
      </c>
      <c r="H600" s="109">
        <f t="shared" si="27"/>
        <v>120.75</v>
      </c>
      <c r="I600" s="119"/>
      <c r="J600" s="119">
        <v>0</v>
      </c>
      <c r="K600" s="119">
        <f t="shared" si="28"/>
        <v>120.75</v>
      </c>
      <c r="L600" s="152">
        <f t="shared" si="29"/>
        <v>105</v>
      </c>
      <c r="M600" s="113"/>
    </row>
    <row r="601" spans="1:13" x14ac:dyDescent="0.2">
      <c r="A601" s="106" t="s">
        <v>6709</v>
      </c>
      <c r="B601" s="272" t="s">
        <v>4479</v>
      </c>
      <c r="C601" s="105" t="s">
        <v>6712</v>
      </c>
      <c r="D601" s="149" t="s">
        <v>4511</v>
      </c>
      <c r="E601" s="105">
        <v>6</v>
      </c>
      <c r="F601" s="247">
        <v>5.92</v>
      </c>
      <c r="G601" s="247">
        <v>6.75</v>
      </c>
      <c r="H601" s="109">
        <f t="shared" si="27"/>
        <v>40.5</v>
      </c>
      <c r="I601" s="119"/>
      <c r="J601" s="119"/>
      <c r="K601" s="119">
        <f t="shared" si="28"/>
        <v>40.5</v>
      </c>
      <c r="L601" s="152">
        <f t="shared" si="29"/>
        <v>35.519999999999996</v>
      </c>
      <c r="M601" s="113"/>
    </row>
    <row r="602" spans="1:13" x14ac:dyDescent="0.2">
      <c r="A602" s="106" t="s">
        <v>6709</v>
      </c>
      <c r="B602" s="272" t="s">
        <v>2721</v>
      </c>
      <c r="C602" s="105" t="s">
        <v>6712</v>
      </c>
      <c r="D602" s="149" t="s">
        <v>2722</v>
      </c>
      <c r="E602" s="105">
        <v>1</v>
      </c>
      <c r="F602" s="247">
        <v>40.06</v>
      </c>
      <c r="G602" s="247">
        <v>46.25</v>
      </c>
      <c r="H602" s="109">
        <f t="shared" si="27"/>
        <v>46.25</v>
      </c>
      <c r="I602" s="119"/>
      <c r="J602" s="119"/>
      <c r="K602" s="119">
        <f t="shared" si="28"/>
        <v>46.25</v>
      </c>
      <c r="L602" s="152">
        <f t="shared" si="29"/>
        <v>40.06</v>
      </c>
      <c r="M602" s="113"/>
    </row>
    <row r="603" spans="1:13" x14ac:dyDescent="0.2">
      <c r="A603" s="106" t="s">
        <v>6709</v>
      </c>
      <c r="B603" s="272" t="s">
        <v>1911</v>
      </c>
      <c r="C603" s="105" t="s">
        <v>6713</v>
      </c>
      <c r="D603" s="149" t="s">
        <v>1912</v>
      </c>
      <c r="E603" s="105">
        <v>1</v>
      </c>
      <c r="F603" s="247">
        <v>32.26</v>
      </c>
      <c r="G603" s="247">
        <v>37.25</v>
      </c>
      <c r="H603" s="109">
        <f t="shared" si="27"/>
        <v>37.25</v>
      </c>
      <c r="I603" s="119"/>
      <c r="J603" s="119"/>
      <c r="K603" s="119">
        <f t="shared" si="28"/>
        <v>37.25</v>
      </c>
      <c r="L603" s="152">
        <f t="shared" si="29"/>
        <v>32.26</v>
      </c>
      <c r="M603" s="113"/>
    </row>
    <row r="604" spans="1:13" x14ac:dyDescent="0.2">
      <c r="A604" s="106" t="s">
        <v>6709</v>
      </c>
      <c r="B604" s="272" t="s">
        <v>2601</v>
      </c>
      <c r="C604" s="105" t="s">
        <v>6714</v>
      </c>
      <c r="D604" s="149" t="s">
        <v>2603</v>
      </c>
      <c r="E604" s="105">
        <v>1</v>
      </c>
      <c r="F604" s="247">
        <v>6</v>
      </c>
      <c r="G604" s="247">
        <v>10</v>
      </c>
      <c r="H604" s="109">
        <f t="shared" si="27"/>
        <v>10</v>
      </c>
      <c r="I604" s="119"/>
      <c r="J604" s="119"/>
      <c r="K604" s="119">
        <f t="shared" si="28"/>
        <v>10</v>
      </c>
      <c r="L604" s="152">
        <f t="shared" si="29"/>
        <v>6</v>
      </c>
      <c r="M604" s="113"/>
    </row>
    <row r="605" spans="1:13" x14ac:dyDescent="0.2">
      <c r="A605" s="106" t="s">
        <v>6709</v>
      </c>
      <c r="B605" s="272" t="s">
        <v>2237</v>
      </c>
      <c r="C605" s="105" t="s">
        <v>6715</v>
      </c>
      <c r="D605" s="149" t="s">
        <v>2239</v>
      </c>
      <c r="E605" s="105">
        <v>1</v>
      </c>
      <c r="F605" s="247">
        <v>13.32</v>
      </c>
      <c r="G605" s="247">
        <v>15.5</v>
      </c>
      <c r="H605" s="109">
        <f t="shared" si="27"/>
        <v>15.5</v>
      </c>
      <c r="I605" s="119"/>
      <c r="J605" s="119"/>
      <c r="K605" s="119">
        <f t="shared" si="28"/>
        <v>15.5</v>
      </c>
      <c r="L605" s="152">
        <f t="shared" si="29"/>
        <v>13.32</v>
      </c>
      <c r="M605" s="113"/>
    </row>
    <row r="606" spans="1:13" x14ac:dyDescent="0.2">
      <c r="A606" s="106" t="s">
        <v>6709</v>
      </c>
      <c r="B606" s="272" t="s">
        <v>5982</v>
      </c>
      <c r="C606" s="105" t="s">
        <v>6716</v>
      </c>
      <c r="D606" s="149" t="s">
        <v>6100</v>
      </c>
      <c r="E606" s="105">
        <v>2</v>
      </c>
      <c r="F606" s="247">
        <v>5.74</v>
      </c>
      <c r="G606" s="247">
        <v>7</v>
      </c>
      <c r="H606" s="109">
        <f t="shared" si="27"/>
        <v>14</v>
      </c>
      <c r="I606" s="119"/>
      <c r="J606" s="119"/>
      <c r="K606" s="119">
        <f t="shared" si="28"/>
        <v>14</v>
      </c>
      <c r="L606" s="152">
        <f t="shared" si="29"/>
        <v>11.48</v>
      </c>
      <c r="M606" s="113"/>
    </row>
    <row r="607" spans="1:13" x14ac:dyDescent="0.2">
      <c r="A607" s="106" t="s">
        <v>6709</v>
      </c>
      <c r="B607" s="272" t="s">
        <v>4088</v>
      </c>
      <c r="C607" s="105" t="s">
        <v>6717</v>
      </c>
      <c r="D607" s="149" t="s">
        <v>4089</v>
      </c>
      <c r="E607" s="105">
        <v>1</v>
      </c>
      <c r="F607" s="247">
        <v>59.5</v>
      </c>
      <c r="G607" s="247">
        <v>68.5</v>
      </c>
      <c r="H607" s="109">
        <f t="shared" si="27"/>
        <v>68.5</v>
      </c>
      <c r="I607" s="119"/>
      <c r="J607" s="119"/>
      <c r="K607" s="119">
        <f t="shared" si="28"/>
        <v>68.5</v>
      </c>
      <c r="L607" s="152">
        <f t="shared" si="29"/>
        <v>59.5</v>
      </c>
      <c r="M607" s="113"/>
    </row>
    <row r="608" spans="1:13" x14ac:dyDescent="0.2">
      <c r="A608" s="106" t="s">
        <v>6709</v>
      </c>
      <c r="B608" s="272" t="s">
        <v>6711</v>
      </c>
      <c r="C608" s="105" t="s">
        <v>6718</v>
      </c>
      <c r="D608" s="149" t="s">
        <v>6758</v>
      </c>
      <c r="E608" s="105">
        <v>1</v>
      </c>
      <c r="F608" s="247">
        <v>143.6</v>
      </c>
      <c r="G608" s="247">
        <v>165.25</v>
      </c>
      <c r="H608" s="109">
        <f t="shared" si="27"/>
        <v>165.25</v>
      </c>
      <c r="I608" s="119"/>
      <c r="J608" s="119"/>
      <c r="K608" s="119">
        <f t="shared" ref="K608:K646" si="30">H608+I608-J608</f>
        <v>165.25</v>
      </c>
      <c r="L608" s="152">
        <f t="shared" si="29"/>
        <v>143.6</v>
      </c>
      <c r="M608" s="113"/>
    </row>
    <row r="609" spans="1:13" x14ac:dyDescent="0.2">
      <c r="A609" s="106" t="s">
        <v>6709</v>
      </c>
      <c r="B609" s="272" t="s">
        <v>4716</v>
      </c>
      <c r="C609" s="105" t="s">
        <v>6719</v>
      </c>
      <c r="D609" s="149" t="s">
        <v>4751</v>
      </c>
      <c r="E609" s="105">
        <v>4</v>
      </c>
      <c r="F609" s="247">
        <v>0.81</v>
      </c>
      <c r="G609" s="247">
        <v>1</v>
      </c>
      <c r="H609" s="109">
        <f t="shared" si="27"/>
        <v>4</v>
      </c>
      <c r="I609" s="119"/>
      <c r="J609" s="119"/>
      <c r="K609" s="119">
        <f t="shared" si="30"/>
        <v>4</v>
      </c>
      <c r="L609" s="152">
        <f t="shared" si="29"/>
        <v>3.24</v>
      </c>
      <c r="M609" s="113"/>
    </row>
    <row r="610" spans="1:13" x14ac:dyDescent="0.2">
      <c r="A610" s="106" t="s">
        <v>6709</v>
      </c>
      <c r="B610" s="272" t="s">
        <v>2601</v>
      </c>
      <c r="C610" s="105" t="s">
        <v>6720</v>
      </c>
      <c r="D610" s="149" t="s">
        <v>2603</v>
      </c>
      <c r="E610" s="105">
        <v>1</v>
      </c>
      <c r="F610" s="247">
        <v>6</v>
      </c>
      <c r="G610" s="247">
        <v>10</v>
      </c>
      <c r="H610" s="109">
        <f t="shared" si="27"/>
        <v>10</v>
      </c>
      <c r="I610" s="119"/>
      <c r="J610" s="119"/>
      <c r="K610" s="119">
        <f t="shared" si="30"/>
        <v>10</v>
      </c>
      <c r="L610" s="152">
        <f t="shared" si="29"/>
        <v>6</v>
      </c>
      <c r="M610" s="113"/>
    </row>
    <row r="611" spans="1:13" x14ac:dyDescent="0.2">
      <c r="A611" s="106" t="s">
        <v>6709</v>
      </c>
      <c r="B611" s="272" t="s">
        <v>4068</v>
      </c>
      <c r="C611" s="105" t="s">
        <v>6721</v>
      </c>
      <c r="D611" s="149" t="s">
        <v>4070</v>
      </c>
      <c r="E611" s="105">
        <v>1</v>
      </c>
      <c r="F611" s="247">
        <v>20.57</v>
      </c>
      <c r="G611" s="247">
        <v>23.75</v>
      </c>
      <c r="H611" s="109">
        <f t="shared" si="27"/>
        <v>23.75</v>
      </c>
      <c r="I611" s="119"/>
      <c r="J611" s="119"/>
      <c r="K611" s="119">
        <f t="shared" si="30"/>
        <v>23.75</v>
      </c>
      <c r="L611" s="152">
        <f t="shared" si="29"/>
        <v>20.57</v>
      </c>
      <c r="M611" s="113"/>
    </row>
    <row r="612" spans="1:13" x14ac:dyDescent="0.2">
      <c r="A612" s="106" t="s">
        <v>6709</v>
      </c>
      <c r="B612" s="272" t="s">
        <v>2895</v>
      </c>
      <c r="C612" s="105" t="s">
        <v>6722</v>
      </c>
      <c r="D612" s="149" t="s">
        <v>2897</v>
      </c>
      <c r="E612" s="105">
        <v>2</v>
      </c>
      <c r="F612" s="247">
        <v>9.17</v>
      </c>
      <c r="G612" s="247">
        <v>10.75</v>
      </c>
      <c r="H612" s="109">
        <f t="shared" si="27"/>
        <v>21.5</v>
      </c>
      <c r="I612" s="119"/>
      <c r="J612" s="119"/>
      <c r="K612" s="119">
        <f t="shared" si="30"/>
        <v>21.5</v>
      </c>
      <c r="L612" s="152">
        <f t="shared" si="29"/>
        <v>18.34</v>
      </c>
      <c r="M612" s="113"/>
    </row>
    <row r="613" spans="1:13" x14ac:dyDescent="0.2">
      <c r="A613" s="106" t="s">
        <v>6709</v>
      </c>
      <c r="B613" s="272" t="s">
        <v>4068</v>
      </c>
      <c r="C613" s="105" t="s">
        <v>6722</v>
      </c>
      <c r="D613" s="149" t="s">
        <v>4070</v>
      </c>
      <c r="E613" s="105">
        <v>1</v>
      </c>
      <c r="F613" s="247">
        <v>20.57</v>
      </c>
      <c r="G613" s="247">
        <v>23.75</v>
      </c>
      <c r="H613" s="109">
        <f t="shared" si="27"/>
        <v>23.75</v>
      </c>
      <c r="I613" s="119"/>
      <c r="J613" s="119"/>
      <c r="K613" s="119">
        <f t="shared" si="30"/>
        <v>23.75</v>
      </c>
      <c r="L613" s="152">
        <f t="shared" si="29"/>
        <v>20.57</v>
      </c>
      <c r="M613" s="113"/>
    </row>
    <row r="614" spans="1:13" x14ac:dyDescent="0.2">
      <c r="A614" s="106" t="s">
        <v>6709</v>
      </c>
      <c r="B614" s="272" t="s">
        <v>7169</v>
      </c>
      <c r="C614" s="105" t="s">
        <v>6722</v>
      </c>
      <c r="D614" s="149" t="s">
        <v>3349</v>
      </c>
      <c r="E614" s="105">
        <v>1</v>
      </c>
      <c r="F614" s="247">
        <v>14.91</v>
      </c>
      <c r="G614" s="247">
        <v>17.25</v>
      </c>
      <c r="H614" s="109">
        <f t="shared" si="27"/>
        <v>17.25</v>
      </c>
      <c r="I614" s="119"/>
      <c r="J614" s="119"/>
      <c r="K614" s="119">
        <f t="shared" si="30"/>
        <v>17.25</v>
      </c>
      <c r="L614" s="152">
        <f t="shared" si="29"/>
        <v>14.91</v>
      </c>
      <c r="M614" s="113"/>
    </row>
    <row r="615" spans="1:13" x14ac:dyDescent="0.2">
      <c r="A615" s="106" t="s">
        <v>6709</v>
      </c>
      <c r="B615" s="272" t="s">
        <v>5144</v>
      </c>
      <c r="C615" s="105" t="s">
        <v>6722</v>
      </c>
      <c r="D615" s="149" t="s">
        <v>5192</v>
      </c>
      <c r="E615" s="105">
        <v>1</v>
      </c>
      <c r="F615" s="247">
        <v>5.67</v>
      </c>
      <c r="G615" s="247">
        <v>6.75</v>
      </c>
      <c r="H615" s="109">
        <f t="shared" si="27"/>
        <v>6.75</v>
      </c>
      <c r="I615" s="119"/>
      <c r="J615" s="119"/>
      <c r="K615" s="119">
        <f t="shared" si="30"/>
        <v>6.75</v>
      </c>
      <c r="L615" s="152">
        <f t="shared" si="29"/>
        <v>5.67</v>
      </c>
      <c r="M615" s="113"/>
    </row>
    <row r="616" spans="1:13" x14ac:dyDescent="0.2">
      <c r="A616" s="106" t="s">
        <v>6709</v>
      </c>
      <c r="B616" s="272" t="s">
        <v>4129</v>
      </c>
      <c r="C616" s="105" t="s">
        <v>6722</v>
      </c>
      <c r="D616" s="149" t="s">
        <v>4130</v>
      </c>
      <c r="E616" s="105">
        <v>6</v>
      </c>
      <c r="F616" s="247">
        <v>5.25</v>
      </c>
      <c r="G616" s="247">
        <v>6</v>
      </c>
      <c r="H616" s="109">
        <f t="shared" si="27"/>
        <v>36</v>
      </c>
      <c r="I616" s="119"/>
      <c r="J616" s="119"/>
      <c r="K616" s="119">
        <f t="shared" si="30"/>
        <v>36</v>
      </c>
      <c r="L616" s="152">
        <f t="shared" si="29"/>
        <v>31.5</v>
      </c>
      <c r="M616" s="113"/>
    </row>
    <row r="617" spans="1:13" x14ac:dyDescent="0.2">
      <c r="A617" s="106" t="s">
        <v>6709</v>
      </c>
      <c r="B617" s="272" t="s">
        <v>1877</v>
      </c>
      <c r="C617" s="105" t="s">
        <v>6723</v>
      </c>
      <c r="D617" s="149" t="s">
        <v>1878</v>
      </c>
      <c r="E617" s="105">
        <v>1</v>
      </c>
      <c r="F617" s="247">
        <v>20.399999999999999</v>
      </c>
      <c r="G617" s="247">
        <v>23.5</v>
      </c>
      <c r="H617" s="109">
        <f t="shared" si="27"/>
        <v>23.5</v>
      </c>
      <c r="I617" s="119"/>
      <c r="J617" s="119"/>
      <c r="K617" s="119">
        <f t="shared" si="30"/>
        <v>23.5</v>
      </c>
      <c r="L617" s="152">
        <f t="shared" si="29"/>
        <v>20.399999999999999</v>
      </c>
      <c r="M617" s="113"/>
    </row>
    <row r="618" spans="1:13" x14ac:dyDescent="0.2">
      <c r="A618" s="106" t="s">
        <v>6709</v>
      </c>
      <c r="B618" s="272" t="s">
        <v>4368</v>
      </c>
      <c r="C618" s="105" t="s">
        <v>6723</v>
      </c>
      <c r="D618" s="149" t="s">
        <v>4432</v>
      </c>
      <c r="E618" s="105">
        <v>1</v>
      </c>
      <c r="F618" s="247">
        <v>9.27</v>
      </c>
      <c r="G618" s="247">
        <v>10.75</v>
      </c>
      <c r="H618" s="109">
        <f t="shared" si="27"/>
        <v>10.75</v>
      </c>
      <c r="I618" s="119"/>
      <c r="J618" s="119"/>
      <c r="K618" s="119">
        <f t="shared" si="30"/>
        <v>10.75</v>
      </c>
      <c r="L618" s="152">
        <f t="shared" si="29"/>
        <v>9.27</v>
      </c>
      <c r="M618" s="113"/>
    </row>
    <row r="619" spans="1:13" x14ac:dyDescent="0.2">
      <c r="A619" s="106" t="s">
        <v>6709</v>
      </c>
      <c r="B619" s="272" t="s">
        <v>1933</v>
      </c>
      <c r="C619" s="105" t="s">
        <v>6723</v>
      </c>
      <c r="D619" s="149" t="s">
        <v>1934</v>
      </c>
      <c r="E619" s="105">
        <v>1</v>
      </c>
      <c r="F619" s="247">
        <v>3.6</v>
      </c>
      <c r="G619" s="247">
        <v>4.25</v>
      </c>
      <c r="H619" s="109">
        <f t="shared" si="27"/>
        <v>4.25</v>
      </c>
      <c r="I619" s="119"/>
      <c r="J619" s="119"/>
      <c r="K619" s="119">
        <f t="shared" si="30"/>
        <v>4.25</v>
      </c>
      <c r="L619" s="152">
        <f t="shared" si="29"/>
        <v>3.6</v>
      </c>
      <c r="M619" s="113"/>
    </row>
    <row r="620" spans="1:13" x14ac:dyDescent="0.2">
      <c r="A620" s="106" t="s">
        <v>6709</v>
      </c>
      <c r="B620" s="272" t="s">
        <v>1884</v>
      </c>
      <c r="C620" s="105" t="s">
        <v>6724</v>
      </c>
      <c r="D620" s="149" t="s">
        <v>1885</v>
      </c>
      <c r="E620" s="105">
        <v>1</v>
      </c>
      <c r="F620" s="247">
        <v>7.06</v>
      </c>
      <c r="G620" s="247">
        <v>8.25</v>
      </c>
      <c r="H620" s="109">
        <f t="shared" si="27"/>
        <v>8.25</v>
      </c>
      <c r="I620" s="119"/>
      <c r="J620" s="119"/>
      <c r="K620" s="119">
        <f t="shared" si="30"/>
        <v>8.25</v>
      </c>
      <c r="L620" s="152">
        <f t="shared" si="29"/>
        <v>7.06</v>
      </c>
      <c r="M620" s="113"/>
    </row>
    <row r="621" spans="1:13" x14ac:dyDescent="0.2">
      <c r="A621" s="106" t="s">
        <v>6709</v>
      </c>
      <c r="B621" s="272" t="s">
        <v>3143</v>
      </c>
      <c r="C621" s="105" t="s">
        <v>6725</v>
      </c>
      <c r="D621" s="149" t="s">
        <v>3145</v>
      </c>
      <c r="E621" s="105">
        <v>1</v>
      </c>
      <c r="F621" s="247">
        <v>18.649999999999999</v>
      </c>
      <c r="G621" s="247">
        <v>21.5</v>
      </c>
      <c r="H621" s="109">
        <f t="shared" si="27"/>
        <v>21.5</v>
      </c>
      <c r="I621" s="119"/>
      <c r="J621" s="119"/>
      <c r="K621" s="119">
        <f t="shared" si="30"/>
        <v>21.5</v>
      </c>
      <c r="L621" s="152">
        <f t="shared" si="29"/>
        <v>18.649999999999999</v>
      </c>
      <c r="M621" s="113"/>
    </row>
    <row r="622" spans="1:13" x14ac:dyDescent="0.2">
      <c r="A622" s="106" t="s">
        <v>6709</v>
      </c>
      <c r="B622" s="272" t="s">
        <v>1806</v>
      </c>
      <c r="C622" s="105" t="s">
        <v>6726</v>
      </c>
      <c r="D622" s="149" t="s">
        <v>1807</v>
      </c>
      <c r="E622" s="105">
        <v>1</v>
      </c>
      <c r="F622" s="247">
        <v>15.65</v>
      </c>
      <c r="G622" s="247">
        <v>18</v>
      </c>
      <c r="H622" s="109">
        <f t="shared" si="27"/>
        <v>18</v>
      </c>
      <c r="I622" s="119"/>
      <c r="J622" s="119"/>
      <c r="K622" s="119">
        <f t="shared" si="30"/>
        <v>18</v>
      </c>
      <c r="L622" s="152">
        <f t="shared" si="29"/>
        <v>15.65</v>
      </c>
      <c r="M622" s="113"/>
    </row>
    <row r="623" spans="1:13" x14ac:dyDescent="0.2">
      <c r="A623" s="106" t="s">
        <v>6709</v>
      </c>
      <c r="B623" s="272" t="s">
        <v>1905</v>
      </c>
      <c r="C623" s="105" t="s">
        <v>6726</v>
      </c>
      <c r="D623" s="149" t="s">
        <v>1906</v>
      </c>
      <c r="E623" s="105">
        <v>1</v>
      </c>
      <c r="F623" s="247">
        <v>15.51</v>
      </c>
      <c r="G623" s="247">
        <v>18</v>
      </c>
      <c r="H623" s="109">
        <f t="shared" si="27"/>
        <v>18</v>
      </c>
      <c r="I623" s="119"/>
      <c r="J623" s="119"/>
      <c r="K623" s="119">
        <f t="shared" si="30"/>
        <v>18</v>
      </c>
      <c r="L623" s="152">
        <f t="shared" si="29"/>
        <v>15.51</v>
      </c>
      <c r="M623" s="113"/>
    </row>
    <row r="624" spans="1:13" x14ac:dyDescent="0.2">
      <c r="A624" s="106" t="s">
        <v>6709</v>
      </c>
      <c r="B624" s="272" t="s">
        <v>3909</v>
      </c>
      <c r="C624" s="105" t="s">
        <v>6726</v>
      </c>
      <c r="D624" s="149" t="s">
        <v>3911</v>
      </c>
      <c r="E624" s="105">
        <v>1</v>
      </c>
      <c r="F624" s="247">
        <v>7.06</v>
      </c>
      <c r="G624" s="247">
        <v>8.25</v>
      </c>
      <c r="H624" s="109">
        <f t="shared" si="27"/>
        <v>8.25</v>
      </c>
      <c r="I624" s="119"/>
      <c r="J624" s="119"/>
      <c r="K624" s="119">
        <f t="shared" si="30"/>
        <v>8.25</v>
      </c>
      <c r="L624" s="152">
        <f t="shared" si="29"/>
        <v>7.06</v>
      </c>
      <c r="M624" s="113"/>
    </row>
    <row r="625" spans="1:13" x14ac:dyDescent="0.2">
      <c r="A625" s="106" t="s">
        <v>6709</v>
      </c>
      <c r="B625" s="272" t="s">
        <v>3507</v>
      </c>
      <c r="C625" s="105" t="s">
        <v>6727</v>
      </c>
      <c r="D625" s="149" t="s">
        <v>3508</v>
      </c>
      <c r="E625" s="105">
        <v>1</v>
      </c>
      <c r="F625" s="247">
        <v>18.2</v>
      </c>
      <c r="G625" s="247">
        <v>21</v>
      </c>
      <c r="H625" s="109">
        <f t="shared" si="27"/>
        <v>21</v>
      </c>
      <c r="I625" s="119"/>
      <c r="J625" s="119"/>
      <c r="K625" s="119">
        <f t="shared" si="30"/>
        <v>21</v>
      </c>
      <c r="L625" s="152">
        <f t="shared" si="29"/>
        <v>18.2</v>
      </c>
      <c r="M625" s="113"/>
    </row>
    <row r="626" spans="1:13" x14ac:dyDescent="0.2">
      <c r="A626" s="106" t="s">
        <v>6709</v>
      </c>
      <c r="B626" s="272" t="s">
        <v>4567</v>
      </c>
      <c r="C626" s="105" t="s">
        <v>6728</v>
      </c>
      <c r="D626" s="149" t="s">
        <v>4672</v>
      </c>
      <c r="E626" s="105">
        <v>1</v>
      </c>
      <c r="F626" s="247">
        <v>7.06</v>
      </c>
      <c r="G626" s="247">
        <v>8.25</v>
      </c>
      <c r="H626" s="109">
        <f t="shared" si="27"/>
        <v>8.25</v>
      </c>
      <c r="I626" s="119"/>
      <c r="J626" s="119"/>
      <c r="K626" s="119">
        <f t="shared" si="30"/>
        <v>8.25</v>
      </c>
      <c r="L626" s="152">
        <f t="shared" si="29"/>
        <v>7.06</v>
      </c>
      <c r="M626" s="113"/>
    </row>
    <row r="627" spans="1:13" x14ac:dyDescent="0.2">
      <c r="A627" s="106" t="s">
        <v>6709</v>
      </c>
      <c r="B627" s="272" t="s">
        <v>2671</v>
      </c>
      <c r="C627" s="105" t="s">
        <v>6729</v>
      </c>
      <c r="D627" s="149" t="s">
        <v>2673</v>
      </c>
      <c r="E627" s="105">
        <v>1</v>
      </c>
      <c r="F627" s="247">
        <v>18.2</v>
      </c>
      <c r="G627" s="247">
        <v>21</v>
      </c>
      <c r="H627" s="109">
        <f t="shared" si="27"/>
        <v>21</v>
      </c>
      <c r="I627" s="119"/>
      <c r="J627" s="119"/>
      <c r="K627" s="119">
        <f t="shared" si="30"/>
        <v>21</v>
      </c>
      <c r="L627" s="152">
        <f t="shared" si="29"/>
        <v>18.2</v>
      </c>
      <c r="M627" s="113"/>
    </row>
    <row r="628" spans="1:13" x14ac:dyDescent="0.2">
      <c r="A628" s="106" t="s">
        <v>6709</v>
      </c>
      <c r="B628" s="272" t="s">
        <v>4567</v>
      </c>
      <c r="C628" s="105" t="s">
        <v>6730</v>
      </c>
      <c r="D628" s="149" t="s">
        <v>4672</v>
      </c>
      <c r="E628" s="105">
        <v>1</v>
      </c>
      <c r="F628" s="247">
        <v>7.06</v>
      </c>
      <c r="G628" s="247">
        <v>8.25</v>
      </c>
      <c r="H628" s="109">
        <f t="shared" si="27"/>
        <v>8.25</v>
      </c>
      <c r="I628" s="119"/>
      <c r="J628" s="119"/>
      <c r="K628" s="119">
        <f t="shared" si="30"/>
        <v>8.25</v>
      </c>
      <c r="L628" s="152">
        <f t="shared" si="29"/>
        <v>7.06</v>
      </c>
      <c r="M628" s="113"/>
    </row>
    <row r="629" spans="1:13" x14ac:dyDescent="0.2">
      <c r="A629" s="106" t="s">
        <v>6709</v>
      </c>
      <c r="B629" s="272" t="s">
        <v>6311</v>
      </c>
      <c r="C629" s="105" t="s">
        <v>6731</v>
      </c>
      <c r="D629" s="149" t="s">
        <v>6652</v>
      </c>
      <c r="E629" s="105">
        <v>1</v>
      </c>
      <c r="F629" s="247">
        <v>24.04</v>
      </c>
      <c r="G629" s="247">
        <v>27.75</v>
      </c>
      <c r="H629" s="109">
        <f t="shared" si="27"/>
        <v>27.75</v>
      </c>
      <c r="I629" s="119"/>
      <c r="J629" s="119"/>
      <c r="K629" s="119">
        <f t="shared" si="30"/>
        <v>27.75</v>
      </c>
      <c r="L629" s="152">
        <f t="shared" si="29"/>
        <v>24.04</v>
      </c>
      <c r="M629" s="113"/>
    </row>
    <row r="630" spans="1:13" x14ac:dyDescent="0.2">
      <c r="A630" s="106" t="s">
        <v>6709</v>
      </c>
      <c r="B630" s="272" t="s">
        <v>2702</v>
      </c>
      <c r="C630" s="105" t="s">
        <v>6732</v>
      </c>
      <c r="D630" s="149" t="s">
        <v>2703</v>
      </c>
      <c r="E630" s="105">
        <v>1</v>
      </c>
      <c r="F630" s="247">
        <v>51.5</v>
      </c>
      <c r="G630" s="247">
        <v>59.25</v>
      </c>
      <c r="H630" s="109">
        <f t="shared" si="27"/>
        <v>59.25</v>
      </c>
      <c r="I630" s="119"/>
      <c r="J630" s="119"/>
      <c r="K630" s="119">
        <f t="shared" si="30"/>
        <v>59.25</v>
      </c>
      <c r="L630" s="152">
        <f t="shared" si="29"/>
        <v>51.5</v>
      </c>
      <c r="M630" s="113"/>
    </row>
    <row r="631" spans="1:13" x14ac:dyDescent="0.2">
      <c r="A631" s="106" t="s">
        <v>6709</v>
      </c>
      <c r="B631" s="272" t="s">
        <v>3309</v>
      </c>
      <c r="C631" s="105" t="s">
        <v>6732</v>
      </c>
      <c r="D631" s="149" t="s">
        <v>3310</v>
      </c>
      <c r="E631" s="105">
        <v>1</v>
      </c>
      <c r="F631" s="247">
        <v>50.8</v>
      </c>
      <c r="G631" s="247">
        <v>58.5</v>
      </c>
      <c r="H631" s="109">
        <f t="shared" si="27"/>
        <v>58.5</v>
      </c>
      <c r="I631" s="119"/>
      <c r="J631" s="119"/>
      <c r="K631" s="119">
        <f t="shared" si="30"/>
        <v>58.5</v>
      </c>
      <c r="L631" s="152">
        <f t="shared" si="29"/>
        <v>50.8</v>
      </c>
      <c r="M631" s="113"/>
    </row>
    <row r="632" spans="1:13" x14ac:dyDescent="0.2">
      <c r="A632" s="106" t="s">
        <v>6709</v>
      </c>
      <c r="B632" s="272" t="s">
        <v>3942</v>
      </c>
      <c r="C632" s="105" t="s">
        <v>6733</v>
      </c>
      <c r="D632" s="149" t="s">
        <v>3943</v>
      </c>
      <c r="E632" s="105">
        <v>1</v>
      </c>
      <c r="F632" s="247">
        <v>30.04</v>
      </c>
      <c r="G632" s="247">
        <v>34.75</v>
      </c>
      <c r="H632" s="109">
        <f t="shared" si="27"/>
        <v>34.75</v>
      </c>
      <c r="I632" s="119"/>
      <c r="J632" s="119"/>
      <c r="K632" s="119">
        <f t="shared" si="30"/>
        <v>34.75</v>
      </c>
      <c r="L632" s="152">
        <f t="shared" si="29"/>
        <v>30.04</v>
      </c>
      <c r="M632" s="113"/>
    </row>
    <row r="633" spans="1:13" x14ac:dyDescent="0.2">
      <c r="A633" s="106" t="s">
        <v>6709</v>
      </c>
      <c r="B633" s="272" t="s">
        <v>4184</v>
      </c>
      <c r="C633" s="105" t="s">
        <v>6733</v>
      </c>
      <c r="D633" s="149" t="s">
        <v>4185</v>
      </c>
      <c r="E633" s="105">
        <v>1</v>
      </c>
      <c r="F633" s="247">
        <v>57.4</v>
      </c>
      <c r="G633" s="247">
        <v>66</v>
      </c>
      <c r="H633" s="109">
        <f t="shared" si="27"/>
        <v>66</v>
      </c>
      <c r="I633" s="119"/>
      <c r="J633" s="119"/>
      <c r="K633" s="119">
        <f t="shared" si="30"/>
        <v>66</v>
      </c>
      <c r="L633" s="152">
        <f t="shared" si="29"/>
        <v>57.4</v>
      </c>
      <c r="M633" s="113"/>
    </row>
    <row r="634" spans="1:13" x14ac:dyDescent="0.2">
      <c r="A634" s="106" t="s">
        <v>6709</v>
      </c>
      <c r="B634" s="272" t="s">
        <v>2146</v>
      </c>
      <c r="C634" s="105" t="s">
        <v>6733</v>
      </c>
      <c r="D634" s="149" t="s">
        <v>2147</v>
      </c>
      <c r="E634" s="105">
        <v>3</v>
      </c>
      <c r="F634" s="247">
        <v>13.2</v>
      </c>
      <c r="G634" s="247">
        <v>16</v>
      </c>
      <c r="H634" s="109">
        <f t="shared" si="27"/>
        <v>48</v>
      </c>
      <c r="I634" s="119"/>
      <c r="J634" s="119"/>
      <c r="K634" s="119">
        <f t="shared" si="30"/>
        <v>48</v>
      </c>
      <c r="L634" s="152">
        <f t="shared" si="29"/>
        <v>39.599999999999994</v>
      </c>
      <c r="M634" s="113"/>
    </row>
    <row r="635" spans="1:13" x14ac:dyDescent="0.2">
      <c r="A635" s="106" t="s">
        <v>6709</v>
      </c>
      <c r="B635" s="272" t="s">
        <v>3909</v>
      </c>
      <c r="C635" s="105" t="s">
        <v>6733</v>
      </c>
      <c r="D635" s="149" t="s">
        <v>3911</v>
      </c>
      <c r="E635" s="105">
        <v>4</v>
      </c>
      <c r="F635" s="247">
        <v>7.06</v>
      </c>
      <c r="G635" s="247">
        <v>8.25</v>
      </c>
      <c r="H635" s="109">
        <f t="shared" si="27"/>
        <v>33</v>
      </c>
      <c r="I635" s="119"/>
      <c r="J635" s="119"/>
      <c r="K635" s="119">
        <f t="shared" si="30"/>
        <v>33</v>
      </c>
      <c r="L635" s="152">
        <f t="shared" si="29"/>
        <v>28.24</v>
      </c>
      <c r="M635" s="113"/>
    </row>
    <row r="636" spans="1:13" x14ac:dyDescent="0.2">
      <c r="A636" s="106" t="s">
        <v>6709</v>
      </c>
      <c r="B636" s="272" t="s">
        <v>3314</v>
      </c>
      <c r="C636" s="105" t="s">
        <v>6733</v>
      </c>
      <c r="D636" s="149" t="s">
        <v>3316</v>
      </c>
      <c r="E636" s="105">
        <v>1</v>
      </c>
      <c r="F636" s="247">
        <v>16.579999999999998</v>
      </c>
      <c r="G636" s="247">
        <v>19</v>
      </c>
      <c r="H636" s="109">
        <f t="shared" si="27"/>
        <v>19</v>
      </c>
      <c r="I636" s="119"/>
      <c r="J636" s="119"/>
      <c r="K636" s="119">
        <f t="shared" si="30"/>
        <v>19</v>
      </c>
      <c r="L636" s="152">
        <f t="shared" si="29"/>
        <v>16.579999999999998</v>
      </c>
      <c r="M636" s="113"/>
    </row>
    <row r="637" spans="1:13" x14ac:dyDescent="0.2">
      <c r="A637" s="106" t="s">
        <v>6709</v>
      </c>
      <c r="B637" s="272" t="s">
        <v>2805</v>
      </c>
      <c r="C637" s="105" t="s">
        <v>6734</v>
      </c>
      <c r="D637" s="149" t="s">
        <v>2806</v>
      </c>
      <c r="E637" s="105">
        <v>1</v>
      </c>
      <c r="F637" s="247">
        <v>55.8</v>
      </c>
      <c r="G637" s="247">
        <v>64.25</v>
      </c>
      <c r="H637" s="109">
        <f t="shared" si="27"/>
        <v>64.25</v>
      </c>
      <c r="I637" s="119"/>
      <c r="J637" s="119"/>
      <c r="K637" s="119">
        <f t="shared" si="30"/>
        <v>64.25</v>
      </c>
      <c r="L637" s="152">
        <f t="shared" si="29"/>
        <v>55.8</v>
      </c>
      <c r="M637" s="113"/>
    </row>
    <row r="638" spans="1:13" x14ac:dyDescent="0.2">
      <c r="A638" s="106" t="s">
        <v>6709</v>
      </c>
      <c r="B638" s="272" t="s">
        <v>5687</v>
      </c>
      <c r="C638" s="105" t="s">
        <v>6734</v>
      </c>
      <c r="D638" s="149" t="s">
        <v>5825</v>
      </c>
      <c r="E638" s="105">
        <v>1</v>
      </c>
      <c r="F638" s="247">
        <v>310</v>
      </c>
      <c r="G638" s="247">
        <v>372</v>
      </c>
      <c r="H638" s="109">
        <f t="shared" si="27"/>
        <v>372</v>
      </c>
      <c r="I638" s="119"/>
      <c r="J638" s="119"/>
      <c r="K638" s="119">
        <f t="shared" si="30"/>
        <v>372</v>
      </c>
      <c r="L638" s="152">
        <f t="shared" si="29"/>
        <v>310</v>
      </c>
      <c r="M638" s="113"/>
    </row>
    <row r="639" spans="1:13" x14ac:dyDescent="0.2">
      <c r="A639" s="106" t="s">
        <v>6709</v>
      </c>
      <c r="B639" s="272" t="s">
        <v>6362</v>
      </c>
      <c r="C639" s="105" t="s">
        <v>6734</v>
      </c>
      <c r="D639" s="149" t="s">
        <v>6704</v>
      </c>
      <c r="E639" s="105">
        <v>1</v>
      </c>
      <c r="F639" s="247">
        <v>41.67</v>
      </c>
      <c r="G639" s="247">
        <v>50</v>
      </c>
      <c r="H639" s="109">
        <f t="shared" si="27"/>
        <v>50</v>
      </c>
      <c r="I639" s="119"/>
      <c r="J639" s="119"/>
      <c r="K639" s="119">
        <f t="shared" si="30"/>
        <v>50</v>
      </c>
      <c r="L639" s="152">
        <f t="shared" si="29"/>
        <v>41.67</v>
      </c>
      <c r="M639" s="113"/>
    </row>
    <row r="640" spans="1:13" x14ac:dyDescent="0.2">
      <c r="A640" s="106" t="s">
        <v>6709</v>
      </c>
      <c r="B640" s="272" t="s">
        <v>3326</v>
      </c>
      <c r="C640" s="105" t="s">
        <v>6734</v>
      </c>
      <c r="D640" s="149" t="s">
        <v>3327</v>
      </c>
      <c r="E640" s="105">
        <v>12</v>
      </c>
      <c r="F640" s="247">
        <v>6.12</v>
      </c>
      <c r="G640" s="247">
        <v>7.25</v>
      </c>
      <c r="H640" s="109">
        <f t="shared" si="27"/>
        <v>87</v>
      </c>
      <c r="I640" s="119"/>
      <c r="J640" s="119"/>
      <c r="K640" s="119">
        <f t="shared" si="30"/>
        <v>87</v>
      </c>
      <c r="L640" s="152">
        <f t="shared" si="29"/>
        <v>73.44</v>
      </c>
      <c r="M640" s="113"/>
    </row>
    <row r="641" spans="1:13" x14ac:dyDescent="0.2">
      <c r="A641" s="106" t="s">
        <v>6709</v>
      </c>
      <c r="B641" s="272" t="s">
        <v>2581</v>
      </c>
      <c r="C641" s="105" t="s">
        <v>6734</v>
      </c>
      <c r="D641" s="149" t="s">
        <v>2583</v>
      </c>
      <c r="E641" s="105">
        <v>12</v>
      </c>
      <c r="F641" s="247">
        <v>6.12</v>
      </c>
      <c r="G641" s="247">
        <v>7.25</v>
      </c>
      <c r="H641" s="109">
        <f t="shared" si="27"/>
        <v>87</v>
      </c>
      <c r="I641" s="119"/>
      <c r="J641" s="119"/>
      <c r="K641" s="119">
        <f t="shared" si="30"/>
        <v>87</v>
      </c>
      <c r="L641" s="152">
        <f t="shared" si="29"/>
        <v>73.44</v>
      </c>
      <c r="M641" s="113"/>
    </row>
    <row r="642" spans="1:13" x14ac:dyDescent="0.2">
      <c r="A642" s="106" t="s">
        <v>6709</v>
      </c>
      <c r="B642" s="272" t="s">
        <v>2298</v>
      </c>
      <c r="C642" s="105" t="s">
        <v>6734</v>
      </c>
      <c r="D642" s="149" t="s">
        <v>2299</v>
      </c>
      <c r="E642" s="105">
        <v>2</v>
      </c>
      <c r="F642" s="247">
        <v>21.84</v>
      </c>
      <c r="G642" s="247">
        <v>25.25</v>
      </c>
      <c r="H642" s="109">
        <f t="shared" si="27"/>
        <v>50.5</v>
      </c>
      <c r="I642" s="119"/>
      <c r="J642" s="119"/>
      <c r="K642" s="119">
        <f t="shared" si="30"/>
        <v>50.5</v>
      </c>
      <c r="L642" s="152">
        <f t="shared" si="29"/>
        <v>43.68</v>
      </c>
      <c r="M642" s="113"/>
    </row>
    <row r="643" spans="1:13" x14ac:dyDescent="0.2">
      <c r="A643" s="106" t="s">
        <v>6709</v>
      </c>
      <c r="B643" s="272" t="s">
        <v>3457</v>
      </c>
      <c r="C643" s="105" t="s">
        <v>6734</v>
      </c>
      <c r="D643" s="149" t="s">
        <v>3458</v>
      </c>
      <c r="E643" s="105">
        <v>2</v>
      </c>
      <c r="F643" s="247">
        <v>51.97</v>
      </c>
      <c r="G643" s="247">
        <v>60</v>
      </c>
      <c r="H643" s="109">
        <f t="shared" si="27"/>
        <v>120</v>
      </c>
      <c r="I643" s="119"/>
      <c r="J643" s="119"/>
      <c r="K643" s="119">
        <f t="shared" si="30"/>
        <v>120</v>
      </c>
      <c r="L643" s="152">
        <f t="shared" si="29"/>
        <v>103.94</v>
      </c>
      <c r="M643" s="113"/>
    </row>
    <row r="644" spans="1:13" x14ac:dyDescent="0.2">
      <c r="A644" s="106" t="s">
        <v>6709</v>
      </c>
      <c r="B644" s="272" t="s">
        <v>2162</v>
      </c>
      <c r="C644" s="105" t="s">
        <v>6735</v>
      </c>
      <c r="D644" s="149" t="s">
        <v>2163</v>
      </c>
      <c r="E644" s="105">
        <v>2</v>
      </c>
      <c r="F644" s="247">
        <v>67.290000000000006</v>
      </c>
      <c r="G644" s="247">
        <v>77.5</v>
      </c>
      <c r="H644" s="109">
        <f t="shared" si="27"/>
        <v>155</v>
      </c>
      <c r="I644" s="119"/>
      <c r="J644" s="119"/>
      <c r="K644" s="119">
        <f t="shared" si="30"/>
        <v>155</v>
      </c>
      <c r="L644" s="152">
        <f t="shared" si="29"/>
        <v>134.58000000000001</v>
      </c>
      <c r="M644" s="113"/>
    </row>
    <row r="645" spans="1:13" x14ac:dyDescent="0.2">
      <c r="A645" s="106" t="s">
        <v>6709</v>
      </c>
      <c r="B645" s="272" t="s">
        <v>2809</v>
      </c>
      <c r="C645" s="105" t="s">
        <v>6735</v>
      </c>
      <c r="D645" s="149" t="s">
        <v>2810</v>
      </c>
      <c r="E645" s="105">
        <v>1</v>
      </c>
      <c r="F645" s="247">
        <v>53.81</v>
      </c>
      <c r="G645" s="247">
        <v>62</v>
      </c>
      <c r="H645" s="109">
        <f t="shared" si="27"/>
        <v>62</v>
      </c>
      <c r="I645" s="119"/>
      <c r="J645" s="119"/>
      <c r="K645" s="119">
        <f t="shared" si="30"/>
        <v>62</v>
      </c>
      <c r="L645" s="152">
        <f t="shared" si="29"/>
        <v>53.81</v>
      </c>
      <c r="M645" s="113"/>
    </row>
    <row r="646" spans="1:13" x14ac:dyDescent="0.2">
      <c r="A646" s="106" t="s">
        <v>6709</v>
      </c>
      <c r="B646" s="272" t="s">
        <v>5871</v>
      </c>
      <c r="C646" s="105" t="s">
        <v>6736</v>
      </c>
      <c r="D646" s="149" t="s">
        <v>5964</v>
      </c>
      <c r="E646" s="105">
        <v>50</v>
      </c>
      <c r="F646" s="247">
        <v>2.76</v>
      </c>
      <c r="G646" s="247">
        <v>3.5</v>
      </c>
      <c r="H646" s="109">
        <f t="shared" ref="H646:H709" si="31">E646*G646</f>
        <v>175</v>
      </c>
      <c r="I646" s="119"/>
      <c r="J646" s="119"/>
      <c r="K646" s="119">
        <f t="shared" si="30"/>
        <v>175</v>
      </c>
      <c r="L646" s="152">
        <f t="shared" si="29"/>
        <v>138</v>
      </c>
      <c r="M646" s="113"/>
    </row>
    <row r="647" spans="1:13" x14ac:dyDescent="0.2">
      <c r="A647" s="106" t="s">
        <v>6709</v>
      </c>
      <c r="B647" s="272" t="s">
        <v>2481</v>
      </c>
      <c r="C647" s="105" t="s">
        <v>6736</v>
      </c>
      <c r="D647" s="149" t="s">
        <v>2482</v>
      </c>
      <c r="E647" s="105">
        <v>1</v>
      </c>
      <c r="F647" s="247">
        <v>759.99</v>
      </c>
      <c r="G647" s="247">
        <v>874</v>
      </c>
      <c r="H647" s="109">
        <f t="shared" si="31"/>
        <v>874</v>
      </c>
      <c r="I647" s="119"/>
      <c r="J647" s="119"/>
      <c r="K647" s="119">
        <f t="shared" ref="K647:K710" si="32">H647+I647-J647</f>
        <v>874</v>
      </c>
      <c r="L647" s="152">
        <f t="shared" ref="L647:L710" si="33">E647*F647</f>
        <v>759.99</v>
      </c>
      <c r="M647" s="113"/>
    </row>
    <row r="648" spans="1:13" x14ac:dyDescent="0.2">
      <c r="A648" s="106" t="s">
        <v>6709</v>
      </c>
      <c r="B648" s="272" t="s">
        <v>3195</v>
      </c>
      <c r="C648" s="105" t="s">
        <v>6736</v>
      </c>
      <c r="D648" s="149" t="s">
        <v>3196</v>
      </c>
      <c r="E648" s="105">
        <v>1</v>
      </c>
      <c r="F648" s="247">
        <v>64.58</v>
      </c>
      <c r="G648" s="247">
        <v>74.5</v>
      </c>
      <c r="H648" s="109">
        <f t="shared" si="31"/>
        <v>74.5</v>
      </c>
      <c r="I648" s="119"/>
      <c r="J648" s="119"/>
      <c r="K648" s="119">
        <f t="shared" si="32"/>
        <v>74.5</v>
      </c>
      <c r="L648" s="152">
        <f t="shared" si="33"/>
        <v>64.58</v>
      </c>
      <c r="M648" s="113"/>
    </row>
    <row r="649" spans="1:13" x14ac:dyDescent="0.2">
      <c r="A649" s="106" t="s">
        <v>6709</v>
      </c>
      <c r="B649" s="272" t="s">
        <v>5978</v>
      </c>
      <c r="C649" s="105" t="s">
        <v>6736</v>
      </c>
      <c r="D649" s="149" t="s">
        <v>6096</v>
      </c>
      <c r="E649" s="105">
        <v>110</v>
      </c>
      <c r="F649" s="247">
        <v>1.29</v>
      </c>
      <c r="G649" s="247">
        <v>1.55</v>
      </c>
      <c r="H649" s="109">
        <f t="shared" si="31"/>
        <v>170.5</v>
      </c>
      <c r="I649" s="119"/>
      <c r="J649" s="119"/>
      <c r="K649" s="119">
        <f t="shared" si="32"/>
        <v>170.5</v>
      </c>
      <c r="L649" s="152">
        <f t="shared" si="33"/>
        <v>141.9</v>
      </c>
      <c r="M649" s="113"/>
    </row>
    <row r="650" spans="1:13" x14ac:dyDescent="0.2">
      <c r="A650" s="106" t="s">
        <v>6709</v>
      </c>
      <c r="B650" s="272" t="s">
        <v>3457</v>
      </c>
      <c r="C650" s="105" t="s">
        <v>6736</v>
      </c>
      <c r="D650" s="149" t="s">
        <v>3458</v>
      </c>
      <c r="E650" s="105">
        <v>4</v>
      </c>
      <c r="F650" s="247">
        <v>51.97</v>
      </c>
      <c r="G650" s="247">
        <v>60</v>
      </c>
      <c r="H650" s="109">
        <f t="shared" si="31"/>
        <v>240</v>
      </c>
      <c r="I650" s="119"/>
      <c r="J650" s="119"/>
      <c r="K650" s="119">
        <f t="shared" si="32"/>
        <v>240</v>
      </c>
      <c r="L650" s="152">
        <f t="shared" si="33"/>
        <v>207.88</v>
      </c>
      <c r="M650" s="113"/>
    </row>
    <row r="651" spans="1:13" x14ac:dyDescent="0.2">
      <c r="A651" s="106" t="s">
        <v>6709</v>
      </c>
      <c r="B651" s="272" t="s">
        <v>2665</v>
      </c>
      <c r="C651" s="105" t="s">
        <v>6736</v>
      </c>
      <c r="D651" s="149" t="s">
        <v>2667</v>
      </c>
      <c r="E651" s="105">
        <v>1</v>
      </c>
      <c r="F651" s="247">
        <v>18.57</v>
      </c>
      <c r="G651" s="247">
        <v>21.75</v>
      </c>
      <c r="H651" s="109">
        <f t="shared" si="31"/>
        <v>21.75</v>
      </c>
      <c r="I651" s="119"/>
      <c r="J651" s="119"/>
      <c r="K651" s="119">
        <f t="shared" si="32"/>
        <v>21.75</v>
      </c>
      <c r="L651" s="152">
        <f t="shared" si="33"/>
        <v>18.57</v>
      </c>
      <c r="M651" s="113"/>
    </row>
    <row r="652" spans="1:13" x14ac:dyDescent="0.2">
      <c r="A652" s="106" t="s">
        <v>6709</v>
      </c>
      <c r="B652" s="272" t="s">
        <v>5498</v>
      </c>
      <c r="C652" s="105" t="s">
        <v>6736</v>
      </c>
      <c r="D652" s="149" t="s">
        <v>5574</v>
      </c>
      <c r="E652" s="105">
        <v>1</v>
      </c>
      <c r="F652" s="247">
        <v>110.5</v>
      </c>
      <c r="G652" s="247">
        <v>127.75</v>
      </c>
      <c r="H652" s="109">
        <f t="shared" si="31"/>
        <v>127.75</v>
      </c>
      <c r="I652" s="119"/>
      <c r="J652" s="119"/>
      <c r="K652" s="119">
        <f t="shared" si="32"/>
        <v>127.75</v>
      </c>
      <c r="L652" s="152">
        <f t="shared" si="33"/>
        <v>110.5</v>
      </c>
      <c r="M652" s="113"/>
    </row>
    <row r="653" spans="1:13" x14ac:dyDescent="0.2">
      <c r="A653" s="106" t="s">
        <v>6709</v>
      </c>
      <c r="B653" s="272" t="s">
        <v>3765</v>
      </c>
      <c r="C653" s="105" t="s">
        <v>6736</v>
      </c>
      <c r="D653" s="149" t="s">
        <v>3766</v>
      </c>
      <c r="E653" s="105">
        <v>4</v>
      </c>
      <c r="F653" s="247">
        <v>68.569999999999993</v>
      </c>
      <c r="G653" s="247">
        <v>79</v>
      </c>
      <c r="H653" s="109">
        <f t="shared" si="31"/>
        <v>316</v>
      </c>
      <c r="I653" s="119"/>
      <c r="J653" s="119"/>
      <c r="K653" s="119">
        <f t="shared" si="32"/>
        <v>316</v>
      </c>
      <c r="L653" s="152">
        <f t="shared" si="33"/>
        <v>274.27999999999997</v>
      </c>
      <c r="M653" s="113"/>
    </row>
    <row r="654" spans="1:13" x14ac:dyDescent="0.2">
      <c r="A654" s="106" t="s">
        <v>6709</v>
      </c>
      <c r="B654" s="272" t="s">
        <v>2245</v>
      </c>
      <c r="C654" s="105" t="s">
        <v>6736</v>
      </c>
      <c r="D654" s="149" t="s">
        <v>2246</v>
      </c>
      <c r="E654" s="105">
        <v>48</v>
      </c>
      <c r="F654" s="247">
        <v>4.74</v>
      </c>
      <c r="G654" s="247">
        <v>5.5</v>
      </c>
      <c r="H654" s="109">
        <f t="shared" si="31"/>
        <v>264</v>
      </c>
      <c r="I654" s="119"/>
      <c r="J654" s="119"/>
      <c r="K654" s="119">
        <f t="shared" si="32"/>
        <v>264</v>
      </c>
      <c r="L654" s="152">
        <f t="shared" si="33"/>
        <v>227.52</v>
      </c>
      <c r="M654" s="113"/>
    </row>
    <row r="655" spans="1:13" x14ac:dyDescent="0.2">
      <c r="A655" s="106" t="s">
        <v>6709</v>
      </c>
      <c r="B655" s="272" t="s">
        <v>3158</v>
      </c>
      <c r="C655" s="105" t="s">
        <v>6736</v>
      </c>
      <c r="D655" s="149" t="s">
        <v>3159</v>
      </c>
      <c r="E655" s="105">
        <v>1</v>
      </c>
      <c r="F655" s="248">
        <v>1160.3499999999999</v>
      </c>
      <c r="G655" s="248">
        <v>1334.5</v>
      </c>
      <c r="H655" s="109">
        <f t="shared" si="31"/>
        <v>1334.5</v>
      </c>
      <c r="I655" s="119"/>
      <c r="J655" s="119"/>
      <c r="K655" s="119">
        <f t="shared" si="32"/>
        <v>1334.5</v>
      </c>
      <c r="L655" s="152">
        <f t="shared" si="33"/>
        <v>1160.3499999999999</v>
      </c>
      <c r="M655" s="113"/>
    </row>
    <row r="656" spans="1:13" x14ac:dyDescent="0.2">
      <c r="A656" s="106" t="s">
        <v>6709</v>
      </c>
      <c r="B656" s="272" t="s">
        <v>3043</v>
      </c>
      <c r="C656" s="105" t="s">
        <v>6736</v>
      </c>
      <c r="D656" s="149" t="s">
        <v>3044</v>
      </c>
      <c r="E656" s="105">
        <v>1</v>
      </c>
      <c r="F656" s="247">
        <v>309.11</v>
      </c>
      <c r="G656" s="247">
        <v>355.5</v>
      </c>
      <c r="H656" s="109">
        <f t="shared" si="31"/>
        <v>355.5</v>
      </c>
      <c r="I656" s="119"/>
      <c r="J656" s="119"/>
      <c r="K656" s="119">
        <f t="shared" si="32"/>
        <v>355.5</v>
      </c>
      <c r="L656" s="152">
        <f t="shared" si="33"/>
        <v>309.11</v>
      </c>
      <c r="M656" s="113"/>
    </row>
    <row r="657" spans="1:13" x14ac:dyDescent="0.2">
      <c r="A657" s="106" t="s">
        <v>6709</v>
      </c>
      <c r="B657" s="272" t="s">
        <v>2476</v>
      </c>
      <c r="C657" s="105" t="s">
        <v>6736</v>
      </c>
      <c r="D657" s="149" t="s">
        <v>2478</v>
      </c>
      <c r="E657" s="105">
        <v>1</v>
      </c>
      <c r="F657" s="247">
        <v>41.25</v>
      </c>
      <c r="G657" s="247">
        <v>48.75</v>
      </c>
      <c r="H657" s="109">
        <f t="shared" si="31"/>
        <v>48.75</v>
      </c>
      <c r="I657" s="119"/>
      <c r="J657" s="119"/>
      <c r="K657" s="119">
        <f t="shared" si="32"/>
        <v>48.75</v>
      </c>
      <c r="L657" s="152">
        <f t="shared" si="33"/>
        <v>41.25</v>
      </c>
      <c r="M657" s="113"/>
    </row>
    <row r="658" spans="1:13" x14ac:dyDescent="0.2">
      <c r="A658" s="106" t="s">
        <v>6709</v>
      </c>
      <c r="B658" s="272" t="s">
        <v>2301</v>
      </c>
      <c r="C658" s="105" t="s">
        <v>6736</v>
      </c>
      <c r="D658" s="149" t="s">
        <v>2302</v>
      </c>
      <c r="E658" s="105">
        <v>2</v>
      </c>
      <c r="F658" s="247">
        <v>132.80000000000001</v>
      </c>
      <c r="G658" s="247">
        <v>152.75</v>
      </c>
      <c r="H658" s="109">
        <f t="shared" si="31"/>
        <v>305.5</v>
      </c>
      <c r="I658" s="119"/>
      <c r="J658" s="119"/>
      <c r="K658" s="119">
        <f t="shared" si="32"/>
        <v>305.5</v>
      </c>
      <c r="L658" s="152">
        <f t="shared" si="33"/>
        <v>265.60000000000002</v>
      </c>
      <c r="M658" s="113"/>
    </row>
    <row r="659" spans="1:13" x14ac:dyDescent="0.2">
      <c r="A659" s="106" t="s">
        <v>6709</v>
      </c>
      <c r="B659" s="272" t="s">
        <v>2581</v>
      </c>
      <c r="C659" s="105" t="s">
        <v>6736</v>
      </c>
      <c r="D659" s="149" t="s">
        <v>2583</v>
      </c>
      <c r="E659" s="105">
        <v>71</v>
      </c>
      <c r="F659" s="247">
        <v>6.12</v>
      </c>
      <c r="G659" s="247">
        <v>7.25</v>
      </c>
      <c r="H659" s="109">
        <f t="shared" si="31"/>
        <v>514.75</v>
      </c>
      <c r="I659" s="119"/>
      <c r="J659" s="119"/>
      <c r="K659" s="119">
        <f t="shared" si="32"/>
        <v>514.75</v>
      </c>
      <c r="L659" s="152">
        <f t="shared" si="33"/>
        <v>434.52</v>
      </c>
      <c r="M659" s="113"/>
    </row>
    <row r="660" spans="1:13" x14ac:dyDescent="0.2">
      <c r="A660" s="106" t="s">
        <v>6709</v>
      </c>
      <c r="B660" s="272" t="s">
        <v>3047</v>
      </c>
      <c r="C660" s="105" t="s">
        <v>6736</v>
      </c>
      <c r="D660" s="149" t="s">
        <v>3048</v>
      </c>
      <c r="E660" s="105">
        <v>4</v>
      </c>
      <c r="F660" s="247">
        <v>37.47</v>
      </c>
      <c r="G660" s="247">
        <v>43.25</v>
      </c>
      <c r="H660" s="109">
        <f t="shared" si="31"/>
        <v>173</v>
      </c>
      <c r="I660" s="119"/>
      <c r="J660" s="119"/>
      <c r="K660" s="119">
        <f t="shared" si="32"/>
        <v>173</v>
      </c>
      <c r="L660" s="152">
        <f t="shared" si="33"/>
        <v>149.88</v>
      </c>
      <c r="M660" s="113"/>
    </row>
    <row r="661" spans="1:13" x14ac:dyDescent="0.2">
      <c r="A661" s="106" t="s">
        <v>6709</v>
      </c>
      <c r="B661" s="272" t="s">
        <v>2298</v>
      </c>
      <c r="C661" s="105" t="s">
        <v>6736</v>
      </c>
      <c r="D661" s="149" t="s">
        <v>2299</v>
      </c>
      <c r="E661" s="105">
        <v>4</v>
      </c>
      <c r="F661" s="247">
        <v>21.84</v>
      </c>
      <c r="G661" s="247">
        <v>25.25</v>
      </c>
      <c r="H661" s="109">
        <f t="shared" si="31"/>
        <v>101</v>
      </c>
      <c r="I661" s="119"/>
      <c r="J661" s="119"/>
      <c r="K661" s="119">
        <f t="shared" si="32"/>
        <v>101</v>
      </c>
      <c r="L661" s="152">
        <f t="shared" si="33"/>
        <v>87.36</v>
      </c>
      <c r="M661" s="113"/>
    </row>
    <row r="662" spans="1:13" x14ac:dyDescent="0.2">
      <c r="A662" s="106" t="s">
        <v>6709</v>
      </c>
      <c r="B662" s="272" t="s">
        <v>5698</v>
      </c>
      <c r="C662" s="105" t="s">
        <v>6736</v>
      </c>
      <c r="D662" s="149" t="s">
        <v>5836</v>
      </c>
      <c r="E662" s="105">
        <v>50</v>
      </c>
      <c r="F662" s="247">
        <v>3.81</v>
      </c>
      <c r="G662" s="247">
        <v>4.75</v>
      </c>
      <c r="H662" s="109">
        <f t="shared" si="31"/>
        <v>237.5</v>
      </c>
      <c r="I662" s="119"/>
      <c r="J662" s="119"/>
      <c r="K662" s="119">
        <f t="shared" si="32"/>
        <v>237.5</v>
      </c>
      <c r="L662" s="152">
        <f t="shared" si="33"/>
        <v>190.5</v>
      </c>
      <c r="M662" s="113"/>
    </row>
    <row r="663" spans="1:13" x14ac:dyDescent="0.2">
      <c r="A663" s="106" t="s">
        <v>6709</v>
      </c>
      <c r="B663" s="272" t="s">
        <v>5686</v>
      </c>
      <c r="C663" s="105" t="s">
        <v>6737</v>
      </c>
      <c r="D663" s="149" t="s">
        <v>5824</v>
      </c>
      <c r="E663" s="105">
        <v>1</v>
      </c>
      <c r="F663" s="247">
        <v>12.17</v>
      </c>
      <c r="G663" s="247">
        <v>14.75</v>
      </c>
      <c r="H663" s="109">
        <f t="shared" si="31"/>
        <v>14.75</v>
      </c>
      <c r="I663" s="119"/>
      <c r="J663" s="119"/>
      <c r="K663" s="119">
        <f t="shared" si="32"/>
        <v>14.75</v>
      </c>
      <c r="L663" s="152">
        <f t="shared" si="33"/>
        <v>12.17</v>
      </c>
      <c r="M663" s="113"/>
    </row>
    <row r="664" spans="1:13" x14ac:dyDescent="0.2">
      <c r="A664" s="106" t="s">
        <v>6709</v>
      </c>
      <c r="B664" s="272" t="s">
        <v>2323</v>
      </c>
      <c r="C664" s="105" t="s">
        <v>6737</v>
      </c>
      <c r="D664" s="149" t="s">
        <v>2325</v>
      </c>
      <c r="E664" s="105">
        <v>1</v>
      </c>
      <c r="F664" s="247">
        <v>19.100000000000001</v>
      </c>
      <c r="G664" s="247">
        <v>22</v>
      </c>
      <c r="H664" s="109">
        <f t="shared" si="31"/>
        <v>22</v>
      </c>
      <c r="I664" s="119"/>
      <c r="J664" s="119"/>
      <c r="K664" s="119">
        <f t="shared" si="32"/>
        <v>22</v>
      </c>
      <c r="L664" s="152">
        <f t="shared" si="33"/>
        <v>19.100000000000001</v>
      </c>
      <c r="M664" s="113"/>
    </row>
    <row r="665" spans="1:13" x14ac:dyDescent="0.2">
      <c r="A665" s="106" t="s">
        <v>6709</v>
      </c>
      <c r="B665" s="272" t="s">
        <v>1793</v>
      </c>
      <c r="C665" s="105" t="s">
        <v>6738</v>
      </c>
      <c r="D665" s="149" t="s">
        <v>1795</v>
      </c>
      <c r="E665" s="105">
        <v>1</v>
      </c>
      <c r="F665" s="247">
        <v>12.17</v>
      </c>
      <c r="G665" s="247">
        <v>14.75</v>
      </c>
      <c r="H665" s="109">
        <f t="shared" si="31"/>
        <v>14.75</v>
      </c>
      <c r="I665" s="119"/>
      <c r="J665" s="119"/>
      <c r="K665" s="119">
        <f t="shared" si="32"/>
        <v>14.75</v>
      </c>
      <c r="L665" s="152">
        <f t="shared" si="33"/>
        <v>12.17</v>
      </c>
      <c r="M665" s="113"/>
    </row>
    <row r="666" spans="1:13" x14ac:dyDescent="0.2">
      <c r="A666" s="106" t="s">
        <v>6709</v>
      </c>
      <c r="B666" s="272" t="s">
        <v>5686</v>
      </c>
      <c r="C666" s="105" t="s">
        <v>6738</v>
      </c>
      <c r="D666" s="149" t="s">
        <v>5824</v>
      </c>
      <c r="E666" s="105">
        <v>1</v>
      </c>
      <c r="F666" s="247">
        <v>12.17</v>
      </c>
      <c r="G666" s="247">
        <v>14.75</v>
      </c>
      <c r="H666" s="109">
        <f t="shared" si="31"/>
        <v>14.75</v>
      </c>
      <c r="I666" s="119"/>
      <c r="J666" s="119"/>
      <c r="K666" s="119">
        <f t="shared" si="32"/>
        <v>14.75</v>
      </c>
      <c r="L666" s="152">
        <f t="shared" si="33"/>
        <v>12.17</v>
      </c>
      <c r="M666" s="113"/>
    </row>
    <row r="667" spans="1:13" x14ac:dyDescent="0.2">
      <c r="A667" s="106" t="s">
        <v>6710</v>
      </c>
      <c r="B667" s="272" t="s">
        <v>1933</v>
      </c>
      <c r="C667" s="105" t="s">
        <v>6739</v>
      </c>
      <c r="D667" s="149" t="s">
        <v>1934</v>
      </c>
      <c r="E667" s="105">
        <v>1</v>
      </c>
      <c r="F667" s="247">
        <v>3.6</v>
      </c>
      <c r="G667" s="247">
        <v>4.25</v>
      </c>
      <c r="H667" s="109">
        <f t="shared" si="31"/>
        <v>4.25</v>
      </c>
      <c r="I667" s="119"/>
      <c r="J667" s="119"/>
      <c r="K667" s="119">
        <f t="shared" si="32"/>
        <v>4.25</v>
      </c>
      <c r="L667" s="152">
        <f t="shared" si="33"/>
        <v>3.6</v>
      </c>
      <c r="M667" s="113"/>
    </row>
    <row r="668" spans="1:13" x14ac:dyDescent="0.2">
      <c r="A668" s="106" t="s">
        <v>6710</v>
      </c>
      <c r="B668" s="272" t="s">
        <v>3352</v>
      </c>
      <c r="C668" s="105" t="s">
        <v>6740</v>
      </c>
      <c r="D668" s="149" t="s">
        <v>3353</v>
      </c>
      <c r="E668" s="105">
        <v>1</v>
      </c>
      <c r="F668" s="247">
        <v>6.35</v>
      </c>
      <c r="G668" s="247">
        <v>7.5</v>
      </c>
      <c r="H668" s="109">
        <f t="shared" si="31"/>
        <v>7.5</v>
      </c>
      <c r="I668" s="119"/>
      <c r="J668" s="119"/>
      <c r="K668" s="119">
        <f t="shared" si="32"/>
        <v>7.5</v>
      </c>
      <c r="L668" s="152">
        <f t="shared" si="33"/>
        <v>6.35</v>
      </c>
      <c r="M668" s="113"/>
    </row>
    <row r="669" spans="1:13" x14ac:dyDescent="0.2">
      <c r="A669" s="106" t="s">
        <v>6710</v>
      </c>
      <c r="B669" s="272" t="s">
        <v>1962</v>
      </c>
      <c r="C669" s="105" t="s">
        <v>6741</v>
      </c>
      <c r="D669" s="149" t="s">
        <v>1964</v>
      </c>
      <c r="E669" s="105">
        <v>2</v>
      </c>
      <c r="F669" s="247">
        <v>7.48</v>
      </c>
      <c r="G669" s="247">
        <v>8.75</v>
      </c>
      <c r="H669" s="109">
        <f t="shared" si="31"/>
        <v>17.5</v>
      </c>
      <c r="I669" s="119"/>
      <c r="J669" s="119"/>
      <c r="K669" s="119">
        <f t="shared" si="32"/>
        <v>17.5</v>
      </c>
      <c r="L669" s="152">
        <f t="shared" si="33"/>
        <v>14.96</v>
      </c>
      <c r="M669" s="113"/>
    </row>
    <row r="670" spans="1:13" x14ac:dyDescent="0.2">
      <c r="A670" s="106" t="s">
        <v>6710</v>
      </c>
      <c r="B670" s="272" t="s">
        <v>1969</v>
      </c>
      <c r="C670" s="105" t="s">
        <v>6741</v>
      </c>
      <c r="D670" s="149" t="s">
        <v>1970</v>
      </c>
      <c r="E670" s="105">
        <v>2</v>
      </c>
      <c r="F670" s="247">
        <v>3.6</v>
      </c>
      <c r="G670" s="247">
        <v>4.25</v>
      </c>
      <c r="H670" s="109">
        <f t="shared" si="31"/>
        <v>8.5</v>
      </c>
      <c r="I670" s="119"/>
      <c r="J670" s="119"/>
      <c r="K670" s="119">
        <f t="shared" si="32"/>
        <v>8.5</v>
      </c>
      <c r="L670" s="152">
        <f t="shared" si="33"/>
        <v>7.2</v>
      </c>
      <c r="M670" s="113"/>
    </row>
    <row r="671" spans="1:13" x14ac:dyDescent="0.2">
      <c r="A671" s="106" t="s">
        <v>6710</v>
      </c>
      <c r="B671" s="272" t="s">
        <v>5979</v>
      </c>
      <c r="C671" s="105" t="s">
        <v>6742</v>
      </c>
      <c r="D671" s="149" t="s">
        <v>6097</v>
      </c>
      <c r="E671" s="105">
        <v>1</v>
      </c>
      <c r="F671" s="247">
        <v>5.74</v>
      </c>
      <c r="G671" s="247">
        <v>7</v>
      </c>
      <c r="H671" s="109">
        <f t="shared" si="31"/>
        <v>7</v>
      </c>
      <c r="I671" s="119"/>
      <c r="J671" s="119"/>
      <c r="K671" s="119">
        <f t="shared" si="32"/>
        <v>7</v>
      </c>
      <c r="L671" s="152">
        <f t="shared" si="33"/>
        <v>5.74</v>
      </c>
      <c r="M671" s="113"/>
    </row>
    <row r="672" spans="1:13" x14ac:dyDescent="0.2">
      <c r="A672" s="106" t="s">
        <v>6710</v>
      </c>
      <c r="B672" s="272" t="s">
        <v>2419</v>
      </c>
      <c r="C672" s="105" t="s">
        <v>6743</v>
      </c>
      <c r="D672" s="149" t="s">
        <v>2420</v>
      </c>
      <c r="E672" s="105">
        <v>1</v>
      </c>
      <c r="F672" s="247">
        <v>45.88</v>
      </c>
      <c r="G672" s="247">
        <v>52.75</v>
      </c>
      <c r="H672" s="109">
        <f t="shared" si="31"/>
        <v>52.75</v>
      </c>
      <c r="I672" s="119"/>
      <c r="J672" s="119"/>
      <c r="K672" s="119">
        <f t="shared" si="32"/>
        <v>52.75</v>
      </c>
      <c r="L672" s="152">
        <f t="shared" si="33"/>
        <v>45.88</v>
      </c>
      <c r="M672" s="113"/>
    </row>
    <row r="673" spans="1:13" x14ac:dyDescent="0.2">
      <c r="A673" s="106" t="s">
        <v>6710</v>
      </c>
      <c r="B673" s="272" t="s">
        <v>2919</v>
      </c>
      <c r="C673" s="105" t="s">
        <v>6744</v>
      </c>
      <c r="D673" s="149" t="s">
        <v>2921</v>
      </c>
      <c r="E673" s="105">
        <v>1</v>
      </c>
      <c r="F673" s="247">
        <v>96.5</v>
      </c>
      <c r="G673" s="247">
        <v>111</v>
      </c>
      <c r="H673" s="109">
        <f t="shared" si="31"/>
        <v>111</v>
      </c>
      <c r="I673" s="119"/>
      <c r="J673" s="119"/>
      <c r="K673" s="119">
        <f t="shared" si="32"/>
        <v>111</v>
      </c>
      <c r="L673" s="152">
        <f t="shared" si="33"/>
        <v>96.5</v>
      </c>
      <c r="M673" s="113"/>
    </row>
    <row r="674" spans="1:13" x14ac:dyDescent="0.2">
      <c r="A674" s="106" t="s">
        <v>6710</v>
      </c>
      <c r="B674" s="272" t="s">
        <v>6353</v>
      </c>
      <c r="C674" s="105" t="s">
        <v>6745</v>
      </c>
      <c r="D674" s="149" t="s">
        <v>6694</v>
      </c>
      <c r="E674" s="105">
        <v>1</v>
      </c>
      <c r="F674" s="247">
        <v>16.59</v>
      </c>
      <c r="G674" s="247">
        <v>19.25</v>
      </c>
      <c r="H674" s="109">
        <f t="shared" si="31"/>
        <v>19.25</v>
      </c>
      <c r="I674" s="119"/>
      <c r="J674" s="119"/>
      <c r="K674" s="119">
        <f t="shared" si="32"/>
        <v>19.25</v>
      </c>
      <c r="L674" s="152">
        <f t="shared" si="33"/>
        <v>16.59</v>
      </c>
      <c r="M674" s="113"/>
    </row>
    <row r="675" spans="1:13" x14ac:dyDescent="0.2">
      <c r="A675" s="106" t="s">
        <v>6710</v>
      </c>
      <c r="B675" s="272" t="s">
        <v>2158</v>
      </c>
      <c r="C675" s="105" t="s">
        <v>6745</v>
      </c>
      <c r="D675" s="149" t="s">
        <v>2160</v>
      </c>
      <c r="E675" s="105">
        <v>1</v>
      </c>
      <c r="F675" s="247">
        <v>56.31</v>
      </c>
      <c r="G675" s="247">
        <v>67.5</v>
      </c>
      <c r="H675" s="109">
        <f t="shared" si="31"/>
        <v>67.5</v>
      </c>
      <c r="I675" s="119"/>
      <c r="J675" s="119"/>
      <c r="K675" s="119">
        <f t="shared" si="32"/>
        <v>67.5</v>
      </c>
      <c r="L675" s="152">
        <f t="shared" si="33"/>
        <v>56.31</v>
      </c>
      <c r="M675" s="113"/>
    </row>
    <row r="676" spans="1:13" x14ac:dyDescent="0.2">
      <c r="A676" s="106" t="s">
        <v>6710</v>
      </c>
      <c r="B676" s="272" t="s">
        <v>2100</v>
      </c>
      <c r="C676" s="105" t="s">
        <v>6746</v>
      </c>
      <c r="D676" s="149" t="s">
        <v>2101</v>
      </c>
      <c r="E676" s="105">
        <v>1</v>
      </c>
      <c r="F676" s="247">
        <v>6.73</v>
      </c>
      <c r="G676" s="247">
        <v>7.75</v>
      </c>
      <c r="H676" s="109">
        <f t="shared" si="31"/>
        <v>7.75</v>
      </c>
      <c r="I676" s="119"/>
      <c r="J676" s="119"/>
      <c r="K676" s="119">
        <f t="shared" si="32"/>
        <v>7.75</v>
      </c>
      <c r="L676" s="152">
        <f t="shared" si="33"/>
        <v>6.73</v>
      </c>
      <c r="M676" s="113"/>
    </row>
    <row r="677" spans="1:13" x14ac:dyDescent="0.2">
      <c r="A677" s="106" t="s">
        <v>6710</v>
      </c>
      <c r="B677" s="272" t="s">
        <v>4716</v>
      </c>
      <c r="C677" s="105" t="s">
        <v>6747</v>
      </c>
      <c r="D677" s="149" t="s">
        <v>4751</v>
      </c>
      <c r="E677" s="105">
        <v>2</v>
      </c>
      <c r="F677" s="247">
        <v>0.81</v>
      </c>
      <c r="G677" s="247">
        <v>1</v>
      </c>
      <c r="H677" s="109">
        <f t="shared" si="31"/>
        <v>2</v>
      </c>
      <c r="I677" s="119"/>
      <c r="J677" s="119"/>
      <c r="K677" s="119">
        <f t="shared" si="32"/>
        <v>2</v>
      </c>
      <c r="L677" s="152">
        <f t="shared" si="33"/>
        <v>1.62</v>
      </c>
      <c r="M677" s="113"/>
    </row>
    <row r="678" spans="1:13" x14ac:dyDescent="0.2">
      <c r="A678" s="106" t="s">
        <v>6710</v>
      </c>
      <c r="B678" s="272" t="s">
        <v>2836</v>
      </c>
      <c r="C678" s="105" t="s">
        <v>6748</v>
      </c>
      <c r="D678" s="149" t="s">
        <v>2837</v>
      </c>
      <c r="E678" s="105">
        <v>1</v>
      </c>
      <c r="F678" s="247">
        <v>14.65</v>
      </c>
      <c r="G678" s="247">
        <v>17</v>
      </c>
      <c r="H678" s="109">
        <f t="shared" si="31"/>
        <v>17</v>
      </c>
      <c r="I678" s="119"/>
      <c r="J678" s="119"/>
      <c r="K678" s="119">
        <f t="shared" si="32"/>
        <v>17</v>
      </c>
      <c r="L678" s="152">
        <f t="shared" si="33"/>
        <v>14.65</v>
      </c>
      <c r="M678" s="113"/>
    </row>
    <row r="679" spans="1:13" x14ac:dyDescent="0.2">
      <c r="A679" s="106" t="s">
        <v>6710</v>
      </c>
      <c r="B679" s="272" t="s">
        <v>4716</v>
      </c>
      <c r="C679" s="105" t="s">
        <v>6748</v>
      </c>
      <c r="D679" s="149" t="s">
        <v>4751</v>
      </c>
      <c r="E679" s="105">
        <v>5</v>
      </c>
      <c r="F679" s="247">
        <v>0.81</v>
      </c>
      <c r="G679" s="247">
        <v>1</v>
      </c>
      <c r="H679" s="109">
        <f t="shared" si="31"/>
        <v>5</v>
      </c>
      <c r="I679" s="119"/>
      <c r="J679" s="119"/>
      <c r="K679" s="119">
        <f t="shared" si="32"/>
        <v>5</v>
      </c>
      <c r="L679" s="152">
        <f t="shared" si="33"/>
        <v>4.0500000000000007</v>
      </c>
      <c r="M679" s="113"/>
    </row>
    <row r="680" spans="1:13" x14ac:dyDescent="0.2">
      <c r="A680" s="106" t="s">
        <v>6710</v>
      </c>
      <c r="B680" s="272" t="s">
        <v>4568</v>
      </c>
      <c r="C680" s="105" t="s">
        <v>6749</v>
      </c>
      <c r="D680" s="149" t="s">
        <v>4673</v>
      </c>
      <c r="E680" s="105">
        <v>1</v>
      </c>
      <c r="F680" s="247">
        <v>34.47</v>
      </c>
      <c r="G680" s="247">
        <v>39.75</v>
      </c>
      <c r="H680" s="109">
        <f t="shared" si="31"/>
        <v>39.75</v>
      </c>
      <c r="I680" s="119"/>
      <c r="J680" s="119"/>
      <c r="K680" s="119">
        <f t="shared" si="32"/>
        <v>39.75</v>
      </c>
      <c r="L680" s="152">
        <f t="shared" si="33"/>
        <v>34.47</v>
      </c>
      <c r="M680" s="113"/>
    </row>
    <row r="681" spans="1:13" x14ac:dyDescent="0.2">
      <c r="A681" s="106" t="s">
        <v>6710</v>
      </c>
      <c r="B681" s="272" t="s">
        <v>5867</v>
      </c>
      <c r="C681" s="105" t="s">
        <v>6749</v>
      </c>
      <c r="D681" s="149" t="s">
        <v>5960</v>
      </c>
      <c r="E681" s="105">
        <v>1</v>
      </c>
      <c r="F681" s="247">
        <v>7.75</v>
      </c>
      <c r="G681" s="247">
        <v>9</v>
      </c>
      <c r="H681" s="109">
        <f t="shared" si="31"/>
        <v>9</v>
      </c>
      <c r="I681" s="119"/>
      <c r="J681" s="119"/>
      <c r="K681" s="119">
        <f t="shared" si="32"/>
        <v>9</v>
      </c>
      <c r="L681" s="152">
        <f t="shared" si="33"/>
        <v>7.75</v>
      </c>
      <c r="M681" s="113"/>
    </row>
    <row r="682" spans="1:13" x14ac:dyDescent="0.2">
      <c r="A682" s="106" t="s">
        <v>6710</v>
      </c>
      <c r="B682" s="272" t="s">
        <v>3909</v>
      </c>
      <c r="C682" s="105" t="s">
        <v>6749</v>
      </c>
      <c r="D682" s="149" t="s">
        <v>3911</v>
      </c>
      <c r="E682" s="105">
        <v>1</v>
      </c>
      <c r="F682" s="247">
        <v>7.06</v>
      </c>
      <c r="G682" s="247">
        <v>8.25</v>
      </c>
      <c r="H682" s="109">
        <f t="shared" si="31"/>
        <v>8.25</v>
      </c>
      <c r="I682" s="119"/>
      <c r="J682" s="119"/>
      <c r="K682" s="119">
        <f t="shared" si="32"/>
        <v>8.25</v>
      </c>
      <c r="L682" s="152">
        <f t="shared" si="33"/>
        <v>7.06</v>
      </c>
      <c r="M682" s="113"/>
    </row>
    <row r="683" spans="1:13" x14ac:dyDescent="0.2">
      <c r="A683" s="106" t="s">
        <v>6710</v>
      </c>
      <c r="B683" s="272" t="s">
        <v>2110</v>
      </c>
      <c r="C683" s="105" t="s">
        <v>6749</v>
      </c>
      <c r="D683" s="149" t="s">
        <v>2112</v>
      </c>
      <c r="E683" s="105">
        <v>1</v>
      </c>
      <c r="F683" s="247">
        <v>24.07</v>
      </c>
      <c r="G683" s="247">
        <v>30.25</v>
      </c>
      <c r="H683" s="109">
        <f t="shared" si="31"/>
        <v>30.25</v>
      </c>
      <c r="I683" s="119"/>
      <c r="J683" s="119"/>
      <c r="K683" s="119">
        <f t="shared" si="32"/>
        <v>30.25</v>
      </c>
      <c r="L683" s="152">
        <f t="shared" si="33"/>
        <v>24.07</v>
      </c>
      <c r="M683" s="113"/>
    </row>
    <row r="684" spans="1:13" x14ac:dyDescent="0.2">
      <c r="A684" s="106" t="s">
        <v>6710</v>
      </c>
      <c r="B684" s="272" t="s">
        <v>2446</v>
      </c>
      <c r="C684" s="105" t="s">
        <v>6750</v>
      </c>
      <c r="D684" s="149" t="s">
        <v>2448</v>
      </c>
      <c r="E684" s="105">
        <v>1</v>
      </c>
      <c r="F684" s="247">
        <v>58.2</v>
      </c>
      <c r="G684" s="247">
        <v>67</v>
      </c>
      <c r="H684" s="109">
        <f t="shared" si="31"/>
        <v>67</v>
      </c>
      <c r="I684" s="119"/>
      <c r="J684" s="119"/>
      <c r="K684" s="119">
        <f t="shared" si="32"/>
        <v>67</v>
      </c>
      <c r="L684" s="152">
        <f t="shared" si="33"/>
        <v>58.2</v>
      </c>
      <c r="M684" s="113"/>
    </row>
    <row r="685" spans="1:13" x14ac:dyDescent="0.2">
      <c r="A685" s="106" t="s">
        <v>6710</v>
      </c>
      <c r="B685" s="272" t="s">
        <v>2895</v>
      </c>
      <c r="C685" s="105" t="s">
        <v>6749</v>
      </c>
      <c r="D685" s="149" t="s">
        <v>2897</v>
      </c>
      <c r="E685" s="105">
        <v>1</v>
      </c>
      <c r="F685" s="247">
        <v>9.17</v>
      </c>
      <c r="G685" s="247">
        <v>10.75</v>
      </c>
      <c r="H685" s="109">
        <f t="shared" si="31"/>
        <v>10.75</v>
      </c>
      <c r="I685" s="119"/>
      <c r="J685" s="119"/>
      <c r="K685" s="119">
        <f t="shared" si="32"/>
        <v>10.75</v>
      </c>
      <c r="L685" s="152">
        <f t="shared" si="33"/>
        <v>9.17</v>
      </c>
      <c r="M685" s="113"/>
    </row>
    <row r="686" spans="1:13" x14ac:dyDescent="0.2">
      <c r="A686" s="106" t="s">
        <v>6710</v>
      </c>
      <c r="B686" s="272" t="s">
        <v>2872</v>
      </c>
      <c r="C686" s="105" t="s">
        <v>6749</v>
      </c>
      <c r="D686" s="149" t="s">
        <v>2873</v>
      </c>
      <c r="E686" s="105">
        <v>1</v>
      </c>
      <c r="F686" s="247">
        <v>4.4800000000000004</v>
      </c>
      <c r="G686" s="247">
        <v>5.25</v>
      </c>
      <c r="H686" s="109">
        <f t="shared" si="31"/>
        <v>5.25</v>
      </c>
      <c r="I686" s="119"/>
      <c r="J686" s="119"/>
      <c r="K686" s="119">
        <f t="shared" si="32"/>
        <v>5.25</v>
      </c>
      <c r="L686" s="152">
        <f t="shared" si="33"/>
        <v>4.4800000000000004</v>
      </c>
      <c r="M686" s="113"/>
    </row>
    <row r="687" spans="1:13" x14ac:dyDescent="0.2">
      <c r="A687" s="106" t="s">
        <v>6710</v>
      </c>
      <c r="B687" s="272" t="s">
        <v>5033</v>
      </c>
      <c r="C687" s="105" t="s">
        <v>6751</v>
      </c>
      <c r="D687" s="149" t="s">
        <v>5077</v>
      </c>
      <c r="E687" s="105">
        <v>1</v>
      </c>
      <c r="F687" s="247">
        <v>25</v>
      </c>
      <c r="G687" s="247">
        <v>28.75</v>
      </c>
      <c r="H687" s="109">
        <f t="shared" si="31"/>
        <v>28.75</v>
      </c>
      <c r="I687" s="119"/>
      <c r="J687" s="119"/>
      <c r="K687" s="119">
        <f t="shared" si="32"/>
        <v>28.75</v>
      </c>
      <c r="L687" s="152">
        <f t="shared" si="33"/>
        <v>25</v>
      </c>
      <c r="M687" s="113"/>
    </row>
    <row r="688" spans="1:13" x14ac:dyDescent="0.2">
      <c r="A688" s="106" t="s">
        <v>6710</v>
      </c>
      <c r="B688" s="272" t="s">
        <v>4716</v>
      </c>
      <c r="C688" s="105" t="s">
        <v>6752</v>
      </c>
      <c r="D688" s="149" t="s">
        <v>4751</v>
      </c>
      <c r="E688" s="105">
        <v>1</v>
      </c>
      <c r="F688" s="247">
        <v>0.81</v>
      </c>
      <c r="G688" s="247">
        <v>1</v>
      </c>
      <c r="H688" s="109">
        <f t="shared" si="31"/>
        <v>1</v>
      </c>
      <c r="I688" s="119"/>
      <c r="J688" s="119"/>
      <c r="K688" s="119">
        <f t="shared" si="32"/>
        <v>1</v>
      </c>
      <c r="L688" s="152">
        <f t="shared" si="33"/>
        <v>0.81</v>
      </c>
      <c r="M688" s="113"/>
    </row>
    <row r="689" spans="1:13" x14ac:dyDescent="0.2">
      <c r="A689" s="106" t="s">
        <v>6710</v>
      </c>
      <c r="B689" s="272" t="s">
        <v>1897</v>
      </c>
      <c r="C689" s="105" t="s">
        <v>6753</v>
      </c>
      <c r="D689" s="149" t="s">
        <v>1898</v>
      </c>
      <c r="E689" s="105">
        <v>1</v>
      </c>
      <c r="F689" s="247">
        <v>27.5</v>
      </c>
      <c r="G689" s="247">
        <v>31.75</v>
      </c>
      <c r="H689" s="109">
        <f t="shared" si="31"/>
        <v>31.75</v>
      </c>
      <c r="I689" s="119"/>
      <c r="J689" s="119"/>
      <c r="K689" s="119">
        <f t="shared" si="32"/>
        <v>31.75</v>
      </c>
      <c r="L689" s="152">
        <f t="shared" si="33"/>
        <v>27.5</v>
      </c>
      <c r="M689" s="113"/>
    </row>
    <row r="690" spans="1:13" x14ac:dyDescent="0.2">
      <c r="A690" s="106" t="s">
        <v>6710</v>
      </c>
      <c r="B690" s="272" t="s">
        <v>2338</v>
      </c>
      <c r="C690" s="105" t="s">
        <v>6753</v>
      </c>
      <c r="D690" s="149" t="s">
        <v>2339</v>
      </c>
      <c r="E690" s="105">
        <v>1</v>
      </c>
      <c r="F690" s="247">
        <v>31.6</v>
      </c>
      <c r="G690" s="247">
        <v>36.33</v>
      </c>
      <c r="H690" s="109">
        <f t="shared" si="31"/>
        <v>36.33</v>
      </c>
      <c r="I690" s="119"/>
      <c r="J690" s="119"/>
      <c r="K690" s="119">
        <f t="shared" si="32"/>
        <v>36.33</v>
      </c>
      <c r="L690" s="152">
        <f t="shared" si="33"/>
        <v>31.6</v>
      </c>
      <c r="M690" s="113"/>
    </row>
    <row r="691" spans="1:13" x14ac:dyDescent="0.2">
      <c r="A691" s="106" t="s">
        <v>6710</v>
      </c>
      <c r="B691" s="272" t="s">
        <v>2323</v>
      </c>
      <c r="C691" s="105" t="s">
        <v>6753</v>
      </c>
      <c r="D691" s="149" t="s">
        <v>2325</v>
      </c>
      <c r="E691" s="105">
        <v>1</v>
      </c>
      <c r="F691" s="247">
        <v>19.100000000000001</v>
      </c>
      <c r="G691" s="247">
        <v>22</v>
      </c>
      <c r="H691" s="109">
        <f t="shared" si="31"/>
        <v>22</v>
      </c>
      <c r="I691" s="119"/>
      <c r="J691" s="119"/>
      <c r="K691" s="119">
        <f t="shared" si="32"/>
        <v>22</v>
      </c>
      <c r="L691" s="152">
        <f t="shared" si="33"/>
        <v>19.100000000000001</v>
      </c>
      <c r="M691" s="113"/>
    </row>
    <row r="692" spans="1:13" x14ac:dyDescent="0.2">
      <c r="A692" s="106" t="s">
        <v>6710</v>
      </c>
      <c r="B692" s="272" t="s">
        <v>1830</v>
      </c>
      <c r="C692" s="105" t="s">
        <v>6754</v>
      </c>
      <c r="D692" s="149" t="s">
        <v>1831</v>
      </c>
      <c r="E692" s="105">
        <v>1</v>
      </c>
      <c r="F692" s="247">
        <v>16.84</v>
      </c>
      <c r="G692" s="247">
        <v>19.5</v>
      </c>
      <c r="H692" s="109">
        <f t="shared" si="31"/>
        <v>19.5</v>
      </c>
      <c r="I692" s="119"/>
      <c r="J692" s="119"/>
      <c r="K692" s="119">
        <f t="shared" si="32"/>
        <v>19.5</v>
      </c>
      <c r="L692" s="152">
        <f t="shared" si="33"/>
        <v>16.84</v>
      </c>
      <c r="M692" s="113"/>
    </row>
    <row r="693" spans="1:13" x14ac:dyDescent="0.2">
      <c r="A693" s="106" t="s">
        <v>6710</v>
      </c>
      <c r="B693" s="272" t="s">
        <v>2438</v>
      </c>
      <c r="C693" s="105" t="s">
        <v>6755</v>
      </c>
      <c r="D693" s="149" t="s">
        <v>2440</v>
      </c>
      <c r="E693" s="105">
        <v>1</v>
      </c>
      <c r="F693" s="247">
        <v>15.51</v>
      </c>
      <c r="G693" s="247">
        <v>18</v>
      </c>
      <c r="H693" s="109">
        <f t="shared" si="31"/>
        <v>18</v>
      </c>
      <c r="I693" s="119"/>
      <c r="J693" s="119"/>
      <c r="K693" s="119">
        <f t="shared" si="32"/>
        <v>18</v>
      </c>
      <c r="L693" s="152">
        <f t="shared" si="33"/>
        <v>15.51</v>
      </c>
      <c r="M693" s="113"/>
    </row>
    <row r="694" spans="1:13" x14ac:dyDescent="0.2">
      <c r="A694" s="106" t="s">
        <v>6710</v>
      </c>
      <c r="B694" s="272" t="s">
        <v>3753</v>
      </c>
      <c r="C694" s="105" t="s">
        <v>6755</v>
      </c>
      <c r="D694" s="149" t="s">
        <v>3755</v>
      </c>
      <c r="E694" s="105">
        <v>1</v>
      </c>
      <c r="F694" s="247">
        <v>18.98</v>
      </c>
      <c r="G694" s="247">
        <v>22</v>
      </c>
      <c r="H694" s="109">
        <f t="shared" si="31"/>
        <v>22</v>
      </c>
      <c r="I694" s="119"/>
      <c r="J694" s="119"/>
      <c r="K694" s="119">
        <f t="shared" si="32"/>
        <v>22</v>
      </c>
      <c r="L694" s="152">
        <f t="shared" si="33"/>
        <v>18.98</v>
      </c>
      <c r="M694" s="113"/>
    </row>
    <row r="695" spans="1:13" x14ac:dyDescent="0.2">
      <c r="A695" s="106" t="s">
        <v>6710</v>
      </c>
      <c r="B695" s="272" t="s">
        <v>2615</v>
      </c>
      <c r="C695" s="105" t="s">
        <v>6756</v>
      </c>
      <c r="D695" s="149" t="s">
        <v>2617</v>
      </c>
      <c r="E695" s="105">
        <v>1</v>
      </c>
      <c r="F695" s="247">
        <v>59.3</v>
      </c>
      <c r="G695" s="247">
        <v>68.25</v>
      </c>
      <c r="H695" s="109">
        <f t="shared" si="31"/>
        <v>68.25</v>
      </c>
      <c r="I695" s="119"/>
      <c r="J695" s="119"/>
      <c r="K695" s="119">
        <f t="shared" si="32"/>
        <v>68.25</v>
      </c>
      <c r="L695" s="152">
        <f t="shared" si="33"/>
        <v>59.3</v>
      </c>
      <c r="M695" s="113"/>
    </row>
    <row r="696" spans="1:13" x14ac:dyDescent="0.2">
      <c r="A696" s="106" t="s">
        <v>6710</v>
      </c>
      <c r="B696" s="272" t="s">
        <v>4760</v>
      </c>
      <c r="C696" s="105" t="s">
        <v>6757</v>
      </c>
      <c r="D696" s="149" t="s">
        <v>4787</v>
      </c>
      <c r="E696" s="105">
        <v>1</v>
      </c>
      <c r="F696" s="247">
        <v>27.8</v>
      </c>
      <c r="G696" s="247">
        <v>35</v>
      </c>
      <c r="H696" s="109">
        <f t="shared" si="31"/>
        <v>35</v>
      </c>
      <c r="I696" s="119"/>
      <c r="J696" s="119"/>
      <c r="K696" s="119">
        <f t="shared" si="32"/>
        <v>35</v>
      </c>
      <c r="L696" s="152">
        <f t="shared" si="33"/>
        <v>27.8</v>
      </c>
      <c r="M696" s="113"/>
    </row>
    <row r="697" spans="1:13" x14ac:dyDescent="0.2">
      <c r="A697" s="106" t="s">
        <v>6767</v>
      </c>
      <c r="B697" s="272" t="s">
        <v>1905</v>
      </c>
      <c r="C697" s="105" t="s">
        <v>6773</v>
      </c>
      <c r="D697" s="149" t="s">
        <v>1906</v>
      </c>
      <c r="E697" s="105">
        <v>1</v>
      </c>
      <c r="F697" s="133">
        <v>15.51</v>
      </c>
      <c r="G697" s="133">
        <v>18</v>
      </c>
      <c r="H697" s="109">
        <f t="shared" si="31"/>
        <v>18</v>
      </c>
      <c r="I697" s="119"/>
      <c r="J697" s="119"/>
      <c r="K697" s="119">
        <f t="shared" si="32"/>
        <v>18</v>
      </c>
      <c r="L697" s="152">
        <f t="shared" si="33"/>
        <v>15.51</v>
      </c>
      <c r="M697" s="113"/>
    </row>
    <row r="698" spans="1:13" x14ac:dyDescent="0.2">
      <c r="A698" s="106" t="s">
        <v>6767</v>
      </c>
      <c r="B698" s="272" t="s">
        <v>5497</v>
      </c>
      <c r="C698" s="105" t="s">
        <v>6773</v>
      </c>
      <c r="D698" s="149" t="s">
        <v>5573</v>
      </c>
      <c r="E698" s="105">
        <v>1</v>
      </c>
      <c r="F698" s="133">
        <v>30</v>
      </c>
      <c r="G698" s="133">
        <v>45</v>
      </c>
      <c r="H698" s="109">
        <f t="shared" si="31"/>
        <v>45</v>
      </c>
      <c r="I698" s="119"/>
      <c r="J698" s="119"/>
      <c r="K698" s="119">
        <f t="shared" si="32"/>
        <v>45</v>
      </c>
      <c r="L698" s="152">
        <f t="shared" si="33"/>
        <v>30</v>
      </c>
      <c r="M698" s="113"/>
    </row>
    <row r="699" spans="1:13" x14ac:dyDescent="0.2">
      <c r="A699" s="106" t="s">
        <v>6767</v>
      </c>
      <c r="B699" s="272" t="s">
        <v>3314</v>
      </c>
      <c r="C699" s="105" t="s">
        <v>6773</v>
      </c>
      <c r="D699" s="149" t="s">
        <v>3316</v>
      </c>
      <c r="E699" s="105">
        <v>1</v>
      </c>
      <c r="F699" s="133">
        <v>16.579999999999998</v>
      </c>
      <c r="G699" s="133">
        <v>19</v>
      </c>
      <c r="H699" s="109">
        <f t="shared" si="31"/>
        <v>19</v>
      </c>
      <c r="I699" s="119"/>
      <c r="J699" s="119"/>
      <c r="K699" s="119">
        <f t="shared" si="32"/>
        <v>19</v>
      </c>
      <c r="L699" s="152">
        <f t="shared" si="33"/>
        <v>16.579999999999998</v>
      </c>
      <c r="M699" s="113"/>
    </row>
    <row r="700" spans="1:13" x14ac:dyDescent="0.2">
      <c r="A700" s="106" t="s">
        <v>6767</v>
      </c>
      <c r="B700" s="272" t="s">
        <v>2146</v>
      </c>
      <c r="C700" s="105" t="s">
        <v>6773</v>
      </c>
      <c r="D700" s="149" t="s">
        <v>2147</v>
      </c>
      <c r="E700" s="105">
        <v>1</v>
      </c>
      <c r="F700" s="133">
        <v>13.2</v>
      </c>
      <c r="G700" s="133">
        <v>16</v>
      </c>
      <c r="H700" s="109">
        <f t="shared" si="31"/>
        <v>16</v>
      </c>
      <c r="I700" s="119"/>
      <c r="J700" s="119"/>
      <c r="K700" s="119">
        <f t="shared" si="32"/>
        <v>16</v>
      </c>
      <c r="L700" s="152">
        <f t="shared" si="33"/>
        <v>13.2</v>
      </c>
      <c r="M700" s="113"/>
    </row>
    <row r="701" spans="1:13" x14ac:dyDescent="0.2">
      <c r="A701" s="106" t="s">
        <v>6767</v>
      </c>
      <c r="B701" s="272" t="s">
        <v>5686</v>
      </c>
      <c r="C701" s="105" t="s">
        <v>6774</v>
      </c>
      <c r="D701" s="149" t="s">
        <v>5824</v>
      </c>
      <c r="E701" s="105">
        <v>1</v>
      </c>
      <c r="F701" s="133">
        <v>12.17</v>
      </c>
      <c r="G701" s="133">
        <v>14.75</v>
      </c>
      <c r="H701" s="109">
        <f t="shared" si="31"/>
        <v>14.75</v>
      </c>
      <c r="I701" s="119"/>
      <c r="J701" s="119"/>
      <c r="K701" s="119">
        <f t="shared" si="32"/>
        <v>14.75</v>
      </c>
      <c r="L701" s="152">
        <f t="shared" si="33"/>
        <v>12.17</v>
      </c>
      <c r="M701" s="113"/>
    </row>
    <row r="702" spans="1:13" x14ac:dyDescent="0.2">
      <c r="A702" s="106" t="s">
        <v>6767</v>
      </c>
      <c r="B702" s="272" t="s">
        <v>4112</v>
      </c>
      <c r="C702" s="105" t="s">
        <v>6775</v>
      </c>
      <c r="D702" s="149" t="s">
        <v>4113</v>
      </c>
      <c r="E702" s="105">
        <v>1</v>
      </c>
      <c r="F702" s="133">
        <v>19.66</v>
      </c>
      <c r="G702" s="133">
        <v>23</v>
      </c>
      <c r="H702" s="109">
        <f t="shared" si="31"/>
        <v>23</v>
      </c>
      <c r="I702" s="119"/>
      <c r="J702" s="119"/>
      <c r="K702" s="119">
        <f t="shared" si="32"/>
        <v>23</v>
      </c>
      <c r="L702" s="152">
        <f t="shared" si="33"/>
        <v>19.66</v>
      </c>
      <c r="M702" s="113"/>
    </row>
    <row r="703" spans="1:13" x14ac:dyDescent="0.2">
      <c r="A703" s="106" t="s">
        <v>6767</v>
      </c>
      <c r="B703" s="272" t="s">
        <v>2959</v>
      </c>
      <c r="C703" s="105" t="s">
        <v>6775</v>
      </c>
      <c r="D703" s="149" t="s">
        <v>2960</v>
      </c>
      <c r="E703" s="105">
        <v>1</v>
      </c>
      <c r="F703" s="133">
        <v>529.58000000000004</v>
      </c>
      <c r="G703" s="133">
        <v>615</v>
      </c>
      <c r="H703" s="109">
        <f t="shared" si="31"/>
        <v>615</v>
      </c>
      <c r="I703" s="119"/>
      <c r="J703" s="119"/>
      <c r="K703" s="119">
        <f t="shared" si="32"/>
        <v>615</v>
      </c>
      <c r="L703" s="152">
        <f t="shared" si="33"/>
        <v>529.58000000000004</v>
      </c>
      <c r="M703" s="113"/>
    </row>
    <row r="704" spans="1:13" x14ac:dyDescent="0.2">
      <c r="A704" s="106" t="s">
        <v>6767</v>
      </c>
      <c r="B704" s="272" t="s">
        <v>6205</v>
      </c>
      <c r="C704" s="105" t="s">
        <v>6775</v>
      </c>
      <c r="D704" s="149" t="s">
        <v>6249</v>
      </c>
      <c r="E704" s="105">
        <v>1</v>
      </c>
      <c r="F704" s="133">
        <v>209.3</v>
      </c>
      <c r="G704" s="133">
        <v>244.75</v>
      </c>
      <c r="H704" s="109">
        <f t="shared" si="31"/>
        <v>244.75</v>
      </c>
      <c r="I704" s="119"/>
      <c r="J704" s="119"/>
      <c r="K704" s="119">
        <f t="shared" si="32"/>
        <v>244.75</v>
      </c>
      <c r="L704" s="152">
        <f t="shared" si="33"/>
        <v>209.3</v>
      </c>
      <c r="M704" s="113"/>
    </row>
    <row r="705" spans="1:13" x14ac:dyDescent="0.2">
      <c r="A705" s="106" t="s">
        <v>6767</v>
      </c>
      <c r="B705" s="272" t="s">
        <v>2884</v>
      </c>
      <c r="C705" s="105" t="s">
        <v>6775</v>
      </c>
      <c r="D705" s="149" t="s">
        <v>2886</v>
      </c>
      <c r="E705" s="105">
        <v>1</v>
      </c>
      <c r="F705" s="133">
        <v>251.67</v>
      </c>
      <c r="G705" s="133">
        <v>362.75</v>
      </c>
      <c r="H705" s="109">
        <f t="shared" si="31"/>
        <v>362.75</v>
      </c>
      <c r="I705" s="119"/>
      <c r="J705" s="119"/>
      <c r="K705" s="119">
        <f t="shared" si="32"/>
        <v>362.75</v>
      </c>
      <c r="L705" s="152">
        <f t="shared" si="33"/>
        <v>251.67</v>
      </c>
      <c r="M705" s="113"/>
    </row>
    <row r="706" spans="1:13" x14ac:dyDescent="0.2">
      <c r="A706" s="106" t="s">
        <v>6767</v>
      </c>
      <c r="B706" s="272" t="s">
        <v>4263</v>
      </c>
      <c r="C706" s="105" t="s">
        <v>6776</v>
      </c>
      <c r="D706" s="149" t="s">
        <v>4265</v>
      </c>
      <c r="E706" s="105">
        <v>1</v>
      </c>
      <c r="F706" s="133">
        <v>140.66999999999999</v>
      </c>
      <c r="G706" s="133">
        <v>162</v>
      </c>
      <c r="H706" s="109">
        <f t="shared" si="31"/>
        <v>162</v>
      </c>
      <c r="I706" s="119"/>
      <c r="J706" s="119"/>
      <c r="K706" s="119">
        <f t="shared" si="32"/>
        <v>162</v>
      </c>
      <c r="L706" s="152">
        <f t="shared" si="33"/>
        <v>140.66999999999999</v>
      </c>
      <c r="M706" s="113"/>
    </row>
    <row r="707" spans="1:13" x14ac:dyDescent="0.2">
      <c r="A707" s="106" t="s">
        <v>6767</v>
      </c>
      <c r="B707" s="272" t="s">
        <v>2951</v>
      </c>
      <c r="C707" s="105" t="s">
        <v>6777</v>
      </c>
      <c r="D707" s="149" t="s">
        <v>2952</v>
      </c>
      <c r="E707" s="105">
        <v>1</v>
      </c>
      <c r="F707" s="133">
        <v>166.15</v>
      </c>
      <c r="G707" s="133">
        <v>249</v>
      </c>
      <c r="H707" s="109">
        <f t="shared" si="31"/>
        <v>249</v>
      </c>
      <c r="I707" s="119"/>
      <c r="J707" s="119"/>
      <c r="K707" s="119">
        <f t="shared" si="32"/>
        <v>249</v>
      </c>
      <c r="L707" s="152">
        <f t="shared" si="33"/>
        <v>166.15</v>
      </c>
      <c r="M707" s="113"/>
    </row>
    <row r="708" spans="1:13" x14ac:dyDescent="0.2">
      <c r="A708" s="106" t="s">
        <v>6767</v>
      </c>
      <c r="B708" s="272" t="s">
        <v>2963</v>
      </c>
      <c r="C708" s="105" t="s">
        <v>6777</v>
      </c>
      <c r="D708" s="149" t="s">
        <v>2964</v>
      </c>
      <c r="E708" s="105">
        <v>1</v>
      </c>
      <c r="F708" s="133">
        <v>160.51</v>
      </c>
      <c r="G708" s="133">
        <v>184.75</v>
      </c>
      <c r="H708" s="109">
        <f t="shared" si="31"/>
        <v>184.75</v>
      </c>
      <c r="I708" s="119"/>
      <c r="J708" s="119"/>
      <c r="K708" s="119">
        <f t="shared" si="32"/>
        <v>184.75</v>
      </c>
      <c r="L708" s="152">
        <f t="shared" si="33"/>
        <v>160.51</v>
      </c>
      <c r="M708" s="113"/>
    </row>
    <row r="709" spans="1:13" x14ac:dyDescent="0.2">
      <c r="A709" s="106" t="s">
        <v>6767</v>
      </c>
      <c r="B709" s="272" t="s">
        <v>3569</v>
      </c>
      <c r="C709" s="105" t="s">
        <v>6778</v>
      </c>
      <c r="D709" s="149" t="s">
        <v>3571</v>
      </c>
      <c r="E709" s="105">
        <v>1</v>
      </c>
      <c r="F709" s="133">
        <v>21.88</v>
      </c>
      <c r="G709" s="133">
        <v>25.25</v>
      </c>
      <c r="H709" s="109">
        <f t="shared" si="31"/>
        <v>25.25</v>
      </c>
      <c r="I709" s="119"/>
      <c r="J709" s="119"/>
      <c r="K709" s="119">
        <f t="shared" si="32"/>
        <v>25.25</v>
      </c>
      <c r="L709" s="152">
        <f t="shared" si="33"/>
        <v>21.88</v>
      </c>
      <c r="M709" s="113"/>
    </row>
    <row r="710" spans="1:13" x14ac:dyDescent="0.2">
      <c r="A710" s="106" t="s">
        <v>6767</v>
      </c>
      <c r="B710" s="272" t="s">
        <v>4167</v>
      </c>
      <c r="C710" s="105" t="s">
        <v>6778</v>
      </c>
      <c r="D710" s="149" t="s">
        <v>4169</v>
      </c>
      <c r="E710" s="105">
        <v>1</v>
      </c>
      <c r="F710" s="133">
        <v>29</v>
      </c>
      <c r="G710" s="133">
        <v>33.75</v>
      </c>
      <c r="H710" s="109">
        <f t="shared" ref="H710:H773" si="34">E710*G710</f>
        <v>33.75</v>
      </c>
      <c r="I710" s="119"/>
      <c r="J710" s="119"/>
      <c r="K710" s="119">
        <f t="shared" si="32"/>
        <v>33.75</v>
      </c>
      <c r="L710" s="152">
        <f t="shared" si="33"/>
        <v>29</v>
      </c>
      <c r="M710" s="113"/>
    </row>
    <row r="711" spans="1:13" x14ac:dyDescent="0.2">
      <c r="A711" s="106" t="s">
        <v>6767</v>
      </c>
      <c r="B711" s="272" t="s">
        <v>3909</v>
      </c>
      <c r="C711" s="105" t="s">
        <v>6779</v>
      </c>
      <c r="D711" s="149" t="s">
        <v>3911</v>
      </c>
      <c r="E711" s="105">
        <v>1</v>
      </c>
      <c r="F711" s="133">
        <v>7.06</v>
      </c>
      <c r="G711" s="133">
        <v>8.25</v>
      </c>
      <c r="H711" s="109">
        <f t="shared" si="34"/>
        <v>8.25</v>
      </c>
      <c r="I711" s="119"/>
      <c r="J711" s="119"/>
      <c r="K711" s="119">
        <f t="shared" ref="K711:K775" si="35">H711+I711-J711</f>
        <v>8.25</v>
      </c>
      <c r="L711" s="152">
        <f t="shared" ref="L711:L775" si="36">E711*F711</f>
        <v>7.06</v>
      </c>
      <c r="M711" s="113"/>
    </row>
    <row r="712" spans="1:13" x14ac:dyDescent="0.2">
      <c r="A712" s="106" t="s">
        <v>6767</v>
      </c>
      <c r="B712" s="272" t="s">
        <v>2237</v>
      </c>
      <c r="C712" s="105" t="s">
        <v>6780</v>
      </c>
      <c r="D712" s="149" t="s">
        <v>2239</v>
      </c>
      <c r="E712" s="105">
        <v>1</v>
      </c>
      <c r="F712" s="133">
        <v>13.32</v>
      </c>
      <c r="G712" s="133">
        <v>15.5</v>
      </c>
      <c r="H712" s="109">
        <f t="shared" si="34"/>
        <v>15.5</v>
      </c>
      <c r="I712" s="119"/>
      <c r="J712" s="119"/>
      <c r="K712" s="119">
        <f t="shared" si="35"/>
        <v>15.5</v>
      </c>
      <c r="L712" s="152">
        <f t="shared" si="36"/>
        <v>13.32</v>
      </c>
      <c r="M712" s="113"/>
    </row>
    <row r="713" spans="1:13" x14ac:dyDescent="0.2">
      <c r="A713" s="106" t="s">
        <v>6767</v>
      </c>
      <c r="B713" s="272" t="s">
        <v>6768</v>
      </c>
      <c r="C713" s="105" t="s">
        <v>6780</v>
      </c>
      <c r="D713" s="149" t="s">
        <v>6818</v>
      </c>
      <c r="E713" s="105">
        <v>1</v>
      </c>
      <c r="F713" s="133">
        <v>6.15</v>
      </c>
      <c r="G713" s="133">
        <v>7.25</v>
      </c>
      <c r="H713" s="109">
        <f t="shared" si="34"/>
        <v>7.25</v>
      </c>
      <c r="I713" s="119"/>
      <c r="J713" s="119"/>
      <c r="K713" s="119">
        <f t="shared" si="35"/>
        <v>7.25</v>
      </c>
      <c r="L713" s="152">
        <f t="shared" si="36"/>
        <v>6.15</v>
      </c>
      <c r="M713" s="113"/>
    </row>
    <row r="714" spans="1:13" x14ac:dyDescent="0.2">
      <c r="A714" s="106" t="s">
        <v>6767</v>
      </c>
      <c r="B714" s="272" t="s">
        <v>3909</v>
      </c>
      <c r="C714" s="105" t="s">
        <v>6781</v>
      </c>
      <c r="D714" s="149" t="s">
        <v>3911</v>
      </c>
      <c r="E714" s="105">
        <v>1</v>
      </c>
      <c r="F714" s="133">
        <v>7.06</v>
      </c>
      <c r="G714" s="133">
        <v>8.25</v>
      </c>
      <c r="H714" s="109">
        <f t="shared" si="34"/>
        <v>8.25</v>
      </c>
      <c r="I714" s="119"/>
      <c r="J714" s="119"/>
      <c r="K714" s="119">
        <f t="shared" si="35"/>
        <v>8.25</v>
      </c>
      <c r="L714" s="152">
        <f t="shared" si="36"/>
        <v>7.06</v>
      </c>
      <c r="M714" s="113"/>
    </row>
    <row r="715" spans="1:13" x14ac:dyDescent="0.2">
      <c r="A715" s="106" t="s">
        <v>6767</v>
      </c>
      <c r="B715" s="272" t="s">
        <v>3169</v>
      </c>
      <c r="C715" s="105" t="s">
        <v>6782</v>
      </c>
      <c r="D715" s="149" t="s">
        <v>3170</v>
      </c>
      <c r="E715" s="105">
        <v>2</v>
      </c>
      <c r="F715" s="133">
        <v>5.41</v>
      </c>
      <c r="G715" s="133">
        <v>6.25</v>
      </c>
      <c r="H715" s="109">
        <f t="shared" si="34"/>
        <v>12.5</v>
      </c>
      <c r="I715" s="119"/>
      <c r="J715" s="119"/>
      <c r="K715" s="119">
        <f t="shared" si="35"/>
        <v>12.5</v>
      </c>
      <c r="L715" s="152">
        <f t="shared" si="36"/>
        <v>10.82</v>
      </c>
      <c r="M715" s="113"/>
    </row>
    <row r="716" spans="1:13" x14ac:dyDescent="0.2">
      <c r="A716" s="106" t="s">
        <v>6767</v>
      </c>
      <c r="B716" s="272" t="s">
        <v>3027</v>
      </c>
      <c r="C716" s="105" t="s">
        <v>6782</v>
      </c>
      <c r="D716" s="149" t="s">
        <v>3028</v>
      </c>
      <c r="E716" s="105">
        <v>6</v>
      </c>
      <c r="F716" s="133">
        <v>6.37</v>
      </c>
      <c r="G716" s="133">
        <v>7.5</v>
      </c>
      <c r="H716" s="109">
        <f t="shared" si="34"/>
        <v>45</v>
      </c>
      <c r="I716" s="119"/>
      <c r="J716" s="119"/>
      <c r="K716" s="119">
        <f t="shared" si="35"/>
        <v>45</v>
      </c>
      <c r="L716" s="152">
        <f t="shared" si="36"/>
        <v>38.22</v>
      </c>
      <c r="M716" s="113"/>
    </row>
    <row r="717" spans="1:13" x14ac:dyDescent="0.2">
      <c r="A717" s="106" t="s">
        <v>6767</v>
      </c>
      <c r="B717" s="272" t="s">
        <v>5864</v>
      </c>
      <c r="C717" s="105" t="s">
        <v>6783</v>
      </c>
      <c r="D717" s="149" t="s">
        <v>5957</v>
      </c>
      <c r="E717" s="105">
        <v>1</v>
      </c>
      <c r="F717" s="133">
        <v>100.03</v>
      </c>
      <c r="G717" s="133">
        <v>115.25</v>
      </c>
      <c r="H717" s="109">
        <f t="shared" si="34"/>
        <v>115.25</v>
      </c>
      <c r="I717" s="119"/>
      <c r="J717" s="119"/>
      <c r="K717" s="119">
        <f t="shared" si="35"/>
        <v>115.25</v>
      </c>
      <c r="L717" s="152">
        <f t="shared" si="36"/>
        <v>100.03</v>
      </c>
      <c r="M717" s="113"/>
    </row>
    <row r="718" spans="1:13" x14ac:dyDescent="0.2">
      <c r="A718" s="106" t="s">
        <v>6767</v>
      </c>
      <c r="B718" s="272" t="s">
        <v>6105</v>
      </c>
      <c r="C718" s="105" t="s">
        <v>6784</v>
      </c>
      <c r="D718" s="149" t="s">
        <v>6139</v>
      </c>
      <c r="E718" s="105">
        <v>2</v>
      </c>
      <c r="F718" s="133">
        <v>29.51</v>
      </c>
      <c r="G718" s="133">
        <v>34</v>
      </c>
      <c r="H718" s="109">
        <f t="shared" si="34"/>
        <v>68</v>
      </c>
      <c r="I718" s="119"/>
      <c r="J718" s="119"/>
      <c r="K718" s="119">
        <f t="shared" si="35"/>
        <v>68</v>
      </c>
      <c r="L718" s="152">
        <f t="shared" si="36"/>
        <v>59.02</v>
      </c>
      <c r="M718" s="113"/>
    </row>
    <row r="719" spans="1:13" x14ac:dyDescent="0.2">
      <c r="A719" s="106" t="s">
        <v>6767</v>
      </c>
      <c r="B719" s="272" t="s">
        <v>5686</v>
      </c>
      <c r="C719" s="105" t="s">
        <v>6784</v>
      </c>
      <c r="D719" s="149" t="s">
        <v>5824</v>
      </c>
      <c r="E719" s="105">
        <v>1</v>
      </c>
      <c r="F719" s="133">
        <v>12.17</v>
      </c>
      <c r="G719" s="133">
        <v>14.75</v>
      </c>
      <c r="H719" s="109">
        <f t="shared" si="34"/>
        <v>14.75</v>
      </c>
      <c r="I719" s="119"/>
      <c r="J719" s="119"/>
      <c r="K719" s="119">
        <f t="shared" si="35"/>
        <v>14.75</v>
      </c>
      <c r="L719" s="152">
        <f t="shared" si="36"/>
        <v>12.17</v>
      </c>
      <c r="M719" s="113"/>
    </row>
    <row r="720" spans="1:13" x14ac:dyDescent="0.2">
      <c r="A720" s="106" t="s">
        <v>6767</v>
      </c>
      <c r="B720" s="272" t="s">
        <v>4522</v>
      </c>
      <c r="C720" s="105" t="s">
        <v>6784</v>
      </c>
      <c r="D720" s="149" t="s">
        <v>4627</v>
      </c>
      <c r="E720" s="105">
        <v>2</v>
      </c>
      <c r="F720" s="133">
        <v>6.15</v>
      </c>
      <c r="G720" s="133">
        <v>7.25</v>
      </c>
      <c r="H720" s="109">
        <f t="shared" si="34"/>
        <v>14.5</v>
      </c>
      <c r="I720" s="119"/>
      <c r="J720" s="119"/>
      <c r="K720" s="119">
        <f t="shared" si="35"/>
        <v>14.5</v>
      </c>
      <c r="L720" s="152">
        <f t="shared" si="36"/>
        <v>12.3</v>
      </c>
      <c r="M720" s="113"/>
    </row>
    <row r="721" spans="1:13" x14ac:dyDescent="0.2">
      <c r="A721" s="106" t="s">
        <v>6767</v>
      </c>
      <c r="B721" s="272" t="s">
        <v>1924</v>
      </c>
      <c r="C721" s="105" t="s">
        <v>6785</v>
      </c>
      <c r="D721" s="149" t="s">
        <v>1926</v>
      </c>
      <c r="E721" s="105">
        <v>1</v>
      </c>
      <c r="F721" s="133">
        <v>10.64</v>
      </c>
      <c r="G721" s="133">
        <v>12.25</v>
      </c>
      <c r="H721" s="109">
        <f t="shared" si="34"/>
        <v>12.25</v>
      </c>
      <c r="I721" s="119"/>
      <c r="J721" s="119"/>
      <c r="K721" s="119">
        <f t="shared" si="35"/>
        <v>12.25</v>
      </c>
      <c r="L721" s="152">
        <f t="shared" si="36"/>
        <v>10.64</v>
      </c>
      <c r="M721" s="113"/>
    </row>
    <row r="722" spans="1:13" x14ac:dyDescent="0.2">
      <c r="A722" s="106" t="s">
        <v>6767</v>
      </c>
      <c r="B722" s="272" t="s">
        <v>2377</v>
      </c>
      <c r="C722" s="105" t="s">
        <v>6785</v>
      </c>
      <c r="D722" s="149" t="s">
        <v>2378</v>
      </c>
      <c r="E722" s="105">
        <v>1</v>
      </c>
      <c r="F722" s="133">
        <v>8.1999999999999993</v>
      </c>
      <c r="G722" s="133">
        <v>9.5</v>
      </c>
      <c r="H722" s="109">
        <f t="shared" si="34"/>
        <v>9.5</v>
      </c>
      <c r="I722" s="119"/>
      <c r="J722" s="119"/>
      <c r="K722" s="119">
        <f t="shared" si="35"/>
        <v>9.5</v>
      </c>
      <c r="L722" s="152">
        <f t="shared" si="36"/>
        <v>8.1999999999999993</v>
      </c>
      <c r="M722" s="113"/>
    </row>
    <row r="723" spans="1:13" x14ac:dyDescent="0.2">
      <c r="A723" s="106" t="s">
        <v>6759</v>
      </c>
      <c r="B723" s="272" t="s">
        <v>2162</v>
      </c>
      <c r="C723" s="105" t="s">
        <v>6786</v>
      </c>
      <c r="D723" s="149" t="s">
        <v>2163</v>
      </c>
      <c r="E723" s="105">
        <v>1</v>
      </c>
      <c r="F723" s="133">
        <v>67.290000000000006</v>
      </c>
      <c r="G723" s="133">
        <v>77.5</v>
      </c>
      <c r="H723" s="109">
        <f t="shared" si="34"/>
        <v>77.5</v>
      </c>
      <c r="I723" s="119"/>
      <c r="J723" s="119"/>
      <c r="K723" s="119">
        <f t="shared" si="35"/>
        <v>77.5</v>
      </c>
      <c r="L723" s="152">
        <f t="shared" si="36"/>
        <v>67.290000000000006</v>
      </c>
      <c r="M723" s="113"/>
    </row>
    <row r="724" spans="1:13" x14ac:dyDescent="0.2">
      <c r="A724" s="106" t="s">
        <v>6759</v>
      </c>
      <c r="B724" s="272" t="s">
        <v>2173</v>
      </c>
      <c r="C724" s="105" t="s">
        <v>6786</v>
      </c>
      <c r="D724" s="149" t="s">
        <v>2175</v>
      </c>
      <c r="E724" s="105">
        <v>1</v>
      </c>
      <c r="F724" s="133">
        <v>140</v>
      </c>
      <c r="G724" s="133">
        <v>161</v>
      </c>
      <c r="H724" s="109">
        <f t="shared" si="34"/>
        <v>161</v>
      </c>
      <c r="I724" s="119"/>
      <c r="J724" s="119"/>
      <c r="K724" s="119">
        <f t="shared" si="35"/>
        <v>161</v>
      </c>
      <c r="L724" s="152">
        <f t="shared" si="36"/>
        <v>140</v>
      </c>
      <c r="M724" s="113"/>
    </row>
    <row r="725" spans="1:13" x14ac:dyDescent="0.2">
      <c r="A725" s="106" t="s">
        <v>6759</v>
      </c>
      <c r="B725" s="272" t="s">
        <v>2809</v>
      </c>
      <c r="C725" s="105" t="s">
        <v>6787</v>
      </c>
      <c r="D725" s="149" t="s">
        <v>2810</v>
      </c>
      <c r="E725" s="105">
        <v>1</v>
      </c>
      <c r="F725" s="133">
        <v>53.81</v>
      </c>
      <c r="G725" s="133">
        <v>62</v>
      </c>
      <c r="H725" s="109">
        <f t="shared" si="34"/>
        <v>62</v>
      </c>
      <c r="I725" s="119"/>
      <c r="J725" s="119"/>
      <c r="K725" s="119">
        <f t="shared" si="35"/>
        <v>62</v>
      </c>
      <c r="L725" s="152">
        <f t="shared" si="36"/>
        <v>53.81</v>
      </c>
      <c r="M725" s="113"/>
    </row>
    <row r="726" spans="1:13" x14ac:dyDescent="0.2">
      <c r="A726" s="106" t="s">
        <v>6759</v>
      </c>
      <c r="B726" s="272" t="s">
        <v>2360</v>
      </c>
      <c r="C726" s="105" t="s">
        <v>6788</v>
      </c>
      <c r="D726" s="149" t="s">
        <v>2361</v>
      </c>
      <c r="E726" s="105">
        <v>1</v>
      </c>
      <c r="F726" s="133">
        <v>18.649999999999999</v>
      </c>
      <c r="G726" s="133">
        <v>21.5</v>
      </c>
      <c r="H726" s="109">
        <f t="shared" si="34"/>
        <v>21.5</v>
      </c>
      <c r="I726" s="119"/>
      <c r="J726" s="119"/>
      <c r="K726" s="119">
        <f t="shared" si="35"/>
        <v>21.5</v>
      </c>
      <c r="L726" s="152">
        <f t="shared" si="36"/>
        <v>18.649999999999999</v>
      </c>
      <c r="M726" s="113"/>
    </row>
    <row r="727" spans="1:13" x14ac:dyDescent="0.2">
      <c r="A727" s="106" t="s">
        <v>6759</v>
      </c>
      <c r="B727" s="272" t="s">
        <v>2257</v>
      </c>
      <c r="C727" s="105" t="s">
        <v>6789</v>
      </c>
      <c r="D727" s="149" t="s">
        <v>2258</v>
      </c>
      <c r="E727" s="105">
        <v>1</v>
      </c>
      <c r="F727" s="133">
        <v>59.5</v>
      </c>
      <c r="G727" s="133">
        <v>68.5</v>
      </c>
      <c r="H727" s="109">
        <f t="shared" si="34"/>
        <v>68.5</v>
      </c>
      <c r="I727" s="119"/>
      <c r="J727" s="119"/>
      <c r="K727" s="119">
        <f t="shared" si="35"/>
        <v>68.5</v>
      </c>
      <c r="L727" s="152">
        <f t="shared" si="36"/>
        <v>59.5</v>
      </c>
      <c r="M727" s="113"/>
    </row>
    <row r="728" spans="1:13" x14ac:dyDescent="0.2">
      <c r="A728" s="106" t="s">
        <v>6759</v>
      </c>
      <c r="B728" s="272" t="s">
        <v>2836</v>
      </c>
      <c r="C728" s="105" t="s">
        <v>6789</v>
      </c>
      <c r="D728" s="149" t="s">
        <v>2837</v>
      </c>
      <c r="E728" s="105">
        <v>1</v>
      </c>
      <c r="F728" s="133">
        <v>14.65</v>
      </c>
      <c r="G728" s="133">
        <v>17</v>
      </c>
      <c r="H728" s="109">
        <f t="shared" si="34"/>
        <v>17</v>
      </c>
      <c r="I728" s="119"/>
      <c r="J728" s="119"/>
      <c r="K728" s="119">
        <f t="shared" si="35"/>
        <v>17</v>
      </c>
      <c r="L728" s="152">
        <f t="shared" si="36"/>
        <v>14.65</v>
      </c>
      <c r="M728" s="113"/>
    </row>
    <row r="729" spans="1:13" x14ac:dyDescent="0.2">
      <c r="A729" s="106" t="s">
        <v>6759</v>
      </c>
      <c r="B729" s="272" t="s">
        <v>2836</v>
      </c>
      <c r="C729" s="105" t="s">
        <v>6790</v>
      </c>
      <c r="D729" s="149" t="s">
        <v>2837</v>
      </c>
      <c r="E729" s="105">
        <v>1</v>
      </c>
      <c r="F729" s="133">
        <v>14.65</v>
      </c>
      <c r="G729" s="133">
        <v>17</v>
      </c>
      <c r="H729" s="109">
        <f t="shared" si="34"/>
        <v>17</v>
      </c>
      <c r="I729" s="119"/>
      <c r="J729" s="119"/>
      <c r="K729" s="119">
        <f t="shared" si="35"/>
        <v>17</v>
      </c>
      <c r="L729" s="152">
        <f t="shared" si="36"/>
        <v>14.65</v>
      </c>
      <c r="M729" s="113"/>
    </row>
    <row r="730" spans="1:13" x14ac:dyDescent="0.2">
      <c r="A730" s="106" t="s">
        <v>6759</v>
      </c>
      <c r="B730" s="272" t="s">
        <v>2072</v>
      </c>
      <c r="C730" s="105" t="s">
        <v>6791</v>
      </c>
      <c r="D730" s="149" t="s">
        <v>2074</v>
      </c>
      <c r="E730" s="105">
        <v>2</v>
      </c>
      <c r="F730" s="133">
        <v>9.2799999999999994</v>
      </c>
      <c r="G730" s="133">
        <v>10.75</v>
      </c>
      <c r="H730" s="109">
        <f t="shared" si="34"/>
        <v>21.5</v>
      </c>
      <c r="I730" s="119"/>
      <c r="J730" s="119"/>
      <c r="K730" s="119">
        <f t="shared" si="35"/>
        <v>21.5</v>
      </c>
      <c r="L730" s="152">
        <f t="shared" si="36"/>
        <v>18.559999999999999</v>
      </c>
      <c r="M730" s="113"/>
    </row>
    <row r="731" spans="1:13" x14ac:dyDescent="0.2">
      <c r="A731" s="106" t="s">
        <v>6759</v>
      </c>
      <c r="B731" s="272" t="s">
        <v>5591</v>
      </c>
      <c r="C731" s="105" t="s">
        <v>6792</v>
      </c>
      <c r="D731" s="149" t="s">
        <v>5636</v>
      </c>
      <c r="E731" s="105">
        <v>1</v>
      </c>
      <c r="F731" s="133">
        <v>5.85</v>
      </c>
      <c r="G731" s="133">
        <v>7</v>
      </c>
      <c r="H731" s="109">
        <f t="shared" si="34"/>
        <v>7</v>
      </c>
      <c r="I731" s="119"/>
      <c r="J731" s="119"/>
      <c r="K731" s="119">
        <f t="shared" si="35"/>
        <v>7</v>
      </c>
      <c r="L731" s="152">
        <f t="shared" si="36"/>
        <v>5.85</v>
      </c>
      <c r="M731" s="113"/>
    </row>
    <row r="732" spans="1:13" x14ac:dyDescent="0.2">
      <c r="A732" s="106" t="s">
        <v>6759</v>
      </c>
      <c r="B732" s="272" t="s">
        <v>6768</v>
      </c>
      <c r="C732" s="105" t="s">
        <v>6792</v>
      </c>
      <c r="D732" s="149" t="s">
        <v>6818</v>
      </c>
      <c r="E732" s="105">
        <v>1</v>
      </c>
      <c r="F732" s="133">
        <v>6.15</v>
      </c>
      <c r="G732" s="133">
        <v>7.25</v>
      </c>
      <c r="H732" s="109">
        <f t="shared" si="34"/>
        <v>7.25</v>
      </c>
      <c r="I732" s="119"/>
      <c r="J732" s="119"/>
      <c r="K732" s="119">
        <f t="shared" si="35"/>
        <v>7.25</v>
      </c>
      <c r="L732" s="152">
        <f t="shared" si="36"/>
        <v>6.15</v>
      </c>
      <c r="M732" s="113"/>
    </row>
    <row r="733" spans="1:13" x14ac:dyDescent="0.2">
      <c r="A733" s="106" t="s">
        <v>6759</v>
      </c>
      <c r="B733" s="272" t="s">
        <v>3993</v>
      </c>
      <c r="C733" s="105" t="s">
        <v>6793</v>
      </c>
      <c r="D733" s="149" t="s">
        <v>3995</v>
      </c>
      <c r="E733" s="105">
        <v>1</v>
      </c>
      <c r="F733" s="133">
        <v>18.649999999999999</v>
      </c>
      <c r="G733" s="133">
        <v>21.5</v>
      </c>
      <c r="H733" s="109">
        <f t="shared" si="34"/>
        <v>21.5</v>
      </c>
      <c r="I733" s="119"/>
      <c r="J733" s="119"/>
      <c r="K733" s="119">
        <f t="shared" si="35"/>
        <v>21.5</v>
      </c>
      <c r="L733" s="152">
        <f t="shared" si="36"/>
        <v>18.649999999999999</v>
      </c>
      <c r="M733" s="113"/>
    </row>
    <row r="734" spans="1:13" x14ac:dyDescent="0.2">
      <c r="A734" s="106" t="s">
        <v>6759</v>
      </c>
      <c r="B734" s="272" t="s">
        <v>4567</v>
      </c>
      <c r="C734" s="105" t="s">
        <v>6794</v>
      </c>
      <c r="D734" s="149" t="s">
        <v>4672</v>
      </c>
      <c r="E734" s="105">
        <v>3</v>
      </c>
      <c r="F734" s="133">
        <v>7.06</v>
      </c>
      <c r="G734" s="133">
        <v>8.25</v>
      </c>
      <c r="H734" s="109">
        <f t="shared" si="34"/>
        <v>24.75</v>
      </c>
      <c r="I734" s="119"/>
      <c r="J734" s="119"/>
      <c r="K734" s="119">
        <f t="shared" si="35"/>
        <v>24.75</v>
      </c>
      <c r="L734" s="152">
        <f t="shared" si="36"/>
        <v>21.18</v>
      </c>
      <c r="M734" s="113"/>
    </row>
    <row r="735" spans="1:13" x14ac:dyDescent="0.2">
      <c r="A735" s="106" t="s">
        <v>6759</v>
      </c>
      <c r="B735" s="272" t="s">
        <v>3434</v>
      </c>
      <c r="C735" s="105" t="s">
        <v>6794</v>
      </c>
      <c r="D735" s="149" t="s">
        <v>3436</v>
      </c>
      <c r="E735" s="105">
        <v>3</v>
      </c>
      <c r="F735" s="133">
        <v>7.41</v>
      </c>
      <c r="G735" s="133">
        <v>8.75</v>
      </c>
      <c r="H735" s="109">
        <f t="shared" si="34"/>
        <v>26.25</v>
      </c>
      <c r="I735" s="119"/>
      <c r="J735" s="119"/>
      <c r="K735" s="119">
        <f t="shared" si="35"/>
        <v>26.25</v>
      </c>
      <c r="L735" s="152">
        <f t="shared" si="36"/>
        <v>22.23</v>
      </c>
      <c r="M735" s="113"/>
    </row>
    <row r="736" spans="1:13" x14ac:dyDescent="0.2">
      <c r="A736" s="106" t="s">
        <v>6759</v>
      </c>
      <c r="B736" s="272" t="s">
        <v>3909</v>
      </c>
      <c r="C736" s="105" t="s">
        <v>6794</v>
      </c>
      <c r="D736" s="149" t="s">
        <v>3911</v>
      </c>
      <c r="E736" s="105">
        <v>3</v>
      </c>
      <c r="F736" s="133">
        <v>7.06</v>
      </c>
      <c r="G736" s="133">
        <v>8.25</v>
      </c>
      <c r="H736" s="109">
        <f t="shared" si="34"/>
        <v>24.75</v>
      </c>
      <c r="I736" s="119"/>
      <c r="J736" s="119"/>
      <c r="K736" s="119">
        <f t="shared" si="35"/>
        <v>24.75</v>
      </c>
      <c r="L736" s="152">
        <f t="shared" si="36"/>
        <v>21.18</v>
      </c>
      <c r="M736" s="113"/>
    </row>
    <row r="737" spans="1:13" x14ac:dyDescent="0.2">
      <c r="A737" s="106" t="s">
        <v>6759</v>
      </c>
      <c r="B737" s="272" t="s">
        <v>3793</v>
      </c>
      <c r="C737" s="105" t="s">
        <v>6794</v>
      </c>
      <c r="D737" s="149" t="s">
        <v>3795</v>
      </c>
      <c r="E737" s="105">
        <v>1</v>
      </c>
      <c r="F737" s="133">
        <v>8.3800000000000008</v>
      </c>
      <c r="G737" s="133">
        <v>9.75</v>
      </c>
      <c r="H737" s="109">
        <f t="shared" si="34"/>
        <v>9.75</v>
      </c>
      <c r="I737" s="119"/>
      <c r="J737" s="119"/>
      <c r="K737" s="119">
        <f t="shared" si="35"/>
        <v>9.75</v>
      </c>
      <c r="L737" s="152">
        <f t="shared" si="36"/>
        <v>8.3800000000000008</v>
      </c>
      <c r="M737" s="113"/>
    </row>
    <row r="738" spans="1:13" x14ac:dyDescent="0.2">
      <c r="A738" s="106" t="s">
        <v>6759</v>
      </c>
      <c r="B738" s="272" t="s">
        <v>5415</v>
      </c>
      <c r="C738" s="105" t="s">
        <v>6795</v>
      </c>
      <c r="D738" s="149" t="s">
        <v>5466</v>
      </c>
      <c r="E738" s="105">
        <v>2</v>
      </c>
      <c r="F738" s="133">
        <v>3.7</v>
      </c>
      <c r="G738" s="133">
        <v>5</v>
      </c>
      <c r="H738" s="109">
        <f t="shared" si="34"/>
        <v>10</v>
      </c>
      <c r="I738" s="119"/>
      <c r="J738" s="119"/>
      <c r="K738" s="119">
        <f t="shared" si="35"/>
        <v>10</v>
      </c>
      <c r="L738" s="152">
        <f t="shared" si="36"/>
        <v>7.4</v>
      </c>
      <c r="M738" s="113"/>
    </row>
    <row r="739" spans="1:13" x14ac:dyDescent="0.2">
      <c r="A739" s="106" t="s">
        <v>6759</v>
      </c>
      <c r="B739" s="272" t="s">
        <v>4806</v>
      </c>
      <c r="C739" s="105" t="s">
        <v>6796</v>
      </c>
      <c r="D739" s="149" t="s">
        <v>4874</v>
      </c>
      <c r="E739" s="105">
        <v>1</v>
      </c>
      <c r="F739" s="133">
        <v>8.58</v>
      </c>
      <c r="G739" s="133">
        <v>10</v>
      </c>
      <c r="H739" s="109">
        <f t="shared" si="34"/>
        <v>10</v>
      </c>
      <c r="I739" s="119"/>
      <c r="J739" s="119"/>
      <c r="K739" s="119">
        <f t="shared" si="35"/>
        <v>10</v>
      </c>
      <c r="L739" s="152">
        <f t="shared" si="36"/>
        <v>8.58</v>
      </c>
      <c r="M739" s="113"/>
    </row>
    <row r="740" spans="1:13" x14ac:dyDescent="0.2">
      <c r="A740" s="106" t="s">
        <v>6759</v>
      </c>
      <c r="B740" s="272" t="s">
        <v>3434</v>
      </c>
      <c r="C740" s="105" t="s">
        <v>6797</v>
      </c>
      <c r="D740" s="149" t="s">
        <v>3436</v>
      </c>
      <c r="E740" s="105">
        <v>3</v>
      </c>
      <c r="F740" s="133">
        <v>7.41</v>
      </c>
      <c r="G740" s="133">
        <v>8.75</v>
      </c>
      <c r="H740" s="109">
        <f t="shared" si="34"/>
        <v>26.25</v>
      </c>
      <c r="I740" s="119"/>
      <c r="J740" s="119"/>
      <c r="K740" s="119">
        <f t="shared" si="35"/>
        <v>26.25</v>
      </c>
      <c r="L740" s="152">
        <f t="shared" si="36"/>
        <v>22.23</v>
      </c>
      <c r="M740" s="113"/>
    </row>
    <row r="741" spans="1:13" x14ac:dyDescent="0.2">
      <c r="A741" s="106" t="s">
        <v>6759</v>
      </c>
      <c r="B741" s="272" t="s">
        <v>6354</v>
      </c>
      <c r="C741" s="105" t="s">
        <v>6797</v>
      </c>
      <c r="D741" s="149" t="s">
        <v>6695</v>
      </c>
      <c r="E741" s="105">
        <v>2</v>
      </c>
      <c r="F741" s="133">
        <v>7.7</v>
      </c>
      <c r="G741" s="133">
        <v>9</v>
      </c>
      <c r="H741" s="109">
        <f t="shared" si="34"/>
        <v>18</v>
      </c>
      <c r="I741" s="119"/>
      <c r="J741" s="119"/>
      <c r="K741" s="119">
        <f t="shared" si="35"/>
        <v>18</v>
      </c>
      <c r="L741" s="152">
        <f t="shared" si="36"/>
        <v>15.4</v>
      </c>
      <c r="M741" s="113"/>
    </row>
    <row r="742" spans="1:13" x14ac:dyDescent="0.2">
      <c r="A742" s="106" t="s">
        <v>6759</v>
      </c>
      <c r="B742" s="272" t="s">
        <v>3986</v>
      </c>
      <c r="C742" s="105" t="s">
        <v>6797</v>
      </c>
      <c r="D742" s="149" t="s">
        <v>3988</v>
      </c>
      <c r="E742" s="105">
        <v>1</v>
      </c>
      <c r="F742" s="133">
        <v>31.04</v>
      </c>
      <c r="G742" s="133">
        <v>37</v>
      </c>
      <c r="H742" s="109">
        <f t="shared" si="34"/>
        <v>37</v>
      </c>
      <c r="I742" s="119"/>
      <c r="J742" s="119"/>
      <c r="K742" s="119">
        <f t="shared" si="35"/>
        <v>37</v>
      </c>
      <c r="L742" s="152">
        <f t="shared" si="36"/>
        <v>31.04</v>
      </c>
      <c r="M742" s="113"/>
    </row>
    <row r="743" spans="1:13" x14ac:dyDescent="0.2">
      <c r="A743" s="106" t="s">
        <v>6759</v>
      </c>
      <c r="B743" s="272" t="s">
        <v>2857</v>
      </c>
      <c r="C743" s="105" t="s">
        <v>6797</v>
      </c>
      <c r="D743" s="149" t="s">
        <v>2859</v>
      </c>
      <c r="E743" s="105">
        <v>6</v>
      </c>
      <c r="F743" s="133">
        <v>6.96</v>
      </c>
      <c r="G743" s="133">
        <v>8</v>
      </c>
      <c r="H743" s="109">
        <f t="shared" si="34"/>
        <v>48</v>
      </c>
      <c r="I743" s="119"/>
      <c r="J743" s="119"/>
      <c r="K743" s="119">
        <f t="shared" si="35"/>
        <v>48</v>
      </c>
      <c r="L743" s="152">
        <f t="shared" si="36"/>
        <v>41.76</v>
      </c>
      <c r="M743" s="113"/>
    </row>
    <row r="744" spans="1:13" x14ac:dyDescent="0.2">
      <c r="A744" s="106" t="s">
        <v>6759</v>
      </c>
      <c r="B744" s="272" t="s">
        <v>5977</v>
      </c>
      <c r="C744" s="105" t="s">
        <v>6798</v>
      </c>
      <c r="D744" s="149" t="s">
        <v>6095</v>
      </c>
      <c r="E744" s="105">
        <v>50</v>
      </c>
      <c r="F744" s="133">
        <v>7.73</v>
      </c>
      <c r="G744" s="133">
        <v>9.25</v>
      </c>
      <c r="H744" s="109">
        <f t="shared" si="34"/>
        <v>462.5</v>
      </c>
      <c r="I744" s="119"/>
      <c r="J744" s="119"/>
      <c r="K744" s="119">
        <f t="shared" si="35"/>
        <v>462.5</v>
      </c>
      <c r="L744" s="152">
        <f t="shared" si="36"/>
        <v>386.5</v>
      </c>
      <c r="M744" s="113"/>
    </row>
    <row r="745" spans="1:13" x14ac:dyDescent="0.2">
      <c r="A745" s="106" t="s">
        <v>6759</v>
      </c>
      <c r="B745" s="272" t="s">
        <v>6769</v>
      </c>
      <c r="C745" s="105" t="s">
        <v>6798</v>
      </c>
      <c r="D745" s="149" t="s">
        <v>6819</v>
      </c>
      <c r="E745" s="105">
        <v>10</v>
      </c>
      <c r="F745" s="133">
        <v>5.27</v>
      </c>
      <c r="G745" s="133">
        <v>6.5</v>
      </c>
      <c r="H745" s="109">
        <f t="shared" si="34"/>
        <v>65</v>
      </c>
      <c r="I745" s="119"/>
      <c r="J745" s="119"/>
      <c r="K745" s="119">
        <f t="shared" si="35"/>
        <v>65</v>
      </c>
      <c r="L745" s="152">
        <f t="shared" si="36"/>
        <v>52.699999999999996</v>
      </c>
      <c r="M745" s="113"/>
    </row>
    <row r="746" spans="1:13" x14ac:dyDescent="0.2">
      <c r="A746" s="106" t="s">
        <v>6759</v>
      </c>
      <c r="B746" s="272" t="s">
        <v>3027</v>
      </c>
      <c r="C746" s="105" t="s">
        <v>6798</v>
      </c>
      <c r="D746" s="149" t="s">
        <v>3028</v>
      </c>
      <c r="E746" s="105">
        <v>7</v>
      </c>
      <c r="F746" s="133">
        <v>6.37</v>
      </c>
      <c r="G746" s="133">
        <v>7.5</v>
      </c>
      <c r="H746" s="109">
        <f t="shared" si="34"/>
        <v>52.5</v>
      </c>
      <c r="I746" s="119"/>
      <c r="J746" s="119"/>
      <c r="K746" s="119">
        <f t="shared" si="35"/>
        <v>52.5</v>
      </c>
      <c r="L746" s="152">
        <f t="shared" si="36"/>
        <v>44.59</v>
      </c>
      <c r="M746" s="113"/>
    </row>
    <row r="747" spans="1:13" x14ac:dyDescent="0.2">
      <c r="A747" s="106" t="s">
        <v>6759</v>
      </c>
      <c r="B747" s="272" t="s">
        <v>2665</v>
      </c>
      <c r="C747" s="105" t="s">
        <v>6798</v>
      </c>
      <c r="D747" s="149" t="s">
        <v>2667</v>
      </c>
      <c r="E747" s="105">
        <v>2</v>
      </c>
      <c r="F747" s="133">
        <v>18.57</v>
      </c>
      <c r="G747" s="133">
        <v>21.75</v>
      </c>
      <c r="H747" s="109">
        <f t="shared" si="34"/>
        <v>43.5</v>
      </c>
      <c r="I747" s="119"/>
      <c r="J747" s="119"/>
      <c r="K747" s="119">
        <f t="shared" si="35"/>
        <v>43.5</v>
      </c>
      <c r="L747" s="152">
        <f t="shared" si="36"/>
        <v>37.14</v>
      </c>
      <c r="M747" s="113"/>
    </row>
    <row r="748" spans="1:13" x14ac:dyDescent="0.2">
      <c r="A748" s="106" t="s">
        <v>6759</v>
      </c>
      <c r="B748" s="272" t="s">
        <v>2794</v>
      </c>
      <c r="C748" s="105" t="s">
        <v>6798</v>
      </c>
      <c r="D748" s="149" t="s">
        <v>2795</v>
      </c>
      <c r="E748" s="105">
        <v>1</v>
      </c>
      <c r="F748" s="133">
        <v>23.15</v>
      </c>
      <c r="G748" s="133">
        <v>27</v>
      </c>
      <c r="H748" s="109">
        <f t="shared" si="34"/>
        <v>27</v>
      </c>
      <c r="I748" s="119"/>
      <c r="J748" s="119"/>
      <c r="K748" s="119">
        <f t="shared" si="35"/>
        <v>27</v>
      </c>
      <c r="L748" s="152">
        <f t="shared" si="36"/>
        <v>23.15</v>
      </c>
      <c r="M748" s="113"/>
    </row>
    <row r="749" spans="1:13" x14ac:dyDescent="0.2">
      <c r="A749" s="106" t="s">
        <v>6759</v>
      </c>
      <c r="B749" s="272" t="s">
        <v>3352</v>
      </c>
      <c r="C749" s="105" t="s">
        <v>6798</v>
      </c>
      <c r="D749" s="149" t="s">
        <v>3353</v>
      </c>
      <c r="E749" s="105">
        <v>7</v>
      </c>
      <c r="F749" s="133">
        <v>6.35</v>
      </c>
      <c r="G749" s="133">
        <v>7.5</v>
      </c>
      <c r="H749" s="109">
        <f t="shared" si="34"/>
        <v>52.5</v>
      </c>
      <c r="I749" s="119"/>
      <c r="J749" s="119"/>
      <c r="K749" s="119">
        <f t="shared" si="35"/>
        <v>52.5</v>
      </c>
      <c r="L749" s="152">
        <f t="shared" si="36"/>
        <v>44.449999999999996</v>
      </c>
      <c r="M749" s="113"/>
    </row>
    <row r="750" spans="1:13" x14ac:dyDescent="0.2">
      <c r="A750" s="106" t="s">
        <v>6759</v>
      </c>
      <c r="B750" s="272" t="s">
        <v>4806</v>
      </c>
      <c r="C750" s="105" t="s">
        <v>6799</v>
      </c>
      <c r="D750" s="149" t="s">
        <v>4874</v>
      </c>
      <c r="E750" s="105">
        <v>1</v>
      </c>
      <c r="F750" s="133">
        <v>8.58</v>
      </c>
      <c r="G750" s="133">
        <v>10</v>
      </c>
      <c r="H750" s="109">
        <f t="shared" si="34"/>
        <v>10</v>
      </c>
      <c r="I750" s="119"/>
      <c r="J750" s="119"/>
      <c r="K750" s="119">
        <f t="shared" si="35"/>
        <v>10</v>
      </c>
      <c r="L750" s="152">
        <f t="shared" si="36"/>
        <v>8.58</v>
      </c>
      <c r="M750" s="113"/>
    </row>
    <row r="751" spans="1:13" x14ac:dyDescent="0.2">
      <c r="A751" s="106" t="s">
        <v>6759</v>
      </c>
      <c r="B751" s="272" t="s">
        <v>3942</v>
      </c>
      <c r="C751" s="105" t="s">
        <v>6800</v>
      </c>
      <c r="D751" s="149" t="s">
        <v>3943</v>
      </c>
      <c r="E751" s="105">
        <v>1</v>
      </c>
      <c r="F751" s="133">
        <v>30.04</v>
      </c>
      <c r="G751" s="133">
        <v>34.75</v>
      </c>
      <c r="H751" s="109">
        <f t="shared" si="34"/>
        <v>34.75</v>
      </c>
      <c r="I751" s="119"/>
      <c r="J751" s="119"/>
      <c r="K751" s="119">
        <f t="shared" si="35"/>
        <v>34.75</v>
      </c>
      <c r="L751" s="152">
        <f t="shared" si="36"/>
        <v>30.04</v>
      </c>
      <c r="M751" s="113"/>
    </row>
    <row r="752" spans="1:13" x14ac:dyDescent="0.2">
      <c r="A752" s="106" t="s">
        <v>6759</v>
      </c>
      <c r="B752" s="272" t="s">
        <v>4567</v>
      </c>
      <c r="C752" s="105" t="s">
        <v>6800</v>
      </c>
      <c r="D752" s="149" t="s">
        <v>4672</v>
      </c>
      <c r="E752" s="105">
        <v>1</v>
      </c>
      <c r="F752" s="133">
        <v>7.06</v>
      </c>
      <c r="G752" s="133">
        <v>8.25</v>
      </c>
      <c r="H752" s="109">
        <f t="shared" si="34"/>
        <v>8.25</v>
      </c>
      <c r="I752" s="119"/>
      <c r="J752" s="119"/>
      <c r="K752" s="119">
        <f t="shared" si="35"/>
        <v>8.25</v>
      </c>
      <c r="L752" s="152">
        <f t="shared" si="36"/>
        <v>7.06</v>
      </c>
      <c r="M752" s="113"/>
    </row>
    <row r="753" spans="1:13" x14ac:dyDescent="0.2">
      <c r="A753" s="106" t="s">
        <v>6759</v>
      </c>
      <c r="B753" s="272" t="s">
        <v>1905</v>
      </c>
      <c r="C753" s="105" t="s">
        <v>6801</v>
      </c>
      <c r="D753" s="149" t="s">
        <v>1906</v>
      </c>
      <c r="E753" s="105">
        <v>1</v>
      </c>
      <c r="F753" s="133">
        <v>15.51</v>
      </c>
      <c r="G753" s="133">
        <v>18</v>
      </c>
      <c r="H753" s="109">
        <f t="shared" si="34"/>
        <v>18</v>
      </c>
      <c r="I753" s="119"/>
      <c r="J753" s="119"/>
      <c r="K753" s="119">
        <f t="shared" si="35"/>
        <v>18</v>
      </c>
      <c r="L753" s="152">
        <f t="shared" si="36"/>
        <v>15.51</v>
      </c>
      <c r="M753" s="113"/>
    </row>
    <row r="754" spans="1:13" x14ac:dyDescent="0.2">
      <c r="A754" s="106" t="s">
        <v>6759</v>
      </c>
      <c r="B754" s="272" t="s">
        <v>2438</v>
      </c>
      <c r="C754" s="105" t="s">
        <v>6802</v>
      </c>
      <c r="D754" s="149" t="s">
        <v>2440</v>
      </c>
      <c r="E754" s="105">
        <v>1</v>
      </c>
      <c r="F754" s="133">
        <v>15.51</v>
      </c>
      <c r="G754" s="133">
        <v>18</v>
      </c>
      <c r="H754" s="109">
        <f t="shared" si="34"/>
        <v>18</v>
      </c>
      <c r="I754" s="119"/>
      <c r="J754" s="119"/>
      <c r="K754" s="119">
        <f t="shared" si="35"/>
        <v>18</v>
      </c>
      <c r="L754" s="152">
        <f t="shared" si="36"/>
        <v>15.51</v>
      </c>
      <c r="M754" s="113"/>
    </row>
    <row r="755" spans="1:13" x14ac:dyDescent="0.2">
      <c r="A755" s="106" t="s">
        <v>6759</v>
      </c>
      <c r="B755" s="272" t="s">
        <v>1802</v>
      </c>
      <c r="C755" s="105" t="s">
        <v>6802</v>
      </c>
      <c r="D755" s="149" t="s">
        <v>1803</v>
      </c>
      <c r="E755" s="105">
        <v>1</v>
      </c>
      <c r="F755" s="133">
        <v>7.75</v>
      </c>
      <c r="G755" s="133">
        <v>9</v>
      </c>
      <c r="H755" s="109">
        <f t="shared" si="34"/>
        <v>9</v>
      </c>
      <c r="I755" s="119"/>
      <c r="J755" s="119"/>
      <c r="K755" s="119">
        <f t="shared" si="35"/>
        <v>9</v>
      </c>
      <c r="L755" s="152">
        <f t="shared" si="36"/>
        <v>7.75</v>
      </c>
      <c r="M755" s="113"/>
    </row>
    <row r="756" spans="1:13" x14ac:dyDescent="0.2">
      <c r="A756" s="106" t="s">
        <v>6759</v>
      </c>
      <c r="B756" s="272" t="s">
        <v>3778</v>
      </c>
      <c r="C756" s="105" t="s">
        <v>6803</v>
      </c>
      <c r="D756" s="149" t="s">
        <v>3780</v>
      </c>
      <c r="E756" s="105">
        <v>1</v>
      </c>
      <c r="F756" s="133">
        <v>38.25</v>
      </c>
      <c r="G756" s="133">
        <v>44</v>
      </c>
      <c r="H756" s="109">
        <f t="shared" si="34"/>
        <v>44</v>
      </c>
      <c r="I756" s="119"/>
      <c r="J756" s="119"/>
      <c r="K756" s="119">
        <f t="shared" si="35"/>
        <v>44</v>
      </c>
      <c r="L756" s="152">
        <f t="shared" si="36"/>
        <v>38.25</v>
      </c>
      <c r="M756" s="113"/>
    </row>
    <row r="757" spans="1:13" x14ac:dyDescent="0.2">
      <c r="A757" s="106" t="s">
        <v>6759</v>
      </c>
      <c r="B757" s="272" t="s">
        <v>4368</v>
      </c>
      <c r="C757" s="105" t="s">
        <v>6804</v>
      </c>
      <c r="D757" s="149" t="s">
        <v>4432</v>
      </c>
      <c r="E757" s="105">
        <v>1</v>
      </c>
      <c r="F757" s="133">
        <v>9.27</v>
      </c>
      <c r="G757" s="133">
        <v>10.75</v>
      </c>
      <c r="H757" s="109">
        <f t="shared" si="34"/>
        <v>10.75</v>
      </c>
      <c r="I757" s="119"/>
      <c r="J757" s="119"/>
      <c r="K757" s="119">
        <f t="shared" si="35"/>
        <v>10.75</v>
      </c>
      <c r="L757" s="152">
        <f t="shared" si="36"/>
        <v>9.27</v>
      </c>
      <c r="M757" s="113"/>
    </row>
    <row r="758" spans="1:13" x14ac:dyDescent="0.2">
      <c r="A758" s="106" t="s">
        <v>6759</v>
      </c>
      <c r="B758" s="272" t="s">
        <v>4567</v>
      </c>
      <c r="C758" s="105" t="s">
        <v>6805</v>
      </c>
      <c r="D758" s="149" t="s">
        <v>4672</v>
      </c>
      <c r="E758" s="105">
        <v>2</v>
      </c>
      <c r="F758" s="133">
        <v>7.06</v>
      </c>
      <c r="G758" s="133">
        <v>8.25</v>
      </c>
      <c r="H758" s="109">
        <f t="shared" si="34"/>
        <v>16.5</v>
      </c>
      <c r="I758" s="119"/>
      <c r="J758" s="119"/>
      <c r="K758" s="119">
        <f t="shared" si="35"/>
        <v>16.5</v>
      </c>
      <c r="L758" s="152">
        <f t="shared" si="36"/>
        <v>14.12</v>
      </c>
      <c r="M758" s="113"/>
    </row>
    <row r="759" spans="1:13" x14ac:dyDescent="0.2">
      <c r="A759" s="106" t="s">
        <v>6759</v>
      </c>
      <c r="B759" s="272" t="s">
        <v>4199</v>
      </c>
      <c r="C759" s="105" t="s">
        <v>6805</v>
      </c>
      <c r="D759" s="149" t="s">
        <v>4200</v>
      </c>
      <c r="E759" s="105">
        <v>1</v>
      </c>
      <c r="F759" s="133">
        <v>24.24</v>
      </c>
      <c r="G759" s="133">
        <v>29.25</v>
      </c>
      <c r="H759" s="109">
        <f t="shared" si="34"/>
        <v>29.25</v>
      </c>
      <c r="I759" s="119"/>
      <c r="J759" s="119"/>
      <c r="K759" s="119">
        <f t="shared" si="35"/>
        <v>29.25</v>
      </c>
      <c r="L759" s="152">
        <f t="shared" si="36"/>
        <v>24.24</v>
      </c>
      <c r="M759" s="113"/>
    </row>
    <row r="760" spans="1:13" x14ac:dyDescent="0.2">
      <c r="A760" s="106" t="s">
        <v>6759</v>
      </c>
      <c r="B760" s="272" t="s">
        <v>4068</v>
      </c>
      <c r="C760" s="105" t="s">
        <v>6806</v>
      </c>
      <c r="D760" s="149" t="s">
        <v>4070</v>
      </c>
      <c r="E760" s="105">
        <v>4</v>
      </c>
      <c r="F760" s="133">
        <v>20.57</v>
      </c>
      <c r="G760" s="133">
        <v>23.75</v>
      </c>
      <c r="H760" s="109">
        <f t="shared" si="34"/>
        <v>95</v>
      </c>
      <c r="I760" s="119"/>
      <c r="J760" s="119"/>
      <c r="K760" s="119">
        <f t="shared" si="35"/>
        <v>95</v>
      </c>
      <c r="L760" s="152">
        <f t="shared" si="36"/>
        <v>82.28</v>
      </c>
      <c r="M760" s="113"/>
    </row>
    <row r="761" spans="1:13" x14ac:dyDescent="0.2">
      <c r="A761" s="106" t="s">
        <v>6759</v>
      </c>
      <c r="B761" s="272" t="s">
        <v>4129</v>
      </c>
      <c r="C761" s="105" t="s">
        <v>6806</v>
      </c>
      <c r="D761" s="149" t="s">
        <v>4130</v>
      </c>
      <c r="E761" s="105">
        <v>12</v>
      </c>
      <c r="F761" s="133">
        <v>5.25</v>
      </c>
      <c r="G761" s="133">
        <v>6</v>
      </c>
      <c r="H761" s="109">
        <f t="shared" si="34"/>
        <v>72</v>
      </c>
      <c r="I761" s="119"/>
      <c r="J761" s="119"/>
      <c r="K761" s="119">
        <f t="shared" si="35"/>
        <v>72</v>
      </c>
      <c r="L761" s="152">
        <f t="shared" si="36"/>
        <v>63</v>
      </c>
      <c r="M761" s="113"/>
    </row>
    <row r="762" spans="1:13" x14ac:dyDescent="0.2">
      <c r="A762" s="106" t="s">
        <v>6759</v>
      </c>
      <c r="B762" s="272" t="s">
        <v>1806</v>
      </c>
      <c r="C762" s="105" t="s">
        <v>6806</v>
      </c>
      <c r="D762" s="149" t="s">
        <v>1807</v>
      </c>
      <c r="E762" s="105">
        <v>1</v>
      </c>
      <c r="F762" s="133">
        <v>15.65</v>
      </c>
      <c r="G762" s="133">
        <v>18</v>
      </c>
      <c r="H762" s="109">
        <f t="shared" si="34"/>
        <v>18</v>
      </c>
      <c r="I762" s="119"/>
      <c r="J762" s="119"/>
      <c r="K762" s="119">
        <f t="shared" si="35"/>
        <v>18</v>
      </c>
      <c r="L762" s="152">
        <f t="shared" si="36"/>
        <v>15.65</v>
      </c>
      <c r="M762" s="113"/>
    </row>
    <row r="763" spans="1:13" x14ac:dyDescent="0.2">
      <c r="A763" s="106" t="s">
        <v>6759</v>
      </c>
      <c r="B763" s="272" t="s">
        <v>4567</v>
      </c>
      <c r="C763" s="105" t="s">
        <v>6806</v>
      </c>
      <c r="D763" s="149" t="s">
        <v>4672</v>
      </c>
      <c r="E763" s="105">
        <v>2</v>
      </c>
      <c r="F763" s="133">
        <v>7.06</v>
      </c>
      <c r="G763" s="133">
        <v>8.25</v>
      </c>
      <c r="H763" s="109">
        <f t="shared" si="34"/>
        <v>16.5</v>
      </c>
      <c r="I763" s="119"/>
      <c r="J763" s="119"/>
      <c r="K763" s="119">
        <f t="shared" si="35"/>
        <v>16.5</v>
      </c>
      <c r="L763" s="152">
        <f t="shared" si="36"/>
        <v>14.12</v>
      </c>
      <c r="M763" s="113"/>
    </row>
    <row r="764" spans="1:13" x14ac:dyDescent="0.2">
      <c r="A764" s="106" t="s">
        <v>6759</v>
      </c>
      <c r="B764" s="272" t="s">
        <v>2403</v>
      </c>
      <c r="C764" s="105" t="s">
        <v>6807</v>
      </c>
      <c r="D764" s="149" t="s">
        <v>2404</v>
      </c>
      <c r="E764" s="105">
        <v>1</v>
      </c>
      <c r="F764" s="133">
        <v>99.04</v>
      </c>
      <c r="G764" s="133">
        <v>114</v>
      </c>
      <c r="H764" s="109">
        <f t="shared" si="34"/>
        <v>114</v>
      </c>
      <c r="I764" s="119"/>
      <c r="J764" s="119"/>
      <c r="K764" s="119">
        <f t="shared" si="35"/>
        <v>114</v>
      </c>
      <c r="L764" s="152">
        <f t="shared" si="36"/>
        <v>99.04</v>
      </c>
      <c r="M764" s="113"/>
    </row>
    <row r="765" spans="1:13" x14ac:dyDescent="0.2">
      <c r="A765" s="106" t="s">
        <v>6759</v>
      </c>
      <c r="B765" s="272" t="s">
        <v>2884</v>
      </c>
      <c r="C765" s="105" t="s">
        <v>6808</v>
      </c>
      <c r="D765" s="149" t="s">
        <v>2886</v>
      </c>
      <c r="E765" s="105">
        <v>5</v>
      </c>
      <c r="F765" s="133">
        <v>251.67</v>
      </c>
      <c r="G765" s="133">
        <v>362.75</v>
      </c>
      <c r="H765" s="109">
        <f t="shared" si="34"/>
        <v>1813.75</v>
      </c>
      <c r="I765" s="119"/>
      <c r="J765" s="119"/>
      <c r="K765" s="119">
        <f t="shared" si="35"/>
        <v>1813.75</v>
      </c>
      <c r="L765" s="152">
        <f t="shared" si="36"/>
        <v>1258.3499999999999</v>
      </c>
      <c r="M765" s="113"/>
    </row>
    <row r="766" spans="1:13" x14ac:dyDescent="0.2">
      <c r="A766" s="106" t="s">
        <v>6759</v>
      </c>
      <c r="B766" s="272" t="s">
        <v>2884</v>
      </c>
      <c r="C766" s="105" t="s">
        <v>6809</v>
      </c>
      <c r="D766" s="149" t="s">
        <v>2886</v>
      </c>
      <c r="E766" s="105">
        <v>6</v>
      </c>
      <c r="F766" s="133">
        <v>251.67</v>
      </c>
      <c r="G766" s="133">
        <v>362.75</v>
      </c>
      <c r="H766" s="109">
        <f t="shared" si="34"/>
        <v>2176.5</v>
      </c>
      <c r="I766" s="119"/>
      <c r="J766" s="119"/>
      <c r="K766" s="119">
        <f t="shared" si="35"/>
        <v>2176.5</v>
      </c>
      <c r="L766" s="152">
        <f t="shared" si="36"/>
        <v>1510.02</v>
      </c>
      <c r="M766" s="113"/>
    </row>
    <row r="767" spans="1:13" x14ac:dyDescent="0.2">
      <c r="A767" s="106" t="s">
        <v>6759</v>
      </c>
      <c r="B767" s="272" t="s">
        <v>4716</v>
      </c>
      <c r="C767" s="105" t="s">
        <v>6810</v>
      </c>
      <c r="D767" s="149" t="s">
        <v>4751</v>
      </c>
      <c r="E767" s="105">
        <v>5</v>
      </c>
      <c r="F767" s="133">
        <v>0.81</v>
      </c>
      <c r="G767" s="133">
        <v>1</v>
      </c>
      <c r="H767" s="109">
        <f t="shared" si="34"/>
        <v>5</v>
      </c>
      <c r="I767" s="119"/>
      <c r="J767" s="119"/>
      <c r="K767" s="119">
        <f t="shared" si="35"/>
        <v>5</v>
      </c>
      <c r="L767" s="152">
        <f t="shared" si="36"/>
        <v>4.0500000000000007</v>
      </c>
      <c r="M767" s="113"/>
    </row>
    <row r="768" spans="1:13" x14ac:dyDescent="0.2">
      <c r="A768" s="106" t="s">
        <v>6759</v>
      </c>
      <c r="B768" s="272" t="s">
        <v>6770</v>
      </c>
      <c r="C768" s="105" t="s">
        <v>6811</v>
      </c>
      <c r="D768" s="149" t="s">
        <v>6820</v>
      </c>
      <c r="E768" s="105">
        <v>1</v>
      </c>
      <c r="F768" s="133">
        <v>55</v>
      </c>
      <c r="G768" s="133">
        <v>75</v>
      </c>
      <c r="H768" s="109">
        <f t="shared" si="34"/>
        <v>75</v>
      </c>
      <c r="I768" s="119"/>
      <c r="J768" s="119"/>
      <c r="K768" s="119">
        <f t="shared" si="35"/>
        <v>75</v>
      </c>
      <c r="L768" s="152">
        <f t="shared" si="36"/>
        <v>55</v>
      </c>
      <c r="M768" s="113"/>
    </row>
    <row r="769" spans="1:13" x14ac:dyDescent="0.2">
      <c r="A769" s="106" t="s">
        <v>6759</v>
      </c>
      <c r="B769" s="272" t="s">
        <v>1826</v>
      </c>
      <c r="C769" s="105" t="s">
        <v>6811</v>
      </c>
      <c r="D769" s="149" t="s">
        <v>1827</v>
      </c>
      <c r="E769" s="105">
        <v>4</v>
      </c>
      <c r="F769" s="133">
        <v>90</v>
      </c>
      <c r="G769" s="133">
        <v>120</v>
      </c>
      <c r="H769" s="109">
        <f t="shared" si="34"/>
        <v>480</v>
      </c>
      <c r="I769" s="119"/>
      <c r="J769" s="119"/>
      <c r="K769" s="119">
        <f t="shared" si="35"/>
        <v>480</v>
      </c>
      <c r="L769" s="152">
        <f t="shared" si="36"/>
        <v>360</v>
      </c>
      <c r="M769" s="113"/>
    </row>
    <row r="770" spans="1:13" x14ac:dyDescent="0.2">
      <c r="A770" s="106" t="s">
        <v>6759</v>
      </c>
      <c r="B770" s="272" t="s">
        <v>4520</v>
      </c>
      <c r="C770" s="105" t="s">
        <v>6811</v>
      </c>
      <c r="D770" s="149" t="s">
        <v>4625</v>
      </c>
      <c r="E770" s="105">
        <v>3</v>
      </c>
      <c r="F770" s="133">
        <v>60</v>
      </c>
      <c r="G770" s="133">
        <v>75</v>
      </c>
      <c r="H770" s="109">
        <f t="shared" si="34"/>
        <v>225</v>
      </c>
      <c r="I770" s="119"/>
      <c r="J770" s="119"/>
      <c r="K770" s="119">
        <f t="shared" si="35"/>
        <v>225</v>
      </c>
      <c r="L770" s="152">
        <f t="shared" si="36"/>
        <v>180</v>
      </c>
      <c r="M770" s="113"/>
    </row>
    <row r="771" spans="1:13" x14ac:dyDescent="0.2">
      <c r="A771" s="106" t="s">
        <v>6759</v>
      </c>
      <c r="B771" s="272" t="s">
        <v>6771</v>
      </c>
      <c r="C771" s="105" t="s">
        <v>6811</v>
      </c>
      <c r="D771" s="149" t="s">
        <v>6821</v>
      </c>
      <c r="E771" s="105">
        <v>4</v>
      </c>
      <c r="F771" s="133">
        <v>70</v>
      </c>
      <c r="G771" s="133">
        <v>85</v>
      </c>
      <c r="H771" s="109">
        <f t="shared" si="34"/>
        <v>340</v>
      </c>
      <c r="I771" s="119"/>
      <c r="J771" s="119"/>
      <c r="K771" s="119">
        <f t="shared" si="35"/>
        <v>340</v>
      </c>
      <c r="L771" s="152">
        <f t="shared" si="36"/>
        <v>280</v>
      </c>
      <c r="M771" s="113"/>
    </row>
    <row r="772" spans="1:13" x14ac:dyDescent="0.2">
      <c r="A772" s="106" t="s">
        <v>6759</v>
      </c>
      <c r="B772" s="272" t="s">
        <v>6772</v>
      </c>
      <c r="C772" s="105" t="s">
        <v>6811</v>
      </c>
      <c r="D772" s="149" t="s">
        <v>6822</v>
      </c>
      <c r="E772" s="105">
        <v>1</v>
      </c>
      <c r="F772" s="133">
        <v>50</v>
      </c>
      <c r="G772" s="133">
        <v>70</v>
      </c>
      <c r="H772" s="109">
        <f t="shared" si="34"/>
        <v>70</v>
      </c>
      <c r="I772" s="119"/>
      <c r="J772" s="119"/>
      <c r="K772" s="119">
        <f t="shared" si="35"/>
        <v>70</v>
      </c>
      <c r="L772" s="152">
        <f t="shared" si="36"/>
        <v>50</v>
      </c>
      <c r="M772" s="113"/>
    </row>
    <row r="773" spans="1:13" x14ac:dyDescent="0.2">
      <c r="A773" s="106" t="s">
        <v>6759</v>
      </c>
      <c r="B773" s="272" t="s">
        <v>4716</v>
      </c>
      <c r="C773" s="105" t="s">
        <v>6812</v>
      </c>
      <c r="D773" s="149" t="s">
        <v>4751</v>
      </c>
      <c r="E773" s="105">
        <v>7</v>
      </c>
      <c r="F773" s="133">
        <v>0.81</v>
      </c>
      <c r="G773" s="133">
        <v>1</v>
      </c>
      <c r="H773" s="109">
        <f t="shared" si="34"/>
        <v>7</v>
      </c>
      <c r="I773" s="119"/>
      <c r="J773" s="119"/>
      <c r="K773" s="119">
        <f t="shared" si="35"/>
        <v>7</v>
      </c>
      <c r="L773" s="152">
        <f t="shared" si="36"/>
        <v>5.67</v>
      </c>
      <c r="M773" s="113"/>
    </row>
    <row r="774" spans="1:13" x14ac:dyDescent="0.2">
      <c r="A774" s="106" t="s">
        <v>6759</v>
      </c>
      <c r="B774" s="272" t="s">
        <v>6355</v>
      </c>
      <c r="C774" s="105" t="s">
        <v>6813</v>
      </c>
      <c r="D774" s="149" t="s">
        <v>6696</v>
      </c>
      <c r="E774" s="105">
        <v>3</v>
      </c>
      <c r="F774" s="133">
        <v>4.75</v>
      </c>
      <c r="G774" s="133">
        <v>5.5</v>
      </c>
      <c r="H774" s="109">
        <f t="shared" ref="H774:H837" si="37">E774*G774</f>
        <v>16.5</v>
      </c>
      <c r="I774" s="119"/>
      <c r="J774" s="119"/>
      <c r="K774" s="119">
        <f t="shared" si="35"/>
        <v>16.5</v>
      </c>
      <c r="L774" s="152">
        <f t="shared" si="36"/>
        <v>14.25</v>
      </c>
      <c r="M774" s="113"/>
    </row>
    <row r="775" spans="1:13" x14ac:dyDescent="0.2">
      <c r="A775" s="106" t="s">
        <v>6759</v>
      </c>
      <c r="B775" s="272" t="s">
        <v>4368</v>
      </c>
      <c r="C775" s="105" t="s">
        <v>6814</v>
      </c>
      <c r="D775" s="149" t="s">
        <v>4432</v>
      </c>
      <c r="E775" s="105">
        <v>1</v>
      </c>
      <c r="F775" s="133">
        <v>9.27</v>
      </c>
      <c r="G775" s="133">
        <v>10.75</v>
      </c>
      <c r="H775" s="109">
        <f t="shared" si="37"/>
        <v>10.75</v>
      </c>
      <c r="I775" s="119"/>
      <c r="J775" s="119"/>
      <c r="K775" s="119">
        <f t="shared" si="35"/>
        <v>10.75</v>
      </c>
      <c r="L775" s="152">
        <f t="shared" si="36"/>
        <v>9.27</v>
      </c>
      <c r="M775" s="113"/>
    </row>
    <row r="776" spans="1:13" x14ac:dyDescent="0.2">
      <c r="A776" s="106" t="s">
        <v>6759</v>
      </c>
      <c r="B776" s="272" t="s">
        <v>2237</v>
      </c>
      <c r="C776" s="105" t="s">
        <v>6814</v>
      </c>
      <c r="D776" s="149" t="s">
        <v>2239</v>
      </c>
      <c r="E776" s="105">
        <v>1</v>
      </c>
      <c r="F776" s="133">
        <v>13.32</v>
      </c>
      <c r="G776" s="133">
        <v>15.5</v>
      </c>
      <c r="H776" s="109">
        <f t="shared" si="37"/>
        <v>15.5</v>
      </c>
      <c r="I776" s="119"/>
      <c r="J776" s="119"/>
      <c r="K776" s="119">
        <f t="shared" ref="K776:K839" si="38">H776+I776-J776</f>
        <v>15.5</v>
      </c>
      <c r="L776" s="152">
        <f t="shared" ref="L776:L839" si="39">E776*F776</f>
        <v>13.32</v>
      </c>
      <c r="M776" s="113"/>
    </row>
    <row r="777" spans="1:13" x14ac:dyDescent="0.2">
      <c r="A777" s="106" t="s">
        <v>6759</v>
      </c>
      <c r="B777" s="272" t="s">
        <v>2429</v>
      </c>
      <c r="C777" s="105" t="s">
        <v>6815</v>
      </c>
      <c r="D777" s="149" t="s">
        <v>2431</v>
      </c>
      <c r="E777" s="105">
        <v>1</v>
      </c>
      <c r="F777" s="133">
        <v>14.31</v>
      </c>
      <c r="G777" s="133">
        <v>16.5</v>
      </c>
      <c r="H777" s="109">
        <f t="shared" si="37"/>
        <v>16.5</v>
      </c>
      <c r="I777" s="119"/>
      <c r="J777" s="119"/>
      <c r="K777" s="119">
        <f t="shared" si="38"/>
        <v>16.5</v>
      </c>
      <c r="L777" s="152">
        <f t="shared" si="39"/>
        <v>14.31</v>
      </c>
      <c r="M777" s="113"/>
    </row>
    <row r="778" spans="1:13" x14ac:dyDescent="0.2">
      <c r="A778" s="106" t="s">
        <v>6759</v>
      </c>
      <c r="B778" s="272" t="s">
        <v>2115</v>
      </c>
      <c r="C778" s="105" t="s">
        <v>6816</v>
      </c>
      <c r="D778" s="149" t="s">
        <v>2117</v>
      </c>
      <c r="E778" s="105">
        <v>1</v>
      </c>
      <c r="F778" s="133">
        <v>84.85</v>
      </c>
      <c r="G778" s="133">
        <v>94</v>
      </c>
      <c r="H778" s="109">
        <f t="shared" si="37"/>
        <v>94</v>
      </c>
      <c r="I778" s="119"/>
      <c r="J778" s="119"/>
      <c r="K778" s="119">
        <f t="shared" si="38"/>
        <v>94</v>
      </c>
      <c r="L778" s="152">
        <f t="shared" si="39"/>
        <v>84.85</v>
      </c>
      <c r="M778" s="113"/>
    </row>
    <row r="779" spans="1:13" x14ac:dyDescent="0.2">
      <c r="A779" s="106" t="s">
        <v>6759</v>
      </c>
      <c r="B779" s="272" t="s">
        <v>2274</v>
      </c>
      <c r="C779" s="105" t="s">
        <v>6816</v>
      </c>
      <c r="D779" s="149" t="s">
        <v>2276</v>
      </c>
      <c r="E779" s="105">
        <v>4</v>
      </c>
      <c r="F779" s="133">
        <v>12.39</v>
      </c>
      <c r="G779" s="133">
        <v>14.5</v>
      </c>
      <c r="H779" s="109">
        <f t="shared" si="37"/>
        <v>58</v>
      </c>
      <c r="I779" s="119"/>
      <c r="J779" s="119"/>
      <c r="K779" s="119">
        <f t="shared" si="38"/>
        <v>58</v>
      </c>
      <c r="L779" s="152">
        <f t="shared" si="39"/>
        <v>49.56</v>
      </c>
      <c r="M779" s="113"/>
    </row>
    <row r="780" spans="1:13" x14ac:dyDescent="0.2">
      <c r="A780" s="106" t="s">
        <v>6759</v>
      </c>
      <c r="B780" s="272" t="s">
        <v>2809</v>
      </c>
      <c r="C780" s="105" t="s">
        <v>6816</v>
      </c>
      <c r="D780" s="149" t="s">
        <v>2810</v>
      </c>
      <c r="E780" s="105">
        <v>1</v>
      </c>
      <c r="F780" s="133">
        <v>53.81</v>
      </c>
      <c r="G780" s="133">
        <v>62</v>
      </c>
      <c r="H780" s="109">
        <f t="shared" si="37"/>
        <v>62</v>
      </c>
      <c r="I780" s="119"/>
      <c r="J780" s="119"/>
      <c r="K780" s="119">
        <f t="shared" si="38"/>
        <v>62</v>
      </c>
      <c r="L780" s="152">
        <f t="shared" si="39"/>
        <v>53.81</v>
      </c>
      <c r="M780" s="113"/>
    </row>
    <row r="781" spans="1:13" x14ac:dyDescent="0.2">
      <c r="A781" s="106" t="s">
        <v>6759</v>
      </c>
      <c r="B781" s="272" t="s">
        <v>4806</v>
      </c>
      <c r="C781" s="105" t="s">
        <v>6817</v>
      </c>
      <c r="D781" s="149" t="s">
        <v>4874</v>
      </c>
      <c r="E781" s="105">
        <v>6</v>
      </c>
      <c r="F781" s="133">
        <v>8.58</v>
      </c>
      <c r="G781" s="133">
        <v>10</v>
      </c>
      <c r="H781" s="109">
        <f t="shared" si="37"/>
        <v>60</v>
      </c>
      <c r="I781" s="119"/>
      <c r="J781" s="119"/>
      <c r="K781" s="119">
        <f t="shared" si="38"/>
        <v>60</v>
      </c>
      <c r="L781" s="152">
        <f t="shared" si="39"/>
        <v>51.480000000000004</v>
      </c>
      <c r="M781" s="113"/>
    </row>
    <row r="782" spans="1:13" x14ac:dyDescent="0.2">
      <c r="A782" s="106" t="s">
        <v>6824</v>
      </c>
      <c r="B782" s="272" t="s">
        <v>2507</v>
      </c>
      <c r="C782" s="105" t="s">
        <v>6827</v>
      </c>
      <c r="D782" s="149" t="s">
        <v>2508</v>
      </c>
      <c r="E782" s="105">
        <v>4</v>
      </c>
      <c r="F782" s="133">
        <v>53</v>
      </c>
      <c r="G782" s="133">
        <v>61</v>
      </c>
      <c r="H782" s="109">
        <f t="shared" si="37"/>
        <v>244</v>
      </c>
      <c r="I782" s="119"/>
      <c r="J782" s="119"/>
      <c r="K782" s="119">
        <f t="shared" si="38"/>
        <v>244</v>
      </c>
      <c r="L782" s="152">
        <f t="shared" si="39"/>
        <v>212</v>
      </c>
      <c r="M782" s="113"/>
    </row>
    <row r="783" spans="1:13" x14ac:dyDescent="0.2">
      <c r="A783" s="106" t="s">
        <v>6824</v>
      </c>
      <c r="B783" s="272" t="s">
        <v>1962</v>
      </c>
      <c r="C783" s="105" t="s">
        <v>6828</v>
      </c>
      <c r="D783" s="149" t="s">
        <v>1964</v>
      </c>
      <c r="E783" s="105">
        <v>1</v>
      </c>
      <c r="F783" s="133">
        <v>7.48</v>
      </c>
      <c r="G783" s="133">
        <v>8.75</v>
      </c>
      <c r="H783" s="109">
        <f t="shared" si="37"/>
        <v>8.75</v>
      </c>
      <c r="I783" s="119"/>
      <c r="J783" s="119"/>
      <c r="K783" s="119">
        <f t="shared" si="38"/>
        <v>8.75</v>
      </c>
      <c r="L783" s="152">
        <f t="shared" si="39"/>
        <v>7.48</v>
      </c>
      <c r="M783" s="113"/>
    </row>
    <row r="784" spans="1:13" x14ac:dyDescent="0.2">
      <c r="A784" s="106" t="s">
        <v>6824</v>
      </c>
      <c r="B784" s="272" t="s">
        <v>1969</v>
      </c>
      <c r="C784" s="105" t="s">
        <v>6828</v>
      </c>
      <c r="D784" s="149" t="s">
        <v>1970</v>
      </c>
      <c r="E784" s="105">
        <v>2</v>
      </c>
      <c r="F784" s="133">
        <v>3.6</v>
      </c>
      <c r="G784" s="133">
        <v>4.25</v>
      </c>
      <c r="H784" s="109">
        <f t="shared" si="37"/>
        <v>8.5</v>
      </c>
      <c r="I784" s="119"/>
      <c r="J784" s="119"/>
      <c r="K784" s="119">
        <f t="shared" si="38"/>
        <v>8.5</v>
      </c>
      <c r="L784" s="152">
        <f t="shared" si="39"/>
        <v>7.2</v>
      </c>
      <c r="M784" s="113"/>
    </row>
    <row r="785" spans="1:13" x14ac:dyDescent="0.2">
      <c r="A785" s="106" t="s">
        <v>6824</v>
      </c>
      <c r="B785" s="272" t="s">
        <v>6362</v>
      </c>
      <c r="C785" s="105" t="s">
        <v>6829</v>
      </c>
      <c r="D785" s="149" t="s">
        <v>6704</v>
      </c>
      <c r="E785" s="105">
        <v>2</v>
      </c>
      <c r="F785" s="133">
        <v>41.67</v>
      </c>
      <c r="G785" s="133">
        <v>50</v>
      </c>
      <c r="H785" s="109">
        <f t="shared" si="37"/>
        <v>100</v>
      </c>
      <c r="I785" s="119"/>
      <c r="J785" s="119"/>
      <c r="K785" s="119">
        <f t="shared" si="38"/>
        <v>100</v>
      </c>
      <c r="L785" s="152">
        <f t="shared" si="39"/>
        <v>83.34</v>
      </c>
      <c r="M785" s="113"/>
    </row>
    <row r="786" spans="1:13" x14ac:dyDescent="0.2">
      <c r="A786" s="106" t="s">
        <v>6824</v>
      </c>
      <c r="B786" s="272" t="s">
        <v>1951</v>
      </c>
      <c r="C786" s="105" t="s">
        <v>6830</v>
      </c>
      <c r="D786" s="149" t="s">
        <v>1952</v>
      </c>
      <c r="E786" s="105">
        <v>1</v>
      </c>
      <c r="F786" s="133">
        <v>12.17</v>
      </c>
      <c r="G786" s="133">
        <v>14.75</v>
      </c>
      <c r="H786" s="109">
        <f t="shared" si="37"/>
        <v>14.75</v>
      </c>
      <c r="I786" s="119"/>
      <c r="J786" s="119"/>
      <c r="K786" s="119">
        <f t="shared" si="38"/>
        <v>14.75</v>
      </c>
      <c r="L786" s="152">
        <f t="shared" si="39"/>
        <v>12.17</v>
      </c>
      <c r="M786" s="113"/>
    </row>
    <row r="787" spans="1:13" x14ac:dyDescent="0.2">
      <c r="A787" s="106" t="s">
        <v>6824</v>
      </c>
      <c r="B787" s="272" t="s">
        <v>1905</v>
      </c>
      <c r="C787" s="105" t="s">
        <v>6831</v>
      </c>
      <c r="D787" s="149" t="s">
        <v>1906</v>
      </c>
      <c r="E787" s="105">
        <v>1</v>
      </c>
      <c r="F787" s="133">
        <v>15.51</v>
      </c>
      <c r="G787" s="133">
        <v>18</v>
      </c>
      <c r="H787" s="109">
        <f t="shared" si="37"/>
        <v>18</v>
      </c>
      <c r="I787" s="119"/>
      <c r="J787" s="119"/>
      <c r="K787" s="119">
        <f t="shared" si="38"/>
        <v>18</v>
      </c>
      <c r="L787" s="152">
        <f t="shared" si="39"/>
        <v>15.51</v>
      </c>
      <c r="M787" s="113"/>
    </row>
    <row r="788" spans="1:13" x14ac:dyDescent="0.2">
      <c r="A788" s="106" t="s">
        <v>6824</v>
      </c>
      <c r="B788" s="272" t="s">
        <v>6768</v>
      </c>
      <c r="C788" s="105" t="s">
        <v>6832</v>
      </c>
      <c r="D788" s="149" t="s">
        <v>6818</v>
      </c>
      <c r="E788" s="105">
        <v>1</v>
      </c>
      <c r="F788" s="133">
        <v>6.15</v>
      </c>
      <c r="G788" s="133">
        <v>7.25</v>
      </c>
      <c r="H788" s="109">
        <f t="shared" si="37"/>
        <v>7.25</v>
      </c>
      <c r="I788" s="119"/>
      <c r="J788" s="119"/>
      <c r="K788" s="119">
        <f t="shared" si="38"/>
        <v>7.25</v>
      </c>
      <c r="L788" s="152">
        <f t="shared" si="39"/>
        <v>6.15</v>
      </c>
      <c r="M788" s="113"/>
    </row>
    <row r="789" spans="1:13" x14ac:dyDescent="0.2">
      <c r="A789" s="106" t="s">
        <v>6824</v>
      </c>
      <c r="B789" s="272" t="s">
        <v>5979</v>
      </c>
      <c r="C789" s="105" t="s">
        <v>6832</v>
      </c>
      <c r="D789" s="149" t="s">
        <v>6097</v>
      </c>
      <c r="E789" s="105">
        <v>1</v>
      </c>
      <c r="F789" s="133">
        <v>5.74</v>
      </c>
      <c r="G789" s="133">
        <v>7</v>
      </c>
      <c r="H789" s="109">
        <f t="shared" si="37"/>
        <v>7</v>
      </c>
      <c r="I789" s="119"/>
      <c r="J789" s="119"/>
      <c r="K789" s="119">
        <f t="shared" si="38"/>
        <v>7</v>
      </c>
      <c r="L789" s="152">
        <f t="shared" si="39"/>
        <v>5.74</v>
      </c>
      <c r="M789" s="113"/>
    </row>
    <row r="790" spans="1:13" x14ac:dyDescent="0.2">
      <c r="A790" s="106" t="s">
        <v>6824</v>
      </c>
      <c r="B790" s="272" t="s">
        <v>2872</v>
      </c>
      <c r="C790" s="105" t="s">
        <v>6832</v>
      </c>
      <c r="D790" s="149" t="s">
        <v>2873</v>
      </c>
      <c r="E790" s="105">
        <v>1</v>
      </c>
      <c r="F790" s="133">
        <v>4.4800000000000004</v>
      </c>
      <c r="G790" s="133">
        <v>5.25</v>
      </c>
      <c r="H790" s="109">
        <f t="shared" si="37"/>
        <v>5.25</v>
      </c>
      <c r="I790" s="119"/>
      <c r="J790" s="119"/>
      <c r="K790" s="119">
        <f t="shared" si="38"/>
        <v>5.25</v>
      </c>
      <c r="L790" s="152">
        <f t="shared" si="39"/>
        <v>4.4800000000000004</v>
      </c>
      <c r="M790" s="113"/>
    </row>
    <row r="791" spans="1:13" x14ac:dyDescent="0.2">
      <c r="A791" s="106" t="s">
        <v>6824</v>
      </c>
      <c r="B791" s="272" t="s">
        <v>2226</v>
      </c>
      <c r="C791" s="105" t="s">
        <v>6833</v>
      </c>
      <c r="D791" s="149" t="s">
        <v>2228</v>
      </c>
      <c r="E791" s="105">
        <v>1</v>
      </c>
      <c r="F791" s="133">
        <v>21.03</v>
      </c>
      <c r="G791" s="133">
        <v>24.25</v>
      </c>
      <c r="H791" s="109">
        <f t="shared" si="37"/>
        <v>24.25</v>
      </c>
      <c r="I791" s="119"/>
      <c r="J791" s="119"/>
      <c r="K791" s="119">
        <f t="shared" si="38"/>
        <v>24.25</v>
      </c>
      <c r="L791" s="152">
        <f t="shared" si="39"/>
        <v>21.03</v>
      </c>
      <c r="M791" s="113"/>
    </row>
    <row r="792" spans="1:13" x14ac:dyDescent="0.2">
      <c r="A792" s="106" t="s">
        <v>6824</v>
      </c>
      <c r="B792" s="272" t="s">
        <v>2996</v>
      </c>
      <c r="C792" s="105" t="s">
        <v>6833</v>
      </c>
      <c r="D792" s="149" t="s">
        <v>2997</v>
      </c>
      <c r="E792" s="105">
        <v>1</v>
      </c>
      <c r="F792" s="133">
        <v>46.3</v>
      </c>
      <c r="G792" s="133">
        <v>53.25</v>
      </c>
      <c r="H792" s="109">
        <f t="shared" si="37"/>
        <v>53.25</v>
      </c>
      <c r="I792" s="119"/>
      <c r="J792" s="119"/>
      <c r="K792" s="119">
        <f t="shared" si="38"/>
        <v>53.25</v>
      </c>
      <c r="L792" s="152">
        <f t="shared" si="39"/>
        <v>46.3</v>
      </c>
      <c r="M792" s="113"/>
    </row>
    <row r="793" spans="1:13" x14ac:dyDescent="0.2">
      <c r="A793" s="106" t="s">
        <v>6824</v>
      </c>
      <c r="B793" s="272" t="s">
        <v>3201</v>
      </c>
      <c r="C793" s="105" t="s">
        <v>6834</v>
      </c>
      <c r="D793" s="149" t="s">
        <v>3202</v>
      </c>
      <c r="E793" s="105">
        <v>1</v>
      </c>
      <c r="F793" s="133">
        <v>61.5</v>
      </c>
      <c r="G793" s="133">
        <v>70.75</v>
      </c>
      <c r="H793" s="109">
        <f t="shared" si="37"/>
        <v>70.75</v>
      </c>
      <c r="I793" s="119"/>
      <c r="J793" s="119"/>
      <c r="K793" s="119">
        <f t="shared" si="38"/>
        <v>70.75</v>
      </c>
      <c r="L793" s="152">
        <f t="shared" si="39"/>
        <v>61.5</v>
      </c>
      <c r="M793" s="113"/>
    </row>
    <row r="794" spans="1:13" x14ac:dyDescent="0.2">
      <c r="A794" s="106" t="s">
        <v>6824</v>
      </c>
      <c r="B794" s="272" t="s">
        <v>6825</v>
      </c>
      <c r="C794" s="105" t="s">
        <v>6834</v>
      </c>
      <c r="D794" s="149" t="s">
        <v>6852</v>
      </c>
      <c r="E794" s="105">
        <v>1</v>
      </c>
      <c r="F794" s="133">
        <v>39</v>
      </c>
      <c r="G794" s="133">
        <v>45</v>
      </c>
      <c r="H794" s="109">
        <f t="shared" si="37"/>
        <v>45</v>
      </c>
      <c r="I794" s="119"/>
      <c r="J794" s="119"/>
      <c r="K794" s="119">
        <f t="shared" si="38"/>
        <v>45</v>
      </c>
      <c r="L794" s="152">
        <f t="shared" si="39"/>
        <v>39</v>
      </c>
      <c r="M794" s="113"/>
    </row>
    <row r="795" spans="1:13" x14ac:dyDescent="0.2">
      <c r="A795" s="106" t="s">
        <v>6824</v>
      </c>
      <c r="B795" s="272" t="s">
        <v>4716</v>
      </c>
      <c r="C795" s="105" t="s">
        <v>6835</v>
      </c>
      <c r="D795" s="149" t="s">
        <v>4751</v>
      </c>
      <c r="E795" s="105">
        <v>2</v>
      </c>
      <c r="F795" s="133">
        <v>0.81</v>
      </c>
      <c r="G795" s="133">
        <v>1</v>
      </c>
      <c r="H795" s="109">
        <f t="shared" si="37"/>
        <v>2</v>
      </c>
      <c r="I795" s="119"/>
      <c r="J795" s="119"/>
      <c r="K795" s="119">
        <f t="shared" si="38"/>
        <v>2</v>
      </c>
      <c r="L795" s="152">
        <f t="shared" si="39"/>
        <v>1.62</v>
      </c>
      <c r="M795" s="113"/>
    </row>
    <row r="796" spans="1:13" x14ac:dyDescent="0.2">
      <c r="A796" s="106" t="s">
        <v>6824</v>
      </c>
      <c r="B796" s="272" t="s">
        <v>5979</v>
      </c>
      <c r="C796" s="105" t="s">
        <v>6836</v>
      </c>
      <c r="D796" s="149" t="s">
        <v>6097</v>
      </c>
      <c r="E796" s="105">
        <v>1</v>
      </c>
      <c r="F796" s="133">
        <v>5.74</v>
      </c>
      <c r="G796" s="133">
        <v>7</v>
      </c>
      <c r="H796" s="109">
        <f t="shared" si="37"/>
        <v>7</v>
      </c>
      <c r="I796" s="119"/>
      <c r="J796" s="119"/>
      <c r="K796" s="119">
        <f t="shared" si="38"/>
        <v>7</v>
      </c>
      <c r="L796" s="152">
        <f t="shared" si="39"/>
        <v>5.74</v>
      </c>
      <c r="M796" s="113"/>
    </row>
    <row r="797" spans="1:13" x14ac:dyDescent="0.2">
      <c r="A797" s="106" t="s">
        <v>6824</v>
      </c>
      <c r="B797" s="272" t="s">
        <v>5979</v>
      </c>
      <c r="C797" s="105" t="s">
        <v>6837</v>
      </c>
      <c r="D797" s="149" t="s">
        <v>6097</v>
      </c>
      <c r="E797" s="105">
        <v>1</v>
      </c>
      <c r="F797" s="133">
        <v>5.74</v>
      </c>
      <c r="G797" s="133">
        <v>7</v>
      </c>
      <c r="H797" s="109">
        <f t="shared" si="37"/>
        <v>7</v>
      </c>
      <c r="I797" s="119"/>
      <c r="J797" s="119"/>
      <c r="K797" s="119">
        <f t="shared" si="38"/>
        <v>7</v>
      </c>
      <c r="L797" s="152">
        <f t="shared" si="39"/>
        <v>5.74</v>
      </c>
      <c r="M797" s="113"/>
    </row>
    <row r="798" spans="1:13" x14ac:dyDescent="0.2">
      <c r="A798" s="106" t="s">
        <v>6824</v>
      </c>
      <c r="B798" s="272" t="s">
        <v>2610</v>
      </c>
      <c r="C798" s="105" t="s">
        <v>6838</v>
      </c>
      <c r="D798" s="149" t="s">
        <v>2612</v>
      </c>
      <c r="E798" s="105">
        <v>1</v>
      </c>
      <c r="F798" s="133">
        <v>53.9</v>
      </c>
      <c r="G798" s="133">
        <v>59.25</v>
      </c>
      <c r="H798" s="109">
        <f t="shared" si="37"/>
        <v>59.25</v>
      </c>
      <c r="I798" s="119"/>
      <c r="J798" s="119"/>
      <c r="K798" s="119">
        <f t="shared" si="38"/>
        <v>59.25</v>
      </c>
      <c r="L798" s="152">
        <f t="shared" si="39"/>
        <v>53.9</v>
      </c>
      <c r="M798" s="113"/>
    </row>
    <row r="799" spans="1:13" x14ac:dyDescent="0.2">
      <c r="A799" s="106" t="s">
        <v>6824</v>
      </c>
      <c r="B799" s="272" t="s">
        <v>4806</v>
      </c>
      <c r="C799" s="105" t="s">
        <v>6838</v>
      </c>
      <c r="D799" s="149" t="s">
        <v>4874</v>
      </c>
      <c r="E799" s="105">
        <v>6</v>
      </c>
      <c r="F799" s="133">
        <v>8.58</v>
      </c>
      <c r="G799" s="133">
        <v>10</v>
      </c>
      <c r="H799" s="109">
        <f t="shared" si="37"/>
        <v>60</v>
      </c>
      <c r="I799" s="119"/>
      <c r="J799" s="119"/>
      <c r="K799" s="119">
        <f t="shared" si="38"/>
        <v>60</v>
      </c>
      <c r="L799" s="152">
        <f t="shared" si="39"/>
        <v>51.480000000000004</v>
      </c>
      <c r="M799" s="113"/>
    </row>
    <row r="800" spans="1:13" x14ac:dyDescent="0.2">
      <c r="A800" s="106" t="s">
        <v>6824</v>
      </c>
      <c r="B800" s="272" t="s">
        <v>2139</v>
      </c>
      <c r="C800" s="105" t="s">
        <v>6839</v>
      </c>
      <c r="D800" s="149" t="s">
        <v>2140</v>
      </c>
      <c r="E800" s="105">
        <v>1</v>
      </c>
      <c r="F800" s="133">
        <v>16.03</v>
      </c>
      <c r="G800" s="133">
        <v>18.5</v>
      </c>
      <c r="H800" s="109">
        <f t="shared" si="37"/>
        <v>18.5</v>
      </c>
      <c r="I800" s="119"/>
      <c r="J800" s="119"/>
      <c r="K800" s="119">
        <f t="shared" si="38"/>
        <v>18.5</v>
      </c>
      <c r="L800" s="152">
        <f t="shared" si="39"/>
        <v>16.03</v>
      </c>
      <c r="M800" s="113"/>
    </row>
    <row r="801" spans="1:13" x14ac:dyDescent="0.2">
      <c r="A801" s="106" t="s">
        <v>6824</v>
      </c>
      <c r="B801" s="272" t="s">
        <v>6826</v>
      </c>
      <c r="C801" s="105" t="s">
        <v>6839</v>
      </c>
      <c r="D801" s="149" t="s">
        <v>6853</v>
      </c>
      <c r="E801" s="105">
        <v>1</v>
      </c>
      <c r="F801" s="133">
        <v>20.75</v>
      </c>
      <c r="G801" s="133">
        <v>24</v>
      </c>
      <c r="H801" s="109">
        <f t="shared" si="37"/>
        <v>24</v>
      </c>
      <c r="I801" s="119"/>
      <c r="J801" s="119"/>
      <c r="K801" s="119">
        <f t="shared" si="38"/>
        <v>24</v>
      </c>
      <c r="L801" s="152">
        <f t="shared" si="39"/>
        <v>20.75</v>
      </c>
      <c r="M801" s="113"/>
    </row>
    <row r="802" spans="1:13" x14ac:dyDescent="0.2">
      <c r="A802" s="106" t="s">
        <v>6824</v>
      </c>
      <c r="B802" s="272" t="s">
        <v>6768</v>
      </c>
      <c r="C802" s="105" t="s">
        <v>6839</v>
      </c>
      <c r="D802" s="149" t="s">
        <v>6818</v>
      </c>
      <c r="E802" s="105">
        <v>1</v>
      </c>
      <c r="F802" s="133">
        <v>6.15</v>
      </c>
      <c r="G802" s="133">
        <v>7.25</v>
      </c>
      <c r="H802" s="109">
        <f t="shared" si="37"/>
        <v>7.25</v>
      </c>
      <c r="I802" s="119"/>
      <c r="J802" s="119"/>
      <c r="K802" s="119">
        <f t="shared" si="38"/>
        <v>7.25</v>
      </c>
      <c r="L802" s="152">
        <f t="shared" si="39"/>
        <v>6.15</v>
      </c>
      <c r="M802" s="113"/>
    </row>
    <row r="803" spans="1:13" x14ac:dyDescent="0.2">
      <c r="A803" s="106" t="s">
        <v>6824</v>
      </c>
      <c r="B803" s="272" t="s">
        <v>2872</v>
      </c>
      <c r="C803" s="105" t="s">
        <v>6839</v>
      </c>
      <c r="D803" s="149" t="s">
        <v>2873</v>
      </c>
      <c r="E803" s="105">
        <v>1</v>
      </c>
      <c r="F803" s="133">
        <v>4.4800000000000004</v>
      </c>
      <c r="G803" s="133">
        <v>5.25</v>
      </c>
      <c r="H803" s="109">
        <f t="shared" si="37"/>
        <v>5.25</v>
      </c>
      <c r="I803" s="119"/>
      <c r="J803" s="119"/>
      <c r="K803" s="119">
        <f t="shared" si="38"/>
        <v>5.25</v>
      </c>
      <c r="L803" s="152">
        <f t="shared" si="39"/>
        <v>4.4800000000000004</v>
      </c>
      <c r="M803" s="113"/>
    </row>
    <row r="804" spans="1:13" x14ac:dyDescent="0.2">
      <c r="A804" s="106" t="s">
        <v>6824</v>
      </c>
      <c r="B804" s="272" t="s">
        <v>1920</v>
      </c>
      <c r="C804" s="105" t="s">
        <v>6839</v>
      </c>
      <c r="D804" s="149" t="s">
        <v>1921</v>
      </c>
      <c r="E804" s="105">
        <v>1</v>
      </c>
      <c r="F804" s="133">
        <v>13.32</v>
      </c>
      <c r="G804" s="133">
        <v>15.5</v>
      </c>
      <c r="H804" s="109">
        <f t="shared" si="37"/>
        <v>15.5</v>
      </c>
      <c r="I804" s="119"/>
      <c r="J804" s="119"/>
      <c r="K804" s="119">
        <f t="shared" si="38"/>
        <v>15.5</v>
      </c>
      <c r="L804" s="152">
        <f t="shared" si="39"/>
        <v>13.32</v>
      </c>
      <c r="M804" s="113"/>
    </row>
    <row r="805" spans="1:13" x14ac:dyDescent="0.2">
      <c r="A805" s="106" t="s">
        <v>6824</v>
      </c>
      <c r="B805" s="272" t="s">
        <v>2848</v>
      </c>
      <c r="C805" s="105" t="s">
        <v>6840</v>
      </c>
      <c r="D805" s="149" t="s">
        <v>2850</v>
      </c>
      <c r="E805" s="105">
        <v>1</v>
      </c>
      <c r="F805" s="133">
        <v>16.55</v>
      </c>
      <c r="G805" s="133">
        <v>19.25</v>
      </c>
      <c r="H805" s="109">
        <f t="shared" si="37"/>
        <v>19.25</v>
      </c>
      <c r="I805" s="119"/>
      <c r="J805" s="119"/>
      <c r="K805" s="119">
        <f t="shared" si="38"/>
        <v>19.25</v>
      </c>
      <c r="L805" s="152">
        <f t="shared" si="39"/>
        <v>16.55</v>
      </c>
      <c r="M805" s="113"/>
    </row>
    <row r="806" spans="1:13" x14ac:dyDescent="0.2">
      <c r="A806" s="106" t="s">
        <v>6824</v>
      </c>
      <c r="B806" s="272" t="s">
        <v>2872</v>
      </c>
      <c r="C806" s="105" t="s">
        <v>6841</v>
      </c>
      <c r="D806" s="149" t="s">
        <v>2873</v>
      </c>
      <c r="E806" s="105">
        <v>1</v>
      </c>
      <c r="F806" s="133">
        <v>4.4800000000000004</v>
      </c>
      <c r="G806" s="133">
        <v>5.25</v>
      </c>
      <c r="H806" s="109">
        <f t="shared" si="37"/>
        <v>5.25</v>
      </c>
      <c r="I806" s="119"/>
      <c r="J806" s="119"/>
      <c r="K806" s="119">
        <f t="shared" si="38"/>
        <v>5.25</v>
      </c>
      <c r="L806" s="152">
        <f t="shared" si="39"/>
        <v>4.4800000000000004</v>
      </c>
      <c r="M806" s="113"/>
    </row>
    <row r="807" spans="1:13" x14ac:dyDescent="0.2">
      <c r="A807" s="106" t="s">
        <v>6824</v>
      </c>
      <c r="B807" s="272" t="s">
        <v>2115</v>
      </c>
      <c r="C807" s="105" t="s">
        <v>6842</v>
      </c>
      <c r="D807" s="149" t="s">
        <v>2117</v>
      </c>
      <c r="E807" s="105">
        <v>1</v>
      </c>
      <c r="F807" s="133">
        <v>84.85</v>
      </c>
      <c r="G807" s="133">
        <v>94</v>
      </c>
      <c r="H807" s="109">
        <f t="shared" si="37"/>
        <v>94</v>
      </c>
      <c r="I807" s="119"/>
      <c r="J807" s="119"/>
      <c r="K807" s="119">
        <f t="shared" si="38"/>
        <v>94</v>
      </c>
      <c r="L807" s="152">
        <f t="shared" si="39"/>
        <v>84.85</v>
      </c>
      <c r="M807" s="113"/>
    </row>
    <row r="808" spans="1:13" x14ac:dyDescent="0.2">
      <c r="A808" s="106" t="s">
        <v>6824</v>
      </c>
      <c r="B808" s="272" t="s">
        <v>1920</v>
      </c>
      <c r="C808" s="105" t="s">
        <v>6843</v>
      </c>
      <c r="D808" s="149" t="s">
        <v>1921</v>
      </c>
      <c r="E808" s="105">
        <v>1</v>
      </c>
      <c r="F808" s="133">
        <v>13.32</v>
      </c>
      <c r="G808" s="133">
        <v>15.5</v>
      </c>
      <c r="H808" s="109">
        <f t="shared" si="37"/>
        <v>15.5</v>
      </c>
      <c r="I808" s="119"/>
      <c r="J808" s="119"/>
      <c r="K808" s="119">
        <f t="shared" si="38"/>
        <v>15.5</v>
      </c>
      <c r="L808" s="152">
        <f t="shared" si="39"/>
        <v>13.32</v>
      </c>
      <c r="M808" s="113"/>
    </row>
    <row r="809" spans="1:13" x14ac:dyDescent="0.2">
      <c r="A809" s="106" t="s">
        <v>6824</v>
      </c>
      <c r="B809" s="272" t="s">
        <v>5982</v>
      </c>
      <c r="C809" s="105" t="s">
        <v>6844</v>
      </c>
      <c r="D809" s="149" t="s">
        <v>6100</v>
      </c>
      <c r="E809" s="105">
        <v>1</v>
      </c>
      <c r="F809" s="133">
        <v>5.74</v>
      </c>
      <c r="G809" s="133">
        <v>7</v>
      </c>
      <c r="H809" s="109">
        <f t="shared" si="37"/>
        <v>7</v>
      </c>
      <c r="I809" s="119"/>
      <c r="J809" s="119"/>
      <c r="K809" s="119">
        <f t="shared" si="38"/>
        <v>7</v>
      </c>
      <c r="L809" s="152">
        <f t="shared" si="39"/>
        <v>5.74</v>
      </c>
      <c r="M809" s="113"/>
    </row>
    <row r="810" spans="1:13" x14ac:dyDescent="0.2">
      <c r="A810" s="106" t="s">
        <v>6824</v>
      </c>
      <c r="B810" s="272" t="s">
        <v>1884</v>
      </c>
      <c r="C810" s="105" t="s">
        <v>6845</v>
      </c>
      <c r="D810" s="149" t="s">
        <v>1885</v>
      </c>
      <c r="E810" s="105">
        <v>1</v>
      </c>
      <c r="F810" s="133">
        <v>7.06</v>
      </c>
      <c r="G810" s="133">
        <v>8.25</v>
      </c>
      <c r="H810" s="109">
        <f t="shared" si="37"/>
        <v>8.25</v>
      </c>
      <c r="I810" s="119"/>
      <c r="J810" s="119"/>
      <c r="K810" s="119">
        <f t="shared" si="38"/>
        <v>8.25</v>
      </c>
      <c r="L810" s="152">
        <f t="shared" si="39"/>
        <v>7.06</v>
      </c>
      <c r="M810" s="113"/>
    </row>
    <row r="811" spans="1:13" x14ac:dyDescent="0.2">
      <c r="A811" s="106" t="s">
        <v>6824</v>
      </c>
      <c r="B811" s="272" t="s">
        <v>2659</v>
      </c>
      <c r="C811" s="105" t="s">
        <v>6846</v>
      </c>
      <c r="D811" s="149" t="s">
        <v>2661</v>
      </c>
      <c r="E811" s="105">
        <v>1</v>
      </c>
      <c r="F811" s="133">
        <v>61.5</v>
      </c>
      <c r="G811" s="133">
        <v>70.75</v>
      </c>
      <c r="H811" s="109">
        <f t="shared" si="37"/>
        <v>70.75</v>
      </c>
      <c r="I811" s="119"/>
      <c r="J811" s="119"/>
      <c r="K811" s="119">
        <f t="shared" si="38"/>
        <v>70.75</v>
      </c>
      <c r="L811" s="152">
        <f t="shared" si="39"/>
        <v>61.5</v>
      </c>
      <c r="M811" s="113"/>
    </row>
    <row r="812" spans="1:13" x14ac:dyDescent="0.2">
      <c r="A812" s="106" t="s">
        <v>6824</v>
      </c>
      <c r="B812" s="272" t="s">
        <v>1830</v>
      </c>
      <c r="C812" s="105" t="s">
        <v>6847</v>
      </c>
      <c r="D812" s="149" t="s">
        <v>1831</v>
      </c>
      <c r="E812" s="105">
        <v>1</v>
      </c>
      <c r="F812" s="133">
        <v>16.84</v>
      </c>
      <c r="G812" s="133">
        <v>19.5</v>
      </c>
      <c r="H812" s="109">
        <f t="shared" si="37"/>
        <v>19.5</v>
      </c>
      <c r="I812" s="119"/>
      <c r="J812" s="119"/>
      <c r="K812" s="119">
        <f t="shared" si="38"/>
        <v>19.5</v>
      </c>
      <c r="L812" s="152">
        <f t="shared" si="39"/>
        <v>16.84</v>
      </c>
      <c r="M812" s="113"/>
    </row>
    <row r="813" spans="1:13" x14ac:dyDescent="0.2">
      <c r="A813" s="106" t="s">
        <v>6824</v>
      </c>
      <c r="B813" s="272" t="s">
        <v>2139</v>
      </c>
      <c r="C813" s="105" t="s">
        <v>6847</v>
      </c>
      <c r="D813" s="149" t="s">
        <v>2140</v>
      </c>
      <c r="E813" s="105">
        <v>1</v>
      </c>
      <c r="F813" s="133">
        <v>16.03</v>
      </c>
      <c r="G813" s="133">
        <v>18.5</v>
      </c>
      <c r="H813" s="109">
        <f t="shared" si="37"/>
        <v>18.5</v>
      </c>
      <c r="I813" s="119"/>
      <c r="J813" s="119"/>
      <c r="K813" s="119">
        <f t="shared" si="38"/>
        <v>18.5</v>
      </c>
      <c r="L813" s="152">
        <f t="shared" si="39"/>
        <v>16.03</v>
      </c>
      <c r="M813" s="113"/>
    </row>
    <row r="814" spans="1:13" x14ac:dyDescent="0.2">
      <c r="A814" s="106" t="s">
        <v>6824</v>
      </c>
      <c r="B814" s="272" t="s">
        <v>2836</v>
      </c>
      <c r="C814" s="105" t="s">
        <v>6848</v>
      </c>
      <c r="D814" s="149" t="s">
        <v>2837</v>
      </c>
      <c r="E814" s="105">
        <v>1</v>
      </c>
      <c r="F814" s="133">
        <v>14.65</v>
      </c>
      <c r="G814" s="133">
        <v>17</v>
      </c>
      <c r="H814" s="109">
        <f t="shared" si="37"/>
        <v>17</v>
      </c>
      <c r="I814" s="119"/>
      <c r="J814" s="119"/>
      <c r="K814" s="119">
        <f t="shared" si="38"/>
        <v>17</v>
      </c>
      <c r="L814" s="152">
        <f t="shared" si="39"/>
        <v>14.65</v>
      </c>
      <c r="M814" s="113"/>
    </row>
    <row r="815" spans="1:13" x14ac:dyDescent="0.2">
      <c r="A815" s="106" t="s">
        <v>6824</v>
      </c>
      <c r="B815" s="272" t="s">
        <v>2895</v>
      </c>
      <c r="C815" s="105" t="s">
        <v>6848</v>
      </c>
      <c r="D815" s="149" t="s">
        <v>2897</v>
      </c>
      <c r="E815" s="105">
        <v>1</v>
      </c>
      <c r="F815" s="133">
        <v>9.17</v>
      </c>
      <c r="G815" s="133">
        <v>10.75</v>
      </c>
      <c r="H815" s="109">
        <f t="shared" si="37"/>
        <v>10.75</v>
      </c>
      <c r="I815" s="119"/>
      <c r="J815" s="119"/>
      <c r="K815" s="119">
        <f t="shared" si="38"/>
        <v>10.75</v>
      </c>
      <c r="L815" s="152">
        <f t="shared" si="39"/>
        <v>9.17</v>
      </c>
      <c r="M815" s="113"/>
    </row>
    <row r="816" spans="1:13" x14ac:dyDescent="0.2">
      <c r="A816" s="106" t="s">
        <v>6824</v>
      </c>
      <c r="B816" s="272" t="s">
        <v>2394</v>
      </c>
      <c r="C816" s="105" t="s">
        <v>6849</v>
      </c>
      <c r="D816" s="149" t="s">
        <v>2395</v>
      </c>
      <c r="E816" s="105">
        <v>1</v>
      </c>
      <c r="F816" s="133">
        <v>58.45</v>
      </c>
      <c r="G816" s="133">
        <v>65</v>
      </c>
      <c r="H816" s="109">
        <f t="shared" si="37"/>
        <v>65</v>
      </c>
      <c r="I816" s="119"/>
      <c r="J816" s="119"/>
      <c r="K816" s="119">
        <f t="shared" si="38"/>
        <v>65</v>
      </c>
      <c r="L816" s="152">
        <f t="shared" si="39"/>
        <v>58.45</v>
      </c>
      <c r="M816" s="113"/>
    </row>
    <row r="817" spans="1:13" x14ac:dyDescent="0.2">
      <c r="A817" s="106" t="s">
        <v>6824</v>
      </c>
      <c r="B817" s="272" t="s">
        <v>1944</v>
      </c>
      <c r="C817" s="105" t="s">
        <v>6849</v>
      </c>
      <c r="D817" s="149" t="s">
        <v>1946</v>
      </c>
      <c r="E817" s="105">
        <v>2</v>
      </c>
      <c r="F817" s="133">
        <v>14.84</v>
      </c>
      <c r="G817" s="133">
        <v>17.25</v>
      </c>
      <c r="H817" s="109">
        <f t="shared" si="37"/>
        <v>34.5</v>
      </c>
      <c r="I817" s="119"/>
      <c r="J817" s="119"/>
      <c r="K817" s="119">
        <f t="shared" si="38"/>
        <v>34.5</v>
      </c>
      <c r="L817" s="152">
        <f t="shared" si="39"/>
        <v>29.68</v>
      </c>
      <c r="M817" s="113"/>
    </row>
    <row r="818" spans="1:13" x14ac:dyDescent="0.2">
      <c r="A818" s="106" t="s">
        <v>6824</v>
      </c>
      <c r="B818" s="272" t="s">
        <v>3083</v>
      </c>
      <c r="C818" s="105" t="s">
        <v>6849</v>
      </c>
      <c r="D818" s="149" t="s">
        <v>3085</v>
      </c>
      <c r="E818" s="105">
        <v>1</v>
      </c>
      <c r="F818" s="133">
        <v>29.95</v>
      </c>
      <c r="G818" s="133">
        <v>34.5</v>
      </c>
      <c r="H818" s="109">
        <f t="shared" si="37"/>
        <v>34.5</v>
      </c>
      <c r="I818" s="119"/>
      <c r="J818" s="119"/>
      <c r="K818" s="119">
        <f t="shared" si="38"/>
        <v>34.5</v>
      </c>
      <c r="L818" s="152">
        <f t="shared" si="39"/>
        <v>29.95</v>
      </c>
      <c r="M818" s="113"/>
    </row>
    <row r="819" spans="1:13" x14ac:dyDescent="0.2">
      <c r="A819" s="106" t="s">
        <v>6824</v>
      </c>
      <c r="B819" s="272" t="s">
        <v>5867</v>
      </c>
      <c r="C819" s="105" t="s">
        <v>6850</v>
      </c>
      <c r="D819" s="149" t="s">
        <v>5960</v>
      </c>
      <c r="E819" s="105">
        <v>1</v>
      </c>
      <c r="F819" s="133">
        <v>7.75</v>
      </c>
      <c r="G819" s="133">
        <v>9</v>
      </c>
      <c r="H819" s="109">
        <f t="shared" si="37"/>
        <v>9</v>
      </c>
      <c r="I819" s="119"/>
      <c r="J819" s="119"/>
      <c r="K819" s="119">
        <f t="shared" si="38"/>
        <v>9</v>
      </c>
      <c r="L819" s="152">
        <f t="shared" si="39"/>
        <v>7.75</v>
      </c>
      <c r="M819" s="113"/>
    </row>
    <row r="820" spans="1:13" x14ac:dyDescent="0.2">
      <c r="A820" s="106" t="s">
        <v>6824</v>
      </c>
      <c r="B820" s="272" t="s">
        <v>1933</v>
      </c>
      <c r="C820" s="105" t="s">
        <v>6851</v>
      </c>
      <c r="D820" s="149" t="s">
        <v>1934</v>
      </c>
      <c r="E820" s="105">
        <v>2</v>
      </c>
      <c r="F820" s="133">
        <v>3.6</v>
      </c>
      <c r="G820" s="133">
        <v>4.25</v>
      </c>
      <c r="H820" s="109">
        <f t="shared" si="37"/>
        <v>8.5</v>
      </c>
      <c r="I820" s="119"/>
      <c r="J820" s="119"/>
      <c r="K820" s="119">
        <f t="shared" si="38"/>
        <v>8.5</v>
      </c>
      <c r="L820" s="152">
        <f t="shared" si="39"/>
        <v>7.2</v>
      </c>
      <c r="M820" s="113"/>
    </row>
    <row r="821" spans="1:13" x14ac:dyDescent="0.2">
      <c r="A821" s="106" t="s">
        <v>6824</v>
      </c>
      <c r="B821" s="272" t="s">
        <v>2201</v>
      </c>
      <c r="C821" s="105" t="s">
        <v>6851</v>
      </c>
      <c r="D821" s="149" t="s">
        <v>2202</v>
      </c>
      <c r="E821" s="105">
        <v>4</v>
      </c>
      <c r="F821" s="133">
        <v>11.99</v>
      </c>
      <c r="G821" s="133">
        <v>14</v>
      </c>
      <c r="H821" s="109">
        <f t="shared" si="37"/>
        <v>56</v>
      </c>
      <c r="I821" s="119"/>
      <c r="J821" s="119">
        <v>0</v>
      </c>
      <c r="K821" s="119">
        <f t="shared" si="38"/>
        <v>56</v>
      </c>
      <c r="L821" s="152">
        <f t="shared" si="39"/>
        <v>47.96</v>
      </c>
      <c r="M821" s="113"/>
    </row>
    <row r="822" spans="1:13" x14ac:dyDescent="0.2">
      <c r="A822" s="106" t="s">
        <v>6824</v>
      </c>
      <c r="B822" s="272" t="s">
        <v>5867</v>
      </c>
      <c r="C822" s="105" t="s">
        <v>6851</v>
      </c>
      <c r="D822" s="149" t="s">
        <v>5960</v>
      </c>
      <c r="E822" s="105">
        <v>3</v>
      </c>
      <c r="F822" s="133">
        <v>7.75</v>
      </c>
      <c r="G822" s="133">
        <v>9</v>
      </c>
      <c r="H822" s="109">
        <f t="shared" si="37"/>
        <v>27</v>
      </c>
      <c r="I822" s="119"/>
      <c r="J822" s="119">
        <v>0</v>
      </c>
      <c r="K822" s="119">
        <f t="shared" si="38"/>
        <v>27</v>
      </c>
      <c r="L822" s="152">
        <f t="shared" si="39"/>
        <v>23.25</v>
      </c>
      <c r="M822" s="113"/>
    </row>
    <row r="823" spans="1:13" x14ac:dyDescent="0.2">
      <c r="A823" s="106" t="s">
        <v>6854</v>
      </c>
      <c r="B823" s="272" t="s">
        <v>3539</v>
      </c>
      <c r="C823" s="105" t="s">
        <v>6878</v>
      </c>
      <c r="D823" s="149" t="s">
        <v>3540</v>
      </c>
      <c r="E823" s="105">
        <v>1</v>
      </c>
      <c r="F823" s="133">
        <v>68.540000000000006</v>
      </c>
      <c r="G823" s="133">
        <v>79</v>
      </c>
      <c r="H823" s="109">
        <f t="shared" si="37"/>
        <v>79</v>
      </c>
      <c r="I823" s="119"/>
      <c r="J823" s="119">
        <v>0</v>
      </c>
      <c r="K823" s="119">
        <f t="shared" si="38"/>
        <v>79</v>
      </c>
      <c r="L823" s="152">
        <f t="shared" si="39"/>
        <v>68.540000000000006</v>
      </c>
      <c r="M823" s="113"/>
    </row>
    <row r="824" spans="1:13" x14ac:dyDescent="0.2">
      <c r="A824" s="106" t="s">
        <v>6854</v>
      </c>
      <c r="B824" s="272" t="s">
        <v>5500</v>
      </c>
      <c r="C824" s="105" t="s">
        <v>6879</v>
      </c>
      <c r="D824" s="149" t="s">
        <v>5576</v>
      </c>
      <c r="E824" s="105">
        <v>1</v>
      </c>
      <c r="F824" s="133">
        <v>65.77</v>
      </c>
      <c r="G824" s="133">
        <v>75.75</v>
      </c>
      <c r="H824" s="109">
        <f t="shared" si="37"/>
        <v>75.75</v>
      </c>
      <c r="I824" s="119"/>
      <c r="J824" s="119">
        <v>0</v>
      </c>
      <c r="K824" s="119">
        <f t="shared" si="38"/>
        <v>75.75</v>
      </c>
      <c r="L824" s="152">
        <f t="shared" si="39"/>
        <v>65.77</v>
      </c>
      <c r="M824" s="113"/>
    </row>
    <row r="825" spans="1:13" x14ac:dyDescent="0.2">
      <c r="A825" s="106" t="s">
        <v>6854</v>
      </c>
      <c r="B825" s="272" t="s">
        <v>6326</v>
      </c>
      <c r="C825" s="105" t="s">
        <v>6880</v>
      </c>
      <c r="D825" s="149" t="s">
        <v>6667</v>
      </c>
      <c r="E825" s="105">
        <v>1</v>
      </c>
      <c r="F825" s="133">
        <v>11.03</v>
      </c>
      <c r="G825" s="133">
        <v>13.75</v>
      </c>
      <c r="H825" s="109">
        <f t="shared" si="37"/>
        <v>13.75</v>
      </c>
      <c r="I825" s="119"/>
      <c r="J825" s="119">
        <v>0</v>
      </c>
      <c r="K825" s="119">
        <f t="shared" si="38"/>
        <v>13.75</v>
      </c>
      <c r="L825" s="152">
        <f t="shared" si="39"/>
        <v>11.03</v>
      </c>
      <c r="M825" s="113"/>
    </row>
    <row r="826" spans="1:13" x14ac:dyDescent="0.2">
      <c r="A826" s="106" t="s">
        <v>6854</v>
      </c>
      <c r="B826" s="272" t="s">
        <v>4207</v>
      </c>
      <c r="C826" s="105" t="s">
        <v>6881</v>
      </c>
      <c r="D826" s="149" t="s">
        <v>4208</v>
      </c>
      <c r="E826" s="105">
        <v>1</v>
      </c>
      <c r="F826" s="133">
        <v>67.88</v>
      </c>
      <c r="G826" s="133">
        <v>78.25</v>
      </c>
      <c r="H826" s="109">
        <f t="shared" si="37"/>
        <v>78.25</v>
      </c>
      <c r="I826" s="119"/>
      <c r="J826" s="119">
        <v>0</v>
      </c>
      <c r="K826" s="119">
        <f t="shared" si="38"/>
        <v>78.25</v>
      </c>
      <c r="L826" s="152">
        <f t="shared" si="39"/>
        <v>67.88</v>
      </c>
      <c r="M826" s="113"/>
    </row>
    <row r="827" spans="1:13" x14ac:dyDescent="0.2">
      <c r="A827" s="106" t="s">
        <v>6854</v>
      </c>
      <c r="B827" s="272" t="s">
        <v>3517</v>
      </c>
      <c r="C827" s="105" t="s">
        <v>6881</v>
      </c>
      <c r="D827" s="149" t="s">
        <v>3518</v>
      </c>
      <c r="E827" s="105">
        <v>1</v>
      </c>
      <c r="F827" s="133">
        <v>61.5</v>
      </c>
      <c r="G827" s="133">
        <v>70.75</v>
      </c>
      <c r="H827" s="109">
        <f t="shared" si="37"/>
        <v>70.75</v>
      </c>
      <c r="I827" s="119"/>
      <c r="J827" s="119">
        <v>0</v>
      </c>
      <c r="K827" s="119">
        <f t="shared" si="38"/>
        <v>70.75</v>
      </c>
      <c r="L827" s="152">
        <f t="shared" si="39"/>
        <v>61.5</v>
      </c>
      <c r="M827" s="113"/>
    </row>
    <row r="828" spans="1:13" x14ac:dyDescent="0.2">
      <c r="A828" s="106" t="s">
        <v>6854</v>
      </c>
      <c r="B828" s="272" t="s">
        <v>5238</v>
      </c>
      <c r="C828" s="105" t="s">
        <v>6882</v>
      </c>
      <c r="D828" s="149" t="s">
        <v>5398</v>
      </c>
      <c r="E828" s="105">
        <v>1</v>
      </c>
      <c r="F828" s="133">
        <v>8.75</v>
      </c>
      <c r="G828" s="133">
        <v>10.25</v>
      </c>
      <c r="H828" s="109">
        <f t="shared" si="37"/>
        <v>10.25</v>
      </c>
      <c r="I828" s="119"/>
      <c r="J828" s="119">
        <v>0</v>
      </c>
      <c r="K828" s="119">
        <f t="shared" si="38"/>
        <v>10.25</v>
      </c>
      <c r="L828" s="152">
        <f t="shared" si="39"/>
        <v>8.75</v>
      </c>
      <c r="M828" s="113"/>
    </row>
    <row r="829" spans="1:13" x14ac:dyDescent="0.2">
      <c r="A829" s="106" t="s">
        <v>6854</v>
      </c>
      <c r="B829" s="272" t="s">
        <v>1920</v>
      </c>
      <c r="C829" s="105" t="s">
        <v>6883</v>
      </c>
      <c r="D829" s="149" t="s">
        <v>1921</v>
      </c>
      <c r="E829" s="105">
        <v>1</v>
      </c>
      <c r="F829" s="133">
        <v>13.32</v>
      </c>
      <c r="G829" s="133">
        <v>15.5</v>
      </c>
      <c r="H829" s="109">
        <f t="shared" si="37"/>
        <v>15.5</v>
      </c>
      <c r="I829" s="119"/>
      <c r="J829" s="119">
        <v>0</v>
      </c>
      <c r="K829" s="119">
        <f t="shared" si="38"/>
        <v>15.5</v>
      </c>
      <c r="L829" s="152">
        <f t="shared" si="39"/>
        <v>13.32</v>
      </c>
      <c r="M829" s="113"/>
    </row>
    <row r="830" spans="1:13" x14ac:dyDescent="0.2">
      <c r="A830" s="106" t="s">
        <v>6854</v>
      </c>
      <c r="B830" s="272" t="s">
        <v>1924</v>
      </c>
      <c r="C830" s="105" t="s">
        <v>6884</v>
      </c>
      <c r="D830" s="149" t="s">
        <v>1926</v>
      </c>
      <c r="E830" s="105">
        <v>2</v>
      </c>
      <c r="F830" s="133">
        <v>10.64</v>
      </c>
      <c r="G830" s="133">
        <v>12.25</v>
      </c>
      <c r="H830" s="109">
        <f t="shared" si="37"/>
        <v>24.5</v>
      </c>
      <c r="I830" s="119"/>
      <c r="J830" s="119">
        <v>0</v>
      </c>
      <c r="K830" s="119">
        <f t="shared" si="38"/>
        <v>24.5</v>
      </c>
      <c r="L830" s="152">
        <f t="shared" si="39"/>
        <v>21.28</v>
      </c>
      <c r="M830" s="113"/>
    </row>
    <row r="831" spans="1:13" x14ac:dyDescent="0.2">
      <c r="A831" s="106" t="s">
        <v>6854</v>
      </c>
      <c r="B831" s="272" t="s">
        <v>2237</v>
      </c>
      <c r="C831" s="105" t="s">
        <v>6884</v>
      </c>
      <c r="D831" s="149" t="s">
        <v>2239</v>
      </c>
      <c r="E831" s="105">
        <v>1</v>
      </c>
      <c r="F831" s="133">
        <v>13.32</v>
      </c>
      <c r="G831" s="133">
        <v>15.5</v>
      </c>
      <c r="H831" s="109">
        <f t="shared" si="37"/>
        <v>15.5</v>
      </c>
      <c r="I831" s="119"/>
      <c r="J831" s="119">
        <v>0</v>
      </c>
      <c r="K831" s="119">
        <f t="shared" si="38"/>
        <v>15.5</v>
      </c>
      <c r="L831" s="152">
        <f t="shared" si="39"/>
        <v>13.32</v>
      </c>
      <c r="M831" s="113"/>
    </row>
    <row r="832" spans="1:13" x14ac:dyDescent="0.2">
      <c r="A832" s="106" t="s">
        <v>6854</v>
      </c>
      <c r="B832" s="272" t="s">
        <v>2507</v>
      </c>
      <c r="C832" s="105" t="s">
        <v>6885</v>
      </c>
      <c r="D832" s="149" t="s">
        <v>2508</v>
      </c>
      <c r="E832" s="105">
        <v>10</v>
      </c>
      <c r="F832" s="133">
        <v>53</v>
      </c>
      <c r="G832" s="133">
        <v>61</v>
      </c>
      <c r="H832" s="109">
        <f t="shared" si="37"/>
        <v>610</v>
      </c>
      <c r="I832" s="119"/>
      <c r="J832" s="119">
        <v>0</v>
      </c>
      <c r="K832" s="119">
        <f t="shared" si="38"/>
        <v>610</v>
      </c>
      <c r="L832" s="152">
        <f t="shared" si="39"/>
        <v>530</v>
      </c>
      <c r="M832" s="113"/>
    </row>
    <row r="833" spans="1:13" x14ac:dyDescent="0.2">
      <c r="A833" s="106" t="s">
        <v>6854</v>
      </c>
      <c r="B833" s="272" t="s">
        <v>2597</v>
      </c>
      <c r="C833" s="105" t="s">
        <v>6885</v>
      </c>
      <c r="D833" s="149" t="s">
        <v>2598</v>
      </c>
      <c r="E833" s="105">
        <v>12</v>
      </c>
      <c r="F833" s="133">
        <v>29.17</v>
      </c>
      <c r="G833" s="133">
        <v>33.75</v>
      </c>
      <c r="H833" s="109">
        <f t="shared" si="37"/>
        <v>405</v>
      </c>
      <c r="I833" s="119"/>
      <c r="J833" s="119">
        <v>0</v>
      </c>
      <c r="K833" s="119">
        <f t="shared" si="38"/>
        <v>405</v>
      </c>
      <c r="L833" s="152">
        <f t="shared" si="39"/>
        <v>350.04</v>
      </c>
      <c r="M833" s="113"/>
    </row>
    <row r="834" spans="1:13" x14ac:dyDescent="0.2">
      <c r="A834" s="106" t="s">
        <v>6854</v>
      </c>
      <c r="B834" s="272" t="s">
        <v>3050</v>
      </c>
      <c r="C834" s="105" t="s">
        <v>6885</v>
      </c>
      <c r="D834" s="149" t="s">
        <v>3051</v>
      </c>
      <c r="E834" s="105">
        <v>36</v>
      </c>
      <c r="F834" s="133">
        <v>6.02</v>
      </c>
      <c r="G834" s="133">
        <v>7.25</v>
      </c>
      <c r="H834" s="109">
        <f t="shared" si="37"/>
        <v>261</v>
      </c>
      <c r="I834" s="119"/>
      <c r="J834" s="119">
        <v>0</v>
      </c>
      <c r="K834" s="119">
        <f t="shared" si="38"/>
        <v>261</v>
      </c>
      <c r="L834" s="152">
        <f t="shared" si="39"/>
        <v>216.71999999999997</v>
      </c>
      <c r="M834" s="113"/>
    </row>
    <row r="835" spans="1:13" x14ac:dyDescent="0.2">
      <c r="A835" s="106" t="s">
        <v>6854</v>
      </c>
      <c r="B835" s="272" t="s">
        <v>2521</v>
      </c>
      <c r="C835" s="105" t="s">
        <v>6885</v>
      </c>
      <c r="D835" s="149" t="s">
        <v>2522</v>
      </c>
      <c r="E835" s="105">
        <v>24</v>
      </c>
      <c r="F835" s="133">
        <v>6.12</v>
      </c>
      <c r="G835" s="133">
        <v>7.25</v>
      </c>
      <c r="H835" s="109">
        <f t="shared" si="37"/>
        <v>174</v>
      </c>
      <c r="I835" s="119"/>
      <c r="J835" s="119">
        <v>0</v>
      </c>
      <c r="K835" s="119">
        <f t="shared" si="38"/>
        <v>174</v>
      </c>
      <c r="L835" s="152">
        <f t="shared" si="39"/>
        <v>146.88</v>
      </c>
      <c r="M835" s="113"/>
    </row>
    <row r="836" spans="1:13" x14ac:dyDescent="0.2">
      <c r="A836" s="106" t="s">
        <v>6854</v>
      </c>
      <c r="B836" s="272" t="s">
        <v>2481</v>
      </c>
      <c r="C836" s="105" t="s">
        <v>6885</v>
      </c>
      <c r="D836" s="149" t="s">
        <v>2482</v>
      </c>
      <c r="E836" s="105">
        <v>1</v>
      </c>
      <c r="F836" s="133">
        <v>759.99</v>
      </c>
      <c r="G836" s="133">
        <v>874</v>
      </c>
      <c r="H836" s="109">
        <f t="shared" si="37"/>
        <v>874</v>
      </c>
      <c r="I836" s="119"/>
      <c r="J836" s="119">
        <v>0</v>
      </c>
      <c r="K836" s="119">
        <f t="shared" si="38"/>
        <v>874</v>
      </c>
      <c r="L836" s="152">
        <f t="shared" si="39"/>
        <v>759.99</v>
      </c>
      <c r="M836" s="113"/>
    </row>
    <row r="837" spans="1:13" x14ac:dyDescent="0.2">
      <c r="A837" s="106" t="s">
        <v>6854</v>
      </c>
      <c r="B837" s="272" t="s">
        <v>3457</v>
      </c>
      <c r="C837" s="105" t="s">
        <v>6885</v>
      </c>
      <c r="D837" s="149" t="s">
        <v>3458</v>
      </c>
      <c r="E837" s="105">
        <v>3</v>
      </c>
      <c r="F837" s="133">
        <v>51.97</v>
      </c>
      <c r="G837" s="133">
        <v>60</v>
      </c>
      <c r="H837" s="109">
        <f t="shared" si="37"/>
        <v>180</v>
      </c>
      <c r="I837" s="119"/>
      <c r="J837" s="119">
        <v>0</v>
      </c>
      <c r="K837" s="119">
        <f t="shared" si="38"/>
        <v>180</v>
      </c>
      <c r="L837" s="152">
        <f t="shared" si="39"/>
        <v>155.91</v>
      </c>
      <c r="M837" s="113"/>
    </row>
    <row r="838" spans="1:13" x14ac:dyDescent="0.2">
      <c r="A838" s="106" t="s">
        <v>6854</v>
      </c>
      <c r="B838" s="272" t="s">
        <v>2809</v>
      </c>
      <c r="C838" s="105" t="s">
        <v>6885</v>
      </c>
      <c r="D838" s="149" t="s">
        <v>2810</v>
      </c>
      <c r="E838" s="105">
        <v>2</v>
      </c>
      <c r="F838" s="133">
        <v>53.81</v>
      </c>
      <c r="G838" s="133">
        <v>62</v>
      </c>
      <c r="H838" s="109">
        <f t="shared" ref="H838:H901" si="40">E838*G838</f>
        <v>124</v>
      </c>
      <c r="I838" s="119"/>
      <c r="J838" s="119">
        <v>0</v>
      </c>
      <c r="K838" s="119">
        <f t="shared" si="38"/>
        <v>124</v>
      </c>
      <c r="L838" s="152">
        <f t="shared" si="39"/>
        <v>107.62</v>
      </c>
      <c r="M838" s="113"/>
    </row>
    <row r="839" spans="1:13" x14ac:dyDescent="0.2">
      <c r="A839" s="106" t="s">
        <v>6854</v>
      </c>
      <c r="B839" s="272" t="s">
        <v>2162</v>
      </c>
      <c r="C839" s="105" t="s">
        <v>6885</v>
      </c>
      <c r="D839" s="149" t="s">
        <v>2163</v>
      </c>
      <c r="E839" s="105">
        <v>3</v>
      </c>
      <c r="F839" s="133">
        <v>67.290000000000006</v>
      </c>
      <c r="G839" s="133">
        <v>77.5</v>
      </c>
      <c r="H839" s="109">
        <f t="shared" si="40"/>
        <v>232.5</v>
      </c>
      <c r="I839" s="119"/>
      <c r="J839" s="119">
        <v>0</v>
      </c>
      <c r="K839" s="119">
        <f t="shared" si="38"/>
        <v>232.5</v>
      </c>
      <c r="L839" s="152">
        <f t="shared" si="39"/>
        <v>201.87</v>
      </c>
      <c r="M839" s="113"/>
    </row>
    <row r="840" spans="1:13" x14ac:dyDescent="0.2">
      <c r="A840" s="106" t="s">
        <v>6854</v>
      </c>
      <c r="B840" s="272" t="s">
        <v>3043</v>
      </c>
      <c r="C840" s="105" t="s">
        <v>6885</v>
      </c>
      <c r="D840" s="149" t="s">
        <v>3044</v>
      </c>
      <c r="E840" s="105">
        <v>1</v>
      </c>
      <c r="F840" s="133">
        <v>309.11</v>
      </c>
      <c r="G840" s="133">
        <v>355.5</v>
      </c>
      <c r="H840" s="109">
        <f t="shared" si="40"/>
        <v>355.5</v>
      </c>
      <c r="I840" s="119"/>
      <c r="J840" s="119">
        <v>0</v>
      </c>
      <c r="K840" s="119">
        <f t="shared" ref="K840:K903" si="41">H840+I840-J840</f>
        <v>355.5</v>
      </c>
      <c r="L840" s="152">
        <f t="shared" ref="L840:L903" si="42">E840*F840</f>
        <v>309.11</v>
      </c>
      <c r="M840" s="113"/>
    </row>
    <row r="841" spans="1:13" x14ac:dyDescent="0.2">
      <c r="A841" s="106" t="s">
        <v>6854</v>
      </c>
      <c r="B841" s="272" t="s">
        <v>2170</v>
      </c>
      <c r="C841" s="105" t="s">
        <v>6885</v>
      </c>
      <c r="D841" s="149" t="s">
        <v>2171</v>
      </c>
      <c r="E841" s="105">
        <v>1</v>
      </c>
      <c r="F841" s="133">
        <v>38.81</v>
      </c>
      <c r="G841" s="133">
        <v>47.5</v>
      </c>
      <c r="H841" s="109">
        <f t="shared" si="40"/>
        <v>47.5</v>
      </c>
      <c r="I841" s="119"/>
      <c r="J841" s="119">
        <v>0</v>
      </c>
      <c r="K841" s="119">
        <f t="shared" si="41"/>
        <v>47.5</v>
      </c>
      <c r="L841" s="152">
        <f t="shared" si="42"/>
        <v>38.81</v>
      </c>
      <c r="M841" s="113"/>
    </row>
    <row r="842" spans="1:13" x14ac:dyDescent="0.2">
      <c r="A842" s="106" t="s">
        <v>6854</v>
      </c>
      <c r="B842" s="272" t="s">
        <v>2584</v>
      </c>
      <c r="C842" s="105" t="s">
        <v>6885</v>
      </c>
      <c r="D842" s="149" t="s">
        <v>2585</v>
      </c>
      <c r="E842" s="105">
        <v>1</v>
      </c>
      <c r="F842" s="133">
        <v>17.899999999999999</v>
      </c>
      <c r="G842" s="133">
        <v>20.75</v>
      </c>
      <c r="H842" s="109">
        <f t="shared" si="40"/>
        <v>20.75</v>
      </c>
      <c r="I842" s="119"/>
      <c r="J842" s="119">
        <v>0</v>
      </c>
      <c r="K842" s="119">
        <f t="shared" si="41"/>
        <v>20.75</v>
      </c>
      <c r="L842" s="152">
        <f t="shared" si="42"/>
        <v>17.899999999999999</v>
      </c>
      <c r="M842" s="113"/>
    </row>
    <row r="843" spans="1:13" x14ac:dyDescent="0.2">
      <c r="A843" s="106" t="s">
        <v>6854</v>
      </c>
      <c r="B843" s="272" t="s">
        <v>2158</v>
      </c>
      <c r="C843" s="105" t="s">
        <v>6885</v>
      </c>
      <c r="D843" s="149" t="s">
        <v>2160</v>
      </c>
      <c r="E843" s="105">
        <v>1</v>
      </c>
      <c r="F843" s="133">
        <v>56.31</v>
      </c>
      <c r="G843" s="133">
        <v>67.5</v>
      </c>
      <c r="H843" s="109">
        <f t="shared" si="40"/>
        <v>67.5</v>
      </c>
      <c r="I843" s="119"/>
      <c r="J843" s="119">
        <v>0</v>
      </c>
      <c r="K843" s="119">
        <f t="shared" si="41"/>
        <v>67.5</v>
      </c>
      <c r="L843" s="152">
        <f t="shared" si="42"/>
        <v>56.31</v>
      </c>
      <c r="M843" s="113"/>
    </row>
    <row r="844" spans="1:13" x14ac:dyDescent="0.2">
      <c r="A844" s="106" t="s">
        <v>6854</v>
      </c>
      <c r="B844" s="272" t="s">
        <v>5655</v>
      </c>
      <c r="C844" s="105" t="s">
        <v>6885</v>
      </c>
      <c r="D844" s="149" t="s">
        <v>5678</v>
      </c>
      <c r="E844" s="105">
        <v>1</v>
      </c>
      <c r="F844" s="133">
        <v>23.82</v>
      </c>
      <c r="G844" s="133">
        <v>27.5</v>
      </c>
      <c r="H844" s="109">
        <f t="shared" si="40"/>
        <v>27.5</v>
      </c>
      <c r="I844" s="119"/>
      <c r="J844" s="119">
        <v>0</v>
      </c>
      <c r="K844" s="119">
        <f t="shared" si="41"/>
        <v>27.5</v>
      </c>
      <c r="L844" s="152">
        <f t="shared" si="42"/>
        <v>23.82</v>
      </c>
      <c r="M844" s="113"/>
    </row>
    <row r="845" spans="1:13" x14ac:dyDescent="0.2">
      <c r="A845" s="106" t="s">
        <v>6854</v>
      </c>
      <c r="B845" s="272" t="s">
        <v>1944</v>
      </c>
      <c r="C845" s="105" t="s">
        <v>6885</v>
      </c>
      <c r="D845" s="149" t="s">
        <v>1946</v>
      </c>
      <c r="E845" s="105">
        <v>6</v>
      </c>
      <c r="F845" s="133">
        <v>14.84</v>
      </c>
      <c r="G845" s="133">
        <v>17.25</v>
      </c>
      <c r="H845" s="109">
        <f t="shared" si="40"/>
        <v>103.5</v>
      </c>
      <c r="I845" s="119"/>
      <c r="J845" s="119">
        <v>0</v>
      </c>
      <c r="K845" s="119">
        <f t="shared" si="41"/>
        <v>103.5</v>
      </c>
      <c r="L845" s="152">
        <f t="shared" si="42"/>
        <v>89.039999999999992</v>
      </c>
      <c r="M845" s="113"/>
    </row>
    <row r="846" spans="1:13" x14ac:dyDescent="0.2">
      <c r="A846" s="106" t="s">
        <v>6854</v>
      </c>
      <c r="B846" s="272" t="s">
        <v>2298</v>
      </c>
      <c r="C846" s="105" t="s">
        <v>6885</v>
      </c>
      <c r="D846" s="149" t="s">
        <v>2299</v>
      </c>
      <c r="E846" s="105">
        <v>2</v>
      </c>
      <c r="F846" s="133">
        <v>21.84</v>
      </c>
      <c r="G846" s="133">
        <v>25.25</v>
      </c>
      <c r="H846" s="109">
        <f t="shared" si="40"/>
        <v>50.5</v>
      </c>
      <c r="I846" s="119"/>
      <c r="J846" s="119">
        <v>0</v>
      </c>
      <c r="K846" s="119">
        <f t="shared" si="41"/>
        <v>50.5</v>
      </c>
      <c r="L846" s="152">
        <f t="shared" si="42"/>
        <v>43.68</v>
      </c>
      <c r="M846" s="113"/>
    </row>
    <row r="847" spans="1:13" x14ac:dyDescent="0.2">
      <c r="A847" s="106" t="s">
        <v>6854</v>
      </c>
      <c r="B847" s="272" t="s">
        <v>3047</v>
      </c>
      <c r="C847" s="105" t="s">
        <v>6885</v>
      </c>
      <c r="D847" s="149" t="s">
        <v>3048</v>
      </c>
      <c r="E847" s="105">
        <v>2</v>
      </c>
      <c r="F847" s="133">
        <v>37.47</v>
      </c>
      <c r="G847" s="133">
        <v>43.25</v>
      </c>
      <c r="H847" s="109">
        <f t="shared" si="40"/>
        <v>86.5</v>
      </c>
      <c r="I847" s="119"/>
      <c r="J847" s="119">
        <v>0</v>
      </c>
      <c r="K847" s="119">
        <f t="shared" si="41"/>
        <v>86.5</v>
      </c>
      <c r="L847" s="152">
        <f t="shared" si="42"/>
        <v>74.94</v>
      </c>
      <c r="M847" s="113"/>
    </row>
    <row r="848" spans="1:13" x14ac:dyDescent="0.2">
      <c r="A848" s="106" t="s">
        <v>6854</v>
      </c>
      <c r="B848" s="272" t="s">
        <v>2245</v>
      </c>
      <c r="C848" s="105" t="s">
        <v>6885</v>
      </c>
      <c r="D848" s="149" t="s">
        <v>2246</v>
      </c>
      <c r="E848" s="105">
        <v>16</v>
      </c>
      <c r="F848" s="133">
        <v>4.74</v>
      </c>
      <c r="G848" s="133">
        <v>5.5</v>
      </c>
      <c r="H848" s="109">
        <f t="shared" si="40"/>
        <v>88</v>
      </c>
      <c r="I848" s="119"/>
      <c r="J848" s="119">
        <v>0</v>
      </c>
      <c r="K848" s="119">
        <f t="shared" si="41"/>
        <v>88</v>
      </c>
      <c r="L848" s="152">
        <f t="shared" si="42"/>
        <v>75.84</v>
      </c>
      <c r="M848" s="113"/>
    </row>
    <row r="849" spans="1:13" x14ac:dyDescent="0.2">
      <c r="A849" s="106" t="s">
        <v>6854</v>
      </c>
      <c r="B849" s="272" t="s">
        <v>2521</v>
      </c>
      <c r="C849" s="105" t="s">
        <v>6885</v>
      </c>
      <c r="D849" s="149" t="s">
        <v>2522</v>
      </c>
      <c r="E849" s="105">
        <v>24</v>
      </c>
      <c r="F849" s="133">
        <v>6.12</v>
      </c>
      <c r="G849" s="133">
        <v>7.25</v>
      </c>
      <c r="H849" s="109">
        <f t="shared" si="40"/>
        <v>174</v>
      </c>
      <c r="I849" s="119"/>
      <c r="J849" s="119">
        <v>0</v>
      </c>
      <c r="K849" s="119">
        <f t="shared" si="41"/>
        <v>174</v>
      </c>
      <c r="L849" s="152">
        <f t="shared" si="42"/>
        <v>146.88</v>
      </c>
      <c r="M849" s="113"/>
    </row>
    <row r="850" spans="1:13" x14ac:dyDescent="0.2">
      <c r="A850" s="106" t="s">
        <v>6854</v>
      </c>
      <c r="B850" s="272" t="s">
        <v>2878</v>
      </c>
      <c r="C850" s="105" t="s">
        <v>6885</v>
      </c>
      <c r="D850" s="149" t="s">
        <v>2880</v>
      </c>
      <c r="E850" s="105">
        <v>1</v>
      </c>
      <c r="F850" s="133">
        <v>60.4</v>
      </c>
      <c r="G850" s="133">
        <v>70</v>
      </c>
      <c r="H850" s="109">
        <f t="shared" si="40"/>
        <v>70</v>
      </c>
      <c r="I850" s="119"/>
      <c r="J850" s="119">
        <v>0</v>
      </c>
      <c r="K850" s="119">
        <f t="shared" si="41"/>
        <v>70</v>
      </c>
      <c r="L850" s="152">
        <f t="shared" si="42"/>
        <v>60.4</v>
      </c>
      <c r="M850" s="113"/>
    </row>
    <row r="851" spans="1:13" x14ac:dyDescent="0.2">
      <c r="A851" s="106" t="s">
        <v>6854</v>
      </c>
      <c r="B851" s="272" t="s">
        <v>4037</v>
      </c>
      <c r="C851" s="105" t="s">
        <v>6885</v>
      </c>
      <c r="D851" s="149" t="s">
        <v>4039</v>
      </c>
      <c r="E851" s="105">
        <v>1</v>
      </c>
      <c r="F851" s="133">
        <v>148.25</v>
      </c>
      <c r="G851" s="133">
        <v>170.5</v>
      </c>
      <c r="H851" s="109">
        <f t="shared" si="40"/>
        <v>170.5</v>
      </c>
      <c r="I851" s="119"/>
      <c r="J851" s="119">
        <v>0</v>
      </c>
      <c r="K851" s="119">
        <f t="shared" si="41"/>
        <v>170.5</v>
      </c>
      <c r="L851" s="152">
        <f t="shared" si="42"/>
        <v>148.25</v>
      </c>
      <c r="M851" s="113"/>
    </row>
    <row r="852" spans="1:13" x14ac:dyDescent="0.2">
      <c r="A852" s="106" t="s">
        <v>6854</v>
      </c>
      <c r="B852" s="272" t="s">
        <v>3195</v>
      </c>
      <c r="C852" s="105" t="s">
        <v>6885</v>
      </c>
      <c r="D852" s="149" t="s">
        <v>3196</v>
      </c>
      <c r="E852" s="105">
        <v>1</v>
      </c>
      <c r="F852" s="133">
        <v>64.58</v>
      </c>
      <c r="G852" s="133">
        <v>74.5</v>
      </c>
      <c r="H852" s="109">
        <f t="shared" si="40"/>
        <v>74.5</v>
      </c>
      <c r="I852" s="119"/>
      <c r="J852" s="119">
        <v>0</v>
      </c>
      <c r="K852" s="119">
        <f t="shared" si="41"/>
        <v>74.5</v>
      </c>
      <c r="L852" s="152">
        <f t="shared" si="42"/>
        <v>64.58</v>
      </c>
      <c r="M852" s="113"/>
    </row>
    <row r="853" spans="1:13" x14ac:dyDescent="0.2">
      <c r="A853" s="106" t="s">
        <v>6854</v>
      </c>
      <c r="B853" s="272" t="s">
        <v>1806</v>
      </c>
      <c r="C853" s="105" t="s">
        <v>6886</v>
      </c>
      <c r="D853" s="149" t="s">
        <v>1807</v>
      </c>
      <c r="E853" s="105">
        <v>1</v>
      </c>
      <c r="F853" s="133">
        <v>15.65</v>
      </c>
      <c r="G853" s="133">
        <v>18</v>
      </c>
      <c r="H853" s="109">
        <f t="shared" si="40"/>
        <v>18</v>
      </c>
      <c r="I853" s="119"/>
      <c r="J853" s="119">
        <v>0</v>
      </c>
      <c r="K853" s="119">
        <f t="shared" si="41"/>
        <v>18</v>
      </c>
      <c r="L853" s="152">
        <f t="shared" si="42"/>
        <v>15.65</v>
      </c>
      <c r="M853" s="113"/>
    </row>
    <row r="854" spans="1:13" x14ac:dyDescent="0.2">
      <c r="A854" s="106" t="s">
        <v>6854</v>
      </c>
      <c r="B854" s="272" t="s">
        <v>6870</v>
      </c>
      <c r="C854" s="105" t="s">
        <v>6887</v>
      </c>
      <c r="D854" s="149" t="s">
        <v>6980</v>
      </c>
      <c r="E854" s="105">
        <v>1</v>
      </c>
      <c r="F854" s="133">
        <v>80</v>
      </c>
      <c r="G854" s="133">
        <v>85</v>
      </c>
      <c r="H854" s="109">
        <f t="shared" si="40"/>
        <v>85</v>
      </c>
      <c r="I854" s="119"/>
      <c r="J854" s="119">
        <v>0</v>
      </c>
      <c r="K854" s="119">
        <f t="shared" si="41"/>
        <v>85</v>
      </c>
      <c r="L854" s="152">
        <f t="shared" si="42"/>
        <v>80</v>
      </c>
      <c r="M854" s="113"/>
    </row>
    <row r="855" spans="1:13" x14ac:dyDescent="0.2">
      <c r="A855" s="106" t="s">
        <v>6854</v>
      </c>
      <c r="B855" s="272" t="s">
        <v>4806</v>
      </c>
      <c r="C855" s="105" t="s">
        <v>6888</v>
      </c>
      <c r="D855" s="149" t="s">
        <v>4874</v>
      </c>
      <c r="E855" s="105">
        <v>1</v>
      </c>
      <c r="F855" s="133">
        <v>8.58</v>
      </c>
      <c r="G855" s="133">
        <v>10</v>
      </c>
      <c r="H855" s="109">
        <f t="shared" si="40"/>
        <v>10</v>
      </c>
      <c r="I855" s="119"/>
      <c r="J855" s="119">
        <v>0</v>
      </c>
      <c r="K855" s="119">
        <f t="shared" si="41"/>
        <v>10</v>
      </c>
      <c r="L855" s="152">
        <f t="shared" si="42"/>
        <v>8.58</v>
      </c>
      <c r="M855" s="113"/>
    </row>
    <row r="856" spans="1:13" x14ac:dyDescent="0.2">
      <c r="A856" s="106" t="s">
        <v>6854</v>
      </c>
      <c r="B856" s="272" t="s">
        <v>4368</v>
      </c>
      <c r="C856" s="105" t="s">
        <v>6889</v>
      </c>
      <c r="D856" s="149" t="s">
        <v>4432</v>
      </c>
      <c r="E856" s="105">
        <v>1</v>
      </c>
      <c r="F856" s="133">
        <v>9.27</v>
      </c>
      <c r="G856" s="133">
        <v>10.75</v>
      </c>
      <c r="H856" s="109">
        <f t="shared" si="40"/>
        <v>10.75</v>
      </c>
      <c r="I856" s="119"/>
      <c r="J856" s="119">
        <v>0</v>
      </c>
      <c r="K856" s="119">
        <f t="shared" si="41"/>
        <v>10.75</v>
      </c>
      <c r="L856" s="152">
        <f t="shared" si="42"/>
        <v>9.27</v>
      </c>
      <c r="M856" s="113"/>
    </row>
    <row r="857" spans="1:13" x14ac:dyDescent="0.2">
      <c r="A857" s="106" t="s">
        <v>6854</v>
      </c>
      <c r="B857" s="272" t="s">
        <v>6870</v>
      </c>
      <c r="C857" s="105" t="s">
        <v>6890</v>
      </c>
      <c r="D857" s="149" t="s">
        <v>6981</v>
      </c>
      <c r="E857" s="105">
        <v>1</v>
      </c>
      <c r="F857" s="133">
        <v>80</v>
      </c>
      <c r="G857" s="133">
        <v>100</v>
      </c>
      <c r="H857" s="109">
        <f t="shared" si="40"/>
        <v>100</v>
      </c>
      <c r="I857" s="119"/>
      <c r="J857" s="119">
        <v>0</v>
      </c>
      <c r="K857" s="119">
        <f t="shared" si="41"/>
        <v>100</v>
      </c>
      <c r="L857" s="152">
        <f t="shared" si="42"/>
        <v>80</v>
      </c>
      <c r="M857" s="113"/>
    </row>
    <row r="858" spans="1:13" x14ac:dyDescent="0.2">
      <c r="A858" s="106" t="s">
        <v>6854</v>
      </c>
      <c r="B858" s="272" t="s">
        <v>6354</v>
      </c>
      <c r="C858" s="105" t="s">
        <v>6891</v>
      </c>
      <c r="D858" s="149" t="s">
        <v>6695</v>
      </c>
      <c r="E858" s="105">
        <v>1</v>
      </c>
      <c r="F858" s="133">
        <v>7.7</v>
      </c>
      <c r="G858" s="133">
        <v>9</v>
      </c>
      <c r="H858" s="109">
        <f t="shared" si="40"/>
        <v>9</v>
      </c>
      <c r="I858" s="119"/>
      <c r="J858" s="119">
        <v>0</v>
      </c>
      <c r="K858" s="119">
        <f t="shared" si="41"/>
        <v>9</v>
      </c>
      <c r="L858" s="152">
        <f t="shared" si="42"/>
        <v>7.7</v>
      </c>
      <c r="M858" s="113"/>
    </row>
    <row r="859" spans="1:13" x14ac:dyDescent="0.2">
      <c r="A859" s="106" t="s">
        <v>6854</v>
      </c>
      <c r="B859" s="272" t="s">
        <v>2115</v>
      </c>
      <c r="C859" s="105" t="s">
        <v>6892</v>
      </c>
      <c r="D859" s="149" t="s">
        <v>2117</v>
      </c>
      <c r="E859" s="105">
        <v>1</v>
      </c>
      <c r="F859" s="133">
        <v>84.85</v>
      </c>
      <c r="G859" s="133">
        <v>94</v>
      </c>
      <c r="H859" s="109">
        <f t="shared" si="40"/>
        <v>94</v>
      </c>
      <c r="I859" s="119"/>
      <c r="J859" s="119">
        <v>0</v>
      </c>
      <c r="K859" s="119">
        <f t="shared" si="41"/>
        <v>94</v>
      </c>
      <c r="L859" s="152">
        <f t="shared" si="42"/>
        <v>84.85</v>
      </c>
      <c r="M859" s="113"/>
    </row>
    <row r="860" spans="1:13" x14ac:dyDescent="0.2">
      <c r="A860" s="106" t="s">
        <v>6854</v>
      </c>
      <c r="B860" s="272" t="s">
        <v>4716</v>
      </c>
      <c r="C860" s="105" t="s">
        <v>6893</v>
      </c>
      <c r="D860" s="149" t="s">
        <v>4751</v>
      </c>
      <c r="E860" s="105">
        <v>10</v>
      </c>
      <c r="F860" s="133">
        <v>0.81</v>
      </c>
      <c r="G860" s="133">
        <v>1</v>
      </c>
      <c r="H860" s="109">
        <f t="shared" si="40"/>
        <v>10</v>
      </c>
      <c r="I860" s="119"/>
      <c r="J860" s="119">
        <v>0</v>
      </c>
      <c r="K860" s="119">
        <f t="shared" si="41"/>
        <v>10</v>
      </c>
      <c r="L860" s="152">
        <f t="shared" si="42"/>
        <v>8.1000000000000014</v>
      </c>
      <c r="M860" s="113"/>
    </row>
    <row r="861" spans="1:13" x14ac:dyDescent="0.2">
      <c r="A861" s="106" t="s">
        <v>6854</v>
      </c>
      <c r="B861" s="272" t="s">
        <v>6871</v>
      </c>
      <c r="C861" s="105" t="s">
        <v>6894</v>
      </c>
      <c r="D861" s="149" t="s">
        <v>6982</v>
      </c>
      <c r="E861" s="105">
        <v>1</v>
      </c>
      <c r="F861" s="133">
        <v>90</v>
      </c>
      <c r="G861" s="133">
        <v>120</v>
      </c>
      <c r="H861" s="109">
        <f t="shared" si="40"/>
        <v>120</v>
      </c>
      <c r="I861" s="119"/>
      <c r="J861" s="119">
        <v>5</v>
      </c>
      <c r="K861" s="119">
        <f t="shared" si="41"/>
        <v>115</v>
      </c>
      <c r="L861" s="152">
        <f t="shared" si="42"/>
        <v>90</v>
      </c>
      <c r="M861" s="113"/>
    </row>
    <row r="862" spans="1:13" x14ac:dyDescent="0.2">
      <c r="A862" s="106" t="s">
        <v>6854</v>
      </c>
      <c r="B862" s="272" t="s">
        <v>6872</v>
      </c>
      <c r="C862" s="105" t="s">
        <v>6894</v>
      </c>
      <c r="D862" s="149" t="s">
        <v>6983</v>
      </c>
      <c r="E862" s="105">
        <v>1</v>
      </c>
      <c r="F862" s="133">
        <v>60</v>
      </c>
      <c r="G862" s="133">
        <v>75</v>
      </c>
      <c r="H862" s="109">
        <f t="shared" si="40"/>
        <v>75</v>
      </c>
      <c r="I862" s="119"/>
      <c r="J862" s="119">
        <v>0</v>
      </c>
      <c r="K862" s="119">
        <f t="shared" si="41"/>
        <v>75</v>
      </c>
      <c r="L862" s="152">
        <f t="shared" si="42"/>
        <v>60</v>
      </c>
      <c r="M862" s="113"/>
    </row>
    <row r="863" spans="1:13" x14ac:dyDescent="0.2">
      <c r="A863" s="106" t="s">
        <v>6854</v>
      </c>
      <c r="B863" s="272" t="s">
        <v>5975</v>
      </c>
      <c r="C863" s="105" t="s">
        <v>6894</v>
      </c>
      <c r="D863" s="149" t="s">
        <v>6093</v>
      </c>
      <c r="E863" s="105">
        <v>1</v>
      </c>
      <c r="F863" s="133">
        <v>35</v>
      </c>
      <c r="G863" s="133">
        <v>45</v>
      </c>
      <c r="H863" s="109">
        <f t="shared" si="40"/>
        <v>45</v>
      </c>
      <c r="I863" s="119"/>
      <c r="J863" s="119">
        <v>0</v>
      </c>
      <c r="K863" s="119">
        <f t="shared" si="41"/>
        <v>45</v>
      </c>
      <c r="L863" s="152">
        <f t="shared" si="42"/>
        <v>35</v>
      </c>
      <c r="M863" s="113"/>
    </row>
    <row r="864" spans="1:13" x14ac:dyDescent="0.2">
      <c r="A864" s="106" t="s">
        <v>6854</v>
      </c>
      <c r="B864" s="272" t="s">
        <v>5473</v>
      </c>
      <c r="C864" s="105" t="s">
        <v>6894</v>
      </c>
      <c r="D864" s="149" t="s">
        <v>6984</v>
      </c>
      <c r="E864" s="105">
        <v>1</v>
      </c>
      <c r="F864" s="133">
        <v>40</v>
      </c>
      <c r="G864" s="133">
        <v>65</v>
      </c>
      <c r="H864" s="109">
        <f t="shared" si="40"/>
        <v>65</v>
      </c>
      <c r="I864" s="119"/>
      <c r="J864" s="119">
        <v>0</v>
      </c>
      <c r="K864" s="119">
        <f t="shared" si="41"/>
        <v>65</v>
      </c>
      <c r="L864" s="152">
        <f t="shared" si="42"/>
        <v>40</v>
      </c>
      <c r="M864" s="113"/>
    </row>
    <row r="865" spans="1:13" x14ac:dyDescent="0.2">
      <c r="A865" s="106" t="s">
        <v>6854</v>
      </c>
      <c r="B865" s="272" t="s">
        <v>6770</v>
      </c>
      <c r="C865" s="105" t="s">
        <v>6894</v>
      </c>
      <c r="D865" s="149" t="s">
        <v>6820</v>
      </c>
      <c r="E865" s="105">
        <v>4</v>
      </c>
      <c r="F865" s="133">
        <v>55</v>
      </c>
      <c r="G865" s="133">
        <v>75</v>
      </c>
      <c r="H865" s="109">
        <f t="shared" si="40"/>
        <v>300</v>
      </c>
      <c r="I865" s="119"/>
      <c r="J865" s="119">
        <v>0</v>
      </c>
      <c r="K865" s="119">
        <f t="shared" si="41"/>
        <v>300</v>
      </c>
      <c r="L865" s="152">
        <f t="shared" si="42"/>
        <v>220</v>
      </c>
      <c r="M865" s="113"/>
    </row>
    <row r="866" spans="1:13" x14ac:dyDescent="0.2">
      <c r="A866" s="106" t="s">
        <v>6854</v>
      </c>
      <c r="B866" s="272" t="s">
        <v>6873</v>
      </c>
      <c r="C866" s="105" t="s">
        <v>6894</v>
      </c>
      <c r="D866" s="149" t="s">
        <v>6985</v>
      </c>
      <c r="E866" s="105">
        <v>1</v>
      </c>
      <c r="F866" s="133">
        <v>260</v>
      </c>
      <c r="G866" s="133">
        <v>320</v>
      </c>
      <c r="H866" s="109">
        <f t="shared" si="40"/>
        <v>320</v>
      </c>
      <c r="I866" s="119"/>
      <c r="J866" s="119">
        <v>0</v>
      </c>
      <c r="K866" s="119">
        <f t="shared" si="41"/>
        <v>320</v>
      </c>
      <c r="L866" s="152">
        <f t="shared" si="42"/>
        <v>260</v>
      </c>
      <c r="M866" s="113"/>
    </row>
    <row r="867" spans="1:13" x14ac:dyDescent="0.2">
      <c r="A867" s="106" t="s">
        <v>6854</v>
      </c>
      <c r="B867" s="272" t="s">
        <v>6874</v>
      </c>
      <c r="C867" s="105" t="s">
        <v>6894</v>
      </c>
      <c r="D867" s="149" t="s">
        <v>6986</v>
      </c>
      <c r="E867" s="105">
        <v>1</v>
      </c>
      <c r="F867" s="133">
        <v>300</v>
      </c>
      <c r="G867" s="133">
        <v>350</v>
      </c>
      <c r="H867" s="109">
        <f t="shared" si="40"/>
        <v>350</v>
      </c>
      <c r="I867" s="119"/>
      <c r="J867" s="119">
        <v>0</v>
      </c>
      <c r="K867" s="119">
        <f t="shared" si="41"/>
        <v>350</v>
      </c>
      <c r="L867" s="152">
        <f t="shared" si="42"/>
        <v>300</v>
      </c>
      <c r="M867" s="113"/>
    </row>
    <row r="868" spans="1:13" x14ac:dyDescent="0.2">
      <c r="A868" s="106" t="s">
        <v>6854</v>
      </c>
      <c r="B868" s="272" t="s">
        <v>4520</v>
      </c>
      <c r="C868" s="105" t="s">
        <v>6894</v>
      </c>
      <c r="D868" s="149" t="s">
        <v>4625</v>
      </c>
      <c r="E868" s="105">
        <v>1</v>
      </c>
      <c r="F868" s="133">
        <v>60</v>
      </c>
      <c r="G868" s="133">
        <v>75</v>
      </c>
      <c r="H868" s="109">
        <f t="shared" si="40"/>
        <v>75</v>
      </c>
      <c r="I868" s="119"/>
      <c r="J868" s="119">
        <v>0</v>
      </c>
      <c r="K868" s="119">
        <f t="shared" si="41"/>
        <v>75</v>
      </c>
      <c r="L868" s="152">
        <f t="shared" si="42"/>
        <v>60</v>
      </c>
      <c r="M868" s="113"/>
    </row>
    <row r="869" spans="1:13" x14ac:dyDescent="0.2">
      <c r="A869" s="106" t="s">
        <v>6854</v>
      </c>
      <c r="B869" s="272" t="s">
        <v>1826</v>
      </c>
      <c r="C869" s="105" t="s">
        <v>6894</v>
      </c>
      <c r="D869" s="149" t="s">
        <v>1827</v>
      </c>
      <c r="E869" s="105">
        <v>2</v>
      </c>
      <c r="F869" s="133">
        <v>90</v>
      </c>
      <c r="G869" s="133">
        <v>120</v>
      </c>
      <c r="H869" s="109">
        <f t="shared" si="40"/>
        <v>240</v>
      </c>
      <c r="I869" s="119"/>
      <c r="J869" s="119">
        <v>0</v>
      </c>
      <c r="K869" s="119">
        <f t="shared" si="41"/>
        <v>240</v>
      </c>
      <c r="L869" s="152">
        <f t="shared" si="42"/>
        <v>180</v>
      </c>
      <c r="M869" s="113"/>
    </row>
    <row r="870" spans="1:13" x14ac:dyDescent="0.2">
      <c r="A870" s="106" t="s">
        <v>6854</v>
      </c>
      <c r="B870" s="272" t="s">
        <v>5497</v>
      </c>
      <c r="C870" s="105" t="s">
        <v>6894</v>
      </c>
      <c r="D870" s="149" t="s">
        <v>5573</v>
      </c>
      <c r="E870" s="105">
        <v>2</v>
      </c>
      <c r="F870" s="133">
        <v>30</v>
      </c>
      <c r="G870" s="133">
        <v>45</v>
      </c>
      <c r="H870" s="109">
        <f t="shared" si="40"/>
        <v>90</v>
      </c>
      <c r="I870" s="119"/>
      <c r="J870" s="119">
        <v>0</v>
      </c>
      <c r="K870" s="119">
        <f t="shared" si="41"/>
        <v>90</v>
      </c>
      <c r="L870" s="152">
        <f t="shared" si="42"/>
        <v>60</v>
      </c>
      <c r="M870" s="113"/>
    </row>
    <row r="871" spans="1:13" x14ac:dyDescent="0.2">
      <c r="A871" s="106" t="s">
        <v>6854</v>
      </c>
      <c r="B871" s="272" t="s">
        <v>5477</v>
      </c>
      <c r="C871" s="105" t="s">
        <v>6894</v>
      </c>
      <c r="D871" s="149" t="s">
        <v>5489</v>
      </c>
      <c r="E871" s="105">
        <v>1</v>
      </c>
      <c r="F871" s="133">
        <v>47</v>
      </c>
      <c r="G871" s="133">
        <v>60</v>
      </c>
      <c r="H871" s="109">
        <f t="shared" si="40"/>
        <v>60</v>
      </c>
      <c r="I871" s="119"/>
      <c r="J871" s="119">
        <v>0</v>
      </c>
      <c r="K871" s="119">
        <f t="shared" si="41"/>
        <v>60</v>
      </c>
      <c r="L871" s="152">
        <f t="shared" si="42"/>
        <v>47</v>
      </c>
      <c r="M871" s="113"/>
    </row>
    <row r="872" spans="1:13" x14ac:dyDescent="0.2">
      <c r="A872" s="106" t="s">
        <v>6854</v>
      </c>
      <c r="B872" s="272" t="s">
        <v>6870</v>
      </c>
      <c r="C872" s="105" t="s">
        <v>6894</v>
      </c>
      <c r="D872" s="149" t="s">
        <v>6981</v>
      </c>
      <c r="E872" s="105">
        <v>4</v>
      </c>
      <c r="F872" s="133">
        <v>80</v>
      </c>
      <c r="G872" s="133">
        <v>100</v>
      </c>
      <c r="H872" s="109">
        <f t="shared" si="40"/>
        <v>400</v>
      </c>
      <c r="I872" s="119"/>
      <c r="J872" s="119">
        <v>0</v>
      </c>
      <c r="K872" s="119">
        <f t="shared" si="41"/>
        <v>400</v>
      </c>
      <c r="L872" s="152">
        <f t="shared" si="42"/>
        <v>320</v>
      </c>
      <c r="M872" s="113"/>
    </row>
    <row r="873" spans="1:13" x14ac:dyDescent="0.2">
      <c r="A873" s="106" t="s">
        <v>6854</v>
      </c>
      <c r="B873" s="272" t="s">
        <v>6875</v>
      </c>
      <c r="C873" s="105" t="s">
        <v>6894</v>
      </c>
      <c r="D873" s="149" t="s">
        <v>6987</v>
      </c>
      <c r="E873" s="105">
        <v>1</v>
      </c>
      <c r="F873" s="133">
        <v>135</v>
      </c>
      <c r="G873" s="133">
        <v>170</v>
      </c>
      <c r="H873" s="109">
        <f t="shared" si="40"/>
        <v>170</v>
      </c>
      <c r="I873" s="119"/>
      <c r="J873" s="119">
        <v>0</v>
      </c>
      <c r="K873" s="119">
        <f t="shared" si="41"/>
        <v>170</v>
      </c>
      <c r="L873" s="152">
        <f t="shared" si="42"/>
        <v>135</v>
      </c>
      <c r="M873" s="113"/>
    </row>
    <row r="874" spans="1:13" x14ac:dyDescent="0.2">
      <c r="A874" s="106" t="s">
        <v>6854</v>
      </c>
      <c r="B874" s="272" t="s">
        <v>3765</v>
      </c>
      <c r="C874" s="105" t="s">
        <v>6895</v>
      </c>
      <c r="D874" s="149" t="s">
        <v>3766</v>
      </c>
      <c r="E874" s="105">
        <v>4</v>
      </c>
      <c r="F874" s="133">
        <v>68.569999999999993</v>
      </c>
      <c r="G874" s="133">
        <v>79</v>
      </c>
      <c r="H874" s="109">
        <f t="shared" si="40"/>
        <v>316</v>
      </c>
      <c r="I874" s="119"/>
      <c r="J874" s="119">
        <v>0</v>
      </c>
      <c r="K874" s="119">
        <f t="shared" si="41"/>
        <v>316</v>
      </c>
      <c r="L874" s="152">
        <f t="shared" si="42"/>
        <v>274.27999999999997</v>
      </c>
      <c r="M874" s="113"/>
    </row>
    <row r="875" spans="1:13" x14ac:dyDescent="0.2">
      <c r="A875" s="106" t="s">
        <v>6854</v>
      </c>
      <c r="B875" s="272" t="s">
        <v>5126</v>
      </c>
      <c r="C875" s="105" t="s">
        <v>6896</v>
      </c>
      <c r="D875" s="149" t="s">
        <v>5174</v>
      </c>
      <c r="E875" s="105">
        <v>1</v>
      </c>
      <c r="F875" s="133">
        <v>23.62</v>
      </c>
      <c r="G875" s="133">
        <v>27.75</v>
      </c>
      <c r="H875" s="109">
        <f t="shared" si="40"/>
        <v>27.75</v>
      </c>
      <c r="I875" s="119"/>
      <c r="J875" s="119">
        <v>0</v>
      </c>
      <c r="K875" s="119">
        <f t="shared" si="41"/>
        <v>27.75</v>
      </c>
      <c r="L875" s="152">
        <f t="shared" si="42"/>
        <v>23.62</v>
      </c>
      <c r="M875" s="113"/>
    </row>
    <row r="876" spans="1:13" x14ac:dyDescent="0.2">
      <c r="A876" s="106" t="s">
        <v>6854</v>
      </c>
      <c r="B876" s="272" t="s">
        <v>1924</v>
      </c>
      <c r="C876" s="105" t="s">
        <v>6897</v>
      </c>
      <c r="D876" s="149" t="s">
        <v>1926</v>
      </c>
      <c r="E876" s="105">
        <v>1</v>
      </c>
      <c r="F876" s="133">
        <v>10.64</v>
      </c>
      <c r="G876" s="133">
        <v>12.25</v>
      </c>
      <c r="H876" s="109">
        <f t="shared" si="40"/>
        <v>12.25</v>
      </c>
      <c r="I876" s="119"/>
      <c r="J876" s="119">
        <v>0</v>
      </c>
      <c r="K876" s="119">
        <f t="shared" si="41"/>
        <v>12.25</v>
      </c>
      <c r="L876" s="152">
        <f t="shared" si="42"/>
        <v>10.64</v>
      </c>
      <c r="M876" s="113"/>
    </row>
    <row r="877" spans="1:13" x14ac:dyDescent="0.2">
      <c r="A877" s="106" t="s">
        <v>6854</v>
      </c>
      <c r="B877" s="272" t="s">
        <v>2773</v>
      </c>
      <c r="C877" s="105" t="s">
        <v>6897</v>
      </c>
      <c r="D877" s="149" t="s">
        <v>2774</v>
      </c>
      <c r="E877" s="105">
        <v>1</v>
      </c>
      <c r="F877" s="133">
        <v>28.2</v>
      </c>
      <c r="G877" s="133">
        <v>32.5</v>
      </c>
      <c r="H877" s="109">
        <f t="shared" si="40"/>
        <v>32.5</v>
      </c>
      <c r="I877" s="119"/>
      <c r="J877" s="119">
        <v>0</v>
      </c>
      <c r="K877" s="119">
        <f t="shared" si="41"/>
        <v>32.5</v>
      </c>
      <c r="L877" s="152">
        <f t="shared" si="42"/>
        <v>28.2</v>
      </c>
      <c r="M877" s="113"/>
    </row>
    <row r="878" spans="1:13" x14ac:dyDescent="0.2">
      <c r="A878" s="106" t="s">
        <v>6854</v>
      </c>
      <c r="B878" s="272" t="s">
        <v>2459</v>
      </c>
      <c r="C878" s="105" t="s">
        <v>6898</v>
      </c>
      <c r="D878" s="149" t="s">
        <v>2460</v>
      </c>
      <c r="E878" s="105">
        <v>2</v>
      </c>
      <c r="F878" s="133">
        <v>18.88</v>
      </c>
      <c r="G878" s="133">
        <v>21.75</v>
      </c>
      <c r="H878" s="109">
        <f t="shared" si="40"/>
        <v>43.5</v>
      </c>
      <c r="I878" s="119"/>
      <c r="J878" s="119">
        <v>0</v>
      </c>
      <c r="K878" s="119">
        <f t="shared" si="41"/>
        <v>43.5</v>
      </c>
      <c r="L878" s="152">
        <f t="shared" si="42"/>
        <v>37.76</v>
      </c>
      <c r="M878" s="113"/>
    </row>
    <row r="879" spans="1:13" x14ac:dyDescent="0.2">
      <c r="A879" s="106" t="s">
        <v>6855</v>
      </c>
      <c r="B879" s="272" t="s">
        <v>5867</v>
      </c>
      <c r="C879" s="105" t="s">
        <v>6899</v>
      </c>
      <c r="D879" s="149" t="s">
        <v>5960</v>
      </c>
      <c r="E879" s="105">
        <v>1</v>
      </c>
      <c r="F879" s="133">
        <v>7.75</v>
      </c>
      <c r="G879" s="133">
        <v>9</v>
      </c>
      <c r="H879" s="109">
        <f t="shared" si="40"/>
        <v>9</v>
      </c>
      <c r="I879" s="119"/>
      <c r="J879" s="119">
        <v>0</v>
      </c>
      <c r="K879" s="119">
        <f t="shared" si="41"/>
        <v>9</v>
      </c>
      <c r="L879" s="152">
        <f t="shared" si="42"/>
        <v>7.75</v>
      </c>
      <c r="M879" s="113"/>
    </row>
    <row r="880" spans="1:13" x14ac:dyDescent="0.2">
      <c r="A880" s="106" t="s">
        <v>6855</v>
      </c>
      <c r="B880" s="272" t="s">
        <v>1806</v>
      </c>
      <c r="C880" s="105" t="s">
        <v>6899</v>
      </c>
      <c r="D880" s="149" t="s">
        <v>1807</v>
      </c>
      <c r="E880" s="105">
        <v>2</v>
      </c>
      <c r="F880" s="133">
        <v>15.65</v>
      </c>
      <c r="G880" s="133">
        <v>18</v>
      </c>
      <c r="H880" s="109">
        <f t="shared" si="40"/>
        <v>36</v>
      </c>
      <c r="I880" s="119"/>
      <c r="J880" s="119">
        <v>0</v>
      </c>
      <c r="K880" s="119">
        <f t="shared" si="41"/>
        <v>36</v>
      </c>
      <c r="L880" s="152">
        <f t="shared" si="42"/>
        <v>31.3</v>
      </c>
      <c r="M880" s="113"/>
    </row>
    <row r="881" spans="1:13" x14ac:dyDescent="0.2">
      <c r="A881" s="106" t="s">
        <v>6855</v>
      </c>
      <c r="B881" s="272" t="s">
        <v>3448</v>
      </c>
      <c r="C881" s="105" t="s">
        <v>6900</v>
      </c>
      <c r="D881" s="149" t="s">
        <v>3450</v>
      </c>
      <c r="E881" s="105">
        <v>1</v>
      </c>
      <c r="F881" s="133">
        <v>15.91</v>
      </c>
      <c r="G881" s="133">
        <v>18.5</v>
      </c>
      <c r="H881" s="109">
        <f t="shared" si="40"/>
        <v>18.5</v>
      </c>
      <c r="I881" s="119"/>
      <c r="J881" s="119">
        <v>0</v>
      </c>
      <c r="K881" s="119">
        <f t="shared" si="41"/>
        <v>18.5</v>
      </c>
      <c r="L881" s="152">
        <f t="shared" si="42"/>
        <v>15.91</v>
      </c>
      <c r="M881" s="113"/>
    </row>
    <row r="882" spans="1:13" x14ac:dyDescent="0.2">
      <c r="A882" s="106" t="s">
        <v>6855</v>
      </c>
      <c r="B882" s="272" t="s">
        <v>2237</v>
      </c>
      <c r="C882" s="105" t="s">
        <v>6901</v>
      </c>
      <c r="D882" s="149" t="s">
        <v>2239</v>
      </c>
      <c r="E882" s="105">
        <v>1</v>
      </c>
      <c r="F882" s="133">
        <v>13.32</v>
      </c>
      <c r="G882" s="133">
        <v>15.5</v>
      </c>
      <c r="H882" s="109">
        <f t="shared" si="40"/>
        <v>15.5</v>
      </c>
      <c r="I882" s="119"/>
      <c r="J882" s="119">
        <v>0</v>
      </c>
      <c r="K882" s="119">
        <f t="shared" si="41"/>
        <v>15.5</v>
      </c>
      <c r="L882" s="152">
        <f t="shared" si="42"/>
        <v>13.32</v>
      </c>
      <c r="M882" s="113"/>
    </row>
    <row r="883" spans="1:13" x14ac:dyDescent="0.2">
      <c r="A883" s="106" t="s">
        <v>6855</v>
      </c>
      <c r="B883" s="272" t="s">
        <v>1969</v>
      </c>
      <c r="C883" s="105" t="s">
        <v>6902</v>
      </c>
      <c r="D883" s="149" t="s">
        <v>1970</v>
      </c>
      <c r="E883" s="105">
        <v>2</v>
      </c>
      <c r="F883" s="133">
        <v>3.6</v>
      </c>
      <c r="G883" s="133">
        <v>4.25</v>
      </c>
      <c r="H883" s="109">
        <f t="shared" si="40"/>
        <v>8.5</v>
      </c>
      <c r="I883" s="119"/>
      <c r="J883" s="119">
        <v>0</v>
      </c>
      <c r="K883" s="119">
        <f t="shared" si="41"/>
        <v>8.5</v>
      </c>
      <c r="L883" s="152">
        <f t="shared" si="42"/>
        <v>7.2</v>
      </c>
      <c r="M883" s="113"/>
    </row>
    <row r="884" spans="1:13" x14ac:dyDescent="0.2">
      <c r="A884" s="106" t="s">
        <v>6855</v>
      </c>
      <c r="B884" s="272" t="s">
        <v>3092</v>
      </c>
      <c r="C884" s="105" t="s">
        <v>6902</v>
      </c>
      <c r="D884" s="149" t="s">
        <v>3093</v>
      </c>
      <c r="E884" s="105">
        <v>2</v>
      </c>
      <c r="F884" s="133">
        <v>7.48</v>
      </c>
      <c r="G884" s="133">
        <v>8.75</v>
      </c>
      <c r="H884" s="109">
        <f t="shared" si="40"/>
        <v>17.5</v>
      </c>
      <c r="I884" s="119"/>
      <c r="J884" s="119">
        <v>0</v>
      </c>
      <c r="K884" s="119">
        <f t="shared" si="41"/>
        <v>17.5</v>
      </c>
      <c r="L884" s="152">
        <f t="shared" si="42"/>
        <v>14.96</v>
      </c>
      <c r="M884" s="113"/>
    </row>
    <row r="885" spans="1:13" x14ac:dyDescent="0.2">
      <c r="A885" s="106" t="s">
        <v>6855</v>
      </c>
      <c r="B885" s="272" t="s">
        <v>3909</v>
      </c>
      <c r="C885" s="105" t="s">
        <v>6903</v>
      </c>
      <c r="D885" s="149" t="s">
        <v>3911</v>
      </c>
      <c r="E885" s="105">
        <v>1</v>
      </c>
      <c r="F885" s="133">
        <v>7.06</v>
      </c>
      <c r="G885" s="133">
        <v>8.25</v>
      </c>
      <c r="H885" s="109">
        <f t="shared" si="40"/>
        <v>8.25</v>
      </c>
      <c r="I885" s="119"/>
      <c r="J885" s="119">
        <v>0</v>
      </c>
      <c r="K885" s="119">
        <f t="shared" si="41"/>
        <v>8.25</v>
      </c>
      <c r="L885" s="152">
        <f t="shared" si="42"/>
        <v>7.06</v>
      </c>
      <c r="M885" s="113"/>
    </row>
    <row r="886" spans="1:13" x14ac:dyDescent="0.2">
      <c r="A886" s="106" t="s">
        <v>6855</v>
      </c>
      <c r="B886" s="272" t="s">
        <v>4330</v>
      </c>
      <c r="C886" s="105" t="s">
        <v>6904</v>
      </c>
      <c r="D886" s="149" t="s">
        <v>4360</v>
      </c>
      <c r="E886" s="105">
        <v>1</v>
      </c>
      <c r="F886" s="133">
        <v>69.510000000000005</v>
      </c>
      <c r="G886" s="133">
        <v>80</v>
      </c>
      <c r="H886" s="109">
        <f t="shared" si="40"/>
        <v>80</v>
      </c>
      <c r="I886" s="119"/>
      <c r="J886" s="119">
        <v>0</v>
      </c>
      <c r="K886" s="119">
        <f t="shared" si="41"/>
        <v>80</v>
      </c>
      <c r="L886" s="152">
        <f t="shared" si="42"/>
        <v>69.510000000000005</v>
      </c>
      <c r="M886" s="113"/>
    </row>
    <row r="887" spans="1:13" x14ac:dyDescent="0.2">
      <c r="A887" s="106" t="s">
        <v>6855</v>
      </c>
      <c r="B887" s="272" t="s">
        <v>5979</v>
      </c>
      <c r="C887" s="105" t="s">
        <v>6905</v>
      </c>
      <c r="D887" s="149" t="s">
        <v>6097</v>
      </c>
      <c r="E887" s="105">
        <v>1</v>
      </c>
      <c r="F887" s="133">
        <v>5.74</v>
      </c>
      <c r="G887" s="133">
        <v>7</v>
      </c>
      <c r="H887" s="109">
        <f t="shared" si="40"/>
        <v>7</v>
      </c>
      <c r="I887" s="119"/>
      <c r="J887" s="119">
        <v>0</v>
      </c>
      <c r="K887" s="119">
        <f t="shared" si="41"/>
        <v>7</v>
      </c>
      <c r="L887" s="152">
        <f t="shared" si="42"/>
        <v>5.74</v>
      </c>
      <c r="M887" s="113"/>
    </row>
    <row r="888" spans="1:13" x14ac:dyDescent="0.2">
      <c r="A888" s="106" t="s">
        <v>6855</v>
      </c>
      <c r="B888" s="272" t="s">
        <v>4068</v>
      </c>
      <c r="C888" s="105" t="s">
        <v>6906</v>
      </c>
      <c r="D888" s="149" t="s">
        <v>4070</v>
      </c>
      <c r="E888" s="105">
        <v>1</v>
      </c>
      <c r="F888" s="133">
        <v>20.57</v>
      </c>
      <c r="G888" s="133">
        <v>23.75</v>
      </c>
      <c r="H888" s="109">
        <f t="shared" si="40"/>
        <v>23.75</v>
      </c>
      <c r="I888" s="119"/>
      <c r="J888" s="119">
        <v>0</v>
      </c>
      <c r="K888" s="119">
        <f t="shared" si="41"/>
        <v>23.75</v>
      </c>
      <c r="L888" s="152">
        <f t="shared" si="42"/>
        <v>20.57</v>
      </c>
      <c r="M888" s="113"/>
    </row>
    <row r="889" spans="1:13" x14ac:dyDescent="0.2">
      <c r="A889" s="106" t="s">
        <v>6855</v>
      </c>
      <c r="B889" s="272" t="s">
        <v>3060</v>
      </c>
      <c r="C889" s="105" t="s">
        <v>6906</v>
      </c>
      <c r="D889" s="149" t="s">
        <v>3062</v>
      </c>
      <c r="E889" s="105">
        <v>1</v>
      </c>
      <c r="F889" s="133">
        <v>44.8</v>
      </c>
      <c r="G889" s="133">
        <v>51.75</v>
      </c>
      <c r="H889" s="109">
        <f t="shared" si="40"/>
        <v>51.75</v>
      </c>
      <c r="I889" s="119"/>
      <c r="J889" s="119">
        <v>0</v>
      </c>
      <c r="K889" s="119">
        <f t="shared" si="41"/>
        <v>51.75</v>
      </c>
      <c r="L889" s="152">
        <f t="shared" si="42"/>
        <v>44.8</v>
      </c>
      <c r="M889" s="113"/>
    </row>
    <row r="890" spans="1:13" x14ac:dyDescent="0.2">
      <c r="A890" s="106" t="s">
        <v>6855</v>
      </c>
      <c r="B890" s="272" t="s">
        <v>2240</v>
      </c>
      <c r="C890" s="105" t="s">
        <v>6906</v>
      </c>
      <c r="D890" s="149" t="s">
        <v>2241</v>
      </c>
      <c r="E890" s="105">
        <v>1</v>
      </c>
      <c r="F890" s="133">
        <v>18.649999999999999</v>
      </c>
      <c r="G890" s="133">
        <v>21.5</v>
      </c>
      <c r="H890" s="109">
        <f t="shared" si="40"/>
        <v>21.5</v>
      </c>
      <c r="I890" s="119"/>
      <c r="J890" s="119">
        <v>0</v>
      </c>
      <c r="K890" s="119">
        <f t="shared" si="41"/>
        <v>21.5</v>
      </c>
      <c r="L890" s="152">
        <f t="shared" si="42"/>
        <v>18.649999999999999</v>
      </c>
      <c r="M890" s="113"/>
    </row>
    <row r="891" spans="1:13" x14ac:dyDescent="0.2">
      <c r="A891" s="106" t="s">
        <v>6855</v>
      </c>
      <c r="B891" s="272" t="s">
        <v>2072</v>
      </c>
      <c r="C891" s="105" t="s">
        <v>6907</v>
      </c>
      <c r="D891" s="149" t="s">
        <v>2074</v>
      </c>
      <c r="E891" s="105">
        <v>5</v>
      </c>
      <c r="F891" s="133">
        <v>9.2799999999999994</v>
      </c>
      <c r="G891" s="133">
        <v>10.75</v>
      </c>
      <c r="H891" s="109">
        <f t="shared" si="40"/>
        <v>53.75</v>
      </c>
      <c r="I891" s="119"/>
      <c r="J891" s="119">
        <v>0</v>
      </c>
      <c r="K891" s="119">
        <f t="shared" si="41"/>
        <v>53.75</v>
      </c>
      <c r="L891" s="152">
        <f t="shared" si="42"/>
        <v>46.4</v>
      </c>
      <c r="M891" s="113"/>
    </row>
    <row r="892" spans="1:13" x14ac:dyDescent="0.2">
      <c r="A892" s="106" t="s">
        <v>6855</v>
      </c>
      <c r="B892" s="272" t="s">
        <v>2072</v>
      </c>
      <c r="C892" s="105" t="s">
        <v>6908</v>
      </c>
      <c r="D892" s="149" t="s">
        <v>2074</v>
      </c>
      <c r="E892" s="105">
        <v>1</v>
      </c>
      <c r="F892" s="133">
        <v>9.2799999999999994</v>
      </c>
      <c r="G892" s="133">
        <v>10.75</v>
      </c>
      <c r="H892" s="109">
        <f t="shared" si="40"/>
        <v>10.75</v>
      </c>
      <c r="I892" s="119"/>
      <c r="J892" s="119">
        <v>0</v>
      </c>
      <c r="K892" s="119">
        <f t="shared" si="41"/>
        <v>10.75</v>
      </c>
      <c r="L892" s="152">
        <f t="shared" si="42"/>
        <v>9.2799999999999994</v>
      </c>
      <c r="M892" s="113"/>
    </row>
    <row r="893" spans="1:13" x14ac:dyDescent="0.2">
      <c r="A893" s="106" t="s">
        <v>6855</v>
      </c>
      <c r="B893" s="272" t="s">
        <v>1962</v>
      </c>
      <c r="C893" s="105" t="s">
        <v>6909</v>
      </c>
      <c r="D893" s="149" t="s">
        <v>1964</v>
      </c>
      <c r="E893" s="105">
        <v>3</v>
      </c>
      <c r="F893" s="133">
        <v>7.48</v>
      </c>
      <c r="G893" s="133">
        <v>8.75</v>
      </c>
      <c r="H893" s="109">
        <f t="shared" si="40"/>
        <v>26.25</v>
      </c>
      <c r="I893" s="119"/>
      <c r="J893" s="119">
        <v>0</v>
      </c>
      <c r="K893" s="119">
        <f t="shared" si="41"/>
        <v>26.25</v>
      </c>
      <c r="L893" s="152">
        <f t="shared" si="42"/>
        <v>22.44</v>
      </c>
      <c r="M893" s="113"/>
    </row>
    <row r="894" spans="1:13" x14ac:dyDescent="0.2">
      <c r="A894" s="106" t="s">
        <v>6855</v>
      </c>
      <c r="B894" s="272" t="s">
        <v>3778</v>
      </c>
      <c r="C894" s="105" t="s">
        <v>6909</v>
      </c>
      <c r="D894" s="149" t="s">
        <v>3780</v>
      </c>
      <c r="E894" s="105">
        <v>1</v>
      </c>
      <c r="F894" s="133">
        <v>38.25</v>
      </c>
      <c r="G894" s="133">
        <v>44</v>
      </c>
      <c r="H894" s="109">
        <f t="shared" si="40"/>
        <v>44</v>
      </c>
      <c r="I894" s="119"/>
      <c r="J894" s="119">
        <v>0</v>
      </c>
      <c r="K894" s="119">
        <f t="shared" si="41"/>
        <v>44</v>
      </c>
      <c r="L894" s="152">
        <f t="shared" si="42"/>
        <v>38.25</v>
      </c>
      <c r="M894" s="113"/>
    </row>
    <row r="895" spans="1:13" x14ac:dyDescent="0.2">
      <c r="A895" s="106" t="s">
        <v>6855</v>
      </c>
      <c r="B895" s="272" t="s">
        <v>4201</v>
      </c>
      <c r="C895" s="105" t="s">
        <v>6910</v>
      </c>
      <c r="D895" s="149" t="s">
        <v>4202</v>
      </c>
      <c r="E895" s="105">
        <v>1</v>
      </c>
      <c r="F895" s="133">
        <v>24.35</v>
      </c>
      <c r="G895" s="133">
        <v>28</v>
      </c>
      <c r="H895" s="109">
        <f t="shared" si="40"/>
        <v>28</v>
      </c>
      <c r="I895" s="119"/>
      <c r="J895" s="119">
        <v>0</v>
      </c>
      <c r="K895" s="119">
        <f t="shared" si="41"/>
        <v>28</v>
      </c>
      <c r="L895" s="152">
        <f t="shared" si="42"/>
        <v>24.35</v>
      </c>
      <c r="M895" s="113"/>
    </row>
    <row r="896" spans="1:13" x14ac:dyDescent="0.2">
      <c r="A896" s="106" t="s">
        <v>6855</v>
      </c>
      <c r="B896" s="272" t="s">
        <v>4041</v>
      </c>
      <c r="C896" s="105" t="s">
        <v>6911</v>
      </c>
      <c r="D896" s="149" t="s">
        <v>4043</v>
      </c>
      <c r="E896" s="105">
        <v>1</v>
      </c>
      <c r="F896" s="133">
        <v>19.350000000000001</v>
      </c>
      <c r="G896" s="133">
        <v>22.25</v>
      </c>
      <c r="H896" s="109">
        <f t="shared" si="40"/>
        <v>22.25</v>
      </c>
      <c r="I896" s="119"/>
      <c r="J896" s="119">
        <v>0</v>
      </c>
      <c r="K896" s="119">
        <f t="shared" si="41"/>
        <v>22.25</v>
      </c>
      <c r="L896" s="152">
        <f t="shared" si="42"/>
        <v>19.350000000000001</v>
      </c>
      <c r="M896" s="113"/>
    </row>
    <row r="897" spans="1:13" x14ac:dyDescent="0.2">
      <c r="A897" s="106" t="s">
        <v>6855</v>
      </c>
      <c r="B897" s="272" t="s">
        <v>2809</v>
      </c>
      <c r="C897" s="105" t="s">
        <v>6912</v>
      </c>
      <c r="D897" s="149" t="s">
        <v>2810</v>
      </c>
      <c r="E897" s="105">
        <v>1</v>
      </c>
      <c r="F897" s="133">
        <v>53.81</v>
      </c>
      <c r="G897" s="133">
        <v>62</v>
      </c>
      <c r="H897" s="109">
        <f t="shared" si="40"/>
        <v>62</v>
      </c>
      <c r="I897" s="119"/>
      <c r="J897" s="119">
        <v>0</v>
      </c>
      <c r="K897" s="119">
        <f t="shared" si="41"/>
        <v>62</v>
      </c>
      <c r="L897" s="152">
        <f t="shared" si="42"/>
        <v>53.81</v>
      </c>
      <c r="M897" s="113"/>
    </row>
    <row r="898" spans="1:13" x14ac:dyDescent="0.2">
      <c r="A898" s="106" t="s">
        <v>6855</v>
      </c>
      <c r="B898" s="272" t="s">
        <v>4184</v>
      </c>
      <c r="C898" s="105" t="s">
        <v>6913</v>
      </c>
      <c r="D898" s="149" t="s">
        <v>4185</v>
      </c>
      <c r="E898" s="105">
        <v>1</v>
      </c>
      <c r="F898" s="133">
        <v>57.4</v>
      </c>
      <c r="G898" s="133">
        <v>66</v>
      </c>
      <c r="H898" s="109">
        <f t="shared" si="40"/>
        <v>66</v>
      </c>
      <c r="I898" s="119"/>
      <c r="J898" s="119">
        <v>0</v>
      </c>
      <c r="K898" s="119">
        <f t="shared" si="41"/>
        <v>66</v>
      </c>
      <c r="L898" s="152">
        <f t="shared" si="42"/>
        <v>57.4</v>
      </c>
      <c r="M898" s="113"/>
    </row>
    <row r="899" spans="1:13" x14ac:dyDescent="0.2">
      <c r="A899" s="106" t="s">
        <v>6855</v>
      </c>
      <c r="B899" s="272" t="s">
        <v>6358</v>
      </c>
      <c r="C899" s="105" t="s">
        <v>6914</v>
      </c>
      <c r="D899" s="149" t="s">
        <v>6700</v>
      </c>
      <c r="E899" s="105">
        <v>6</v>
      </c>
      <c r="F899" s="133">
        <v>6.12</v>
      </c>
      <c r="G899" s="133">
        <v>7.25</v>
      </c>
      <c r="H899" s="109">
        <f t="shared" si="40"/>
        <v>43.5</v>
      </c>
      <c r="I899" s="119"/>
      <c r="J899" s="119">
        <v>0</v>
      </c>
      <c r="K899" s="119">
        <f t="shared" si="41"/>
        <v>43.5</v>
      </c>
      <c r="L899" s="152">
        <f t="shared" si="42"/>
        <v>36.72</v>
      </c>
      <c r="M899" s="113"/>
    </row>
    <row r="900" spans="1:13" x14ac:dyDescent="0.2">
      <c r="A900" s="106" t="s">
        <v>6855</v>
      </c>
      <c r="B900" s="272" t="s">
        <v>4519</v>
      </c>
      <c r="C900" s="105" t="s">
        <v>6915</v>
      </c>
      <c r="D900" s="149" t="s">
        <v>4624</v>
      </c>
      <c r="E900" s="105">
        <v>1</v>
      </c>
      <c r="F900" s="133">
        <v>91.4</v>
      </c>
      <c r="G900" s="133">
        <v>105.25</v>
      </c>
      <c r="H900" s="109">
        <f t="shared" si="40"/>
        <v>105.25</v>
      </c>
      <c r="I900" s="119"/>
      <c r="J900" s="119">
        <v>0</v>
      </c>
      <c r="K900" s="119">
        <f t="shared" si="41"/>
        <v>105.25</v>
      </c>
      <c r="L900" s="152">
        <f t="shared" si="42"/>
        <v>91.4</v>
      </c>
      <c r="M900" s="113"/>
    </row>
    <row r="901" spans="1:13" x14ac:dyDescent="0.2">
      <c r="A901" s="106" t="s">
        <v>6855</v>
      </c>
      <c r="B901" s="272" t="s">
        <v>1969</v>
      </c>
      <c r="C901" s="105" t="s">
        <v>6916</v>
      </c>
      <c r="D901" s="149" t="s">
        <v>1970</v>
      </c>
      <c r="E901" s="105">
        <v>2</v>
      </c>
      <c r="F901" s="133">
        <v>3.6</v>
      </c>
      <c r="G901" s="133">
        <v>4.25</v>
      </c>
      <c r="H901" s="109">
        <f t="shared" si="40"/>
        <v>8.5</v>
      </c>
      <c r="I901" s="119"/>
      <c r="J901" s="119">
        <v>0</v>
      </c>
      <c r="K901" s="119">
        <f t="shared" si="41"/>
        <v>8.5</v>
      </c>
      <c r="L901" s="152">
        <f t="shared" si="42"/>
        <v>7.2</v>
      </c>
      <c r="M901" s="113"/>
    </row>
    <row r="902" spans="1:13" x14ac:dyDescent="0.2">
      <c r="A902" s="106" t="s">
        <v>6855</v>
      </c>
      <c r="B902" s="272" t="s">
        <v>4205</v>
      </c>
      <c r="C902" s="105" t="s">
        <v>6917</v>
      </c>
      <c r="D902" s="149" t="s">
        <v>4206</v>
      </c>
      <c r="E902" s="105">
        <v>1</v>
      </c>
      <c r="F902" s="133">
        <v>8.3000000000000007</v>
      </c>
      <c r="G902" s="133">
        <v>9.75</v>
      </c>
      <c r="H902" s="109">
        <f t="shared" ref="H902:H965" si="43">E902*G902</f>
        <v>9.75</v>
      </c>
      <c r="I902" s="119"/>
      <c r="J902" s="119">
        <v>0</v>
      </c>
      <c r="K902" s="119">
        <f t="shared" si="41"/>
        <v>9.75</v>
      </c>
      <c r="L902" s="152">
        <f t="shared" si="42"/>
        <v>8.3000000000000007</v>
      </c>
      <c r="M902" s="113"/>
    </row>
    <row r="903" spans="1:13" x14ac:dyDescent="0.2">
      <c r="A903" s="106" t="s">
        <v>6855</v>
      </c>
      <c r="B903" s="272" t="s">
        <v>2639</v>
      </c>
      <c r="C903" s="105" t="s">
        <v>6917</v>
      </c>
      <c r="D903" s="149" t="s">
        <v>2640</v>
      </c>
      <c r="E903" s="105">
        <v>1</v>
      </c>
      <c r="F903" s="133">
        <v>17.059999999999999</v>
      </c>
      <c r="G903" s="133">
        <v>19.75</v>
      </c>
      <c r="H903" s="109">
        <f t="shared" si="43"/>
        <v>19.75</v>
      </c>
      <c r="I903" s="119"/>
      <c r="J903" s="119">
        <v>0</v>
      </c>
      <c r="K903" s="119">
        <f t="shared" si="41"/>
        <v>19.75</v>
      </c>
      <c r="L903" s="152">
        <f t="shared" si="42"/>
        <v>17.059999999999999</v>
      </c>
      <c r="M903" s="113"/>
    </row>
    <row r="904" spans="1:13" x14ac:dyDescent="0.2">
      <c r="A904" s="106" t="s">
        <v>6855</v>
      </c>
      <c r="B904" s="272" t="s">
        <v>5982</v>
      </c>
      <c r="C904" s="105" t="s">
        <v>6918</v>
      </c>
      <c r="D904" s="149" t="s">
        <v>6100</v>
      </c>
      <c r="E904" s="105">
        <v>1</v>
      </c>
      <c r="F904" s="133">
        <v>5.74</v>
      </c>
      <c r="G904" s="133">
        <v>7</v>
      </c>
      <c r="H904" s="109">
        <f t="shared" si="43"/>
        <v>7</v>
      </c>
      <c r="I904" s="119"/>
      <c r="J904" s="119">
        <v>0</v>
      </c>
      <c r="K904" s="119">
        <f t="shared" ref="K904:K967" si="44">H904+I904-J904</f>
        <v>7</v>
      </c>
      <c r="L904" s="152">
        <f t="shared" ref="L904:L967" si="45">E904*F904</f>
        <v>5.74</v>
      </c>
      <c r="M904" s="113"/>
    </row>
    <row r="905" spans="1:13" x14ac:dyDescent="0.2">
      <c r="A905" s="106" t="s">
        <v>6855</v>
      </c>
      <c r="B905" s="272" t="s">
        <v>5591</v>
      </c>
      <c r="C905" s="105" t="s">
        <v>6918</v>
      </c>
      <c r="D905" s="149" t="s">
        <v>5636</v>
      </c>
      <c r="E905" s="105">
        <v>1</v>
      </c>
      <c r="F905" s="133">
        <v>5.85</v>
      </c>
      <c r="G905" s="133">
        <v>7</v>
      </c>
      <c r="H905" s="109">
        <f t="shared" si="43"/>
        <v>7</v>
      </c>
      <c r="I905" s="119"/>
      <c r="J905" s="119">
        <v>0</v>
      </c>
      <c r="K905" s="119">
        <f t="shared" si="44"/>
        <v>7</v>
      </c>
      <c r="L905" s="152">
        <f t="shared" si="45"/>
        <v>5.85</v>
      </c>
      <c r="M905" s="113"/>
    </row>
    <row r="906" spans="1:13" x14ac:dyDescent="0.2">
      <c r="A906" s="106" t="s">
        <v>6855</v>
      </c>
      <c r="B906" s="272" t="s">
        <v>2872</v>
      </c>
      <c r="C906" s="105" t="s">
        <v>6918</v>
      </c>
      <c r="D906" s="149" t="s">
        <v>2873</v>
      </c>
      <c r="E906" s="105">
        <v>1</v>
      </c>
      <c r="F906" s="133">
        <v>4.4800000000000004</v>
      </c>
      <c r="G906" s="133">
        <v>5.25</v>
      </c>
      <c r="H906" s="109">
        <f t="shared" si="43"/>
        <v>5.25</v>
      </c>
      <c r="I906" s="119"/>
      <c r="J906" s="119">
        <v>0</v>
      </c>
      <c r="K906" s="119">
        <f t="shared" si="44"/>
        <v>5.25</v>
      </c>
      <c r="L906" s="152">
        <f t="shared" si="45"/>
        <v>4.4800000000000004</v>
      </c>
      <c r="M906" s="113"/>
    </row>
    <row r="907" spans="1:13" x14ac:dyDescent="0.2">
      <c r="A907" s="106" t="s">
        <v>6855</v>
      </c>
      <c r="B907" s="272" t="s">
        <v>2196</v>
      </c>
      <c r="C907" s="105" t="s">
        <v>6919</v>
      </c>
      <c r="D907" s="149" t="s">
        <v>2198</v>
      </c>
      <c r="E907" s="105">
        <v>1</v>
      </c>
      <c r="F907" s="133">
        <v>21.88</v>
      </c>
      <c r="G907" s="133">
        <v>25.25</v>
      </c>
      <c r="H907" s="109">
        <f t="shared" si="43"/>
        <v>25.25</v>
      </c>
      <c r="I907" s="119"/>
      <c r="J907" s="119">
        <v>0</v>
      </c>
      <c r="K907" s="119">
        <f t="shared" si="44"/>
        <v>25.25</v>
      </c>
      <c r="L907" s="152">
        <f t="shared" si="45"/>
        <v>21.88</v>
      </c>
      <c r="M907" s="113"/>
    </row>
    <row r="908" spans="1:13" x14ac:dyDescent="0.2">
      <c r="A908" s="106" t="s">
        <v>6855</v>
      </c>
      <c r="B908" s="272" t="s">
        <v>3569</v>
      </c>
      <c r="C908" s="105" t="s">
        <v>6919</v>
      </c>
      <c r="D908" s="149" t="s">
        <v>3571</v>
      </c>
      <c r="E908" s="105">
        <v>1</v>
      </c>
      <c r="F908" s="133">
        <v>21.88</v>
      </c>
      <c r="G908" s="133">
        <v>25.25</v>
      </c>
      <c r="H908" s="109">
        <f t="shared" si="43"/>
        <v>25.25</v>
      </c>
      <c r="I908" s="119"/>
      <c r="J908" s="119">
        <v>0</v>
      </c>
      <c r="K908" s="119">
        <f t="shared" si="44"/>
        <v>25.25</v>
      </c>
      <c r="L908" s="152">
        <f t="shared" si="45"/>
        <v>21.88</v>
      </c>
      <c r="M908" s="113"/>
    </row>
    <row r="909" spans="1:13" x14ac:dyDescent="0.2">
      <c r="A909" s="106" t="s">
        <v>6855</v>
      </c>
      <c r="B909" s="272" t="s">
        <v>4716</v>
      </c>
      <c r="C909" s="105" t="s">
        <v>6920</v>
      </c>
      <c r="D909" s="149" t="s">
        <v>4751</v>
      </c>
      <c r="E909" s="105">
        <v>1</v>
      </c>
      <c r="F909" s="133">
        <v>0.81</v>
      </c>
      <c r="G909" s="133">
        <v>1</v>
      </c>
      <c r="H909" s="109">
        <f t="shared" si="43"/>
        <v>1</v>
      </c>
      <c r="I909" s="119"/>
      <c r="J909" s="119">
        <v>0</v>
      </c>
      <c r="K909" s="119">
        <f t="shared" si="44"/>
        <v>1</v>
      </c>
      <c r="L909" s="152">
        <f t="shared" si="45"/>
        <v>0.81</v>
      </c>
      <c r="M909" s="113"/>
    </row>
    <row r="910" spans="1:13" x14ac:dyDescent="0.2">
      <c r="A910" s="106" t="s">
        <v>6855</v>
      </c>
      <c r="B910" s="272" t="s">
        <v>3143</v>
      </c>
      <c r="C910" s="105" t="s">
        <v>6921</v>
      </c>
      <c r="D910" s="149" t="s">
        <v>3145</v>
      </c>
      <c r="E910" s="105">
        <v>1</v>
      </c>
      <c r="F910" s="133">
        <v>18.649999999999999</v>
      </c>
      <c r="G910" s="133">
        <v>21.5</v>
      </c>
      <c r="H910" s="109">
        <f t="shared" si="43"/>
        <v>21.5</v>
      </c>
      <c r="I910" s="119"/>
      <c r="J910" s="119">
        <v>0</v>
      </c>
      <c r="K910" s="119">
        <f t="shared" si="44"/>
        <v>21.5</v>
      </c>
      <c r="L910" s="152">
        <f t="shared" si="45"/>
        <v>18.649999999999999</v>
      </c>
      <c r="M910" s="113"/>
    </row>
    <row r="911" spans="1:13" x14ac:dyDescent="0.2">
      <c r="A911" s="106" t="s">
        <v>6855</v>
      </c>
      <c r="B911" s="272" t="s">
        <v>4567</v>
      </c>
      <c r="C911" s="105" t="s">
        <v>6921</v>
      </c>
      <c r="D911" s="149" t="s">
        <v>4672</v>
      </c>
      <c r="E911" s="105">
        <v>1</v>
      </c>
      <c r="F911" s="133">
        <v>7.06</v>
      </c>
      <c r="G911" s="133">
        <v>8.25</v>
      </c>
      <c r="H911" s="109">
        <f t="shared" si="43"/>
        <v>8.25</v>
      </c>
      <c r="I911" s="119"/>
      <c r="J911" s="119">
        <v>0</v>
      </c>
      <c r="K911" s="119">
        <f t="shared" si="44"/>
        <v>8.25</v>
      </c>
      <c r="L911" s="152">
        <f t="shared" si="45"/>
        <v>7.06</v>
      </c>
      <c r="M911" s="113"/>
    </row>
    <row r="912" spans="1:13" x14ac:dyDescent="0.2">
      <c r="A912" s="106" t="s">
        <v>6855</v>
      </c>
      <c r="B912" s="272" t="s">
        <v>2196</v>
      </c>
      <c r="C912" s="105" t="s">
        <v>6922</v>
      </c>
      <c r="D912" s="149" t="s">
        <v>2198</v>
      </c>
      <c r="E912" s="105">
        <v>1</v>
      </c>
      <c r="F912" s="133">
        <v>21.88</v>
      </c>
      <c r="G912" s="133">
        <v>25.25</v>
      </c>
      <c r="H912" s="109">
        <f t="shared" si="43"/>
        <v>25.25</v>
      </c>
      <c r="I912" s="119"/>
      <c r="J912" s="119">
        <v>0</v>
      </c>
      <c r="K912" s="119">
        <f t="shared" si="44"/>
        <v>25.25</v>
      </c>
      <c r="L912" s="152">
        <f t="shared" si="45"/>
        <v>21.88</v>
      </c>
      <c r="M912" s="113"/>
    </row>
    <row r="913" spans="1:13" x14ac:dyDescent="0.2">
      <c r="A913" s="106" t="s">
        <v>6855</v>
      </c>
      <c r="B913" s="272" t="s">
        <v>2610</v>
      </c>
      <c r="C913" s="105" t="s">
        <v>6923</v>
      </c>
      <c r="D913" s="149" t="s">
        <v>2612</v>
      </c>
      <c r="E913" s="105">
        <v>1</v>
      </c>
      <c r="F913" s="133">
        <v>53.9</v>
      </c>
      <c r="G913" s="133">
        <v>59.25</v>
      </c>
      <c r="H913" s="109">
        <f t="shared" si="43"/>
        <v>59.25</v>
      </c>
      <c r="I913" s="119"/>
      <c r="J913" s="119">
        <v>0</v>
      </c>
      <c r="K913" s="119">
        <f t="shared" si="44"/>
        <v>59.25</v>
      </c>
      <c r="L913" s="152">
        <f t="shared" si="45"/>
        <v>53.9</v>
      </c>
      <c r="M913" s="113"/>
    </row>
    <row r="914" spans="1:13" x14ac:dyDescent="0.2">
      <c r="A914" s="106" t="s">
        <v>6855</v>
      </c>
      <c r="B914" s="272" t="s">
        <v>2082</v>
      </c>
      <c r="C914" s="105" t="s">
        <v>6924</v>
      </c>
      <c r="D914" s="149" t="s">
        <v>2083</v>
      </c>
      <c r="E914" s="105">
        <v>5</v>
      </c>
      <c r="F914" s="133">
        <v>10.95</v>
      </c>
      <c r="G914" s="133">
        <v>12.75</v>
      </c>
      <c r="H914" s="109">
        <f t="shared" si="43"/>
        <v>63.75</v>
      </c>
      <c r="I914" s="119"/>
      <c r="J914" s="119">
        <v>0</v>
      </c>
      <c r="K914" s="119">
        <f t="shared" si="44"/>
        <v>63.75</v>
      </c>
      <c r="L914" s="152">
        <f t="shared" si="45"/>
        <v>54.75</v>
      </c>
      <c r="M914" s="113"/>
    </row>
    <row r="915" spans="1:13" x14ac:dyDescent="0.2">
      <c r="A915" s="106" t="s">
        <v>6855</v>
      </c>
      <c r="B915" s="272" t="s">
        <v>4567</v>
      </c>
      <c r="C915" s="105" t="s">
        <v>6925</v>
      </c>
      <c r="D915" s="149" t="s">
        <v>4672</v>
      </c>
      <c r="E915" s="105">
        <v>1</v>
      </c>
      <c r="F915" s="133">
        <v>7.06</v>
      </c>
      <c r="G915" s="133">
        <v>8.25</v>
      </c>
      <c r="H915" s="109">
        <f t="shared" si="43"/>
        <v>8.25</v>
      </c>
      <c r="I915" s="119"/>
      <c r="J915" s="119">
        <v>0</v>
      </c>
      <c r="K915" s="119">
        <f t="shared" si="44"/>
        <v>8.25</v>
      </c>
      <c r="L915" s="152">
        <f t="shared" si="45"/>
        <v>7.06</v>
      </c>
      <c r="M915" s="113"/>
    </row>
    <row r="916" spans="1:13" x14ac:dyDescent="0.2">
      <c r="A916" s="106" t="s">
        <v>6855</v>
      </c>
      <c r="B916" s="272" t="s">
        <v>4567</v>
      </c>
      <c r="C916" s="105" t="s">
        <v>6926</v>
      </c>
      <c r="D916" s="149" t="s">
        <v>4672</v>
      </c>
      <c r="E916" s="105">
        <v>1</v>
      </c>
      <c r="F916" s="133">
        <v>7.06</v>
      </c>
      <c r="G916" s="133">
        <v>8.25</v>
      </c>
      <c r="H916" s="109">
        <f t="shared" si="43"/>
        <v>8.25</v>
      </c>
      <c r="I916" s="119"/>
      <c r="J916" s="119">
        <v>0</v>
      </c>
      <c r="K916" s="119">
        <f t="shared" si="44"/>
        <v>8.25</v>
      </c>
      <c r="L916" s="152">
        <f t="shared" si="45"/>
        <v>7.06</v>
      </c>
      <c r="M916" s="113"/>
    </row>
    <row r="917" spans="1:13" x14ac:dyDescent="0.2">
      <c r="A917" s="106" t="s">
        <v>6855</v>
      </c>
      <c r="B917" s="272" t="s">
        <v>4806</v>
      </c>
      <c r="C917" s="105" t="s">
        <v>6927</v>
      </c>
      <c r="D917" s="149" t="s">
        <v>4874</v>
      </c>
      <c r="E917" s="105">
        <v>1</v>
      </c>
      <c r="F917" s="133">
        <v>8.58</v>
      </c>
      <c r="G917" s="133">
        <v>10</v>
      </c>
      <c r="H917" s="109">
        <f t="shared" si="43"/>
        <v>10</v>
      </c>
      <c r="I917" s="119"/>
      <c r="J917" s="119">
        <v>0</v>
      </c>
      <c r="K917" s="119">
        <f t="shared" si="44"/>
        <v>10</v>
      </c>
      <c r="L917" s="152">
        <f t="shared" si="45"/>
        <v>8.58</v>
      </c>
      <c r="M917" s="113"/>
    </row>
    <row r="918" spans="1:13" x14ac:dyDescent="0.2">
      <c r="A918" s="106" t="s">
        <v>6855</v>
      </c>
      <c r="B918" s="272" t="s">
        <v>6768</v>
      </c>
      <c r="C918" s="105" t="s">
        <v>6928</v>
      </c>
      <c r="D918" s="149" t="s">
        <v>6818</v>
      </c>
      <c r="E918" s="105">
        <v>1</v>
      </c>
      <c r="F918" s="133">
        <v>6.15</v>
      </c>
      <c r="G918" s="133">
        <v>7.25</v>
      </c>
      <c r="H918" s="109">
        <f t="shared" si="43"/>
        <v>7.25</v>
      </c>
      <c r="I918" s="119"/>
      <c r="J918" s="119">
        <v>0</v>
      </c>
      <c r="K918" s="119">
        <f t="shared" si="44"/>
        <v>7.25</v>
      </c>
      <c r="L918" s="152">
        <f t="shared" si="45"/>
        <v>6.15</v>
      </c>
      <c r="M918" s="113"/>
    </row>
    <row r="919" spans="1:13" x14ac:dyDescent="0.2">
      <c r="A919" s="106" t="s">
        <v>6855</v>
      </c>
      <c r="B919" s="272" t="s">
        <v>6771</v>
      </c>
      <c r="C919" s="105" t="s">
        <v>6929</v>
      </c>
      <c r="D919" s="149" t="s">
        <v>6821</v>
      </c>
      <c r="E919" s="105">
        <v>1</v>
      </c>
      <c r="F919" s="133">
        <v>70</v>
      </c>
      <c r="G919" s="133">
        <v>85</v>
      </c>
      <c r="H919" s="109">
        <f t="shared" si="43"/>
        <v>85</v>
      </c>
      <c r="I919" s="119"/>
      <c r="J919" s="119">
        <v>0</v>
      </c>
      <c r="K919" s="119">
        <f t="shared" si="44"/>
        <v>85</v>
      </c>
      <c r="L919" s="152">
        <f t="shared" si="45"/>
        <v>70</v>
      </c>
      <c r="M919" s="113"/>
    </row>
    <row r="920" spans="1:13" x14ac:dyDescent="0.2">
      <c r="A920" s="106" t="s">
        <v>6868</v>
      </c>
      <c r="B920" s="272" t="s">
        <v>6876</v>
      </c>
      <c r="C920" s="105" t="s">
        <v>6930</v>
      </c>
      <c r="D920" s="149" t="s">
        <v>6988</v>
      </c>
      <c r="E920" s="105">
        <v>1</v>
      </c>
      <c r="F920" s="133">
        <v>28.76</v>
      </c>
      <c r="G920" s="133">
        <v>33.25</v>
      </c>
      <c r="H920" s="109">
        <f t="shared" si="43"/>
        <v>33.25</v>
      </c>
      <c r="I920" s="119"/>
      <c r="J920" s="119">
        <v>0</v>
      </c>
      <c r="K920" s="119">
        <f t="shared" si="44"/>
        <v>33.25</v>
      </c>
      <c r="L920" s="152">
        <f t="shared" si="45"/>
        <v>28.76</v>
      </c>
      <c r="M920" s="113"/>
    </row>
    <row r="921" spans="1:13" x14ac:dyDescent="0.2">
      <c r="A921" s="106" t="s">
        <v>6868</v>
      </c>
      <c r="B921" s="272" t="s">
        <v>5033</v>
      </c>
      <c r="C921" s="105" t="s">
        <v>6930</v>
      </c>
      <c r="D921" s="149" t="s">
        <v>5077</v>
      </c>
      <c r="E921" s="105">
        <v>1</v>
      </c>
      <c r="F921" s="133">
        <v>25</v>
      </c>
      <c r="G921" s="133">
        <v>28.75</v>
      </c>
      <c r="H921" s="109">
        <f t="shared" si="43"/>
        <v>28.75</v>
      </c>
      <c r="I921" s="119"/>
      <c r="J921" s="119">
        <v>0</v>
      </c>
      <c r="K921" s="119">
        <f t="shared" si="44"/>
        <v>28.75</v>
      </c>
      <c r="L921" s="152">
        <f t="shared" si="45"/>
        <v>25</v>
      </c>
      <c r="M921" s="113"/>
    </row>
    <row r="922" spans="1:13" x14ac:dyDescent="0.2">
      <c r="A922" s="106" t="s">
        <v>6868</v>
      </c>
      <c r="B922" s="272" t="s">
        <v>6359</v>
      </c>
      <c r="C922" s="105" t="s">
        <v>6930</v>
      </c>
      <c r="D922" s="149" t="s">
        <v>6701</v>
      </c>
      <c r="E922" s="105">
        <v>1</v>
      </c>
      <c r="F922" s="133">
        <v>32</v>
      </c>
      <c r="G922" s="133">
        <v>37</v>
      </c>
      <c r="H922" s="109">
        <f t="shared" si="43"/>
        <v>37</v>
      </c>
      <c r="I922" s="119"/>
      <c r="J922" s="119">
        <v>0</v>
      </c>
      <c r="K922" s="119">
        <f t="shared" si="44"/>
        <v>37</v>
      </c>
      <c r="L922" s="152">
        <f t="shared" si="45"/>
        <v>32</v>
      </c>
      <c r="M922" s="113"/>
    </row>
    <row r="923" spans="1:13" x14ac:dyDescent="0.2">
      <c r="A923" s="106" t="s">
        <v>6868</v>
      </c>
      <c r="B923" s="272" t="s">
        <v>6877</v>
      </c>
      <c r="C923" s="105" t="s">
        <v>6930</v>
      </c>
      <c r="D923" s="149" t="s">
        <v>6989</v>
      </c>
      <c r="E923" s="105">
        <v>1</v>
      </c>
      <c r="F923" s="133">
        <v>39</v>
      </c>
      <c r="G923" s="133">
        <v>45</v>
      </c>
      <c r="H923" s="109">
        <f t="shared" si="43"/>
        <v>45</v>
      </c>
      <c r="I923" s="119"/>
      <c r="J923" s="119">
        <v>0</v>
      </c>
      <c r="K923" s="119">
        <f t="shared" si="44"/>
        <v>45</v>
      </c>
      <c r="L923" s="152">
        <f t="shared" si="45"/>
        <v>39</v>
      </c>
      <c r="M923" s="113"/>
    </row>
    <row r="924" spans="1:13" x14ac:dyDescent="0.2">
      <c r="A924" s="106" t="s">
        <v>6868</v>
      </c>
      <c r="B924" s="272" t="s">
        <v>3482</v>
      </c>
      <c r="C924" s="105" t="s">
        <v>6930</v>
      </c>
      <c r="D924" s="149" t="s">
        <v>3484</v>
      </c>
      <c r="E924" s="105">
        <v>1</v>
      </c>
      <c r="F924" s="133">
        <v>57.1</v>
      </c>
      <c r="G924" s="133">
        <v>69</v>
      </c>
      <c r="H924" s="109">
        <f t="shared" si="43"/>
        <v>69</v>
      </c>
      <c r="I924" s="119"/>
      <c r="J924" s="119">
        <v>0</v>
      </c>
      <c r="K924" s="119">
        <f t="shared" si="44"/>
        <v>69</v>
      </c>
      <c r="L924" s="152">
        <f t="shared" si="45"/>
        <v>57.1</v>
      </c>
      <c r="M924" s="113"/>
    </row>
    <row r="925" spans="1:13" x14ac:dyDescent="0.2">
      <c r="A925" s="106" t="s">
        <v>6868</v>
      </c>
      <c r="B925" s="272" t="s">
        <v>2162</v>
      </c>
      <c r="C925" s="105" t="s">
        <v>6930</v>
      </c>
      <c r="D925" s="149" t="s">
        <v>2163</v>
      </c>
      <c r="E925" s="105">
        <v>1</v>
      </c>
      <c r="F925" s="133">
        <v>67.290000000000006</v>
      </c>
      <c r="G925" s="133">
        <v>77.5</v>
      </c>
      <c r="H925" s="109">
        <f t="shared" si="43"/>
        <v>77.5</v>
      </c>
      <c r="I925" s="119"/>
      <c r="J925" s="119">
        <v>0</v>
      </c>
      <c r="K925" s="119">
        <f t="shared" si="44"/>
        <v>77.5</v>
      </c>
      <c r="L925" s="152">
        <f t="shared" si="45"/>
        <v>67.290000000000006</v>
      </c>
      <c r="M925" s="113"/>
    </row>
    <row r="926" spans="1:13" x14ac:dyDescent="0.2">
      <c r="A926" s="106" t="s">
        <v>6868</v>
      </c>
      <c r="B926" s="272" t="s">
        <v>6350</v>
      </c>
      <c r="C926" s="105" t="s">
        <v>6930</v>
      </c>
      <c r="D926" s="149" t="s">
        <v>6691</v>
      </c>
      <c r="E926" s="105">
        <v>2</v>
      </c>
      <c r="F926" s="133">
        <v>29</v>
      </c>
      <c r="G926" s="133">
        <v>33.5</v>
      </c>
      <c r="H926" s="109">
        <f t="shared" si="43"/>
        <v>67</v>
      </c>
      <c r="I926" s="119"/>
      <c r="J926" s="119">
        <v>0</v>
      </c>
      <c r="K926" s="119">
        <f t="shared" si="44"/>
        <v>67</v>
      </c>
      <c r="L926" s="152">
        <f t="shared" si="45"/>
        <v>58</v>
      </c>
      <c r="M926" s="113"/>
    </row>
    <row r="927" spans="1:13" x14ac:dyDescent="0.2">
      <c r="A927" s="106" t="s">
        <v>6868</v>
      </c>
      <c r="B927" s="272" t="s">
        <v>5685</v>
      </c>
      <c r="C927" s="105" t="s">
        <v>6931</v>
      </c>
      <c r="D927" s="149" t="s">
        <v>5823</v>
      </c>
      <c r="E927" s="105">
        <v>1</v>
      </c>
      <c r="F927" s="133">
        <v>38.57</v>
      </c>
      <c r="G927" s="133">
        <v>44.5</v>
      </c>
      <c r="H927" s="109">
        <f t="shared" si="43"/>
        <v>44.5</v>
      </c>
      <c r="I927" s="119"/>
      <c r="J927" s="119">
        <v>0</v>
      </c>
      <c r="K927" s="119">
        <f t="shared" si="44"/>
        <v>44.5</v>
      </c>
      <c r="L927" s="152">
        <f t="shared" si="45"/>
        <v>38.57</v>
      </c>
      <c r="M927" s="113"/>
    </row>
    <row r="928" spans="1:13" x14ac:dyDescent="0.2">
      <c r="A928" s="106" t="s">
        <v>6868</v>
      </c>
      <c r="B928" s="272" t="s">
        <v>6354</v>
      </c>
      <c r="C928" s="105" t="s">
        <v>6932</v>
      </c>
      <c r="D928" s="149" t="s">
        <v>6695</v>
      </c>
      <c r="E928" s="105">
        <v>2</v>
      </c>
      <c r="F928" s="133">
        <v>7.7</v>
      </c>
      <c r="G928" s="133">
        <v>9</v>
      </c>
      <c r="H928" s="109">
        <f t="shared" si="43"/>
        <v>18</v>
      </c>
      <c r="I928" s="119"/>
      <c r="J928" s="119">
        <v>0</v>
      </c>
      <c r="K928" s="119">
        <f t="shared" si="44"/>
        <v>18</v>
      </c>
      <c r="L928" s="152">
        <f t="shared" si="45"/>
        <v>15.4</v>
      </c>
      <c r="M928" s="113"/>
    </row>
    <row r="929" spans="1:13" x14ac:dyDescent="0.2">
      <c r="A929" s="106" t="s">
        <v>6868</v>
      </c>
      <c r="B929" s="272" t="s">
        <v>2226</v>
      </c>
      <c r="C929" s="105" t="s">
        <v>6933</v>
      </c>
      <c r="D929" s="149" t="s">
        <v>2228</v>
      </c>
      <c r="E929" s="105">
        <v>1</v>
      </c>
      <c r="F929" s="133">
        <v>21.03</v>
      </c>
      <c r="G929" s="133">
        <v>24.25</v>
      </c>
      <c r="H929" s="109">
        <f t="shared" si="43"/>
        <v>24.25</v>
      </c>
      <c r="I929" s="119"/>
      <c r="J929" s="119">
        <v>0</v>
      </c>
      <c r="K929" s="119">
        <f t="shared" si="44"/>
        <v>24.25</v>
      </c>
      <c r="L929" s="152">
        <f t="shared" si="45"/>
        <v>21.03</v>
      </c>
      <c r="M929" s="113"/>
    </row>
    <row r="930" spans="1:13" x14ac:dyDescent="0.2">
      <c r="A930" s="106" t="s">
        <v>6868</v>
      </c>
      <c r="B930" s="272" t="s">
        <v>1877</v>
      </c>
      <c r="C930" s="105" t="s">
        <v>6934</v>
      </c>
      <c r="D930" s="149" t="s">
        <v>1878</v>
      </c>
      <c r="E930" s="105">
        <v>1</v>
      </c>
      <c r="F930" s="133">
        <v>20.399999999999999</v>
      </c>
      <c r="G930" s="133">
        <v>23.5</v>
      </c>
      <c r="H930" s="109">
        <f t="shared" si="43"/>
        <v>23.5</v>
      </c>
      <c r="I930" s="119"/>
      <c r="J930" s="119">
        <v>0</v>
      </c>
      <c r="K930" s="119">
        <f t="shared" si="44"/>
        <v>23.5</v>
      </c>
      <c r="L930" s="152">
        <f t="shared" si="45"/>
        <v>20.399999999999999</v>
      </c>
      <c r="M930" s="113"/>
    </row>
    <row r="931" spans="1:13" x14ac:dyDescent="0.2">
      <c r="A931" s="106" t="s">
        <v>6868</v>
      </c>
      <c r="B931" s="272" t="s">
        <v>1920</v>
      </c>
      <c r="C931" s="105" t="s">
        <v>6935</v>
      </c>
      <c r="D931" s="149" t="s">
        <v>1921</v>
      </c>
      <c r="E931" s="105">
        <v>4</v>
      </c>
      <c r="F931" s="133">
        <v>13.32</v>
      </c>
      <c r="G931" s="133">
        <v>15.5</v>
      </c>
      <c r="H931" s="109">
        <f t="shared" si="43"/>
        <v>62</v>
      </c>
      <c r="I931" s="119"/>
      <c r="J931" s="119">
        <v>0</v>
      </c>
      <c r="K931" s="119">
        <f t="shared" si="44"/>
        <v>62</v>
      </c>
      <c r="L931" s="152">
        <f t="shared" si="45"/>
        <v>53.28</v>
      </c>
      <c r="M931" s="113"/>
    </row>
    <row r="932" spans="1:13" x14ac:dyDescent="0.2">
      <c r="A932" s="106" t="s">
        <v>6868</v>
      </c>
      <c r="B932" s="272" t="s">
        <v>5982</v>
      </c>
      <c r="C932" s="105" t="s">
        <v>6936</v>
      </c>
      <c r="D932" s="149" t="s">
        <v>6100</v>
      </c>
      <c r="E932" s="105">
        <v>1</v>
      </c>
      <c r="F932" s="133">
        <v>5.74</v>
      </c>
      <c r="G932" s="133">
        <v>7</v>
      </c>
      <c r="H932" s="109">
        <f t="shared" si="43"/>
        <v>7</v>
      </c>
      <c r="I932" s="119"/>
      <c r="J932" s="119">
        <v>0</v>
      </c>
      <c r="K932" s="119">
        <f t="shared" si="44"/>
        <v>7</v>
      </c>
      <c r="L932" s="152">
        <f t="shared" si="45"/>
        <v>5.74</v>
      </c>
      <c r="M932" s="113"/>
    </row>
    <row r="933" spans="1:13" x14ac:dyDescent="0.2">
      <c r="A933" s="106" t="s">
        <v>6868</v>
      </c>
      <c r="B933" s="272" t="s">
        <v>2872</v>
      </c>
      <c r="C933" s="105" t="s">
        <v>6936</v>
      </c>
      <c r="D933" s="149" t="s">
        <v>2873</v>
      </c>
      <c r="E933" s="105">
        <v>1</v>
      </c>
      <c r="F933" s="133">
        <v>4.4800000000000004</v>
      </c>
      <c r="G933" s="133">
        <v>5.25</v>
      </c>
      <c r="H933" s="109">
        <f t="shared" si="43"/>
        <v>5.25</v>
      </c>
      <c r="I933" s="119"/>
      <c r="J933" s="119">
        <v>0</v>
      </c>
      <c r="K933" s="119">
        <f t="shared" si="44"/>
        <v>5.25</v>
      </c>
      <c r="L933" s="152">
        <f t="shared" si="45"/>
        <v>4.4800000000000004</v>
      </c>
      <c r="M933" s="113"/>
    </row>
    <row r="934" spans="1:13" x14ac:dyDescent="0.2">
      <c r="A934" s="106" t="s">
        <v>6868</v>
      </c>
      <c r="B934" s="272" t="s">
        <v>2959</v>
      </c>
      <c r="C934" s="105" t="s">
        <v>6937</v>
      </c>
      <c r="D934" s="149" t="s">
        <v>2960</v>
      </c>
      <c r="E934" s="105">
        <v>1</v>
      </c>
      <c r="F934" s="133">
        <v>529.79999999999995</v>
      </c>
      <c r="G934" s="133">
        <v>615</v>
      </c>
      <c r="H934" s="109">
        <f t="shared" si="43"/>
        <v>615</v>
      </c>
      <c r="I934" s="119"/>
      <c r="J934" s="119">
        <v>0</v>
      </c>
      <c r="K934" s="119">
        <f t="shared" si="44"/>
        <v>615</v>
      </c>
      <c r="L934" s="152">
        <f t="shared" si="45"/>
        <v>529.79999999999995</v>
      </c>
      <c r="M934" s="113"/>
    </row>
    <row r="935" spans="1:13" x14ac:dyDescent="0.2">
      <c r="A935" s="106" t="s">
        <v>6868</v>
      </c>
      <c r="B935" s="272" t="s">
        <v>2278</v>
      </c>
      <c r="C935" s="105" t="s">
        <v>6937</v>
      </c>
      <c r="D935" s="149" t="s">
        <v>2280</v>
      </c>
      <c r="E935" s="105">
        <v>1</v>
      </c>
      <c r="F935" s="133">
        <v>144.31</v>
      </c>
      <c r="G935" s="133">
        <v>166</v>
      </c>
      <c r="H935" s="109">
        <f t="shared" si="43"/>
        <v>166</v>
      </c>
      <c r="I935" s="119"/>
      <c r="J935" s="119">
        <v>0</v>
      </c>
      <c r="K935" s="119">
        <f t="shared" si="44"/>
        <v>166</v>
      </c>
      <c r="L935" s="152">
        <f t="shared" si="45"/>
        <v>144.31</v>
      </c>
      <c r="M935" s="113"/>
    </row>
    <row r="936" spans="1:13" x14ac:dyDescent="0.2">
      <c r="A936" s="106" t="s">
        <v>6868</v>
      </c>
      <c r="B936" s="272" t="s">
        <v>2963</v>
      </c>
      <c r="C936" s="105" t="s">
        <v>6937</v>
      </c>
      <c r="D936" s="149" t="s">
        <v>2964</v>
      </c>
      <c r="E936" s="105">
        <v>1</v>
      </c>
      <c r="F936" s="133">
        <v>160.51</v>
      </c>
      <c r="G936" s="133">
        <v>184.75</v>
      </c>
      <c r="H936" s="109">
        <f t="shared" si="43"/>
        <v>184.75</v>
      </c>
      <c r="I936" s="119"/>
      <c r="J936" s="119">
        <v>0</v>
      </c>
      <c r="K936" s="119">
        <f t="shared" si="44"/>
        <v>184.75</v>
      </c>
      <c r="L936" s="152">
        <f t="shared" si="45"/>
        <v>160.51</v>
      </c>
      <c r="M936" s="113"/>
    </row>
    <row r="937" spans="1:13" x14ac:dyDescent="0.2">
      <c r="A937" s="106" t="s">
        <v>6868</v>
      </c>
      <c r="B937" s="272" t="s">
        <v>2377</v>
      </c>
      <c r="C937" s="105" t="s">
        <v>6938</v>
      </c>
      <c r="D937" s="149" t="s">
        <v>2378</v>
      </c>
      <c r="E937" s="105">
        <v>2</v>
      </c>
      <c r="F937" s="133">
        <v>8.1999999999999993</v>
      </c>
      <c r="G937" s="133">
        <v>9.5</v>
      </c>
      <c r="H937" s="109">
        <f t="shared" si="43"/>
        <v>19</v>
      </c>
      <c r="I937" s="119"/>
      <c r="J937" s="119">
        <v>0</v>
      </c>
      <c r="K937" s="119">
        <f t="shared" si="44"/>
        <v>19</v>
      </c>
      <c r="L937" s="152">
        <f t="shared" si="45"/>
        <v>16.399999999999999</v>
      </c>
      <c r="M937" s="113"/>
    </row>
    <row r="938" spans="1:13" x14ac:dyDescent="0.2">
      <c r="A938" s="106" t="s">
        <v>6868</v>
      </c>
      <c r="B938" s="272" t="s">
        <v>1793</v>
      </c>
      <c r="C938" s="105" t="s">
        <v>6938</v>
      </c>
      <c r="D938" s="149" t="s">
        <v>1795</v>
      </c>
      <c r="E938" s="105">
        <v>1</v>
      </c>
      <c r="F938" s="133">
        <v>12.17</v>
      </c>
      <c r="G938" s="133">
        <v>14.75</v>
      </c>
      <c r="H938" s="109">
        <f t="shared" si="43"/>
        <v>14.75</v>
      </c>
      <c r="I938" s="119"/>
      <c r="J938" s="119">
        <v>0</v>
      </c>
      <c r="K938" s="119">
        <f t="shared" si="44"/>
        <v>14.75</v>
      </c>
      <c r="L938" s="152">
        <f t="shared" si="45"/>
        <v>12.17</v>
      </c>
      <c r="M938" s="113"/>
    </row>
    <row r="939" spans="1:13" x14ac:dyDescent="0.2">
      <c r="A939" s="106" t="s">
        <v>6868</v>
      </c>
      <c r="B939" s="272" t="s">
        <v>4806</v>
      </c>
      <c r="C939" s="105" t="s">
        <v>6939</v>
      </c>
      <c r="D939" s="149" t="s">
        <v>4874</v>
      </c>
      <c r="E939" s="105">
        <v>1</v>
      </c>
      <c r="F939" s="133">
        <v>8.58</v>
      </c>
      <c r="G939" s="133">
        <v>10</v>
      </c>
      <c r="H939" s="109">
        <f t="shared" si="43"/>
        <v>10</v>
      </c>
      <c r="I939" s="119"/>
      <c r="J939" s="119">
        <v>0</v>
      </c>
      <c r="K939" s="119">
        <f t="shared" si="44"/>
        <v>10</v>
      </c>
      <c r="L939" s="152">
        <f t="shared" si="45"/>
        <v>8.58</v>
      </c>
      <c r="M939" s="113"/>
    </row>
    <row r="940" spans="1:13" x14ac:dyDescent="0.2">
      <c r="A940" s="106" t="s">
        <v>6868</v>
      </c>
      <c r="B940" s="272" t="s">
        <v>2872</v>
      </c>
      <c r="C940" s="105" t="s">
        <v>6940</v>
      </c>
      <c r="D940" s="149" t="s">
        <v>2873</v>
      </c>
      <c r="E940" s="105">
        <v>3</v>
      </c>
      <c r="F940" s="133">
        <v>4.4800000000000004</v>
      </c>
      <c r="G940" s="133">
        <v>5.25</v>
      </c>
      <c r="H940" s="109">
        <f t="shared" si="43"/>
        <v>15.75</v>
      </c>
      <c r="I940" s="119"/>
      <c r="J940" s="119">
        <v>0</v>
      </c>
      <c r="K940" s="119">
        <f t="shared" si="44"/>
        <v>15.75</v>
      </c>
      <c r="L940" s="152">
        <f t="shared" si="45"/>
        <v>13.440000000000001</v>
      </c>
      <c r="M940" s="113"/>
    </row>
    <row r="941" spans="1:13" x14ac:dyDescent="0.2">
      <c r="A941" s="106" t="s">
        <v>6868</v>
      </c>
      <c r="B941" s="272" t="s">
        <v>6354</v>
      </c>
      <c r="C941" s="105" t="s">
        <v>6941</v>
      </c>
      <c r="D941" s="149" t="s">
        <v>6695</v>
      </c>
      <c r="E941" s="105">
        <v>1</v>
      </c>
      <c r="F941" s="133">
        <v>7.7</v>
      </c>
      <c r="G941" s="133">
        <v>9</v>
      </c>
      <c r="H941" s="109">
        <f t="shared" si="43"/>
        <v>9</v>
      </c>
      <c r="I941" s="119"/>
      <c r="J941" s="119">
        <v>0</v>
      </c>
      <c r="K941" s="119">
        <f t="shared" si="44"/>
        <v>9</v>
      </c>
      <c r="L941" s="152">
        <f t="shared" si="45"/>
        <v>7.7</v>
      </c>
      <c r="M941" s="113"/>
    </row>
    <row r="942" spans="1:13" x14ac:dyDescent="0.2">
      <c r="A942" s="106" t="s">
        <v>6868</v>
      </c>
      <c r="B942" s="272" t="s">
        <v>2872</v>
      </c>
      <c r="C942" s="105" t="s">
        <v>6941</v>
      </c>
      <c r="D942" s="149" t="s">
        <v>2873</v>
      </c>
      <c r="E942" s="105">
        <v>1</v>
      </c>
      <c r="F942" s="133">
        <v>4.4800000000000004</v>
      </c>
      <c r="G942" s="133">
        <v>5.25</v>
      </c>
      <c r="H942" s="109">
        <f t="shared" si="43"/>
        <v>5.25</v>
      </c>
      <c r="I942" s="119"/>
      <c r="J942" s="119">
        <v>0</v>
      </c>
      <c r="K942" s="119">
        <f t="shared" si="44"/>
        <v>5.25</v>
      </c>
      <c r="L942" s="152">
        <f t="shared" si="45"/>
        <v>4.4800000000000004</v>
      </c>
      <c r="M942" s="113"/>
    </row>
    <row r="943" spans="1:13" x14ac:dyDescent="0.2">
      <c r="A943" s="106" t="s">
        <v>6868</v>
      </c>
      <c r="B943" s="272" t="s">
        <v>5591</v>
      </c>
      <c r="C943" s="105" t="s">
        <v>6941</v>
      </c>
      <c r="D943" s="149" t="s">
        <v>5636</v>
      </c>
      <c r="E943" s="105">
        <v>1</v>
      </c>
      <c r="F943" s="133">
        <v>5.85</v>
      </c>
      <c r="G943" s="133">
        <v>7</v>
      </c>
      <c r="H943" s="109">
        <f t="shared" si="43"/>
        <v>7</v>
      </c>
      <c r="I943" s="119"/>
      <c r="J943" s="119">
        <v>0</v>
      </c>
      <c r="K943" s="119">
        <f t="shared" si="44"/>
        <v>7</v>
      </c>
      <c r="L943" s="152">
        <f t="shared" si="45"/>
        <v>5.85</v>
      </c>
      <c r="M943" s="113"/>
    </row>
    <row r="944" spans="1:13" x14ac:dyDescent="0.2">
      <c r="A944" s="106" t="s">
        <v>6868</v>
      </c>
      <c r="B944" s="272" t="s">
        <v>5247</v>
      </c>
      <c r="C944" s="105" t="s">
        <v>6942</v>
      </c>
      <c r="D944" s="149" t="s">
        <v>5407</v>
      </c>
      <c r="E944" s="105">
        <v>1</v>
      </c>
      <c r="F944" s="133">
        <v>32.909999999999997</v>
      </c>
      <c r="G944" s="133">
        <v>38</v>
      </c>
      <c r="H944" s="109">
        <f t="shared" si="43"/>
        <v>38</v>
      </c>
      <c r="I944" s="119"/>
      <c r="J944" s="119">
        <v>0</v>
      </c>
      <c r="K944" s="119">
        <f t="shared" si="44"/>
        <v>38</v>
      </c>
      <c r="L944" s="152">
        <f t="shared" si="45"/>
        <v>32.909999999999997</v>
      </c>
      <c r="M944" s="113"/>
    </row>
    <row r="945" spans="1:13" x14ac:dyDescent="0.2">
      <c r="A945" s="106" t="s">
        <v>6868</v>
      </c>
      <c r="B945" s="272" t="s">
        <v>2146</v>
      </c>
      <c r="C945" s="105" t="s">
        <v>6942</v>
      </c>
      <c r="D945" s="149" t="s">
        <v>2147</v>
      </c>
      <c r="E945" s="105">
        <v>6</v>
      </c>
      <c r="F945" s="133">
        <v>13.2</v>
      </c>
      <c r="G945" s="133">
        <v>16</v>
      </c>
      <c r="H945" s="109">
        <f t="shared" si="43"/>
        <v>96</v>
      </c>
      <c r="I945" s="119"/>
      <c r="J945" s="119">
        <v>0</v>
      </c>
      <c r="K945" s="119">
        <f t="shared" si="44"/>
        <v>96</v>
      </c>
      <c r="L945" s="152">
        <f t="shared" si="45"/>
        <v>79.199999999999989</v>
      </c>
      <c r="M945" s="113"/>
    </row>
    <row r="946" spans="1:13" x14ac:dyDescent="0.2">
      <c r="A946" s="106" t="s">
        <v>6868</v>
      </c>
      <c r="B946" s="272" t="s">
        <v>3507</v>
      </c>
      <c r="C946" s="105" t="s">
        <v>6943</v>
      </c>
      <c r="D946" s="149" t="s">
        <v>3508</v>
      </c>
      <c r="E946" s="105">
        <v>1</v>
      </c>
      <c r="F946" s="133">
        <v>18.2</v>
      </c>
      <c r="G946" s="133">
        <v>21</v>
      </c>
      <c r="H946" s="109">
        <f t="shared" si="43"/>
        <v>21</v>
      </c>
      <c r="I946" s="119"/>
      <c r="J946" s="119">
        <v>0</v>
      </c>
      <c r="K946" s="119">
        <f t="shared" si="44"/>
        <v>21</v>
      </c>
      <c r="L946" s="152">
        <f t="shared" si="45"/>
        <v>18.2</v>
      </c>
      <c r="M946" s="113"/>
    </row>
    <row r="947" spans="1:13" x14ac:dyDescent="0.2">
      <c r="A947" s="106" t="s">
        <v>6868</v>
      </c>
      <c r="B947" s="272" t="s">
        <v>2240</v>
      </c>
      <c r="C947" s="105" t="s">
        <v>6943</v>
      </c>
      <c r="D947" s="149" t="s">
        <v>2241</v>
      </c>
      <c r="E947" s="105">
        <v>1</v>
      </c>
      <c r="F947" s="133">
        <v>18.649999999999999</v>
      </c>
      <c r="G947" s="133">
        <v>21.5</v>
      </c>
      <c r="H947" s="109">
        <f t="shared" si="43"/>
        <v>21.5</v>
      </c>
      <c r="I947" s="119"/>
      <c r="J947" s="119">
        <v>0</v>
      </c>
      <c r="K947" s="119">
        <f t="shared" si="44"/>
        <v>21.5</v>
      </c>
      <c r="L947" s="152">
        <f t="shared" si="45"/>
        <v>18.649999999999999</v>
      </c>
      <c r="M947" s="113"/>
    </row>
    <row r="948" spans="1:13" x14ac:dyDescent="0.2">
      <c r="A948" s="106" t="s">
        <v>6868</v>
      </c>
      <c r="B948" s="272" t="s">
        <v>2872</v>
      </c>
      <c r="C948" s="105" t="s">
        <v>6944</v>
      </c>
      <c r="D948" s="149" t="s">
        <v>2873</v>
      </c>
      <c r="E948" s="105">
        <v>1</v>
      </c>
      <c r="F948" s="133">
        <v>4.4800000000000004</v>
      </c>
      <c r="G948" s="133">
        <v>5.25</v>
      </c>
      <c r="H948" s="109">
        <f t="shared" si="43"/>
        <v>5.25</v>
      </c>
      <c r="I948" s="119"/>
      <c r="J948" s="119">
        <v>0</v>
      </c>
      <c r="K948" s="119">
        <f t="shared" si="44"/>
        <v>5.25</v>
      </c>
      <c r="L948" s="152">
        <f t="shared" si="45"/>
        <v>4.4800000000000004</v>
      </c>
      <c r="M948" s="113"/>
    </row>
    <row r="949" spans="1:13" x14ac:dyDescent="0.2">
      <c r="A949" s="106" t="s">
        <v>6868</v>
      </c>
      <c r="B949" s="272" t="s">
        <v>1988</v>
      </c>
      <c r="C949" s="105" t="s">
        <v>6945</v>
      </c>
      <c r="D949" s="149" t="s">
        <v>1989</v>
      </c>
      <c r="E949" s="105">
        <v>1</v>
      </c>
      <c r="F949" s="133">
        <v>104.77</v>
      </c>
      <c r="G949" s="133">
        <v>132</v>
      </c>
      <c r="H949" s="109">
        <f t="shared" si="43"/>
        <v>132</v>
      </c>
      <c r="I949" s="119"/>
      <c r="J949" s="119">
        <v>0</v>
      </c>
      <c r="K949" s="119">
        <f t="shared" si="44"/>
        <v>132</v>
      </c>
      <c r="L949" s="152">
        <f t="shared" si="45"/>
        <v>104.77</v>
      </c>
      <c r="M949" s="113"/>
    </row>
    <row r="950" spans="1:13" x14ac:dyDescent="0.2">
      <c r="A950" s="106" t="s">
        <v>6868</v>
      </c>
      <c r="B950" s="272" t="s">
        <v>5247</v>
      </c>
      <c r="C950" s="105" t="s">
        <v>6946</v>
      </c>
      <c r="D950" s="149" t="s">
        <v>5407</v>
      </c>
      <c r="E950" s="105">
        <v>1</v>
      </c>
      <c r="F950" s="133">
        <v>32.909999999999997</v>
      </c>
      <c r="G950" s="133">
        <v>38</v>
      </c>
      <c r="H950" s="109">
        <f t="shared" si="43"/>
        <v>38</v>
      </c>
      <c r="I950" s="119"/>
      <c r="J950" s="119">
        <v>0</v>
      </c>
      <c r="K950" s="119">
        <f t="shared" si="44"/>
        <v>38</v>
      </c>
      <c r="L950" s="152">
        <f t="shared" si="45"/>
        <v>32.909999999999997</v>
      </c>
      <c r="M950" s="113"/>
    </row>
    <row r="951" spans="1:13" x14ac:dyDescent="0.2">
      <c r="A951" s="106" t="s">
        <v>6868</v>
      </c>
      <c r="B951" s="272" t="s">
        <v>2018</v>
      </c>
      <c r="C951" s="105" t="s">
        <v>6947</v>
      </c>
      <c r="D951" s="149" t="s">
        <v>2019</v>
      </c>
      <c r="E951" s="105">
        <v>1</v>
      </c>
      <c r="F951" s="133">
        <v>30.79</v>
      </c>
      <c r="G951" s="133">
        <v>36.75</v>
      </c>
      <c r="H951" s="109">
        <f t="shared" si="43"/>
        <v>36.75</v>
      </c>
      <c r="I951" s="119"/>
      <c r="J951" s="119">
        <v>0</v>
      </c>
      <c r="K951" s="119">
        <f t="shared" si="44"/>
        <v>36.75</v>
      </c>
      <c r="L951" s="152">
        <f t="shared" si="45"/>
        <v>30.79</v>
      </c>
      <c r="M951" s="113"/>
    </row>
    <row r="952" spans="1:13" x14ac:dyDescent="0.2">
      <c r="A952" s="106" t="s">
        <v>6868</v>
      </c>
      <c r="B952" s="272" t="s">
        <v>3897</v>
      </c>
      <c r="C952" s="105" t="s">
        <v>6948</v>
      </c>
      <c r="D952" s="149" t="s">
        <v>3899</v>
      </c>
      <c r="E952" s="105">
        <v>1</v>
      </c>
      <c r="F952" s="133">
        <v>25.69</v>
      </c>
      <c r="G952" s="133">
        <v>29.75</v>
      </c>
      <c r="H952" s="109">
        <f t="shared" si="43"/>
        <v>29.75</v>
      </c>
      <c r="I952" s="119"/>
      <c r="J952" s="119">
        <v>0</v>
      </c>
      <c r="K952" s="119">
        <f t="shared" si="44"/>
        <v>29.75</v>
      </c>
      <c r="L952" s="152">
        <f t="shared" si="45"/>
        <v>25.69</v>
      </c>
      <c r="M952" s="113"/>
    </row>
    <row r="953" spans="1:13" x14ac:dyDescent="0.2">
      <c r="A953" s="106" t="s">
        <v>6868</v>
      </c>
      <c r="B953" s="272" t="s">
        <v>1920</v>
      </c>
      <c r="C953" s="105" t="s">
        <v>6949</v>
      </c>
      <c r="D953" s="149" t="s">
        <v>1921</v>
      </c>
      <c r="E953" s="105">
        <v>1</v>
      </c>
      <c r="F953" s="133">
        <v>13.32</v>
      </c>
      <c r="G953" s="133">
        <v>15.5</v>
      </c>
      <c r="H953" s="109">
        <f t="shared" si="43"/>
        <v>15.5</v>
      </c>
      <c r="I953" s="119"/>
      <c r="J953" s="119">
        <v>0</v>
      </c>
      <c r="K953" s="119">
        <f t="shared" si="44"/>
        <v>15.5</v>
      </c>
      <c r="L953" s="152">
        <f t="shared" si="45"/>
        <v>13.32</v>
      </c>
      <c r="M953" s="113"/>
    </row>
    <row r="954" spans="1:13" x14ac:dyDescent="0.2">
      <c r="A954" s="106" t="s">
        <v>6868</v>
      </c>
      <c r="B954" s="272" t="s">
        <v>5982</v>
      </c>
      <c r="C954" s="105" t="s">
        <v>6950</v>
      </c>
      <c r="D954" s="149" t="s">
        <v>6100</v>
      </c>
      <c r="E954" s="105">
        <v>1</v>
      </c>
      <c r="F954" s="133">
        <v>5.74</v>
      </c>
      <c r="G954" s="133">
        <v>7</v>
      </c>
      <c r="H954" s="109">
        <f t="shared" si="43"/>
        <v>7</v>
      </c>
      <c r="I954" s="119"/>
      <c r="J954" s="119">
        <v>0</v>
      </c>
      <c r="K954" s="119">
        <f t="shared" si="44"/>
        <v>7</v>
      </c>
      <c r="L954" s="152">
        <f t="shared" si="45"/>
        <v>5.74</v>
      </c>
      <c r="M954" s="113"/>
    </row>
    <row r="955" spans="1:13" x14ac:dyDescent="0.2">
      <c r="A955" s="106" t="s">
        <v>6868</v>
      </c>
      <c r="B955" s="272" t="s">
        <v>2240</v>
      </c>
      <c r="C955" s="105" t="s">
        <v>6951</v>
      </c>
      <c r="D955" s="149" t="s">
        <v>2241</v>
      </c>
      <c r="E955" s="105">
        <v>1</v>
      </c>
      <c r="F955" s="133">
        <v>18.649999999999999</v>
      </c>
      <c r="G955" s="133">
        <v>21.5</v>
      </c>
      <c r="H955" s="109">
        <f t="shared" si="43"/>
        <v>21.5</v>
      </c>
      <c r="I955" s="119"/>
      <c r="J955" s="119">
        <v>0</v>
      </c>
      <c r="K955" s="119">
        <f t="shared" si="44"/>
        <v>21.5</v>
      </c>
      <c r="L955" s="152">
        <f t="shared" si="45"/>
        <v>18.649999999999999</v>
      </c>
      <c r="M955" s="113"/>
    </row>
    <row r="956" spans="1:13" x14ac:dyDescent="0.2">
      <c r="A956" s="106" t="s">
        <v>6868</v>
      </c>
      <c r="B956" s="272" t="s">
        <v>5686</v>
      </c>
      <c r="C956" s="105" t="s">
        <v>6951</v>
      </c>
      <c r="D956" s="149" t="s">
        <v>5824</v>
      </c>
      <c r="E956" s="105">
        <v>1</v>
      </c>
      <c r="F956" s="133">
        <v>12.17</v>
      </c>
      <c r="G956" s="133">
        <v>14.75</v>
      </c>
      <c r="H956" s="109">
        <f t="shared" si="43"/>
        <v>14.75</v>
      </c>
      <c r="I956" s="119"/>
      <c r="J956" s="119">
        <v>0</v>
      </c>
      <c r="K956" s="119">
        <f t="shared" si="44"/>
        <v>14.75</v>
      </c>
      <c r="L956" s="152">
        <f t="shared" si="45"/>
        <v>12.17</v>
      </c>
      <c r="M956" s="113"/>
    </row>
    <row r="957" spans="1:13" x14ac:dyDescent="0.2">
      <c r="A957" s="106" t="s">
        <v>6869</v>
      </c>
      <c r="B957" s="272" t="s">
        <v>1933</v>
      </c>
      <c r="C957" s="105" t="s">
        <v>6952</v>
      </c>
      <c r="D957" s="149" t="s">
        <v>1934</v>
      </c>
      <c r="E957" s="105">
        <v>2</v>
      </c>
      <c r="F957" s="133">
        <v>3.6</v>
      </c>
      <c r="G957" s="133">
        <v>4.25</v>
      </c>
      <c r="H957" s="109">
        <f t="shared" si="43"/>
        <v>8.5</v>
      </c>
      <c r="I957" s="119"/>
      <c r="J957" s="119">
        <v>0</v>
      </c>
      <c r="K957" s="119">
        <f t="shared" si="44"/>
        <v>8.5</v>
      </c>
      <c r="L957" s="152">
        <f t="shared" si="45"/>
        <v>7.2</v>
      </c>
      <c r="M957" s="113"/>
    </row>
    <row r="958" spans="1:13" x14ac:dyDescent="0.2">
      <c r="A958" s="106" t="s">
        <v>6869</v>
      </c>
      <c r="B958" s="272" t="s">
        <v>4804</v>
      </c>
      <c r="C958" s="105" t="s">
        <v>6952</v>
      </c>
      <c r="D958" s="149" t="s">
        <v>4872</v>
      </c>
      <c r="E958" s="105">
        <v>2</v>
      </c>
      <c r="F958" s="133">
        <v>7.48</v>
      </c>
      <c r="G958" s="133">
        <v>8.75</v>
      </c>
      <c r="H958" s="109">
        <f t="shared" si="43"/>
        <v>17.5</v>
      </c>
      <c r="I958" s="119"/>
      <c r="J958" s="119">
        <v>0</v>
      </c>
      <c r="K958" s="119">
        <f t="shared" si="44"/>
        <v>17.5</v>
      </c>
      <c r="L958" s="152">
        <f t="shared" si="45"/>
        <v>14.96</v>
      </c>
      <c r="M958" s="113"/>
    </row>
    <row r="959" spans="1:13" x14ac:dyDescent="0.2">
      <c r="A959" s="106" t="s">
        <v>6869</v>
      </c>
      <c r="B959" s="272" t="s">
        <v>3143</v>
      </c>
      <c r="C959" s="105" t="s">
        <v>6953</v>
      </c>
      <c r="D959" s="149" t="s">
        <v>3145</v>
      </c>
      <c r="E959" s="105">
        <v>1</v>
      </c>
      <c r="F959" s="133">
        <v>18.649999999999999</v>
      </c>
      <c r="G959" s="133">
        <v>21.5</v>
      </c>
      <c r="H959" s="109">
        <f t="shared" si="43"/>
        <v>21.5</v>
      </c>
      <c r="I959" s="119"/>
      <c r="J959" s="119">
        <v>0</v>
      </c>
      <c r="K959" s="119">
        <f t="shared" si="44"/>
        <v>21.5</v>
      </c>
      <c r="L959" s="152">
        <f t="shared" si="45"/>
        <v>18.649999999999999</v>
      </c>
      <c r="M959" s="113"/>
    </row>
    <row r="960" spans="1:13" x14ac:dyDescent="0.2">
      <c r="A960" s="106" t="s">
        <v>6869</v>
      </c>
      <c r="B960" s="272" t="s">
        <v>2072</v>
      </c>
      <c r="C960" s="105" t="s">
        <v>6953</v>
      </c>
      <c r="D960" s="149" t="s">
        <v>2074</v>
      </c>
      <c r="E960" s="105">
        <v>1</v>
      </c>
      <c r="F960" s="133">
        <v>9.2799999999999994</v>
      </c>
      <c r="G960" s="133">
        <v>10.75</v>
      </c>
      <c r="H960" s="109">
        <f t="shared" si="43"/>
        <v>10.75</v>
      </c>
      <c r="I960" s="119"/>
      <c r="J960" s="119">
        <v>0</v>
      </c>
      <c r="K960" s="119">
        <f t="shared" si="44"/>
        <v>10.75</v>
      </c>
      <c r="L960" s="152">
        <f t="shared" si="45"/>
        <v>9.2799999999999994</v>
      </c>
      <c r="M960" s="113"/>
    </row>
    <row r="961" spans="1:13" x14ac:dyDescent="0.2">
      <c r="A961" s="106" t="s">
        <v>6869</v>
      </c>
      <c r="B961" s="272" t="s">
        <v>3195</v>
      </c>
      <c r="C961" s="105" t="s">
        <v>6954</v>
      </c>
      <c r="D961" s="149" t="s">
        <v>3196</v>
      </c>
      <c r="E961" s="105">
        <v>1</v>
      </c>
      <c r="F961" s="133">
        <v>64.58</v>
      </c>
      <c r="G961" s="133">
        <v>74.5</v>
      </c>
      <c r="H961" s="109">
        <f t="shared" si="43"/>
        <v>74.5</v>
      </c>
      <c r="I961" s="119"/>
      <c r="J961" s="119">
        <v>0</v>
      </c>
      <c r="K961" s="119">
        <f t="shared" si="44"/>
        <v>74.5</v>
      </c>
      <c r="L961" s="152">
        <f t="shared" si="45"/>
        <v>64.58</v>
      </c>
      <c r="M961" s="113"/>
    </row>
    <row r="962" spans="1:13" x14ac:dyDescent="0.2">
      <c r="A962" s="106" t="s">
        <v>6869</v>
      </c>
      <c r="B962" s="272" t="s">
        <v>3169</v>
      </c>
      <c r="C962" s="105" t="s">
        <v>6954</v>
      </c>
      <c r="D962" s="149" t="s">
        <v>3170</v>
      </c>
      <c r="E962" s="105">
        <v>6</v>
      </c>
      <c r="F962" s="133">
        <v>5.41</v>
      </c>
      <c r="G962" s="133">
        <v>6.25</v>
      </c>
      <c r="H962" s="109">
        <f t="shared" si="43"/>
        <v>37.5</v>
      </c>
      <c r="I962" s="119"/>
      <c r="J962" s="119">
        <v>0</v>
      </c>
      <c r="K962" s="119">
        <f t="shared" si="44"/>
        <v>37.5</v>
      </c>
      <c r="L962" s="152">
        <f t="shared" si="45"/>
        <v>32.46</v>
      </c>
      <c r="M962" s="113"/>
    </row>
    <row r="963" spans="1:13" x14ac:dyDescent="0.2">
      <c r="A963" s="106" t="s">
        <v>6869</v>
      </c>
      <c r="B963" s="272" t="s">
        <v>3676</v>
      </c>
      <c r="C963" s="105" t="s">
        <v>6954</v>
      </c>
      <c r="D963" s="149" t="s">
        <v>3677</v>
      </c>
      <c r="E963" s="105">
        <v>1</v>
      </c>
      <c r="F963" s="133">
        <v>38.25</v>
      </c>
      <c r="G963" s="133">
        <v>44</v>
      </c>
      <c r="H963" s="109">
        <f t="shared" si="43"/>
        <v>44</v>
      </c>
      <c r="I963" s="119"/>
      <c r="J963" s="119">
        <v>0</v>
      </c>
      <c r="K963" s="119">
        <f t="shared" si="44"/>
        <v>44</v>
      </c>
      <c r="L963" s="152">
        <f t="shared" si="45"/>
        <v>38.25</v>
      </c>
      <c r="M963" s="113"/>
    </row>
    <row r="964" spans="1:13" x14ac:dyDescent="0.2">
      <c r="A964" s="106" t="s">
        <v>6869</v>
      </c>
      <c r="B964" s="272" t="s">
        <v>2115</v>
      </c>
      <c r="C964" s="105" t="s">
        <v>6954</v>
      </c>
      <c r="D964" s="149" t="s">
        <v>2117</v>
      </c>
      <c r="E964" s="105">
        <v>1</v>
      </c>
      <c r="F964" s="133">
        <v>84.85</v>
      </c>
      <c r="G964" s="133">
        <v>94</v>
      </c>
      <c r="H964" s="109">
        <f t="shared" si="43"/>
        <v>94</v>
      </c>
      <c r="I964" s="119"/>
      <c r="J964" s="119">
        <v>0</v>
      </c>
      <c r="K964" s="119">
        <f t="shared" si="44"/>
        <v>94</v>
      </c>
      <c r="L964" s="152">
        <f t="shared" si="45"/>
        <v>84.85</v>
      </c>
      <c r="M964" s="113"/>
    </row>
    <row r="965" spans="1:13" x14ac:dyDescent="0.2">
      <c r="A965" s="106" t="s">
        <v>6869</v>
      </c>
      <c r="B965" s="272" t="s">
        <v>2643</v>
      </c>
      <c r="C965" s="105" t="s">
        <v>6955</v>
      </c>
      <c r="D965" s="149" t="s">
        <v>2645</v>
      </c>
      <c r="E965" s="105">
        <v>1</v>
      </c>
      <c r="F965" s="133">
        <v>14.91</v>
      </c>
      <c r="G965" s="133">
        <v>17.25</v>
      </c>
      <c r="H965" s="109">
        <f t="shared" si="43"/>
        <v>17.25</v>
      </c>
      <c r="I965" s="119"/>
      <c r="J965" s="119">
        <v>0</v>
      </c>
      <c r="K965" s="119">
        <f t="shared" si="44"/>
        <v>17.25</v>
      </c>
      <c r="L965" s="152">
        <f t="shared" si="45"/>
        <v>14.91</v>
      </c>
      <c r="M965" s="113"/>
    </row>
    <row r="966" spans="1:13" x14ac:dyDescent="0.2">
      <c r="A966" s="106" t="s">
        <v>6869</v>
      </c>
      <c r="B966" s="272" t="s">
        <v>3314</v>
      </c>
      <c r="C966" s="105" t="s">
        <v>6956</v>
      </c>
      <c r="D966" s="149" t="s">
        <v>3316</v>
      </c>
      <c r="E966" s="105">
        <v>2</v>
      </c>
      <c r="F966" s="133">
        <v>16.579999999999998</v>
      </c>
      <c r="G966" s="133">
        <v>19</v>
      </c>
      <c r="H966" s="109">
        <f t="shared" ref="H966:H1029" si="46">E966*G966</f>
        <v>38</v>
      </c>
      <c r="I966" s="119"/>
      <c r="J966" s="119">
        <v>0</v>
      </c>
      <c r="K966" s="119">
        <f t="shared" si="44"/>
        <v>38</v>
      </c>
      <c r="L966" s="152">
        <f t="shared" si="45"/>
        <v>33.159999999999997</v>
      </c>
      <c r="M966" s="113"/>
    </row>
    <row r="967" spans="1:13" x14ac:dyDescent="0.2">
      <c r="A967" s="106" t="s">
        <v>6869</v>
      </c>
      <c r="B967" s="272" t="s">
        <v>3993</v>
      </c>
      <c r="C967" s="105" t="s">
        <v>6957</v>
      </c>
      <c r="D967" s="149" t="s">
        <v>3995</v>
      </c>
      <c r="E967" s="105">
        <v>1</v>
      </c>
      <c r="F967" s="133">
        <v>18.649999999999999</v>
      </c>
      <c r="G967" s="133">
        <v>21.5</v>
      </c>
      <c r="H967" s="109">
        <f t="shared" si="46"/>
        <v>21.5</v>
      </c>
      <c r="I967" s="119"/>
      <c r="J967" s="119">
        <v>0</v>
      </c>
      <c r="K967" s="119">
        <f t="shared" si="44"/>
        <v>21.5</v>
      </c>
      <c r="L967" s="152">
        <f t="shared" si="45"/>
        <v>18.649999999999999</v>
      </c>
      <c r="M967" s="113"/>
    </row>
    <row r="968" spans="1:13" x14ac:dyDescent="0.2">
      <c r="A968" s="106" t="s">
        <v>6869</v>
      </c>
      <c r="B968" s="272" t="s">
        <v>2027</v>
      </c>
      <c r="C968" s="105" t="s">
        <v>6958</v>
      </c>
      <c r="D968" s="149" t="s">
        <v>2029</v>
      </c>
      <c r="E968" s="105">
        <v>9</v>
      </c>
      <c r="F968" s="133">
        <v>9</v>
      </c>
      <c r="G968" s="133">
        <v>10.5</v>
      </c>
      <c r="H968" s="109">
        <f t="shared" si="46"/>
        <v>94.5</v>
      </c>
      <c r="I968" s="119"/>
      <c r="J968" s="119">
        <v>0</v>
      </c>
      <c r="K968" s="119">
        <f t="shared" ref="K968:K1031" si="47">H968+I968-J968</f>
        <v>94.5</v>
      </c>
      <c r="L968" s="152">
        <f t="shared" ref="L968:L1031" si="48">E968*F968</f>
        <v>81</v>
      </c>
      <c r="M968" s="113"/>
    </row>
    <row r="969" spans="1:13" x14ac:dyDescent="0.2">
      <c r="A969" s="106" t="s">
        <v>6869</v>
      </c>
      <c r="B969" s="272" t="s">
        <v>5982</v>
      </c>
      <c r="C969" s="105" t="s">
        <v>6959</v>
      </c>
      <c r="D969" s="149" t="s">
        <v>6100</v>
      </c>
      <c r="E969" s="105">
        <v>1</v>
      </c>
      <c r="F969" s="133">
        <v>5.74</v>
      </c>
      <c r="G969" s="133">
        <v>7</v>
      </c>
      <c r="H969" s="109">
        <f t="shared" si="46"/>
        <v>7</v>
      </c>
      <c r="I969" s="119"/>
      <c r="J969" s="119">
        <v>0</v>
      </c>
      <c r="K969" s="119">
        <f t="shared" si="47"/>
        <v>7</v>
      </c>
      <c r="L969" s="152">
        <f t="shared" si="48"/>
        <v>5.74</v>
      </c>
      <c r="M969" s="113"/>
    </row>
    <row r="970" spans="1:13" x14ac:dyDescent="0.2">
      <c r="A970" s="106" t="s">
        <v>6869</v>
      </c>
      <c r="B970" s="272" t="s">
        <v>5247</v>
      </c>
      <c r="C970" s="105" t="s">
        <v>6960</v>
      </c>
      <c r="D970" s="149" t="s">
        <v>5407</v>
      </c>
      <c r="E970" s="105">
        <v>1</v>
      </c>
      <c r="F970" s="133">
        <v>32.909999999999997</v>
      </c>
      <c r="G970" s="133">
        <v>38</v>
      </c>
      <c r="H970" s="109">
        <f t="shared" si="46"/>
        <v>38</v>
      </c>
      <c r="I970" s="119"/>
      <c r="J970" s="119">
        <v>0</v>
      </c>
      <c r="K970" s="119">
        <f t="shared" si="47"/>
        <v>38</v>
      </c>
      <c r="L970" s="152">
        <f t="shared" si="48"/>
        <v>32.909999999999997</v>
      </c>
      <c r="M970" s="113"/>
    </row>
    <row r="971" spans="1:13" x14ac:dyDescent="0.2">
      <c r="A971" s="106" t="s">
        <v>6856</v>
      </c>
      <c r="B971" s="272" t="s">
        <v>3314</v>
      </c>
      <c r="C971" s="105" t="s">
        <v>6961</v>
      </c>
      <c r="D971" s="149" t="s">
        <v>3316</v>
      </c>
      <c r="E971" s="105">
        <v>2</v>
      </c>
      <c r="F971" s="133">
        <v>16.579999999999998</v>
      </c>
      <c r="G971" s="133">
        <v>19</v>
      </c>
      <c r="H971" s="109">
        <f t="shared" si="46"/>
        <v>38</v>
      </c>
      <c r="I971" s="119"/>
      <c r="J971" s="119">
        <v>0</v>
      </c>
      <c r="K971" s="119">
        <f t="shared" si="47"/>
        <v>38</v>
      </c>
      <c r="L971" s="152">
        <f t="shared" si="48"/>
        <v>33.159999999999997</v>
      </c>
      <c r="M971" s="113"/>
    </row>
    <row r="972" spans="1:13" x14ac:dyDescent="0.2">
      <c r="A972" s="106" t="s">
        <v>6856</v>
      </c>
      <c r="B972" s="272" t="s">
        <v>3569</v>
      </c>
      <c r="C972" s="105" t="s">
        <v>6962</v>
      </c>
      <c r="D972" s="149" t="s">
        <v>3571</v>
      </c>
      <c r="E972" s="105">
        <v>1</v>
      </c>
      <c r="F972" s="133">
        <v>21.88</v>
      </c>
      <c r="G972" s="133">
        <v>25.25</v>
      </c>
      <c r="H972" s="109">
        <f t="shared" si="46"/>
        <v>25.25</v>
      </c>
      <c r="I972" s="119"/>
      <c r="J972" s="119">
        <v>0</v>
      </c>
      <c r="K972" s="119">
        <f t="shared" si="47"/>
        <v>25.25</v>
      </c>
      <c r="L972" s="152">
        <f t="shared" si="48"/>
        <v>21.88</v>
      </c>
      <c r="M972" s="113"/>
    </row>
    <row r="973" spans="1:13" x14ac:dyDescent="0.2">
      <c r="A973" s="106" t="s">
        <v>6856</v>
      </c>
      <c r="B973" s="272" t="s">
        <v>6362</v>
      </c>
      <c r="C973" s="105" t="s">
        <v>6963</v>
      </c>
      <c r="D973" s="149" t="s">
        <v>6704</v>
      </c>
      <c r="E973" s="105">
        <v>1</v>
      </c>
      <c r="F973" s="133">
        <v>41.67</v>
      </c>
      <c r="G973" s="133">
        <v>50</v>
      </c>
      <c r="H973" s="109">
        <f t="shared" si="46"/>
        <v>50</v>
      </c>
      <c r="I973" s="119"/>
      <c r="J973" s="119">
        <v>0</v>
      </c>
      <c r="K973" s="119">
        <f t="shared" si="47"/>
        <v>50</v>
      </c>
      <c r="L973" s="152">
        <f t="shared" si="48"/>
        <v>41.67</v>
      </c>
      <c r="M973" s="113"/>
    </row>
    <row r="974" spans="1:13" x14ac:dyDescent="0.2">
      <c r="A974" s="106" t="s">
        <v>6856</v>
      </c>
      <c r="B974" s="272" t="s">
        <v>3539</v>
      </c>
      <c r="C974" s="105" t="s">
        <v>6963</v>
      </c>
      <c r="D974" s="149" t="s">
        <v>3540</v>
      </c>
      <c r="E974" s="105">
        <v>1</v>
      </c>
      <c r="F974" s="133">
        <v>68.540000000000006</v>
      </c>
      <c r="G974" s="133">
        <v>79</v>
      </c>
      <c r="H974" s="109">
        <f t="shared" si="46"/>
        <v>79</v>
      </c>
      <c r="I974" s="119"/>
      <c r="J974" s="119">
        <v>0</v>
      </c>
      <c r="K974" s="119">
        <f t="shared" si="47"/>
        <v>79</v>
      </c>
      <c r="L974" s="152">
        <f t="shared" si="48"/>
        <v>68.540000000000006</v>
      </c>
      <c r="M974" s="113"/>
    </row>
    <row r="975" spans="1:13" x14ac:dyDescent="0.2">
      <c r="A975" s="106" t="s">
        <v>6856</v>
      </c>
      <c r="B975" s="272" t="s">
        <v>4806</v>
      </c>
      <c r="C975" s="105" t="s">
        <v>6964</v>
      </c>
      <c r="D975" s="149" t="s">
        <v>4874</v>
      </c>
      <c r="E975" s="105">
        <v>1</v>
      </c>
      <c r="F975" s="133">
        <v>8.58</v>
      </c>
      <c r="G975" s="133">
        <v>10</v>
      </c>
      <c r="H975" s="109">
        <f t="shared" si="46"/>
        <v>10</v>
      </c>
      <c r="I975" s="119"/>
      <c r="J975" s="119">
        <v>0</v>
      </c>
      <c r="K975" s="119">
        <f t="shared" si="47"/>
        <v>10</v>
      </c>
      <c r="L975" s="152">
        <f t="shared" si="48"/>
        <v>8.58</v>
      </c>
      <c r="M975" s="113"/>
    </row>
    <row r="976" spans="1:13" x14ac:dyDescent="0.2">
      <c r="A976" s="106" t="s">
        <v>6856</v>
      </c>
      <c r="B976" s="272" t="s">
        <v>2237</v>
      </c>
      <c r="C976" s="105" t="s">
        <v>6965</v>
      </c>
      <c r="D976" s="149" t="s">
        <v>2239</v>
      </c>
      <c r="E976" s="105">
        <v>1</v>
      </c>
      <c r="F976" s="133">
        <v>13.32</v>
      </c>
      <c r="G976" s="133">
        <v>15.5</v>
      </c>
      <c r="H976" s="109">
        <f t="shared" si="46"/>
        <v>15.5</v>
      </c>
      <c r="I976" s="119"/>
      <c r="J976" s="119">
        <v>0</v>
      </c>
      <c r="K976" s="119">
        <f t="shared" si="47"/>
        <v>15.5</v>
      </c>
      <c r="L976" s="152">
        <f t="shared" si="48"/>
        <v>13.32</v>
      </c>
      <c r="M976" s="113"/>
    </row>
    <row r="977" spans="1:13" x14ac:dyDescent="0.2">
      <c r="A977" s="106" t="s">
        <v>6856</v>
      </c>
      <c r="B977" s="272" t="s">
        <v>1924</v>
      </c>
      <c r="C977" s="105" t="s">
        <v>6965</v>
      </c>
      <c r="D977" s="149" t="s">
        <v>1926</v>
      </c>
      <c r="E977" s="105">
        <v>1</v>
      </c>
      <c r="F977" s="133">
        <v>10.64</v>
      </c>
      <c r="G977" s="133">
        <v>12.25</v>
      </c>
      <c r="H977" s="109">
        <f t="shared" si="46"/>
        <v>12.25</v>
      </c>
      <c r="I977" s="119"/>
      <c r="J977" s="119">
        <v>0</v>
      </c>
      <c r="K977" s="119">
        <f t="shared" si="47"/>
        <v>12.25</v>
      </c>
      <c r="L977" s="152">
        <f t="shared" si="48"/>
        <v>10.64</v>
      </c>
      <c r="M977" s="113"/>
    </row>
    <row r="978" spans="1:13" x14ac:dyDescent="0.2">
      <c r="A978" s="106" t="s">
        <v>6856</v>
      </c>
      <c r="B978" s="272" t="s">
        <v>3569</v>
      </c>
      <c r="C978" s="105" t="s">
        <v>6965</v>
      </c>
      <c r="D978" s="149" t="s">
        <v>3571</v>
      </c>
      <c r="E978" s="105">
        <v>1</v>
      </c>
      <c r="F978" s="133">
        <v>21.88</v>
      </c>
      <c r="G978" s="133">
        <v>25.25</v>
      </c>
      <c r="H978" s="109">
        <f t="shared" si="46"/>
        <v>25.25</v>
      </c>
      <c r="I978" s="119"/>
      <c r="J978" s="119">
        <v>0</v>
      </c>
      <c r="K978" s="119">
        <f t="shared" si="47"/>
        <v>25.25</v>
      </c>
      <c r="L978" s="152">
        <f t="shared" si="48"/>
        <v>21.88</v>
      </c>
      <c r="M978" s="113"/>
    </row>
    <row r="979" spans="1:13" x14ac:dyDescent="0.2">
      <c r="A979" s="106" t="s">
        <v>6856</v>
      </c>
      <c r="B979" s="272" t="s">
        <v>1920</v>
      </c>
      <c r="C979" s="105" t="s">
        <v>6966</v>
      </c>
      <c r="D979" s="149" t="s">
        <v>1921</v>
      </c>
      <c r="E979" s="105">
        <v>1</v>
      </c>
      <c r="F979" s="133">
        <v>13.32</v>
      </c>
      <c r="G979" s="133">
        <v>15.5</v>
      </c>
      <c r="H979" s="109">
        <f t="shared" si="46"/>
        <v>15.5</v>
      </c>
      <c r="I979" s="119"/>
      <c r="J979" s="119">
        <v>0</v>
      </c>
      <c r="K979" s="119">
        <f t="shared" si="47"/>
        <v>15.5</v>
      </c>
      <c r="L979" s="152">
        <f t="shared" si="48"/>
        <v>13.32</v>
      </c>
      <c r="M979" s="113"/>
    </row>
    <row r="980" spans="1:13" x14ac:dyDescent="0.2">
      <c r="A980" s="250" t="s">
        <v>6856</v>
      </c>
      <c r="B980" s="272" t="s">
        <v>2185</v>
      </c>
      <c r="C980" s="251" t="s">
        <v>6967</v>
      </c>
      <c r="D980" s="252" t="s">
        <v>2187</v>
      </c>
      <c r="E980" s="251">
        <v>1</v>
      </c>
      <c r="F980" s="253"/>
      <c r="G980" s="253">
        <v>59.5</v>
      </c>
      <c r="H980" s="254">
        <f t="shared" si="46"/>
        <v>59.5</v>
      </c>
      <c r="I980" s="255"/>
      <c r="J980" s="255">
        <v>0</v>
      </c>
      <c r="K980" s="255">
        <f t="shared" si="47"/>
        <v>59.5</v>
      </c>
      <c r="L980" s="256">
        <f t="shared" si="48"/>
        <v>0</v>
      </c>
      <c r="M980" s="113"/>
    </row>
    <row r="981" spans="1:13" x14ac:dyDescent="0.2">
      <c r="A981" s="106" t="s">
        <v>6856</v>
      </c>
      <c r="B981" s="272" t="s">
        <v>4083</v>
      </c>
      <c r="C981" s="105" t="s">
        <v>6967</v>
      </c>
      <c r="D981" s="149" t="s">
        <v>4084</v>
      </c>
      <c r="E981" s="105">
        <v>1</v>
      </c>
      <c r="F981" s="133">
        <v>200.03</v>
      </c>
      <c r="G981" s="133">
        <v>230</v>
      </c>
      <c r="H981" s="109">
        <f t="shared" si="46"/>
        <v>230</v>
      </c>
      <c r="I981" s="119"/>
      <c r="J981" s="119">
        <v>0</v>
      </c>
      <c r="K981" s="119">
        <f t="shared" si="47"/>
        <v>230</v>
      </c>
      <c r="L981" s="152">
        <f t="shared" si="48"/>
        <v>200.03</v>
      </c>
      <c r="M981" s="113"/>
    </row>
    <row r="982" spans="1:13" x14ac:dyDescent="0.2">
      <c r="A982" s="106" t="s">
        <v>6856</v>
      </c>
      <c r="B982" s="272" t="s">
        <v>5415</v>
      </c>
      <c r="C982" s="105" t="s">
        <v>6968</v>
      </c>
      <c r="D982" s="149" t="s">
        <v>5466</v>
      </c>
      <c r="E982" s="105">
        <v>2</v>
      </c>
      <c r="F982" s="133">
        <v>3.7</v>
      </c>
      <c r="G982" s="133">
        <v>5</v>
      </c>
      <c r="H982" s="109">
        <f t="shared" si="46"/>
        <v>10</v>
      </c>
      <c r="I982" s="119"/>
      <c r="J982" s="119">
        <v>0</v>
      </c>
      <c r="K982" s="119">
        <f t="shared" si="47"/>
        <v>10</v>
      </c>
      <c r="L982" s="152">
        <f t="shared" si="48"/>
        <v>7.4</v>
      </c>
      <c r="M982" s="113"/>
    </row>
    <row r="983" spans="1:13" ht="13.5" customHeight="1" x14ac:dyDescent="0.2">
      <c r="A983" s="106" t="s">
        <v>6856</v>
      </c>
      <c r="B983" s="272" t="s">
        <v>2773</v>
      </c>
      <c r="C983" s="105" t="s">
        <v>6969</v>
      </c>
      <c r="D983" s="149" t="s">
        <v>2774</v>
      </c>
      <c r="E983" s="157">
        <v>1</v>
      </c>
      <c r="F983" s="134">
        <v>28.2</v>
      </c>
      <c r="G983" s="134">
        <v>32.5</v>
      </c>
      <c r="H983" s="109">
        <f t="shared" si="46"/>
        <v>32.5</v>
      </c>
      <c r="I983" s="119"/>
      <c r="J983" s="119">
        <v>0</v>
      </c>
      <c r="K983" s="119">
        <f t="shared" si="47"/>
        <v>32.5</v>
      </c>
      <c r="L983" s="152">
        <f t="shared" si="48"/>
        <v>28.2</v>
      </c>
      <c r="M983" s="113"/>
    </row>
    <row r="984" spans="1:13" ht="13.5" customHeight="1" x14ac:dyDescent="0.2">
      <c r="A984" s="106" t="s">
        <v>6856</v>
      </c>
      <c r="B984" s="272" t="s">
        <v>4138</v>
      </c>
      <c r="C984" s="105" t="s">
        <v>6970</v>
      </c>
      <c r="D984" s="149" t="s">
        <v>4140</v>
      </c>
      <c r="E984" s="157">
        <v>1</v>
      </c>
      <c r="F984" s="134">
        <v>36.58</v>
      </c>
      <c r="G984" s="134">
        <v>42.25</v>
      </c>
      <c r="H984" s="109">
        <f t="shared" si="46"/>
        <v>42.25</v>
      </c>
      <c r="I984" s="119"/>
      <c r="J984" s="119">
        <v>0</v>
      </c>
      <c r="K984" s="119">
        <f t="shared" si="47"/>
        <v>42.25</v>
      </c>
      <c r="L984" s="152">
        <f t="shared" si="48"/>
        <v>36.58</v>
      </c>
      <c r="M984" s="113"/>
    </row>
    <row r="985" spans="1:13" ht="13.5" customHeight="1" x14ac:dyDescent="0.2">
      <c r="A985" s="106" t="s">
        <v>6856</v>
      </c>
      <c r="B985" s="272" t="s">
        <v>1997</v>
      </c>
      <c r="C985" s="105" t="s">
        <v>6970</v>
      </c>
      <c r="D985" s="149" t="s">
        <v>1999</v>
      </c>
      <c r="E985" s="157">
        <v>1</v>
      </c>
      <c r="F985" s="134">
        <v>4.4800000000000004</v>
      </c>
      <c r="G985" s="134">
        <v>5.25</v>
      </c>
      <c r="H985" s="109">
        <f t="shared" si="46"/>
        <v>5.25</v>
      </c>
      <c r="I985" s="119"/>
      <c r="J985" s="119">
        <v>0</v>
      </c>
      <c r="K985" s="119">
        <f t="shared" si="47"/>
        <v>5.25</v>
      </c>
      <c r="L985" s="152">
        <f t="shared" si="48"/>
        <v>4.4800000000000004</v>
      </c>
      <c r="M985" s="113"/>
    </row>
    <row r="986" spans="1:13" ht="13.5" customHeight="1" x14ac:dyDescent="0.2">
      <c r="A986" s="106" t="s">
        <v>6856</v>
      </c>
      <c r="B986" s="272" t="s">
        <v>2836</v>
      </c>
      <c r="C986" s="105" t="s">
        <v>6970</v>
      </c>
      <c r="D986" s="149" t="s">
        <v>2837</v>
      </c>
      <c r="E986" s="157">
        <v>1</v>
      </c>
      <c r="F986" s="134">
        <v>14.65</v>
      </c>
      <c r="G986" s="134">
        <v>17</v>
      </c>
      <c r="H986" s="109">
        <f t="shared" si="46"/>
        <v>17</v>
      </c>
      <c r="I986" s="119"/>
      <c r="J986" s="119">
        <v>0</v>
      </c>
      <c r="K986" s="119">
        <f t="shared" si="47"/>
        <v>17</v>
      </c>
      <c r="L986" s="152">
        <f t="shared" si="48"/>
        <v>14.65</v>
      </c>
      <c r="M986" s="113"/>
    </row>
    <row r="987" spans="1:13" ht="13.5" customHeight="1" x14ac:dyDescent="0.2">
      <c r="A987" s="106" t="s">
        <v>6856</v>
      </c>
      <c r="B987" s="272" t="s">
        <v>4716</v>
      </c>
      <c r="C987" s="105" t="s">
        <v>6971</v>
      </c>
      <c r="D987" s="149" t="s">
        <v>4751</v>
      </c>
      <c r="E987" s="157">
        <v>2</v>
      </c>
      <c r="F987" s="134">
        <v>0.81</v>
      </c>
      <c r="G987" s="134">
        <v>1</v>
      </c>
      <c r="H987" s="109">
        <f t="shared" si="46"/>
        <v>2</v>
      </c>
      <c r="I987" s="119"/>
      <c r="J987" s="119">
        <v>0</v>
      </c>
      <c r="K987" s="119">
        <f t="shared" si="47"/>
        <v>2</v>
      </c>
      <c r="L987" s="152">
        <f t="shared" si="48"/>
        <v>1.62</v>
      </c>
      <c r="M987" s="113"/>
    </row>
    <row r="988" spans="1:13" ht="13.5" customHeight="1" x14ac:dyDescent="0.2">
      <c r="A988" s="106" t="s">
        <v>6856</v>
      </c>
      <c r="B988" s="272" t="s">
        <v>3909</v>
      </c>
      <c r="C988" s="105" t="s">
        <v>6972</v>
      </c>
      <c r="D988" s="149" t="s">
        <v>3911</v>
      </c>
      <c r="E988" s="157">
        <v>1</v>
      </c>
      <c r="F988" s="134">
        <v>7.06</v>
      </c>
      <c r="G988" s="134">
        <v>8.25</v>
      </c>
      <c r="H988" s="109">
        <f t="shared" si="46"/>
        <v>8.25</v>
      </c>
      <c r="I988" s="119"/>
      <c r="J988" s="119">
        <v>0</v>
      </c>
      <c r="K988" s="119">
        <f t="shared" si="47"/>
        <v>8.25</v>
      </c>
      <c r="L988" s="152">
        <f t="shared" si="48"/>
        <v>7.06</v>
      </c>
      <c r="M988" s="113"/>
    </row>
    <row r="989" spans="1:13" ht="13.5" customHeight="1" x14ac:dyDescent="0.2">
      <c r="A989" s="106" t="s">
        <v>6856</v>
      </c>
      <c r="B989" s="272" t="s">
        <v>2773</v>
      </c>
      <c r="C989" s="105" t="s">
        <v>6973</v>
      </c>
      <c r="D989" s="149" t="s">
        <v>2774</v>
      </c>
      <c r="E989" s="157">
        <v>1</v>
      </c>
      <c r="F989" s="134">
        <v>28.2</v>
      </c>
      <c r="G989" s="134">
        <v>32.5</v>
      </c>
      <c r="H989" s="109">
        <f t="shared" si="46"/>
        <v>32.5</v>
      </c>
      <c r="I989" s="119"/>
      <c r="J989" s="119">
        <v>0</v>
      </c>
      <c r="K989" s="119">
        <f t="shared" si="47"/>
        <v>32.5</v>
      </c>
      <c r="L989" s="152">
        <f t="shared" si="48"/>
        <v>28.2</v>
      </c>
      <c r="M989" s="113"/>
    </row>
    <row r="990" spans="1:13" ht="13.5" customHeight="1" x14ac:dyDescent="0.2">
      <c r="A990" s="106" t="s">
        <v>6856</v>
      </c>
      <c r="B990" s="272" t="s">
        <v>1911</v>
      </c>
      <c r="C990" s="105" t="s">
        <v>6973</v>
      </c>
      <c r="D990" s="149" t="s">
        <v>1912</v>
      </c>
      <c r="E990" s="157">
        <v>1</v>
      </c>
      <c r="F990" s="134">
        <v>32.26</v>
      </c>
      <c r="G990" s="134">
        <v>37.25</v>
      </c>
      <c r="H990" s="109">
        <f t="shared" si="46"/>
        <v>37.25</v>
      </c>
      <c r="I990" s="119"/>
      <c r="J990" s="119"/>
      <c r="K990" s="119">
        <f t="shared" si="47"/>
        <v>37.25</v>
      </c>
      <c r="L990" s="152">
        <f t="shared" si="48"/>
        <v>32.26</v>
      </c>
      <c r="M990" s="113"/>
    </row>
    <row r="991" spans="1:13" ht="13.5" customHeight="1" x14ac:dyDescent="0.2">
      <c r="A991" s="106" t="s">
        <v>6856</v>
      </c>
      <c r="B991" s="272" t="s">
        <v>2895</v>
      </c>
      <c r="C991" s="105" t="s">
        <v>6974</v>
      </c>
      <c r="D991" s="149" t="s">
        <v>2897</v>
      </c>
      <c r="E991" s="157">
        <v>1</v>
      </c>
      <c r="F991" s="134">
        <v>9.17</v>
      </c>
      <c r="G991" s="134">
        <v>10.75</v>
      </c>
      <c r="H991" s="109">
        <f t="shared" si="46"/>
        <v>10.75</v>
      </c>
      <c r="I991" s="119"/>
      <c r="J991" s="119"/>
      <c r="K991" s="119">
        <f t="shared" si="47"/>
        <v>10.75</v>
      </c>
      <c r="L991" s="152">
        <f t="shared" si="48"/>
        <v>9.17</v>
      </c>
      <c r="M991" s="113"/>
    </row>
    <row r="992" spans="1:13" ht="13.5" customHeight="1" x14ac:dyDescent="0.2">
      <c r="A992" s="106" t="s">
        <v>6856</v>
      </c>
      <c r="B992" s="272" t="s">
        <v>2220</v>
      </c>
      <c r="C992" s="105" t="s">
        <v>6975</v>
      </c>
      <c r="D992" s="149" t="s">
        <v>2222</v>
      </c>
      <c r="E992" s="157">
        <v>1</v>
      </c>
      <c r="F992" s="134">
        <v>34.51</v>
      </c>
      <c r="G992" s="134">
        <v>41</v>
      </c>
      <c r="H992" s="109">
        <f t="shared" si="46"/>
        <v>41</v>
      </c>
      <c r="I992" s="119"/>
      <c r="J992" s="119"/>
      <c r="K992" s="119">
        <f t="shared" si="47"/>
        <v>41</v>
      </c>
      <c r="L992" s="152">
        <f t="shared" si="48"/>
        <v>34.51</v>
      </c>
      <c r="M992" s="113"/>
    </row>
    <row r="993" spans="1:13" ht="13.5" customHeight="1" x14ac:dyDescent="0.2">
      <c r="A993" s="106" t="s">
        <v>6856</v>
      </c>
      <c r="B993" s="272" t="s">
        <v>2813</v>
      </c>
      <c r="C993" s="105" t="s">
        <v>6975</v>
      </c>
      <c r="D993" s="149" t="s">
        <v>2814</v>
      </c>
      <c r="E993" s="157">
        <v>1</v>
      </c>
      <c r="F993" s="134">
        <v>149</v>
      </c>
      <c r="G993" s="134">
        <v>171.5</v>
      </c>
      <c r="H993" s="109">
        <f t="shared" si="46"/>
        <v>171.5</v>
      </c>
      <c r="I993" s="119"/>
      <c r="J993" s="119"/>
      <c r="K993" s="119">
        <f t="shared" si="47"/>
        <v>171.5</v>
      </c>
      <c r="L993" s="152">
        <f t="shared" si="48"/>
        <v>149</v>
      </c>
      <c r="M993" s="113"/>
    </row>
    <row r="994" spans="1:13" ht="13.5" customHeight="1" x14ac:dyDescent="0.2">
      <c r="A994" s="106" t="s">
        <v>6856</v>
      </c>
      <c r="B994" s="272" t="s">
        <v>3842</v>
      </c>
      <c r="C994" s="105" t="s">
        <v>6975</v>
      </c>
      <c r="D994" s="149" t="s">
        <v>3844</v>
      </c>
      <c r="E994" s="157">
        <v>1</v>
      </c>
      <c r="F994" s="134">
        <v>41.83</v>
      </c>
      <c r="G994" s="134">
        <v>48.25</v>
      </c>
      <c r="H994" s="109">
        <f t="shared" si="46"/>
        <v>48.25</v>
      </c>
      <c r="I994" s="119"/>
      <c r="J994" s="119"/>
      <c r="K994" s="119">
        <f t="shared" si="47"/>
        <v>48.25</v>
      </c>
      <c r="L994" s="152">
        <f t="shared" si="48"/>
        <v>41.83</v>
      </c>
      <c r="M994" s="113"/>
    </row>
    <row r="995" spans="1:13" ht="13.5" customHeight="1" x14ac:dyDescent="0.2">
      <c r="A995" s="106" t="s">
        <v>6856</v>
      </c>
      <c r="B995" s="272" t="s">
        <v>2745</v>
      </c>
      <c r="C995" s="105" t="s">
        <v>6976</v>
      </c>
      <c r="D995" s="149" t="s">
        <v>2747</v>
      </c>
      <c r="E995" s="157">
        <v>1</v>
      </c>
      <c r="F995" s="134">
        <v>109.97</v>
      </c>
      <c r="G995" s="134">
        <v>126.5</v>
      </c>
      <c r="H995" s="109">
        <f t="shared" si="46"/>
        <v>126.5</v>
      </c>
      <c r="I995" s="119"/>
      <c r="J995" s="119"/>
      <c r="K995" s="119">
        <f t="shared" si="47"/>
        <v>126.5</v>
      </c>
      <c r="L995" s="152">
        <f t="shared" si="48"/>
        <v>109.97</v>
      </c>
      <c r="M995" s="113"/>
    </row>
    <row r="996" spans="1:13" ht="13.5" customHeight="1" x14ac:dyDescent="0.2">
      <c r="A996" s="106" t="s">
        <v>6856</v>
      </c>
      <c r="B996" s="272" t="s">
        <v>4585</v>
      </c>
      <c r="C996" s="105" t="s">
        <v>6976</v>
      </c>
      <c r="D996" s="149" t="s">
        <v>4690</v>
      </c>
      <c r="E996" s="157">
        <v>1</v>
      </c>
      <c r="F996" s="134">
        <v>39.5</v>
      </c>
      <c r="G996" s="134">
        <v>45.5</v>
      </c>
      <c r="H996" s="109">
        <f t="shared" si="46"/>
        <v>45.5</v>
      </c>
      <c r="I996" s="119"/>
      <c r="J996" s="119"/>
      <c r="K996" s="119">
        <f t="shared" si="47"/>
        <v>45.5</v>
      </c>
      <c r="L996" s="152">
        <f t="shared" si="48"/>
        <v>39.5</v>
      </c>
      <c r="M996" s="113"/>
    </row>
    <row r="997" spans="1:13" x14ac:dyDescent="0.2">
      <c r="A997" s="106" t="s">
        <v>6856</v>
      </c>
      <c r="B997" s="272" t="s">
        <v>2495</v>
      </c>
      <c r="C997" s="105" t="s">
        <v>6976</v>
      </c>
      <c r="D997" s="149" t="s">
        <v>2496</v>
      </c>
      <c r="E997" s="157">
        <v>1</v>
      </c>
      <c r="F997" s="134">
        <v>35.75</v>
      </c>
      <c r="G997" s="134">
        <v>41.25</v>
      </c>
      <c r="H997" s="109">
        <f t="shared" si="46"/>
        <v>41.25</v>
      </c>
      <c r="I997" s="119"/>
      <c r="J997" s="119"/>
      <c r="K997" s="119">
        <f t="shared" si="47"/>
        <v>41.25</v>
      </c>
      <c r="L997" s="152">
        <f t="shared" si="48"/>
        <v>35.75</v>
      </c>
      <c r="M997" s="113"/>
    </row>
    <row r="998" spans="1:13" ht="13.5" customHeight="1" x14ac:dyDescent="0.2">
      <c r="A998" s="106" t="s">
        <v>6856</v>
      </c>
      <c r="B998" s="272" t="s">
        <v>6870</v>
      </c>
      <c r="C998" s="105" t="s">
        <v>6976</v>
      </c>
      <c r="D998" s="149" t="s">
        <v>6981</v>
      </c>
      <c r="E998" s="157">
        <v>1</v>
      </c>
      <c r="F998" s="134">
        <v>80</v>
      </c>
      <c r="G998" s="134">
        <v>100</v>
      </c>
      <c r="H998" s="109">
        <f t="shared" si="46"/>
        <v>100</v>
      </c>
      <c r="I998" s="119"/>
      <c r="J998" s="119"/>
      <c r="K998" s="119">
        <f t="shared" si="47"/>
        <v>100</v>
      </c>
      <c r="L998" s="152">
        <f t="shared" si="48"/>
        <v>80</v>
      </c>
      <c r="M998" s="113"/>
    </row>
    <row r="999" spans="1:13" ht="13.5" customHeight="1" x14ac:dyDescent="0.2">
      <c r="A999" s="106" t="s">
        <v>6856</v>
      </c>
      <c r="B999" s="272" t="s">
        <v>3909</v>
      </c>
      <c r="C999" s="105" t="s">
        <v>6977</v>
      </c>
      <c r="D999" s="149" t="s">
        <v>3911</v>
      </c>
      <c r="E999" s="157">
        <v>1</v>
      </c>
      <c r="F999" s="134">
        <v>7.06</v>
      </c>
      <c r="G999" s="134">
        <v>8.25</v>
      </c>
      <c r="H999" s="109">
        <f t="shared" si="46"/>
        <v>8.25</v>
      </c>
      <c r="I999" s="119"/>
      <c r="J999" s="119"/>
      <c r="K999" s="119">
        <f t="shared" si="47"/>
        <v>8.25</v>
      </c>
      <c r="L999" s="152">
        <f t="shared" si="48"/>
        <v>7.06</v>
      </c>
      <c r="M999" s="113"/>
    </row>
    <row r="1000" spans="1:13" ht="13.5" customHeight="1" x14ac:dyDescent="0.2">
      <c r="A1000" s="106" t="s">
        <v>6856</v>
      </c>
      <c r="B1000" s="272" t="s">
        <v>4567</v>
      </c>
      <c r="C1000" s="105" t="s">
        <v>6978</v>
      </c>
      <c r="D1000" s="149" t="s">
        <v>4672</v>
      </c>
      <c r="E1000" s="157">
        <v>1</v>
      </c>
      <c r="F1000" s="134">
        <v>7.06</v>
      </c>
      <c r="G1000" s="134">
        <v>8.25</v>
      </c>
      <c r="H1000" s="109">
        <f t="shared" si="46"/>
        <v>8.25</v>
      </c>
      <c r="I1000" s="119"/>
      <c r="J1000" s="119"/>
      <c r="K1000" s="119">
        <f t="shared" si="47"/>
        <v>8.25</v>
      </c>
      <c r="L1000" s="152">
        <f t="shared" si="48"/>
        <v>7.06</v>
      </c>
      <c r="M1000" s="113"/>
    </row>
    <row r="1001" spans="1:13" ht="13.5" customHeight="1" x14ac:dyDescent="0.2">
      <c r="A1001" s="106" t="s">
        <v>6856</v>
      </c>
      <c r="B1001" s="272" t="s">
        <v>2100</v>
      </c>
      <c r="C1001" s="105" t="s">
        <v>6979</v>
      </c>
      <c r="D1001" s="149" t="s">
        <v>2101</v>
      </c>
      <c r="E1001" s="157">
        <v>1</v>
      </c>
      <c r="F1001" s="134">
        <v>6.73</v>
      </c>
      <c r="G1001" s="134">
        <v>7.75</v>
      </c>
      <c r="H1001" s="109">
        <f t="shared" si="46"/>
        <v>7.75</v>
      </c>
      <c r="I1001" s="119"/>
      <c r="J1001" s="119"/>
      <c r="K1001" s="119">
        <f t="shared" si="47"/>
        <v>7.75</v>
      </c>
      <c r="L1001" s="152">
        <f t="shared" si="48"/>
        <v>6.73</v>
      </c>
      <c r="M1001" s="113"/>
    </row>
    <row r="1002" spans="1:13" ht="13.5" customHeight="1" x14ac:dyDescent="0.2">
      <c r="A1002" s="106" t="s">
        <v>7000</v>
      </c>
      <c r="B1002" s="272" t="s">
        <v>2240</v>
      </c>
      <c r="C1002" s="105" t="s">
        <v>7007</v>
      </c>
      <c r="D1002" s="149" t="s">
        <v>2241</v>
      </c>
      <c r="E1002" s="157">
        <v>1</v>
      </c>
      <c r="F1002" s="134">
        <v>18.649999999999999</v>
      </c>
      <c r="G1002" s="134">
        <v>21.5</v>
      </c>
      <c r="H1002" s="109">
        <f t="shared" si="46"/>
        <v>21.5</v>
      </c>
      <c r="I1002" s="119"/>
      <c r="J1002" s="119"/>
      <c r="K1002" s="119">
        <f t="shared" si="47"/>
        <v>21.5</v>
      </c>
      <c r="L1002" s="152">
        <f t="shared" si="48"/>
        <v>18.649999999999999</v>
      </c>
      <c r="M1002" s="113"/>
    </row>
    <row r="1003" spans="1:13" ht="13.5" customHeight="1" x14ac:dyDescent="0.2">
      <c r="A1003" s="106" t="s">
        <v>7000</v>
      </c>
      <c r="B1003" s="272" t="s">
        <v>2002</v>
      </c>
      <c r="C1003" s="105" t="s">
        <v>7008</v>
      </c>
      <c r="D1003" s="149" t="s">
        <v>2004</v>
      </c>
      <c r="E1003" s="157">
        <v>1</v>
      </c>
      <c r="F1003" s="134">
        <v>12.56</v>
      </c>
      <c r="G1003" s="134">
        <v>14.25</v>
      </c>
      <c r="H1003" s="109">
        <f t="shared" si="46"/>
        <v>14.25</v>
      </c>
      <c r="I1003" s="119"/>
      <c r="J1003" s="119"/>
      <c r="K1003" s="119">
        <f t="shared" si="47"/>
        <v>14.25</v>
      </c>
      <c r="L1003" s="152">
        <f t="shared" si="48"/>
        <v>12.56</v>
      </c>
      <c r="M1003" s="113"/>
    </row>
    <row r="1004" spans="1:13" ht="13.5" customHeight="1" x14ac:dyDescent="0.2">
      <c r="A1004" s="106" t="s">
        <v>7000</v>
      </c>
      <c r="B1004" s="272" t="s">
        <v>4567</v>
      </c>
      <c r="C1004" s="105" t="s">
        <v>7008</v>
      </c>
      <c r="D1004" s="149" t="s">
        <v>4672</v>
      </c>
      <c r="E1004" s="157">
        <v>1</v>
      </c>
      <c r="F1004" s="134">
        <v>7.06</v>
      </c>
      <c r="G1004" s="134">
        <v>8.25</v>
      </c>
      <c r="H1004" s="109">
        <f t="shared" si="46"/>
        <v>8.25</v>
      </c>
      <c r="I1004" s="119"/>
      <c r="J1004" s="119"/>
      <c r="K1004" s="119">
        <f t="shared" si="47"/>
        <v>8.25</v>
      </c>
      <c r="L1004" s="152">
        <f t="shared" si="48"/>
        <v>7.06</v>
      </c>
      <c r="M1004" s="113"/>
    </row>
    <row r="1005" spans="1:13" ht="13.5" customHeight="1" x14ac:dyDescent="0.2">
      <c r="A1005" s="106" t="s">
        <v>7000</v>
      </c>
      <c r="B1005" s="272" t="s">
        <v>4716</v>
      </c>
      <c r="C1005" s="105" t="s">
        <v>7008</v>
      </c>
      <c r="D1005" s="149" t="s">
        <v>4751</v>
      </c>
      <c r="E1005" s="157">
        <v>10</v>
      </c>
      <c r="F1005" s="134">
        <v>0.81</v>
      </c>
      <c r="G1005" s="134">
        <v>1</v>
      </c>
      <c r="H1005" s="109">
        <f t="shared" si="46"/>
        <v>10</v>
      </c>
      <c r="I1005" s="119"/>
      <c r="J1005" s="119"/>
      <c r="K1005" s="119">
        <f t="shared" si="47"/>
        <v>10</v>
      </c>
      <c r="L1005" s="152">
        <f t="shared" si="48"/>
        <v>8.1000000000000014</v>
      </c>
      <c r="M1005" s="113"/>
    </row>
    <row r="1006" spans="1:13" ht="13.5" customHeight="1" x14ac:dyDescent="0.2">
      <c r="A1006" s="106" t="s">
        <v>7000</v>
      </c>
      <c r="B1006" s="272" t="s">
        <v>1826</v>
      </c>
      <c r="C1006" s="105" t="s">
        <v>7008</v>
      </c>
      <c r="D1006" s="149" t="s">
        <v>1827</v>
      </c>
      <c r="E1006" s="157">
        <v>1</v>
      </c>
      <c r="F1006" s="134">
        <v>90</v>
      </c>
      <c r="G1006" s="134">
        <v>120</v>
      </c>
      <c r="H1006" s="109">
        <f t="shared" si="46"/>
        <v>120</v>
      </c>
      <c r="I1006" s="119"/>
      <c r="J1006" s="119">
        <v>20</v>
      </c>
      <c r="K1006" s="119">
        <f t="shared" si="47"/>
        <v>100</v>
      </c>
      <c r="L1006" s="152">
        <f t="shared" si="48"/>
        <v>90</v>
      </c>
      <c r="M1006" s="113"/>
    </row>
    <row r="1007" spans="1:13" ht="13.5" customHeight="1" x14ac:dyDescent="0.2">
      <c r="A1007" s="106" t="s">
        <v>7000</v>
      </c>
      <c r="B1007" s="272" t="s">
        <v>3935</v>
      </c>
      <c r="C1007" s="105" t="s">
        <v>7009</v>
      </c>
      <c r="D1007" s="149" t="s">
        <v>3937</v>
      </c>
      <c r="E1007" s="157">
        <v>1</v>
      </c>
      <c r="F1007" s="134">
        <v>85.25</v>
      </c>
      <c r="G1007" s="134">
        <v>98.25</v>
      </c>
      <c r="H1007" s="109">
        <f t="shared" si="46"/>
        <v>98.25</v>
      </c>
      <c r="I1007" s="119"/>
      <c r="J1007" s="119"/>
      <c r="K1007" s="119">
        <f t="shared" si="47"/>
        <v>98.25</v>
      </c>
      <c r="L1007" s="152">
        <f t="shared" si="48"/>
        <v>85.25</v>
      </c>
      <c r="M1007" s="113"/>
    </row>
    <row r="1008" spans="1:13" ht="13.5" customHeight="1" x14ac:dyDescent="0.2">
      <c r="A1008" s="106" t="s">
        <v>7000</v>
      </c>
      <c r="B1008" s="272" t="s">
        <v>4760</v>
      </c>
      <c r="C1008" s="105" t="s">
        <v>7009</v>
      </c>
      <c r="D1008" s="149" t="s">
        <v>4787</v>
      </c>
      <c r="E1008" s="157">
        <v>1</v>
      </c>
      <c r="F1008" s="134">
        <v>27.8</v>
      </c>
      <c r="G1008" s="134">
        <v>35</v>
      </c>
      <c r="H1008" s="109">
        <f t="shared" si="46"/>
        <v>35</v>
      </c>
      <c r="I1008" s="119"/>
      <c r="J1008" s="119"/>
      <c r="K1008" s="119">
        <f t="shared" si="47"/>
        <v>35</v>
      </c>
      <c r="L1008" s="152">
        <f t="shared" si="48"/>
        <v>27.8</v>
      </c>
      <c r="M1008" s="113"/>
    </row>
    <row r="1009" spans="1:13" ht="13.5" customHeight="1" x14ac:dyDescent="0.2">
      <c r="A1009" s="106" t="s">
        <v>7000</v>
      </c>
      <c r="B1009" s="272" t="s">
        <v>1826</v>
      </c>
      <c r="C1009" s="105" t="s">
        <v>7010</v>
      </c>
      <c r="D1009" s="149" t="s">
        <v>1827</v>
      </c>
      <c r="E1009" s="157">
        <v>30</v>
      </c>
      <c r="F1009" s="134">
        <v>90</v>
      </c>
      <c r="G1009" s="134">
        <v>120</v>
      </c>
      <c r="H1009" s="109">
        <f t="shared" si="46"/>
        <v>3600</v>
      </c>
      <c r="I1009" s="119"/>
      <c r="J1009" s="119"/>
      <c r="K1009" s="119">
        <f t="shared" si="47"/>
        <v>3600</v>
      </c>
      <c r="L1009" s="152">
        <f t="shared" si="48"/>
        <v>2700</v>
      </c>
      <c r="M1009" s="113"/>
    </row>
    <row r="1010" spans="1:13" ht="13.5" customHeight="1" x14ac:dyDescent="0.2">
      <c r="A1010" s="106" t="s">
        <v>7000</v>
      </c>
      <c r="B1010" s="272" t="s">
        <v>7001</v>
      </c>
      <c r="C1010" s="105" t="s">
        <v>7010</v>
      </c>
      <c r="D1010" s="149" t="s">
        <v>7043</v>
      </c>
      <c r="E1010" s="157">
        <v>15</v>
      </c>
      <c r="F1010" s="134">
        <v>15</v>
      </c>
      <c r="G1010" s="134">
        <v>25</v>
      </c>
      <c r="H1010" s="109">
        <f t="shared" si="46"/>
        <v>375</v>
      </c>
      <c r="I1010" s="119"/>
      <c r="J1010" s="119"/>
      <c r="K1010" s="119">
        <f t="shared" si="47"/>
        <v>375</v>
      </c>
      <c r="L1010" s="152">
        <f t="shared" si="48"/>
        <v>225</v>
      </c>
      <c r="M1010" s="113"/>
    </row>
    <row r="1011" spans="1:13" ht="13.5" customHeight="1" x14ac:dyDescent="0.2">
      <c r="A1011" s="106" t="s">
        <v>7000</v>
      </c>
      <c r="B1011" s="272" t="s">
        <v>1826</v>
      </c>
      <c r="C1011" s="105" t="s">
        <v>7011</v>
      </c>
      <c r="D1011" s="149" t="s">
        <v>1827</v>
      </c>
      <c r="E1011" s="157">
        <v>2</v>
      </c>
      <c r="F1011" s="134">
        <v>90</v>
      </c>
      <c r="G1011" s="134">
        <v>120</v>
      </c>
      <c r="H1011" s="109">
        <f t="shared" si="46"/>
        <v>240</v>
      </c>
      <c r="I1011" s="119"/>
      <c r="J1011" s="119"/>
      <c r="K1011" s="119">
        <f t="shared" si="47"/>
        <v>240</v>
      </c>
      <c r="L1011" s="152">
        <f t="shared" si="48"/>
        <v>180</v>
      </c>
      <c r="M1011" s="113"/>
    </row>
    <row r="1012" spans="1:13" ht="13.5" customHeight="1" x14ac:dyDescent="0.2">
      <c r="A1012" s="106" t="s">
        <v>7000</v>
      </c>
      <c r="B1012" s="272" t="s">
        <v>6771</v>
      </c>
      <c r="C1012" s="105" t="s">
        <v>7011</v>
      </c>
      <c r="D1012" s="149" t="s">
        <v>6821</v>
      </c>
      <c r="E1012" s="157">
        <v>2</v>
      </c>
      <c r="F1012" s="134">
        <v>70</v>
      </c>
      <c r="G1012" s="134">
        <v>85</v>
      </c>
      <c r="H1012" s="109">
        <f t="shared" si="46"/>
        <v>170</v>
      </c>
      <c r="I1012" s="119"/>
      <c r="J1012" s="119"/>
      <c r="K1012" s="119">
        <f t="shared" si="47"/>
        <v>170</v>
      </c>
      <c r="L1012" s="152">
        <f t="shared" si="48"/>
        <v>140</v>
      </c>
      <c r="M1012" s="113"/>
    </row>
    <row r="1013" spans="1:13" ht="13.5" customHeight="1" x14ac:dyDescent="0.2">
      <c r="A1013" s="106" t="s">
        <v>7000</v>
      </c>
      <c r="B1013" s="272" t="s">
        <v>3730</v>
      </c>
      <c r="C1013" s="105" t="s">
        <v>7011</v>
      </c>
      <c r="D1013" s="149" t="s">
        <v>7044</v>
      </c>
      <c r="E1013" s="157">
        <v>2</v>
      </c>
      <c r="F1013" s="134">
        <v>100</v>
      </c>
      <c r="G1013" s="134">
        <v>150</v>
      </c>
      <c r="H1013" s="109">
        <f t="shared" si="46"/>
        <v>300</v>
      </c>
      <c r="I1013" s="119"/>
      <c r="J1013" s="119"/>
      <c r="K1013" s="119">
        <f t="shared" si="47"/>
        <v>300</v>
      </c>
      <c r="L1013" s="152">
        <f t="shared" si="48"/>
        <v>200</v>
      </c>
      <c r="M1013" s="113"/>
    </row>
    <row r="1014" spans="1:13" ht="13.5" customHeight="1" x14ac:dyDescent="0.2">
      <c r="A1014" s="106" t="s">
        <v>7000</v>
      </c>
      <c r="B1014" s="272" t="s">
        <v>6870</v>
      </c>
      <c r="C1014" s="105" t="s">
        <v>7011</v>
      </c>
      <c r="D1014" s="149" t="s">
        <v>6981</v>
      </c>
      <c r="E1014" s="157">
        <v>2</v>
      </c>
      <c r="F1014" s="134">
        <v>80</v>
      </c>
      <c r="G1014" s="134">
        <v>100</v>
      </c>
      <c r="H1014" s="109">
        <f t="shared" si="46"/>
        <v>200</v>
      </c>
      <c r="I1014" s="119"/>
      <c r="J1014" s="119"/>
      <c r="K1014" s="119">
        <f t="shared" si="47"/>
        <v>200</v>
      </c>
      <c r="L1014" s="152">
        <f t="shared" si="48"/>
        <v>160</v>
      </c>
      <c r="M1014" s="113"/>
    </row>
    <row r="1015" spans="1:13" ht="13.5" customHeight="1" x14ac:dyDescent="0.2">
      <c r="A1015" s="106" t="s">
        <v>7000</v>
      </c>
      <c r="B1015" s="272" t="s">
        <v>6364</v>
      </c>
      <c r="C1015" s="105" t="s">
        <v>7011</v>
      </c>
      <c r="D1015" s="149" t="s">
        <v>7045</v>
      </c>
      <c r="E1015" s="157">
        <v>2</v>
      </c>
      <c r="F1015" s="134">
        <v>95</v>
      </c>
      <c r="G1015" s="134">
        <v>130</v>
      </c>
      <c r="H1015" s="109">
        <f t="shared" si="46"/>
        <v>260</v>
      </c>
      <c r="I1015" s="119"/>
      <c r="J1015" s="119"/>
      <c r="K1015" s="119">
        <f t="shared" si="47"/>
        <v>260</v>
      </c>
      <c r="L1015" s="152">
        <f t="shared" si="48"/>
        <v>190</v>
      </c>
      <c r="M1015" s="113"/>
    </row>
    <row r="1016" spans="1:13" ht="13.5" customHeight="1" x14ac:dyDescent="0.2">
      <c r="A1016" s="106" t="s">
        <v>7000</v>
      </c>
      <c r="B1016" s="272" t="s">
        <v>5591</v>
      </c>
      <c r="C1016" s="105" t="s">
        <v>7012</v>
      </c>
      <c r="D1016" s="149" t="s">
        <v>5636</v>
      </c>
      <c r="E1016" s="157">
        <v>1</v>
      </c>
      <c r="F1016" s="134">
        <v>5.85</v>
      </c>
      <c r="G1016" s="134">
        <v>7</v>
      </c>
      <c r="H1016" s="109">
        <f t="shared" si="46"/>
        <v>7</v>
      </c>
      <c r="I1016" s="119"/>
      <c r="J1016" s="119"/>
      <c r="K1016" s="119">
        <f t="shared" si="47"/>
        <v>7</v>
      </c>
      <c r="L1016" s="152">
        <f t="shared" si="48"/>
        <v>5.85</v>
      </c>
      <c r="M1016" s="113"/>
    </row>
    <row r="1017" spans="1:13" ht="13.5" customHeight="1" x14ac:dyDescent="0.2">
      <c r="A1017" s="106" t="s">
        <v>7000</v>
      </c>
      <c r="B1017" s="272" t="s">
        <v>3309</v>
      </c>
      <c r="C1017" s="105" t="s">
        <v>7013</v>
      </c>
      <c r="D1017" s="149" t="s">
        <v>3310</v>
      </c>
      <c r="E1017" s="157">
        <v>1</v>
      </c>
      <c r="F1017" s="134">
        <v>50.8</v>
      </c>
      <c r="G1017" s="134">
        <v>58.5</v>
      </c>
      <c r="H1017" s="109">
        <f t="shared" si="46"/>
        <v>58.5</v>
      </c>
      <c r="I1017" s="119"/>
      <c r="J1017" s="119"/>
      <c r="K1017" s="119">
        <f t="shared" si="47"/>
        <v>58.5</v>
      </c>
      <c r="L1017" s="152">
        <f t="shared" si="48"/>
        <v>50.8</v>
      </c>
      <c r="M1017" s="113"/>
    </row>
    <row r="1018" spans="1:13" ht="13.5" customHeight="1" x14ac:dyDescent="0.2">
      <c r="A1018" s="106" t="s">
        <v>7000</v>
      </c>
      <c r="B1018" s="272" t="s">
        <v>2173</v>
      </c>
      <c r="C1018" s="105" t="s">
        <v>7013</v>
      </c>
      <c r="D1018" s="149" t="s">
        <v>2175</v>
      </c>
      <c r="E1018" s="157">
        <v>1</v>
      </c>
      <c r="F1018" s="134">
        <v>140</v>
      </c>
      <c r="G1018" s="134">
        <v>161</v>
      </c>
      <c r="H1018" s="109">
        <f t="shared" si="46"/>
        <v>161</v>
      </c>
      <c r="I1018" s="119"/>
      <c r="J1018" s="119"/>
      <c r="K1018" s="119">
        <f t="shared" si="47"/>
        <v>161</v>
      </c>
      <c r="L1018" s="152">
        <f t="shared" si="48"/>
        <v>140</v>
      </c>
      <c r="M1018" s="113"/>
    </row>
    <row r="1019" spans="1:13" ht="13.5" customHeight="1" x14ac:dyDescent="0.2">
      <c r="A1019" s="106" t="s">
        <v>7000</v>
      </c>
      <c r="B1019" s="272" t="s">
        <v>2809</v>
      </c>
      <c r="C1019" s="105" t="s">
        <v>7013</v>
      </c>
      <c r="D1019" s="149" t="s">
        <v>2810</v>
      </c>
      <c r="E1019" s="157">
        <v>1</v>
      </c>
      <c r="F1019" s="134">
        <v>53.81</v>
      </c>
      <c r="G1019" s="134">
        <v>62</v>
      </c>
      <c r="H1019" s="109">
        <f t="shared" si="46"/>
        <v>62</v>
      </c>
      <c r="I1019" s="119"/>
      <c r="J1019" s="119"/>
      <c r="K1019" s="119">
        <f t="shared" si="47"/>
        <v>62</v>
      </c>
      <c r="L1019" s="152">
        <f t="shared" si="48"/>
        <v>53.81</v>
      </c>
      <c r="M1019" s="113"/>
    </row>
    <row r="1020" spans="1:13" ht="13.5" customHeight="1" x14ac:dyDescent="0.2">
      <c r="A1020" s="106" t="s">
        <v>7000</v>
      </c>
      <c r="B1020" s="272" t="s">
        <v>3482</v>
      </c>
      <c r="C1020" s="105" t="s">
        <v>7013</v>
      </c>
      <c r="D1020" s="149" t="s">
        <v>3484</v>
      </c>
      <c r="E1020" s="157">
        <v>1</v>
      </c>
      <c r="F1020" s="134">
        <v>57.1</v>
      </c>
      <c r="G1020" s="134">
        <v>69</v>
      </c>
      <c r="H1020" s="109">
        <f t="shared" si="46"/>
        <v>69</v>
      </c>
      <c r="I1020" s="119"/>
      <c r="J1020" s="119"/>
      <c r="K1020" s="119">
        <f t="shared" si="47"/>
        <v>69</v>
      </c>
      <c r="L1020" s="152">
        <f t="shared" si="48"/>
        <v>57.1</v>
      </c>
      <c r="M1020" s="113"/>
    </row>
    <row r="1021" spans="1:13" ht="13.5" customHeight="1" x14ac:dyDescent="0.2">
      <c r="A1021" s="106" t="s">
        <v>7000</v>
      </c>
      <c r="B1021" s="272" t="s">
        <v>2702</v>
      </c>
      <c r="C1021" s="105" t="s">
        <v>7013</v>
      </c>
      <c r="D1021" s="149" t="s">
        <v>2703</v>
      </c>
      <c r="E1021" s="157">
        <v>1</v>
      </c>
      <c r="F1021" s="134">
        <v>51.5</v>
      </c>
      <c r="G1021" s="134">
        <v>59.25</v>
      </c>
      <c r="H1021" s="109">
        <f t="shared" si="46"/>
        <v>59.25</v>
      </c>
      <c r="I1021" s="119"/>
      <c r="J1021" s="119"/>
      <c r="K1021" s="119">
        <f t="shared" si="47"/>
        <v>59.25</v>
      </c>
      <c r="L1021" s="152">
        <f t="shared" si="48"/>
        <v>51.5</v>
      </c>
      <c r="M1021" s="113"/>
    </row>
    <row r="1022" spans="1:13" ht="13.5" customHeight="1" x14ac:dyDescent="0.2">
      <c r="A1022" s="106" t="s">
        <v>7000</v>
      </c>
      <c r="B1022" s="272" t="s">
        <v>2581</v>
      </c>
      <c r="C1022" s="105" t="s">
        <v>7013</v>
      </c>
      <c r="D1022" s="149" t="s">
        <v>2583</v>
      </c>
      <c r="E1022" s="157">
        <v>2</v>
      </c>
      <c r="F1022" s="134">
        <v>6.12</v>
      </c>
      <c r="G1022" s="134">
        <v>7.25</v>
      </c>
      <c r="H1022" s="109">
        <f t="shared" si="46"/>
        <v>14.5</v>
      </c>
      <c r="I1022" s="119"/>
      <c r="J1022" s="119"/>
      <c r="K1022" s="119">
        <f t="shared" si="47"/>
        <v>14.5</v>
      </c>
      <c r="L1022" s="152">
        <f t="shared" si="48"/>
        <v>12.24</v>
      </c>
      <c r="M1022" s="113"/>
    </row>
    <row r="1023" spans="1:13" ht="13.5" customHeight="1" x14ac:dyDescent="0.2">
      <c r="A1023" s="106" t="s">
        <v>7000</v>
      </c>
      <c r="B1023" s="272" t="s">
        <v>7002</v>
      </c>
      <c r="C1023" s="105" t="s">
        <v>7014</v>
      </c>
      <c r="D1023" s="149" t="s">
        <v>7046</v>
      </c>
      <c r="E1023" s="157">
        <v>1</v>
      </c>
      <c r="F1023" s="134">
        <v>400</v>
      </c>
      <c r="G1023" s="134">
        <v>500</v>
      </c>
      <c r="H1023" s="109">
        <f t="shared" si="46"/>
        <v>500</v>
      </c>
      <c r="I1023" s="119"/>
      <c r="J1023" s="119"/>
      <c r="K1023" s="119">
        <f t="shared" si="47"/>
        <v>500</v>
      </c>
      <c r="L1023" s="152">
        <f t="shared" si="48"/>
        <v>400</v>
      </c>
      <c r="M1023" s="113"/>
    </row>
    <row r="1024" spans="1:13" ht="13.5" customHeight="1" x14ac:dyDescent="0.2">
      <c r="A1024" s="106" t="s">
        <v>7000</v>
      </c>
      <c r="B1024" s="272" t="s">
        <v>6772</v>
      </c>
      <c r="C1024" s="105" t="s">
        <v>7014</v>
      </c>
      <c r="D1024" s="149" t="s">
        <v>6822</v>
      </c>
      <c r="E1024" s="157">
        <v>6</v>
      </c>
      <c r="F1024" s="134">
        <v>50</v>
      </c>
      <c r="G1024" s="134">
        <v>70</v>
      </c>
      <c r="H1024" s="109">
        <f t="shared" si="46"/>
        <v>420</v>
      </c>
      <c r="I1024" s="119"/>
      <c r="J1024" s="119"/>
      <c r="K1024" s="119">
        <f t="shared" si="47"/>
        <v>420</v>
      </c>
      <c r="L1024" s="152">
        <f t="shared" si="48"/>
        <v>300</v>
      </c>
      <c r="M1024" s="113"/>
    </row>
    <row r="1025" spans="1:13" ht="13.5" customHeight="1" x14ac:dyDescent="0.2">
      <c r="A1025" s="106" t="s">
        <v>7000</v>
      </c>
      <c r="B1025" s="272" t="s">
        <v>7003</v>
      </c>
      <c r="C1025" s="105" t="s">
        <v>7014</v>
      </c>
      <c r="D1025" s="149" t="s">
        <v>7047</v>
      </c>
      <c r="E1025" s="157">
        <v>3</v>
      </c>
      <c r="F1025" s="134">
        <v>65</v>
      </c>
      <c r="G1025" s="134">
        <v>80</v>
      </c>
      <c r="H1025" s="109">
        <f t="shared" si="46"/>
        <v>240</v>
      </c>
      <c r="I1025" s="119"/>
      <c r="J1025" s="119"/>
      <c r="K1025" s="119">
        <f t="shared" si="47"/>
        <v>240</v>
      </c>
      <c r="L1025" s="152">
        <f t="shared" si="48"/>
        <v>195</v>
      </c>
      <c r="M1025" s="113"/>
    </row>
    <row r="1026" spans="1:13" ht="13.5" customHeight="1" x14ac:dyDescent="0.2">
      <c r="A1026" s="106" t="s">
        <v>7000</v>
      </c>
      <c r="B1026" s="272" t="s">
        <v>1997</v>
      </c>
      <c r="C1026" s="105" t="s">
        <v>7015</v>
      </c>
      <c r="D1026" s="149" t="s">
        <v>1999</v>
      </c>
      <c r="E1026" s="157">
        <v>2</v>
      </c>
      <c r="F1026" s="134">
        <v>4.4800000000000004</v>
      </c>
      <c r="G1026" s="134">
        <v>5.25</v>
      </c>
      <c r="H1026" s="109">
        <f t="shared" si="46"/>
        <v>10.5</v>
      </c>
      <c r="I1026" s="119"/>
      <c r="J1026" s="119"/>
      <c r="K1026" s="119">
        <f t="shared" si="47"/>
        <v>10.5</v>
      </c>
      <c r="L1026" s="152">
        <f t="shared" si="48"/>
        <v>8.9600000000000009</v>
      </c>
      <c r="M1026" s="113"/>
    </row>
    <row r="1027" spans="1:13" ht="13.5" customHeight="1" x14ac:dyDescent="0.2">
      <c r="A1027" s="106" t="s">
        <v>7000</v>
      </c>
      <c r="B1027" s="272" t="s">
        <v>1920</v>
      </c>
      <c r="C1027" s="105" t="s">
        <v>7016</v>
      </c>
      <c r="D1027" s="149" t="s">
        <v>1921</v>
      </c>
      <c r="E1027" s="157">
        <v>1</v>
      </c>
      <c r="F1027" s="134">
        <v>13.32</v>
      </c>
      <c r="G1027" s="134">
        <v>15.5</v>
      </c>
      <c r="H1027" s="109">
        <f t="shared" si="46"/>
        <v>15.5</v>
      </c>
      <c r="I1027" s="119"/>
      <c r="J1027" s="119"/>
      <c r="K1027" s="119">
        <f t="shared" si="47"/>
        <v>15.5</v>
      </c>
      <c r="L1027" s="152">
        <f t="shared" si="48"/>
        <v>13.32</v>
      </c>
      <c r="M1027" s="113"/>
    </row>
    <row r="1028" spans="1:13" ht="13.5" customHeight="1" x14ac:dyDescent="0.2">
      <c r="A1028" s="106" t="s">
        <v>7000</v>
      </c>
      <c r="B1028" s="272" t="s">
        <v>2268</v>
      </c>
      <c r="C1028" s="105" t="s">
        <v>7017</v>
      </c>
      <c r="D1028" s="149" t="s">
        <v>2269</v>
      </c>
      <c r="E1028" s="157">
        <v>1</v>
      </c>
      <c r="F1028" s="134">
        <v>12.69</v>
      </c>
      <c r="G1028" s="134">
        <v>14.75</v>
      </c>
      <c r="H1028" s="109">
        <f t="shared" si="46"/>
        <v>14.75</v>
      </c>
      <c r="I1028" s="119"/>
      <c r="J1028" s="119"/>
      <c r="K1028" s="119">
        <f t="shared" si="47"/>
        <v>14.75</v>
      </c>
      <c r="L1028" s="152">
        <f t="shared" si="48"/>
        <v>12.69</v>
      </c>
      <c r="M1028" s="113"/>
    </row>
    <row r="1029" spans="1:13" ht="13.5" customHeight="1" x14ac:dyDescent="0.2">
      <c r="A1029" s="106" t="s">
        <v>7000</v>
      </c>
      <c r="B1029" s="272" t="s">
        <v>2727</v>
      </c>
      <c r="C1029" s="105" t="s">
        <v>7017</v>
      </c>
      <c r="D1029" s="149" t="s">
        <v>2729</v>
      </c>
      <c r="E1029" s="157">
        <v>1</v>
      </c>
      <c r="F1029" s="134">
        <v>7.75</v>
      </c>
      <c r="G1029" s="134">
        <v>9</v>
      </c>
      <c r="H1029" s="109">
        <f t="shared" si="46"/>
        <v>9</v>
      </c>
      <c r="I1029" s="119"/>
      <c r="J1029" s="119"/>
      <c r="K1029" s="119">
        <f t="shared" si="47"/>
        <v>9</v>
      </c>
      <c r="L1029" s="152">
        <f t="shared" si="48"/>
        <v>7.75</v>
      </c>
      <c r="M1029" s="113"/>
    </row>
    <row r="1030" spans="1:13" ht="13.5" customHeight="1" x14ac:dyDescent="0.2">
      <c r="A1030" s="106" t="s">
        <v>7000</v>
      </c>
      <c r="B1030" s="272" t="s">
        <v>5247</v>
      </c>
      <c r="C1030" s="105" t="s">
        <v>7018</v>
      </c>
      <c r="D1030" s="149" t="s">
        <v>5407</v>
      </c>
      <c r="E1030" s="157">
        <v>1</v>
      </c>
      <c r="F1030" s="134">
        <v>32.909999999999997</v>
      </c>
      <c r="G1030" s="134">
        <v>38</v>
      </c>
      <c r="H1030" s="109">
        <f t="shared" ref="H1030:H1093" si="49">E1030*G1030</f>
        <v>38</v>
      </c>
      <c r="I1030" s="119"/>
      <c r="J1030" s="119"/>
      <c r="K1030" s="119">
        <f t="shared" si="47"/>
        <v>38</v>
      </c>
      <c r="L1030" s="152">
        <f t="shared" si="48"/>
        <v>32.909999999999997</v>
      </c>
      <c r="M1030" s="113"/>
    </row>
    <row r="1031" spans="1:13" ht="13.5" customHeight="1" x14ac:dyDescent="0.2">
      <c r="A1031" s="106" t="s">
        <v>7000</v>
      </c>
      <c r="B1031" s="272" t="s">
        <v>5500</v>
      </c>
      <c r="C1031" s="105" t="s">
        <v>7019</v>
      </c>
      <c r="D1031" s="149" t="s">
        <v>5576</v>
      </c>
      <c r="E1031" s="157">
        <v>1</v>
      </c>
      <c r="F1031" s="134">
        <v>65.77</v>
      </c>
      <c r="G1031" s="134">
        <v>75.75</v>
      </c>
      <c r="H1031" s="109">
        <f t="shared" si="49"/>
        <v>75.75</v>
      </c>
      <c r="I1031" s="119"/>
      <c r="J1031" s="119"/>
      <c r="K1031" s="119">
        <f t="shared" si="47"/>
        <v>75.75</v>
      </c>
      <c r="L1031" s="152">
        <f t="shared" si="48"/>
        <v>65.77</v>
      </c>
      <c r="M1031" s="113"/>
    </row>
    <row r="1032" spans="1:13" ht="13.5" customHeight="1" x14ac:dyDescent="0.2">
      <c r="A1032" s="106" t="s">
        <v>7000</v>
      </c>
      <c r="B1032" s="272" t="s">
        <v>1933</v>
      </c>
      <c r="C1032" s="105" t="s">
        <v>7020</v>
      </c>
      <c r="D1032" s="149" t="s">
        <v>1934</v>
      </c>
      <c r="E1032" s="157">
        <v>1</v>
      </c>
      <c r="F1032" s="134">
        <v>3.6</v>
      </c>
      <c r="G1032" s="134">
        <v>4.25</v>
      </c>
      <c r="H1032" s="109">
        <f t="shared" si="49"/>
        <v>4.25</v>
      </c>
      <c r="I1032" s="119"/>
      <c r="J1032" s="119"/>
      <c r="K1032" s="119">
        <f t="shared" ref="K1032:K1095" si="50">H1032+I1032-J1032</f>
        <v>4.25</v>
      </c>
      <c r="L1032" s="152">
        <f t="shared" ref="L1032:L1095" si="51">E1032*F1032</f>
        <v>3.6</v>
      </c>
      <c r="M1032" s="113"/>
    </row>
    <row r="1033" spans="1:13" ht="13.5" customHeight="1" x14ac:dyDescent="0.2">
      <c r="A1033" s="106" t="s">
        <v>7000</v>
      </c>
      <c r="B1033" s="272" t="s">
        <v>5415</v>
      </c>
      <c r="C1033" s="105" t="s">
        <v>7021</v>
      </c>
      <c r="D1033" s="149" t="s">
        <v>5466</v>
      </c>
      <c r="E1033" s="157">
        <v>2</v>
      </c>
      <c r="F1033" s="134">
        <v>3.7</v>
      </c>
      <c r="G1033" s="134">
        <v>5</v>
      </c>
      <c r="H1033" s="109">
        <f t="shared" si="49"/>
        <v>10</v>
      </c>
      <c r="I1033" s="119"/>
      <c r="J1033" s="119"/>
      <c r="K1033" s="119">
        <f t="shared" si="50"/>
        <v>10</v>
      </c>
      <c r="L1033" s="152">
        <f t="shared" si="51"/>
        <v>7.4</v>
      </c>
      <c r="M1033" s="113"/>
    </row>
    <row r="1034" spans="1:13" ht="13.5" customHeight="1" x14ac:dyDescent="0.2">
      <c r="A1034" s="106" t="s">
        <v>7000</v>
      </c>
      <c r="B1034" s="272" t="s">
        <v>2872</v>
      </c>
      <c r="C1034" s="105" t="s">
        <v>7022</v>
      </c>
      <c r="D1034" s="149" t="s">
        <v>2873</v>
      </c>
      <c r="E1034" s="157">
        <v>2</v>
      </c>
      <c r="F1034" s="134">
        <v>4.4800000000000004</v>
      </c>
      <c r="G1034" s="134">
        <v>5.25</v>
      </c>
      <c r="H1034" s="109">
        <f t="shared" si="49"/>
        <v>10.5</v>
      </c>
      <c r="I1034" s="119"/>
      <c r="J1034" s="119"/>
      <c r="K1034" s="119">
        <f t="shared" si="50"/>
        <v>10.5</v>
      </c>
      <c r="L1034" s="152">
        <f t="shared" si="51"/>
        <v>8.9600000000000009</v>
      </c>
      <c r="M1034" s="113"/>
    </row>
    <row r="1035" spans="1:13" ht="13.5" customHeight="1" x14ac:dyDescent="0.2">
      <c r="A1035" s="106" t="s">
        <v>7000</v>
      </c>
      <c r="B1035" s="272" t="s">
        <v>1924</v>
      </c>
      <c r="C1035" s="105" t="s">
        <v>7022</v>
      </c>
      <c r="D1035" s="149" t="s">
        <v>1926</v>
      </c>
      <c r="E1035" s="157">
        <v>2</v>
      </c>
      <c r="F1035" s="134">
        <v>10.64</v>
      </c>
      <c r="G1035" s="134">
        <v>12.25</v>
      </c>
      <c r="H1035" s="109">
        <f t="shared" si="49"/>
        <v>24.5</v>
      </c>
      <c r="I1035" s="119"/>
      <c r="J1035" s="119"/>
      <c r="K1035" s="119">
        <f t="shared" si="50"/>
        <v>24.5</v>
      </c>
      <c r="L1035" s="152">
        <f t="shared" si="51"/>
        <v>21.28</v>
      </c>
      <c r="M1035" s="113"/>
    </row>
    <row r="1036" spans="1:13" ht="13.5" customHeight="1" x14ac:dyDescent="0.2">
      <c r="A1036" s="106" t="s">
        <v>7000</v>
      </c>
      <c r="B1036" s="272" t="s">
        <v>2237</v>
      </c>
      <c r="C1036" s="105" t="s">
        <v>7022</v>
      </c>
      <c r="D1036" s="149" t="s">
        <v>2239</v>
      </c>
      <c r="E1036" s="157">
        <v>2</v>
      </c>
      <c r="F1036" s="134">
        <v>13.32</v>
      </c>
      <c r="G1036" s="134">
        <v>15.5</v>
      </c>
      <c r="H1036" s="109">
        <f t="shared" si="49"/>
        <v>31</v>
      </c>
      <c r="I1036" s="119"/>
      <c r="J1036" s="119"/>
      <c r="K1036" s="119">
        <f t="shared" si="50"/>
        <v>31</v>
      </c>
      <c r="L1036" s="152">
        <f t="shared" si="51"/>
        <v>26.64</v>
      </c>
      <c r="M1036" s="113"/>
    </row>
    <row r="1037" spans="1:13" ht="13.5" customHeight="1" x14ac:dyDescent="0.2">
      <c r="A1037" s="106" t="s">
        <v>7000</v>
      </c>
      <c r="B1037" s="272" t="s">
        <v>7004</v>
      </c>
      <c r="C1037" s="105" t="s">
        <v>7023</v>
      </c>
      <c r="D1037" s="149" t="s">
        <v>7048</v>
      </c>
      <c r="E1037" s="157">
        <v>1</v>
      </c>
      <c r="F1037" s="134">
        <v>333.8</v>
      </c>
      <c r="G1037" s="134">
        <v>384</v>
      </c>
      <c r="H1037" s="109">
        <f t="shared" si="49"/>
        <v>384</v>
      </c>
      <c r="I1037" s="119"/>
      <c r="J1037" s="119"/>
      <c r="K1037" s="119">
        <f t="shared" si="50"/>
        <v>384</v>
      </c>
      <c r="L1037" s="152">
        <f t="shared" si="51"/>
        <v>333.8</v>
      </c>
      <c r="M1037" s="113"/>
    </row>
    <row r="1038" spans="1:13" ht="13.5" customHeight="1" x14ac:dyDescent="0.2">
      <c r="A1038" s="106" t="s">
        <v>7000</v>
      </c>
      <c r="B1038" s="272" t="s">
        <v>2884</v>
      </c>
      <c r="C1038" s="105" t="s">
        <v>7023</v>
      </c>
      <c r="D1038" s="149" t="s">
        <v>2886</v>
      </c>
      <c r="E1038" s="157">
        <v>2</v>
      </c>
      <c r="F1038" s="134">
        <v>251.67</v>
      </c>
      <c r="G1038" s="134">
        <v>362.75</v>
      </c>
      <c r="H1038" s="109">
        <f t="shared" si="49"/>
        <v>725.5</v>
      </c>
      <c r="I1038" s="119"/>
      <c r="J1038" s="119"/>
      <c r="K1038" s="119">
        <f t="shared" si="50"/>
        <v>725.5</v>
      </c>
      <c r="L1038" s="152">
        <f t="shared" si="51"/>
        <v>503.34</v>
      </c>
      <c r="M1038" s="113"/>
    </row>
    <row r="1039" spans="1:13" ht="13.5" customHeight="1" x14ac:dyDescent="0.2">
      <c r="A1039" s="106" t="s">
        <v>7000</v>
      </c>
      <c r="B1039" s="272" t="s">
        <v>2773</v>
      </c>
      <c r="C1039" s="105" t="s">
        <v>7024</v>
      </c>
      <c r="D1039" s="149" t="s">
        <v>2774</v>
      </c>
      <c r="E1039" s="157">
        <v>1</v>
      </c>
      <c r="F1039" s="134">
        <v>28.2</v>
      </c>
      <c r="G1039" s="134">
        <v>32.5</v>
      </c>
      <c r="H1039" s="109">
        <f t="shared" si="49"/>
        <v>32.5</v>
      </c>
      <c r="I1039" s="119"/>
      <c r="J1039" s="119"/>
      <c r="K1039" s="119">
        <f t="shared" si="50"/>
        <v>32.5</v>
      </c>
      <c r="L1039" s="152">
        <f t="shared" si="51"/>
        <v>28.2</v>
      </c>
      <c r="M1039" s="113"/>
    </row>
    <row r="1040" spans="1:13" ht="13.5" customHeight="1" x14ac:dyDescent="0.2">
      <c r="A1040" s="106" t="s">
        <v>7000</v>
      </c>
      <c r="B1040" s="272" t="s">
        <v>2338</v>
      </c>
      <c r="C1040" s="105" t="s">
        <v>7024</v>
      </c>
      <c r="D1040" s="149" t="s">
        <v>2339</v>
      </c>
      <c r="E1040" s="157">
        <v>1</v>
      </c>
      <c r="F1040" s="134">
        <v>31.6</v>
      </c>
      <c r="G1040" s="134">
        <v>36.33</v>
      </c>
      <c r="H1040" s="109">
        <f t="shared" si="49"/>
        <v>36.33</v>
      </c>
      <c r="I1040" s="119"/>
      <c r="J1040" s="119"/>
      <c r="K1040" s="119">
        <f t="shared" si="50"/>
        <v>36.33</v>
      </c>
      <c r="L1040" s="152">
        <f t="shared" si="51"/>
        <v>31.6</v>
      </c>
      <c r="M1040" s="113"/>
    </row>
    <row r="1041" spans="1:13" ht="13.5" customHeight="1" x14ac:dyDescent="0.2">
      <c r="A1041" s="106" t="s">
        <v>6990</v>
      </c>
      <c r="B1041" s="272" t="s">
        <v>6353</v>
      </c>
      <c r="C1041" s="105" t="s">
        <v>7025</v>
      </c>
      <c r="D1041" s="149" t="s">
        <v>6694</v>
      </c>
      <c r="E1041" s="157">
        <v>1</v>
      </c>
      <c r="F1041" s="134">
        <v>16.59</v>
      </c>
      <c r="G1041" s="134">
        <v>19.25</v>
      </c>
      <c r="H1041" s="109">
        <f t="shared" si="49"/>
        <v>19.25</v>
      </c>
      <c r="I1041" s="119"/>
      <c r="J1041" s="119"/>
      <c r="K1041" s="119">
        <f t="shared" si="50"/>
        <v>19.25</v>
      </c>
      <c r="L1041" s="152">
        <f t="shared" si="51"/>
        <v>16.59</v>
      </c>
      <c r="M1041" s="113"/>
    </row>
    <row r="1042" spans="1:13" ht="13.5" customHeight="1" x14ac:dyDescent="0.2">
      <c r="A1042" s="106" t="s">
        <v>6990</v>
      </c>
      <c r="B1042" s="272" t="s">
        <v>2002</v>
      </c>
      <c r="C1042" s="105" t="s">
        <v>7026</v>
      </c>
      <c r="D1042" s="149" t="s">
        <v>2004</v>
      </c>
      <c r="E1042" s="157">
        <v>1</v>
      </c>
      <c r="F1042" s="134">
        <v>12.56</v>
      </c>
      <c r="G1042" s="134">
        <v>14.25</v>
      </c>
      <c r="H1042" s="109">
        <f t="shared" si="49"/>
        <v>14.25</v>
      </c>
      <c r="I1042" s="119"/>
      <c r="J1042" s="119"/>
      <c r="K1042" s="119">
        <f t="shared" si="50"/>
        <v>14.25</v>
      </c>
      <c r="L1042" s="152">
        <f t="shared" si="51"/>
        <v>12.56</v>
      </c>
      <c r="M1042" s="113"/>
    </row>
    <row r="1043" spans="1:13" ht="13.5" customHeight="1" x14ac:dyDescent="0.2">
      <c r="A1043" s="106" t="s">
        <v>6990</v>
      </c>
      <c r="B1043" s="272" t="s">
        <v>6870</v>
      </c>
      <c r="C1043" s="105" t="s">
        <v>7027</v>
      </c>
      <c r="D1043" s="149" t="s">
        <v>6981</v>
      </c>
      <c r="E1043" s="157">
        <v>1</v>
      </c>
      <c r="F1043" s="134">
        <v>80</v>
      </c>
      <c r="G1043" s="134">
        <v>100</v>
      </c>
      <c r="H1043" s="109">
        <f t="shared" si="49"/>
        <v>100</v>
      </c>
      <c r="I1043" s="119"/>
      <c r="J1043" s="119"/>
      <c r="K1043" s="119">
        <f t="shared" si="50"/>
        <v>100</v>
      </c>
      <c r="L1043" s="152">
        <f t="shared" si="51"/>
        <v>80</v>
      </c>
      <c r="M1043" s="113"/>
    </row>
    <row r="1044" spans="1:13" ht="13.5" customHeight="1" x14ac:dyDescent="0.2">
      <c r="A1044" s="106" t="s">
        <v>6990</v>
      </c>
      <c r="B1044" s="272" t="s">
        <v>4716</v>
      </c>
      <c r="C1044" s="105" t="s">
        <v>7028</v>
      </c>
      <c r="D1044" s="149" t="s">
        <v>4751</v>
      </c>
      <c r="E1044" s="157">
        <v>7</v>
      </c>
      <c r="F1044" s="134">
        <v>0.81</v>
      </c>
      <c r="G1044" s="134">
        <v>1</v>
      </c>
      <c r="H1044" s="109">
        <f t="shared" si="49"/>
        <v>7</v>
      </c>
      <c r="I1044" s="119"/>
      <c r="J1044" s="119"/>
      <c r="K1044" s="119">
        <f t="shared" si="50"/>
        <v>7</v>
      </c>
      <c r="L1044" s="152">
        <f t="shared" si="51"/>
        <v>5.67</v>
      </c>
      <c r="M1044" s="113"/>
    </row>
    <row r="1045" spans="1:13" x14ac:dyDescent="0.2">
      <c r="A1045" s="106" t="s">
        <v>6990</v>
      </c>
      <c r="B1045" s="272" t="s">
        <v>1826</v>
      </c>
      <c r="C1045" s="105" t="s">
        <v>7028</v>
      </c>
      <c r="D1045" s="149" t="s">
        <v>1827</v>
      </c>
      <c r="E1045" s="157">
        <v>1</v>
      </c>
      <c r="F1045" s="134">
        <v>90</v>
      </c>
      <c r="G1045" s="134">
        <v>120</v>
      </c>
      <c r="H1045" s="109">
        <f t="shared" si="49"/>
        <v>120</v>
      </c>
      <c r="I1045" s="119"/>
      <c r="J1045" s="119"/>
      <c r="K1045" s="119">
        <f t="shared" si="50"/>
        <v>120</v>
      </c>
      <c r="L1045" s="152">
        <f t="shared" si="51"/>
        <v>90</v>
      </c>
      <c r="M1045" s="113"/>
    </row>
    <row r="1046" spans="1:13" ht="13.5" customHeight="1" x14ac:dyDescent="0.2">
      <c r="A1046" s="106" t="s">
        <v>6990</v>
      </c>
      <c r="B1046" s="272" t="s">
        <v>2162</v>
      </c>
      <c r="C1046" s="105" t="s">
        <v>7028</v>
      </c>
      <c r="D1046" s="149" t="s">
        <v>2163</v>
      </c>
      <c r="E1046" s="157">
        <v>2</v>
      </c>
      <c r="F1046" s="134">
        <v>67.290000000000006</v>
      </c>
      <c r="G1046" s="134">
        <v>77.5</v>
      </c>
      <c r="H1046" s="109">
        <f t="shared" si="49"/>
        <v>155</v>
      </c>
      <c r="I1046" s="119"/>
      <c r="J1046" s="119"/>
      <c r="K1046" s="119">
        <f t="shared" si="50"/>
        <v>155</v>
      </c>
      <c r="L1046" s="152">
        <f t="shared" si="51"/>
        <v>134.58000000000001</v>
      </c>
      <c r="M1046" s="113"/>
    </row>
    <row r="1047" spans="1:13" ht="13.5" customHeight="1" x14ac:dyDescent="0.2">
      <c r="A1047" s="106" t="s">
        <v>6990</v>
      </c>
      <c r="B1047" s="272" t="s">
        <v>5497</v>
      </c>
      <c r="C1047" s="105" t="s">
        <v>7028</v>
      </c>
      <c r="D1047" s="149" t="s">
        <v>5573</v>
      </c>
      <c r="E1047" s="157">
        <v>1</v>
      </c>
      <c r="F1047" s="134">
        <v>30</v>
      </c>
      <c r="G1047" s="134">
        <v>45</v>
      </c>
      <c r="H1047" s="109">
        <f t="shared" si="49"/>
        <v>45</v>
      </c>
      <c r="I1047" s="119"/>
      <c r="J1047" s="119"/>
      <c r="K1047" s="119">
        <f t="shared" si="50"/>
        <v>45</v>
      </c>
      <c r="L1047" s="152">
        <f t="shared" si="51"/>
        <v>30</v>
      </c>
      <c r="M1047" s="113"/>
    </row>
    <row r="1048" spans="1:13" ht="13.5" customHeight="1" x14ac:dyDescent="0.2">
      <c r="A1048" s="106" t="s">
        <v>6990</v>
      </c>
      <c r="B1048" s="272" t="s">
        <v>1793</v>
      </c>
      <c r="C1048" s="105" t="s">
        <v>7029</v>
      </c>
      <c r="D1048" s="149" t="s">
        <v>1795</v>
      </c>
      <c r="E1048" s="157">
        <v>1</v>
      </c>
      <c r="F1048" s="134">
        <v>12.17</v>
      </c>
      <c r="G1048" s="134">
        <v>14.75</v>
      </c>
      <c r="H1048" s="109">
        <f t="shared" si="49"/>
        <v>14.75</v>
      </c>
      <c r="I1048" s="119"/>
      <c r="J1048" s="119"/>
      <c r="K1048" s="119">
        <f t="shared" si="50"/>
        <v>14.75</v>
      </c>
      <c r="L1048" s="152">
        <f t="shared" si="51"/>
        <v>12.17</v>
      </c>
      <c r="M1048" s="113"/>
    </row>
    <row r="1049" spans="1:13" ht="13.5" customHeight="1" x14ac:dyDescent="0.2">
      <c r="A1049" s="106" t="s">
        <v>6990</v>
      </c>
      <c r="B1049" s="272" t="s">
        <v>7005</v>
      </c>
      <c r="C1049" s="105" t="s">
        <v>7030</v>
      </c>
      <c r="D1049" s="149" t="s">
        <v>7049</v>
      </c>
      <c r="E1049" s="157">
        <v>2</v>
      </c>
      <c r="F1049" s="134">
        <v>12.9</v>
      </c>
      <c r="G1049" s="134">
        <v>15</v>
      </c>
      <c r="H1049" s="109">
        <f t="shared" si="49"/>
        <v>30</v>
      </c>
      <c r="I1049" s="119"/>
      <c r="J1049" s="119"/>
      <c r="K1049" s="119">
        <f t="shared" si="50"/>
        <v>30</v>
      </c>
      <c r="L1049" s="152">
        <f t="shared" si="51"/>
        <v>25.8</v>
      </c>
      <c r="M1049" s="113"/>
    </row>
    <row r="1050" spans="1:13" ht="13.5" customHeight="1" x14ac:dyDescent="0.2">
      <c r="A1050" s="106" t="s">
        <v>6990</v>
      </c>
      <c r="B1050" s="272" t="s">
        <v>7006</v>
      </c>
      <c r="C1050" s="105" t="s">
        <v>7030</v>
      </c>
      <c r="D1050" s="149" t="s">
        <v>7050</v>
      </c>
      <c r="E1050" s="157">
        <v>1</v>
      </c>
      <c r="F1050" s="134">
        <v>19.61</v>
      </c>
      <c r="G1050" s="134">
        <v>22.75</v>
      </c>
      <c r="H1050" s="109">
        <f t="shared" si="49"/>
        <v>22.75</v>
      </c>
      <c r="I1050" s="119"/>
      <c r="J1050" s="119"/>
      <c r="K1050" s="119">
        <f t="shared" si="50"/>
        <v>22.75</v>
      </c>
      <c r="L1050" s="152">
        <f t="shared" si="51"/>
        <v>19.61</v>
      </c>
      <c r="M1050" s="113"/>
    </row>
    <row r="1051" spans="1:13" ht="13.5" customHeight="1" x14ac:dyDescent="0.2">
      <c r="A1051" s="106" t="s">
        <v>6990</v>
      </c>
      <c r="B1051" s="272" t="s">
        <v>2446</v>
      </c>
      <c r="C1051" s="105" t="s">
        <v>7030</v>
      </c>
      <c r="D1051" s="149" t="s">
        <v>2448</v>
      </c>
      <c r="E1051" s="157">
        <v>1</v>
      </c>
      <c r="F1051" s="134">
        <v>58.2</v>
      </c>
      <c r="G1051" s="134">
        <v>67</v>
      </c>
      <c r="H1051" s="109">
        <f t="shared" si="49"/>
        <v>67</v>
      </c>
      <c r="I1051" s="119"/>
      <c r="J1051" s="119"/>
      <c r="K1051" s="119">
        <f t="shared" si="50"/>
        <v>67</v>
      </c>
      <c r="L1051" s="152">
        <f t="shared" si="51"/>
        <v>58.2</v>
      </c>
      <c r="M1051" s="113"/>
    </row>
    <row r="1052" spans="1:13" ht="13.5" customHeight="1" x14ac:dyDescent="0.2">
      <c r="A1052" s="106" t="s">
        <v>6990</v>
      </c>
      <c r="B1052" s="272" t="s">
        <v>6870</v>
      </c>
      <c r="C1052" s="105" t="s">
        <v>7030</v>
      </c>
      <c r="D1052" s="149" t="s">
        <v>6981</v>
      </c>
      <c r="E1052" s="157">
        <v>1</v>
      </c>
      <c r="F1052" s="134">
        <v>80</v>
      </c>
      <c r="G1052" s="134">
        <v>100</v>
      </c>
      <c r="H1052" s="109">
        <f t="shared" si="49"/>
        <v>100</v>
      </c>
      <c r="I1052" s="119"/>
      <c r="J1052" s="119"/>
      <c r="K1052" s="119">
        <f t="shared" si="50"/>
        <v>100</v>
      </c>
      <c r="L1052" s="152">
        <f t="shared" si="51"/>
        <v>80</v>
      </c>
      <c r="M1052" s="113"/>
    </row>
    <row r="1053" spans="1:13" ht="13.5" customHeight="1" x14ac:dyDescent="0.2">
      <c r="A1053" s="106" t="s">
        <v>6990</v>
      </c>
      <c r="B1053" s="272" t="s">
        <v>5235</v>
      </c>
      <c r="C1053" s="105" t="s">
        <v>7030</v>
      </c>
      <c r="D1053" s="149" t="s">
        <v>5395</v>
      </c>
      <c r="E1053" s="157">
        <v>1</v>
      </c>
      <c r="F1053" s="134">
        <v>27</v>
      </c>
      <c r="G1053" s="134">
        <v>31.25</v>
      </c>
      <c r="H1053" s="109">
        <f t="shared" si="49"/>
        <v>31.25</v>
      </c>
      <c r="I1053" s="119"/>
      <c r="J1053" s="119"/>
      <c r="K1053" s="119">
        <f t="shared" si="50"/>
        <v>31.25</v>
      </c>
      <c r="L1053" s="152">
        <f t="shared" si="51"/>
        <v>27</v>
      </c>
      <c r="M1053" s="113"/>
    </row>
    <row r="1054" spans="1:13" ht="13.5" customHeight="1" x14ac:dyDescent="0.2">
      <c r="A1054" s="106" t="s">
        <v>6990</v>
      </c>
      <c r="B1054" s="272" t="s">
        <v>4536</v>
      </c>
      <c r="C1054" s="105" t="s">
        <v>7031</v>
      </c>
      <c r="D1054" s="149" t="s">
        <v>4641</v>
      </c>
      <c r="E1054" s="157">
        <v>1</v>
      </c>
      <c r="F1054" s="134">
        <v>57.1</v>
      </c>
      <c r="G1054" s="134">
        <v>65.75</v>
      </c>
      <c r="H1054" s="109">
        <f t="shared" si="49"/>
        <v>65.75</v>
      </c>
      <c r="I1054" s="119"/>
      <c r="J1054" s="119"/>
      <c r="K1054" s="119">
        <f t="shared" si="50"/>
        <v>65.75</v>
      </c>
      <c r="L1054" s="152">
        <f t="shared" si="51"/>
        <v>57.1</v>
      </c>
      <c r="M1054" s="113"/>
    </row>
    <row r="1055" spans="1:13" ht="13.5" customHeight="1" x14ac:dyDescent="0.2">
      <c r="A1055" s="106" t="s">
        <v>6990</v>
      </c>
      <c r="B1055" s="272" t="s">
        <v>1888</v>
      </c>
      <c r="C1055" s="105" t="s">
        <v>7032</v>
      </c>
      <c r="D1055" s="149" t="s">
        <v>1890</v>
      </c>
      <c r="E1055" s="157">
        <v>2</v>
      </c>
      <c r="F1055" s="134">
        <v>20.68</v>
      </c>
      <c r="G1055" s="134">
        <v>24</v>
      </c>
      <c r="H1055" s="109">
        <f t="shared" si="49"/>
        <v>48</v>
      </c>
      <c r="I1055" s="119"/>
      <c r="J1055" s="119"/>
      <c r="K1055" s="119">
        <f t="shared" si="50"/>
        <v>48</v>
      </c>
      <c r="L1055" s="152">
        <f t="shared" si="51"/>
        <v>41.36</v>
      </c>
      <c r="M1055" s="113"/>
    </row>
    <row r="1056" spans="1:13" ht="13.5" customHeight="1" x14ac:dyDescent="0.2">
      <c r="A1056" s="106" t="s">
        <v>6990</v>
      </c>
      <c r="B1056" s="272" t="s">
        <v>4519</v>
      </c>
      <c r="C1056" s="105" t="s">
        <v>7033</v>
      </c>
      <c r="D1056" s="149" t="s">
        <v>4624</v>
      </c>
      <c r="E1056" s="157">
        <v>1</v>
      </c>
      <c r="F1056" s="134">
        <v>91.4</v>
      </c>
      <c r="G1056" s="134">
        <v>105.25</v>
      </c>
      <c r="H1056" s="109">
        <f t="shared" si="49"/>
        <v>105.25</v>
      </c>
      <c r="I1056" s="119"/>
      <c r="J1056" s="119"/>
      <c r="K1056" s="119">
        <f t="shared" si="50"/>
        <v>105.25</v>
      </c>
      <c r="L1056" s="152">
        <f t="shared" si="51"/>
        <v>91.4</v>
      </c>
      <c r="M1056" s="113"/>
    </row>
    <row r="1057" spans="1:13" ht="13.5" customHeight="1" x14ac:dyDescent="0.2">
      <c r="A1057" s="106" t="s">
        <v>6990</v>
      </c>
      <c r="B1057" s="272" t="s">
        <v>4567</v>
      </c>
      <c r="C1057" s="105" t="s">
        <v>7034</v>
      </c>
      <c r="D1057" s="149" t="s">
        <v>4672</v>
      </c>
      <c r="E1057" s="157">
        <v>1</v>
      </c>
      <c r="F1057" s="134">
        <v>7.06</v>
      </c>
      <c r="G1057" s="134">
        <v>8.25</v>
      </c>
      <c r="H1057" s="109">
        <f t="shared" si="49"/>
        <v>8.25</v>
      </c>
      <c r="I1057" s="119"/>
      <c r="J1057" s="119"/>
      <c r="K1057" s="119">
        <f t="shared" si="50"/>
        <v>8.25</v>
      </c>
      <c r="L1057" s="152">
        <f t="shared" si="51"/>
        <v>7.06</v>
      </c>
      <c r="M1057" s="113"/>
    </row>
    <row r="1058" spans="1:13" ht="13.5" customHeight="1" x14ac:dyDescent="0.2">
      <c r="A1058" s="106" t="s">
        <v>6990</v>
      </c>
      <c r="B1058" s="272" t="s">
        <v>4328</v>
      </c>
      <c r="C1058" s="105" t="s">
        <v>7035</v>
      </c>
      <c r="D1058" s="149" t="s">
        <v>4358</v>
      </c>
      <c r="E1058" s="157">
        <v>1</v>
      </c>
      <c r="F1058" s="134">
        <v>23.63</v>
      </c>
      <c r="G1058" s="134">
        <v>27.25</v>
      </c>
      <c r="H1058" s="109">
        <f t="shared" si="49"/>
        <v>27.25</v>
      </c>
      <c r="I1058" s="119"/>
      <c r="J1058" s="119"/>
      <c r="K1058" s="119">
        <f t="shared" si="50"/>
        <v>27.25</v>
      </c>
      <c r="L1058" s="152">
        <f t="shared" si="51"/>
        <v>23.63</v>
      </c>
      <c r="M1058" s="113"/>
    </row>
    <row r="1059" spans="1:13" ht="13.5" customHeight="1" x14ac:dyDescent="0.2">
      <c r="A1059" s="106" t="s">
        <v>6990</v>
      </c>
      <c r="B1059" s="272" t="s">
        <v>3088</v>
      </c>
      <c r="C1059" s="105" t="s">
        <v>7036</v>
      </c>
      <c r="D1059" s="149" t="s">
        <v>3090</v>
      </c>
      <c r="E1059" s="157">
        <v>1</v>
      </c>
      <c r="F1059" s="134">
        <v>23.75</v>
      </c>
      <c r="G1059" s="134">
        <v>27.5</v>
      </c>
      <c r="H1059" s="109">
        <f t="shared" si="49"/>
        <v>27.5</v>
      </c>
      <c r="I1059" s="119"/>
      <c r="J1059" s="119"/>
      <c r="K1059" s="119">
        <f t="shared" si="50"/>
        <v>27.5</v>
      </c>
      <c r="L1059" s="152">
        <f t="shared" si="51"/>
        <v>23.75</v>
      </c>
      <c r="M1059" s="113"/>
    </row>
    <row r="1060" spans="1:13" ht="13.5" customHeight="1" x14ac:dyDescent="0.2">
      <c r="A1060" s="106" t="s">
        <v>6990</v>
      </c>
      <c r="B1060" s="272" t="s">
        <v>1884</v>
      </c>
      <c r="C1060" s="105" t="s">
        <v>7037</v>
      </c>
      <c r="D1060" s="149" t="s">
        <v>1885</v>
      </c>
      <c r="E1060" s="157">
        <v>1</v>
      </c>
      <c r="F1060" s="134">
        <v>7.06</v>
      </c>
      <c r="G1060" s="134">
        <v>8.25</v>
      </c>
      <c r="H1060" s="109">
        <f t="shared" si="49"/>
        <v>8.25</v>
      </c>
      <c r="I1060" s="119"/>
      <c r="J1060" s="119"/>
      <c r="K1060" s="119">
        <f t="shared" si="50"/>
        <v>8.25</v>
      </c>
      <c r="L1060" s="152">
        <f t="shared" si="51"/>
        <v>7.06</v>
      </c>
      <c r="M1060" s="113"/>
    </row>
    <row r="1061" spans="1:13" ht="13.5" customHeight="1" x14ac:dyDescent="0.2">
      <c r="A1061" s="106" t="s">
        <v>6990</v>
      </c>
      <c r="B1061" s="272" t="s">
        <v>4567</v>
      </c>
      <c r="C1061" s="105" t="s">
        <v>7038</v>
      </c>
      <c r="D1061" s="149" t="s">
        <v>4672</v>
      </c>
      <c r="E1061" s="157">
        <v>1</v>
      </c>
      <c r="F1061" s="134">
        <v>7.06</v>
      </c>
      <c r="G1061" s="134">
        <v>8.25</v>
      </c>
      <c r="H1061" s="109">
        <f t="shared" si="49"/>
        <v>8.25</v>
      </c>
      <c r="I1061" s="119"/>
      <c r="J1061" s="119"/>
      <c r="K1061" s="119">
        <f t="shared" si="50"/>
        <v>8.25</v>
      </c>
      <c r="L1061" s="152">
        <f t="shared" si="51"/>
        <v>7.06</v>
      </c>
      <c r="M1061" s="113"/>
    </row>
    <row r="1062" spans="1:13" ht="13.5" customHeight="1" x14ac:dyDescent="0.2">
      <c r="A1062" s="106" t="s">
        <v>6990</v>
      </c>
      <c r="B1062" s="272" t="s">
        <v>1884</v>
      </c>
      <c r="C1062" s="105" t="s">
        <v>7039</v>
      </c>
      <c r="D1062" s="149" t="s">
        <v>1885</v>
      </c>
      <c r="E1062" s="157">
        <v>1</v>
      </c>
      <c r="F1062" s="134">
        <v>7.06</v>
      </c>
      <c r="G1062" s="134">
        <v>8.25</v>
      </c>
      <c r="H1062" s="109">
        <f t="shared" si="49"/>
        <v>8.25</v>
      </c>
      <c r="I1062" s="119"/>
      <c r="J1062" s="119"/>
      <c r="K1062" s="119">
        <f t="shared" si="50"/>
        <v>8.25</v>
      </c>
      <c r="L1062" s="152">
        <f t="shared" si="51"/>
        <v>7.06</v>
      </c>
      <c r="M1062" s="113"/>
    </row>
    <row r="1063" spans="1:13" ht="13.5" customHeight="1" x14ac:dyDescent="0.2">
      <c r="A1063" s="106" t="s">
        <v>6990</v>
      </c>
      <c r="B1063" s="272" t="s">
        <v>1905</v>
      </c>
      <c r="C1063" s="105" t="s">
        <v>7040</v>
      </c>
      <c r="D1063" s="149" t="s">
        <v>1906</v>
      </c>
      <c r="E1063" s="157">
        <v>1</v>
      </c>
      <c r="F1063" s="134">
        <v>15.51</v>
      </c>
      <c r="G1063" s="134">
        <v>18</v>
      </c>
      <c r="H1063" s="109">
        <f t="shared" si="49"/>
        <v>18</v>
      </c>
      <c r="I1063" s="119"/>
      <c r="J1063" s="119"/>
      <c r="K1063" s="119">
        <f t="shared" si="50"/>
        <v>18</v>
      </c>
      <c r="L1063" s="152">
        <f t="shared" si="51"/>
        <v>15.51</v>
      </c>
      <c r="M1063" s="113"/>
    </row>
    <row r="1064" spans="1:13" ht="13.5" customHeight="1" x14ac:dyDescent="0.2">
      <c r="A1064" s="106" t="s">
        <v>6990</v>
      </c>
      <c r="B1064" s="272" t="s">
        <v>5867</v>
      </c>
      <c r="C1064" s="105" t="s">
        <v>7040</v>
      </c>
      <c r="D1064" s="149" t="s">
        <v>5960</v>
      </c>
      <c r="E1064" s="157">
        <v>1</v>
      </c>
      <c r="F1064" s="134">
        <v>7.75</v>
      </c>
      <c r="G1064" s="134">
        <v>9</v>
      </c>
      <c r="H1064" s="109">
        <f t="shared" si="49"/>
        <v>9</v>
      </c>
      <c r="I1064" s="119"/>
      <c r="J1064" s="119"/>
      <c r="K1064" s="119">
        <f t="shared" si="50"/>
        <v>9</v>
      </c>
      <c r="L1064" s="152">
        <f t="shared" si="51"/>
        <v>7.75</v>
      </c>
      <c r="M1064" s="113"/>
    </row>
    <row r="1065" spans="1:13" ht="13.5" customHeight="1" x14ac:dyDescent="0.2">
      <c r="A1065" s="106" t="s">
        <v>6990</v>
      </c>
      <c r="B1065" s="272" t="s">
        <v>1884</v>
      </c>
      <c r="C1065" s="105" t="s">
        <v>7041</v>
      </c>
      <c r="D1065" s="149" t="s">
        <v>1885</v>
      </c>
      <c r="E1065" s="157">
        <v>1</v>
      </c>
      <c r="F1065" s="134">
        <v>7.06</v>
      </c>
      <c r="G1065" s="134">
        <v>8.25</v>
      </c>
      <c r="H1065" s="109">
        <f t="shared" si="49"/>
        <v>8.25</v>
      </c>
      <c r="I1065" s="119"/>
      <c r="J1065" s="119"/>
      <c r="K1065" s="119">
        <f t="shared" si="50"/>
        <v>8.25</v>
      </c>
      <c r="L1065" s="152">
        <f t="shared" si="51"/>
        <v>7.06</v>
      </c>
      <c r="M1065" s="113"/>
    </row>
    <row r="1066" spans="1:13" ht="13.5" customHeight="1" x14ac:dyDescent="0.2">
      <c r="A1066" s="106" t="s">
        <v>6990</v>
      </c>
      <c r="B1066" s="272" t="s">
        <v>4716</v>
      </c>
      <c r="C1066" s="105" t="s">
        <v>7042</v>
      </c>
      <c r="D1066" s="149" t="s">
        <v>4751</v>
      </c>
      <c r="E1066" s="157">
        <v>4</v>
      </c>
      <c r="F1066" s="134">
        <v>0.81</v>
      </c>
      <c r="G1066" s="134">
        <v>1</v>
      </c>
      <c r="H1066" s="109">
        <f t="shared" si="49"/>
        <v>4</v>
      </c>
      <c r="I1066" s="119"/>
      <c r="J1066" s="119">
        <v>0</v>
      </c>
      <c r="K1066" s="119">
        <f t="shared" si="50"/>
        <v>4</v>
      </c>
      <c r="L1066" s="152">
        <f t="shared" si="51"/>
        <v>3.24</v>
      </c>
      <c r="M1066" s="113"/>
    </row>
    <row r="1067" spans="1:13" ht="13.5" customHeight="1" x14ac:dyDescent="0.2">
      <c r="A1067" s="106" t="s">
        <v>7051</v>
      </c>
      <c r="B1067" s="272" t="s">
        <v>1877</v>
      </c>
      <c r="C1067" s="105" t="s">
        <v>7079</v>
      </c>
      <c r="D1067" s="149" t="s">
        <v>1878</v>
      </c>
      <c r="E1067" s="157">
        <v>4</v>
      </c>
      <c r="F1067" s="134">
        <v>20.399999999999999</v>
      </c>
      <c r="G1067" s="134">
        <v>23.5</v>
      </c>
      <c r="H1067" s="109">
        <f t="shared" si="49"/>
        <v>94</v>
      </c>
      <c r="I1067" s="119"/>
      <c r="J1067" s="119">
        <v>0</v>
      </c>
      <c r="K1067" s="119">
        <f t="shared" si="50"/>
        <v>94</v>
      </c>
      <c r="L1067" s="152">
        <f t="shared" si="51"/>
        <v>81.599999999999994</v>
      </c>
      <c r="M1067" s="113"/>
    </row>
    <row r="1068" spans="1:13" ht="13.5" customHeight="1" x14ac:dyDescent="0.2">
      <c r="A1068" s="106" t="s">
        <v>7051</v>
      </c>
      <c r="B1068" s="272" t="s">
        <v>1920</v>
      </c>
      <c r="C1068" s="105" t="s">
        <v>7080</v>
      </c>
      <c r="D1068" s="149" t="s">
        <v>1921</v>
      </c>
      <c r="E1068" s="157">
        <v>1</v>
      </c>
      <c r="F1068" s="134">
        <v>13.32</v>
      </c>
      <c r="G1068" s="134">
        <v>15.5</v>
      </c>
      <c r="H1068" s="109">
        <f t="shared" si="49"/>
        <v>15.5</v>
      </c>
      <c r="I1068" s="119"/>
      <c r="J1068" s="119">
        <v>0</v>
      </c>
      <c r="K1068" s="119">
        <f t="shared" si="50"/>
        <v>15.5</v>
      </c>
      <c r="L1068" s="152">
        <f t="shared" si="51"/>
        <v>13.32</v>
      </c>
      <c r="M1068" s="113"/>
    </row>
    <row r="1069" spans="1:13" ht="13.5" customHeight="1" x14ac:dyDescent="0.2">
      <c r="A1069" s="106" t="s">
        <v>7051</v>
      </c>
      <c r="B1069" s="272" t="s">
        <v>1920</v>
      </c>
      <c r="C1069" s="105" t="s">
        <v>7081</v>
      </c>
      <c r="D1069" s="149" t="s">
        <v>4871</v>
      </c>
      <c r="E1069" s="157">
        <v>2</v>
      </c>
      <c r="F1069" s="134">
        <v>3.94</v>
      </c>
      <c r="G1069" s="134">
        <v>5</v>
      </c>
      <c r="H1069" s="109">
        <f t="shared" si="49"/>
        <v>10</v>
      </c>
      <c r="I1069" s="119"/>
      <c r="J1069" s="119">
        <v>0</v>
      </c>
      <c r="K1069" s="119">
        <f t="shared" si="50"/>
        <v>10</v>
      </c>
      <c r="L1069" s="152">
        <f t="shared" si="51"/>
        <v>7.88</v>
      </c>
      <c r="M1069" s="113"/>
    </row>
    <row r="1070" spans="1:13" ht="13.5" customHeight="1" x14ac:dyDescent="0.2">
      <c r="A1070" s="106" t="s">
        <v>7051</v>
      </c>
      <c r="B1070" s="272" t="s">
        <v>5497</v>
      </c>
      <c r="C1070" s="105" t="s">
        <v>7082</v>
      </c>
      <c r="D1070" s="149" t="s">
        <v>5573</v>
      </c>
      <c r="E1070" s="157">
        <v>1</v>
      </c>
      <c r="F1070" s="134">
        <v>30</v>
      </c>
      <c r="G1070" s="134">
        <v>45</v>
      </c>
      <c r="H1070" s="109">
        <f t="shared" si="49"/>
        <v>45</v>
      </c>
      <c r="I1070" s="119"/>
      <c r="J1070" s="119">
        <v>0</v>
      </c>
      <c r="K1070" s="119">
        <f t="shared" si="50"/>
        <v>45</v>
      </c>
      <c r="L1070" s="152">
        <f t="shared" si="51"/>
        <v>30</v>
      </c>
      <c r="M1070" s="113"/>
    </row>
    <row r="1071" spans="1:13" ht="13.5" customHeight="1" x14ac:dyDescent="0.2">
      <c r="A1071" s="106" t="s">
        <v>7051</v>
      </c>
      <c r="B1071" s="272" t="s">
        <v>2884</v>
      </c>
      <c r="C1071" s="105" t="s">
        <v>7083</v>
      </c>
      <c r="D1071" s="149" t="s">
        <v>2886</v>
      </c>
      <c r="E1071" s="157">
        <v>2</v>
      </c>
      <c r="F1071" s="134">
        <v>251.67</v>
      </c>
      <c r="G1071" s="134">
        <v>362.75</v>
      </c>
      <c r="H1071" s="109">
        <f t="shared" si="49"/>
        <v>725.5</v>
      </c>
      <c r="I1071" s="119"/>
      <c r="J1071" s="119">
        <v>0</v>
      </c>
      <c r="K1071" s="119">
        <f t="shared" si="50"/>
        <v>725.5</v>
      </c>
      <c r="L1071" s="152">
        <f t="shared" si="51"/>
        <v>503.34</v>
      </c>
      <c r="M1071" s="113"/>
    </row>
    <row r="1072" spans="1:13" ht="13.5" customHeight="1" x14ac:dyDescent="0.2">
      <c r="A1072" s="106" t="s">
        <v>7051</v>
      </c>
      <c r="B1072" s="272" t="s">
        <v>3652</v>
      </c>
      <c r="C1072" s="105" t="s">
        <v>7084</v>
      </c>
      <c r="D1072" s="149" t="s">
        <v>3653</v>
      </c>
      <c r="E1072" s="157">
        <v>1</v>
      </c>
      <c r="F1072" s="134">
        <v>75</v>
      </c>
      <c r="G1072" s="134">
        <v>83</v>
      </c>
      <c r="H1072" s="109">
        <f t="shared" si="49"/>
        <v>83</v>
      </c>
      <c r="I1072" s="119"/>
      <c r="J1072" s="119">
        <v>0</v>
      </c>
      <c r="K1072" s="119">
        <f t="shared" si="50"/>
        <v>83</v>
      </c>
      <c r="L1072" s="152">
        <f t="shared" si="51"/>
        <v>75</v>
      </c>
      <c r="M1072" s="113"/>
    </row>
    <row r="1073" spans="1:13" ht="13.5" customHeight="1" x14ac:dyDescent="0.2">
      <c r="A1073" s="106" t="s">
        <v>7051</v>
      </c>
      <c r="B1073" s="272" t="s">
        <v>3314</v>
      </c>
      <c r="C1073" s="105" t="s">
        <v>7085</v>
      </c>
      <c r="D1073" s="149" t="s">
        <v>3316</v>
      </c>
      <c r="E1073" s="157">
        <v>1</v>
      </c>
      <c r="F1073" s="134">
        <v>16.579999999999998</v>
      </c>
      <c r="G1073" s="134">
        <v>19</v>
      </c>
      <c r="H1073" s="109">
        <f t="shared" si="49"/>
        <v>19</v>
      </c>
      <c r="I1073" s="119"/>
      <c r="J1073" s="119">
        <v>0</v>
      </c>
      <c r="K1073" s="119">
        <f t="shared" si="50"/>
        <v>19</v>
      </c>
      <c r="L1073" s="152">
        <f t="shared" si="51"/>
        <v>16.579999999999998</v>
      </c>
      <c r="M1073" s="113"/>
    </row>
    <row r="1074" spans="1:13" ht="13.5" customHeight="1" x14ac:dyDescent="0.2">
      <c r="A1074" s="106" t="s">
        <v>7051</v>
      </c>
      <c r="B1074" s="272" t="s">
        <v>1884</v>
      </c>
      <c r="C1074" s="105" t="s">
        <v>7086</v>
      </c>
      <c r="D1074" s="149" t="s">
        <v>1885</v>
      </c>
      <c r="E1074" s="157">
        <v>1</v>
      </c>
      <c r="F1074" s="134">
        <v>7.06</v>
      </c>
      <c r="G1074" s="134">
        <v>8.25</v>
      </c>
      <c r="H1074" s="109">
        <f t="shared" si="49"/>
        <v>8.25</v>
      </c>
      <c r="I1074" s="119"/>
      <c r="J1074" s="119">
        <v>0</v>
      </c>
      <c r="K1074" s="119">
        <f t="shared" si="50"/>
        <v>8.25</v>
      </c>
      <c r="L1074" s="152">
        <f t="shared" si="51"/>
        <v>7.06</v>
      </c>
      <c r="M1074" s="113"/>
    </row>
    <row r="1075" spans="1:13" ht="13.5" customHeight="1" x14ac:dyDescent="0.2">
      <c r="A1075" s="106" t="s">
        <v>7051</v>
      </c>
      <c r="B1075" s="272" t="s">
        <v>2301</v>
      </c>
      <c r="C1075" s="105" t="s">
        <v>7087</v>
      </c>
      <c r="D1075" s="149" t="s">
        <v>2302</v>
      </c>
      <c r="E1075" s="157">
        <v>2</v>
      </c>
      <c r="F1075" s="134">
        <v>132.80000000000001</v>
      </c>
      <c r="G1075" s="134">
        <v>152.75</v>
      </c>
      <c r="H1075" s="109">
        <f t="shared" si="49"/>
        <v>305.5</v>
      </c>
      <c r="I1075" s="119"/>
      <c r="J1075" s="119">
        <v>0</v>
      </c>
      <c r="K1075" s="119">
        <f t="shared" si="50"/>
        <v>305.5</v>
      </c>
      <c r="L1075" s="152">
        <f t="shared" si="51"/>
        <v>265.60000000000002</v>
      </c>
      <c r="M1075" s="113"/>
    </row>
    <row r="1076" spans="1:13" ht="13.5" customHeight="1" x14ac:dyDescent="0.2">
      <c r="A1076" s="106" t="s">
        <v>7051</v>
      </c>
      <c r="B1076" s="272" t="s">
        <v>4328</v>
      </c>
      <c r="C1076" s="105" t="s">
        <v>7088</v>
      </c>
      <c r="D1076" s="149" t="s">
        <v>4358</v>
      </c>
      <c r="E1076" s="157">
        <v>1</v>
      </c>
      <c r="F1076" s="134">
        <v>23.63</v>
      </c>
      <c r="G1076" s="134">
        <v>27.25</v>
      </c>
      <c r="H1076" s="109">
        <f t="shared" si="49"/>
        <v>27.25</v>
      </c>
      <c r="I1076" s="119"/>
      <c r="J1076" s="119">
        <v>0</v>
      </c>
      <c r="K1076" s="119">
        <f t="shared" si="50"/>
        <v>27.25</v>
      </c>
      <c r="L1076" s="152">
        <f t="shared" si="51"/>
        <v>23.63</v>
      </c>
      <c r="M1076" s="113"/>
    </row>
    <row r="1077" spans="1:13" ht="13.5" customHeight="1" x14ac:dyDescent="0.2">
      <c r="A1077" s="106" t="s">
        <v>7051</v>
      </c>
      <c r="B1077" s="272" t="s">
        <v>5873</v>
      </c>
      <c r="C1077" s="105" t="s">
        <v>7088</v>
      </c>
      <c r="D1077" s="149" t="s">
        <v>5966</v>
      </c>
      <c r="E1077" s="157">
        <v>1</v>
      </c>
      <c r="F1077" s="134">
        <v>35.35</v>
      </c>
      <c r="G1077" s="134">
        <v>40.75</v>
      </c>
      <c r="H1077" s="109">
        <f t="shared" si="49"/>
        <v>40.75</v>
      </c>
      <c r="I1077" s="119"/>
      <c r="J1077" s="119">
        <v>0</v>
      </c>
      <c r="K1077" s="119">
        <f t="shared" si="50"/>
        <v>40.75</v>
      </c>
      <c r="L1077" s="152">
        <f t="shared" si="51"/>
        <v>35.35</v>
      </c>
      <c r="M1077" s="113"/>
    </row>
    <row r="1078" spans="1:13" ht="13.5" customHeight="1" x14ac:dyDescent="0.2">
      <c r="A1078" s="106" t="s">
        <v>7051</v>
      </c>
      <c r="B1078" s="272" t="s">
        <v>7066</v>
      </c>
      <c r="C1078" s="105" t="s">
        <v>7089</v>
      </c>
      <c r="D1078" s="149" t="s">
        <v>7156</v>
      </c>
      <c r="E1078" s="157">
        <v>2</v>
      </c>
      <c r="F1078" s="134">
        <v>93.55</v>
      </c>
      <c r="G1078" s="134">
        <v>107.75</v>
      </c>
      <c r="H1078" s="109">
        <f t="shared" si="49"/>
        <v>215.5</v>
      </c>
      <c r="I1078" s="119"/>
      <c r="J1078" s="119">
        <v>0</v>
      </c>
      <c r="K1078" s="119">
        <f t="shared" si="50"/>
        <v>215.5</v>
      </c>
      <c r="L1078" s="152">
        <f t="shared" si="51"/>
        <v>187.1</v>
      </c>
      <c r="M1078" s="113"/>
    </row>
    <row r="1079" spans="1:13" ht="13.5" customHeight="1" x14ac:dyDescent="0.2">
      <c r="A1079" s="106" t="s">
        <v>7051</v>
      </c>
      <c r="B1079" s="272" t="s">
        <v>7067</v>
      </c>
      <c r="C1079" s="105" t="s">
        <v>7090</v>
      </c>
      <c r="D1079" s="149" t="s">
        <v>7157</v>
      </c>
      <c r="E1079" s="157">
        <v>1</v>
      </c>
      <c r="F1079" s="134">
        <v>69.52</v>
      </c>
      <c r="G1079" s="134">
        <v>80</v>
      </c>
      <c r="H1079" s="109">
        <f t="shared" si="49"/>
        <v>80</v>
      </c>
      <c r="I1079" s="119"/>
      <c r="J1079" s="119">
        <v>0</v>
      </c>
      <c r="K1079" s="119">
        <f t="shared" si="50"/>
        <v>80</v>
      </c>
      <c r="L1079" s="152">
        <f t="shared" si="51"/>
        <v>69.52</v>
      </c>
      <c r="M1079" s="113"/>
    </row>
    <row r="1080" spans="1:13" ht="13.5" customHeight="1" x14ac:dyDescent="0.2">
      <c r="A1080" s="106" t="s">
        <v>7051</v>
      </c>
      <c r="B1080" s="272" t="s">
        <v>5033</v>
      </c>
      <c r="C1080" s="105" t="s">
        <v>7090</v>
      </c>
      <c r="D1080" s="149" t="s">
        <v>5077</v>
      </c>
      <c r="E1080" s="157">
        <v>1</v>
      </c>
      <c r="F1080" s="134">
        <v>25</v>
      </c>
      <c r="G1080" s="134">
        <v>28.75</v>
      </c>
      <c r="H1080" s="109">
        <f t="shared" si="49"/>
        <v>28.75</v>
      </c>
      <c r="I1080" s="119"/>
      <c r="J1080" s="119">
        <v>0</v>
      </c>
      <c r="K1080" s="119">
        <f t="shared" si="50"/>
        <v>28.75</v>
      </c>
      <c r="L1080" s="152">
        <f t="shared" si="51"/>
        <v>25</v>
      </c>
      <c r="M1080" s="113"/>
    </row>
    <row r="1081" spans="1:13" ht="13.5" customHeight="1" x14ac:dyDescent="0.2">
      <c r="A1081" s="106" t="s">
        <v>7051</v>
      </c>
      <c r="B1081" s="272" t="s">
        <v>3314</v>
      </c>
      <c r="C1081" s="105" t="s">
        <v>7090</v>
      </c>
      <c r="D1081" s="149" t="s">
        <v>3316</v>
      </c>
      <c r="E1081" s="157">
        <v>1</v>
      </c>
      <c r="F1081" s="134">
        <v>16.579999999999998</v>
      </c>
      <c r="G1081" s="134">
        <v>19</v>
      </c>
      <c r="H1081" s="109">
        <f t="shared" si="49"/>
        <v>19</v>
      </c>
      <c r="I1081" s="119"/>
      <c r="J1081" s="119">
        <v>0</v>
      </c>
      <c r="K1081" s="119">
        <f t="shared" si="50"/>
        <v>19</v>
      </c>
      <c r="L1081" s="152">
        <f t="shared" si="51"/>
        <v>16.579999999999998</v>
      </c>
      <c r="M1081" s="113"/>
    </row>
    <row r="1082" spans="1:13" ht="13.5" customHeight="1" x14ac:dyDescent="0.2">
      <c r="A1082" s="106" t="s">
        <v>7051</v>
      </c>
      <c r="B1082" s="272" t="s">
        <v>4368</v>
      </c>
      <c r="C1082" s="105" t="s">
        <v>7090</v>
      </c>
      <c r="D1082" s="149" t="s">
        <v>4432</v>
      </c>
      <c r="E1082" s="157">
        <v>1</v>
      </c>
      <c r="F1082" s="134">
        <v>9.27</v>
      </c>
      <c r="G1082" s="134">
        <v>10.75</v>
      </c>
      <c r="H1082" s="109">
        <f t="shared" si="49"/>
        <v>10.75</v>
      </c>
      <c r="I1082" s="119"/>
      <c r="J1082" s="119">
        <v>0</v>
      </c>
      <c r="K1082" s="119">
        <f t="shared" si="50"/>
        <v>10.75</v>
      </c>
      <c r="L1082" s="152">
        <f t="shared" si="51"/>
        <v>9.27</v>
      </c>
      <c r="M1082" s="113"/>
    </row>
    <row r="1083" spans="1:13" ht="13.5" customHeight="1" x14ac:dyDescent="0.2">
      <c r="A1083" s="106" t="s">
        <v>7051</v>
      </c>
      <c r="B1083" s="272" t="s">
        <v>6360</v>
      </c>
      <c r="C1083" s="105" t="s">
        <v>7090</v>
      </c>
      <c r="D1083" s="149" t="s">
        <v>6702</v>
      </c>
      <c r="E1083" s="157">
        <v>1</v>
      </c>
      <c r="F1083" s="134">
        <v>31.47</v>
      </c>
      <c r="G1083" s="134">
        <v>36.25</v>
      </c>
      <c r="H1083" s="109">
        <f t="shared" si="49"/>
        <v>36.25</v>
      </c>
      <c r="I1083" s="119"/>
      <c r="J1083" s="119">
        <v>0</v>
      </c>
      <c r="K1083" s="119">
        <f t="shared" si="50"/>
        <v>36.25</v>
      </c>
      <c r="L1083" s="152">
        <f t="shared" si="51"/>
        <v>31.47</v>
      </c>
      <c r="M1083" s="113"/>
    </row>
    <row r="1084" spans="1:13" ht="13.5" customHeight="1" x14ac:dyDescent="0.2">
      <c r="A1084" s="106" t="s">
        <v>7051</v>
      </c>
      <c r="B1084" s="272" t="s">
        <v>1798</v>
      </c>
      <c r="C1084" s="105" t="s">
        <v>7091</v>
      </c>
      <c r="D1084" s="149" t="s">
        <v>1799</v>
      </c>
      <c r="E1084" s="157">
        <v>4</v>
      </c>
      <c r="F1084" s="134">
        <v>8.1999999999999993</v>
      </c>
      <c r="G1084" s="134">
        <v>9.5</v>
      </c>
      <c r="H1084" s="109">
        <f t="shared" si="49"/>
        <v>38</v>
      </c>
      <c r="I1084" s="119"/>
      <c r="J1084" s="119">
        <v>0</v>
      </c>
      <c r="K1084" s="119">
        <f t="shared" si="50"/>
        <v>38</v>
      </c>
      <c r="L1084" s="152">
        <f t="shared" si="51"/>
        <v>32.799999999999997</v>
      </c>
      <c r="M1084" s="113"/>
    </row>
    <row r="1085" spans="1:13" ht="13.5" customHeight="1" x14ac:dyDescent="0.2">
      <c r="A1085" s="106" t="s">
        <v>7051</v>
      </c>
      <c r="B1085" s="272" t="s">
        <v>2394</v>
      </c>
      <c r="C1085" s="105" t="s">
        <v>7091</v>
      </c>
      <c r="D1085" s="149" t="s">
        <v>2395</v>
      </c>
      <c r="E1085" s="157">
        <v>1</v>
      </c>
      <c r="F1085" s="134">
        <v>58.45</v>
      </c>
      <c r="G1085" s="134">
        <v>65</v>
      </c>
      <c r="H1085" s="109">
        <f t="shared" si="49"/>
        <v>65</v>
      </c>
      <c r="I1085" s="119"/>
      <c r="J1085" s="119">
        <v>0</v>
      </c>
      <c r="K1085" s="119">
        <f t="shared" si="50"/>
        <v>65</v>
      </c>
      <c r="L1085" s="152">
        <f t="shared" si="51"/>
        <v>58.45</v>
      </c>
      <c r="M1085" s="113"/>
    </row>
    <row r="1086" spans="1:13" ht="13.5" customHeight="1" x14ac:dyDescent="0.2">
      <c r="A1086" s="106" t="s">
        <v>7051</v>
      </c>
      <c r="B1086" s="272" t="s">
        <v>4558</v>
      </c>
      <c r="C1086" s="105" t="s">
        <v>7092</v>
      </c>
      <c r="D1086" s="149" t="s">
        <v>4663</v>
      </c>
      <c r="E1086" s="157">
        <v>1</v>
      </c>
      <c r="F1086" s="134">
        <v>12.39</v>
      </c>
      <c r="G1086" s="134">
        <v>14.25</v>
      </c>
      <c r="H1086" s="109">
        <f t="shared" si="49"/>
        <v>14.25</v>
      </c>
      <c r="I1086" s="119"/>
      <c r="J1086" s="119">
        <v>0</v>
      </c>
      <c r="K1086" s="119">
        <f t="shared" si="50"/>
        <v>14.25</v>
      </c>
      <c r="L1086" s="152">
        <f t="shared" si="51"/>
        <v>12.39</v>
      </c>
      <c r="M1086" s="113"/>
    </row>
    <row r="1087" spans="1:13" ht="13.5" customHeight="1" x14ac:dyDescent="0.2">
      <c r="A1087" s="106" t="s">
        <v>7051</v>
      </c>
      <c r="B1087" s="272" t="s">
        <v>4806</v>
      </c>
      <c r="C1087" s="105" t="s">
        <v>7093</v>
      </c>
      <c r="D1087" s="149" t="s">
        <v>4874</v>
      </c>
      <c r="E1087" s="157">
        <v>1</v>
      </c>
      <c r="F1087" s="134">
        <v>8.58</v>
      </c>
      <c r="G1087" s="134">
        <v>10</v>
      </c>
      <c r="H1087" s="109">
        <f t="shared" si="49"/>
        <v>10</v>
      </c>
      <c r="I1087" s="119"/>
      <c r="J1087" s="119">
        <v>0</v>
      </c>
      <c r="K1087" s="119">
        <f t="shared" si="50"/>
        <v>10</v>
      </c>
      <c r="L1087" s="152">
        <f t="shared" si="51"/>
        <v>8.58</v>
      </c>
      <c r="M1087" s="113"/>
    </row>
    <row r="1088" spans="1:13" ht="13.5" customHeight="1" x14ac:dyDescent="0.2">
      <c r="A1088" s="106" t="s">
        <v>7051</v>
      </c>
      <c r="B1088" s="272" t="s">
        <v>7005</v>
      </c>
      <c r="C1088" s="105" t="s">
        <v>7094</v>
      </c>
      <c r="D1088" s="149" t="s">
        <v>7049</v>
      </c>
      <c r="E1088" s="157">
        <v>1</v>
      </c>
      <c r="F1088" s="134">
        <v>12.9</v>
      </c>
      <c r="G1088" s="134">
        <v>15</v>
      </c>
      <c r="H1088" s="109">
        <f t="shared" si="49"/>
        <v>15</v>
      </c>
      <c r="I1088" s="119"/>
      <c r="J1088" s="119">
        <v>0</v>
      </c>
      <c r="K1088" s="119">
        <f t="shared" si="50"/>
        <v>15</v>
      </c>
      <c r="L1088" s="152">
        <f t="shared" si="51"/>
        <v>12.9</v>
      </c>
      <c r="M1088" s="113"/>
    </row>
    <row r="1089" spans="1:14" ht="13.5" customHeight="1" x14ac:dyDescent="0.2">
      <c r="A1089" s="106" t="s">
        <v>7051</v>
      </c>
      <c r="B1089" s="272" t="s">
        <v>7005</v>
      </c>
      <c r="C1089" s="105" t="s">
        <v>7095</v>
      </c>
      <c r="D1089" s="149" t="s">
        <v>7049</v>
      </c>
      <c r="E1089" s="157">
        <v>2</v>
      </c>
      <c r="F1089" s="134">
        <v>12.9</v>
      </c>
      <c r="G1089" s="134">
        <v>15</v>
      </c>
      <c r="H1089" s="109">
        <f t="shared" si="49"/>
        <v>30</v>
      </c>
      <c r="I1089" s="119"/>
      <c r="J1089" s="119">
        <v>0</v>
      </c>
      <c r="K1089" s="119">
        <f t="shared" si="50"/>
        <v>30</v>
      </c>
      <c r="L1089" s="152">
        <f t="shared" si="51"/>
        <v>25.8</v>
      </c>
      <c r="M1089" s="113"/>
    </row>
    <row r="1090" spans="1:14" ht="13.5" customHeight="1" x14ac:dyDescent="0.2">
      <c r="A1090" s="106" t="s">
        <v>7051</v>
      </c>
      <c r="B1090" s="272" t="s">
        <v>3646</v>
      </c>
      <c r="C1090" s="105" t="s">
        <v>7096</v>
      </c>
      <c r="D1090" s="149" t="s">
        <v>3648</v>
      </c>
      <c r="E1090" s="157">
        <v>1</v>
      </c>
      <c r="F1090" s="134">
        <v>30</v>
      </c>
      <c r="G1090" s="134">
        <v>34.5</v>
      </c>
      <c r="H1090" s="109">
        <f t="shared" si="49"/>
        <v>34.5</v>
      </c>
      <c r="I1090" s="119"/>
      <c r="J1090" s="119">
        <v>0</v>
      </c>
      <c r="K1090" s="119">
        <f t="shared" si="50"/>
        <v>34.5</v>
      </c>
      <c r="L1090" s="152">
        <f t="shared" si="51"/>
        <v>30</v>
      </c>
      <c r="M1090" s="113"/>
    </row>
    <row r="1091" spans="1:14" ht="13.5" customHeight="1" x14ac:dyDescent="0.2">
      <c r="A1091" s="106" t="s">
        <v>7051</v>
      </c>
      <c r="B1091" s="272" t="s">
        <v>7068</v>
      </c>
      <c r="C1091" s="105" t="s">
        <v>7096</v>
      </c>
      <c r="D1091" s="149" t="s">
        <v>7158</v>
      </c>
      <c r="E1091" s="157">
        <v>1</v>
      </c>
      <c r="F1091" s="134">
        <v>31.25</v>
      </c>
      <c r="G1091" s="134">
        <v>36</v>
      </c>
      <c r="H1091" s="109">
        <f t="shared" si="49"/>
        <v>36</v>
      </c>
      <c r="I1091" s="119"/>
      <c r="J1091" s="119">
        <v>0</v>
      </c>
      <c r="K1091" s="119">
        <f t="shared" si="50"/>
        <v>36</v>
      </c>
      <c r="L1091" s="152">
        <f t="shared" si="51"/>
        <v>31.25</v>
      </c>
      <c r="M1091" s="113"/>
    </row>
    <row r="1092" spans="1:14" ht="13.5" customHeight="1" x14ac:dyDescent="0.2">
      <c r="A1092" s="106" t="s">
        <v>7051</v>
      </c>
      <c r="B1092" s="272" t="s">
        <v>4802</v>
      </c>
      <c r="C1092" s="105" t="s">
        <v>7097</v>
      </c>
      <c r="D1092" s="149" t="s">
        <v>4870</v>
      </c>
      <c r="E1092" s="157">
        <v>1</v>
      </c>
      <c r="F1092" s="134">
        <v>127.18</v>
      </c>
      <c r="G1092" s="134">
        <v>146.5</v>
      </c>
      <c r="H1092" s="109">
        <f t="shared" si="49"/>
        <v>146.5</v>
      </c>
      <c r="I1092" s="119"/>
      <c r="J1092" s="119">
        <v>0</v>
      </c>
      <c r="K1092" s="119">
        <f t="shared" si="50"/>
        <v>146.5</v>
      </c>
      <c r="L1092" s="152">
        <f t="shared" si="51"/>
        <v>127.18</v>
      </c>
      <c r="M1092" s="113"/>
    </row>
    <row r="1093" spans="1:14" ht="13.5" customHeight="1" x14ac:dyDescent="0.2">
      <c r="A1093" s="106" t="s">
        <v>7051</v>
      </c>
      <c r="B1093" s="272" t="s">
        <v>3748</v>
      </c>
      <c r="C1093" s="105" t="s">
        <v>7097</v>
      </c>
      <c r="D1093" s="149" t="s">
        <v>3749</v>
      </c>
      <c r="E1093" s="157">
        <v>1</v>
      </c>
      <c r="F1093" s="134">
        <v>90.94</v>
      </c>
      <c r="G1093" s="134">
        <v>105.25</v>
      </c>
      <c r="H1093" s="109">
        <f t="shared" si="49"/>
        <v>105.25</v>
      </c>
      <c r="I1093" s="119"/>
      <c r="J1093" s="119">
        <v>0</v>
      </c>
      <c r="K1093" s="119">
        <f t="shared" si="50"/>
        <v>105.25</v>
      </c>
      <c r="L1093" s="152">
        <f t="shared" si="51"/>
        <v>90.94</v>
      </c>
      <c r="M1093" s="113"/>
    </row>
    <row r="1094" spans="1:14" ht="13.5" customHeight="1" x14ac:dyDescent="0.2">
      <c r="A1094" s="106" t="s">
        <v>7051</v>
      </c>
      <c r="B1094" s="272" t="s">
        <v>2884</v>
      </c>
      <c r="C1094" s="105" t="s">
        <v>7097</v>
      </c>
      <c r="D1094" s="149" t="s">
        <v>2886</v>
      </c>
      <c r="E1094" s="157">
        <v>3</v>
      </c>
      <c r="F1094" s="134">
        <v>251.67</v>
      </c>
      <c r="G1094" s="134">
        <v>362.75</v>
      </c>
      <c r="H1094" s="109">
        <f t="shared" ref="H1094:H1157" si="52">E1094*G1094</f>
        <v>1088.25</v>
      </c>
      <c r="I1094" s="119"/>
      <c r="J1094" s="119">
        <v>0</v>
      </c>
      <c r="K1094" s="119">
        <f t="shared" si="50"/>
        <v>1088.25</v>
      </c>
      <c r="L1094" s="152">
        <f t="shared" si="51"/>
        <v>755.01</v>
      </c>
      <c r="M1094" s="113"/>
    </row>
    <row r="1095" spans="1:14" ht="13.5" customHeight="1" x14ac:dyDescent="0.2">
      <c r="A1095" s="106" t="s">
        <v>7051</v>
      </c>
      <c r="B1095" s="272" t="s">
        <v>3054</v>
      </c>
      <c r="C1095" s="105" t="s">
        <v>7098</v>
      </c>
      <c r="D1095" s="149" t="s">
        <v>3056</v>
      </c>
      <c r="E1095" s="157">
        <v>4</v>
      </c>
      <c r="F1095" s="134">
        <v>3500</v>
      </c>
      <c r="G1095" s="134">
        <v>4000</v>
      </c>
      <c r="H1095" s="109">
        <f t="shared" si="52"/>
        <v>16000</v>
      </c>
      <c r="I1095" s="119"/>
      <c r="J1095" s="119">
        <v>0</v>
      </c>
      <c r="K1095" s="119">
        <f t="shared" si="50"/>
        <v>16000</v>
      </c>
      <c r="L1095" s="152">
        <f t="shared" si="51"/>
        <v>14000</v>
      </c>
      <c r="M1095" s="113"/>
    </row>
    <row r="1096" spans="1:14" ht="13.5" customHeight="1" x14ac:dyDescent="0.2">
      <c r="A1096" s="106" t="s">
        <v>7051</v>
      </c>
      <c r="B1096" s="272" t="s">
        <v>1802</v>
      </c>
      <c r="C1096" s="105" t="s">
        <v>7099</v>
      </c>
      <c r="D1096" s="149" t="s">
        <v>1803</v>
      </c>
      <c r="E1096" s="157">
        <v>1</v>
      </c>
      <c r="F1096" s="134">
        <v>7.75</v>
      </c>
      <c r="G1096" s="134">
        <v>9</v>
      </c>
      <c r="H1096" s="109">
        <f t="shared" si="52"/>
        <v>9</v>
      </c>
      <c r="I1096" s="119"/>
      <c r="J1096" s="119">
        <v>0</v>
      </c>
      <c r="K1096" s="119">
        <f t="shared" ref="K1096:K1159" si="53">H1096+I1096-J1096</f>
        <v>9</v>
      </c>
      <c r="L1096" s="152">
        <f t="shared" ref="L1096:L1159" si="54">E1096*F1096</f>
        <v>7.75</v>
      </c>
      <c r="M1096" s="113"/>
    </row>
    <row r="1097" spans="1:14" ht="13.5" customHeight="1" x14ac:dyDescent="0.2">
      <c r="A1097" s="106" t="s">
        <v>7051</v>
      </c>
      <c r="B1097" s="272" t="s">
        <v>3314</v>
      </c>
      <c r="C1097" s="105" t="s">
        <v>7100</v>
      </c>
      <c r="D1097" s="149" t="s">
        <v>3316</v>
      </c>
      <c r="E1097" s="157">
        <v>1</v>
      </c>
      <c r="F1097" s="134">
        <v>16.579999999999998</v>
      </c>
      <c r="G1097" s="134">
        <v>19</v>
      </c>
      <c r="H1097" s="109">
        <f t="shared" si="52"/>
        <v>19</v>
      </c>
      <c r="I1097" s="119"/>
      <c r="J1097" s="119">
        <v>0</v>
      </c>
      <c r="K1097" s="119">
        <f t="shared" si="53"/>
        <v>19</v>
      </c>
      <c r="L1097" s="152">
        <f t="shared" si="54"/>
        <v>16.579999999999998</v>
      </c>
      <c r="M1097" s="113"/>
    </row>
    <row r="1098" spans="1:14" ht="13.5" customHeight="1" x14ac:dyDescent="0.2">
      <c r="A1098" s="106" t="s">
        <v>7051</v>
      </c>
      <c r="B1098" s="272" t="s">
        <v>1888</v>
      </c>
      <c r="C1098" s="105" t="s">
        <v>7100</v>
      </c>
      <c r="D1098" s="149" t="s">
        <v>1890</v>
      </c>
      <c r="E1098" s="157">
        <v>1</v>
      </c>
      <c r="F1098" s="134">
        <v>20.68</v>
      </c>
      <c r="G1098" s="134">
        <v>24</v>
      </c>
      <c r="H1098" s="109">
        <f t="shared" si="52"/>
        <v>24</v>
      </c>
      <c r="I1098" s="119"/>
      <c r="J1098" s="119">
        <v>0</v>
      </c>
      <c r="K1098" s="119">
        <f t="shared" si="53"/>
        <v>24</v>
      </c>
      <c r="L1098" s="152">
        <f t="shared" si="54"/>
        <v>20.68</v>
      </c>
      <c r="M1098" s="113"/>
    </row>
    <row r="1099" spans="1:14" ht="13.5" customHeight="1" x14ac:dyDescent="0.2">
      <c r="A1099" s="106" t="s">
        <v>7051</v>
      </c>
      <c r="B1099" s="272" t="s">
        <v>4804</v>
      </c>
      <c r="C1099" s="105" t="s">
        <v>7101</v>
      </c>
      <c r="D1099" s="149" t="s">
        <v>4872</v>
      </c>
      <c r="E1099" s="157">
        <v>2</v>
      </c>
      <c r="F1099" s="134">
        <v>7.48</v>
      </c>
      <c r="G1099" s="134">
        <v>8.75</v>
      </c>
      <c r="H1099" s="109">
        <f t="shared" si="52"/>
        <v>17.5</v>
      </c>
      <c r="I1099" s="119"/>
      <c r="J1099" s="119">
        <v>0</v>
      </c>
      <c r="K1099" s="119">
        <f t="shared" si="53"/>
        <v>17.5</v>
      </c>
      <c r="L1099" s="152">
        <f t="shared" si="54"/>
        <v>14.96</v>
      </c>
      <c r="M1099" s="113"/>
    </row>
    <row r="1100" spans="1:14" ht="13.5" customHeight="1" x14ac:dyDescent="0.2">
      <c r="A1100" s="106" t="s">
        <v>7051</v>
      </c>
      <c r="B1100" s="272" t="s">
        <v>6870</v>
      </c>
      <c r="C1100" s="105" t="s">
        <v>7102</v>
      </c>
      <c r="D1100" s="149" t="s">
        <v>6981</v>
      </c>
      <c r="E1100" s="157">
        <v>1</v>
      </c>
      <c r="F1100" s="134">
        <v>80</v>
      </c>
      <c r="G1100" s="134">
        <v>100</v>
      </c>
      <c r="H1100" s="109">
        <f t="shared" si="52"/>
        <v>100</v>
      </c>
      <c r="I1100" s="119"/>
      <c r="J1100" s="119">
        <v>0</v>
      </c>
      <c r="K1100" s="119">
        <f t="shared" si="53"/>
        <v>100</v>
      </c>
      <c r="L1100" s="152">
        <f t="shared" si="54"/>
        <v>80</v>
      </c>
      <c r="M1100" s="113"/>
    </row>
    <row r="1101" spans="1:14" ht="13.5" customHeight="1" x14ac:dyDescent="0.2">
      <c r="A1101" s="106" t="s">
        <v>7051</v>
      </c>
      <c r="B1101" s="272" t="s">
        <v>3909</v>
      </c>
      <c r="C1101" s="105" t="s">
        <v>7103</v>
      </c>
      <c r="D1101" s="149" t="s">
        <v>3911</v>
      </c>
      <c r="E1101" s="157">
        <v>1</v>
      </c>
      <c r="F1101" s="134">
        <v>7.06</v>
      </c>
      <c r="G1101" s="134">
        <v>8.25</v>
      </c>
      <c r="H1101" s="109">
        <f t="shared" si="52"/>
        <v>8.25</v>
      </c>
      <c r="I1101" s="119"/>
      <c r="J1101" s="119">
        <v>0</v>
      </c>
      <c r="K1101" s="119">
        <f t="shared" si="53"/>
        <v>8.25</v>
      </c>
      <c r="L1101" s="152">
        <f t="shared" si="54"/>
        <v>7.06</v>
      </c>
      <c r="M1101" s="113"/>
    </row>
    <row r="1102" spans="1:14" ht="13.5" customHeight="1" x14ac:dyDescent="0.2">
      <c r="A1102" s="106" t="s">
        <v>7051</v>
      </c>
      <c r="B1102" s="272" t="s">
        <v>4567</v>
      </c>
      <c r="C1102" s="105" t="s">
        <v>7104</v>
      </c>
      <c r="D1102" s="149" t="s">
        <v>4672</v>
      </c>
      <c r="E1102" s="157">
        <v>1</v>
      </c>
      <c r="F1102" s="134">
        <v>7.06</v>
      </c>
      <c r="G1102" s="134">
        <v>8.25</v>
      </c>
      <c r="H1102" s="109">
        <f t="shared" si="52"/>
        <v>8.25</v>
      </c>
      <c r="I1102" s="119"/>
      <c r="J1102" s="119">
        <v>0</v>
      </c>
      <c r="K1102" s="119">
        <f t="shared" si="53"/>
        <v>8.25</v>
      </c>
      <c r="L1102" s="152">
        <f t="shared" si="54"/>
        <v>7.06</v>
      </c>
      <c r="M1102" s="113"/>
    </row>
    <row r="1103" spans="1:14" ht="13.5" customHeight="1" x14ac:dyDescent="0.2">
      <c r="A1103" s="106" t="s">
        <v>7051</v>
      </c>
      <c r="B1103" s="272" t="s">
        <v>1884</v>
      </c>
      <c r="C1103" s="105" t="s">
        <v>7104</v>
      </c>
      <c r="D1103" s="149" t="s">
        <v>1885</v>
      </c>
      <c r="E1103" s="157">
        <v>1</v>
      </c>
      <c r="F1103" s="134">
        <v>7.06</v>
      </c>
      <c r="G1103" s="134">
        <v>8.25</v>
      </c>
      <c r="H1103" s="109">
        <f t="shared" si="52"/>
        <v>8.25</v>
      </c>
      <c r="I1103" s="119"/>
      <c r="J1103" s="119">
        <v>0</v>
      </c>
      <c r="K1103" s="119">
        <f t="shared" si="53"/>
        <v>8.25</v>
      </c>
      <c r="L1103" s="152">
        <f t="shared" si="54"/>
        <v>7.06</v>
      </c>
      <c r="M1103" s="113"/>
    </row>
    <row r="1104" spans="1:14" s="249" customFormat="1" ht="13.5" customHeight="1" x14ac:dyDescent="0.2">
      <c r="A1104" s="106" t="s">
        <v>7051</v>
      </c>
      <c r="B1104" s="272" t="s">
        <v>2848</v>
      </c>
      <c r="C1104" s="105" t="s">
        <v>7105</v>
      </c>
      <c r="D1104" s="149" t="s">
        <v>2850</v>
      </c>
      <c r="E1104" s="157">
        <v>1</v>
      </c>
      <c r="F1104" s="134">
        <v>16.55</v>
      </c>
      <c r="G1104" s="134">
        <v>19.25</v>
      </c>
      <c r="H1104" s="109">
        <f t="shared" si="52"/>
        <v>19.25</v>
      </c>
      <c r="I1104" s="119"/>
      <c r="J1104" s="119">
        <v>0</v>
      </c>
      <c r="K1104" s="119">
        <f t="shared" si="53"/>
        <v>19.25</v>
      </c>
      <c r="L1104" s="152">
        <f t="shared" si="54"/>
        <v>16.55</v>
      </c>
      <c r="M1104" s="113"/>
      <c r="N1104" s="114"/>
    </row>
    <row r="1105" spans="1:14" s="249" customFormat="1" ht="13.5" customHeight="1" x14ac:dyDescent="0.2">
      <c r="A1105" s="106" t="s">
        <v>7051</v>
      </c>
      <c r="B1105" s="272" t="s">
        <v>1897</v>
      </c>
      <c r="C1105" s="105" t="s">
        <v>7105</v>
      </c>
      <c r="D1105" s="149" t="s">
        <v>1898</v>
      </c>
      <c r="E1105" s="157">
        <v>1</v>
      </c>
      <c r="F1105" s="134">
        <v>27.5</v>
      </c>
      <c r="G1105" s="134">
        <v>31.75</v>
      </c>
      <c r="H1105" s="109">
        <f t="shared" si="52"/>
        <v>31.75</v>
      </c>
      <c r="I1105" s="119"/>
      <c r="J1105" s="119">
        <v>0</v>
      </c>
      <c r="K1105" s="119">
        <f t="shared" si="53"/>
        <v>31.75</v>
      </c>
      <c r="L1105" s="152">
        <f t="shared" si="54"/>
        <v>27.5</v>
      </c>
      <c r="M1105" s="113"/>
      <c r="N1105" s="114"/>
    </row>
    <row r="1106" spans="1:14" s="249" customFormat="1" x14ac:dyDescent="0.2">
      <c r="A1106" s="106" t="s">
        <v>7051</v>
      </c>
      <c r="B1106" s="272" t="s">
        <v>3314</v>
      </c>
      <c r="C1106" s="105" t="s">
        <v>7105</v>
      </c>
      <c r="D1106" s="149" t="s">
        <v>3316</v>
      </c>
      <c r="E1106" s="157">
        <v>1</v>
      </c>
      <c r="F1106" s="134">
        <v>16.579999999999998</v>
      </c>
      <c r="G1106" s="134">
        <v>19</v>
      </c>
      <c r="H1106" s="109">
        <f t="shared" si="52"/>
        <v>19</v>
      </c>
      <c r="I1106" s="119"/>
      <c r="J1106" s="119">
        <v>0</v>
      </c>
      <c r="K1106" s="119">
        <f t="shared" si="53"/>
        <v>19</v>
      </c>
      <c r="L1106" s="152">
        <f t="shared" si="54"/>
        <v>16.579999999999998</v>
      </c>
      <c r="M1106" s="113"/>
      <c r="N1106" s="114"/>
    </row>
    <row r="1107" spans="1:14" s="249" customFormat="1" x14ac:dyDescent="0.2">
      <c r="A1107" s="106" t="s">
        <v>7051</v>
      </c>
      <c r="B1107" s="272" t="s">
        <v>3842</v>
      </c>
      <c r="C1107" s="105" t="s">
        <v>7105</v>
      </c>
      <c r="D1107" s="149" t="s">
        <v>3844</v>
      </c>
      <c r="E1107" s="157">
        <v>1</v>
      </c>
      <c r="F1107" s="134">
        <v>41.83</v>
      </c>
      <c r="G1107" s="134">
        <v>48.25</v>
      </c>
      <c r="H1107" s="109">
        <f t="shared" si="52"/>
        <v>48.25</v>
      </c>
      <c r="I1107" s="119"/>
      <c r="J1107" s="119">
        <v>0</v>
      </c>
      <c r="K1107" s="119">
        <f t="shared" si="53"/>
        <v>48.25</v>
      </c>
      <c r="L1107" s="152">
        <f t="shared" si="54"/>
        <v>41.83</v>
      </c>
      <c r="M1107" s="113"/>
      <c r="N1107" s="114"/>
    </row>
    <row r="1108" spans="1:14" s="249" customFormat="1" x14ac:dyDescent="0.2">
      <c r="A1108" s="106" t="s">
        <v>7051</v>
      </c>
      <c r="B1108" s="272" t="s">
        <v>7069</v>
      </c>
      <c r="C1108" s="105" t="s">
        <v>7105</v>
      </c>
      <c r="D1108" s="149" t="s">
        <v>7159</v>
      </c>
      <c r="E1108" s="157">
        <v>1</v>
      </c>
      <c r="F1108" s="134">
        <v>6.18</v>
      </c>
      <c r="G1108" s="134">
        <v>7.5</v>
      </c>
      <c r="H1108" s="109">
        <f t="shared" si="52"/>
        <v>7.5</v>
      </c>
      <c r="I1108" s="119"/>
      <c r="J1108" s="119">
        <v>0</v>
      </c>
      <c r="K1108" s="119">
        <f t="shared" si="53"/>
        <v>7.5</v>
      </c>
      <c r="L1108" s="152">
        <f t="shared" si="54"/>
        <v>6.18</v>
      </c>
      <c r="M1108" s="113"/>
      <c r="N1108" s="114"/>
    </row>
    <row r="1109" spans="1:14" s="249" customFormat="1" x14ac:dyDescent="0.2">
      <c r="A1109" s="106" t="s">
        <v>7051</v>
      </c>
      <c r="B1109" s="272" t="s">
        <v>1937</v>
      </c>
      <c r="C1109" s="105" t="s">
        <v>7105</v>
      </c>
      <c r="D1109" s="149" t="s">
        <v>1938</v>
      </c>
      <c r="E1109" s="157">
        <v>1</v>
      </c>
      <c r="F1109" s="134">
        <v>6.18</v>
      </c>
      <c r="G1109" s="134">
        <v>7.25</v>
      </c>
      <c r="H1109" s="109">
        <f t="shared" si="52"/>
        <v>7.25</v>
      </c>
      <c r="I1109" s="119"/>
      <c r="J1109" s="119">
        <v>0</v>
      </c>
      <c r="K1109" s="119">
        <f t="shared" si="53"/>
        <v>7.25</v>
      </c>
      <c r="L1109" s="152">
        <f t="shared" si="54"/>
        <v>6.18</v>
      </c>
      <c r="M1109" s="113"/>
      <c r="N1109" s="114"/>
    </row>
    <row r="1110" spans="1:14" s="249" customFormat="1" x14ac:dyDescent="0.2">
      <c r="A1110" s="106" t="s">
        <v>7051</v>
      </c>
      <c r="B1110" s="272" t="s">
        <v>4568</v>
      </c>
      <c r="C1110" s="105" t="s">
        <v>7105</v>
      </c>
      <c r="D1110" s="149" t="s">
        <v>4673</v>
      </c>
      <c r="E1110" s="157">
        <v>1</v>
      </c>
      <c r="F1110" s="134">
        <v>34.47</v>
      </c>
      <c r="G1110" s="134">
        <v>39.75</v>
      </c>
      <c r="H1110" s="109">
        <f t="shared" si="52"/>
        <v>39.75</v>
      </c>
      <c r="I1110" s="119"/>
      <c r="J1110" s="119">
        <v>0</v>
      </c>
      <c r="K1110" s="119">
        <f t="shared" si="53"/>
        <v>39.75</v>
      </c>
      <c r="L1110" s="152">
        <f t="shared" si="54"/>
        <v>34.47</v>
      </c>
      <c r="M1110" s="113"/>
      <c r="N1110" s="114"/>
    </row>
    <row r="1111" spans="1:14" s="249" customFormat="1" x14ac:dyDescent="0.2">
      <c r="A1111" s="106" t="s">
        <v>7051</v>
      </c>
      <c r="B1111" s="272" t="s">
        <v>2257</v>
      </c>
      <c r="C1111" s="105" t="s">
        <v>7105</v>
      </c>
      <c r="D1111" s="149" t="s">
        <v>2258</v>
      </c>
      <c r="E1111" s="157">
        <v>1</v>
      </c>
      <c r="F1111" s="134">
        <v>59.5</v>
      </c>
      <c r="G1111" s="134">
        <v>68.5</v>
      </c>
      <c r="H1111" s="109">
        <f t="shared" si="52"/>
        <v>68.5</v>
      </c>
      <c r="I1111" s="119"/>
      <c r="J1111" s="119">
        <v>0</v>
      </c>
      <c r="K1111" s="119">
        <f t="shared" si="53"/>
        <v>68.5</v>
      </c>
      <c r="L1111" s="152">
        <f t="shared" si="54"/>
        <v>59.5</v>
      </c>
      <c r="M1111" s="113"/>
      <c r="N1111" s="114"/>
    </row>
    <row r="1112" spans="1:14" s="249" customFormat="1" x14ac:dyDescent="0.2">
      <c r="A1112" s="106" t="s">
        <v>7051</v>
      </c>
      <c r="B1112" s="272" t="s">
        <v>2008</v>
      </c>
      <c r="C1112" s="105" t="s">
        <v>7105</v>
      </c>
      <c r="D1112" s="149" t="s">
        <v>2010</v>
      </c>
      <c r="E1112" s="157">
        <v>1</v>
      </c>
      <c r="F1112" s="134">
        <v>44.8</v>
      </c>
      <c r="G1112" s="134">
        <v>51.75</v>
      </c>
      <c r="H1112" s="109">
        <f t="shared" si="52"/>
        <v>51.75</v>
      </c>
      <c r="I1112" s="119"/>
      <c r="J1112" s="119">
        <v>0</v>
      </c>
      <c r="K1112" s="119">
        <f t="shared" si="53"/>
        <v>51.75</v>
      </c>
      <c r="L1112" s="152">
        <f t="shared" si="54"/>
        <v>44.8</v>
      </c>
      <c r="M1112" s="113"/>
      <c r="N1112" s="114"/>
    </row>
    <row r="1113" spans="1:14" s="249" customFormat="1" x14ac:dyDescent="0.2">
      <c r="A1113" s="106" t="s">
        <v>7051</v>
      </c>
      <c r="B1113" s="272" t="s">
        <v>4804</v>
      </c>
      <c r="C1113" s="105" t="s">
        <v>7105</v>
      </c>
      <c r="D1113" s="149" t="s">
        <v>4872</v>
      </c>
      <c r="E1113" s="157">
        <v>2</v>
      </c>
      <c r="F1113" s="134">
        <v>7.48</v>
      </c>
      <c r="G1113" s="134">
        <v>8.75</v>
      </c>
      <c r="H1113" s="109">
        <f t="shared" si="52"/>
        <v>17.5</v>
      </c>
      <c r="I1113" s="119"/>
      <c r="J1113" s="119">
        <v>0</v>
      </c>
      <c r="K1113" s="119">
        <f t="shared" si="53"/>
        <v>17.5</v>
      </c>
      <c r="L1113" s="152">
        <f t="shared" si="54"/>
        <v>14.96</v>
      </c>
      <c r="M1113" s="113"/>
      <c r="N1113" s="114"/>
    </row>
    <row r="1114" spans="1:14" s="249" customFormat="1" x14ac:dyDescent="0.2">
      <c r="A1114" s="106" t="s">
        <v>7051</v>
      </c>
      <c r="B1114" s="272" t="s">
        <v>4201</v>
      </c>
      <c r="C1114" s="105" t="s">
        <v>7105</v>
      </c>
      <c r="D1114" s="149" t="s">
        <v>4202</v>
      </c>
      <c r="E1114" s="157">
        <v>13</v>
      </c>
      <c r="F1114" s="134">
        <v>24.35</v>
      </c>
      <c r="G1114" s="134">
        <v>28</v>
      </c>
      <c r="H1114" s="109">
        <f t="shared" si="52"/>
        <v>364</v>
      </c>
      <c r="I1114" s="119"/>
      <c r="J1114" s="119">
        <v>0</v>
      </c>
      <c r="K1114" s="119">
        <f t="shared" si="53"/>
        <v>364</v>
      </c>
      <c r="L1114" s="152">
        <f t="shared" si="54"/>
        <v>316.55</v>
      </c>
      <c r="M1114" s="113"/>
      <c r="N1114" s="114"/>
    </row>
    <row r="1115" spans="1:14" s="249" customFormat="1" x14ac:dyDescent="0.2">
      <c r="A1115" s="106" t="s">
        <v>7051</v>
      </c>
      <c r="B1115" s="272" t="s">
        <v>2094</v>
      </c>
      <c r="C1115" s="105" t="s">
        <v>7105</v>
      </c>
      <c r="D1115" s="149" t="s">
        <v>2096</v>
      </c>
      <c r="E1115" s="157">
        <v>1</v>
      </c>
      <c r="F1115" s="134">
        <v>12.56</v>
      </c>
      <c r="G1115" s="134">
        <v>14.5</v>
      </c>
      <c r="H1115" s="109">
        <f t="shared" si="52"/>
        <v>14.5</v>
      </c>
      <c r="I1115" s="119"/>
      <c r="J1115" s="119">
        <v>0</v>
      </c>
      <c r="K1115" s="119">
        <f t="shared" si="53"/>
        <v>14.5</v>
      </c>
      <c r="L1115" s="152">
        <f t="shared" si="54"/>
        <v>12.56</v>
      </c>
      <c r="M1115" s="113"/>
      <c r="N1115" s="114"/>
    </row>
    <row r="1116" spans="1:14" s="249" customFormat="1" x14ac:dyDescent="0.2">
      <c r="A1116" s="106" t="s">
        <v>7051</v>
      </c>
      <c r="B1116" s="272" t="s">
        <v>4806</v>
      </c>
      <c r="C1116" s="105" t="s">
        <v>7105</v>
      </c>
      <c r="D1116" s="149" t="s">
        <v>4874</v>
      </c>
      <c r="E1116" s="157">
        <v>6</v>
      </c>
      <c r="F1116" s="134">
        <v>8.58</v>
      </c>
      <c r="G1116" s="134">
        <v>10</v>
      </c>
      <c r="H1116" s="109">
        <f t="shared" si="52"/>
        <v>60</v>
      </c>
      <c r="I1116" s="119"/>
      <c r="J1116" s="119">
        <v>0</v>
      </c>
      <c r="K1116" s="119">
        <f t="shared" si="53"/>
        <v>60</v>
      </c>
      <c r="L1116" s="152">
        <f t="shared" si="54"/>
        <v>51.480000000000004</v>
      </c>
      <c r="M1116" s="113"/>
      <c r="N1116" s="114"/>
    </row>
    <row r="1117" spans="1:14" s="249" customFormat="1" x14ac:dyDescent="0.2">
      <c r="A1117" s="106" t="s">
        <v>7051</v>
      </c>
      <c r="B1117" s="272" t="s">
        <v>4197</v>
      </c>
      <c r="C1117" s="105" t="s">
        <v>7105</v>
      </c>
      <c r="D1117" s="149" t="s">
        <v>4198</v>
      </c>
      <c r="E1117" s="157">
        <v>1</v>
      </c>
      <c r="F1117" s="134">
        <v>14.75</v>
      </c>
      <c r="G1117" s="134">
        <v>17</v>
      </c>
      <c r="H1117" s="109">
        <f t="shared" si="52"/>
        <v>17</v>
      </c>
      <c r="I1117" s="119"/>
      <c r="J1117" s="119">
        <v>0</v>
      </c>
      <c r="K1117" s="119">
        <f t="shared" si="53"/>
        <v>17</v>
      </c>
      <c r="L1117" s="152">
        <f t="shared" si="54"/>
        <v>14.75</v>
      </c>
      <c r="M1117" s="113"/>
      <c r="N1117" s="114"/>
    </row>
    <row r="1118" spans="1:14" s="249" customFormat="1" x14ac:dyDescent="0.2">
      <c r="A1118" s="106" t="s">
        <v>7051</v>
      </c>
      <c r="B1118" s="272" t="s">
        <v>2757</v>
      </c>
      <c r="C1118" s="105" t="s">
        <v>7105</v>
      </c>
      <c r="D1118" s="149" t="s">
        <v>2759</v>
      </c>
      <c r="E1118" s="157">
        <v>1</v>
      </c>
      <c r="F1118" s="134">
        <v>19</v>
      </c>
      <c r="G1118" s="134">
        <v>22</v>
      </c>
      <c r="H1118" s="109">
        <f t="shared" si="52"/>
        <v>22</v>
      </c>
      <c r="I1118" s="119"/>
      <c r="J1118" s="119">
        <v>0</v>
      </c>
      <c r="K1118" s="119">
        <f t="shared" si="53"/>
        <v>22</v>
      </c>
      <c r="L1118" s="152">
        <f t="shared" si="54"/>
        <v>19</v>
      </c>
      <c r="M1118" s="113"/>
      <c r="N1118" s="114"/>
    </row>
    <row r="1119" spans="1:14" s="249" customFormat="1" x14ac:dyDescent="0.2">
      <c r="A1119" s="106" t="s">
        <v>7051</v>
      </c>
      <c r="B1119" s="272" t="s">
        <v>3609</v>
      </c>
      <c r="C1119" s="105" t="s">
        <v>7105</v>
      </c>
      <c r="D1119" s="149" t="s">
        <v>3610</v>
      </c>
      <c r="E1119" s="157">
        <v>1</v>
      </c>
      <c r="F1119" s="134">
        <v>14.75</v>
      </c>
      <c r="G1119" s="134">
        <v>17</v>
      </c>
      <c r="H1119" s="109">
        <f t="shared" si="52"/>
        <v>17</v>
      </c>
      <c r="I1119" s="119"/>
      <c r="J1119" s="119">
        <v>0</v>
      </c>
      <c r="K1119" s="119">
        <f t="shared" si="53"/>
        <v>17</v>
      </c>
      <c r="L1119" s="152">
        <f t="shared" si="54"/>
        <v>14.75</v>
      </c>
      <c r="M1119" s="113"/>
      <c r="N1119" s="114"/>
    </row>
    <row r="1120" spans="1:14" s="249" customFormat="1" x14ac:dyDescent="0.2">
      <c r="A1120" s="106" t="s">
        <v>7051</v>
      </c>
      <c r="B1120" s="272" t="s">
        <v>4167</v>
      </c>
      <c r="C1120" s="105" t="s">
        <v>7105</v>
      </c>
      <c r="D1120" s="149" t="s">
        <v>4169</v>
      </c>
      <c r="E1120" s="157">
        <v>1</v>
      </c>
      <c r="F1120" s="134">
        <v>29</v>
      </c>
      <c r="G1120" s="134">
        <v>33.75</v>
      </c>
      <c r="H1120" s="109">
        <f t="shared" si="52"/>
        <v>33.75</v>
      </c>
      <c r="I1120" s="119"/>
      <c r="J1120" s="119">
        <v>0</v>
      </c>
      <c r="K1120" s="119">
        <f t="shared" si="53"/>
        <v>33.75</v>
      </c>
      <c r="L1120" s="152">
        <f t="shared" si="54"/>
        <v>29</v>
      </c>
      <c r="M1120" s="113"/>
      <c r="N1120" s="114"/>
    </row>
    <row r="1121" spans="1:14" s="249" customFormat="1" x14ac:dyDescent="0.2">
      <c r="A1121" s="106" t="s">
        <v>7051</v>
      </c>
      <c r="B1121" s="272" t="s">
        <v>2584</v>
      </c>
      <c r="C1121" s="105" t="s">
        <v>7105</v>
      </c>
      <c r="D1121" s="149" t="s">
        <v>2585</v>
      </c>
      <c r="E1121" s="157">
        <v>1</v>
      </c>
      <c r="F1121" s="134">
        <v>17.899999999999999</v>
      </c>
      <c r="G1121" s="134">
        <v>20.75</v>
      </c>
      <c r="H1121" s="109">
        <f t="shared" si="52"/>
        <v>20.75</v>
      </c>
      <c r="I1121" s="119"/>
      <c r="J1121" s="119">
        <v>0</v>
      </c>
      <c r="K1121" s="119">
        <f t="shared" si="53"/>
        <v>20.75</v>
      </c>
      <c r="L1121" s="152">
        <f t="shared" si="54"/>
        <v>17.899999999999999</v>
      </c>
      <c r="M1121" s="113"/>
      <c r="N1121" s="114"/>
    </row>
    <row r="1122" spans="1:14" s="249" customFormat="1" x14ac:dyDescent="0.2">
      <c r="A1122" s="106" t="s">
        <v>7051</v>
      </c>
      <c r="B1122" s="272" t="s">
        <v>4026</v>
      </c>
      <c r="C1122" s="105" t="s">
        <v>7105</v>
      </c>
      <c r="D1122" s="149" t="s">
        <v>4027</v>
      </c>
      <c r="E1122" s="157">
        <v>2</v>
      </c>
      <c r="F1122" s="134">
        <v>5.46</v>
      </c>
      <c r="G1122" s="134">
        <v>6.5</v>
      </c>
      <c r="H1122" s="109">
        <f t="shared" si="52"/>
        <v>13</v>
      </c>
      <c r="I1122" s="119"/>
      <c r="J1122" s="119">
        <v>0</v>
      </c>
      <c r="K1122" s="119">
        <f t="shared" si="53"/>
        <v>13</v>
      </c>
      <c r="L1122" s="152">
        <f t="shared" si="54"/>
        <v>10.92</v>
      </c>
      <c r="M1122" s="113"/>
      <c r="N1122" s="114"/>
    </row>
    <row r="1123" spans="1:14" s="249" customFormat="1" x14ac:dyDescent="0.2">
      <c r="A1123" s="106" t="s">
        <v>7051</v>
      </c>
      <c r="B1123" s="272" t="s">
        <v>4365</v>
      </c>
      <c r="C1123" s="105" t="s">
        <v>7105</v>
      </c>
      <c r="D1123" s="149" t="s">
        <v>4429</v>
      </c>
      <c r="E1123" s="157">
        <v>1</v>
      </c>
      <c r="F1123" s="134">
        <v>15.5</v>
      </c>
      <c r="G1123" s="134">
        <v>18</v>
      </c>
      <c r="H1123" s="109">
        <f t="shared" si="52"/>
        <v>18</v>
      </c>
      <c r="I1123" s="119"/>
      <c r="J1123" s="119">
        <v>0</v>
      </c>
      <c r="K1123" s="119">
        <f t="shared" si="53"/>
        <v>18</v>
      </c>
      <c r="L1123" s="152">
        <f t="shared" si="54"/>
        <v>15.5</v>
      </c>
      <c r="M1123" s="113"/>
      <c r="N1123" s="114"/>
    </row>
    <row r="1124" spans="1:14" s="249" customFormat="1" x14ac:dyDescent="0.2">
      <c r="A1124" s="106" t="s">
        <v>7051</v>
      </c>
      <c r="B1124" s="272" t="s">
        <v>7070</v>
      </c>
      <c r="C1124" s="105" t="s">
        <v>7105</v>
      </c>
      <c r="D1124" s="149" t="s">
        <v>7160</v>
      </c>
      <c r="E1124" s="157">
        <v>1</v>
      </c>
      <c r="F1124" s="134">
        <v>8.3000000000000007</v>
      </c>
      <c r="G1124" s="134">
        <v>9.75</v>
      </c>
      <c r="H1124" s="109">
        <f t="shared" si="52"/>
        <v>9.75</v>
      </c>
      <c r="I1124" s="119"/>
      <c r="J1124" s="119">
        <v>0</v>
      </c>
      <c r="K1124" s="119">
        <f t="shared" si="53"/>
        <v>9.75</v>
      </c>
      <c r="L1124" s="152">
        <f t="shared" si="54"/>
        <v>8.3000000000000007</v>
      </c>
      <c r="M1124" s="113"/>
      <c r="N1124" s="114"/>
    </row>
    <row r="1125" spans="1:14" s="249" customFormat="1" x14ac:dyDescent="0.2">
      <c r="A1125" s="106" t="s">
        <v>7051</v>
      </c>
      <c r="B1125" s="272" t="s">
        <v>7071</v>
      </c>
      <c r="C1125" s="105" t="s">
        <v>7105</v>
      </c>
      <c r="D1125" s="149" t="s">
        <v>7161</v>
      </c>
      <c r="E1125" s="157">
        <v>4</v>
      </c>
      <c r="F1125" s="134">
        <v>4.8</v>
      </c>
      <c r="G1125" s="134">
        <v>5.5</v>
      </c>
      <c r="H1125" s="109">
        <f t="shared" si="52"/>
        <v>22</v>
      </c>
      <c r="I1125" s="119"/>
      <c r="J1125" s="119">
        <v>0</v>
      </c>
      <c r="K1125" s="119">
        <f t="shared" si="53"/>
        <v>22</v>
      </c>
      <c r="L1125" s="152">
        <f t="shared" si="54"/>
        <v>19.2</v>
      </c>
      <c r="M1125" s="113"/>
      <c r="N1125" s="114"/>
    </row>
    <row r="1126" spans="1:14" s="249" customFormat="1" x14ac:dyDescent="0.2">
      <c r="A1126" s="106" t="s">
        <v>7051</v>
      </c>
      <c r="B1126" s="272" t="s">
        <v>7072</v>
      </c>
      <c r="C1126" s="105" t="s">
        <v>7105</v>
      </c>
      <c r="D1126" s="149" t="s">
        <v>7162</v>
      </c>
      <c r="E1126" s="157">
        <v>1</v>
      </c>
      <c r="F1126" s="134">
        <v>5.3</v>
      </c>
      <c r="G1126" s="134">
        <v>6.25</v>
      </c>
      <c r="H1126" s="109">
        <f t="shared" si="52"/>
        <v>6.25</v>
      </c>
      <c r="I1126" s="119"/>
      <c r="J1126" s="119">
        <v>0</v>
      </c>
      <c r="K1126" s="119">
        <f t="shared" si="53"/>
        <v>6.25</v>
      </c>
      <c r="L1126" s="152">
        <f t="shared" si="54"/>
        <v>5.3</v>
      </c>
      <c r="M1126" s="113"/>
      <c r="N1126" s="114"/>
    </row>
    <row r="1127" spans="1:14" s="249" customFormat="1" x14ac:dyDescent="0.2">
      <c r="A1127" s="106" t="s">
        <v>7051</v>
      </c>
      <c r="B1127" s="272" t="s">
        <v>7073</v>
      </c>
      <c r="C1127" s="105" t="s">
        <v>7105</v>
      </c>
      <c r="D1127" s="149" t="s">
        <v>7163</v>
      </c>
      <c r="E1127" s="157">
        <v>4</v>
      </c>
      <c r="F1127" s="134">
        <v>6.35</v>
      </c>
      <c r="G1127" s="134">
        <v>7.5</v>
      </c>
      <c r="H1127" s="109">
        <f t="shared" si="52"/>
        <v>30</v>
      </c>
      <c r="I1127" s="119"/>
      <c r="J1127" s="119">
        <v>0</v>
      </c>
      <c r="K1127" s="119">
        <f t="shared" si="53"/>
        <v>30</v>
      </c>
      <c r="L1127" s="152">
        <f t="shared" si="54"/>
        <v>25.4</v>
      </c>
      <c r="M1127" s="113"/>
      <c r="N1127" s="114"/>
    </row>
    <row r="1128" spans="1:14" s="249" customFormat="1" x14ac:dyDescent="0.2">
      <c r="A1128" s="106" t="s">
        <v>7051</v>
      </c>
      <c r="B1128" s="272" t="s">
        <v>7074</v>
      </c>
      <c r="C1128" s="105" t="s">
        <v>7105</v>
      </c>
      <c r="D1128" s="149" t="s">
        <v>7164</v>
      </c>
      <c r="E1128" s="157">
        <v>1</v>
      </c>
      <c r="F1128" s="134">
        <v>4.3</v>
      </c>
      <c r="G1128" s="134">
        <v>5</v>
      </c>
      <c r="H1128" s="109">
        <f t="shared" si="52"/>
        <v>5</v>
      </c>
      <c r="I1128" s="119"/>
      <c r="J1128" s="119">
        <v>0</v>
      </c>
      <c r="K1128" s="119">
        <f t="shared" si="53"/>
        <v>5</v>
      </c>
      <c r="L1128" s="152">
        <f t="shared" si="54"/>
        <v>4.3</v>
      </c>
      <c r="M1128" s="113"/>
      <c r="N1128" s="114"/>
    </row>
    <row r="1129" spans="1:14" s="249" customFormat="1" x14ac:dyDescent="0.2">
      <c r="A1129" s="106" t="s">
        <v>7051</v>
      </c>
      <c r="B1129" s="272" t="s">
        <v>2100</v>
      </c>
      <c r="C1129" s="105" t="s">
        <v>7105</v>
      </c>
      <c r="D1129" s="149" t="s">
        <v>2101</v>
      </c>
      <c r="E1129" s="157">
        <v>1</v>
      </c>
      <c r="F1129" s="134">
        <v>6.73</v>
      </c>
      <c r="G1129" s="134">
        <v>7.75</v>
      </c>
      <c r="H1129" s="109">
        <f t="shared" si="52"/>
        <v>7.75</v>
      </c>
      <c r="I1129" s="119"/>
      <c r="J1129" s="119">
        <v>0</v>
      </c>
      <c r="K1129" s="119">
        <f t="shared" si="53"/>
        <v>7.75</v>
      </c>
      <c r="L1129" s="152">
        <f t="shared" si="54"/>
        <v>6.73</v>
      </c>
      <c r="M1129" s="113"/>
      <c r="N1129" s="114"/>
    </row>
    <row r="1130" spans="1:14" s="249" customFormat="1" x14ac:dyDescent="0.2">
      <c r="A1130" s="106" t="s">
        <v>7051</v>
      </c>
      <c r="B1130" s="272" t="s">
        <v>2643</v>
      </c>
      <c r="C1130" s="105" t="s">
        <v>7105</v>
      </c>
      <c r="D1130" s="149" t="s">
        <v>2645</v>
      </c>
      <c r="E1130" s="157">
        <v>3</v>
      </c>
      <c r="F1130" s="134">
        <v>14.91</v>
      </c>
      <c r="G1130" s="134">
        <v>17.25</v>
      </c>
      <c r="H1130" s="109">
        <f t="shared" si="52"/>
        <v>51.75</v>
      </c>
      <c r="I1130" s="119"/>
      <c r="J1130" s="119">
        <v>0</v>
      </c>
      <c r="K1130" s="119">
        <f t="shared" si="53"/>
        <v>51.75</v>
      </c>
      <c r="L1130" s="152">
        <f t="shared" si="54"/>
        <v>44.730000000000004</v>
      </c>
      <c r="M1130" s="113"/>
      <c r="N1130" s="114"/>
    </row>
    <row r="1131" spans="1:14" s="249" customFormat="1" x14ac:dyDescent="0.2">
      <c r="A1131" s="106" t="s">
        <v>7051</v>
      </c>
      <c r="B1131" s="272" t="s">
        <v>3162</v>
      </c>
      <c r="C1131" s="105" t="s">
        <v>7105</v>
      </c>
      <c r="D1131" s="149" t="s">
        <v>3164</v>
      </c>
      <c r="E1131" s="157">
        <v>1</v>
      </c>
      <c r="F1131" s="134">
        <v>19.47</v>
      </c>
      <c r="G1131" s="134">
        <v>22.5</v>
      </c>
      <c r="H1131" s="109">
        <f t="shared" si="52"/>
        <v>22.5</v>
      </c>
      <c r="I1131" s="119"/>
      <c r="J1131" s="119">
        <v>0</v>
      </c>
      <c r="K1131" s="119">
        <f t="shared" si="53"/>
        <v>22.5</v>
      </c>
      <c r="L1131" s="152">
        <f t="shared" si="54"/>
        <v>19.47</v>
      </c>
      <c r="M1131" s="113"/>
      <c r="N1131" s="114"/>
    </row>
    <row r="1132" spans="1:14" s="249" customFormat="1" x14ac:dyDescent="0.2">
      <c r="A1132" s="106" t="s">
        <v>7051</v>
      </c>
      <c r="B1132" s="272" t="s">
        <v>2826</v>
      </c>
      <c r="C1132" s="105" t="s">
        <v>7105</v>
      </c>
      <c r="D1132" s="149" t="s">
        <v>2827</v>
      </c>
      <c r="E1132" s="157">
        <v>13</v>
      </c>
      <c r="F1132" s="134">
        <v>3.72</v>
      </c>
      <c r="G1132" s="134">
        <v>4.5</v>
      </c>
      <c r="H1132" s="109">
        <f t="shared" si="52"/>
        <v>58.5</v>
      </c>
      <c r="I1132" s="119"/>
      <c r="J1132" s="119">
        <v>0</v>
      </c>
      <c r="K1132" s="119">
        <f t="shared" si="53"/>
        <v>58.5</v>
      </c>
      <c r="L1132" s="152">
        <f t="shared" si="54"/>
        <v>48.36</v>
      </c>
      <c r="M1132" s="113"/>
      <c r="N1132" s="114"/>
    </row>
    <row r="1133" spans="1:14" s="249" customFormat="1" x14ac:dyDescent="0.2">
      <c r="A1133" s="106" t="s">
        <v>7051</v>
      </c>
      <c r="B1133" s="272" t="s">
        <v>7075</v>
      </c>
      <c r="C1133" s="105" t="s">
        <v>7105</v>
      </c>
      <c r="D1133" s="149" t="s">
        <v>7165</v>
      </c>
      <c r="E1133" s="157">
        <v>1</v>
      </c>
      <c r="F1133" s="134">
        <v>4.7</v>
      </c>
      <c r="G1133" s="134">
        <v>5.5</v>
      </c>
      <c r="H1133" s="109">
        <f t="shared" si="52"/>
        <v>5.5</v>
      </c>
      <c r="I1133" s="119"/>
      <c r="J1133" s="119">
        <v>0</v>
      </c>
      <c r="K1133" s="119">
        <f t="shared" si="53"/>
        <v>5.5</v>
      </c>
      <c r="L1133" s="152">
        <f t="shared" si="54"/>
        <v>4.7</v>
      </c>
      <c r="M1133" s="113"/>
      <c r="N1133" s="114"/>
    </row>
    <row r="1134" spans="1:14" s="249" customFormat="1" x14ac:dyDescent="0.2">
      <c r="A1134" s="106" t="s">
        <v>7051</v>
      </c>
      <c r="B1134" s="272" t="s">
        <v>3848</v>
      </c>
      <c r="C1134" s="105" t="s">
        <v>7105</v>
      </c>
      <c r="D1134" s="149" t="s">
        <v>3849</v>
      </c>
      <c r="E1134" s="157">
        <v>6</v>
      </c>
      <c r="F1134" s="134">
        <v>6.37</v>
      </c>
      <c r="G1134" s="134">
        <v>7.5</v>
      </c>
      <c r="H1134" s="109">
        <f t="shared" si="52"/>
        <v>45</v>
      </c>
      <c r="I1134" s="119"/>
      <c r="J1134" s="119">
        <v>0</v>
      </c>
      <c r="K1134" s="119">
        <f t="shared" si="53"/>
        <v>45</v>
      </c>
      <c r="L1134" s="152">
        <f t="shared" si="54"/>
        <v>38.22</v>
      </c>
      <c r="M1134" s="113"/>
      <c r="N1134" s="114"/>
    </row>
    <row r="1135" spans="1:14" s="249" customFormat="1" x14ac:dyDescent="0.2">
      <c r="A1135" s="106" t="s">
        <v>7051</v>
      </c>
      <c r="B1135" s="272" t="s">
        <v>3753</v>
      </c>
      <c r="C1135" s="105" t="s">
        <v>7105</v>
      </c>
      <c r="D1135" s="149" t="s">
        <v>3755</v>
      </c>
      <c r="E1135" s="157">
        <v>1</v>
      </c>
      <c r="F1135" s="134">
        <v>18.98</v>
      </c>
      <c r="G1135" s="134">
        <v>22</v>
      </c>
      <c r="H1135" s="109">
        <f t="shared" si="52"/>
        <v>22</v>
      </c>
      <c r="I1135" s="119"/>
      <c r="J1135" s="119">
        <v>0</v>
      </c>
      <c r="K1135" s="119">
        <f t="shared" si="53"/>
        <v>22</v>
      </c>
      <c r="L1135" s="152">
        <f t="shared" si="54"/>
        <v>18.98</v>
      </c>
      <c r="M1135" s="113"/>
      <c r="N1135" s="114"/>
    </row>
    <row r="1136" spans="1:14" s="249" customFormat="1" x14ac:dyDescent="0.2">
      <c r="A1136" s="106" t="s">
        <v>7051</v>
      </c>
      <c r="B1136" s="272" t="s">
        <v>4330</v>
      </c>
      <c r="C1136" s="105" t="s">
        <v>7105</v>
      </c>
      <c r="D1136" s="149" t="s">
        <v>4360</v>
      </c>
      <c r="E1136" s="157">
        <v>4</v>
      </c>
      <c r="F1136" s="134">
        <v>69.510000000000005</v>
      </c>
      <c r="G1136" s="134">
        <v>80</v>
      </c>
      <c r="H1136" s="109">
        <f t="shared" si="52"/>
        <v>320</v>
      </c>
      <c r="I1136" s="119"/>
      <c r="J1136" s="119">
        <v>0</v>
      </c>
      <c r="K1136" s="119">
        <f t="shared" si="53"/>
        <v>320</v>
      </c>
      <c r="L1136" s="152">
        <f t="shared" si="54"/>
        <v>278.04000000000002</v>
      </c>
      <c r="M1136" s="113"/>
      <c r="N1136" s="114"/>
    </row>
    <row r="1137" spans="1:14" s="249" customFormat="1" x14ac:dyDescent="0.2">
      <c r="A1137" s="106" t="s">
        <v>7051</v>
      </c>
      <c r="B1137" s="272" t="s">
        <v>2906</v>
      </c>
      <c r="C1137" s="105" t="s">
        <v>7105</v>
      </c>
      <c r="D1137" s="149" t="s">
        <v>2907</v>
      </c>
      <c r="E1137" s="157">
        <v>1</v>
      </c>
      <c r="F1137" s="134">
        <v>55.65</v>
      </c>
      <c r="G1137" s="134">
        <v>64</v>
      </c>
      <c r="H1137" s="109">
        <f t="shared" si="52"/>
        <v>64</v>
      </c>
      <c r="I1137" s="119"/>
      <c r="J1137" s="119">
        <v>0</v>
      </c>
      <c r="K1137" s="119">
        <f t="shared" si="53"/>
        <v>64</v>
      </c>
      <c r="L1137" s="152">
        <f t="shared" si="54"/>
        <v>55.65</v>
      </c>
      <c r="M1137" s="113"/>
      <c r="N1137" s="114"/>
    </row>
    <row r="1138" spans="1:14" s="249" customFormat="1" x14ac:dyDescent="0.2">
      <c r="A1138" s="106" t="s">
        <v>7051</v>
      </c>
      <c r="B1138" s="272" t="s">
        <v>2035</v>
      </c>
      <c r="C1138" s="105" t="s">
        <v>7105</v>
      </c>
      <c r="D1138" s="149" t="s">
        <v>2036</v>
      </c>
      <c r="E1138" s="157">
        <v>12</v>
      </c>
      <c r="F1138" s="134">
        <v>23.15</v>
      </c>
      <c r="G1138" s="134">
        <v>26.75</v>
      </c>
      <c r="H1138" s="109">
        <f t="shared" si="52"/>
        <v>321</v>
      </c>
      <c r="I1138" s="119"/>
      <c r="J1138" s="119">
        <v>0</v>
      </c>
      <c r="K1138" s="119">
        <f t="shared" si="53"/>
        <v>321</v>
      </c>
      <c r="L1138" s="152">
        <f t="shared" si="54"/>
        <v>277.79999999999995</v>
      </c>
      <c r="M1138" s="113"/>
      <c r="N1138" s="114"/>
    </row>
    <row r="1139" spans="1:14" s="249" customFormat="1" x14ac:dyDescent="0.2">
      <c r="A1139" s="106" t="s">
        <v>7051</v>
      </c>
      <c r="B1139" s="272" t="s">
        <v>4368</v>
      </c>
      <c r="C1139" s="105" t="s">
        <v>7105</v>
      </c>
      <c r="D1139" s="149" t="s">
        <v>4432</v>
      </c>
      <c r="E1139" s="157">
        <v>5</v>
      </c>
      <c r="F1139" s="134">
        <v>9.27</v>
      </c>
      <c r="G1139" s="134">
        <v>10.75</v>
      </c>
      <c r="H1139" s="109">
        <f t="shared" si="52"/>
        <v>53.75</v>
      </c>
      <c r="I1139" s="119"/>
      <c r="J1139" s="119">
        <v>0</v>
      </c>
      <c r="K1139" s="119">
        <f t="shared" si="53"/>
        <v>53.75</v>
      </c>
      <c r="L1139" s="152">
        <f t="shared" si="54"/>
        <v>46.349999999999994</v>
      </c>
      <c r="M1139" s="113"/>
      <c r="N1139" s="114"/>
    </row>
    <row r="1140" spans="1:14" s="249" customFormat="1" x14ac:dyDescent="0.2">
      <c r="A1140" s="106" t="s">
        <v>7051</v>
      </c>
      <c r="B1140" s="272" t="s">
        <v>1933</v>
      </c>
      <c r="C1140" s="105" t="s">
        <v>7105</v>
      </c>
      <c r="D1140" s="149" t="s">
        <v>1934</v>
      </c>
      <c r="E1140" s="157">
        <v>1</v>
      </c>
      <c r="F1140" s="134">
        <v>3.6</v>
      </c>
      <c r="G1140" s="134">
        <v>4.25</v>
      </c>
      <c r="H1140" s="109">
        <f t="shared" si="52"/>
        <v>4.25</v>
      </c>
      <c r="I1140" s="119"/>
      <c r="J1140" s="119">
        <v>0</v>
      </c>
      <c r="K1140" s="119">
        <f t="shared" si="53"/>
        <v>4.25</v>
      </c>
      <c r="L1140" s="152">
        <f t="shared" si="54"/>
        <v>3.6</v>
      </c>
      <c r="M1140" s="113"/>
      <c r="N1140" s="114"/>
    </row>
    <row r="1141" spans="1:14" s="249" customFormat="1" x14ac:dyDescent="0.2">
      <c r="A1141" s="106" t="s">
        <v>7051</v>
      </c>
      <c r="B1141" s="272" t="s">
        <v>5979</v>
      </c>
      <c r="C1141" s="105" t="s">
        <v>7105</v>
      </c>
      <c r="D1141" s="149" t="s">
        <v>6097</v>
      </c>
      <c r="E1141" s="157">
        <v>1</v>
      </c>
      <c r="F1141" s="134">
        <v>5.74</v>
      </c>
      <c r="G1141" s="134">
        <v>7</v>
      </c>
      <c r="H1141" s="109">
        <f t="shared" si="52"/>
        <v>7</v>
      </c>
      <c r="I1141" s="119"/>
      <c r="J1141" s="119">
        <v>0</v>
      </c>
      <c r="K1141" s="119">
        <f t="shared" si="53"/>
        <v>7</v>
      </c>
      <c r="L1141" s="152">
        <f t="shared" si="54"/>
        <v>5.74</v>
      </c>
      <c r="M1141" s="113"/>
      <c r="N1141" s="114"/>
    </row>
    <row r="1142" spans="1:14" s="249" customFormat="1" x14ac:dyDescent="0.2">
      <c r="A1142" s="106" t="s">
        <v>7051</v>
      </c>
      <c r="B1142" s="272" t="s">
        <v>4150</v>
      </c>
      <c r="C1142" s="105" t="s">
        <v>7105</v>
      </c>
      <c r="D1142" s="149" t="s">
        <v>4152</v>
      </c>
      <c r="E1142" s="157">
        <v>1</v>
      </c>
      <c r="F1142" s="134">
        <v>14.82</v>
      </c>
      <c r="G1142" s="134">
        <v>17.25</v>
      </c>
      <c r="H1142" s="109">
        <f t="shared" si="52"/>
        <v>17.25</v>
      </c>
      <c r="I1142" s="119"/>
      <c r="J1142" s="119">
        <v>0</v>
      </c>
      <c r="K1142" s="119">
        <f t="shared" si="53"/>
        <v>17.25</v>
      </c>
      <c r="L1142" s="152">
        <f t="shared" si="54"/>
        <v>14.82</v>
      </c>
      <c r="M1142" s="113"/>
      <c r="N1142" s="114"/>
    </row>
    <row r="1143" spans="1:14" s="249" customFormat="1" x14ac:dyDescent="0.2">
      <c r="A1143" s="106" t="s">
        <v>7051</v>
      </c>
      <c r="B1143" s="272" t="s">
        <v>4522</v>
      </c>
      <c r="C1143" s="105" t="s">
        <v>7105</v>
      </c>
      <c r="D1143" s="149" t="s">
        <v>4627</v>
      </c>
      <c r="E1143" s="157">
        <v>1</v>
      </c>
      <c r="F1143" s="134">
        <v>6.15</v>
      </c>
      <c r="G1143" s="134">
        <v>7.25</v>
      </c>
      <c r="H1143" s="109">
        <f t="shared" si="52"/>
        <v>7.25</v>
      </c>
      <c r="I1143" s="119"/>
      <c r="J1143" s="119">
        <v>0</v>
      </c>
      <c r="K1143" s="119">
        <f t="shared" si="53"/>
        <v>7.25</v>
      </c>
      <c r="L1143" s="152">
        <f t="shared" si="54"/>
        <v>6.15</v>
      </c>
      <c r="M1143" s="113"/>
      <c r="N1143" s="114"/>
    </row>
    <row r="1144" spans="1:14" s="249" customFormat="1" x14ac:dyDescent="0.2">
      <c r="A1144" s="106" t="s">
        <v>7051</v>
      </c>
      <c r="B1144" s="272" t="s">
        <v>7076</v>
      </c>
      <c r="C1144" s="105" t="s">
        <v>7105</v>
      </c>
      <c r="D1144" s="149" t="s">
        <v>7166</v>
      </c>
      <c r="E1144" s="105">
        <v>1</v>
      </c>
      <c r="F1144" s="134">
        <v>13</v>
      </c>
      <c r="G1144" s="134">
        <v>14</v>
      </c>
      <c r="H1144" s="109">
        <f t="shared" si="52"/>
        <v>14</v>
      </c>
      <c r="I1144" s="119"/>
      <c r="J1144" s="119">
        <v>0</v>
      </c>
      <c r="K1144" s="119">
        <f t="shared" si="53"/>
        <v>14</v>
      </c>
      <c r="L1144" s="152">
        <f t="shared" si="54"/>
        <v>13</v>
      </c>
      <c r="M1144" s="113"/>
      <c r="N1144" s="114"/>
    </row>
    <row r="1145" spans="1:14" s="249" customFormat="1" x14ac:dyDescent="0.2">
      <c r="A1145" s="106" t="s">
        <v>7051</v>
      </c>
      <c r="B1145" s="272" t="s">
        <v>3356</v>
      </c>
      <c r="C1145" s="105" t="s">
        <v>7105</v>
      </c>
      <c r="D1145" s="149" t="s">
        <v>3358</v>
      </c>
      <c r="E1145" s="157">
        <v>1</v>
      </c>
      <c r="F1145" s="134">
        <v>6.03</v>
      </c>
      <c r="G1145" s="134">
        <v>7</v>
      </c>
      <c r="H1145" s="109">
        <f t="shared" si="52"/>
        <v>7</v>
      </c>
      <c r="I1145" s="119"/>
      <c r="J1145" s="119">
        <v>0</v>
      </c>
      <c r="K1145" s="119">
        <f t="shared" si="53"/>
        <v>7</v>
      </c>
      <c r="L1145" s="152">
        <f t="shared" si="54"/>
        <v>6.03</v>
      </c>
      <c r="M1145" s="113"/>
      <c r="N1145" s="114"/>
    </row>
    <row r="1146" spans="1:14" s="249" customFormat="1" x14ac:dyDescent="0.2">
      <c r="A1146" s="106" t="s">
        <v>7051</v>
      </c>
      <c r="B1146" s="272" t="s">
        <v>3606</v>
      </c>
      <c r="C1146" s="105" t="s">
        <v>7105</v>
      </c>
      <c r="D1146" s="149" t="s">
        <v>3607</v>
      </c>
      <c r="E1146" s="105">
        <v>3</v>
      </c>
      <c r="F1146" s="134">
        <v>5.43</v>
      </c>
      <c r="G1146" s="134">
        <v>6.25</v>
      </c>
      <c r="H1146" s="109">
        <f t="shared" si="52"/>
        <v>18.75</v>
      </c>
      <c r="I1146" s="119"/>
      <c r="J1146" s="119">
        <v>0</v>
      </c>
      <c r="K1146" s="119">
        <f t="shared" si="53"/>
        <v>18.75</v>
      </c>
      <c r="L1146" s="152">
        <f t="shared" si="54"/>
        <v>16.29</v>
      </c>
      <c r="M1146" s="113"/>
      <c r="N1146" s="114"/>
    </row>
    <row r="1147" spans="1:14" s="249" customFormat="1" x14ac:dyDescent="0.2">
      <c r="A1147" s="106" t="s">
        <v>7051</v>
      </c>
      <c r="B1147" s="272" t="s">
        <v>2035</v>
      </c>
      <c r="C1147" s="105" t="s">
        <v>7105</v>
      </c>
      <c r="D1147" s="149" t="s">
        <v>2036</v>
      </c>
      <c r="E1147" s="105">
        <v>14</v>
      </c>
      <c r="F1147" s="134">
        <v>23.15</v>
      </c>
      <c r="G1147" s="134">
        <v>26.75</v>
      </c>
      <c r="H1147" s="109">
        <f t="shared" si="52"/>
        <v>374.5</v>
      </c>
      <c r="I1147" s="119"/>
      <c r="J1147" s="119">
        <v>0</v>
      </c>
      <c r="K1147" s="119">
        <f t="shared" si="53"/>
        <v>374.5</v>
      </c>
      <c r="L1147" s="152">
        <f t="shared" si="54"/>
        <v>324.09999999999997</v>
      </c>
      <c r="M1147" s="113"/>
      <c r="N1147" s="114"/>
    </row>
    <row r="1148" spans="1:14" s="249" customFormat="1" x14ac:dyDescent="0.2">
      <c r="A1148" s="106" t="s">
        <v>7051</v>
      </c>
      <c r="B1148" s="272" t="s">
        <v>5693</v>
      </c>
      <c r="C1148" s="105" t="s">
        <v>7105</v>
      </c>
      <c r="D1148" s="149" t="s">
        <v>5831</v>
      </c>
      <c r="E1148" s="105">
        <v>2</v>
      </c>
      <c r="F1148" s="134">
        <v>5.61</v>
      </c>
      <c r="G1148" s="134">
        <v>6.5</v>
      </c>
      <c r="H1148" s="109">
        <f t="shared" si="52"/>
        <v>13</v>
      </c>
      <c r="I1148" s="119"/>
      <c r="J1148" s="119">
        <v>0</v>
      </c>
      <c r="K1148" s="119">
        <f t="shared" si="53"/>
        <v>13</v>
      </c>
      <c r="L1148" s="152">
        <f t="shared" si="54"/>
        <v>11.22</v>
      </c>
      <c r="M1148" s="113"/>
      <c r="N1148" s="114"/>
    </row>
    <row r="1149" spans="1:14" s="249" customFormat="1" x14ac:dyDescent="0.2">
      <c r="A1149" s="106" t="s">
        <v>7051</v>
      </c>
      <c r="B1149" s="272" t="s">
        <v>3360</v>
      </c>
      <c r="C1149" s="105" t="s">
        <v>7105</v>
      </c>
      <c r="D1149" s="149" t="s">
        <v>3361</v>
      </c>
      <c r="E1149" s="105">
        <v>2</v>
      </c>
      <c r="F1149" s="134">
        <v>6.03</v>
      </c>
      <c r="G1149" s="134">
        <v>7</v>
      </c>
      <c r="H1149" s="109">
        <f t="shared" si="52"/>
        <v>14</v>
      </c>
      <c r="I1149" s="119"/>
      <c r="J1149" s="119">
        <v>722.02</v>
      </c>
      <c r="K1149" s="119">
        <f t="shared" si="53"/>
        <v>-708.02</v>
      </c>
      <c r="L1149" s="152">
        <f t="shared" si="54"/>
        <v>12.06</v>
      </c>
      <c r="M1149" s="113"/>
      <c r="N1149" s="114"/>
    </row>
    <row r="1150" spans="1:14" s="249" customFormat="1" x14ac:dyDescent="0.2">
      <c r="A1150" s="106" t="s">
        <v>7051</v>
      </c>
      <c r="B1150" s="272" t="s">
        <v>4263</v>
      </c>
      <c r="C1150" s="105" t="s">
        <v>7105</v>
      </c>
      <c r="D1150" s="149" t="s">
        <v>4265</v>
      </c>
      <c r="E1150" s="105">
        <v>1</v>
      </c>
      <c r="F1150" s="134">
        <v>140.66999999999999</v>
      </c>
      <c r="G1150" s="134">
        <v>162</v>
      </c>
      <c r="H1150" s="109">
        <f t="shared" si="52"/>
        <v>162</v>
      </c>
      <c r="I1150" s="119"/>
      <c r="J1150" s="119">
        <v>0</v>
      </c>
      <c r="K1150" s="119">
        <f t="shared" si="53"/>
        <v>162</v>
      </c>
      <c r="L1150" s="152">
        <f t="shared" si="54"/>
        <v>140.66999999999999</v>
      </c>
      <c r="M1150" s="113"/>
      <c r="N1150" s="114"/>
    </row>
    <row r="1151" spans="1:14" x14ac:dyDescent="0.2">
      <c r="A1151" s="106" t="s">
        <v>7051</v>
      </c>
      <c r="B1151" s="272" t="s">
        <v>3993</v>
      </c>
      <c r="C1151" s="105" t="s">
        <v>7106</v>
      </c>
      <c r="D1151" s="149" t="s">
        <v>3995</v>
      </c>
      <c r="E1151" s="105">
        <v>1</v>
      </c>
      <c r="F1151" s="134">
        <v>18.649999999999999</v>
      </c>
      <c r="G1151" s="134">
        <v>21.5</v>
      </c>
      <c r="H1151" s="109">
        <f t="shared" si="52"/>
        <v>21.5</v>
      </c>
      <c r="I1151" s="119"/>
      <c r="J1151" s="119">
        <v>0</v>
      </c>
      <c r="K1151" s="119">
        <f t="shared" si="53"/>
        <v>21.5</v>
      </c>
      <c r="L1151" s="152">
        <f t="shared" si="54"/>
        <v>18.649999999999999</v>
      </c>
      <c r="M1151" s="113"/>
    </row>
    <row r="1152" spans="1:14" x14ac:dyDescent="0.2">
      <c r="A1152" s="106" t="s">
        <v>7051</v>
      </c>
      <c r="B1152" s="272" t="s">
        <v>2872</v>
      </c>
      <c r="C1152" s="105" t="s">
        <v>7106</v>
      </c>
      <c r="D1152" s="149" t="s">
        <v>2873</v>
      </c>
      <c r="E1152" s="105">
        <v>2</v>
      </c>
      <c r="F1152" s="134">
        <v>4.4800000000000004</v>
      </c>
      <c r="G1152" s="134">
        <v>5.25</v>
      </c>
      <c r="H1152" s="109">
        <f t="shared" si="52"/>
        <v>10.5</v>
      </c>
      <c r="I1152" s="119"/>
      <c r="J1152" s="119">
        <v>0</v>
      </c>
      <c r="K1152" s="119">
        <f t="shared" si="53"/>
        <v>10.5</v>
      </c>
      <c r="L1152" s="152">
        <f t="shared" si="54"/>
        <v>8.9600000000000009</v>
      </c>
      <c r="M1152" s="113"/>
    </row>
    <row r="1153" spans="1:13" x14ac:dyDescent="0.2">
      <c r="A1153" s="106" t="s">
        <v>7051</v>
      </c>
      <c r="B1153" s="272" t="s">
        <v>4522</v>
      </c>
      <c r="C1153" s="105" t="s">
        <v>7106</v>
      </c>
      <c r="D1153" s="149" t="s">
        <v>4627</v>
      </c>
      <c r="E1153" s="105">
        <v>1</v>
      </c>
      <c r="F1153" s="134">
        <v>6.15</v>
      </c>
      <c r="G1153" s="134">
        <v>7.25</v>
      </c>
      <c r="H1153" s="109">
        <f t="shared" si="52"/>
        <v>7.25</v>
      </c>
      <c r="I1153" s="119"/>
      <c r="J1153" s="119">
        <v>0</v>
      </c>
      <c r="K1153" s="119">
        <f t="shared" si="53"/>
        <v>7.25</v>
      </c>
      <c r="L1153" s="152">
        <f t="shared" si="54"/>
        <v>6.15</v>
      </c>
      <c r="M1153" s="113"/>
    </row>
    <row r="1154" spans="1:13" x14ac:dyDescent="0.2">
      <c r="A1154" s="106" t="s">
        <v>7051</v>
      </c>
      <c r="B1154" s="272" t="s">
        <v>3727</v>
      </c>
      <c r="C1154" s="105" t="s">
        <v>7107</v>
      </c>
      <c r="D1154" s="149" t="s">
        <v>3729</v>
      </c>
      <c r="E1154" s="105">
        <v>1</v>
      </c>
      <c r="F1154" s="134">
        <v>19.75</v>
      </c>
      <c r="G1154" s="134">
        <v>22.75</v>
      </c>
      <c r="H1154" s="109">
        <f t="shared" si="52"/>
        <v>22.75</v>
      </c>
      <c r="I1154" s="119"/>
      <c r="J1154" s="119">
        <v>0</v>
      </c>
      <c r="K1154" s="119">
        <f t="shared" si="53"/>
        <v>22.75</v>
      </c>
      <c r="L1154" s="152">
        <f t="shared" si="54"/>
        <v>19.75</v>
      </c>
      <c r="M1154" s="113"/>
    </row>
    <row r="1155" spans="1:13" x14ac:dyDescent="0.2">
      <c r="A1155" s="106" t="s">
        <v>7063</v>
      </c>
      <c r="B1155" s="272" t="s">
        <v>3917</v>
      </c>
      <c r="C1155" s="105" t="s">
        <v>7108</v>
      </c>
      <c r="D1155" s="149" t="s">
        <v>3919</v>
      </c>
      <c r="E1155" s="105">
        <v>4</v>
      </c>
      <c r="F1155" s="134">
        <v>6.37</v>
      </c>
      <c r="G1155" s="134">
        <v>7.5</v>
      </c>
      <c r="H1155" s="109">
        <f t="shared" si="52"/>
        <v>30</v>
      </c>
      <c r="I1155" s="119"/>
      <c r="J1155" s="119">
        <v>0</v>
      </c>
      <c r="K1155" s="119">
        <f t="shared" si="53"/>
        <v>30</v>
      </c>
      <c r="L1155" s="152">
        <f t="shared" si="54"/>
        <v>25.48</v>
      </c>
      <c r="M1155" s="113"/>
    </row>
    <row r="1156" spans="1:13" x14ac:dyDescent="0.2">
      <c r="A1156" s="106" t="s">
        <v>7063</v>
      </c>
      <c r="B1156" s="272" t="s">
        <v>5030</v>
      </c>
      <c r="C1156" s="105" t="s">
        <v>7108</v>
      </c>
      <c r="D1156" s="149" t="s">
        <v>5074</v>
      </c>
      <c r="E1156" s="105">
        <v>3</v>
      </c>
      <c r="F1156" s="134">
        <v>5.41</v>
      </c>
      <c r="G1156" s="134">
        <v>6.25</v>
      </c>
      <c r="H1156" s="109">
        <f t="shared" si="52"/>
        <v>18.75</v>
      </c>
      <c r="I1156" s="119"/>
      <c r="J1156" s="119">
        <v>0</v>
      </c>
      <c r="K1156" s="119">
        <f t="shared" si="53"/>
        <v>18.75</v>
      </c>
      <c r="L1156" s="152">
        <f t="shared" si="54"/>
        <v>16.23</v>
      </c>
      <c r="M1156" s="113"/>
    </row>
    <row r="1157" spans="1:13" x14ac:dyDescent="0.2">
      <c r="A1157" s="106" t="s">
        <v>7063</v>
      </c>
      <c r="B1157" s="272" t="s">
        <v>2794</v>
      </c>
      <c r="C1157" s="105" t="s">
        <v>7108</v>
      </c>
      <c r="D1157" s="149" t="s">
        <v>2795</v>
      </c>
      <c r="E1157" s="105">
        <v>1</v>
      </c>
      <c r="F1157" s="134">
        <v>23.15</v>
      </c>
      <c r="G1157" s="134">
        <v>27</v>
      </c>
      <c r="H1157" s="109">
        <f t="shared" si="52"/>
        <v>27</v>
      </c>
      <c r="I1157" s="119"/>
      <c r="J1157" s="119">
        <v>0</v>
      </c>
      <c r="K1157" s="119">
        <f t="shared" si="53"/>
        <v>27</v>
      </c>
      <c r="L1157" s="152">
        <f t="shared" si="54"/>
        <v>23.15</v>
      </c>
      <c r="M1157" s="113"/>
    </row>
    <row r="1158" spans="1:13" x14ac:dyDescent="0.2">
      <c r="A1158" s="106" t="s">
        <v>7063</v>
      </c>
      <c r="B1158" s="272" t="s">
        <v>4201</v>
      </c>
      <c r="C1158" s="105" t="s">
        <v>7109</v>
      </c>
      <c r="D1158" s="149" t="s">
        <v>4202</v>
      </c>
      <c r="E1158" s="105">
        <v>1</v>
      </c>
      <c r="F1158" s="136">
        <v>24.35</v>
      </c>
      <c r="G1158" s="136">
        <v>28</v>
      </c>
      <c r="H1158" s="109">
        <f t="shared" ref="H1158:H1221" si="55">E1158*G1158</f>
        <v>28</v>
      </c>
      <c r="I1158" s="119"/>
      <c r="J1158" s="119">
        <v>0</v>
      </c>
      <c r="K1158" s="119">
        <f t="shared" si="53"/>
        <v>28</v>
      </c>
      <c r="L1158" s="152">
        <f t="shared" si="54"/>
        <v>24.35</v>
      </c>
      <c r="M1158" s="113"/>
    </row>
    <row r="1159" spans="1:13" x14ac:dyDescent="0.2">
      <c r="A1159" s="106" t="s">
        <v>7063</v>
      </c>
      <c r="B1159" s="272" t="s">
        <v>4716</v>
      </c>
      <c r="C1159" s="105" t="s">
        <v>7109</v>
      </c>
      <c r="D1159" s="149" t="s">
        <v>4751</v>
      </c>
      <c r="E1159" s="105">
        <v>6</v>
      </c>
      <c r="F1159" s="136">
        <v>0.81</v>
      </c>
      <c r="G1159" s="136">
        <v>1</v>
      </c>
      <c r="H1159" s="109">
        <f t="shared" si="55"/>
        <v>6</v>
      </c>
      <c r="I1159" s="119"/>
      <c r="J1159" s="119">
        <v>0</v>
      </c>
      <c r="K1159" s="119">
        <f t="shared" si="53"/>
        <v>6</v>
      </c>
      <c r="L1159" s="152">
        <f t="shared" si="54"/>
        <v>4.8600000000000003</v>
      </c>
      <c r="M1159" s="113"/>
    </row>
    <row r="1160" spans="1:13" x14ac:dyDescent="0.2">
      <c r="A1160" s="106" t="s">
        <v>7063</v>
      </c>
      <c r="B1160" s="272" t="s">
        <v>2050</v>
      </c>
      <c r="C1160" s="105" t="s">
        <v>7110</v>
      </c>
      <c r="D1160" s="149" t="s">
        <v>2052</v>
      </c>
      <c r="E1160" s="105">
        <v>1</v>
      </c>
      <c r="F1160" s="136">
        <v>68.5</v>
      </c>
      <c r="G1160" s="136">
        <v>79</v>
      </c>
      <c r="H1160" s="109">
        <f t="shared" si="55"/>
        <v>79</v>
      </c>
      <c r="I1160" s="119"/>
      <c r="J1160" s="119">
        <v>0</v>
      </c>
      <c r="K1160" s="119">
        <f t="shared" ref="K1160:K1223" si="56">H1160+I1160-J1160</f>
        <v>79</v>
      </c>
      <c r="L1160" s="152">
        <f t="shared" ref="L1160:L1223" si="57">E1160*F1160</f>
        <v>68.5</v>
      </c>
      <c r="M1160" s="113"/>
    </row>
    <row r="1161" spans="1:13" x14ac:dyDescent="0.2">
      <c r="A1161" s="106" t="s">
        <v>7063</v>
      </c>
      <c r="B1161" s="272" t="s">
        <v>4520</v>
      </c>
      <c r="C1161" s="105" t="s">
        <v>7111</v>
      </c>
      <c r="D1161" s="149" t="s">
        <v>4625</v>
      </c>
      <c r="E1161" s="105">
        <v>1</v>
      </c>
      <c r="F1161" s="136">
        <v>60</v>
      </c>
      <c r="G1161" s="136">
        <v>75</v>
      </c>
      <c r="H1161" s="109">
        <f t="shared" si="55"/>
        <v>75</v>
      </c>
      <c r="I1161" s="119"/>
      <c r="J1161" s="119">
        <v>0</v>
      </c>
      <c r="K1161" s="119">
        <f t="shared" si="56"/>
        <v>75</v>
      </c>
      <c r="L1161" s="152">
        <f t="shared" si="57"/>
        <v>60</v>
      </c>
      <c r="M1161" s="113"/>
    </row>
    <row r="1162" spans="1:13" x14ac:dyDescent="0.2">
      <c r="A1162" s="106" t="s">
        <v>7063</v>
      </c>
      <c r="B1162" s="272" t="s">
        <v>6870</v>
      </c>
      <c r="C1162" s="105" t="s">
        <v>7111</v>
      </c>
      <c r="D1162" s="149" t="s">
        <v>6981</v>
      </c>
      <c r="E1162" s="105">
        <v>1</v>
      </c>
      <c r="F1162" s="136">
        <v>80</v>
      </c>
      <c r="G1162" s="136">
        <v>100</v>
      </c>
      <c r="H1162" s="109">
        <f t="shared" si="55"/>
        <v>100</v>
      </c>
      <c r="I1162" s="119"/>
      <c r="J1162" s="119">
        <v>0</v>
      </c>
      <c r="K1162" s="119">
        <f t="shared" si="56"/>
        <v>100</v>
      </c>
      <c r="L1162" s="152">
        <f t="shared" si="57"/>
        <v>80</v>
      </c>
      <c r="M1162" s="113"/>
    </row>
    <row r="1163" spans="1:13" x14ac:dyDescent="0.2">
      <c r="A1163" s="106" t="s">
        <v>7063</v>
      </c>
      <c r="B1163" s="272" t="s">
        <v>2162</v>
      </c>
      <c r="C1163" s="105" t="s">
        <v>7112</v>
      </c>
      <c r="D1163" s="149" t="s">
        <v>2163</v>
      </c>
      <c r="E1163" s="105">
        <v>1</v>
      </c>
      <c r="F1163" s="134">
        <v>67.290000000000006</v>
      </c>
      <c r="G1163" s="134">
        <v>77.5</v>
      </c>
      <c r="H1163" s="109">
        <f t="shared" si="55"/>
        <v>77.5</v>
      </c>
      <c r="I1163" s="119"/>
      <c r="J1163" s="119">
        <v>0</v>
      </c>
      <c r="K1163" s="119">
        <f t="shared" si="56"/>
        <v>77.5</v>
      </c>
      <c r="L1163" s="152">
        <f t="shared" si="57"/>
        <v>67.290000000000006</v>
      </c>
      <c r="M1163" s="113"/>
    </row>
    <row r="1164" spans="1:13" x14ac:dyDescent="0.2">
      <c r="A1164" s="106" t="s">
        <v>7063</v>
      </c>
      <c r="B1164" s="272" t="s">
        <v>1969</v>
      </c>
      <c r="C1164" s="105" t="s">
        <v>7113</v>
      </c>
      <c r="D1164" s="149" t="s">
        <v>1970</v>
      </c>
      <c r="E1164" s="105">
        <v>2</v>
      </c>
      <c r="F1164" s="134">
        <v>3.6</v>
      </c>
      <c r="G1164" s="134">
        <v>4.25</v>
      </c>
      <c r="H1164" s="109">
        <f t="shared" si="55"/>
        <v>8.5</v>
      </c>
      <c r="I1164" s="119"/>
      <c r="J1164" s="119">
        <v>0</v>
      </c>
      <c r="K1164" s="119">
        <f t="shared" si="56"/>
        <v>8.5</v>
      </c>
      <c r="L1164" s="152">
        <f t="shared" si="57"/>
        <v>7.2</v>
      </c>
      <c r="M1164" s="113"/>
    </row>
    <row r="1165" spans="1:13" x14ac:dyDescent="0.2">
      <c r="A1165" s="106" t="s">
        <v>7063</v>
      </c>
      <c r="B1165" s="272" t="s">
        <v>2196</v>
      </c>
      <c r="C1165" s="105" t="s">
        <v>7113</v>
      </c>
      <c r="D1165" s="149" t="s">
        <v>2198</v>
      </c>
      <c r="E1165" s="105">
        <v>1</v>
      </c>
      <c r="F1165" s="134">
        <v>21.88</v>
      </c>
      <c r="G1165" s="134">
        <v>25.25</v>
      </c>
      <c r="H1165" s="109">
        <f t="shared" si="55"/>
        <v>25.25</v>
      </c>
      <c r="I1165" s="119"/>
      <c r="J1165" s="119">
        <v>0</v>
      </c>
      <c r="K1165" s="119">
        <f t="shared" si="56"/>
        <v>25.25</v>
      </c>
      <c r="L1165" s="152">
        <f t="shared" si="57"/>
        <v>21.88</v>
      </c>
      <c r="M1165" s="113"/>
    </row>
    <row r="1166" spans="1:13" x14ac:dyDescent="0.2">
      <c r="A1166" s="106" t="s">
        <v>7063</v>
      </c>
      <c r="B1166" s="272" t="s">
        <v>7077</v>
      </c>
      <c r="C1166" s="105" t="s">
        <v>7114</v>
      </c>
      <c r="D1166" s="149" t="s">
        <v>7167</v>
      </c>
      <c r="E1166" s="105">
        <v>1</v>
      </c>
      <c r="F1166" s="134">
        <v>31.94</v>
      </c>
      <c r="G1166" s="134">
        <v>36.75</v>
      </c>
      <c r="H1166" s="109">
        <f t="shared" si="55"/>
        <v>36.75</v>
      </c>
      <c r="I1166" s="119"/>
      <c r="J1166" s="119">
        <v>0</v>
      </c>
      <c r="K1166" s="119">
        <f t="shared" si="56"/>
        <v>36.75</v>
      </c>
      <c r="L1166" s="152">
        <f t="shared" si="57"/>
        <v>31.94</v>
      </c>
      <c r="M1166" s="113"/>
    </row>
    <row r="1167" spans="1:13" x14ac:dyDescent="0.2">
      <c r="A1167" s="106" t="s">
        <v>7063</v>
      </c>
      <c r="B1167" s="272" t="s">
        <v>2491</v>
      </c>
      <c r="C1167" s="105" t="s">
        <v>7114</v>
      </c>
      <c r="D1167" s="149" t="s">
        <v>2492</v>
      </c>
      <c r="E1167" s="105">
        <v>1</v>
      </c>
      <c r="F1167" s="134">
        <v>61.5</v>
      </c>
      <c r="G1167" s="134">
        <v>66.5</v>
      </c>
      <c r="H1167" s="109">
        <f t="shared" si="55"/>
        <v>66.5</v>
      </c>
      <c r="I1167" s="119"/>
      <c r="J1167" s="119">
        <v>0</v>
      </c>
      <c r="K1167" s="119">
        <f t="shared" si="56"/>
        <v>66.5</v>
      </c>
      <c r="L1167" s="152">
        <f t="shared" si="57"/>
        <v>61.5</v>
      </c>
      <c r="M1167" s="113"/>
    </row>
    <row r="1168" spans="1:13" x14ac:dyDescent="0.2">
      <c r="A1168" s="106" t="s">
        <v>7063</v>
      </c>
      <c r="B1168" s="272" t="s">
        <v>2323</v>
      </c>
      <c r="C1168" s="105" t="s">
        <v>7114</v>
      </c>
      <c r="D1168" s="149" t="s">
        <v>2325</v>
      </c>
      <c r="E1168" s="105">
        <v>3</v>
      </c>
      <c r="F1168" s="134">
        <v>19.100000000000001</v>
      </c>
      <c r="G1168" s="134">
        <v>22</v>
      </c>
      <c r="H1168" s="109">
        <f t="shared" si="55"/>
        <v>66</v>
      </c>
      <c r="I1168" s="119"/>
      <c r="J1168" s="119">
        <v>0</v>
      </c>
      <c r="K1168" s="119">
        <f t="shared" si="56"/>
        <v>66</v>
      </c>
      <c r="L1168" s="152">
        <f t="shared" si="57"/>
        <v>57.300000000000004</v>
      </c>
      <c r="M1168" s="113"/>
    </row>
    <row r="1169" spans="1:13" x14ac:dyDescent="0.2">
      <c r="A1169" s="106" t="s">
        <v>7063</v>
      </c>
      <c r="B1169" s="272" t="s">
        <v>3507</v>
      </c>
      <c r="C1169" s="105" t="s">
        <v>7114</v>
      </c>
      <c r="D1169" s="149" t="s">
        <v>3508</v>
      </c>
      <c r="E1169" s="105">
        <v>2</v>
      </c>
      <c r="F1169" s="134">
        <v>18.2</v>
      </c>
      <c r="G1169" s="134">
        <v>21</v>
      </c>
      <c r="H1169" s="109">
        <f t="shared" si="55"/>
        <v>42</v>
      </c>
      <c r="I1169" s="119"/>
      <c r="J1169" s="119">
        <v>0</v>
      </c>
      <c r="K1169" s="119">
        <f t="shared" si="56"/>
        <v>42</v>
      </c>
      <c r="L1169" s="152">
        <f t="shared" si="57"/>
        <v>36.4</v>
      </c>
      <c r="M1169" s="113"/>
    </row>
    <row r="1170" spans="1:13" x14ac:dyDescent="0.2">
      <c r="A1170" s="106" t="s">
        <v>7063</v>
      </c>
      <c r="B1170" s="272" t="s">
        <v>4330</v>
      </c>
      <c r="C1170" s="105" t="s">
        <v>7114</v>
      </c>
      <c r="D1170" s="149" t="s">
        <v>4360</v>
      </c>
      <c r="E1170" s="105">
        <v>1</v>
      </c>
      <c r="F1170" s="134">
        <v>69.510000000000005</v>
      </c>
      <c r="G1170" s="134">
        <v>80</v>
      </c>
      <c r="H1170" s="109">
        <f t="shared" si="55"/>
        <v>80</v>
      </c>
      <c r="I1170" s="119"/>
      <c r="J1170" s="119">
        <v>0</v>
      </c>
      <c r="K1170" s="119">
        <f t="shared" si="56"/>
        <v>80</v>
      </c>
      <c r="L1170" s="152">
        <f t="shared" si="57"/>
        <v>69.510000000000005</v>
      </c>
      <c r="M1170" s="113"/>
    </row>
    <row r="1171" spans="1:13" x14ac:dyDescent="0.2">
      <c r="A1171" s="106" t="s">
        <v>7063</v>
      </c>
      <c r="B1171" s="272" t="s">
        <v>7005</v>
      </c>
      <c r="C1171" s="105" t="s">
        <v>7114</v>
      </c>
      <c r="D1171" s="149" t="s">
        <v>7049</v>
      </c>
      <c r="E1171" s="105">
        <v>1</v>
      </c>
      <c r="F1171" s="134">
        <v>12.9</v>
      </c>
      <c r="G1171" s="134">
        <v>15</v>
      </c>
      <c r="H1171" s="109">
        <f t="shared" si="55"/>
        <v>15</v>
      </c>
      <c r="I1171" s="119"/>
      <c r="J1171" s="119">
        <v>0</v>
      </c>
      <c r="K1171" s="119">
        <f t="shared" si="56"/>
        <v>15</v>
      </c>
      <c r="L1171" s="152">
        <f t="shared" si="57"/>
        <v>12.9</v>
      </c>
      <c r="M1171" s="113"/>
    </row>
    <row r="1172" spans="1:13" x14ac:dyDescent="0.2">
      <c r="A1172" s="106" t="s">
        <v>7063</v>
      </c>
      <c r="B1172" s="272" t="s">
        <v>2201</v>
      </c>
      <c r="C1172" s="105" t="s">
        <v>7114</v>
      </c>
      <c r="D1172" s="149" t="s">
        <v>2202</v>
      </c>
      <c r="E1172" s="105">
        <v>1</v>
      </c>
      <c r="F1172" s="134">
        <v>11.99</v>
      </c>
      <c r="G1172" s="134">
        <v>14</v>
      </c>
      <c r="H1172" s="109">
        <f t="shared" si="55"/>
        <v>14</v>
      </c>
      <c r="I1172" s="119"/>
      <c r="J1172" s="119">
        <v>0</v>
      </c>
      <c r="K1172" s="119">
        <f t="shared" si="56"/>
        <v>14</v>
      </c>
      <c r="L1172" s="152">
        <f t="shared" si="57"/>
        <v>11.99</v>
      </c>
      <c r="M1172" s="113"/>
    </row>
    <row r="1173" spans="1:13" x14ac:dyDescent="0.2">
      <c r="A1173" s="106" t="s">
        <v>7063</v>
      </c>
      <c r="B1173" s="272" t="s">
        <v>5131</v>
      </c>
      <c r="C1173" s="105" t="s">
        <v>7114</v>
      </c>
      <c r="D1173" s="149" t="s">
        <v>5179</v>
      </c>
      <c r="E1173" s="105">
        <v>1</v>
      </c>
      <c r="F1173" s="134">
        <v>6.73</v>
      </c>
      <c r="G1173" s="134">
        <v>7.75</v>
      </c>
      <c r="H1173" s="109">
        <f t="shared" si="55"/>
        <v>7.75</v>
      </c>
      <c r="I1173" s="119"/>
      <c r="J1173" s="119">
        <v>0</v>
      </c>
      <c r="K1173" s="119">
        <f t="shared" si="56"/>
        <v>7.75</v>
      </c>
      <c r="L1173" s="152">
        <f t="shared" si="57"/>
        <v>6.73</v>
      </c>
      <c r="M1173" s="113"/>
    </row>
    <row r="1174" spans="1:13" x14ac:dyDescent="0.2">
      <c r="A1174" s="106" t="s">
        <v>7063</v>
      </c>
      <c r="B1174" s="272" t="s">
        <v>4199</v>
      </c>
      <c r="C1174" s="105" t="s">
        <v>7115</v>
      </c>
      <c r="D1174" s="149" t="s">
        <v>4200</v>
      </c>
      <c r="E1174" s="105">
        <v>1</v>
      </c>
      <c r="F1174" s="134">
        <v>24.24</v>
      </c>
      <c r="G1174" s="134">
        <v>29.25</v>
      </c>
      <c r="H1174" s="109">
        <f t="shared" si="55"/>
        <v>29.25</v>
      </c>
      <c r="I1174" s="119"/>
      <c r="J1174" s="119">
        <v>0</v>
      </c>
      <c r="K1174" s="119">
        <f t="shared" si="56"/>
        <v>29.25</v>
      </c>
      <c r="L1174" s="152">
        <f t="shared" si="57"/>
        <v>24.24</v>
      </c>
      <c r="M1174" s="113"/>
    </row>
    <row r="1175" spans="1:13" x14ac:dyDescent="0.2">
      <c r="A1175" s="106" t="s">
        <v>7063</v>
      </c>
      <c r="B1175" s="272" t="s">
        <v>5973</v>
      </c>
      <c r="C1175" s="105" t="s">
        <v>7116</v>
      </c>
      <c r="D1175" s="149" t="s">
        <v>6091</v>
      </c>
      <c r="E1175" s="105">
        <v>1</v>
      </c>
      <c r="F1175" s="134">
        <v>21.88</v>
      </c>
      <c r="G1175" s="134">
        <v>25.25</v>
      </c>
      <c r="H1175" s="109">
        <f t="shared" si="55"/>
        <v>25.25</v>
      </c>
      <c r="I1175" s="119"/>
      <c r="J1175" s="119">
        <v>0</v>
      </c>
      <c r="K1175" s="119">
        <f t="shared" si="56"/>
        <v>25.25</v>
      </c>
      <c r="L1175" s="152">
        <f t="shared" si="57"/>
        <v>21.88</v>
      </c>
      <c r="M1175" s="113"/>
    </row>
    <row r="1176" spans="1:13" x14ac:dyDescent="0.2">
      <c r="A1176" s="106" t="s">
        <v>7063</v>
      </c>
      <c r="B1176" s="272" t="s">
        <v>2018</v>
      </c>
      <c r="C1176" s="105" t="s">
        <v>7117</v>
      </c>
      <c r="D1176" s="149" t="s">
        <v>2019</v>
      </c>
      <c r="E1176" s="105">
        <v>4</v>
      </c>
      <c r="F1176" s="134">
        <v>30.79</v>
      </c>
      <c r="G1176" s="134">
        <v>36.75</v>
      </c>
      <c r="H1176" s="109">
        <f t="shared" si="55"/>
        <v>147</v>
      </c>
      <c r="I1176" s="119"/>
      <c r="J1176" s="119">
        <v>0</v>
      </c>
      <c r="K1176" s="119">
        <f t="shared" si="56"/>
        <v>147</v>
      </c>
      <c r="L1176" s="152">
        <f t="shared" si="57"/>
        <v>123.16</v>
      </c>
      <c r="M1176" s="113"/>
    </row>
    <row r="1177" spans="1:13" x14ac:dyDescent="0.2">
      <c r="A1177" s="106" t="s">
        <v>7063</v>
      </c>
      <c r="B1177" s="272" t="s">
        <v>2521</v>
      </c>
      <c r="C1177" s="105" t="s">
        <v>7118</v>
      </c>
      <c r="D1177" s="149" t="s">
        <v>2522</v>
      </c>
      <c r="E1177" s="105">
        <v>2</v>
      </c>
      <c r="F1177" s="134">
        <v>6.12</v>
      </c>
      <c r="G1177" s="134">
        <v>7.25</v>
      </c>
      <c r="H1177" s="109">
        <f t="shared" si="55"/>
        <v>14.5</v>
      </c>
      <c r="I1177" s="119"/>
      <c r="J1177" s="119">
        <v>0</v>
      </c>
      <c r="K1177" s="119">
        <f t="shared" si="56"/>
        <v>14.5</v>
      </c>
      <c r="L1177" s="152">
        <f t="shared" si="57"/>
        <v>12.24</v>
      </c>
      <c r="M1177" s="113"/>
    </row>
    <row r="1178" spans="1:13" x14ac:dyDescent="0.2">
      <c r="A1178" s="106" t="s">
        <v>7063</v>
      </c>
      <c r="B1178" s="272" t="s">
        <v>6870</v>
      </c>
      <c r="C1178" s="105" t="s">
        <v>7119</v>
      </c>
      <c r="D1178" s="149" t="s">
        <v>6981</v>
      </c>
      <c r="E1178" s="105">
        <v>2</v>
      </c>
      <c r="F1178" s="134">
        <v>80</v>
      </c>
      <c r="G1178" s="134">
        <v>100</v>
      </c>
      <c r="H1178" s="109">
        <f t="shared" si="55"/>
        <v>200</v>
      </c>
      <c r="I1178" s="119"/>
      <c r="J1178" s="119">
        <v>0</v>
      </c>
      <c r="K1178" s="119">
        <f t="shared" si="56"/>
        <v>200</v>
      </c>
      <c r="L1178" s="152">
        <f t="shared" si="57"/>
        <v>160</v>
      </c>
      <c r="M1178" s="113"/>
    </row>
    <row r="1179" spans="1:13" x14ac:dyDescent="0.2">
      <c r="A1179" s="106" t="s">
        <v>7063</v>
      </c>
      <c r="B1179" s="272" t="s">
        <v>6875</v>
      </c>
      <c r="C1179" s="105" t="s">
        <v>7119</v>
      </c>
      <c r="D1179" s="149" t="s">
        <v>6987</v>
      </c>
      <c r="E1179" s="105">
        <v>6</v>
      </c>
      <c r="F1179" s="134">
        <v>135</v>
      </c>
      <c r="G1179" s="134">
        <v>170</v>
      </c>
      <c r="H1179" s="109">
        <f t="shared" si="55"/>
        <v>1020</v>
      </c>
      <c r="I1179" s="119"/>
      <c r="J1179" s="119">
        <v>0</v>
      </c>
      <c r="K1179" s="119">
        <f t="shared" si="56"/>
        <v>1020</v>
      </c>
      <c r="L1179" s="152">
        <f t="shared" si="57"/>
        <v>810</v>
      </c>
      <c r="M1179" s="113"/>
    </row>
    <row r="1180" spans="1:13" x14ac:dyDescent="0.2">
      <c r="A1180" s="106" t="s">
        <v>7063</v>
      </c>
      <c r="B1180" s="272" t="s">
        <v>4520</v>
      </c>
      <c r="C1180" s="105" t="s">
        <v>7119</v>
      </c>
      <c r="D1180" s="149" t="s">
        <v>4625</v>
      </c>
      <c r="E1180" s="105">
        <v>2</v>
      </c>
      <c r="F1180" s="134">
        <v>60</v>
      </c>
      <c r="G1180" s="134">
        <v>75</v>
      </c>
      <c r="H1180" s="109">
        <f t="shared" si="55"/>
        <v>150</v>
      </c>
      <c r="I1180" s="119"/>
      <c r="J1180" s="119">
        <v>0</v>
      </c>
      <c r="K1180" s="119">
        <f t="shared" si="56"/>
        <v>150</v>
      </c>
      <c r="L1180" s="152">
        <f t="shared" si="57"/>
        <v>120</v>
      </c>
      <c r="M1180" s="113"/>
    </row>
    <row r="1181" spans="1:13" x14ac:dyDescent="0.2">
      <c r="A1181" s="106" t="s">
        <v>7063</v>
      </c>
      <c r="B1181" s="272" t="s">
        <v>6771</v>
      </c>
      <c r="C1181" s="105" t="s">
        <v>7119</v>
      </c>
      <c r="D1181" s="149" t="s">
        <v>6821</v>
      </c>
      <c r="E1181" s="105">
        <v>7</v>
      </c>
      <c r="F1181" s="134">
        <v>70</v>
      </c>
      <c r="G1181" s="134">
        <v>85</v>
      </c>
      <c r="H1181" s="109">
        <f t="shared" si="55"/>
        <v>595</v>
      </c>
      <c r="I1181" s="119"/>
      <c r="J1181" s="119">
        <v>0</v>
      </c>
      <c r="K1181" s="119">
        <f t="shared" si="56"/>
        <v>595</v>
      </c>
      <c r="L1181" s="152">
        <f t="shared" si="57"/>
        <v>490</v>
      </c>
      <c r="M1181" s="113"/>
    </row>
    <row r="1182" spans="1:13" x14ac:dyDescent="0.2">
      <c r="A1182" s="106" t="s">
        <v>7063</v>
      </c>
      <c r="B1182" s="272" t="s">
        <v>1826</v>
      </c>
      <c r="C1182" s="105" t="s">
        <v>7119</v>
      </c>
      <c r="D1182" s="149" t="s">
        <v>1827</v>
      </c>
      <c r="E1182" s="105">
        <v>2</v>
      </c>
      <c r="F1182" s="134">
        <v>90</v>
      </c>
      <c r="G1182" s="134">
        <v>120</v>
      </c>
      <c r="H1182" s="109">
        <f t="shared" si="55"/>
        <v>240</v>
      </c>
      <c r="I1182" s="119"/>
      <c r="J1182" s="119">
        <v>0</v>
      </c>
      <c r="K1182" s="119">
        <f t="shared" si="56"/>
        <v>240</v>
      </c>
      <c r="L1182" s="152">
        <f t="shared" si="57"/>
        <v>180</v>
      </c>
      <c r="M1182" s="113"/>
    </row>
    <row r="1183" spans="1:13" x14ac:dyDescent="0.2">
      <c r="A1183" s="106" t="s">
        <v>7063</v>
      </c>
      <c r="B1183" s="272" t="s">
        <v>6364</v>
      </c>
      <c r="C1183" s="105" t="s">
        <v>7119</v>
      </c>
      <c r="D1183" s="149" t="s">
        <v>7045</v>
      </c>
      <c r="E1183" s="105">
        <v>4</v>
      </c>
      <c r="F1183" s="134">
        <v>95</v>
      </c>
      <c r="G1183" s="134">
        <v>130</v>
      </c>
      <c r="H1183" s="109">
        <f t="shared" si="55"/>
        <v>520</v>
      </c>
      <c r="I1183" s="119"/>
      <c r="J1183" s="119">
        <v>0</v>
      </c>
      <c r="K1183" s="119">
        <f t="shared" si="56"/>
        <v>520</v>
      </c>
      <c r="L1183" s="152">
        <f t="shared" si="57"/>
        <v>380</v>
      </c>
      <c r="M1183" s="113"/>
    </row>
    <row r="1184" spans="1:13" x14ac:dyDescent="0.2">
      <c r="A1184" s="106" t="s">
        <v>7063</v>
      </c>
      <c r="B1184" s="272" t="s">
        <v>5477</v>
      </c>
      <c r="C1184" s="105" t="s">
        <v>7120</v>
      </c>
      <c r="D1184" s="149" t="s">
        <v>5489</v>
      </c>
      <c r="E1184" s="105">
        <v>1</v>
      </c>
      <c r="F1184" s="134">
        <v>47</v>
      </c>
      <c r="G1184" s="134">
        <v>60</v>
      </c>
      <c r="H1184" s="109">
        <f t="shared" si="55"/>
        <v>60</v>
      </c>
      <c r="I1184" s="119"/>
      <c r="J1184" s="119">
        <v>0</v>
      </c>
      <c r="K1184" s="119">
        <f t="shared" si="56"/>
        <v>60</v>
      </c>
      <c r="L1184" s="152">
        <f t="shared" si="57"/>
        <v>47</v>
      </c>
      <c r="M1184" s="113"/>
    </row>
    <row r="1185" spans="1:13" x14ac:dyDescent="0.2">
      <c r="A1185" s="106" t="s">
        <v>7063</v>
      </c>
      <c r="B1185" s="272" t="s">
        <v>3730</v>
      </c>
      <c r="C1185" s="105" t="s">
        <v>7121</v>
      </c>
      <c r="D1185" s="149" t="s">
        <v>7044</v>
      </c>
      <c r="E1185" s="157">
        <v>1</v>
      </c>
      <c r="F1185" s="134">
        <v>100</v>
      </c>
      <c r="G1185" s="134">
        <v>150</v>
      </c>
      <c r="H1185" s="109">
        <f t="shared" si="55"/>
        <v>150</v>
      </c>
      <c r="I1185" s="119"/>
      <c r="J1185" s="119">
        <v>0</v>
      </c>
      <c r="K1185" s="119">
        <f t="shared" si="56"/>
        <v>150</v>
      </c>
      <c r="L1185" s="152">
        <f t="shared" si="57"/>
        <v>100</v>
      </c>
      <c r="M1185" s="113"/>
    </row>
    <row r="1186" spans="1:13" x14ac:dyDescent="0.2">
      <c r="A1186" s="106" t="s">
        <v>7063</v>
      </c>
      <c r="B1186" s="272" t="s">
        <v>4201</v>
      </c>
      <c r="C1186" s="105" t="s">
        <v>7122</v>
      </c>
      <c r="D1186" s="149" t="s">
        <v>4202</v>
      </c>
      <c r="E1186" s="105">
        <v>1</v>
      </c>
      <c r="F1186" s="134">
        <v>24.35</v>
      </c>
      <c r="G1186" s="134">
        <v>28</v>
      </c>
      <c r="H1186" s="109">
        <f t="shared" si="55"/>
        <v>28</v>
      </c>
      <c r="I1186" s="119"/>
      <c r="J1186" s="119">
        <v>0</v>
      </c>
      <c r="K1186" s="119">
        <f t="shared" si="56"/>
        <v>28</v>
      </c>
      <c r="L1186" s="152">
        <f t="shared" si="57"/>
        <v>24.35</v>
      </c>
      <c r="M1186" s="113"/>
    </row>
    <row r="1187" spans="1:13" x14ac:dyDescent="0.2">
      <c r="A1187" s="106" t="s">
        <v>7063</v>
      </c>
      <c r="B1187" s="272" t="s">
        <v>1920</v>
      </c>
      <c r="C1187" s="105" t="s">
        <v>7123</v>
      </c>
      <c r="D1187" s="149" t="s">
        <v>1921</v>
      </c>
      <c r="E1187" s="105">
        <v>1</v>
      </c>
      <c r="F1187" s="134">
        <v>13.32</v>
      </c>
      <c r="G1187" s="134">
        <v>15.5</v>
      </c>
      <c r="H1187" s="109">
        <f t="shared" si="55"/>
        <v>15.5</v>
      </c>
      <c r="I1187" s="119"/>
      <c r="J1187" s="119">
        <v>0</v>
      </c>
      <c r="K1187" s="119">
        <f t="shared" si="56"/>
        <v>15.5</v>
      </c>
      <c r="L1187" s="152">
        <f t="shared" si="57"/>
        <v>13.32</v>
      </c>
      <c r="M1187" s="113"/>
    </row>
    <row r="1188" spans="1:13" x14ac:dyDescent="0.2">
      <c r="A1188" s="106" t="s">
        <v>7063</v>
      </c>
      <c r="B1188" s="272" t="s">
        <v>2264</v>
      </c>
      <c r="C1188" s="105" t="s">
        <v>7124</v>
      </c>
      <c r="D1188" s="149" t="s">
        <v>2265</v>
      </c>
      <c r="E1188" s="105">
        <v>1</v>
      </c>
      <c r="F1188" s="134">
        <v>62.45</v>
      </c>
      <c r="G1188" s="134">
        <v>72</v>
      </c>
      <c r="H1188" s="109">
        <f t="shared" si="55"/>
        <v>72</v>
      </c>
      <c r="I1188" s="119"/>
      <c r="J1188" s="119">
        <v>0</v>
      </c>
      <c r="K1188" s="119">
        <f t="shared" si="56"/>
        <v>72</v>
      </c>
      <c r="L1188" s="152">
        <f t="shared" si="57"/>
        <v>62.45</v>
      </c>
      <c r="M1188" s="113"/>
    </row>
    <row r="1189" spans="1:13" x14ac:dyDescent="0.2">
      <c r="A1189" s="106" t="s">
        <v>7063</v>
      </c>
      <c r="B1189" s="272" t="s">
        <v>6333</v>
      </c>
      <c r="C1189" s="105" t="s">
        <v>7125</v>
      </c>
      <c r="D1189" s="149" t="s">
        <v>6674</v>
      </c>
      <c r="E1189" s="105">
        <v>1</v>
      </c>
      <c r="F1189" s="134">
        <v>6995</v>
      </c>
      <c r="G1189" s="134">
        <v>8000</v>
      </c>
      <c r="H1189" s="109">
        <f t="shared" si="55"/>
        <v>8000</v>
      </c>
      <c r="I1189" s="119"/>
      <c r="J1189" s="119">
        <v>0</v>
      </c>
      <c r="K1189" s="119">
        <f t="shared" si="56"/>
        <v>8000</v>
      </c>
      <c r="L1189" s="152">
        <f t="shared" si="57"/>
        <v>6995</v>
      </c>
      <c r="M1189" s="113"/>
    </row>
    <row r="1190" spans="1:13" x14ac:dyDescent="0.2">
      <c r="A1190" s="106" t="s">
        <v>7063</v>
      </c>
      <c r="B1190" s="272" t="s">
        <v>2338</v>
      </c>
      <c r="C1190" s="105" t="s">
        <v>7126</v>
      </c>
      <c r="D1190" s="149" t="s">
        <v>2339</v>
      </c>
      <c r="E1190" s="105">
        <v>2</v>
      </c>
      <c r="F1190" s="134">
        <v>31.6</v>
      </c>
      <c r="G1190" s="134">
        <v>36.33</v>
      </c>
      <c r="H1190" s="109">
        <f t="shared" si="55"/>
        <v>72.66</v>
      </c>
      <c r="I1190" s="119"/>
      <c r="J1190" s="119">
        <v>0</v>
      </c>
      <c r="K1190" s="119">
        <f t="shared" si="56"/>
        <v>72.66</v>
      </c>
      <c r="L1190" s="152">
        <f t="shared" si="57"/>
        <v>63.2</v>
      </c>
      <c r="M1190" s="113"/>
    </row>
    <row r="1191" spans="1:13" x14ac:dyDescent="0.2">
      <c r="A1191" s="106" t="s">
        <v>7063</v>
      </c>
      <c r="B1191" s="272" t="s">
        <v>3842</v>
      </c>
      <c r="C1191" s="105" t="s">
        <v>7126</v>
      </c>
      <c r="D1191" s="149" t="s">
        <v>3844</v>
      </c>
      <c r="E1191" s="105">
        <v>1</v>
      </c>
      <c r="F1191" s="134">
        <v>41.83</v>
      </c>
      <c r="G1191" s="134">
        <v>48.25</v>
      </c>
      <c r="H1191" s="109">
        <f t="shared" si="55"/>
        <v>48.25</v>
      </c>
      <c r="I1191" s="119"/>
      <c r="J1191" s="119">
        <v>0</v>
      </c>
      <c r="K1191" s="119">
        <f t="shared" si="56"/>
        <v>48.25</v>
      </c>
      <c r="L1191" s="152">
        <f t="shared" si="57"/>
        <v>41.83</v>
      </c>
      <c r="M1191" s="113"/>
    </row>
    <row r="1192" spans="1:13" x14ac:dyDescent="0.2">
      <c r="A1192" s="106" t="s">
        <v>7064</v>
      </c>
      <c r="B1192" s="272" t="s">
        <v>6359</v>
      </c>
      <c r="C1192" s="105" t="s">
        <v>7127</v>
      </c>
      <c r="D1192" s="149" t="s">
        <v>6701</v>
      </c>
      <c r="E1192" s="105">
        <v>1</v>
      </c>
      <c r="F1192" s="134">
        <v>32</v>
      </c>
      <c r="G1192" s="134">
        <v>37</v>
      </c>
      <c r="H1192" s="109">
        <f t="shared" si="55"/>
        <v>37</v>
      </c>
      <c r="I1192" s="119"/>
      <c r="J1192" s="119">
        <v>0</v>
      </c>
      <c r="K1192" s="119">
        <f t="shared" si="56"/>
        <v>37</v>
      </c>
      <c r="L1192" s="152">
        <f t="shared" si="57"/>
        <v>32</v>
      </c>
      <c r="M1192" s="113"/>
    </row>
    <row r="1193" spans="1:13" x14ac:dyDescent="0.2">
      <c r="A1193" s="106" t="s">
        <v>7064</v>
      </c>
      <c r="B1193" s="272" t="s">
        <v>6311</v>
      </c>
      <c r="C1193" s="105" t="s">
        <v>7127</v>
      </c>
      <c r="D1193" s="149" t="s">
        <v>6652</v>
      </c>
      <c r="E1193" s="105">
        <v>1</v>
      </c>
      <c r="F1193" s="134">
        <v>24.04</v>
      </c>
      <c r="G1193" s="134">
        <v>27.75</v>
      </c>
      <c r="H1193" s="109">
        <f t="shared" si="55"/>
        <v>27.75</v>
      </c>
      <c r="I1193" s="119"/>
      <c r="J1193" s="119">
        <v>0</v>
      </c>
      <c r="K1193" s="119">
        <f t="shared" si="56"/>
        <v>27.75</v>
      </c>
      <c r="L1193" s="152">
        <f t="shared" si="57"/>
        <v>24.04</v>
      </c>
      <c r="M1193" s="113"/>
    </row>
    <row r="1194" spans="1:13" x14ac:dyDescent="0.2">
      <c r="A1194" s="106" t="s">
        <v>7064</v>
      </c>
      <c r="B1194" s="272" t="s">
        <v>6870</v>
      </c>
      <c r="C1194" s="105" t="s">
        <v>7127</v>
      </c>
      <c r="D1194" s="149" t="s">
        <v>6981</v>
      </c>
      <c r="E1194" s="105">
        <v>1</v>
      </c>
      <c r="F1194" s="134">
        <v>80</v>
      </c>
      <c r="G1194" s="134">
        <v>100</v>
      </c>
      <c r="H1194" s="109">
        <f t="shared" si="55"/>
        <v>100</v>
      </c>
      <c r="I1194" s="119"/>
      <c r="J1194" s="119">
        <v>0</v>
      </c>
      <c r="K1194" s="119">
        <f t="shared" si="56"/>
        <v>100</v>
      </c>
      <c r="L1194" s="152">
        <f t="shared" si="57"/>
        <v>80</v>
      </c>
      <c r="M1194" s="113"/>
    </row>
    <row r="1195" spans="1:13" x14ac:dyDescent="0.2">
      <c r="A1195" s="106" t="s">
        <v>7064</v>
      </c>
      <c r="B1195" s="272" t="s">
        <v>3352</v>
      </c>
      <c r="C1195" s="105" t="s">
        <v>7128</v>
      </c>
      <c r="D1195" s="149" t="s">
        <v>3353</v>
      </c>
      <c r="E1195" s="105">
        <v>4</v>
      </c>
      <c r="F1195" s="134">
        <v>6.35</v>
      </c>
      <c r="G1195" s="134">
        <v>7.5</v>
      </c>
      <c r="H1195" s="109">
        <f t="shared" si="55"/>
        <v>30</v>
      </c>
      <c r="I1195" s="119"/>
      <c r="J1195" s="119">
        <v>0</v>
      </c>
      <c r="K1195" s="119">
        <f t="shared" si="56"/>
        <v>30</v>
      </c>
      <c r="L1195" s="152">
        <f t="shared" si="57"/>
        <v>25.4</v>
      </c>
      <c r="M1195" s="113"/>
    </row>
    <row r="1196" spans="1:13" x14ac:dyDescent="0.2">
      <c r="A1196" s="106" t="s">
        <v>7064</v>
      </c>
      <c r="B1196" s="272" t="s">
        <v>4561</v>
      </c>
      <c r="C1196" s="105" t="s">
        <v>7128</v>
      </c>
      <c r="D1196" s="149" t="s">
        <v>4666</v>
      </c>
      <c r="E1196" s="105">
        <v>1</v>
      </c>
      <c r="F1196" s="134">
        <v>37.64</v>
      </c>
      <c r="G1196" s="134">
        <v>43.75</v>
      </c>
      <c r="H1196" s="109">
        <f t="shared" si="55"/>
        <v>43.75</v>
      </c>
      <c r="I1196" s="119"/>
      <c r="J1196" s="119">
        <v>0</v>
      </c>
      <c r="K1196" s="119">
        <f t="shared" si="56"/>
        <v>43.75</v>
      </c>
      <c r="L1196" s="152">
        <f t="shared" si="57"/>
        <v>37.64</v>
      </c>
      <c r="M1196" s="113"/>
    </row>
    <row r="1197" spans="1:13" x14ac:dyDescent="0.2">
      <c r="A1197" s="106" t="s">
        <v>7064</v>
      </c>
      <c r="B1197" s="272" t="s">
        <v>6354</v>
      </c>
      <c r="C1197" s="105" t="s">
        <v>7128</v>
      </c>
      <c r="D1197" s="149" t="s">
        <v>6695</v>
      </c>
      <c r="E1197" s="105">
        <v>1</v>
      </c>
      <c r="F1197" s="134">
        <v>7.7</v>
      </c>
      <c r="G1197" s="134">
        <v>9</v>
      </c>
      <c r="H1197" s="109">
        <f t="shared" si="55"/>
        <v>9</v>
      </c>
      <c r="I1197" s="119"/>
      <c r="J1197" s="119">
        <v>0</v>
      </c>
      <c r="K1197" s="119">
        <f t="shared" si="56"/>
        <v>9</v>
      </c>
      <c r="L1197" s="152">
        <f t="shared" si="57"/>
        <v>7.7</v>
      </c>
      <c r="M1197" s="113"/>
    </row>
    <row r="1198" spans="1:13" x14ac:dyDescent="0.2">
      <c r="A1198" s="106" t="s">
        <v>7064</v>
      </c>
      <c r="B1198" s="272" t="s">
        <v>4716</v>
      </c>
      <c r="C1198" s="105" t="s">
        <v>7128</v>
      </c>
      <c r="D1198" s="149" t="s">
        <v>4751</v>
      </c>
      <c r="E1198" s="105">
        <v>1</v>
      </c>
      <c r="F1198" s="134">
        <v>0.81</v>
      </c>
      <c r="G1198" s="134">
        <v>1</v>
      </c>
      <c r="H1198" s="109">
        <f t="shared" si="55"/>
        <v>1</v>
      </c>
      <c r="I1198" s="119"/>
      <c r="J1198" s="119">
        <v>0</v>
      </c>
      <c r="K1198" s="119">
        <f t="shared" si="56"/>
        <v>1</v>
      </c>
      <c r="L1198" s="152">
        <f t="shared" si="57"/>
        <v>0.81</v>
      </c>
      <c r="M1198" s="113"/>
    </row>
    <row r="1199" spans="1:13" x14ac:dyDescent="0.2">
      <c r="A1199" s="106" t="s">
        <v>7064</v>
      </c>
      <c r="B1199" s="272" t="s">
        <v>4952</v>
      </c>
      <c r="C1199" s="105" t="s">
        <v>7129</v>
      </c>
      <c r="D1199" s="149" t="s">
        <v>4989</v>
      </c>
      <c r="E1199" s="105">
        <v>1</v>
      </c>
      <c r="F1199" s="134">
        <v>9.26</v>
      </c>
      <c r="G1199" s="134">
        <v>11</v>
      </c>
      <c r="H1199" s="109">
        <f t="shared" si="55"/>
        <v>11</v>
      </c>
      <c r="I1199" s="119"/>
      <c r="J1199" s="119">
        <v>0</v>
      </c>
      <c r="K1199" s="119">
        <f t="shared" si="56"/>
        <v>11</v>
      </c>
      <c r="L1199" s="152">
        <f t="shared" si="57"/>
        <v>9.26</v>
      </c>
      <c r="M1199" s="113"/>
    </row>
    <row r="1200" spans="1:13" x14ac:dyDescent="0.2">
      <c r="A1200" s="106" t="s">
        <v>7064</v>
      </c>
      <c r="B1200" s="272" t="s">
        <v>1969</v>
      </c>
      <c r="C1200" s="105" t="s">
        <v>7130</v>
      </c>
      <c r="D1200" s="149" t="s">
        <v>1970</v>
      </c>
      <c r="E1200" s="105">
        <v>2</v>
      </c>
      <c r="F1200" s="134">
        <v>3.6</v>
      </c>
      <c r="G1200" s="134">
        <v>4.25</v>
      </c>
      <c r="H1200" s="109">
        <f t="shared" si="55"/>
        <v>8.5</v>
      </c>
      <c r="I1200" s="119"/>
      <c r="J1200" s="119">
        <v>0</v>
      </c>
      <c r="K1200" s="119">
        <f t="shared" si="56"/>
        <v>8.5</v>
      </c>
      <c r="L1200" s="152">
        <f t="shared" si="57"/>
        <v>7.2</v>
      </c>
      <c r="M1200" s="113"/>
    </row>
    <row r="1201" spans="1:13" x14ac:dyDescent="0.2">
      <c r="A1201" s="106" t="s">
        <v>7064</v>
      </c>
      <c r="B1201" s="272" t="s">
        <v>5244</v>
      </c>
      <c r="C1201" s="105" t="s">
        <v>7131</v>
      </c>
      <c r="D1201" s="149" t="s">
        <v>5404</v>
      </c>
      <c r="E1201" s="105">
        <v>1</v>
      </c>
      <c r="F1201" s="134">
        <v>36.840000000000003</v>
      </c>
      <c r="G1201" s="134">
        <v>42.5</v>
      </c>
      <c r="H1201" s="109">
        <f t="shared" si="55"/>
        <v>42.5</v>
      </c>
      <c r="I1201" s="119"/>
      <c r="J1201" s="119">
        <v>0</v>
      </c>
      <c r="K1201" s="119">
        <f t="shared" si="56"/>
        <v>42.5</v>
      </c>
      <c r="L1201" s="152">
        <f t="shared" si="57"/>
        <v>36.840000000000003</v>
      </c>
      <c r="M1201" s="113"/>
    </row>
    <row r="1202" spans="1:13" x14ac:dyDescent="0.2">
      <c r="A1202" s="106" t="s">
        <v>7064</v>
      </c>
      <c r="B1202" s="272" t="s">
        <v>2857</v>
      </c>
      <c r="C1202" s="105" t="s">
        <v>7131</v>
      </c>
      <c r="D1202" s="149" t="s">
        <v>2859</v>
      </c>
      <c r="E1202" s="105">
        <v>2</v>
      </c>
      <c r="F1202" s="134">
        <v>6.96</v>
      </c>
      <c r="G1202" s="134">
        <v>8</v>
      </c>
      <c r="H1202" s="109">
        <f t="shared" si="55"/>
        <v>16</v>
      </c>
      <c r="I1202" s="119"/>
      <c r="J1202" s="119">
        <v>0</v>
      </c>
      <c r="K1202" s="119">
        <f t="shared" si="56"/>
        <v>16</v>
      </c>
      <c r="L1202" s="152">
        <f t="shared" si="57"/>
        <v>13.92</v>
      </c>
      <c r="M1202" s="113"/>
    </row>
    <row r="1203" spans="1:13" x14ac:dyDescent="0.2">
      <c r="A1203" s="106" t="s">
        <v>7064</v>
      </c>
      <c r="B1203" s="272" t="s">
        <v>2148</v>
      </c>
      <c r="C1203" s="105" t="s">
        <v>7131</v>
      </c>
      <c r="D1203" s="149" t="s">
        <v>2149</v>
      </c>
      <c r="E1203" s="105">
        <v>1</v>
      </c>
      <c r="F1203" s="134">
        <v>31.05</v>
      </c>
      <c r="G1203" s="134">
        <v>36</v>
      </c>
      <c r="H1203" s="109">
        <f t="shared" si="55"/>
        <v>36</v>
      </c>
      <c r="I1203" s="119"/>
      <c r="J1203" s="119">
        <v>0</v>
      </c>
      <c r="K1203" s="119">
        <f t="shared" si="56"/>
        <v>36</v>
      </c>
      <c r="L1203" s="152">
        <f t="shared" si="57"/>
        <v>31.05</v>
      </c>
      <c r="M1203" s="113"/>
    </row>
    <row r="1204" spans="1:13" x14ac:dyDescent="0.2">
      <c r="A1204" s="106" t="s">
        <v>7064</v>
      </c>
      <c r="B1204" s="272" t="s">
        <v>6311</v>
      </c>
      <c r="C1204" s="105" t="s">
        <v>7132</v>
      </c>
      <c r="D1204" s="149" t="s">
        <v>6652</v>
      </c>
      <c r="E1204" s="105">
        <v>1</v>
      </c>
      <c r="F1204" s="134">
        <v>24.04</v>
      </c>
      <c r="G1204" s="134">
        <v>27.75</v>
      </c>
      <c r="H1204" s="109">
        <f t="shared" si="55"/>
        <v>27.75</v>
      </c>
      <c r="I1204" s="119"/>
      <c r="J1204" s="119">
        <v>0</v>
      </c>
      <c r="K1204" s="119">
        <f t="shared" si="56"/>
        <v>27.75</v>
      </c>
      <c r="L1204" s="152">
        <f t="shared" si="57"/>
        <v>24.04</v>
      </c>
      <c r="M1204" s="113"/>
    </row>
    <row r="1205" spans="1:13" x14ac:dyDescent="0.2">
      <c r="A1205" s="106" t="s">
        <v>7064</v>
      </c>
      <c r="B1205" s="272" t="s">
        <v>4716</v>
      </c>
      <c r="C1205" s="105" t="s">
        <v>7133</v>
      </c>
      <c r="D1205" s="149" t="s">
        <v>4751</v>
      </c>
      <c r="E1205" s="105">
        <v>3</v>
      </c>
      <c r="F1205" s="134">
        <v>0.81</v>
      </c>
      <c r="G1205" s="134">
        <v>1</v>
      </c>
      <c r="H1205" s="109">
        <f t="shared" si="55"/>
        <v>3</v>
      </c>
      <c r="I1205" s="119"/>
      <c r="J1205" s="119">
        <v>0</v>
      </c>
      <c r="K1205" s="119">
        <f t="shared" si="56"/>
        <v>3</v>
      </c>
      <c r="L1205" s="152">
        <f t="shared" si="57"/>
        <v>2.4300000000000002</v>
      </c>
      <c r="M1205" s="113"/>
    </row>
    <row r="1206" spans="1:13" x14ac:dyDescent="0.2">
      <c r="A1206" s="106" t="s">
        <v>7064</v>
      </c>
      <c r="B1206" s="272" t="s">
        <v>1806</v>
      </c>
      <c r="C1206" s="105" t="s">
        <v>7134</v>
      </c>
      <c r="D1206" s="149" t="s">
        <v>1807</v>
      </c>
      <c r="E1206" s="105">
        <v>1</v>
      </c>
      <c r="F1206" s="134">
        <v>15.65</v>
      </c>
      <c r="G1206" s="134">
        <v>18</v>
      </c>
      <c r="H1206" s="109">
        <f t="shared" si="55"/>
        <v>18</v>
      </c>
      <c r="I1206" s="119"/>
      <c r="J1206" s="119">
        <v>0</v>
      </c>
      <c r="K1206" s="119">
        <f t="shared" si="56"/>
        <v>18</v>
      </c>
      <c r="L1206" s="152">
        <f t="shared" si="57"/>
        <v>15.65</v>
      </c>
      <c r="M1206" s="113"/>
    </row>
    <row r="1207" spans="1:13" x14ac:dyDescent="0.2">
      <c r="A1207" s="106" t="s">
        <v>7064</v>
      </c>
      <c r="B1207" s="272" t="s">
        <v>1897</v>
      </c>
      <c r="C1207" s="105" t="s">
        <v>7134</v>
      </c>
      <c r="D1207" s="149" t="s">
        <v>1898</v>
      </c>
      <c r="E1207" s="105">
        <v>1</v>
      </c>
      <c r="F1207" s="134">
        <v>27.5</v>
      </c>
      <c r="G1207" s="134">
        <v>31.75</v>
      </c>
      <c r="H1207" s="109">
        <f t="shared" si="55"/>
        <v>31.75</v>
      </c>
      <c r="I1207" s="119"/>
      <c r="J1207" s="119">
        <v>0</v>
      </c>
      <c r="K1207" s="119">
        <f t="shared" si="56"/>
        <v>31.75</v>
      </c>
      <c r="L1207" s="152">
        <f t="shared" si="57"/>
        <v>27.5</v>
      </c>
      <c r="M1207" s="113"/>
    </row>
    <row r="1208" spans="1:13" x14ac:dyDescent="0.2">
      <c r="A1208" s="106" t="s">
        <v>7064</v>
      </c>
      <c r="B1208" s="272" t="s">
        <v>3143</v>
      </c>
      <c r="C1208" s="105" t="s">
        <v>7134</v>
      </c>
      <c r="D1208" s="149" t="s">
        <v>3145</v>
      </c>
      <c r="E1208" s="105">
        <v>1</v>
      </c>
      <c r="F1208" s="134">
        <v>18.649999999999999</v>
      </c>
      <c r="G1208" s="134">
        <v>21.5</v>
      </c>
      <c r="H1208" s="109">
        <f t="shared" si="55"/>
        <v>21.5</v>
      </c>
      <c r="I1208" s="119"/>
      <c r="J1208" s="119">
        <v>0</v>
      </c>
      <c r="K1208" s="119">
        <f t="shared" si="56"/>
        <v>21.5</v>
      </c>
      <c r="L1208" s="152">
        <f t="shared" si="57"/>
        <v>18.649999999999999</v>
      </c>
      <c r="M1208" s="113"/>
    </row>
    <row r="1209" spans="1:13" x14ac:dyDescent="0.2">
      <c r="A1209" s="106" t="s">
        <v>7064</v>
      </c>
      <c r="B1209" s="272" t="s">
        <v>1911</v>
      </c>
      <c r="C1209" s="105" t="s">
        <v>7134</v>
      </c>
      <c r="D1209" s="149" t="s">
        <v>1912</v>
      </c>
      <c r="E1209" s="105">
        <v>1</v>
      </c>
      <c r="F1209" s="134">
        <v>32.26</v>
      </c>
      <c r="G1209" s="134">
        <v>37.25</v>
      </c>
      <c r="H1209" s="109">
        <f t="shared" si="55"/>
        <v>37.25</v>
      </c>
      <c r="I1209" s="119"/>
      <c r="J1209" s="119">
        <v>0</v>
      </c>
      <c r="K1209" s="119">
        <f t="shared" si="56"/>
        <v>37.25</v>
      </c>
      <c r="L1209" s="152">
        <f t="shared" si="57"/>
        <v>32.26</v>
      </c>
      <c r="M1209" s="113"/>
    </row>
    <row r="1210" spans="1:13" x14ac:dyDescent="0.2">
      <c r="A1210" s="106" t="s">
        <v>7064</v>
      </c>
      <c r="B1210" s="272" t="s">
        <v>2201</v>
      </c>
      <c r="C1210" s="105" t="s">
        <v>7135</v>
      </c>
      <c r="D1210" s="149" t="s">
        <v>2202</v>
      </c>
      <c r="E1210" s="105">
        <v>1</v>
      </c>
      <c r="F1210" s="134">
        <v>11.99</v>
      </c>
      <c r="G1210" s="134">
        <v>14</v>
      </c>
      <c r="H1210" s="109">
        <f t="shared" si="55"/>
        <v>14</v>
      </c>
      <c r="I1210" s="119"/>
      <c r="J1210" s="119">
        <v>0</v>
      </c>
      <c r="K1210" s="119">
        <f t="shared" si="56"/>
        <v>14</v>
      </c>
      <c r="L1210" s="152">
        <f t="shared" si="57"/>
        <v>11.99</v>
      </c>
      <c r="M1210" s="113"/>
    </row>
    <row r="1211" spans="1:13" x14ac:dyDescent="0.2">
      <c r="A1211" s="106" t="s">
        <v>7064</v>
      </c>
      <c r="B1211" s="272" t="s">
        <v>1969</v>
      </c>
      <c r="C1211" s="105" t="s">
        <v>7136</v>
      </c>
      <c r="D1211" s="149" t="s">
        <v>1970</v>
      </c>
      <c r="E1211" s="105">
        <v>1</v>
      </c>
      <c r="F1211" s="134">
        <v>3.6</v>
      </c>
      <c r="G1211" s="134">
        <v>4.25</v>
      </c>
      <c r="H1211" s="109">
        <f t="shared" si="55"/>
        <v>4.25</v>
      </c>
      <c r="I1211" s="119"/>
      <c r="J1211" s="119">
        <v>0</v>
      </c>
      <c r="K1211" s="119">
        <f t="shared" si="56"/>
        <v>4.25</v>
      </c>
      <c r="L1211" s="152">
        <f t="shared" si="57"/>
        <v>3.6</v>
      </c>
      <c r="M1211" s="113"/>
    </row>
    <row r="1212" spans="1:13" x14ac:dyDescent="0.2">
      <c r="A1212" s="106" t="s">
        <v>7064</v>
      </c>
      <c r="B1212" s="272" t="s">
        <v>4806</v>
      </c>
      <c r="C1212" s="105" t="s">
        <v>7137</v>
      </c>
      <c r="D1212" s="149" t="s">
        <v>4874</v>
      </c>
      <c r="E1212" s="105">
        <v>1</v>
      </c>
      <c r="F1212" s="134">
        <v>8.58</v>
      </c>
      <c r="G1212" s="134">
        <v>10</v>
      </c>
      <c r="H1212" s="109">
        <f t="shared" si="55"/>
        <v>10</v>
      </c>
      <c r="I1212" s="119"/>
      <c r="J1212" s="119">
        <v>0</v>
      </c>
      <c r="K1212" s="119">
        <f t="shared" si="56"/>
        <v>10</v>
      </c>
      <c r="L1212" s="152">
        <f t="shared" si="57"/>
        <v>8.58</v>
      </c>
      <c r="M1212" s="113"/>
    </row>
    <row r="1213" spans="1:13" x14ac:dyDescent="0.2">
      <c r="A1213" s="106" t="s">
        <v>7064</v>
      </c>
      <c r="B1213" s="272" t="s">
        <v>1810</v>
      </c>
      <c r="C1213" s="105" t="s">
        <v>7138</v>
      </c>
      <c r="D1213" s="149" t="s">
        <v>1811</v>
      </c>
      <c r="E1213" s="105">
        <v>1</v>
      </c>
      <c r="F1213" s="134">
        <v>38.39</v>
      </c>
      <c r="G1213" s="134">
        <v>44.25</v>
      </c>
      <c r="H1213" s="109">
        <f t="shared" si="55"/>
        <v>44.25</v>
      </c>
      <c r="I1213" s="119"/>
      <c r="J1213" s="119">
        <v>0</v>
      </c>
      <c r="K1213" s="119">
        <f t="shared" si="56"/>
        <v>44.25</v>
      </c>
      <c r="L1213" s="152">
        <f t="shared" si="57"/>
        <v>38.39</v>
      </c>
      <c r="M1213" s="113"/>
    </row>
    <row r="1214" spans="1:13" x14ac:dyDescent="0.2">
      <c r="A1214" s="106" t="s">
        <v>7064</v>
      </c>
      <c r="B1214" s="272" t="s">
        <v>1810</v>
      </c>
      <c r="C1214" s="105" t="s">
        <v>7139</v>
      </c>
      <c r="D1214" s="149" t="s">
        <v>1811</v>
      </c>
      <c r="E1214" s="105">
        <v>1</v>
      </c>
      <c r="F1214" s="134">
        <v>38.39</v>
      </c>
      <c r="G1214" s="134">
        <v>44.25</v>
      </c>
      <c r="H1214" s="109">
        <f t="shared" si="55"/>
        <v>44.25</v>
      </c>
      <c r="I1214" s="119"/>
      <c r="J1214" s="119">
        <v>0</v>
      </c>
      <c r="K1214" s="119">
        <f t="shared" si="56"/>
        <v>44.25</v>
      </c>
      <c r="L1214" s="152">
        <f t="shared" si="57"/>
        <v>38.39</v>
      </c>
      <c r="M1214" s="113"/>
    </row>
    <row r="1215" spans="1:13" x14ac:dyDescent="0.2">
      <c r="A1215" s="106" t="s">
        <v>7064</v>
      </c>
      <c r="B1215" s="272" t="s">
        <v>2836</v>
      </c>
      <c r="C1215" s="105" t="s">
        <v>7140</v>
      </c>
      <c r="D1215" s="149" t="s">
        <v>2837</v>
      </c>
      <c r="E1215" s="105">
        <v>1</v>
      </c>
      <c r="F1215" s="134">
        <v>14.65</v>
      </c>
      <c r="G1215" s="134">
        <v>17</v>
      </c>
      <c r="H1215" s="109">
        <f t="shared" si="55"/>
        <v>17</v>
      </c>
      <c r="I1215" s="119"/>
      <c r="J1215" s="119">
        <v>0</v>
      </c>
      <c r="K1215" s="119">
        <f t="shared" si="56"/>
        <v>17</v>
      </c>
      <c r="L1215" s="152">
        <f t="shared" si="57"/>
        <v>14.65</v>
      </c>
      <c r="M1215" s="113"/>
    </row>
    <row r="1216" spans="1:13" x14ac:dyDescent="0.2">
      <c r="A1216" s="106" t="s">
        <v>7064</v>
      </c>
      <c r="B1216" s="272" t="s">
        <v>2659</v>
      </c>
      <c r="C1216" s="105" t="s">
        <v>7141</v>
      </c>
      <c r="D1216" s="149" t="s">
        <v>2661</v>
      </c>
      <c r="E1216" s="105">
        <v>1</v>
      </c>
      <c r="F1216" s="134">
        <v>61.5</v>
      </c>
      <c r="G1216" s="134">
        <v>70.75</v>
      </c>
      <c r="H1216" s="109">
        <f t="shared" si="55"/>
        <v>70.75</v>
      </c>
      <c r="I1216" s="119"/>
      <c r="J1216" s="119">
        <v>0</v>
      </c>
      <c r="K1216" s="119">
        <f t="shared" si="56"/>
        <v>70.75</v>
      </c>
      <c r="L1216" s="152">
        <f t="shared" si="57"/>
        <v>61.5</v>
      </c>
      <c r="M1216" s="113"/>
    </row>
    <row r="1217" spans="1:13" x14ac:dyDescent="0.2">
      <c r="A1217" s="106" t="s">
        <v>7064</v>
      </c>
      <c r="B1217" s="272" t="s">
        <v>2857</v>
      </c>
      <c r="C1217" s="105" t="s">
        <v>7142</v>
      </c>
      <c r="D1217" s="149" t="s">
        <v>2859</v>
      </c>
      <c r="E1217" s="105">
        <v>2</v>
      </c>
      <c r="F1217" s="134">
        <v>6.96</v>
      </c>
      <c r="G1217" s="134">
        <v>8</v>
      </c>
      <c r="H1217" s="109">
        <f t="shared" si="55"/>
        <v>16</v>
      </c>
      <c r="I1217" s="119"/>
      <c r="J1217" s="119">
        <v>0</v>
      </c>
      <c r="K1217" s="119">
        <f t="shared" si="56"/>
        <v>16</v>
      </c>
      <c r="L1217" s="152">
        <f t="shared" si="57"/>
        <v>13.92</v>
      </c>
      <c r="M1217" s="113"/>
    </row>
    <row r="1218" spans="1:13" x14ac:dyDescent="0.2">
      <c r="A1218" s="106" t="s">
        <v>7064</v>
      </c>
      <c r="B1218" s="272" t="s">
        <v>7070</v>
      </c>
      <c r="C1218" s="105" t="s">
        <v>7142</v>
      </c>
      <c r="D1218" s="149" t="s">
        <v>7160</v>
      </c>
      <c r="E1218" s="105">
        <v>3</v>
      </c>
      <c r="F1218" s="134">
        <v>8.3000000000000007</v>
      </c>
      <c r="G1218" s="134">
        <v>9.75</v>
      </c>
      <c r="H1218" s="109">
        <f t="shared" si="55"/>
        <v>29.25</v>
      </c>
      <c r="I1218" s="119"/>
      <c r="J1218" s="119">
        <v>0</v>
      </c>
      <c r="K1218" s="119">
        <f t="shared" si="56"/>
        <v>29.25</v>
      </c>
      <c r="L1218" s="152">
        <f t="shared" si="57"/>
        <v>24.900000000000002</v>
      </c>
      <c r="M1218" s="113"/>
    </row>
    <row r="1219" spans="1:13" x14ac:dyDescent="0.2">
      <c r="A1219" s="106" t="s">
        <v>7064</v>
      </c>
      <c r="B1219" s="272" t="s">
        <v>6354</v>
      </c>
      <c r="C1219" s="105" t="s">
        <v>7142</v>
      </c>
      <c r="D1219" s="149" t="s">
        <v>6695</v>
      </c>
      <c r="E1219" s="105">
        <v>2</v>
      </c>
      <c r="F1219" s="134">
        <v>7.7</v>
      </c>
      <c r="G1219" s="134">
        <v>9</v>
      </c>
      <c r="H1219" s="109">
        <f t="shared" si="55"/>
        <v>18</v>
      </c>
      <c r="I1219" s="119"/>
      <c r="J1219" s="119">
        <v>0</v>
      </c>
      <c r="K1219" s="119">
        <f t="shared" si="56"/>
        <v>18</v>
      </c>
      <c r="L1219" s="152">
        <f t="shared" si="57"/>
        <v>15.4</v>
      </c>
      <c r="M1219" s="113"/>
    </row>
    <row r="1220" spans="1:13" x14ac:dyDescent="0.2">
      <c r="A1220" s="106" t="s">
        <v>7064</v>
      </c>
      <c r="B1220" s="272" t="s">
        <v>1793</v>
      </c>
      <c r="C1220" s="105" t="s">
        <v>7143</v>
      </c>
      <c r="D1220" s="149" t="s">
        <v>1795</v>
      </c>
      <c r="E1220" s="105">
        <v>1</v>
      </c>
      <c r="F1220" s="134">
        <v>12.17</v>
      </c>
      <c r="G1220" s="134">
        <v>14.75</v>
      </c>
      <c r="H1220" s="109">
        <f t="shared" si="55"/>
        <v>14.75</v>
      </c>
      <c r="I1220" s="119"/>
      <c r="J1220" s="119">
        <v>0</v>
      </c>
      <c r="K1220" s="119">
        <f t="shared" si="56"/>
        <v>14.75</v>
      </c>
      <c r="L1220" s="152">
        <f t="shared" si="57"/>
        <v>12.17</v>
      </c>
      <c r="M1220" s="113"/>
    </row>
    <row r="1221" spans="1:13" x14ac:dyDescent="0.2">
      <c r="A1221" s="106" t="s">
        <v>7064</v>
      </c>
      <c r="B1221" s="272" t="s">
        <v>1884</v>
      </c>
      <c r="C1221" s="105" t="s">
        <v>7144</v>
      </c>
      <c r="D1221" s="149" t="s">
        <v>1885</v>
      </c>
      <c r="E1221" s="105">
        <v>1</v>
      </c>
      <c r="F1221" s="134">
        <v>7.06</v>
      </c>
      <c r="G1221" s="134">
        <v>8.25</v>
      </c>
      <c r="H1221" s="109">
        <f t="shared" si="55"/>
        <v>8.25</v>
      </c>
      <c r="I1221" s="119"/>
      <c r="J1221" s="119">
        <v>0</v>
      </c>
      <c r="K1221" s="119">
        <f t="shared" si="56"/>
        <v>8.25</v>
      </c>
      <c r="L1221" s="152">
        <f t="shared" si="57"/>
        <v>7.06</v>
      </c>
      <c r="M1221" s="113"/>
    </row>
    <row r="1222" spans="1:13" x14ac:dyDescent="0.2">
      <c r="A1222" s="106" t="s">
        <v>7064</v>
      </c>
      <c r="B1222" s="272" t="s">
        <v>1915</v>
      </c>
      <c r="C1222" s="105" t="s">
        <v>7145</v>
      </c>
      <c r="D1222" s="149" t="s">
        <v>1917</v>
      </c>
      <c r="E1222" s="105">
        <v>1</v>
      </c>
      <c r="F1222" s="134">
        <v>7.85</v>
      </c>
      <c r="G1222" s="134">
        <v>12</v>
      </c>
      <c r="H1222" s="109">
        <f t="shared" ref="H1222:H1285" si="58">E1222*G1222</f>
        <v>12</v>
      </c>
      <c r="I1222" s="119"/>
      <c r="J1222" s="119">
        <v>0</v>
      </c>
      <c r="K1222" s="119">
        <f t="shared" si="56"/>
        <v>12</v>
      </c>
      <c r="L1222" s="152">
        <f t="shared" si="57"/>
        <v>7.85</v>
      </c>
      <c r="M1222" s="113"/>
    </row>
    <row r="1223" spans="1:13" x14ac:dyDescent="0.2">
      <c r="A1223" s="106" t="s">
        <v>7064</v>
      </c>
      <c r="B1223" s="272" t="s">
        <v>2636</v>
      </c>
      <c r="C1223" s="105" t="s">
        <v>7146</v>
      </c>
      <c r="D1223" s="149" t="s">
        <v>2637</v>
      </c>
      <c r="E1223" s="105">
        <v>1</v>
      </c>
      <c r="F1223" s="134">
        <v>14.91</v>
      </c>
      <c r="G1223" s="134">
        <v>17.25</v>
      </c>
      <c r="H1223" s="109">
        <f t="shared" si="58"/>
        <v>17.25</v>
      </c>
      <c r="I1223" s="119"/>
      <c r="J1223" s="119">
        <v>0</v>
      </c>
      <c r="K1223" s="119">
        <f t="shared" si="56"/>
        <v>17.25</v>
      </c>
      <c r="L1223" s="152">
        <f t="shared" si="57"/>
        <v>14.91</v>
      </c>
      <c r="M1223" s="113"/>
    </row>
    <row r="1224" spans="1:13" x14ac:dyDescent="0.2">
      <c r="A1224" s="106" t="s">
        <v>7064</v>
      </c>
      <c r="B1224" s="272" t="s">
        <v>4562</v>
      </c>
      <c r="C1224" s="105" t="s">
        <v>7146</v>
      </c>
      <c r="D1224" s="149" t="s">
        <v>4667</v>
      </c>
      <c r="E1224" s="105">
        <v>1</v>
      </c>
      <c r="F1224" s="134">
        <v>9.0299999999999994</v>
      </c>
      <c r="G1224" s="134">
        <v>10.38</v>
      </c>
      <c r="H1224" s="109">
        <f t="shared" si="58"/>
        <v>10.38</v>
      </c>
      <c r="I1224" s="119"/>
      <c r="J1224" s="119">
        <v>0</v>
      </c>
      <c r="K1224" s="119">
        <f t="shared" ref="K1224:K1287" si="59">H1224+I1224-J1224</f>
        <v>10.38</v>
      </c>
      <c r="L1224" s="152">
        <f t="shared" ref="L1224:L1287" si="60">E1224*F1224</f>
        <v>9.0299999999999994</v>
      </c>
      <c r="M1224" s="113"/>
    </row>
    <row r="1225" spans="1:13" x14ac:dyDescent="0.2">
      <c r="A1225" s="106" t="s">
        <v>7064</v>
      </c>
      <c r="B1225" s="272" t="s">
        <v>2441</v>
      </c>
      <c r="C1225" s="105" t="s">
        <v>7146</v>
      </c>
      <c r="D1225" s="149" t="s">
        <v>2443</v>
      </c>
      <c r="E1225" s="105">
        <v>5</v>
      </c>
      <c r="F1225" s="134">
        <v>0.81</v>
      </c>
      <c r="G1225" s="134">
        <v>1</v>
      </c>
      <c r="H1225" s="109">
        <f t="shared" si="58"/>
        <v>5</v>
      </c>
      <c r="I1225" s="119"/>
      <c r="J1225" s="119">
        <v>0</v>
      </c>
      <c r="K1225" s="119">
        <f t="shared" si="59"/>
        <v>5</v>
      </c>
      <c r="L1225" s="152">
        <f t="shared" si="60"/>
        <v>4.0500000000000007</v>
      </c>
      <c r="M1225" s="113"/>
    </row>
    <row r="1226" spans="1:13" x14ac:dyDescent="0.2">
      <c r="A1226" s="106" t="s">
        <v>7065</v>
      </c>
      <c r="B1226" s="272" t="s">
        <v>2313</v>
      </c>
      <c r="C1226" s="105" t="s">
        <v>7147</v>
      </c>
      <c r="D1226" s="149" t="s">
        <v>2314</v>
      </c>
      <c r="E1226" s="105">
        <v>1</v>
      </c>
      <c r="F1226" s="134">
        <v>37.130000000000003</v>
      </c>
      <c r="G1226" s="134">
        <v>42.75</v>
      </c>
      <c r="H1226" s="109">
        <f t="shared" si="58"/>
        <v>42.75</v>
      </c>
      <c r="I1226" s="119"/>
      <c r="J1226" s="119">
        <v>0</v>
      </c>
      <c r="K1226" s="119">
        <f t="shared" si="59"/>
        <v>42.75</v>
      </c>
      <c r="L1226" s="152">
        <f t="shared" si="60"/>
        <v>37.130000000000003</v>
      </c>
      <c r="M1226" s="113"/>
    </row>
    <row r="1227" spans="1:13" x14ac:dyDescent="0.2">
      <c r="A1227" s="106" t="s">
        <v>7065</v>
      </c>
      <c r="B1227" s="272" t="s">
        <v>1897</v>
      </c>
      <c r="C1227" s="105" t="s">
        <v>7147</v>
      </c>
      <c r="D1227" s="149" t="s">
        <v>1898</v>
      </c>
      <c r="E1227" s="105">
        <v>1</v>
      </c>
      <c r="F1227" s="134">
        <v>27.5</v>
      </c>
      <c r="G1227" s="134">
        <v>31.75</v>
      </c>
      <c r="H1227" s="109">
        <f t="shared" si="58"/>
        <v>31.75</v>
      </c>
      <c r="I1227" s="119"/>
      <c r="J1227" s="119">
        <v>0</v>
      </c>
      <c r="K1227" s="119">
        <f t="shared" si="59"/>
        <v>31.75</v>
      </c>
      <c r="L1227" s="152">
        <f t="shared" si="60"/>
        <v>27.5</v>
      </c>
      <c r="M1227" s="113"/>
    </row>
    <row r="1228" spans="1:13" x14ac:dyDescent="0.2">
      <c r="A1228" s="106" t="s">
        <v>7065</v>
      </c>
      <c r="B1228" s="272" t="s">
        <v>2773</v>
      </c>
      <c r="C1228" s="105" t="s">
        <v>7147</v>
      </c>
      <c r="D1228" s="149" t="s">
        <v>2774</v>
      </c>
      <c r="E1228" s="105">
        <v>1</v>
      </c>
      <c r="F1228" s="134">
        <v>28.2</v>
      </c>
      <c r="G1228" s="134">
        <v>32.5</v>
      </c>
      <c r="H1228" s="109">
        <f t="shared" si="58"/>
        <v>32.5</v>
      </c>
      <c r="I1228" s="119"/>
      <c r="J1228" s="119">
        <v>0</v>
      </c>
      <c r="K1228" s="119">
        <f t="shared" si="59"/>
        <v>32.5</v>
      </c>
      <c r="L1228" s="152">
        <f t="shared" si="60"/>
        <v>28.2</v>
      </c>
      <c r="M1228" s="113"/>
    </row>
    <row r="1229" spans="1:13" x14ac:dyDescent="0.2">
      <c r="A1229" s="106" t="s">
        <v>7065</v>
      </c>
      <c r="B1229" s="272" t="s">
        <v>2271</v>
      </c>
      <c r="C1229" s="105" t="s">
        <v>7148</v>
      </c>
      <c r="D1229" s="149" t="s">
        <v>2273</v>
      </c>
      <c r="E1229" s="105">
        <v>2</v>
      </c>
      <c r="F1229" s="134">
        <v>16.03</v>
      </c>
      <c r="G1229" s="134">
        <v>18.5</v>
      </c>
      <c r="H1229" s="109">
        <f t="shared" si="58"/>
        <v>37</v>
      </c>
      <c r="I1229" s="119"/>
      <c r="J1229" s="119">
        <v>0</v>
      </c>
      <c r="K1229" s="119">
        <f t="shared" si="59"/>
        <v>37</v>
      </c>
      <c r="L1229" s="152">
        <f t="shared" si="60"/>
        <v>32.06</v>
      </c>
      <c r="M1229" s="113"/>
    </row>
    <row r="1230" spans="1:13" x14ac:dyDescent="0.2">
      <c r="A1230" s="106" t="s">
        <v>7065</v>
      </c>
      <c r="B1230" s="272" t="s">
        <v>3753</v>
      </c>
      <c r="C1230" s="105" t="s">
        <v>7148</v>
      </c>
      <c r="D1230" s="149" t="s">
        <v>3755</v>
      </c>
      <c r="E1230" s="105">
        <v>2</v>
      </c>
      <c r="F1230" s="134">
        <v>18.98</v>
      </c>
      <c r="G1230" s="134">
        <v>22</v>
      </c>
      <c r="H1230" s="109">
        <f t="shared" si="58"/>
        <v>44</v>
      </c>
      <c r="I1230" s="119"/>
      <c r="J1230" s="119">
        <v>0</v>
      </c>
      <c r="K1230" s="119">
        <f t="shared" si="59"/>
        <v>44</v>
      </c>
      <c r="L1230" s="152">
        <f t="shared" si="60"/>
        <v>37.96</v>
      </c>
      <c r="M1230" s="113"/>
    </row>
    <row r="1231" spans="1:13" x14ac:dyDescent="0.2">
      <c r="A1231" s="106" t="s">
        <v>7065</v>
      </c>
      <c r="B1231" s="272" t="s">
        <v>1969</v>
      </c>
      <c r="C1231" s="105" t="s">
        <v>7148</v>
      </c>
      <c r="D1231" s="149" t="s">
        <v>1970</v>
      </c>
      <c r="E1231" s="105">
        <v>1</v>
      </c>
      <c r="F1231" s="134">
        <v>3.6</v>
      </c>
      <c r="G1231" s="134">
        <v>4.25</v>
      </c>
      <c r="H1231" s="109">
        <f t="shared" si="58"/>
        <v>4.25</v>
      </c>
      <c r="I1231" s="119"/>
      <c r="J1231" s="119">
        <v>0</v>
      </c>
      <c r="K1231" s="119">
        <f t="shared" si="59"/>
        <v>4.25</v>
      </c>
      <c r="L1231" s="152">
        <f t="shared" si="60"/>
        <v>3.6</v>
      </c>
      <c r="M1231" s="113"/>
    </row>
    <row r="1232" spans="1:13" x14ac:dyDescent="0.2">
      <c r="A1232" s="106" t="s">
        <v>7065</v>
      </c>
      <c r="B1232" s="272" t="s">
        <v>1897</v>
      </c>
      <c r="C1232" s="105" t="s">
        <v>7149</v>
      </c>
      <c r="D1232" s="149" t="s">
        <v>1898</v>
      </c>
      <c r="E1232" s="105">
        <v>1</v>
      </c>
      <c r="F1232" s="134">
        <v>27.5</v>
      </c>
      <c r="G1232" s="134">
        <v>31.75</v>
      </c>
      <c r="H1232" s="109">
        <f t="shared" si="58"/>
        <v>31.75</v>
      </c>
      <c r="I1232" s="119"/>
      <c r="J1232" s="119">
        <v>0</v>
      </c>
      <c r="K1232" s="119">
        <f t="shared" si="59"/>
        <v>31.75</v>
      </c>
      <c r="L1232" s="152">
        <f t="shared" si="60"/>
        <v>27.5</v>
      </c>
      <c r="M1232" s="113"/>
    </row>
    <row r="1233" spans="1:13" x14ac:dyDescent="0.2">
      <c r="A1233" s="106" t="s">
        <v>7065</v>
      </c>
      <c r="B1233" s="272" t="s">
        <v>6311</v>
      </c>
      <c r="C1233" s="105" t="s">
        <v>7149</v>
      </c>
      <c r="D1233" s="149" t="s">
        <v>6652</v>
      </c>
      <c r="E1233" s="105">
        <v>1</v>
      </c>
      <c r="F1233" s="134">
        <v>24.04</v>
      </c>
      <c r="G1233" s="134">
        <v>27.75</v>
      </c>
      <c r="H1233" s="109">
        <f t="shared" si="58"/>
        <v>27.75</v>
      </c>
      <c r="I1233" s="119"/>
      <c r="J1233" s="119">
        <v>0</v>
      </c>
      <c r="K1233" s="119">
        <f t="shared" si="59"/>
        <v>27.75</v>
      </c>
      <c r="L1233" s="152">
        <f t="shared" si="60"/>
        <v>24.04</v>
      </c>
      <c r="M1233" s="113"/>
    </row>
    <row r="1234" spans="1:13" x14ac:dyDescent="0.2">
      <c r="A1234" s="106" t="s">
        <v>7065</v>
      </c>
      <c r="B1234" s="272" t="s">
        <v>4584</v>
      </c>
      <c r="C1234" s="105" t="s">
        <v>7149</v>
      </c>
      <c r="D1234" s="149" t="s">
        <v>4689</v>
      </c>
      <c r="E1234" s="105">
        <v>1</v>
      </c>
      <c r="F1234" s="134">
        <v>20.75</v>
      </c>
      <c r="G1234" s="134">
        <v>24.25</v>
      </c>
      <c r="H1234" s="109">
        <f t="shared" si="58"/>
        <v>24.25</v>
      </c>
      <c r="I1234" s="119"/>
      <c r="J1234" s="119">
        <v>0</v>
      </c>
      <c r="K1234" s="119">
        <f t="shared" si="59"/>
        <v>24.25</v>
      </c>
      <c r="L1234" s="152">
        <f t="shared" si="60"/>
        <v>20.75</v>
      </c>
      <c r="M1234" s="113"/>
    </row>
    <row r="1235" spans="1:13" x14ac:dyDescent="0.2">
      <c r="A1235" s="106" t="s">
        <v>7065</v>
      </c>
      <c r="B1235" s="272" t="s">
        <v>4567</v>
      </c>
      <c r="C1235" s="105" t="s">
        <v>7149</v>
      </c>
      <c r="D1235" s="149" t="s">
        <v>4672</v>
      </c>
      <c r="E1235" s="105">
        <v>3</v>
      </c>
      <c r="F1235" s="134">
        <v>7.06</v>
      </c>
      <c r="G1235" s="134">
        <v>8.25</v>
      </c>
      <c r="H1235" s="109">
        <f t="shared" si="58"/>
        <v>24.75</v>
      </c>
      <c r="I1235" s="119"/>
      <c r="J1235" s="119">
        <v>0</v>
      </c>
      <c r="K1235" s="119">
        <f t="shared" si="59"/>
        <v>24.75</v>
      </c>
      <c r="L1235" s="152">
        <f t="shared" si="60"/>
        <v>21.18</v>
      </c>
      <c r="M1235" s="113"/>
    </row>
    <row r="1236" spans="1:13" x14ac:dyDescent="0.2">
      <c r="A1236" s="106" t="s">
        <v>7065</v>
      </c>
      <c r="B1236" s="272" t="s">
        <v>2872</v>
      </c>
      <c r="C1236" s="105" t="s">
        <v>7150</v>
      </c>
      <c r="D1236" s="149" t="s">
        <v>2873</v>
      </c>
      <c r="E1236" s="105">
        <v>1</v>
      </c>
      <c r="F1236" s="134">
        <v>4.4800000000000004</v>
      </c>
      <c r="G1236" s="134">
        <v>5.25</v>
      </c>
      <c r="H1236" s="109">
        <f t="shared" si="58"/>
        <v>5.25</v>
      </c>
      <c r="I1236" s="119"/>
      <c r="J1236" s="119">
        <v>0</v>
      </c>
      <c r="K1236" s="119">
        <f t="shared" si="59"/>
        <v>5.25</v>
      </c>
      <c r="L1236" s="152">
        <f t="shared" si="60"/>
        <v>4.4800000000000004</v>
      </c>
      <c r="M1236" s="113"/>
    </row>
    <row r="1237" spans="1:13" x14ac:dyDescent="0.2">
      <c r="A1237" s="106" t="s">
        <v>7065</v>
      </c>
      <c r="B1237" s="272" t="s">
        <v>2110</v>
      </c>
      <c r="C1237" s="105" t="s">
        <v>7151</v>
      </c>
      <c r="D1237" s="149" t="s">
        <v>2112</v>
      </c>
      <c r="E1237" s="105">
        <v>1</v>
      </c>
      <c r="F1237" s="134">
        <v>24.07</v>
      </c>
      <c r="G1237" s="134">
        <v>30.25</v>
      </c>
      <c r="H1237" s="109">
        <f t="shared" si="58"/>
        <v>30.25</v>
      </c>
      <c r="I1237" s="119"/>
      <c r="J1237" s="119">
        <v>0</v>
      </c>
      <c r="K1237" s="119">
        <f t="shared" si="59"/>
        <v>30.25</v>
      </c>
      <c r="L1237" s="152">
        <f t="shared" si="60"/>
        <v>24.07</v>
      </c>
      <c r="M1237" s="113"/>
    </row>
    <row r="1238" spans="1:13" x14ac:dyDescent="0.2">
      <c r="A1238" s="106" t="s">
        <v>7065</v>
      </c>
      <c r="B1238" s="272" t="s">
        <v>3195</v>
      </c>
      <c r="C1238" s="105" t="s">
        <v>7152</v>
      </c>
      <c r="D1238" s="149" t="s">
        <v>3196</v>
      </c>
      <c r="E1238" s="105">
        <v>1</v>
      </c>
      <c r="F1238" s="134">
        <v>64.58</v>
      </c>
      <c r="G1238" s="134">
        <v>74.5</v>
      </c>
      <c r="H1238" s="109">
        <f t="shared" si="58"/>
        <v>74.5</v>
      </c>
      <c r="I1238" s="119"/>
      <c r="J1238" s="119">
        <v>0</v>
      </c>
      <c r="K1238" s="119">
        <f t="shared" si="59"/>
        <v>74.5</v>
      </c>
      <c r="L1238" s="152">
        <f t="shared" si="60"/>
        <v>64.58</v>
      </c>
      <c r="M1238" s="113"/>
    </row>
    <row r="1239" spans="1:13" x14ac:dyDescent="0.2">
      <c r="A1239" s="106" t="s">
        <v>7065</v>
      </c>
      <c r="B1239" s="272" t="s">
        <v>2665</v>
      </c>
      <c r="C1239" s="105" t="s">
        <v>7152</v>
      </c>
      <c r="D1239" s="149" t="s">
        <v>2667</v>
      </c>
      <c r="E1239" s="105">
        <v>2</v>
      </c>
      <c r="F1239" s="134">
        <v>18.57</v>
      </c>
      <c r="G1239" s="134">
        <v>21.75</v>
      </c>
      <c r="H1239" s="109">
        <f t="shared" si="58"/>
        <v>43.5</v>
      </c>
      <c r="I1239" s="119"/>
      <c r="J1239" s="119">
        <v>0</v>
      </c>
      <c r="K1239" s="119">
        <f t="shared" si="59"/>
        <v>43.5</v>
      </c>
      <c r="L1239" s="152">
        <f t="shared" si="60"/>
        <v>37.14</v>
      </c>
      <c r="M1239" s="113"/>
    </row>
    <row r="1240" spans="1:13" x14ac:dyDescent="0.2">
      <c r="A1240" s="106" t="s">
        <v>7065</v>
      </c>
      <c r="B1240" s="272" t="s">
        <v>3457</v>
      </c>
      <c r="C1240" s="105" t="s">
        <v>7152</v>
      </c>
      <c r="D1240" s="149" t="s">
        <v>3458</v>
      </c>
      <c r="E1240" s="105">
        <v>6</v>
      </c>
      <c r="F1240" s="134">
        <v>51.97</v>
      </c>
      <c r="G1240" s="134">
        <v>60</v>
      </c>
      <c r="H1240" s="109">
        <f t="shared" si="58"/>
        <v>360</v>
      </c>
      <c r="I1240" s="119"/>
      <c r="J1240" s="119">
        <v>0</v>
      </c>
      <c r="K1240" s="119">
        <f t="shared" si="59"/>
        <v>360</v>
      </c>
      <c r="L1240" s="152">
        <f t="shared" si="60"/>
        <v>311.82</v>
      </c>
      <c r="M1240" s="113"/>
    </row>
    <row r="1241" spans="1:13" x14ac:dyDescent="0.2">
      <c r="A1241" s="106" t="s">
        <v>7065</v>
      </c>
      <c r="B1241" s="272" t="s">
        <v>2313</v>
      </c>
      <c r="C1241" s="105" t="s">
        <v>7152</v>
      </c>
      <c r="D1241" s="149" t="s">
        <v>2314</v>
      </c>
      <c r="E1241" s="105">
        <v>2</v>
      </c>
      <c r="F1241" s="134">
        <v>37.130000000000003</v>
      </c>
      <c r="G1241" s="134">
        <v>42.75</v>
      </c>
      <c r="H1241" s="109">
        <f t="shared" si="58"/>
        <v>85.5</v>
      </c>
      <c r="I1241" s="119"/>
      <c r="J1241" s="119">
        <v>0</v>
      </c>
      <c r="K1241" s="119">
        <f t="shared" si="59"/>
        <v>85.5</v>
      </c>
      <c r="L1241" s="152">
        <f t="shared" si="60"/>
        <v>74.260000000000005</v>
      </c>
      <c r="M1241" s="113"/>
    </row>
    <row r="1242" spans="1:13" x14ac:dyDescent="0.2">
      <c r="A1242" s="106" t="s">
        <v>7065</v>
      </c>
      <c r="B1242" s="272" t="s">
        <v>5246</v>
      </c>
      <c r="C1242" s="105" t="s">
        <v>7152</v>
      </c>
      <c r="D1242" s="149" t="s">
        <v>5406</v>
      </c>
      <c r="E1242" s="105">
        <v>2</v>
      </c>
      <c r="F1242" s="134">
        <v>32.76</v>
      </c>
      <c r="G1242" s="134">
        <v>37.75</v>
      </c>
      <c r="H1242" s="109">
        <f t="shared" si="58"/>
        <v>75.5</v>
      </c>
      <c r="I1242" s="119"/>
      <c r="J1242" s="119">
        <v>0</v>
      </c>
      <c r="K1242" s="119">
        <f t="shared" si="59"/>
        <v>75.5</v>
      </c>
      <c r="L1242" s="152">
        <f t="shared" si="60"/>
        <v>65.52</v>
      </c>
      <c r="M1242" s="113"/>
    </row>
    <row r="1243" spans="1:13" x14ac:dyDescent="0.2">
      <c r="A1243" s="106" t="s">
        <v>7065</v>
      </c>
      <c r="B1243" s="272" t="s">
        <v>2298</v>
      </c>
      <c r="C1243" s="105" t="s">
        <v>7152</v>
      </c>
      <c r="D1243" s="149" t="s">
        <v>2299</v>
      </c>
      <c r="E1243" s="105">
        <v>3</v>
      </c>
      <c r="F1243" s="134">
        <v>21.84</v>
      </c>
      <c r="G1243" s="134">
        <v>25.25</v>
      </c>
      <c r="H1243" s="109">
        <f t="shared" si="58"/>
        <v>75.75</v>
      </c>
      <c r="I1243" s="119"/>
      <c r="J1243" s="119">
        <v>0</v>
      </c>
      <c r="K1243" s="119">
        <f t="shared" si="59"/>
        <v>75.75</v>
      </c>
      <c r="L1243" s="152">
        <f t="shared" si="60"/>
        <v>65.52</v>
      </c>
      <c r="M1243" s="113"/>
    </row>
    <row r="1244" spans="1:13" x14ac:dyDescent="0.2">
      <c r="A1244" s="106" t="s">
        <v>7065</v>
      </c>
      <c r="B1244" s="272" t="s">
        <v>2707</v>
      </c>
      <c r="C1244" s="105" t="s">
        <v>7152</v>
      </c>
      <c r="D1244" s="149" t="s">
        <v>2709</v>
      </c>
      <c r="E1244" s="105">
        <v>1</v>
      </c>
      <c r="F1244" s="134">
        <v>250.75</v>
      </c>
      <c r="G1244" s="134">
        <v>288.5</v>
      </c>
      <c r="H1244" s="109">
        <f t="shared" si="58"/>
        <v>288.5</v>
      </c>
      <c r="I1244" s="119"/>
      <c r="J1244" s="119">
        <v>0</v>
      </c>
      <c r="K1244" s="119">
        <f t="shared" si="59"/>
        <v>288.5</v>
      </c>
      <c r="L1244" s="152">
        <f t="shared" si="60"/>
        <v>250.75</v>
      </c>
      <c r="M1244" s="113"/>
    </row>
    <row r="1245" spans="1:13" x14ac:dyDescent="0.2">
      <c r="A1245" s="106" t="s">
        <v>7065</v>
      </c>
      <c r="B1245" s="272" t="s">
        <v>2481</v>
      </c>
      <c r="C1245" s="105" t="s">
        <v>7152</v>
      </c>
      <c r="D1245" s="149" t="s">
        <v>2482</v>
      </c>
      <c r="E1245" s="105">
        <v>1</v>
      </c>
      <c r="F1245" s="134">
        <v>759.99</v>
      </c>
      <c r="G1245" s="134">
        <v>874</v>
      </c>
      <c r="H1245" s="109">
        <f t="shared" si="58"/>
        <v>874</v>
      </c>
      <c r="I1245" s="119"/>
      <c r="J1245" s="119">
        <v>0</v>
      </c>
      <c r="K1245" s="119">
        <f t="shared" si="59"/>
        <v>874</v>
      </c>
      <c r="L1245" s="152">
        <f t="shared" si="60"/>
        <v>759.99</v>
      </c>
      <c r="M1245" s="113"/>
    </row>
    <row r="1246" spans="1:13" x14ac:dyDescent="0.2">
      <c r="A1246" s="106" t="s">
        <v>7065</v>
      </c>
      <c r="B1246" s="272" t="s">
        <v>2245</v>
      </c>
      <c r="C1246" s="105" t="s">
        <v>7152</v>
      </c>
      <c r="D1246" s="149" t="s">
        <v>2246</v>
      </c>
      <c r="E1246" s="105">
        <v>16</v>
      </c>
      <c r="F1246" s="134">
        <v>4.74</v>
      </c>
      <c r="G1246" s="134">
        <v>5.5</v>
      </c>
      <c r="H1246" s="109">
        <f t="shared" si="58"/>
        <v>88</v>
      </c>
      <c r="I1246" s="119"/>
      <c r="J1246" s="119">
        <v>0</v>
      </c>
      <c r="K1246" s="119">
        <f t="shared" si="59"/>
        <v>88</v>
      </c>
      <c r="L1246" s="152">
        <f t="shared" si="60"/>
        <v>75.84</v>
      </c>
      <c r="M1246" s="113"/>
    </row>
    <row r="1247" spans="1:13" x14ac:dyDescent="0.2">
      <c r="A1247" s="106" t="s">
        <v>7065</v>
      </c>
      <c r="B1247" s="272" t="s">
        <v>2584</v>
      </c>
      <c r="C1247" s="105" t="s">
        <v>7152</v>
      </c>
      <c r="D1247" s="149" t="s">
        <v>2585</v>
      </c>
      <c r="E1247" s="105">
        <v>2</v>
      </c>
      <c r="F1247" s="134">
        <v>17.899999999999999</v>
      </c>
      <c r="G1247" s="134">
        <v>20.75</v>
      </c>
      <c r="H1247" s="109">
        <f t="shared" si="58"/>
        <v>41.5</v>
      </c>
      <c r="I1247" s="119"/>
      <c r="J1247" s="119">
        <v>0</v>
      </c>
      <c r="K1247" s="119">
        <f t="shared" si="59"/>
        <v>41.5</v>
      </c>
      <c r="L1247" s="152">
        <f t="shared" si="60"/>
        <v>35.799999999999997</v>
      </c>
      <c r="M1247" s="113"/>
    </row>
    <row r="1248" spans="1:13" x14ac:dyDescent="0.2">
      <c r="A1248" s="106" t="s">
        <v>7065</v>
      </c>
      <c r="B1248" s="272" t="s">
        <v>2809</v>
      </c>
      <c r="C1248" s="105" t="s">
        <v>7152</v>
      </c>
      <c r="D1248" s="149" t="s">
        <v>2810</v>
      </c>
      <c r="E1248" s="105">
        <v>2</v>
      </c>
      <c r="F1248" s="134">
        <v>53.81</v>
      </c>
      <c r="G1248" s="134">
        <v>62</v>
      </c>
      <c r="H1248" s="109">
        <f t="shared" si="58"/>
        <v>124</v>
      </c>
      <c r="I1248" s="119"/>
      <c r="J1248" s="119">
        <v>0</v>
      </c>
      <c r="K1248" s="119">
        <f t="shared" si="59"/>
        <v>124</v>
      </c>
      <c r="L1248" s="152">
        <f t="shared" si="60"/>
        <v>107.62</v>
      </c>
      <c r="M1248" s="113"/>
    </row>
    <row r="1249" spans="1:13" x14ac:dyDescent="0.2">
      <c r="A1249" s="106" t="s">
        <v>7065</v>
      </c>
      <c r="B1249" s="272" t="s">
        <v>2162</v>
      </c>
      <c r="C1249" s="105" t="s">
        <v>7152</v>
      </c>
      <c r="D1249" s="149" t="s">
        <v>2163</v>
      </c>
      <c r="E1249" s="105">
        <v>1</v>
      </c>
      <c r="F1249" s="134">
        <v>67.290000000000006</v>
      </c>
      <c r="G1249" s="134">
        <v>77.5</v>
      </c>
      <c r="H1249" s="109">
        <f t="shared" si="58"/>
        <v>77.5</v>
      </c>
      <c r="I1249" s="119"/>
      <c r="J1249" s="119">
        <v>0</v>
      </c>
      <c r="K1249" s="119">
        <f t="shared" si="59"/>
        <v>77.5</v>
      </c>
      <c r="L1249" s="152">
        <f t="shared" si="60"/>
        <v>67.290000000000006</v>
      </c>
      <c r="M1249" s="113"/>
    </row>
    <row r="1250" spans="1:13" x14ac:dyDescent="0.2">
      <c r="A1250" s="106" t="s">
        <v>7065</v>
      </c>
      <c r="B1250" s="272" t="s">
        <v>5498</v>
      </c>
      <c r="C1250" s="105" t="s">
        <v>7152</v>
      </c>
      <c r="D1250" s="149" t="s">
        <v>5574</v>
      </c>
      <c r="E1250" s="105">
        <v>1</v>
      </c>
      <c r="F1250" s="134">
        <v>110.5</v>
      </c>
      <c r="G1250" s="134">
        <v>127.75</v>
      </c>
      <c r="H1250" s="109">
        <f t="shared" si="58"/>
        <v>127.75</v>
      </c>
      <c r="I1250" s="119"/>
      <c r="J1250" s="119">
        <v>0</v>
      </c>
      <c r="K1250" s="119">
        <f t="shared" si="59"/>
        <v>127.75</v>
      </c>
      <c r="L1250" s="152">
        <f t="shared" si="60"/>
        <v>110.5</v>
      </c>
      <c r="M1250" s="113"/>
    </row>
    <row r="1251" spans="1:13" x14ac:dyDescent="0.2">
      <c r="A1251" s="106" t="s">
        <v>7065</v>
      </c>
      <c r="B1251" s="272" t="s">
        <v>2173</v>
      </c>
      <c r="C1251" s="105" t="s">
        <v>7152</v>
      </c>
      <c r="D1251" s="149" t="s">
        <v>2175</v>
      </c>
      <c r="E1251" s="105">
        <v>2</v>
      </c>
      <c r="F1251" s="134">
        <v>140</v>
      </c>
      <c r="G1251" s="134">
        <v>161</v>
      </c>
      <c r="H1251" s="109">
        <f t="shared" si="58"/>
        <v>322</v>
      </c>
      <c r="I1251" s="119"/>
      <c r="J1251" s="119">
        <v>0</v>
      </c>
      <c r="K1251" s="119">
        <f t="shared" si="59"/>
        <v>322</v>
      </c>
      <c r="L1251" s="152">
        <f t="shared" si="60"/>
        <v>280</v>
      </c>
      <c r="M1251" s="113"/>
    </row>
    <row r="1252" spans="1:13" x14ac:dyDescent="0.2">
      <c r="A1252" s="106" t="s">
        <v>7065</v>
      </c>
      <c r="B1252" s="272" t="s">
        <v>3326</v>
      </c>
      <c r="C1252" s="105" t="s">
        <v>7152</v>
      </c>
      <c r="D1252" s="149" t="s">
        <v>3327</v>
      </c>
      <c r="E1252" s="105">
        <v>24</v>
      </c>
      <c r="F1252" s="134">
        <v>6.12</v>
      </c>
      <c r="G1252" s="134">
        <v>7.25</v>
      </c>
      <c r="H1252" s="109">
        <f t="shared" si="58"/>
        <v>174</v>
      </c>
      <c r="I1252" s="119"/>
      <c r="J1252" s="119">
        <v>0</v>
      </c>
      <c r="K1252" s="119">
        <f t="shared" si="59"/>
        <v>174</v>
      </c>
      <c r="L1252" s="152">
        <f t="shared" si="60"/>
        <v>146.88</v>
      </c>
      <c r="M1252" s="113"/>
    </row>
    <row r="1253" spans="1:13" x14ac:dyDescent="0.2">
      <c r="A1253" s="106" t="s">
        <v>7065</v>
      </c>
      <c r="B1253" s="272" t="s">
        <v>2521</v>
      </c>
      <c r="C1253" s="105" t="s">
        <v>7152</v>
      </c>
      <c r="D1253" s="149" t="s">
        <v>2522</v>
      </c>
      <c r="E1253" s="105">
        <v>12</v>
      </c>
      <c r="F1253" s="134">
        <v>6.12</v>
      </c>
      <c r="G1253" s="134">
        <v>7.25</v>
      </c>
      <c r="H1253" s="109">
        <f t="shared" si="58"/>
        <v>87</v>
      </c>
      <c r="I1253" s="119"/>
      <c r="J1253" s="119">
        <v>0</v>
      </c>
      <c r="K1253" s="119">
        <f t="shared" si="59"/>
        <v>87</v>
      </c>
      <c r="L1253" s="152">
        <f t="shared" si="60"/>
        <v>73.44</v>
      </c>
      <c r="M1253" s="113"/>
    </row>
    <row r="1254" spans="1:13" x14ac:dyDescent="0.2">
      <c r="A1254" s="106" t="s">
        <v>7065</v>
      </c>
      <c r="B1254" s="272" t="s">
        <v>2702</v>
      </c>
      <c r="C1254" s="105" t="s">
        <v>7152</v>
      </c>
      <c r="D1254" s="149" t="s">
        <v>2703</v>
      </c>
      <c r="E1254" s="105">
        <v>2</v>
      </c>
      <c r="F1254" s="134">
        <v>51.5</v>
      </c>
      <c r="G1254" s="134">
        <v>59.25</v>
      </c>
      <c r="H1254" s="109">
        <f t="shared" si="58"/>
        <v>118.5</v>
      </c>
      <c r="I1254" s="119"/>
      <c r="J1254" s="119">
        <v>0</v>
      </c>
      <c r="K1254" s="119">
        <f t="shared" si="59"/>
        <v>118.5</v>
      </c>
      <c r="L1254" s="152">
        <f t="shared" si="60"/>
        <v>103</v>
      </c>
      <c r="M1254" s="113"/>
    </row>
    <row r="1255" spans="1:13" x14ac:dyDescent="0.2">
      <c r="A1255" s="106" t="s">
        <v>7065</v>
      </c>
      <c r="B1255" s="272" t="s">
        <v>6362</v>
      </c>
      <c r="C1255" s="105" t="s">
        <v>7152</v>
      </c>
      <c r="D1255" s="149" t="s">
        <v>6704</v>
      </c>
      <c r="E1255" s="105">
        <v>1</v>
      </c>
      <c r="F1255" s="134">
        <v>41.67</v>
      </c>
      <c r="G1255" s="134">
        <v>50</v>
      </c>
      <c r="H1255" s="109">
        <f t="shared" si="58"/>
        <v>50</v>
      </c>
      <c r="I1255" s="119"/>
      <c r="J1255" s="119">
        <v>0</v>
      </c>
      <c r="K1255" s="119">
        <f t="shared" si="59"/>
        <v>50</v>
      </c>
      <c r="L1255" s="152">
        <f t="shared" si="60"/>
        <v>41.67</v>
      </c>
      <c r="M1255" s="113"/>
    </row>
    <row r="1256" spans="1:13" x14ac:dyDescent="0.2">
      <c r="A1256" s="106" t="s">
        <v>7065</v>
      </c>
      <c r="B1256" s="272" t="s">
        <v>5698</v>
      </c>
      <c r="C1256" s="105" t="s">
        <v>7152</v>
      </c>
      <c r="D1256" s="149" t="s">
        <v>5836</v>
      </c>
      <c r="E1256" s="105">
        <v>50</v>
      </c>
      <c r="F1256" s="134">
        <v>3.81</v>
      </c>
      <c r="G1256" s="134">
        <v>4.75</v>
      </c>
      <c r="H1256" s="109">
        <f t="shared" si="58"/>
        <v>237.5</v>
      </c>
      <c r="I1256" s="119"/>
      <c r="J1256" s="119">
        <v>0</v>
      </c>
      <c r="K1256" s="119">
        <f t="shared" si="59"/>
        <v>237.5</v>
      </c>
      <c r="L1256" s="152">
        <f t="shared" si="60"/>
        <v>190.5</v>
      </c>
      <c r="M1256" s="113"/>
    </row>
    <row r="1257" spans="1:13" x14ac:dyDescent="0.2">
      <c r="A1257" s="106" t="s">
        <v>7065</v>
      </c>
      <c r="B1257" s="272" t="s">
        <v>3765</v>
      </c>
      <c r="C1257" s="105" t="s">
        <v>7152</v>
      </c>
      <c r="D1257" s="149" t="s">
        <v>3766</v>
      </c>
      <c r="E1257" s="105">
        <v>1</v>
      </c>
      <c r="F1257" s="134">
        <v>68.569999999999993</v>
      </c>
      <c r="G1257" s="134">
        <v>79</v>
      </c>
      <c r="H1257" s="109">
        <f t="shared" si="58"/>
        <v>79</v>
      </c>
      <c r="I1257" s="119"/>
      <c r="J1257" s="119">
        <v>0</v>
      </c>
      <c r="K1257" s="119">
        <f t="shared" si="59"/>
        <v>79</v>
      </c>
      <c r="L1257" s="152">
        <f t="shared" si="60"/>
        <v>68.569999999999993</v>
      </c>
      <c r="M1257" s="113"/>
    </row>
    <row r="1258" spans="1:13" x14ac:dyDescent="0.2">
      <c r="A1258" s="106" t="s">
        <v>7065</v>
      </c>
      <c r="B1258" s="272" t="s">
        <v>7078</v>
      </c>
      <c r="C1258" s="105" t="s">
        <v>7152</v>
      </c>
      <c r="D1258" s="149" t="s">
        <v>7168</v>
      </c>
      <c r="E1258" s="105">
        <v>10</v>
      </c>
      <c r="F1258" s="134">
        <v>7.51</v>
      </c>
      <c r="G1258" s="134">
        <v>9</v>
      </c>
      <c r="H1258" s="109">
        <f t="shared" si="58"/>
        <v>90</v>
      </c>
      <c r="I1258" s="119"/>
      <c r="J1258" s="119">
        <v>0</v>
      </c>
      <c r="K1258" s="119">
        <f t="shared" si="59"/>
        <v>90</v>
      </c>
      <c r="L1258" s="152">
        <f t="shared" si="60"/>
        <v>75.099999999999994</v>
      </c>
      <c r="M1258" s="113"/>
    </row>
    <row r="1259" spans="1:13" x14ac:dyDescent="0.2">
      <c r="A1259" s="106" t="s">
        <v>7065</v>
      </c>
      <c r="B1259" s="272" t="s">
        <v>3676</v>
      </c>
      <c r="C1259" s="105" t="s">
        <v>7152</v>
      </c>
      <c r="D1259" s="149" t="s">
        <v>3677</v>
      </c>
      <c r="E1259" s="105">
        <v>1</v>
      </c>
      <c r="F1259" s="134">
        <v>38.25</v>
      </c>
      <c r="G1259" s="134">
        <v>44</v>
      </c>
      <c r="H1259" s="109">
        <f t="shared" si="58"/>
        <v>44</v>
      </c>
      <c r="I1259" s="119"/>
      <c r="J1259" s="119">
        <v>0</v>
      </c>
      <c r="K1259" s="119">
        <f t="shared" si="59"/>
        <v>44</v>
      </c>
      <c r="L1259" s="152">
        <f t="shared" si="60"/>
        <v>38.25</v>
      </c>
      <c r="M1259" s="113"/>
    </row>
    <row r="1260" spans="1:13" x14ac:dyDescent="0.2">
      <c r="A1260" s="106" t="s">
        <v>7065</v>
      </c>
      <c r="B1260" s="272" t="s">
        <v>3169</v>
      </c>
      <c r="C1260" s="105" t="s">
        <v>7152</v>
      </c>
      <c r="D1260" s="149" t="s">
        <v>3170</v>
      </c>
      <c r="E1260" s="105">
        <v>5</v>
      </c>
      <c r="F1260" s="134">
        <v>5.41</v>
      </c>
      <c r="G1260" s="134">
        <v>6.25</v>
      </c>
      <c r="H1260" s="109">
        <f t="shared" si="58"/>
        <v>31.25</v>
      </c>
      <c r="I1260" s="119"/>
      <c r="J1260" s="119">
        <v>0</v>
      </c>
      <c r="K1260" s="119">
        <f t="shared" si="59"/>
        <v>31.25</v>
      </c>
      <c r="L1260" s="152">
        <f t="shared" si="60"/>
        <v>27.05</v>
      </c>
      <c r="M1260" s="113"/>
    </row>
    <row r="1261" spans="1:13" x14ac:dyDescent="0.2">
      <c r="A1261" s="106" t="s">
        <v>7065</v>
      </c>
      <c r="B1261" s="272" t="s">
        <v>2690</v>
      </c>
      <c r="C1261" s="105" t="s">
        <v>7152</v>
      </c>
      <c r="D1261" s="149" t="s">
        <v>2692</v>
      </c>
      <c r="E1261" s="105">
        <v>2</v>
      </c>
      <c r="F1261" s="134">
        <v>32.86</v>
      </c>
      <c r="G1261" s="134">
        <v>38</v>
      </c>
      <c r="H1261" s="109">
        <f t="shared" si="58"/>
        <v>76</v>
      </c>
      <c r="I1261" s="119"/>
      <c r="J1261" s="119">
        <v>0</v>
      </c>
      <c r="K1261" s="119">
        <f t="shared" si="59"/>
        <v>76</v>
      </c>
      <c r="L1261" s="152">
        <f t="shared" si="60"/>
        <v>65.72</v>
      </c>
      <c r="M1261" s="113"/>
    </row>
    <row r="1262" spans="1:13" x14ac:dyDescent="0.2">
      <c r="A1262" s="106" t="s">
        <v>7065</v>
      </c>
      <c r="B1262" s="272" t="s">
        <v>5865</v>
      </c>
      <c r="C1262" s="105" t="s">
        <v>7153</v>
      </c>
      <c r="D1262" s="149" t="s">
        <v>5958</v>
      </c>
      <c r="E1262" s="105">
        <v>1</v>
      </c>
      <c r="F1262" s="134">
        <v>51.55</v>
      </c>
      <c r="G1262" s="134">
        <v>60</v>
      </c>
      <c r="H1262" s="109">
        <f t="shared" si="58"/>
        <v>60</v>
      </c>
      <c r="I1262" s="119"/>
      <c r="J1262" s="119">
        <v>0</v>
      </c>
      <c r="K1262" s="119">
        <f t="shared" si="59"/>
        <v>60</v>
      </c>
      <c r="L1262" s="152">
        <f t="shared" si="60"/>
        <v>51.55</v>
      </c>
      <c r="M1262" s="113"/>
    </row>
    <row r="1263" spans="1:13" x14ac:dyDescent="0.2">
      <c r="A1263" s="106" t="s">
        <v>7065</v>
      </c>
      <c r="B1263" s="272" t="s">
        <v>2476</v>
      </c>
      <c r="C1263" s="105" t="s">
        <v>7153</v>
      </c>
      <c r="D1263" s="149" t="s">
        <v>2478</v>
      </c>
      <c r="E1263" s="105">
        <v>1</v>
      </c>
      <c r="F1263" s="134">
        <v>41.25</v>
      </c>
      <c r="G1263" s="134">
        <v>48.75</v>
      </c>
      <c r="H1263" s="109">
        <f t="shared" si="58"/>
        <v>48.75</v>
      </c>
      <c r="I1263" s="119"/>
      <c r="J1263" s="119">
        <v>0</v>
      </c>
      <c r="K1263" s="119">
        <f t="shared" si="59"/>
        <v>48.75</v>
      </c>
      <c r="L1263" s="152">
        <f t="shared" si="60"/>
        <v>41.25</v>
      </c>
      <c r="M1263" s="113"/>
    </row>
    <row r="1264" spans="1:13" x14ac:dyDescent="0.2">
      <c r="A1264" s="106" t="s">
        <v>7065</v>
      </c>
      <c r="B1264" s="272" t="s">
        <v>3201</v>
      </c>
      <c r="C1264" s="105" t="s">
        <v>7153</v>
      </c>
      <c r="D1264" s="149" t="s">
        <v>3202</v>
      </c>
      <c r="E1264" s="105">
        <v>1</v>
      </c>
      <c r="F1264" s="134">
        <v>61.5</v>
      </c>
      <c r="G1264" s="134">
        <v>70.75</v>
      </c>
      <c r="H1264" s="109">
        <f t="shared" si="58"/>
        <v>70.75</v>
      </c>
      <c r="I1264" s="119"/>
      <c r="J1264" s="119">
        <v>0</v>
      </c>
      <c r="K1264" s="119">
        <f t="shared" si="59"/>
        <v>70.75</v>
      </c>
      <c r="L1264" s="152">
        <f t="shared" si="60"/>
        <v>61.5</v>
      </c>
      <c r="M1264" s="113"/>
    </row>
    <row r="1265" spans="1:13" x14ac:dyDescent="0.2">
      <c r="A1265" s="106" t="s">
        <v>7065</v>
      </c>
      <c r="B1265" s="272" t="s">
        <v>2446</v>
      </c>
      <c r="C1265" s="105" t="s">
        <v>7153</v>
      </c>
      <c r="D1265" s="149" t="s">
        <v>2448</v>
      </c>
      <c r="E1265" s="105">
        <v>1</v>
      </c>
      <c r="F1265" s="134">
        <v>58.2</v>
      </c>
      <c r="G1265" s="134">
        <v>67</v>
      </c>
      <c r="H1265" s="109">
        <f t="shared" si="58"/>
        <v>67</v>
      </c>
      <c r="I1265" s="119"/>
      <c r="J1265" s="119">
        <v>0</v>
      </c>
      <c r="K1265" s="119">
        <f t="shared" si="59"/>
        <v>67</v>
      </c>
      <c r="L1265" s="152">
        <f t="shared" si="60"/>
        <v>58.2</v>
      </c>
      <c r="M1265" s="113"/>
    </row>
    <row r="1266" spans="1:13" x14ac:dyDescent="0.2">
      <c r="A1266" s="106" t="s">
        <v>7065</v>
      </c>
      <c r="B1266" s="272" t="s">
        <v>1920</v>
      </c>
      <c r="C1266" s="105" t="s">
        <v>7153</v>
      </c>
      <c r="D1266" s="149" t="s">
        <v>1921</v>
      </c>
      <c r="E1266" s="105">
        <v>10</v>
      </c>
      <c r="F1266" s="134">
        <v>13.32</v>
      </c>
      <c r="G1266" s="134">
        <v>15.5</v>
      </c>
      <c r="H1266" s="109">
        <f t="shared" si="58"/>
        <v>155</v>
      </c>
      <c r="I1266" s="119"/>
      <c r="J1266" s="119">
        <v>0</v>
      </c>
      <c r="K1266" s="119">
        <f t="shared" si="59"/>
        <v>155</v>
      </c>
      <c r="L1266" s="152">
        <f t="shared" si="60"/>
        <v>133.19999999999999</v>
      </c>
      <c r="M1266" s="113"/>
    </row>
    <row r="1267" spans="1:13" x14ac:dyDescent="0.2">
      <c r="A1267" s="106" t="s">
        <v>7065</v>
      </c>
      <c r="B1267" s="272" t="s">
        <v>3869</v>
      </c>
      <c r="C1267" s="105" t="s">
        <v>7154</v>
      </c>
      <c r="D1267" s="149" t="s">
        <v>3871</v>
      </c>
      <c r="E1267" s="105">
        <v>6</v>
      </c>
      <c r="F1267" s="134">
        <v>16.25</v>
      </c>
      <c r="G1267" s="134">
        <v>19</v>
      </c>
      <c r="H1267" s="109">
        <f t="shared" si="58"/>
        <v>114</v>
      </c>
      <c r="I1267" s="119"/>
      <c r="J1267" s="119">
        <v>0</v>
      </c>
      <c r="K1267" s="119">
        <f t="shared" si="59"/>
        <v>114</v>
      </c>
      <c r="L1267" s="152">
        <f t="shared" si="60"/>
        <v>97.5</v>
      </c>
      <c r="M1267" s="113"/>
    </row>
    <row r="1268" spans="1:13" x14ac:dyDescent="0.2">
      <c r="A1268" s="106" t="s">
        <v>7065</v>
      </c>
      <c r="B1268" s="272" t="s">
        <v>2110</v>
      </c>
      <c r="C1268" s="105" t="s">
        <v>7154</v>
      </c>
      <c r="D1268" s="149" t="s">
        <v>2112</v>
      </c>
      <c r="E1268" s="105">
        <v>3</v>
      </c>
      <c r="F1268" s="134">
        <v>24.07</v>
      </c>
      <c r="G1268" s="134">
        <v>30.25</v>
      </c>
      <c r="H1268" s="109">
        <f t="shared" si="58"/>
        <v>90.75</v>
      </c>
      <c r="I1268" s="119"/>
      <c r="J1268" s="119">
        <v>0</v>
      </c>
      <c r="K1268" s="119">
        <f t="shared" si="59"/>
        <v>90.75</v>
      </c>
      <c r="L1268" s="152">
        <f t="shared" si="60"/>
        <v>72.210000000000008</v>
      </c>
      <c r="M1268" s="113"/>
    </row>
    <row r="1269" spans="1:13" x14ac:dyDescent="0.2">
      <c r="A1269" s="106" t="s">
        <v>7065</v>
      </c>
      <c r="B1269" s="272" t="s">
        <v>1969</v>
      </c>
      <c r="C1269" s="105" t="s">
        <v>7155</v>
      </c>
      <c r="D1269" s="149" t="s">
        <v>1970</v>
      </c>
      <c r="E1269" s="105">
        <v>1</v>
      </c>
      <c r="F1269" s="134">
        <v>3.6</v>
      </c>
      <c r="G1269" s="134">
        <v>4.25</v>
      </c>
      <c r="H1269" s="109">
        <f t="shared" si="58"/>
        <v>4.25</v>
      </c>
      <c r="I1269" s="119"/>
      <c r="J1269" s="119"/>
      <c r="K1269" s="119">
        <f t="shared" si="59"/>
        <v>4.25</v>
      </c>
      <c r="L1269" s="152">
        <f t="shared" si="60"/>
        <v>3.6</v>
      </c>
      <c r="M1269" s="113"/>
    </row>
    <row r="1270" spans="1:13" x14ac:dyDescent="0.2">
      <c r="A1270" s="106"/>
      <c r="B1270" s="105"/>
      <c r="C1270" s="105"/>
      <c r="D1270" s="149"/>
      <c r="E1270" s="105"/>
      <c r="F1270" s="134"/>
      <c r="G1270" s="134"/>
      <c r="H1270" s="109">
        <f t="shared" si="58"/>
        <v>0</v>
      </c>
      <c r="I1270" s="119"/>
      <c r="J1270" s="119"/>
      <c r="K1270" s="119">
        <f t="shared" si="59"/>
        <v>0</v>
      </c>
      <c r="L1270" s="152">
        <f t="shared" si="60"/>
        <v>0</v>
      </c>
      <c r="M1270" s="113"/>
    </row>
    <row r="1271" spans="1:13" x14ac:dyDescent="0.2">
      <c r="A1271" s="106"/>
      <c r="B1271" s="105"/>
      <c r="C1271" s="105"/>
      <c r="D1271" s="149"/>
      <c r="E1271" s="105"/>
      <c r="F1271" s="134"/>
      <c r="G1271" s="134"/>
      <c r="H1271" s="109">
        <f t="shared" si="58"/>
        <v>0</v>
      </c>
      <c r="I1271" s="119"/>
      <c r="J1271" s="119"/>
      <c r="K1271" s="119">
        <f t="shared" si="59"/>
        <v>0</v>
      </c>
      <c r="L1271" s="152">
        <f t="shared" si="60"/>
        <v>0</v>
      </c>
      <c r="M1271" s="113"/>
    </row>
    <row r="1272" spans="1:13" x14ac:dyDescent="0.2">
      <c r="A1272" s="106"/>
      <c r="B1272" s="105"/>
      <c r="C1272" s="105"/>
      <c r="D1272" s="149"/>
      <c r="E1272" s="105"/>
      <c r="F1272" s="134"/>
      <c r="G1272" s="134"/>
      <c r="H1272" s="109">
        <f t="shared" si="58"/>
        <v>0</v>
      </c>
      <c r="I1272" s="119"/>
      <c r="J1272" s="119"/>
      <c r="K1272" s="119">
        <f t="shared" si="59"/>
        <v>0</v>
      </c>
      <c r="L1272" s="152">
        <f t="shared" si="60"/>
        <v>0</v>
      </c>
      <c r="M1272" s="113"/>
    </row>
    <row r="1273" spans="1:13" x14ac:dyDescent="0.2">
      <c r="A1273" s="106"/>
      <c r="B1273" s="105"/>
      <c r="C1273" s="105"/>
      <c r="D1273" s="149"/>
      <c r="E1273" s="105"/>
      <c r="F1273" s="134"/>
      <c r="G1273" s="134"/>
      <c r="H1273" s="109">
        <f t="shared" si="58"/>
        <v>0</v>
      </c>
      <c r="I1273" s="119"/>
      <c r="J1273" s="119"/>
      <c r="K1273" s="119">
        <f t="shared" si="59"/>
        <v>0</v>
      </c>
      <c r="L1273" s="152">
        <f t="shared" si="60"/>
        <v>0</v>
      </c>
      <c r="M1273" s="113"/>
    </row>
    <row r="1274" spans="1:13" x14ac:dyDescent="0.2">
      <c r="A1274" s="106"/>
      <c r="B1274" s="105"/>
      <c r="C1274" s="105"/>
      <c r="D1274" s="149"/>
      <c r="E1274" s="105"/>
      <c r="F1274" s="134"/>
      <c r="G1274" s="134"/>
      <c r="H1274" s="109">
        <f t="shared" si="58"/>
        <v>0</v>
      </c>
      <c r="I1274" s="119"/>
      <c r="J1274" s="119"/>
      <c r="K1274" s="119">
        <f t="shared" si="59"/>
        <v>0</v>
      </c>
      <c r="L1274" s="152">
        <f t="shared" si="60"/>
        <v>0</v>
      </c>
      <c r="M1274" s="113"/>
    </row>
    <row r="1275" spans="1:13" x14ac:dyDescent="0.2">
      <c r="A1275" s="106"/>
      <c r="B1275" s="105"/>
      <c r="C1275" s="105"/>
      <c r="D1275" s="149"/>
      <c r="E1275" s="105"/>
      <c r="F1275" s="134"/>
      <c r="G1275" s="134"/>
      <c r="H1275" s="109">
        <f t="shared" si="58"/>
        <v>0</v>
      </c>
      <c r="I1275" s="119"/>
      <c r="J1275" s="119"/>
      <c r="K1275" s="119">
        <f t="shared" si="59"/>
        <v>0</v>
      </c>
      <c r="L1275" s="152">
        <f t="shared" si="60"/>
        <v>0</v>
      </c>
      <c r="M1275" s="113"/>
    </row>
    <row r="1276" spans="1:13" x14ac:dyDescent="0.2">
      <c r="A1276" s="106"/>
      <c r="B1276" s="105"/>
      <c r="C1276" s="105"/>
      <c r="D1276" s="149"/>
      <c r="E1276" s="105"/>
      <c r="F1276" s="134"/>
      <c r="G1276" s="134"/>
      <c r="H1276" s="109">
        <f t="shared" si="58"/>
        <v>0</v>
      </c>
      <c r="I1276" s="119"/>
      <c r="J1276" s="119"/>
      <c r="K1276" s="119">
        <f t="shared" si="59"/>
        <v>0</v>
      </c>
      <c r="L1276" s="152">
        <f t="shared" si="60"/>
        <v>0</v>
      </c>
      <c r="M1276" s="113"/>
    </row>
    <row r="1277" spans="1:13" x14ac:dyDescent="0.2">
      <c r="A1277" s="106"/>
      <c r="B1277" s="105"/>
      <c r="C1277" s="105"/>
      <c r="D1277" s="149"/>
      <c r="E1277" s="105"/>
      <c r="F1277" s="134"/>
      <c r="G1277" s="134"/>
      <c r="H1277" s="109">
        <f t="shared" si="58"/>
        <v>0</v>
      </c>
      <c r="I1277" s="119"/>
      <c r="J1277" s="119"/>
      <c r="K1277" s="119">
        <f t="shared" si="59"/>
        <v>0</v>
      </c>
      <c r="L1277" s="152">
        <f t="shared" si="60"/>
        <v>0</v>
      </c>
      <c r="M1277" s="113"/>
    </row>
    <row r="1278" spans="1:13" x14ac:dyDescent="0.2">
      <c r="A1278" s="106"/>
      <c r="B1278" s="105"/>
      <c r="C1278" s="105"/>
      <c r="D1278" s="149"/>
      <c r="E1278" s="105"/>
      <c r="F1278" s="134"/>
      <c r="G1278" s="134"/>
      <c r="H1278" s="109">
        <f t="shared" si="58"/>
        <v>0</v>
      </c>
      <c r="I1278" s="119"/>
      <c r="J1278" s="119"/>
      <c r="K1278" s="119">
        <f t="shared" si="59"/>
        <v>0</v>
      </c>
      <c r="L1278" s="152">
        <f t="shared" si="60"/>
        <v>0</v>
      </c>
      <c r="M1278" s="113"/>
    </row>
    <row r="1279" spans="1:13" x14ac:dyDescent="0.2">
      <c r="A1279" s="106"/>
      <c r="B1279" s="105"/>
      <c r="C1279" s="105"/>
      <c r="D1279" s="149"/>
      <c r="E1279" s="105"/>
      <c r="F1279" s="134"/>
      <c r="G1279" s="134"/>
      <c r="H1279" s="109">
        <f t="shared" si="58"/>
        <v>0</v>
      </c>
      <c r="I1279" s="119"/>
      <c r="J1279" s="119"/>
      <c r="K1279" s="119">
        <f t="shared" si="59"/>
        <v>0</v>
      </c>
      <c r="L1279" s="152">
        <f t="shared" si="60"/>
        <v>0</v>
      </c>
      <c r="M1279" s="113"/>
    </row>
    <row r="1280" spans="1:13" x14ac:dyDescent="0.2">
      <c r="A1280" s="106"/>
      <c r="B1280" s="105"/>
      <c r="C1280" s="105"/>
      <c r="D1280" s="149"/>
      <c r="E1280" s="105"/>
      <c r="F1280" s="134"/>
      <c r="G1280" s="134"/>
      <c r="H1280" s="109">
        <f t="shared" si="58"/>
        <v>0</v>
      </c>
      <c r="I1280" s="119"/>
      <c r="J1280" s="119"/>
      <c r="K1280" s="119">
        <f t="shared" si="59"/>
        <v>0</v>
      </c>
      <c r="L1280" s="152">
        <f t="shared" si="60"/>
        <v>0</v>
      </c>
      <c r="M1280" s="113"/>
    </row>
    <row r="1281" spans="1:13" x14ac:dyDescent="0.2">
      <c r="A1281" s="106"/>
      <c r="B1281" s="105"/>
      <c r="C1281" s="105"/>
      <c r="D1281" s="149"/>
      <c r="E1281" s="105"/>
      <c r="F1281" s="134"/>
      <c r="G1281" s="134"/>
      <c r="H1281" s="109">
        <f t="shared" si="58"/>
        <v>0</v>
      </c>
      <c r="I1281" s="119"/>
      <c r="J1281" s="119"/>
      <c r="K1281" s="119">
        <f t="shared" si="59"/>
        <v>0</v>
      </c>
      <c r="L1281" s="152">
        <f t="shared" si="60"/>
        <v>0</v>
      </c>
      <c r="M1281" s="113"/>
    </row>
    <row r="1282" spans="1:13" x14ac:dyDescent="0.2">
      <c r="A1282" s="106"/>
      <c r="B1282" s="105"/>
      <c r="C1282" s="105"/>
      <c r="D1282" s="149"/>
      <c r="E1282" s="105"/>
      <c r="F1282" s="134"/>
      <c r="G1282" s="134"/>
      <c r="H1282" s="109">
        <f t="shared" si="58"/>
        <v>0</v>
      </c>
      <c r="I1282" s="119"/>
      <c r="J1282" s="119"/>
      <c r="K1282" s="119">
        <f t="shared" si="59"/>
        <v>0</v>
      </c>
      <c r="L1282" s="152">
        <f t="shared" si="60"/>
        <v>0</v>
      </c>
      <c r="M1282" s="113"/>
    </row>
    <row r="1283" spans="1:13" x14ac:dyDescent="0.2">
      <c r="A1283" s="106"/>
      <c r="B1283" s="105"/>
      <c r="C1283" s="105"/>
      <c r="D1283" s="149"/>
      <c r="E1283" s="105"/>
      <c r="F1283" s="134"/>
      <c r="G1283" s="134"/>
      <c r="H1283" s="109">
        <f t="shared" si="58"/>
        <v>0</v>
      </c>
      <c r="I1283" s="119"/>
      <c r="J1283" s="119"/>
      <c r="K1283" s="119">
        <f t="shared" si="59"/>
        <v>0</v>
      </c>
      <c r="L1283" s="152">
        <f t="shared" si="60"/>
        <v>0</v>
      </c>
      <c r="M1283" s="113"/>
    </row>
    <row r="1284" spans="1:13" x14ac:dyDescent="0.2">
      <c r="A1284" s="106"/>
      <c r="B1284" s="105"/>
      <c r="C1284" s="105"/>
      <c r="D1284" s="149"/>
      <c r="E1284" s="105"/>
      <c r="F1284" s="134"/>
      <c r="G1284" s="134"/>
      <c r="H1284" s="109">
        <f t="shared" si="58"/>
        <v>0</v>
      </c>
      <c r="I1284" s="119"/>
      <c r="J1284" s="119"/>
      <c r="K1284" s="119">
        <f t="shared" si="59"/>
        <v>0</v>
      </c>
      <c r="L1284" s="152">
        <f t="shared" si="60"/>
        <v>0</v>
      </c>
      <c r="M1284" s="113"/>
    </row>
    <row r="1285" spans="1:13" x14ac:dyDescent="0.2">
      <c r="A1285" s="106"/>
      <c r="B1285" s="105"/>
      <c r="C1285" s="105"/>
      <c r="D1285" s="149"/>
      <c r="E1285" s="105"/>
      <c r="F1285" s="134"/>
      <c r="G1285" s="134"/>
      <c r="H1285" s="109">
        <f t="shared" si="58"/>
        <v>0</v>
      </c>
      <c r="I1285" s="119"/>
      <c r="J1285" s="119"/>
      <c r="K1285" s="119">
        <f t="shared" si="59"/>
        <v>0</v>
      </c>
      <c r="L1285" s="152">
        <f t="shared" si="60"/>
        <v>0</v>
      </c>
      <c r="M1285" s="113"/>
    </row>
    <row r="1286" spans="1:13" x14ac:dyDescent="0.2">
      <c r="A1286" s="106"/>
      <c r="B1286" s="105"/>
      <c r="C1286" s="105"/>
      <c r="D1286" s="149"/>
      <c r="E1286" s="105"/>
      <c r="F1286" s="134"/>
      <c r="G1286" s="134"/>
      <c r="H1286" s="109">
        <f t="shared" ref="H1286:H1319" si="61">E1286*G1286</f>
        <v>0</v>
      </c>
      <c r="I1286" s="119"/>
      <c r="J1286" s="119"/>
      <c r="K1286" s="119">
        <f t="shared" si="59"/>
        <v>0</v>
      </c>
      <c r="L1286" s="152">
        <f t="shared" si="60"/>
        <v>0</v>
      </c>
      <c r="M1286" s="113"/>
    </row>
    <row r="1287" spans="1:13" x14ac:dyDescent="0.2">
      <c r="A1287" s="106"/>
      <c r="B1287" s="105"/>
      <c r="C1287" s="105"/>
      <c r="D1287" s="149"/>
      <c r="E1287" s="105"/>
      <c r="F1287" s="134"/>
      <c r="G1287" s="134"/>
      <c r="H1287" s="109">
        <f t="shared" si="61"/>
        <v>0</v>
      </c>
      <c r="I1287" s="119"/>
      <c r="J1287" s="119"/>
      <c r="K1287" s="119">
        <f t="shared" si="59"/>
        <v>0</v>
      </c>
      <c r="L1287" s="152">
        <f t="shared" si="60"/>
        <v>0</v>
      </c>
      <c r="M1287" s="113"/>
    </row>
    <row r="1288" spans="1:13" x14ac:dyDescent="0.2">
      <c r="A1288" s="106"/>
      <c r="B1288" s="105"/>
      <c r="C1288" s="105"/>
      <c r="D1288" s="149"/>
      <c r="E1288" s="105"/>
      <c r="F1288" s="134"/>
      <c r="G1288" s="134"/>
      <c r="H1288" s="109">
        <f t="shared" si="61"/>
        <v>0</v>
      </c>
      <c r="I1288" s="119"/>
      <c r="J1288" s="119"/>
      <c r="K1288" s="119">
        <f t="shared" ref="K1288:K1351" si="62">H1288+I1288-J1288</f>
        <v>0</v>
      </c>
      <c r="L1288" s="152">
        <f t="shared" ref="L1288:L1351" si="63">E1288*F1288</f>
        <v>0</v>
      </c>
      <c r="M1288" s="113"/>
    </row>
    <row r="1289" spans="1:13" x14ac:dyDescent="0.2">
      <c r="A1289" s="106"/>
      <c r="B1289" s="105"/>
      <c r="C1289" s="105"/>
      <c r="D1289" s="149"/>
      <c r="E1289" s="105"/>
      <c r="F1289" s="134"/>
      <c r="G1289" s="134"/>
      <c r="H1289" s="109">
        <f t="shared" si="61"/>
        <v>0</v>
      </c>
      <c r="I1289" s="119"/>
      <c r="J1289" s="119"/>
      <c r="K1289" s="119">
        <f t="shared" si="62"/>
        <v>0</v>
      </c>
      <c r="L1289" s="152">
        <f t="shared" si="63"/>
        <v>0</v>
      </c>
      <c r="M1289" s="113"/>
    </row>
    <row r="1290" spans="1:13" x14ac:dyDescent="0.2">
      <c r="A1290" s="106"/>
      <c r="B1290" s="105"/>
      <c r="C1290" s="105"/>
      <c r="D1290" s="149"/>
      <c r="E1290" s="105"/>
      <c r="F1290" s="134"/>
      <c r="G1290" s="134"/>
      <c r="H1290" s="109">
        <f t="shared" si="61"/>
        <v>0</v>
      </c>
      <c r="I1290" s="119"/>
      <c r="J1290" s="119"/>
      <c r="K1290" s="119">
        <f t="shared" si="62"/>
        <v>0</v>
      </c>
      <c r="L1290" s="152">
        <f t="shared" si="63"/>
        <v>0</v>
      </c>
      <c r="M1290" s="113"/>
    </row>
    <row r="1291" spans="1:13" x14ac:dyDescent="0.2">
      <c r="A1291" s="106"/>
      <c r="B1291" s="105"/>
      <c r="C1291" s="105"/>
      <c r="D1291" s="149"/>
      <c r="E1291" s="105"/>
      <c r="F1291" s="134"/>
      <c r="G1291" s="134"/>
      <c r="H1291" s="109">
        <f t="shared" si="61"/>
        <v>0</v>
      </c>
      <c r="I1291" s="119"/>
      <c r="J1291" s="119"/>
      <c r="K1291" s="119">
        <f t="shared" si="62"/>
        <v>0</v>
      </c>
      <c r="L1291" s="152">
        <f t="shared" si="63"/>
        <v>0</v>
      </c>
      <c r="M1291" s="113"/>
    </row>
    <row r="1292" spans="1:13" x14ac:dyDescent="0.2">
      <c r="A1292" s="106"/>
      <c r="B1292" s="105"/>
      <c r="C1292" s="105"/>
      <c r="D1292" s="149"/>
      <c r="E1292" s="105"/>
      <c r="F1292" s="134"/>
      <c r="G1292" s="134"/>
      <c r="H1292" s="109">
        <f t="shared" si="61"/>
        <v>0</v>
      </c>
      <c r="I1292" s="119"/>
      <c r="J1292" s="119"/>
      <c r="K1292" s="119">
        <f t="shared" si="62"/>
        <v>0</v>
      </c>
      <c r="L1292" s="152">
        <f t="shared" si="63"/>
        <v>0</v>
      </c>
      <c r="M1292" s="113"/>
    </row>
    <row r="1293" spans="1:13" x14ac:dyDescent="0.2">
      <c r="A1293" s="106"/>
      <c r="B1293" s="105"/>
      <c r="C1293" s="105"/>
      <c r="D1293" s="149"/>
      <c r="E1293" s="105"/>
      <c r="F1293" s="134"/>
      <c r="G1293" s="134"/>
      <c r="H1293" s="109">
        <f t="shared" si="61"/>
        <v>0</v>
      </c>
      <c r="I1293" s="119"/>
      <c r="J1293" s="119"/>
      <c r="K1293" s="119">
        <f t="shared" si="62"/>
        <v>0</v>
      </c>
      <c r="L1293" s="152">
        <f t="shared" si="63"/>
        <v>0</v>
      </c>
      <c r="M1293" s="113"/>
    </row>
    <row r="1294" spans="1:13" x14ac:dyDescent="0.2">
      <c r="A1294" s="106"/>
      <c r="B1294" s="105"/>
      <c r="C1294" s="105"/>
      <c r="D1294" s="149"/>
      <c r="E1294" s="105"/>
      <c r="F1294" s="134"/>
      <c r="G1294" s="134"/>
      <c r="H1294" s="109">
        <f t="shared" si="61"/>
        <v>0</v>
      </c>
      <c r="I1294" s="119"/>
      <c r="J1294" s="119"/>
      <c r="K1294" s="119">
        <f t="shared" si="62"/>
        <v>0</v>
      </c>
      <c r="L1294" s="152">
        <f t="shared" si="63"/>
        <v>0</v>
      </c>
      <c r="M1294" s="113"/>
    </row>
    <row r="1295" spans="1:13" x14ac:dyDescent="0.2">
      <c r="A1295" s="106"/>
      <c r="B1295" s="105"/>
      <c r="C1295" s="105"/>
      <c r="D1295" s="149"/>
      <c r="E1295" s="105"/>
      <c r="F1295" s="134"/>
      <c r="G1295" s="134"/>
      <c r="H1295" s="109">
        <f t="shared" si="61"/>
        <v>0</v>
      </c>
      <c r="I1295" s="119"/>
      <c r="J1295" s="119"/>
      <c r="K1295" s="119">
        <f t="shared" si="62"/>
        <v>0</v>
      </c>
      <c r="L1295" s="152">
        <f t="shared" si="63"/>
        <v>0</v>
      </c>
      <c r="M1295" s="113"/>
    </row>
    <row r="1296" spans="1:13" x14ac:dyDescent="0.2">
      <c r="A1296" s="106"/>
      <c r="B1296" s="105"/>
      <c r="C1296" s="105"/>
      <c r="D1296" s="149"/>
      <c r="E1296" s="105"/>
      <c r="F1296" s="134"/>
      <c r="G1296" s="134"/>
      <c r="H1296" s="109">
        <f t="shared" si="61"/>
        <v>0</v>
      </c>
      <c r="I1296" s="119"/>
      <c r="J1296" s="119"/>
      <c r="K1296" s="119">
        <f t="shared" si="62"/>
        <v>0</v>
      </c>
      <c r="L1296" s="152">
        <f t="shared" si="63"/>
        <v>0</v>
      </c>
      <c r="M1296" s="113"/>
    </row>
    <row r="1297" spans="1:13" x14ac:dyDescent="0.2">
      <c r="A1297" s="106"/>
      <c r="B1297" s="105"/>
      <c r="C1297" s="105"/>
      <c r="D1297" s="149"/>
      <c r="E1297" s="105"/>
      <c r="F1297" s="134"/>
      <c r="G1297" s="134"/>
      <c r="H1297" s="109">
        <f t="shared" si="61"/>
        <v>0</v>
      </c>
      <c r="I1297" s="119"/>
      <c r="J1297" s="119"/>
      <c r="K1297" s="119">
        <f t="shared" si="62"/>
        <v>0</v>
      </c>
      <c r="L1297" s="152">
        <f t="shared" si="63"/>
        <v>0</v>
      </c>
      <c r="M1297" s="113"/>
    </row>
    <row r="1298" spans="1:13" x14ac:dyDescent="0.2">
      <c r="A1298" s="106"/>
      <c r="B1298" s="105"/>
      <c r="C1298" s="105"/>
      <c r="D1298" s="149"/>
      <c r="E1298" s="105"/>
      <c r="F1298" s="134"/>
      <c r="G1298" s="134"/>
      <c r="H1298" s="109">
        <f t="shared" si="61"/>
        <v>0</v>
      </c>
      <c r="I1298" s="119"/>
      <c r="J1298" s="119"/>
      <c r="K1298" s="119">
        <f t="shared" si="62"/>
        <v>0</v>
      </c>
      <c r="L1298" s="152">
        <f t="shared" si="63"/>
        <v>0</v>
      </c>
      <c r="M1298" s="113"/>
    </row>
    <row r="1299" spans="1:13" x14ac:dyDescent="0.2">
      <c r="A1299" s="106"/>
      <c r="B1299" s="105"/>
      <c r="C1299" s="105"/>
      <c r="D1299" s="149"/>
      <c r="E1299" s="105"/>
      <c r="F1299" s="134"/>
      <c r="G1299" s="134"/>
      <c r="H1299" s="109">
        <f t="shared" si="61"/>
        <v>0</v>
      </c>
      <c r="I1299" s="119"/>
      <c r="J1299" s="119"/>
      <c r="K1299" s="119">
        <f t="shared" si="62"/>
        <v>0</v>
      </c>
      <c r="L1299" s="152">
        <f t="shared" si="63"/>
        <v>0</v>
      </c>
      <c r="M1299" s="113"/>
    </row>
    <row r="1300" spans="1:13" x14ac:dyDescent="0.2">
      <c r="A1300" s="106"/>
      <c r="B1300" s="105"/>
      <c r="C1300" s="105"/>
      <c r="D1300" s="149"/>
      <c r="E1300" s="105"/>
      <c r="F1300" s="134"/>
      <c r="G1300" s="134"/>
      <c r="H1300" s="109">
        <f t="shared" si="61"/>
        <v>0</v>
      </c>
      <c r="I1300" s="119"/>
      <c r="J1300" s="119"/>
      <c r="K1300" s="119">
        <f t="shared" si="62"/>
        <v>0</v>
      </c>
      <c r="L1300" s="152">
        <f t="shared" si="63"/>
        <v>0</v>
      </c>
      <c r="M1300" s="113"/>
    </row>
    <row r="1301" spans="1:13" x14ac:dyDescent="0.2">
      <c r="A1301" s="106"/>
      <c r="B1301" s="105"/>
      <c r="C1301" s="105"/>
      <c r="D1301" s="149"/>
      <c r="E1301" s="105"/>
      <c r="F1301" s="134"/>
      <c r="G1301" s="134"/>
      <c r="H1301" s="109">
        <f t="shared" si="61"/>
        <v>0</v>
      </c>
      <c r="I1301" s="119"/>
      <c r="J1301" s="119"/>
      <c r="K1301" s="119">
        <f t="shared" si="62"/>
        <v>0</v>
      </c>
      <c r="L1301" s="152">
        <f t="shared" si="63"/>
        <v>0</v>
      </c>
      <c r="M1301" s="113"/>
    </row>
    <row r="1302" spans="1:13" x14ac:dyDescent="0.2">
      <c r="A1302" s="106"/>
      <c r="B1302" s="105"/>
      <c r="C1302" s="105"/>
      <c r="D1302" s="149"/>
      <c r="E1302" s="105"/>
      <c r="F1302" s="134"/>
      <c r="G1302" s="134"/>
      <c r="H1302" s="109">
        <f t="shared" si="61"/>
        <v>0</v>
      </c>
      <c r="I1302" s="119"/>
      <c r="J1302" s="119"/>
      <c r="K1302" s="119">
        <f t="shared" si="62"/>
        <v>0</v>
      </c>
      <c r="L1302" s="152">
        <f t="shared" si="63"/>
        <v>0</v>
      </c>
      <c r="M1302" s="113"/>
    </row>
    <row r="1303" spans="1:13" x14ac:dyDescent="0.2">
      <c r="A1303" s="106"/>
      <c r="B1303" s="105"/>
      <c r="C1303" s="105"/>
      <c r="D1303" s="149"/>
      <c r="E1303" s="105"/>
      <c r="F1303" s="134"/>
      <c r="G1303" s="134"/>
      <c r="H1303" s="109">
        <f t="shared" si="61"/>
        <v>0</v>
      </c>
      <c r="I1303" s="119"/>
      <c r="J1303" s="119"/>
      <c r="K1303" s="119">
        <f t="shared" si="62"/>
        <v>0</v>
      </c>
      <c r="L1303" s="152">
        <f t="shared" si="63"/>
        <v>0</v>
      </c>
      <c r="M1303" s="113"/>
    </row>
    <row r="1304" spans="1:13" x14ac:dyDescent="0.2">
      <c r="A1304" s="106"/>
      <c r="B1304" s="105"/>
      <c r="C1304" s="105"/>
      <c r="D1304" s="149"/>
      <c r="E1304" s="105"/>
      <c r="F1304" s="134"/>
      <c r="G1304" s="134"/>
      <c r="H1304" s="109">
        <f t="shared" si="61"/>
        <v>0</v>
      </c>
      <c r="I1304" s="119"/>
      <c r="J1304" s="119"/>
      <c r="K1304" s="119">
        <f t="shared" si="62"/>
        <v>0</v>
      </c>
      <c r="L1304" s="152">
        <f t="shared" si="63"/>
        <v>0</v>
      </c>
      <c r="M1304" s="113"/>
    </row>
    <row r="1305" spans="1:13" x14ac:dyDescent="0.2">
      <c r="A1305" s="106"/>
      <c r="B1305" s="105"/>
      <c r="C1305" s="105"/>
      <c r="D1305" s="149"/>
      <c r="E1305" s="105"/>
      <c r="F1305" s="134"/>
      <c r="G1305" s="134"/>
      <c r="H1305" s="109">
        <f t="shared" si="61"/>
        <v>0</v>
      </c>
      <c r="I1305" s="119"/>
      <c r="J1305" s="119"/>
      <c r="K1305" s="119">
        <f t="shared" si="62"/>
        <v>0</v>
      </c>
      <c r="L1305" s="152">
        <f t="shared" si="63"/>
        <v>0</v>
      </c>
      <c r="M1305" s="113"/>
    </row>
    <row r="1306" spans="1:13" x14ac:dyDescent="0.2">
      <c r="A1306" s="106"/>
      <c r="B1306" s="105"/>
      <c r="C1306" s="105"/>
      <c r="D1306" s="149"/>
      <c r="E1306" s="105"/>
      <c r="F1306" s="134"/>
      <c r="G1306" s="134"/>
      <c r="H1306" s="109">
        <f t="shared" si="61"/>
        <v>0</v>
      </c>
      <c r="I1306" s="119"/>
      <c r="J1306" s="119"/>
      <c r="K1306" s="119">
        <f t="shared" si="62"/>
        <v>0</v>
      </c>
      <c r="L1306" s="152">
        <f t="shared" si="63"/>
        <v>0</v>
      </c>
      <c r="M1306" s="113"/>
    </row>
    <row r="1307" spans="1:13" x14ac:dyDescent="0.2">
      <c r="A1307" s="106"/>
      <c r="B1307" s="105"/>
      <c r="C1307" s="105"/>
      <c r="D1307" s="149"/>
      <c r="E1307" s="105"/>
      <c r="F1307" s="134"/>
      <c r="G1307" s="134"/>
      <c r="H1307" s="109">
        <f t="shared" si="61"/>
        <v>0</v>
      </c>
      <c r="I1307" s="119"/>
      <c r="J1307" s="119"/>
      <c r="K1307" s="119">
        <f t="shared" si="62"/>
        <v>0</v>
      </c>
      <c r="L1307" s="152">
        <f t="shared" si="63"/>
        <v>0</v>
      </c>
      <c r="M1307" s="113"/>
    </row>
    <row r="1308" spans="1:13" x14ac:dyDescent="0.2">
      <c r="A1308" s="106"/>
      <c r="B1308" s="105"/>
      <c r="C1308" s="105"/>
      <c r="D1308" s="149"/>
      <c r="E1308" s="105"/>
      <c r="F1308" s="134"/>
      <c r="G1308" s="134"/>
      <c r="H1308" s="109">
        <f t="shared" si="61"/>
        <v>0</v>
      </c>
      <c r="I1308" s="119"/>
      <c r="J1308" s="119"/>
      <c r="K1308" s="119">
        <f t="shared" si="62"/>
        <v>0</v>
      </c>
      <c r="L1308" s="152">
        <f t="shared" si="63"/>
        <v>0</v>
      </c>
      <c r="M1308" s="113"/>
    </row>
    <row r="1309" spans="1:13" x14ac:dyDescent="0.2">
      <c r="A1309" s="106"/>
      <c r="B1309" s="105"/>
      <c r="C1309" s="105"/>
      <c r="D1309" s="149"/>
      <c r="E1309" s="105"/>
      <c r="F1309" s="134"/>
      <c r="G1309" s="134"/>
      <c r="H1309" s="109">
        <f t="shared" si="61"/>
        <v>0</v>
      </c>
      <c r="I1309" s="119"/>
      <c r="J1309" s="119"/>
      <c r="K1309" s="119">
        <f t="shared" si="62"/>
        <v>0</v>
      </c>
      <c r="L1309" s="152">
        <f t="shared" si="63"/>
        <v>0</v>
      </c>
      <c r="M1309" s="113"/>
    </row>
    <row r="1310" spans="1:13" x14ac:dyDescent="0.2">
      <c r="A1310" s="106"/>
      <c r="B1310" s="105"/>
      <c r="C1310" s="105"/>
      <c r="D1310" s="149"/>
      <c r="E1310" s="105"/>
      <c r="F1310" s="134"/>
      <c r="G1310" s="134"/>
      <c r="H1310" s="109">
        <f t="shared" si="61"/>
        <v>0</v>
      </c>
      <c r="I1310" s="119"/>
      <c r="J1310" s="119"/>
      <c r="K1310" s="119">
        <f t="shared" si="62"/>
        <v>0</v>
      </c>
      <c r="L1310" s="152">
        <f t="shared" si="63"/>
        <v>0</v>
      </c>
      <c r="M1310" s="113"/>
    </row>
    <row r="1311" spans="1:13" x14ac:dyDescent="0.2">
      <c r="A1311" s="106"/>
      <c r="B1311" s="105"/>
      <c r="C1311" s="105"/>
      <c r="D1311" s="149"/>
      <c r="E1311" s="105"/>
      <c r="F1311" s="134"/>
      <c r="G1311" s="134"/>
      <c r="H1311" s="109">
        <f t="shared" si="61"/>
        <v>0</v>
      </c>
      <c r="I1311" s="119"/>
      <c r="J1311" s="119"/>
      <c r="K1311" s="119">
        <f t="shared" si="62"/>
        <v>0</v>
      </c>
      <c r="L1311" s="152">
        <f t="shared" si="63"/>
        <v>0</v>
      </c>
      <c r="M1311" s="113"/>
    </row>
    <row r="1312" spans="1:13" x14ac:dyDescent="0.2">
      <c r="A1312" s="106"/>
      <c r="B1312" s="105"/>
      <c r="C1312" s="105"/>
      <c r="D1312" s="149"/>
      <c r="E1312" s="105"/>
      <c r="F1312" s="134"/>
      <c r="G1312" s="134"/>
      <c r="H1312" s="109">
        <f t="shared" si="61"/>
        <v>0</v>
      </c>
      <c r="I1312" s="119"/>
      <c r="J1312" s="119"/>
      <c r="K1312" s="119">
        <f t="shared" si="62"/>
        <v>0</v>
      </c>
      <c r="L1312" s="152">
        <f t="shared" si="63"/>
        <v>0</v>
      </c>
      <c r="M1312" s="113"/>
    </row>
    <row r="1313" spans="1:13" x14ac:dyDescent="0.2">
      <c r="A1313" s="106"/>
      <c r="B1313" s="105"/>
      <c r="C1313" s="105"/>
      <c r="D1313" s="149"/>
      <c r="E1313" s="105"/>
      <c r="F1313" s="134"/>
      <c r="G1313" s="134"/>
      <c r="H1313" s="109">
        <f t="shared" si="61"/>
        <v>0</v>
      </c>
      <c r="I1313" s="119"/>
      <c r="J1313" s="119"/>
      <c r="K1313" s="119">
        <f t="shared" si="62"/>
        <v>0</v>
      </c>
      <c r="L1313" s="152">
        <f t="shared" si="63"/>
        <v>0</v>
      </c>
      <c r="M1313" s="113"/>
    </row>
    <row r="1314" spans="1:13" x14ac:dyDescent="0.2">
      <c r="A1314" s="106"/>
      <c r="B1314" s="105"/>
      <c r="C1314" s="105"/>
      <c r="D1314" s="149"/>
      <c r="E1314" s="105"/>
      <c r="F1314" s="134"/>
      <c r="G1314" s="134"/>
      <c r="H1314" s="109">
        <f t="shared" si="61"/>
        <v>0</v>
      </c>
      <c r="I1314" s="119"/>
      <c r="J1314" s="119"/>
      <c r="K1314" s="119">
        <f t="shared" si="62"/>
        <v>0</v>
      </c>
      <c r="L1314" s="152">
        <f t="shared" si="63"/>
        <v>0</v>
      </c>
      <c r="M1314" s="113"/>
    </row>
    <row r="1315" spans="1:13" x14ac:dyDescent="0.2">
      <c r="A1315" s="106"/>
      <c r="B1315" s="105"/>
      <c r="C1315" s="105"/>
      <c r="D1315" s="149"/>
      <c r="E1315" s="105"/>
      <c r="F1315" s="134"/>
      <c r="G1315" s="134"/>
      <c r="H1315" s="109">
        <f t="shared" si="61"/>
        <v>0</v>
      </c>
      <c r="I1315" s="119"/>
      <c r="J1315" s="119"/>
      <c r="K1315" s="119">
        <f t="shared" si="62"/>
        <v>0</v>
      </c>
      <c r="L1315" s="152">
        <f t="shared" si="63"/>
        <v>0</v>
      </c>
      <c r="M1315" s="113"/>
    </row>
    <row r="1316" spans="1:13" x14ac:dyDescent="0.2">
      <c r="A1316" s="106"/>
      <c r="B1316" s="105"/>
      <c r="C1316" s="105"/>
      <c r="D1316" s="149"/>
      <c r="E1316" s="105"/>
      <c r="F1316" s="134"/>
      <c r="G1316" s="134"/>
      <c r="H1316" s="109">
        <f t="shared" si="61"/>
        <v>0</v>
      </c>
      <c r="I1316" s="119"/>
      <c r="J1316" s="119"/>
      <c r="K1316" s="119">
        <f t="shared" si="62"/>
        <v>0</v>
      </c>
      <c r="L1316" s="152">
        <f t="shared" si="63"/>
        <v>0</v>
      </c>
      <c r="M1316" s="113"/>
    </row>
    <row r="1317" spans="1:13" x14ac:dyDescent="0.2">
      <c r="A1317" s="106"/>
      <c r="B1317" s="105"/>
      <c r="C1317" s="105"/>
      <c r="D1317" s="149"/>
      <c r="E1317" s="105"/>
      <c r="F1317" s="134"/>
      <c r="G1317" s="134"/>
      <c r="H1317" s="109">
        <f t="shared" si="61"/>
        <v>0</v>
      </c>
      <c r="I1317" s="119"/>
      <c r="J1317" s="119"/>
      <c r="K1317" s="119">
        <f t="shared" si="62"/>
        <v>0</v>
      </c>
      <c r="L1317" s="152">
        <f t="shared" si="63"/>
        <v>0</v>
      </c>
      <c r="M1317" s="113"/>
    </row>
    <row r="1318" spans="1:13" x14ac:dyDescent="0.2">
      <c r="A1318" s="106"/>
      <c r="B1318" s="105"/>
      <c r="C1318" s="105"/>
      <c r="D1318" s="149"/>
      <c r="E1318" s="105"/>
      <c r="F1318" s="134"/>
      <c r="G1318" s="134"/>
      <c r="H1318" s="109">
        <f t="shared" si="61"/>
        <v>0</v>
      </c>
      <c r="I1318" s="119"/>
      <c r="J1318" s="119"/>
      <c r="K1318" s="119">
        <f t="shared" si="62"/>
        <v>0</v>
      </c>
      <c r="L1318" s="152">
        <f t="shared" si="63"/>
        <v>0</v>
      </c>
      <c r="M1318" s="113"/>
    </row>
    <row r="1319" spans="1:13" x14ac:dyDescent="0.2">
      <c r="A1319" s="106"/>
      <c r="B1319" s="105"/>
      <c r="C1319" s="105"/>
      <c r="D1319" s="149"/>
      <c r="E1319" s="105"/>
      <c r="F1319" s="134"/>
      <c r="G1319" s="134"/>
      <c r="H1319" s="109">
        <f t="shared" si="61"/>
        <v>0</v>
      </c>
      <c r="I1319" s="119"/>
      <c r="J1319" s="119"/>
      <c r="K1319" s="119">
        <f t="shared" si="62"/>
        <v>0</v>
      </c>
      <c r="L1319" s="152">
        <f t="shared" si="63"/>
        <v>0</v>
      </c>
      <c r="M1319" s="113"/>
    </row>
    <row r="1320" spans="1:13" x14ac:dyDescent="0.2">
      <c r="A1320" s="106"/>
      <c r="B1320" s="105"/>
      <c r="C1320" s="105"/>
      <c r="D1320" s="149"/>
      <c r="E1320" s="105"/>
      <c r="F1320" s="134"/>
      <c r="G1320" s="134"/>
      <c r="H1320" s="109">
        <f t="shared" ref="H1320:H1350" si="64">E1320*G1320</f>
        <v>0</v>
      </c>
      <c r="I1320" s="119"/>
      <c r="J1320" s="119"/>
      <c r="K1320" s="119">
        <f t="shared" si="62"/>
        <v>0</v>
      </c>
      <c r="L1320" s="152">
        <f t="shared" si="63"/>
        <v>0</v>
      </c>
      <c r="M1320" s="113"/>
    </row>
    <row r="1321" spans="1:13" x14ac:dyDescent="0.2">
      <c r="A1321" s="106"/>
      <c r="B1321" s="105"/>
      <c r="C1321" s="105"/>
      <c r="D1321" s="149"/>
      <c r="E1321" s="105"/>
      <c r="F1321" s="134"/>
      <c r="G1321" s="134"/>
      <c r="H1321" s="109">
        <f t="shared" si="64"/>
        <v>0</v>
      </c>
      <c r="I1321" s="119"/>
      <c r="J1321" s="119"/>
      <c r="K1321" s="119">
        <f t="shared" si="62"/>
        <v>0</v>
      </c>
      <c r="L1321" s="152">
        <f t="shared" si="63"/>
        <v>0</v>
      </c>
      <c r="M1321" s="113"/>
    </row>
    <row r="1322" spans="1:13" x14ac:dyDescent="0.2">
      <c r="A1322" s="106"/>
      <c r="B1322" s="105"/>
      <c r="C1322" s="105"/>
      <c r="D1322" s="149"/>
      <c r="E1322" s="105"/>
      <c r="F1322" s="134"/>
      <c r="G1322" s="134"/>
      <c r="H1322" s="109">
        <f t="shared" si="64"/>
        <v>0</v>
      </c>
      <c r="I1322" s="119"/>
      <c r="J1322" s="119"/>
      <c r="K1322" s="119">
        <f t="shared" si="62"/>
        <v>0</v>
      </c>
      <c r="L1322" s="152">
        <f t="shared" si="63"/>
        <v>0</v>
      </c>
      <c r="M1322" s="113"/>
    </row>
    <row r="1323" spans="1:13" x14ac:dyDescent="0.2">
      <c r="A1323" s="106"/>
      <c r="B1323" s="105"/>
      <c r="C1323" s="105"/>
      <c r="D1323" s="149"/>
      <c r="E1323" s="105"/>
      <c r="F1323" s="134"/>
      <c r="G1323" s="134"/>
      <c r="H1323" s="109">
        <f t="shared" si="64"/>
        <v>0</v>
      </c>
      <c r="I1323" s="119"/>
      <c r="J1323" s="119"/>
      <c r="K1323" s="119">
        <f t="shared" si="62"/>
        <v>0</v>
      </c>
      <c r="L1323" s="152">
        <f t="shared" si="63"/>
        <v>0</v>
      </c>
      <c r="M1323" s="113"/>
    </row>
    <row r="1324" spans="1:13" x14ac:dyDescent="0.2">
      <c r="A1324" s="106"/>
      <c r="B1324" s="105"/>
      <c r="C1324" s="105"/>
      <c r="D1324" s="149"/>
      <c r="E1324" s="105"/>
      <c r="F1324" s="134"/>
      <c r="G1324" s="134"/>
      <c r="H1324" s="109">
        <f t="shared" si="64"/>
        <v>0</v>
      </c>
      <c r="I1324" s="119"/>
      <c r="J1324" s="119"/>
      <c r="K1324" s="119">
        <f t="shared" si="62"/>
        <v>0</v>
      </c>
      <c r="L1324" s="152">
        <f t="shared" si="63"/>
        <v>0</v>
      </c>
      <c r="M1324" s="113"/>
    </row>
    <row r="1325" spans="1:13" x14ac:dyDescent="0.2">
      <c r="A1325" s="106"/>
      <c r="B1325" s="105"/>
      <c r="C1325" s="105"/>
      <c r="D1325" s="149"/>
      <c r="E1325" s="105"/>
      <c r="F1325" s="134"/>
      <c r="G1325" s="134"/>
      <c r="H1325" s="109">
        <f t="shared" si="64"/>
        <v>0</v>
      </c>
      <c r="I1325" s="119"/>
      <c r="J1325" s="119"/>
      <c r="K1325" s="119">
        <f t="shared" si="62"/>
        <v>0</v>
      </c>
      <c r="L1325" s="152">
        <f t="shared" si="63"/>
        <v>0</v>
      </c>
      <c r="M1325" s="113"/>
    </row>
    <row r="1326" spans="1:13" x14ac:dyDescent="0.2">
      <c r="A1326" s="106"/>
      <c r="B1326" s="105"/>
      <c r="C1326" s="105"/>
      <c r="D1326" s="149"/>
      <c r="E1326" s="105"/>
      <c r="F1326" s="134"/>
      <c r="G1326" s="134"/>
      <c r="H1326" s="109">
        <f t="shared" si="64"/>
        <v>0</v>
      </c>
      <c r="I1326" s="119"/>
      <c r="J1326" s="119"/>
      <c r="K1326" s="119">
        <f t="shared" si="62"/>
        <v>0</v>
      </c>
      <c r="L1326" s="152">
        <f t="shared" si="63"/>
        <v>0</v>
      </c>
      <c r="M1326" s="113"/>
    </row>
    <row r="1327" spans="1:13" x14ac:dyDescent="0.2">
      <c r="A1327" s="106"/>
      <c r="B1327" s="105"/>
      <c r="C1327" s="105"/>
      <c r="D1327" s="149"/>
      <c r="E1327" s="105"/>
      <c r="F1327" s="134"/>
      <c r="G1327" s="134"/>
      <c r="H1327" s="109">
        <f t="shared" si="64"/>
        <v>0</v>
      </c>
      <c r="I1327" s="119"/>
      <c r="J1327" s="119"/>
      <c r="K1327" s="119">
        <f t="shared" si="62"/>
        <v>0</v>
      </c>
      <c r="L1327" s="152">
        <f t="shared" si="63"/>
        <v>0</v>
      </c>
      <c r="M1327" s="113"/>
    </row>
    <row r="1328" spans="1:13" x14ac:dyDescent="0.2">
      <c r="A1328" s="106"/>
      <c r="B1328" s="105"/>
      <c r="C1328" s="105"/>
      <c r="D1328" s="149"/>
      <c r="E1328" s="105"/>
      <c r="F1328" s="134"/>
      <c r="G1328" s="134"/>
      <c r="H1328" s="109">
        <f t="shared" si="64"/>
        <v>0</v>
      </c>
      <c r="I1328" s="119"/>
      <c r="J1328" s="119"/>
      <c r="K1328" s="119">
        <f t="shared" si="62"/>
        <v>0</v>
      </c>
      <c r="L1328" s="152">
        <f t="shared" si="63"/>
        <v>0</v>
      </c>
      <c r="M1328" s="113"/>
    </row>
    <row r="1329" spans="1:13" x14ac:dyDescent="0.2">
      <c r="A1329" s="106"/>
      <c r="B1329" s="105"/>
      <c r="C1329" s="105"/>
      <c r="D1329" s="149"/>
      <c r="E1329" s="105"/>
      <c r="F1329" s="134"/>
      <c r="G1329" s="134"/>
      <c r="H1329" s="109">
        <f t="shared" si="64"/>
        <v>0</v>
      </c>
      <c r="I1329" s="119"/>
      <c r="J1329" s="119"/>
      <c r="K1329" s="119">
        <f t="shared" si="62"/>
        <v>0</v>
      </c>
      <c r="L1329" s="152">
        <f t="shared" si="63"/>
        <v>0</v>
      </c>
      <c r="M1329" s="113"/>
    </row>
    <row r="1330" spans="1:13" x14ac:dyDescent="0.2">
      <c r="A1330" s="106"/>
      <c r="B1330" s="105"/>
      <c r="C1330" s="105"/>
      <c r="D1330" s="149"/>
      <c r="E1330" s="105"/>
      <c r="F1330" s="134"/>
      <c r="G1330" s="134"/>
      <c r="H1330" s="109">
        <f t="shared" si="64"/>
        <v>0</v>
      </c>
      <c r="I1330" s="119"/>
      <c r="J1330" s="119"/>
      <c r="K1330" s="119">
        <f t="shared" si="62"/>
        <v>0</v>
      </c>
      <c r="L1330" s="152">
        <f t="shared" si="63"/>
        <v>0</v>
      </c>
      <c r="M1330" s="113"/>
    </row>
    <row r="1331" spans="1:13" x14ac:dyDescent="0.2">
      <c r="A1331" s="106"/>
      <c r="B1331" s="105"/>
      <c r="C1331" s="105"/>
      <c r="D1331" s="149"/>
      <c r="E1331" s="105"/>
      <c r="F1331" s="134"/>
      <c r="G1331" s="134"/>
      <c r="H1331" s="109">
        <f t="shared" si="64"/>
        <v>0</v>
      </c>
      <c r="I1331" s="119"/>
      <c r="J1331" s="119"/>
      <c r="K1331" s="119">
        <f t="shared" si="62"/>
        <v>0</v>
      </c>
      <c r="L1331" s="152">
        <f t="shared" si="63"/>
        <v>0</v>
      </c>
      <c r="M1331" s="113"/>
    </row>
    <row r="1332" spans="1:13" x14ac:dyDescent="0.2">
      <c r="A1332" s="106"/>
      <c r="B1332" s="105"/>
      <c r="C1332" s="105"/>
      <c r="D1332" s="149"/>
      <c r="E1332" s="105"/>
      <c r="F1332" s="134"/>
      <c r="G1332" s="134"/>
      <c r="H1332" s="109">
        <f t="shared" si="64"/>
        <v>0</v>
      </c>
      <c r="I1332" s="119"/>
      <c r="J1332" s="119"/>
      <c r="K1332" s="119">
        <f t="shared" si="62"/>
        <v>0</v>
      </c>
      <c r="L1332" s="152">
        <f t="shared" si="63"/>
        <v>0</v>
      </c>
      <c r="M1332" s="113"/>
    </row>
    <row r="1333" spans="1:13" x14ac:dyDescent="0.2">
      <c r="A1333" s="106"/>
      <c r="B1333" s="105"/>
      <c r="C1333" s="105"/>
      <c r="D1333" s="149"/>
      <c r="E1333" s="105"/>
      <c r="F1333" s="134"/>
      <c r="G1333" s="134"/>
      <c r="H1333" s="109">
        <f t="shared" si="64"/>
        <v>0</v>
      </c>
      <c r="I1333" s="119"/>
      <c r="J1333" s="119"/>
      <c r="K1333" s="119">
        <f t="shared" si="62"/>
        <v>0</v>
      </c>
      <c r="L1333" s="152">
        <f t="shared" si="63"/>
        <v>0</v>
      </c>
      <c r="M1333" s="113"/>
    </row>
    <row r="1334" spans="1:13" x14ac:dyDescent="0.2">
      <c r="A1334" s="106"/>
      <c r="B1334" s="105"/>
      <c r="C1334" s="105"/>
      <c r="D1334" s="149"/>
      <c r="E1334" s="105"/>
      <c r="F1334" s="134"/>
      <c r="G1334" s="134"/>
      <c r="H1334" s="109">
        <f t="shared" si="64"/>
        <v>0</v>
      </c>
      <c r="I1334" s="119"/>
      <c r="J1334" s="119"/>
      <c r="K1334" s="119">
        <f t="shared" si="62"/>
        <v>0</v>
      </c>
      <c r="L1334" s="152">
        <f t="shared" si="63"/>
        <v>0</v>
      </c>
      <c r="M1334" s="113"/>
    </row>
    <row r="1335" spans="1:13" x14ac:dyDescent="0.2">
      <c r="A1335" s="106"/>
      <c r="B1335" s="105"/>
      <c r="C1335" s="105"/>
      <c r="D1335" s="149"/>
      <c r="E1335" s="105"/>
      <c r="F1335" s="134"/>
      <c r="G1335" s="134"/>
      <c r="H1335" s="109">
        <f t="shared" si="64"/>
        <v>0</v>
      </c>
      <c r="I1335" s="119"/>
      <c r="J1335" s="119"/>
      <c r="K1335" s="119">
        <f t="shared" si="62"/>
        <v>0</v>
      </c>
      <c r="L1335" s="152">
        <f t="shared" si="63"/>
        <v>0</v>
      </c>
      <c r="M1335" s="113"/>
    </row>
    <row r="1336" spans="1:13" x14ac:dyDescent="0.2">
      <c r="A1336" s="106"/>
      <c r="B1336" s="105"/>
      <c r="C1336" s="105"/>
      <c r="D1336" s="149"/>
      <c r="E1336" s="105"/>
      <c r="F1336" s="134"/>
      <c r="G1336" s="134"/>
      <c r="H1336" s="109">
        <f t="shared" si="64"/>
        <v>0</v>
      </c>
      <c r="I1336" s="119"/>
      <c r="J1336" s="119"/>
      <c r="K1336" s="119">
        <f t="shared" si="62"/>
        <v>0</v>
      </c>
      <c r="L1336" s="152">
        <f t="shared" si="63"/>
        <v>0</v>
      </c>
      <c r="M1336" s="113"/>
    </row>
    <row r="1337" spans="1:13" x14ac:dyDescent="0.2">
      <c r="A1337" s="106"/>
      <c r="B1337" s="105"/>
      <c r="C1337" s="105"/>
      <c r="D1337" s="149"/>
      <c r="E1337" s="105"/>
      <c r="F1337" s="134"/>
      <c r="G1337" s="134"/>
      <c r="H1337" s="109">
        <f t="shared" si="64"/>
        <v>0</v>
      </c>
      <c r="I1337" s="119"/>
      <c r="J1337" s="119"/>
      <c r="K1337" s="119">
        <f t="shared" si="62"/>
        <v>0</v>
      </c>
      <c r="L1337" s="152">
        <f t="shared" si="63"/>
        <v>0</v>
      </c>
      <c r="M1337" s="113"/>
    </row>
    <row r="1338" spans="1:13" x14ac:dyDescent="0.2">
      <c r="A1338" s="106"/>
      <c r="B1338" s="105"/>
      <c r="C1338" s="105"/>
      <c r="D1338" s="149"/>
      <c r="E1338" s="105"/>
      <c r="F1338" s="134"/>
      <c r="G1338" s="134"/>
      <c r="H1338" s="109">
        <f t="shared" si="64"/>
        <v>0</v>
      </c>
      <c r="I1338" s="119"/>
      <c r="J1338" s="119"/>
      <c r="K1338" s="119">
        <f t="shared" si="62"/>
        <v>0</v>
      </c>
      <c r="L1338" s="152">
        <f t="shared" si="63"/>
        <v>0</v>
      </c>
      <c r="M1338" s="113"/>
    </row>
    <row r="1339" spans="1:13" x14ac:dyDescent="0.2">
      <c r="A1339" s="106"/>
      <c r="B1339" s="105"/>
      <c r="C1339" s="105"/>
      <c r="D1339" s="149"/>
      <c r="E1339" s="105"/>
      <c r="F1339" s="134"/>
      <c r="G1339" s="134"/>
      <c r="H1339" s="109">
        <f t="shared" si="64"/>
        <v>0</v>
      </c>
      <c r="I1339" s="119"/>
      <c r="J1339" s="119"/>
      <c r="K1339" s="119">
        <f t="shared" si="62"/>
        <v>0</v>
      </c>
      <c r="L1339" s="152">
        <f t="shared" si="63"/>
        <v>0</v>
      </c>
      <c r="M1339" s="113"/>
    </row>
    <row r="1340" spans="1:13" x14ac:dyDescent="0.2">
      <c r="A1340" s="106"/>
      <c r="B1340" s="105"/>
      <c r="C1340" s="105"/>
      <c r="D1340" s="149"/>
      <c r="E1340" s="105"/>
      <c r="F1340" s="134"/>
      <c r="G1340" s="134"/>
      <c r="H1340" s="109">
        <f t="shared" si="64"/>
        <v>0</v>
      </c>
      <c r="I1340" s="119"/>
      <c r="J1340" s="119"/>
      <c r="K1340" s="119">
        <f t="shared" si="62"/>
        <v>0</v>
      </c>
      <c r="L1340" s="152">
        <f t="shared" si="63"/>
        <v>0</v>
      </c>
      <c r="M1340" s="113"/>
    </row>
    <row r="1341" spans="1:13" x14ac:dyDescent="0.2">
      <c r="A1341" s="106"/>
      <c r="B1341" s="105"/>
      <c r="C1341" s="105"/>
      <c r="D1341" s="149"/>
      <c r="E1341" s="105"/>
      <c r="F1341" s="134"/>
      <c r="G1341" s="134"/>
      <c r="H1341" s="109">
        <f t="shared" si="64"/>
        <v>0</v>
      </c>
      <c r="I1341" s="119"/>
      <c r="J1341" s="119"/>
      <c r="K1341" s="119">
        <f t="shared" si="62"/>
        <v>0</v>
      </c>
      <c r="L1341" s="152">
        <f t="shared" si="63"/>
        <v>0</v>
      </c>
      <c r="M1341" s="113"/>
    </row>
    <row r="1342" spans="1:13" x14ac:dyDescent="0.2">
      <c r="A1342" s="106"/>
      <c r="B1342" s="105"/>
      <c r="C1342" s="105"/>
      <c r="D1342" s="149"/>
      <c r="E1342" s="105"/>
      <c r="F1342" s="134"/>
      <c r="G1342" s="134"/>
      <c r="H1342" s="109">
        <f t="shared" si="64"/>
        <v>0</v>
      </c>
      <c r="I1342" s="119"/>
      <c r="J1342" s="119"/>
      <c r="K1342" s="119">
        <f t="shared" si="62"/>
        <v>0</v>
      </c>
      <c r="L1342" s="152">
        <f t="shared" si="63"/>
        <v>0</v>
      </c>
      <c r="M1342" s="113"/>
    </row>
    <row r="1343" spans="1:13" x14ac:dyDescent="0.2">
      <c r="A1343" s="106"/>
      <c r="B1343" s="105"/>
      <c r="C1343" s="105"/>
      <c r="D1343" s="149"/>
      <c r="E1343" s="105"/>
      <c r="F1343" s="134"/>
      <c r="G1343" s="134"/>
      <c r="H1343" s="109">
        <f t="shared" si="64"/>
        <v>0</v>
      </c>
      <c r="I1343" s="119"/>
      <c r="J1343" s="119"/>
      <c r="K1343" s="119">
        <f t="shared" si="62"/>
        <v>0</v>
      </c>
      <c r="L1343" s="152">
        <f t="shared" si="63"/>
        <v>0</v>
      </c>
      <c r="M1343" s="113"/>
    </row>
    <row r="1344" spans="1:13" x14ac:dyDescent="0.2">
      <c r="A1344" s="106"/>
      <c r="B1344" s="105"/>
      <c r="C1344" s="105"/>
      <c r="D1344" s="149"/>
      <c r="E1344" s="105"/>
      <c r="F1344" s="134"/>
      <c r="G1344" s="134"/>
      <c r="H1344" s="109">
        <f t="shared" si="64"/>
        <v>0</v>
      </c>
      <c r="I1344" s="119"/>
      <c r="J1344" s="119"/>
      <c r="K1344" s="119">
        <f t="shared" si="62"/>
        <v>0</v>
      </c>
      <c r="L1344" s="152">
        <f t="shared" si="63"/>
        <v>0</v>
      </c>
      <c r="M1344" s="113"/>
    </row>
    <row r="1345" spans="1:13" x14ac:dyDescent="0.2">
      <c r="A1345" s="106"/>
      <c r="B1345" s="105"/>
      <c r="C1345" s="105"/>
      <c r="D1345" s="149"/>
      <c r="E1345" s="105"/>
      <c r="F1345" s="134"/>
      <c r="G1345" s="134"/>
      <c r="H1345" s="109">
        <f t="shared" si="64"/>
        <v>0</v>
      </c>
      <c r="I1345" s="119"/>
      <c r="J1345" s="119"/>
      <c r="K1345" s="119">
        <f t="shared" si="62"/>
        <v>0</v>
      </c>
      <c r="L1345" s="152">
        <f t="shared" si="63"/>
        <v>0</v>
      </c>
      <c r="M1345" s="113"/>
    </row>
    <row r="1346" spans="1:13" x14ac:dyDescent="0.2">
      <c r="A1346" s="106"/>
      <c r="B1346" s="105"/>
      <c r="C1346" s="105"/>
      <c r="D1346" s="149"/>
      <c r="E1346" s="105"/>
      <c r="F1346" s="134"/>
      <c r="G1346" s="134"/>
      <c r="H1346" s="109">
        <f t="shared" si="64"/>
        <v>0</v>
      </c>
      <c r="I1346" s="119"/>
      <c r="J1346" s="119"/>
      <c r="K1346" s="119">
        <f t="shared" si="62"/>
        <v>0</v>
      </c>
      <c r="L1346" s="152">
        <f t="shared" si="63"/>
        <v>0</v>
      </c>
      <c r="M1346" s="113"/>
    </row>
    <row r="1347" spans="1:13" x14ac:dyDescent="0.2">
      <c r="A1347" s="106"/>
      <c r="B1347" s="105"/>
      <c r="C1347" s="105"/>
      <c r="D1347" s="149"/>
      <c r="E1347" s="105"/>
      <c r="F1347" s="134"/>
      <c r="G1347" s="134"/>
      <c r="H1347" s="109">
        <f t="shared" si="64"/>
        <v>0</v>
      </c>
      <c r="I1347" s="119"/>
      <c r="J1347" s="119"/>
      <c r="K1347" s="119">
        <f t="shared" si="62"/>
        <v>0</v>
      </c>
      <c r="L1347" s="152">
        <f t="shared" si="63"/>
        <v>0</v>
      </c>
      <c r="M1347" s="113"/>
    </row>
    <row r="1348" spans="1:13" x14ac:dyDescent="0.2">
      <c r="A1348" s="106"/>
      <c r="B1348" s="105"/>
      <c r="C1348" s="105"/>
      <c r="D1348" s="149"/>
      <c r="E1348" s="105"/>
      <c r="F1348" s="134"/>
      <c r="G1348" s="134"/>
      <c r="H1348" s="109">
        <f t="shared" si="64"/>
        <v>0</v>
      </c>
      <c r="I1348" s="119"/>
      <c r="J1348" s="119"/>
      <c r="K1348" s="119">
        <f t="shared" si="62"/>
        <v>0</v>
      </c>
      <c r="L1348" s="152">
        <f t="shared" si="63"/>
        <v>0</v>
      </c>
      <c r="M1348" s="113"/>
    </row>
    <row r="1349" spans="1:13" x14ac:dyDescent="0.2">
      <c r="A1349" s="106"/>
      <c r="B1349" s="105"/>
      <c r="C1349" s="105"/>
      <c r="D1349" s="149"/>
      <c r="E1349" s="105"/>
      <c r="F1349" s="134"/>
      <c r="G1349" s="134"/>
      <c r="H1349" s="109">
        <f t="shared" si="64"/>
        <v>0</v>
      </c>
      <c r="I1349" s="119"/>
      <c r="J1349" s="119"/>
      <c r="K1349" s="119">
        <f t="shared" si="62"/>
        <v>0</v>
      </c>
      <c r="L1349" s="152">
        <f t="shared" si="63"/>
        <v>0</v>
      </c>
      <c r="M1349" s="113"/>
    </row>
    <row r="1350" spans="1:13" x14ac:dyDescent="0.2">
      <c r="A1350" s="106"/>
      <c r="B1350" s="105"/>
      <c r="C1350" s="105"/>
      <c r="D1350" s="149"/>
      <c r="E1350" s="105"/>
      <c r="F1350" s="134"/>
      <c r="G1350" s="134"/>
      <c r="H1350" s="109">
        <f t="shared" si="64"/>
        <v>0</v>
      </c>
      <c r="I1350" s="119"/>
      <c r="J1350" s="119"/>
      <c r="K1350" s="119">
        <f t="shared" si="62"/>
        <v>0</v>
      </c>
      <c r="L1350" s="152">
        <f t="shared" si="63"/>
        <v>0</v>
      </c>
      <c r="M1350" s="113"/>
    </row>
    <row r="1351" spans="1:13" x14ac:dyDescent="0.2">
      <c r="A1351" s="106"/>
      <c r="B1351" s="105"/>
      <c r="C1351" s="105"/>
      <c r="D1351" s="149"/>
      <c r="E1351" s="105"/>
      <c r="F1351" s="134"/>
      <c r="G1351" s="134"/>
      <c r="H1351" s="109">
        <f t="shared" ref="H1351:H1393" si="65">E1351*G1351</f>
        <v>0</v>
      </c>
      <c r="I1351" s="119"/>
      <c r="J1351" s="119"/>
      <c r="K1351" s="119">
        <f t="shared" si="62"/>
        <v>0</v>
      </c>
      <c r="L1351" s="152">
        <f t="shared" si="63"/>
        <v>0</v>
      </c>
      <c r="M1351" s="113"/>
    </row>
    <row r="1352" spans="1:13" x14ac:dyDescent="0.2">
      <c r="A1352" s="106"/>
      <c r="B1352" s="105"/>
      <c r="C1352" s="105"/>
      <c r="D1352" s="149"/>
      <c r="E1352" s="105"/>
      <c r="F1352" s="134"/>
      <c r="G1352" s="134"/>
      <c r="H1352" s="109">
        <f t="shared" si="65"/>
        <v>0</v>
      </c>
      <c r="I1352" s="119"/>
      <c r="J1352" s="119"/>
      <c r="K1352" s="119">
        <f t="shared" ref="K1352:K1388" si="66">H1352+I1352-J1352</f>
        <v>0</v>
      </c>
      <c r="L1352" s="152">
        <f t="shared" ref="L1352:L1393" si="67">E1352*F1352</f>
        <v>0</v>
      </c>
      <c r="M1352" s="113"/>
    </row>
    <row r="1353" spans="1:13" x14ac:dyDescent="0.2">
      <c r="A1353" s="106"/>
      <c r="B1353" s="105"/>
      <c r="C1353" s="105"/>
      <c r="D1353" s="149"/>
      <c r="E1353" s="105"/>
      <c r="F1353" s="134"/>
      <c r="G1353" s="134"/>
      <c r="H1353" s="109">
        <f t="shared" si="65"/>
        <v>0</v>
      </c>
      <c r="I1353" s="119"/>
      <c r="J1353" s="119"/>
      <c r="K1353" s="119">
        <f t="shared" si="66"/>
        <v>0</v>
      </c>
      <c r="L1353" s="152">
        <f t="shared" si="67"/>
        <v>0</v>
      </c>
      <c r="M1353" s="113"/>
    </row>
    <row r="1354" spans="1:13" x14ac:dyDescent="0.2">
      <c r="A1354" s="106"/>
      <c r="B1354" s="105"/>
      <c r="C1354" s="105"/>
      <c r="D1354" s="149"/>
      <c r="E1354" s="105"/>
      <c r="F1354" s="134"/>
      <c r="G1354" s="134"/>
      <c r="H1354" s="109">
        <f t="shared" si="65"/>
        <v>0</v>
      </c>
      <c r="I1354" s="119"/>
      <c r="J1354" s="119"/>
      <c r="K1354" s="119">
        <f t="shared" si="66"/>
        <v>0</v>
      </c>
      <c r="L1354" s="152">
        <f t="shared" si="67"/>
        <v>0</v>
      </c>
      <c r="M1354" s="113"/>
    </row>
    <row r="1355" spans="1:13" x14ac:dyDescent="0.2">
      <c r="A1355" s="106"/>
      <c r="B1355" s="105"/>
      <c r="C1355" s="105"/>
      <c r="D1355" s="149"/>
      <c r="E1355" s="105"/>
      <c r="F1355" s="134"/>
      <c r="G1355" s="134"/>
      <c r="H1355" s="109">
        <f t="shared" si="65"/>
        <v>0</v>
      </c>
      <c r="I1355" s="119"/>
      <c r="J1355" s="119"/>
      <c r="K1355" s="119">
        <f t="shared" si="66"/>
        <v>0</v>
      </c>
      <c r="L1355" s="152">
        <f t="shared" si="67"/>
        <v>0</v>
      </c>
      <c r="M1355" s="113"/>
    </row>
    <row r="1356" spans="1:13" x14ac:dyDescent="0.2">
      <c r="A1356" s="106"/>
      <c r="B1356" s="105"/>
      <c r="C1356" s="105"/>
      <c r="D1356" s="149"/>
      <c r="E1356" s="105"/>
      <c r="F1356" s="134"/>
      <c r="G1356" s="134"/>
      <c r="H1356" s="109">
        <f t="shared" si="65"/>
        <v>0</v>
      </c>
      <c r="I1356" s="119"/>
      <c r="J1356" s="119"/>
      <c r="K1356" s="119">
        <f t="shared" si="66"/>
        <v>0</v>
      </c>
      <c r="L1356" s="152">
        <f t="shared" si="67"/>
        <v>0</v>
      </c>
      <c r="M1356" s="113"/>
    </row>
    <row r="1357" spans="1:13" x14ac:dyDescent="0.2">
      <c r="A1357" s="106"/>
      <c r="B1357" s="105"/>
      <c r="C1357" s="105"/>
      <c r="D1357" s="149"/>
      <c r="E1357" s="105"/>
      <c r="F1357" s="134"/>
      <c r="G1357" s="134"/>
      <c r="H1357" s="109">
        <f t="shared" si="65"/>
        <v>0</v>
      </c>
      <c r="I1357" s="119"/>
      <c r="J1357" s="119"/>
      <c r="K1357" s="119">
        <f t="shared" si="66"/>
        <v>0</v>
      </c>
      <c r="L1357" s="152">
        <f t="shared" si="67"/>
        <v>0</v>
      </c>
      <c r="M1357" s="113"/>
    </row>
    <row r="1358" spans="1:13" x14ac:dyDescent="0.2">
      <c r="A1358" s="106"/>
      <c r="B1358" s="105"/>
      <c r="C1358" s="105"/>
      <c r="D1358" s="149"/>
      <c r="E1358" s="105"/>
      <c r="F1358" s="134"/>
      <c r="G1358" s="134"/>
      <c r="H1358" s="109">
        <f t="shared" si="65"/>
        <v>0</v>
      </c>
      <c r="I1358" s="119"/>
      <c r="J1358" s="119"/>
      <c r="K1358" s="119">
        <f t="shared" si="66"/>
        <v>0</v>
      </c>
      <c r="L1358" s="152">
        <f t="shared" si="67"/>
        <v>0</v>
      </c>
      <c r="M1358" s="113"/>
    </row>
    <row r="1359" spans="1:13" x14ac:dyDescent="0.2">
      <c r="A1359" s="106"/>
      <c r="B1359" s="105"/>
      <c r="C1359" s="105"/>
      <c r="D1359" s="149"/>
      <c r="E1359" s="105"/>
      <c r="F1359" s="134"/>
      <c r="G1359" s="134"/>
      <c r="H1359" s="109">
        <f t="shared" si="65"/>
        <v>0</v>
      </c>
      <c r="I1359" s="119"/>
      <c r="J1359" s="119"/>
      <c r="K1359" s="119">
        <f t="shared" si="66"/>
        <v>0</v>
      </c>
      <c r="L1359" s="152">
        <f t="shared" si="67"/>
        <v>0</v>
      </c>
      <c r="M1359" s="113"/>
    </row>
    <row r="1360" spans="1:13" x14ac:dyDescent="0.2">
      <c r="A1360" s="106"/>
      <c r="B1360" s="105"/>
      <c r="C1360" s="105"/>
      <c r="D1360" s="149"/>
      <c r="E1360" s="105"/>
      <c r="F1360" s="134"/>
      <c r="G1360" s="134"/>
      <c r="H1360" s="109">
        <f t="shared" si="65"/>
        <v>0</v>
      </c>
      <c r="I1360" s="119"/>
      <c r="J1360" s="119"/>
      <c r="K1360" s="119">
        <f t="shared" si="66"/>
        <v>0</v>
      </c>
      <c r="L1360" s="152">
        <f t="shared" si="67"/>
        <v>0</v>
      </c>
      <c r="M1360" s="113"/>
    </row>
    <row r="1361" spans="1:13" x14ac:dyDescent="0.2">
      <c r="A1361" s="106"/>
      <c r="B1361" s="105"/>
      <c r="C1361" s="105"/>
      <c r="D1361" s="149"/>
      <c r="E1361" s="105"/>
      <c r="F1361" s="134"/>
      <c r="G1361" s="134"/>
      <c r="H1361" s="109">
        <f t="shared" si="65"/>
        <v>0</v>
      </c>
      <c r="I1361" s="119"/>
      <c r="J1361" s="119"/>
      <c r="K1361" s="119">
        <f t="shared" si="66"/>
        <v>0</v>
      </c>
      <c r="L1361" s="152">
        <f t="shared" si="67"/>
        <v>0</v>
      </c>
      <c r="M1361" s="113"/>
    </row>
    <row r="1362" spans="1:13" x14ac:dyDescent="0.2">
      <c r="A1362" s="106"/>
      <c r="B1362" s="105"/>
      <c r="C1362" s="105"/>
      <c r="D1362" s="149"/>
      <c r="E1362" s="105"/>
      <c r="F1362" s="134"/>
      <c r="G1362" s="134"/>
      <c r="H1362" s="109">
        <f t="shared" si="65"/>
        <v>0</v>
      </c>
      <c r="I1362" s="119"/>
      <c r="J1362" s="119"/>
      <c r="K1362" s="119">
        <f t="shared" si="66"/>
        <v>0</v>
      </c>
      <c r="L1362" s="152">
        <f t="shared" si="67"/>
        <v>0</v>
      </c>
      <c r="M1362" s="113"/>
    </row>
    <row r="1363" spans="1:13" x14ac:dyDescent="0.2">
      <c r="A1363" s="106"/>
      <c r="B1363" s="105"/>
      <c r="C1363" s="105"/>
      <c r="D1363" s="149"/>
      <c r="E1363" s="105"/>
      <c r="F1363" s="134"/>
      <c r="G1363" s="134"/>
      <c r="H1363" s="109">
        <f t="shared" si="65"/>
        <v>0</v>
      </c>
      <c r="I1363" s="119"/>
      <c r="J1363" s="119"/>
      <c r="K1363" s="119">
        <f t="shared" si="66"/>
        <v>0</v>
      </c>
      <c r="L1363" s="152">
        <f t="shared" si="67"/>
        <v>0</v>
      </c>
      <c r="M1363" s="113"/>
    </row>
    <row r="1364" spans="1:13" x14ac:dyDescent="0.2">
      <c r="A1364" s="106"/>
      <c r="B1364" s="105"/>
      <c r="C1364" s="105"/>
      <c r="D1364" s="149"/>
      <c r="E1364" s="105"/>
      <c r="F1364" s="134"/>
      <c r="G1364" s="134"/>
      <c r="H1364" s="109">
        <f t="shared" si="65"/>
        <v>0</v>
      </c>
      <c r="I1364" s="119"/>
      <c r="J1364" s="119"/>
      <c r="K1364" s="119">
        <f t="shared" si="66"/>
        <v>0</v>
      </c>
      <c r="L1364" s="152">
        <f t="shared" si="67"/>
        <v>0</v>
      </c>
      <c r="M1364" s="113"/>
    </row>
    <row r="1365" spans="1:13" x14ac:dyDescent="0.2">
      <c r="A1365" s="106"/>
      <c r="B1365" s="105"/>
      <c r="C1365" s="105"/>
      <c r="D1365" s="149"/>
      <c r="E1365" s="105"/>
      <c r="F1365" s="134"/>
      <c r="G1365" s="134"/>
      <c r="H1365" s="109">
        <f t="shared" si="65"/>
        <v>0</v>
      </c>
      <c r="I1365" s="119"/>
      <c r="J1365" s="119"/>
      <c r="K1365" s="119">
        <f t="shared" si="66"/>
        <v>0</v>
      </c>
      <c r="L1365" s="152">
        <f t="shared" si="67"/>
        <v>0</v>
      </c>
      <c r="M1365" s="113"/>
    </row>
    <row r="1366" spans="1:13" x14ac:dyDescent="0.2">
      <c r="A1366" s="106"/>
      <c r="B1366" s="105"/>
      <c r="C1366" s="105"/>
      <c r="D1366" s="149"/>
      <c r="E1366" s="105"/>
      <c r="F1366" s="134"/>
      <c r="G1366" s="134"/>
      <c r="H1366" s="109">
        <f t="shared" si="65"/>
        <v>0</v>
      </c>
      <c r="I1366" s="119"/>
      <c r="J1366" s="119"/>
      <c r="K1366" s="119">
        <f t="shared" si="66"/>
        <v>0</v>
      </c>
      <c r="L1366" s="152">
        <f t="shared" si="67"/>
        <v>0</v>
      </c>
      <c r="M1366" s="113"/>
    </row>
    <row r="1367" spans="1:13" x14ac:dyDescent="0.2">
      <c r="A1367" s="106"/>
      <c r="B1367" s="105"/>
      <c r="C1367" s="105"/>
      <c r="D1367" s="149"/>
      <c r="E1367" s="105"/>
      <c r="F1367" s="134"/>
      <c r="G1367" s="134"/>
      <c r="H1367" s="109">
        <f t="shared" si="65"/>
        <v>0</v>
      </c>
      <c r="I1367" s="119"/>
      <c r="J1367" s="119"/>
      <c r="K1367" s="119">
        <f t="shared" si="66"/>
        <v>0</v>
      </c>
      <c r="L1367" s="152">
        <f t="shared" si="67"/>
        <v>0</v>
      </c>
      <c r="M1367" s="113"/>
    </row>
    <row r="1368" spans="1:13" x14ac:dyDescent="0.2">
      <c r="A1368" s="106"/>
      <c r="B1368" s="105"/>
      <c r="C1368" s="105"/>
      <c r="D1368" s="149"/>
      <c r="E1368" s="105"/>
      <c r="F1368" s="134"/>
      <c r="G1368" s="134"/>
      <c r="H1368" s="109">
        <f t="shared" si="65"/>
        <v>0</v>
      </c>
      <c r="I1368" s="119"/>
      <c r="J1368" s="119"/>
      <c r="K1368" s="119">
        <f t="shared" si="66"/>
        <v>0</v>
      </c>
      <c r="L1368" s="152">
        <f t="shared" si="67"/>
        <v>0</v>
      </c>
      <c r="M1368" s="113"/>
    </row>
    <row r="1369" spans="1:13" x14ac:dyDescent="0.2">
      <c r="A1369" s="106"/>
      <c r="B1369" s="105"/>
      <c r="C1369" s="105"/>
      <c r="D1369" s="149"/>
      <c r="E1369" s="105"/>
      <c r="F1369" s="134"/>
      <c r="G1369" s="134"/>
      <c r="H1369" s="109">
        <f t="shared" si="65"/>
        <v>0</v>
      </c>
      <c r="I1369" s="119"/>
      <c r="J1369" s="119"/>
      <c r="K1369" s="119">
        <f t="shared" si="66"/>
        <v>0</v>
      </c>
      <c r="L1369" s="152">
        <f t="shared" si="67"/>
        <v>0</v>
      </c>
      <c r="M1369" s="113"/>
    </row>
    <row r="1370" spans="1:13" x14ac:dyDescent="0.2">
      <c r="A1370" s="106"/>
      <c r="B1370" s="105"/>
      <c r="C1370" s="105"/>
      <c r="D1370" s="149"/>
      <c r="E1370" s="105"/>
      <c r="F1370" s="134"/>
      <c r="G1370" s="134"/>
      <c r="H1370" s="109">
        <f t="shared" si="65"/>
        <v>0</v>
      </c>
      <c r="I1370" s="119"/>
      <c r="J1370" s="119"/>
      <c r="K1370" s="119">
        <f t="shared" si="66"/>
        <v>0</v>
      </c>
      <c r="L1370" s="152">
        <f t="shared" si="67"/>
        <v>0</v>
      </c>
      <c r="M1370" s="113"/>
    </row>
    <row r="1371" spans="1:13" x14ac:dyDescent="0.2">
      <c r="A1371" s="106"/>
      <c r="B1371" s="105"/>
      <c r="C1371" s="105"/>
      <c r="D1371" s="149"/>
      <c r="E1371" s="105"/>
      <c r="F1371" s="134"/>
      <c r="G1371" s="134"/>
      <c r="H1371" s="109">
        <f t="shared" si="65"/>
        <v>0</v>
      </c>
      <c r="I1371" s="119"/>
      <c r="J1371" s="119"/>
      <c r="K1371" s="119">
        <f t="shared" si="66"/>
        <v>0</v>
      </c>
      <c r="L1371" s="152">
        <f t="shared" si="67"/>
        <v>0</v>
      </c>
      <c r="M1371" s="113"/>
    </row>
    <row r="1372" spans="1:13" x14ac:dyDescent="0.2">
      <c r="A1372" s="106"/>
      <c r="B1372" s="105"/>
      <c r="C1372" s="105"/>
      <c r="D1372" s="149"/>
      <c r="E1372" s="105"/>
      <c r="F1372" s="134"/>
      <c r="G1372" s="134"/>
      <c r="H1372" s="109">
        <f t="shared" si="65"/>
        <v>0</v>
      </c>
      <c r="I1372" s="119"/>
      <c r="J1372" s="119"/>
      <c r="K1372" s="119">
        <f t="shared" si="66"/>
        <v>0</v>
      </c>
      <c r="L1372" s="152">
        <f t="shared" si="67"/>
        <v>0</v>
      </c>
      <c r="M1372" s="113"/>
    </row>
    <row r="1373" spans="1:13" x14ac:dyDescent="0.2">
      <c r="A1373" s="106"/>
      <c r="B1373" s="105"/>
      <c r="C1373" s="105"/>
      <c r="D1373" s="149"/>
      <c r="E1373" s="105"/>
      <c r="F1373" s="134"/>
      <c r="G1373" s="134"/>
      <c r="H1373" s="109">
        <f t="shared" si="65"/>
        <v>0</v>
      </c>
      <c r="I1373" s="119"/>
      <c r="J1373" s="119"/>
      <c r="K1373" s="119">
        <f t="shared" si="66"/>
        <v>0</v>
      </c>
      <c r="L1373" s="152">
        <f t="shared" si="67"/>
        <v>0</v>
      </c>
      <c r="M1373" s="113"/>
    </row>
    <row r="1374" spans="1:13" x14ac:dyDescent="0.2">
      <c r="A1374" s="106"/>
      <c r="B1374" s="105"/>
      <c r="C1374" s="105"/>
      <c r="D1374" s="149"/>
      <c r="E1374" s="105"/>
      <c r="F1374" s="134"/>
      <c r="G1374" s="134"/>
      <c r="H1374" s="109">
        <f t="shared" si="65"/>
        <v>0</v>
      </c>
      <c r="I1374" s="119"/>
      <c r="J1374" s="119"/>
      <c r="K1374" s="119">
        <f t="shared" si="66"/>
        <v>0</v>
      </c>
      <c r="L1374" s="152">
        <f t="shared" si="67"/>
        <v>0</v>
      </c>
      <c r="M1374" s="113"/>
    </row>
    <row r="1375" spans="1:13" x14ac:dyDescent="0.2">
      <c r="A1375" s="106"/>
      <c r="B1375" s="105"/>
      <c r="C1375" s="105"/>
      <c r="D1375" s="149"/>
      <c r="E1375" s="105"/>
      <c r="F1375" s="134"/>
      <c r="G1375" s="134"/>
      <c r="H1375" s="109">
        <f t="shared" si="65"/>
        <v>0</v>
      </c>
      <c r="I1375" s="119"/>
      <c r="J1375" s="119"/>
      <c r="K1375" s="119">
        <f t="shared" si="66"/>
        <v>0</v>
      </c>
      <c r="L1375" s="152">
        <f t="shared" si="67"/>
        <v>0</v>
      </c>
      <c r="M1375" s="113"/>
    </row>
    <row r="1376" spans="1:13" x14ac:dyDescent="0.2">
      <c r="A1376" s="106"/>
      <c r="B1376" s="105"/>
      <c r="C1376" s="105"/>
      <c r="D1376" s="149"/>
      <c r="E1376" s="105"/>
      <c r="F1376" s="134"/>
      <c r="G1376" s="134"/>
      <c r="H1376" s="109">
        <f t="shared" si="65"/>
        <v>0</v>
      </c>
      <c r="I1376" s="119"/>
      <c r="J1376" s="119"/>
      <c r="K1376" s="119">
        <f t="shared" si="66"/>
        <v>0</v>
      </c>
      <c r="L1376" s="152">
        <f t="shared" si="67"/>
        <v>0</v>
      </c>
      <c r="M1376" s="113"/>
    </row>
    <row r="1377" spans="1:13" x14ac:dyDescent="0.2">
      <c r="A1377" s="106"/>
      <c r="B1377" s="105"/>
      <c r="C1377" s="105"/>
      <c r="D1377" s="149"/>
      <c r="E1377" s="105"/>
      <c r="F1377" s="134"/>
      <c r="G1377" s="134"/>
      <c r="H1377" s="109">
        <f t="shared" si="65"/>
        <v>0</v>
      </c>
      <c r="I1377" s="119"/>
      <c r="J1377" s="119"/>
      <c r="K1377" s="119">
        <f t="shared" si="66"/>
        <v>0</v>
      </c>
      <c r="L1377" s="152">
        <f t="shared" si="67"/>
        <v>0</v>
      </c>
      <c r="M1377" s="113"/>
    </row>
    <row r="1378" spans="1:13" x14ac:dyDescent="0.2">
      <c r="A1378" s="106"/>
      <c r="B1378" s="105"/>
      <c r="C1378" s="105"/>
      <c r="D1378" s="149"/>
      <c r="E1378" s="105"/>
      <c r="F1378" s="134"/>
      <c r="G1378" s="134"/>
      <c r="H1378" s="109">
        <f t="shared" si="65"/>
        <v>0</v>
      </c>
      <c r="I1378" s="119"/>
      <c r="J1378" s="119"/>
      <c r="K1378" s="119">
        <f t="shared" si="66"/>
        <v>0</v>
      </c>
      <c r="L1378" s="152">
        <f t="shared" si="67"/>
        <v>0</v>
      </c>
      <c r="M1378" s="113"/>
    </row>
    <row r="1379" spans="1:13" x14ac:dyDescent="0.2">
      <c r="A1379" s="106"/>
      <c r="B1379" s="105"/>
      <c r="C1379" s="105"/>
      <c r="D1379" s="149"/>
      <c r="E1379" s="105"/>
      <c r="F1379" s="134"/>
      <c r="G1379" s="134"/>
      <c r="H1379" s="109">
        <f t="shared" si="65"/>
        <v>0</v>
      </c>
      <c r="I1379" s="119"/>
      <c r="J1379" s="119"/>
      <c r="K1379" s="119">
        <f t="shared" si="66"/>
        <v>0</v>
      </c>
      <c r="L1379" s="152">
        <f t="shared" si="67"/>
        <v>0</v>
      </c>
      <c r="M1379" s="113"/>
    </row>
    <row r="1380" spans="1:13" x14ac:dyDescent="0.2">
      <c r="A1380" s="106"/>
      <c r="B1380" s="105"/>
      <c r="C1380" s="105"/>
      <c r="D1380" s="149"/>
      <c r="E1380" s="105"/>
      <c r="F1380" s="134"/>
      <c r="G1380" s="134"/>
      <c r="H1380" s="109">
        <f t="shared" si="65"/>
        <v>0</v>
      </c>
      <c r="I1380" s="119"/>
      <c r="J1380" s="119"/>
      <c r="K1380" s="119">
        <f t="shared" si="66"/>
        <v>0</v>
      </c>
      <c r="L1380" s="152">
        <f t="shared" si="67"/>
        <v>0</v>
      </c>
      <c r="M1380" s="113"/>
    </row>
    <row r="1381" spans="1:13" x14ac:dyDescent="0.2">
      <c r="A1381" s="106"/>
      <c r="B1381" s="105"/>
      <c r="C1381" s="105"/>
      <c r="D1381" s="149"/>
      <c r="E1381" s="105"/>
      <c r="F1381" s="134"/>
      <c r="G1381" s="134"/>
      <c r="H1381" s="109">
        <f t="shared" si="65"/>
        <v>0</v>
      </c>
      <c r="I1381" s="119"/>
      <c r="J1381" s="119"/>
      <c r="K1381" s="119">
        <f t="shared" si="66"/>
        <v>0</v>
      </c>
      <c r="L1381" s="152">
        <f t="shared" si="67"/>
        <v>0</v>
      </c>
      <c r="M1381" s="113"/>
    </row>
    <row r="1382" spans="1:13" x14ac:dyDescent="0.2">
      <c r="A1382" s="106"/>
      <c r="B1382" s="105"/>
      <c r="C1382" s="105"/>
      <c r="D1382" s="149"/>
      <c r="E1382" s="105"/>
      <c r="F1382" s="134"/>
      <c r="G1382" s="134"/>
      <c r="H1382" s="109">
        <f t="shared" si="65"/>
        <v>0</v>
      </c>
      <c r="I1382" s="119"/>
      <c r="J1382" s="119"/>
      <c r="K1382" s="119">
        <f t="shared" si="66"/>
        <v>0</v>
      </c>
      <c r="L1382" s="152">
        <f t="shared" si="67"/>
        <v>0</v>
      </c>
      <c r="M1382" s="113"/>
    </row>
    <row r="1383" spans="1:13" x14ac:dyDescent="0.2">
      <c r="A1383" s="106"/>
      <c r="B1383" s="105"/>
      <c r="C1383" s="105"/>
      <c r="D1383" s="149"/>
      <c r="E1383" s="105"/>
      <c r="F1383" s="134"/>
      <c r="G1383" s="134"/>
      <c r="H1383" s="109">
        <f t="shared" si="65"/>
        <v>0</v>
      </c>
      <c r="I1383" s="119"/>
      <c r="J1383" s="119"/>
      <c r="K1383" s="119">
        <f t="shared" si="66"/>
        <v>0</v>
      </c>
      <c r="L1383" s="152">
        <f t="shared" si="67"/>
        <v>0</v>
      </c>
      <c r="M1383" s="113"/>
    </row>
    <row r="1384" spans="1:13" x14ac:dyDescent="0.2">
      <c r="A1384" s="106"/>
      <c r="B1384" s="105"/>
      <c r="C1384" s="105"/>
      <c r="D1384" s="149"/>
      <c r="E1384" s="105"/>
      <c r="F1384" s="134"/>
      <c r="G1384" s="134"/>
      <c r="H1384" s="109">
        <f t="shared" si="65"/>
        <v>0</v>
      </c>
      <c r="I1384" s="119"/>
      <c r="J1384" s="119"/>
      <c r="K1384" s="119">
        <f t="shared" si="66"/>
        <v>0</v>
      </c>
      <c r="L1384" s="152">
        <f t="shared" si="67"/>
        <v>0</v>
      </c>
      <c r="M1384" s="113"/>
    </row>
    <row r="1385" spans="1:13" x14ac:dyDescent="0.2">
      <c r="A1385" s="106"/>
      <c r="B1385" s="105"/>
      <c r="C1385" s="105"/>
      <c r="D1385" s="149"/>
      <c r="E1385" s="105"/>
      <c r="F1385" s="134"/>
      <c r="G1385" s="134"/>
      <c r="H1385" s="109">
        <f t="shared" si="65"/>
        <v>0</v>
      </c>
      <c r="I1385" s="119"/>
      <c r="J1385" s="119"/>
      <c r="K1385" s="119">
        <f t="shared" si="66"/>
        <v>0</v>
      </c>
      <c r="L1385" s="152">
        <f t="shared" si="67"/>
        <v>0</v>
      </c>
      <c r="M1385" s="113"/>
    </row>
    <row r="1386" spans="1:13" x14ac:dyDescent="0.2">
      <c r="A1386" s="106"/>
      <c r="B1386" s="105"/>
      <c r="C1386" s="105"/>
      <c r="D1386" s="149"/>
      <c r="E1386" s="105"/>
      <c r="F1386" s="134"/>
      <c r="G1386" s="134"/>
      <c r="H1386" s="109">
        <f t="shared" si="65"/>
        <v>0</v>
      </c>
      <c r="I1386" s="119"/>
      <c r="J1386" s="119"/>
      <c r="K1386" s="119">
        <f t="shared" si="66"/>
        <v>0</v>
      </c>
      <c r="L1386" s="152">
        <f t="shared" si="67"/>
        <v>0</v>
      </c>
      <c r="M1386" s="113"/>
    </row>
    <row r="1387" spans="1:13" x14ac:dyDescent="0.2">
      <c r="A1387" s="106"/>
      <c r="B1387" s="105"/>
      <c r="C1387" s="105"/>
      <c r="D1387" s="149"/>
      <c r="E1387" s="105"/>
      <c r="F1387" s="134"/>
      <c r="G1387" s="134"/>
      <c r="H1387" s="109">
        <f t="shared" si="65"/>
        <v>0</v>
      </c>
      <c r="I1387" s="119"/>
      <c r="J1387" s="119"/>
      <c r="K1387" s="119">
        <f t="shared" si="66"/>
        <v>0</v>
      </c>
      <c r="L1387" s="152">
        <f t="shared" si="67"/>
        <v>0</v>
      </c>
      <c r="M1387" s="113"/>
    </row>
    <row r="1388" spans="1:13" x14ac:dyDescent="0.2">
      <c r="A1388" s="106"/>
      <c r="B1388" s="105"/>
      <c r="C1388" s="105"/>
      <c r="D1388" s="149"/>
      <c r="E1388" s="105"/>
      <c r="F1388" s="134"/>
      <c r="G1388" s="134"/>
      <c r="H1388" s="109">
        <f t="shared" si="65"/>
        <v>0</v>
      </c>
      <c r="I1388" s="119"/>
      <c r="J1388" s="119"/>
      <c r="K1388" s="119">
        <f t="shared" si="66"/>
        <v>0</v>
      </c>
      <c r="L1388" s="152">
        <f t="shared" si="67"/>
        <v>0</v>
      </c>
      <c r="M1388" s="113"/>
    </row>
    <row r="1389" spans="1:13" x14ac:dyDescent="0.2">
      <c r="A1389" s="106"/>
      <c r="B1389" s="105"/>
      <c r="C1389" s="105"/>
      <c r="D1389" s="149"/>
      <c r="E1389" s="105"/>
      <c r="F1389" s="136"/>
      <c r="G1389" s="136"/>
      <c r="H1389" s="109">
        <f t="shared" si="65"/>
        <v>0</v>
      </c>
      <c r="I1389" s="119"/>
      <c r="J1389" s="119"/>
      <c r="K1389" s="119">
        <f t="shared" ref="K1389:K1393" si="68">H1389+I1389-J1389</f>
        <v>0</v>
      </c>
      <c r="L1389" s="152">
        <f t="shared" si="67"/>
        <v>0</v>
      </c>
      <c r="M1389" s="113"/>
    </row>
    <row r="1390" spans="1:13" x14ac:dyDescent="0.2">
      <c r="A1390" s="106"/>
      <c r="B1390" s="105"/>
      <c r="C1390" s="105"/>
      <c r="D1390" s="149"/>
      <c r="E1390" s="105"/>
      <c r="F1390" s="136"/>
      <c r="G1390" s="136"/>
      <c r="H1390" s="109">
        <f t="shared" si="65"/>
        <v>0</v>
      </c>
      <c r="I1390" s="119"/>
      <c r="J1390" s="119"/>
      <c r="K1390" s="119">
        <f t="shared" si="68"/>
        <v>0</v>
      </c>
      <c r="L1390" s="152">
        <f t="shared" si="67"/>
        <v>0</v>
      </c>
      <c r="M1390" s="113"/>
    </row>
    <row r="1391" spans="1:13" x14ac:dyDescent="0.2">
      <c r="A1391" s="106"/>
      <c r="B1391" s="105"/>
      <c r="C1391" s="105"/>
      <c r="D1391" s="149"/>
      <c r="E1391" s="105"/>
      <c r="F1391" s="136"/>
      <c r="G1391" s="136"/>
      <c r="H1391" s="109">
        <f t="shared" si="65"/>
        <v>0</v>
      </c>
      <c r="I1391" s="119"/>
      <c r="J1391" s="119"/>
      <c r="K1391" s="119">
        <f t="shared" si="68"/>
        <v>0</v>
      </c>
      <c r="L1391" s="152">
        <f t="shared" si="67"/>
        <v>0</v>
      </c>
      <c r="M1391" s="113"/>
    </row>
    <row r="1392" spans="1:13" x14ac:dyDescent="0.2">
      <c r="A1392" s="106"/>
      <c r="B1392" s="105"/>
      <c r="C1392" s="105"/>
      <c r="D1392" s="149"/>
      <c r="E1392" s="105"/>
      <c r="F1392" s="136"/>
      <c r="G1392" s="136"/>
      <c r="H1392" s="109">
        <f t="shared" si="65"/>
        <v>0</v>
      </c>
      <c r="I1392" s="119"/>
      <c r="J1392" s="119"/>
      <c r="K1392" s="119">
        <f t="shared" si="68"/>
        <v>0</v>
      </c>
      <c r="L1392" s="152">
        <f t="shared" si="67"/>
        <v>0</v>
      </c>
      <c r="M1392" s="113"/>
    </row>
    <row r="1393" spans="1:14" x14ac:dyDescent="0.2">
      <c r="A1393" s="106"/>
      <c r="B1393" s="105"/>
      <c r="C1393" s="105"/>
      <c r="D1393" s="149"/>
      <c r="E1393" s="105"/>
      <c r="F1393" s="136"/>
      <c r="G1393" s="136"/>
      <c r="H1393" s="109">
        <f t="shared" si="65"/>
        <v>0</v>
      </c>
      <c r="I1393" s="119"/>
      <c r="J1393" s="119"/>
      <c r="K1393" s="119">
        <f t="shared" si="68"/>
        <v>0</v>
      </c>
      <c r="L1393" s="152">
        <f t="shared" si="67"/>
        <v>0</v>
      </c>
      <c r="M1393" s="113"/>
    </row>
    <row r="1394" spans="1:14" s="217" customFormat="1" ht="13.5" thickBot="1" x14ac:dyDescent="0.25">
      <c r="A1394" s="263" t="s">
        <v>0</v>
      </c>
      <c r="B1394" s="264"/>
      <c r="C1394" s="264"/>
      <c r="D1394" s="265"/>
      <c r="E1394" s="164">
        <f>SUM(E6:E1393)</f>
        <v>3695</v>
      </c>
      <c r="F1394" s="164">
        <f t="shared" ref="F1394:J1394" si="69">SUM(F6:F1393)</f>
        <v>157062.14000000016</v>
      </c>
      <c r="G1394" s="164">
        <f t="shared" si="69"/>
        <v>174398.18999999997</v>
      </c>
      <c r="H1394" s="164">
        <f t="shared" si="69"/>
        <v>129694.28000000001</v>
      </c>
      <c r="I1394" s="164">
        <f t="shared" si="69"/>
        <v>121668.18000000001</v>
      </c>
      <c r="J1394" s="164">
        <f t="shared" si="69"/>
        <v>1156.77</v>
      </c>
      <c r="K1394" s="239">
        <f>SUM(K6:K1393)</f>
        <v>250205.69</v>
      </c>
      <c r="L1394" s="164">
        <f>SUM(L6:L1393)</f>
        <v>220624.03000000012</v>
      </c>
      <c r="M1394" s="235"/>
    </row>
    <row r="1395" spans="1:14" x14ac:dyDescent="0.2">
      <c r="G1395" s="167"/>
      <c r="H1395" s="167"/>
      <c r="I1395" s="167"/>
      <c r="J1395" s="167"/>
      <c r="K1395" s="233" t="s">
        <v>16</v>
      </c>
      <c r="L1395" s="119">
        <v>116934.26</v>
      </c>
      <c r="M1395" s="168">
        <v>46262</v>
      </c>
    </row>
    <row r="1396" spans="1:14" x14ac:dyDescent="0.2">
      <c r="D1396" s="219"/>
      <c r="E1396" s="220"/>
      <c r="F1396" s="221"/>
      <c r="G1396" s="167"/>
      <c r="H1396" s="222"/>
      <c r="I1396" s="222"/>
      <c r="J1396" s="167"/>
      <c r="K1396" s="234" t="s">
        <v>1704</v>
      </c>
      <c r="L1396" s="108">
        <v>133280.18</v>
      </c>
      <c r="M1396" s="168"/>
    </row>
    <row r="1397" spans="1:14" x14ac:dyDescent="0.2">
      <c r="D1397" s="219"/>
      <c r="E1397" s="220"/>
      <c r="F1397" s="222"/>
      <c r="G1397" s="167"/>
      <c r="H1397" s="222"/>
      <c r="I1397" s="167"/>
      <c r="J1397" s="167"/>
      <c r="K1397" s="234" t="s">
        <v>0</v>
      </c>
      <c r="L1397" s="232">
        <f>SUM(L1395:L1396)</f>
        <v>250214.44</v>
      </c>
      <c r="M1397" s="204"/>
    </row>
    <row r="1398" spans="1:14" x14ac:dyDescent="0.2">
      <c r="D1398" s="219"/>
      <c r="E1398" s="220"/>
      <c r="F1398" s="222"/>
      <c r="G1398" s="167"/>
      <c r="H1398" s="222"/>
      <c r="I1398" s="167"/>
      <c r="J1398" s="167"/>
      <c r="K1398" s="234"/>
      <c r="L1398" s="108">
        <f>K1394-L1397</f>
        <v>-8.75</v>
      </c>
      <c r="M1398" s="270" t="s">
        <v>6823</v>
      </c>
      <c r="N1398" s="271"/>
    </row>
    <row r="1399" spans="1:14" x14ac:dyDescent="0.2">
      <c r="A1399" s="223"/>
      <c r="C1399" s="224"/>
      <c r="D1399" s="225"/>
      <c r="E1399" s="224"/>
      <c r="F1399" s="224"/>
      <c r="G1399" s="167"/>
      <c r="H1399" s="167"/>
      <c r="I1399" s="224"/>
      <c r="J1399" s="224"/>
      <c r="K1399" s="224"/>
      <c r="L1399" s="204"/>
      <c r="M1399" s="217"/>
    </row>
    <row r="1400" spans="1:14" x14ac:dyDescent="0.2">
      <c r="D1400" s="219"/>
      <c r="E1400" s="220"/>
      <c r="F1400" s="221"/>
      <c r="G1400" s="226"/>
      <c r="H1400" s="222"/>
      <c r="I1400" s="167"/>
      <c r="J1400" s="167"/>
      <c r="K1400" s="167"/>
      <c r="L1400" s="204"/>
    </row>
    <row r="1401" spans="1:14" x14ac:dyDescent="0.2">
      <c r="D1401" s="219"/>
      <c r="E1401" s="220"/>
      <c r="F1401" s="222"/>
      <c r="G1401" s="222"/>
      <c r="H1401" s="222" t="s">
        <v>4875</v>
      </c>
      <c r="I1401" s="167"/>
      <c r="J1401" s="167"/>
      <c r="K1401" s="167"/>
    </row>
    <row r="1402" spans="1:14" s="139" customFormat="1" x14ac:dyDescent="0.2">
      <c r="A1402" s="218"/>
      <c r="D1402" s="219"/>
      <c r="E1402" s="220"/>
      <c r="F1402" s="221"/>
      <c r="G1402" s="222"/>
      <c r="H1402" s="222"/>
      <c r="I1402" s="167"/>
      <c r="J1402" s="167"/>
      <c r="K1402" s="167"/>
    </row>
    <row r="1403" spans="1:14" s="139" customFormat="1" x14ac:dyDescent="0.2">
      <c r="A1403" s="218"/>
      <c r="D1403" s="227"/>
      <c r="E1403" s="220"/>
      <c r="F1403" s="221"/>
      <c r="G1403" s="226"/>
      <c r="H1403" s="222"/>
      <c r="I1403" s="167"/>
      <c r="J1403" s="167"/>
      <c r="K1403" s="167"/>
    </row>
    <row r="1404" spans="1:14" s="139" customFormat="1" x14ac:dyDescent="0.2">
      <c r="A1404" s="218"/>
      <c r="D1404" s="219"/>
      <c r="E1404" s="220"/>
      <c r="F1404" s="221"/>
      <c r="G1404" s="226"/>
      <c r="H1404" s="222"/>
      <c r="I1404" s="167"/>
      <c r="J1404" s="167"/>
      <c r="K1404" s="167"/>
    </row>
    <row r="1405" spans="1:14" s="139" customFormat="1" x14ac:dyDescent="0.2">
      <c r="A1405" s="218"/>
      <c r="D1405" s="219"/>
      <c r="E1405" s="220"/>
      <c r="F1405" s="221"/>
      <c r="G1405" s="226"/>
      <c r="H1405" s="222"/>
      <c r="I1405" s="167"/>
      <c r="J1405" s="167"/>
      <c r="K1405" s="167"/>
    </row>
    <row r="1406" spans="1:14" s="139" customFormat="1" x14ac:dyDescent="0.2">
      <c r="A1406" s="218"/>
      <c r="D1406" s="219"/>
      <c r="E1406" s="220"/>
      <c r="F1406" s="222"/>
      <c r="G1406" s="222"/>
      <c r="H1406" s="222"/>
      <c r="I1406" s="167"/>
      <c r="J1406" s="167"/>
      <c r="K1406" s="167"/>
    </row>
    <row r="1407" spans="1:14" s="139" customFormat="1" x14ac:dyDescent="0.2">
      <c r="A1407" s="218"/>
      <c r="D1407" s="219"/>
      <c r="E1407" s="220"/>
      <c r="F1407" s="222"/>
      <c r="G1407" s="222"/>
      <c r="H1407" s="222"/>
      <c r="I1407" s="167"/>
      <c r="J1407" s="167"/>
      <c r="K1407" s="167"/>
    </row>
    <row r="1408" spans="1:14" s="139" customFormat="1" x14ac:dyDescent="0.2">
      <c r="A1408" s="218"/>
      <c r="D1408" s="219"/>
      <c r="E1408" s="220"/>
      <c r="F1408" s="221"/>
      <c r="G1408" s="226"/>
      <c r="H1408" s="222"/>
      <c r="I1408" s="167"/>
      <c r="J1408" s="167"/>
      <c r="K1408" s="167"/>
    </row>
    <row r="1409" spans="1:11" s="139" customFormat="1" x14ac:dyDescent="0.2">
      <c r="A1409" s="218"/>
      <c r="D1409" s="219"/>
      <c r="E1409" s="220"/>
      <c r="F1409" s="221"/>
      <c r="G1409" s="226"/>
      <c r="H1409" s="222"/>
      <c r="I1409" s="167"/>
      <c r="J1409" s="167"/>
      <c r="K1409" s="167"/>
    </row>
  </sheetData>
  <autoFilter ref="A5:M1398" xr:uid="{152C832E-3476-4B5D-BA78-998D25A4BCF3}"/>
  <mergeCells count="2">
    <mergeCell ref="A1394:D1394"/>
    <mergeCell ref="M1398:N1398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1348-7AA0-46EC-AD3B-9246C63D26CC}">
  <sheetPr>
    <tabColor rgb="FF8DFB43"/>
    <pageSetUpPr fitToPage="1"/>
  </sheetPr>
  <dimension ref="A1:J19"/>
  <sheetViews>
    <sheetView view="pageBreakPreview" zoomScaleNormal="100" zoomScaleSheetLayoutView="100" workbookViewId="0">
      <selection activeCell="F15" sqref="F15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66" t="s">
        <v>3949</v>
      </c>
      <c r="B1" s="266"/>
      <c r="C1" s="266"/>
    </row>
    <row r="2" spans="1:10" x14ac:dyDescent="0.2">
      <c r="A2" s="202" t="s">
        <v>6283</v>
      </c>
      <c r="H2" s="267" t="s">
        <v>3950</v>
      </c>
      <c r="I2" s="267"/>
      <c r="J2" s="268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68"/>
    </row>
    <row r="4" spans="1:10" ht="18.75" x14ac:dyDescent="0.3">
      <c r="B4" s="175">
        <v>888123456781555</v>
      </c>
      <c r="C4" s="176" t="s">
        <v>3100</v>
      </c>
      <c r="D4" s="177">
        <v>11</v>
      </c>
      <c r="E4" s="178" t="s">
        <v>3956</v>
      </c>
      <c r="F4" s="179">
        <v>31.5</v>
      </c>
      <c r="G4" s="180">
        <v>37</v>
      </c>
      <c r="H4" s="181"/>
      <c r="I4" s="181">
        <f>G4*H4</f>
        <v>0</v>
      </c>
      <c r="J4" s="182">
        <f>D4-H4</f>
        <v>11</v>
      </c>
    </row>
    <row r="5" spans="1:10" s="183" customFormat="1" ht="18.75" x14ac:dyDescent="0.3">
      <c r="B5" s="175">
        <v>750515018501</v>
      </c>
      <c r="C5" s="176" t="s">
        <v>1844</v>
      </c>
      <c r="D5" s="177">
        <v>2</v>
      </c>
      <c r="E5" s="178" t="s">
        <v>3956</v>
      </c>
      <c r="F5" s="184">
        <v>57.95</v>
      </c>
      <c r="G5" s="185">
        <v>73.25</v>
      </c>
      <c r="H5" s="186">
        <v>1</v>
      </c>
      <c r="I5" s="186">
        <f t="shared" ref="I5:I9" si="0">G5*H5</f>
        <v>73.25</v>
      </c>
      <c r="J5" s="187">
        <f t="shared" ref="J5:J9" si="1">D5-H5</f>
        <v>1</v>
      </c>
    </row>
    <row r="6" spans="1:10" s="183" customFormat="1" ht="18.75" x14ac:dyDescent="0.3">
      <c r="B6" s="175">
        <v>4800361390804</v>
      </c>
      <c r="C6" s="176" t="s">
        <v>2187</v>
      </c>
      <c r="D6" s="177">
        <v>9</v>
      </c>
      <c r="E6" s="178" t="s">
        <v>3956</v>
      </c>
      <c r="F6" s="184">
        <v>44.78</v>
      </c>
      <c r="G6" s="185">
        <v>59.5</v>
      </c>
      <c r="H6" s="186">
        <v>2</v>
      </c>
      <c r="I6" s="186">
        <f t="shared" si="0"/>
        <v>119</v>
      </c>
      <c r="J6" s="187">
        <f t="shared" si="1"/>
        <v>7</v>
      </c>
    </row>
    <row r="7" spans="1:10" s="183" customFormat="1" ht="18.75" x14ac:dyDescent="0.3">
      <c r="B7" s="175">
        <v>4800361393645</v>
      </c>
      <c r="C7" s="176" t="s">
        <v>1779</v>
      </c>
      <c r="D7" s="177">
        <v>5</v>
      </c>
      <c r="E7" s="178" t="s">
        <v>3956</v>
      </c>
      <c r="F7" s="184">
        <v>50.43</v>
      </c>
      <c r="G7" s="185">
        <v>58</v>
      </c>
      <c r="H7" s="186"/>
      <c r="I7" s="186">
        <f t="shared" si="0"/>
        <v>0</v>
      </c>
      <c r="J7" s="187">
        <f t="shared" si="1"/>
        <v>5</v>
      </c>
    </row>
    <row r="8" spans="1:10" s="183" customFormat="1" ht="18.75" x14ac:dyDescent="0.3">
      <c r="B8" s="175">
        <v>4800154013057</v>
      </c>
      <c r="C8" s="176" t="s">
        <v>3957</v>
      </c>
      <c r="D8" s="177">
        <v>27</v>
      </c>
      <c r="E8" s="178" t="s">
        <v>3956</v>
      </c>
      <c r="F8" s="184">
        <v>32.1</v>
      </c>
      <c r="G8" s="185">
        <v>38.25</v>
      </c>
      <c r="H8" s="186"/>
      <c r="I8" s="186">
        <f t="shared" si="0"/>
        <v>0</v>
      </c>
      <c r="J8" s="187">
        <f t="shared" si="1"/>
        <v>27</v>
      </c>
    </row>
    <row r="9" spans="1:10" s="183" customFormat="1" ht="19.5" thickBot="1" x14ac:dyDescent="0.35">
      <c r="B9" s="188" t="s">
        <v>3958</v>
      </c>
      <c r="C9" s="176" t="s">
        <v>3959</v>
      </c>
      <c r="D9" s="189">
        <v>14</v>
      </c>
      <c r="E9" s="178" t="s">
        <v>3956</v>
      </c>
      <c r="F9" s="184">
        <v>6</v>
      </c>
      <c r="G9" s="185">
        <v>20</v>
      </c>
      <c r="H9" s="190"/>
      <c r="I9" s="190">
        <f t="shared" si="0"/>
        <v>0</v>
      </c>
      <c r="J9" s="191">
        <f t="shared" si="1"/>
        <v>14</v>
      </c>
    </row>
    <row r="10" spans="1:10" ht="13.5" thickBot="1" x14ac:dyDescent="0.25">
      <c r="D10" s="192">
        <f>SUM(D4:D9)</f>
        <v>68</v>
      </c>
      <c r="H10" s="193" t="s">
        <v>0</v>
      </c>
      <c r="I10" s="194">
        <f>SUM(I4:I9)</f>
        <v>192.25</v>
      </c>
      <c r="J10" s="195">
        <f>SUM(J4:J9)</f>
        <v>65</v>
      </c>
    </row>
    <row r="12" spans="1:10" x14ac:dyDescent="0.2">
      <c r="B12" s="196" t="s">
        <v>3960</v>
      </c>
    </row>
    <row r="13" spans="1:10" x14ac:dyDescent="0.2">
      <c r="B13" s="197">
        <v>46262</v>
      </c>
      <c r="C13" s="269" t="s">
        <v>6282</v>
      </c>
      <c r="D13" s="269"/>
      <c r="E13" s="269"/>
      <c r="F13" s="172" t="s">
        <v>3962</v>
      </c>
      <c r="G13" s="172" t="s">
        <v>3963</v>
      </c>
    </row>
    <row r="14" spans="1:10" x14ac:dyDescent="0.2">
      <c r="B14" s="197"/>
      <c r="C14" s="198"/>
      <c r="F14" s="172"/>
      <c r="G14" s="172"/>
    </row>
    <row r="15" spans="1:10" ht="15" x14ac:dyDescent="0.25">
      <c r="B15" s="199"/>
      <c r="C15" s="198" t="s">
        <v>17</v>
      </c>
      <c r="F15" s="91">
        <f>I10</f>
        <v>192.25</v>
      </c>
      <c r="G15" s="91"/>
    </row>
    <row r="16" spans="1:10" x14ac:dyDescent="0.2">
      <c r="B16" s="200"/>
      <c r="C16" s="198" t="s">
        <v>3964</v>
      </c>
      <c r="F16" s="91"/>
      <c r="G16" s="91">
        <f>I10</f>
        <v>192.25</v>
      </c>
    </row>
    <row r="18" spans="2:3" x14ac:dyDescent="0.2">
      <c r="B18" s="201"/>
      <c r="C18" s="198"/>
    </row>
    <row r="19" spans="2:3" x14ac:dyDescent="0.2">
      <c r="C19" s="198"/>
    </row>
  </sheetData>
  <mergeCells count="4">
    <mergeCell ref="A1:C1"/>
    <mergeCell ref="H2:I2"/>
    <mergeCell ref="J2:J3"/>
    <mergeCell ref="C13:E13"/>
  </mergeCells>
  <pageMargins left="0.7" right="0.7" top="0.75" bottom="0.75" header="0.3" footer="0.3"/>
  <pageSetup scale="67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83"/>
  <sheetViews>
    <sheetView topLeftCell="A70" workbookViewId="0">
      <selection activeCell="L8" sqref="L8"/>
    </sheetView>
  </sheetViews>
  <sheetFormatPr defaultRowHeight="12.75" x14ac:dyDescent="0.2"/>
  <cols>
    <col min="2" max="2" width="10.5703125" style="91" bestFit="1" customWidth="1"/>
    <col min="3" max="3" width="4" customWidth="1"/>
    <col min="5" max="5" width="11.5703125" style="91" bestFit="1" customWidth="1"/>
    <col min="7" max="7" width="11.28515625" bestFit="1" customWidth="1"/>
    <col min="9" max="9" width="11.5703125" customWidth="1"/>
  </cols>
  <sheetData>
    <row r="1" spans="1:9" x14ac:dyDescent="0.2">
      <c r="A1" t="s">
        <v>1245</v>
      </c>
      <c r="B1" s="91" t="s">
        <v>17</v>
      </c>
      <c r="D1" t="s">
        <v>1245</v>
      </c>
      <c r="E1" s="91" t="s">
        <v>17</v>
      </c>
      <c r="G1" s="91" t="s">
        <v>1246</v>
      </c>
    </row>
    <row r="2" spans="1:9" x14ac:dyDescent="0.2">
      <c r="A2" t="s">
        <v>33</v>
      </c>
      <c r="B2" s="91">
        <v>3000</v>
      </c>
      <c r="D2" t="s">
        <v>1134</v>
      </c>
      <c r="E2" s="91">
        <v>36009</v>
      </c>
      <c r="G2" s="91">
        <v>36009</v>
      </c>
      <c r="I2" s="92">
        <f>E2-G2</f>
        <v>0</v>
      </c>
    </row>
    <row r="3" spans="1:9" x14ac:dyDescent="0.2">
      <c r="A3" t="s">
        <v>33</v>
      </c>
      <c r="B3" s="91">
        <v>810</v>
      </c>
      <c r="G3" s="96">
        <v>27086.07</v>
      </c>
      <c r="I3" s="92">
        <f t="shared" ref="I3:I66" si="0">E3-G3</f>
        <v>-27086.07</v>
      </c>
    </row>
    <row r="4" spans="1:9" x14ac:dyDescent="0.2">
      <c r="A4" t="s">
        <v>33</v>
      </c>
      <c r="B4" s="91">
        <v>795</v>
      </c>
      <c r="D4" t="s">
        <v>1178</v>
      </c>
      <c r="E4" s="91">
        <v>24563.48</v>
      </c>
      <c r="G4" s="91">
        <v>24402.58</v>
      </c>
      <c r="I4" s="92">
        <f t="shared" si="0"/>
        <v>160.89999999999782</v>
      </c>
    </row>
    <row r="5" spans="1:9" x14ac:dyDescent="0.2">
      <c r="A5" t="s">
        <v>33</v>
      </c>
      <c r="B5" s="91">
        <v>315</v>
      </c>
      <c r="G5" s="91">
        <v>23174.71</v>
      </c>
      <c r="I5" s="92">
        <f t="shared" si="0"/>
        <v>-23174.71</v>
      </c>
    </row>
    <row r="6" spans="1:9" x14ac:dyDescent="0.2">
      <c r="A6" t="s">
        <v>34</v>
      </c>
      <c r="B6" s="91">
        <v>810</v>
      </c>
      <c r="D6" t="s">
        <v>731</v>
      </c>
      <c r="E6" s="91">
        <v>19000</v>
      </c>
      <c r="G6" s="91">
        <v>19000</v>
      </c>
      <c r="I6" s="92">
        <f t="shared" si="0"/>
        <v>0</v>
      </c>
    </row>
    <row r="7" spans="1:9" x14ac:dyDescent="0.2">
      <c r="A7" t="s">
        <v>34</v>
      </c>
      <c r="B7" s="91">
        <v>399</v>
      </c>
      <c r="D7" t="s">
        <v>1003</v>
      </c>
      <c r="E7" s="91">
        <v>19000</v>
      </c>
      <c r="G7" s="91">
        <v>19000</v>
      </c>
      <c r="I7" s="92">
        <f t="shared" si="0"/>
        <v>0</v>
      </c>
    </row>
    <row r="8" spans="1:9" x14ac:dyDescent="0.2">
      <c r="A8" t="s">
        <v>34</v>
      </c>
      <c r="B8" s="91">
        <v>432</v>
      </c>
      <c r="D8" s="95" t="s">
        <v>1186</v>
      </c>
      <c r="E8" s="93">
        <v>19000</v>
      </c>
      <c r="G8" s="91">
        <v>19000</v>
      </c>
      <c r="I8" s="92">
        <f t="shared" si="0"/>
        <v>0</v>
      </c>
    </row>
    <row r="9" spans="1:9" x14ac:dyDescent="0.2">
      <c r="A9" t="s">
        <v>34</v>
      </c>
      <c r="B9" s="91">
        <v>300</v>
      </c>
      <c r="G9" s="91">
        <v>15887.08</v>
      </c>
      <c r="I9" s="92">
        <f t="shared" si="0"/>
        <v>-15887.08</v>
      </c>
    </row>
    <row r="10" spans="1:9" x14ac:dyDescent="0.2">
      <c r="A10" t="s">
        <v>34</v>
      </c>
      <c r="B10" s="91">
        <v>-45</v>
      </c>
      <c r="D10" t="s">
        <v>589</v>
      </c>
      <c r="E10" s="91">
        <v>15200</v>
      </c>
      <c r="G10" s="91">
        <v>15200</v>
      </c>
      <c r="I10" s="92">
        <f t="shared" si="0"/>
        <v>0</v>
      </c>
    </row>
    <row r="11" spans="1:9" x14ac:dyDescent="0.2">
      <c r="A11" t="s">
        <v>35</v>
      </c>
      <c r="B11" s="91">
        <v>74</v>
      </c>
      <c r="G11" s="91">
        <v>13767.64</v>
      </c>
      <c r="I11" s="92">
        <f t="shared" si="0"/>
        <v>-13767.64</v>
      </c>
    </row>
    <row r="12" spans="1:9" x14ac:dyDescent="0.2">
      <c r="A12" t="s">
        <v>35</v>
      </c>
      <c r="B12" s="91">
        <v>45.25</v>
      </c>
      <c r="G12" s="91">
        <v>12933.88</v>
      </c>
      <c r="I12" s="92">
        <f t="shared" si="0"/>
        <v>-12933.88</v>
      </c>
    </row>
    <row r="13" spans="1:9" x14ac:dyDescent="0.2">
      <c r="A13" t="s">
        <v>36</v>
      </c>
      <c r="B13" s="91">
        <v>240</v>
      </c>
      <c r="G13" s="91">
        <v>10994.18</v>
      </c>
      <c r="I13" s="92">
        <f t="shared" si="0"/>
        <v>-10994.18</v>
      </c>
    </row>
    <row r="14" spans="1:9" x14ac:dyDescent="0.2">
      <c r="A14" t="s">
        <v>36</v>
      </c>
      <c r="B14" s="91">
        <v>120</v>
      </c>
      <c r="G14" s="91">
        <v>10233.299999999999</v>
      </c>
      <c r="I14" s="92">
        <f t="shared" si="0"/>
        <v>-10233.299999999999</v>
      </c>
    </row>
    <row r="15" spans="1:9" x14ac:dyDescent="0.2">
      <c r="A15" t="s">
        <v>36</v>
      </c>
      <c r="B15" s="91">
        <v>120</v>
      </c>
      <c r="G15" s="91">
        <v>10001.74</v>
      </c>
      <c r="I15" s="92">
        <f t="shared" si="0"/>
        <v>-10001.74</v>
      </c>
    </row>
    <row r="16" spans="1:9" x14ac:dyDescent="0.2">
      <c r="A16" t="s">
        <v>36</v>
      </c>
      <c r="B16" s="91">
        <v>138</v>
      </c>
      <c r="G16" s="91">
        <v>9855.94</v>
      </c>
      <c r="I16" s="92">
        <f t="shared" si="0"/>
        <v>-9855.94</v>
      </c>
    </row>
    <row r="17" spans="1:9" x14ac:dyDescent="0.2">
      <c r="A17" t="s">
        <v>37</v>
      </c>
      <c r="B17" s="91">
        <v>61</v>
      </c>
      <c r="G17" s="91">
        <v>8889.7099999999991</v>
      </c>
      <c r="I17" s="92">
        <f t="shared" si="0"/>
        <v>-8889.7099999999991</v>
      </c>
    </row>
    <row r="18" spans="1:9" x14ac:dyDescent="0.2">
      <c r="A18" t="s">
        <v>37</v>
      </c>
      <c r="B18" s="91">
        <v>20</v>
      </c>
      <c r="G18" s="91">
        <v>8710.9699999999993</v>
      </c>
      <c r="I18" s="92">
        <f t="shared" si="0"/>
        <v>-8710.9699999999993</v>
      </c>
    </row>
    <row r="19" spans="1:9" x14ac:dyDescent="0.2">
      <c r="A19" t="s">
        <v>38</v>
      </c>
      <c r="B19" s="91">
        <v>22.5</v>
      </c>
      <c r="G19" s="91">
        <v>8369</v>
      </c>
      <c r="I19" s="92">
        <f t="shared" si="0"/>
        <v>-8369</v>
      </c>
    </row>
    <row r="20" spans="1:9" x14ac:dyDescent="0.2">
      <c r="A20" t="s">
        <v>38</v>
      </c>
      <c r="B20" s="91">
        <v>26.5</v>
      </c>
      <c r="G20" s="91">
        <v>8304.7099999999991</v>
      </c>
      <c r="I20" s="92">
        <f t="shared" si="0"/>
        <v>-8304.7099999999991</v>
      </c>
    </row>
    <row r="21" spans="1:9" x14ac:dyDescent="0.2">
      <c r="A21" t="s">
        <v>38</v>
      </c>
      <c r="B21" s="91">
        <v>37.5</v>
      </c>
      <c r="G21" s="91">
        <v>8053.71</v>
      </c>
      <c r="I21" s="92">
        <f t="shared" si="0"/>
        <v>-8053.71</v>
      </c>
    </row>
    <row r="22" spans="1:9" x14ac:dyDescent="0.2">
      <c r="A22" t="s">
        <v>39</v>
      </c>
      <c r="B22" s="91">
        <v>960</v>
      </c>
      <c r="G22" s="91">
        <v>7945.1</v>
      </c>
      <c r="I22" s="92">
        <f t="shared" si="0"/>
        <v>-7945.1</v>
      </c>
    </row>
    <row r="23" spans="1:9" x14ac:dyDescent="0.2">
      <c r="A23" t="s">
        <v>39</v>
      </c>
      <c r="B23" s="91">
        <v>240</v>
      </c>
      <c r="G23" s="91">
        <v>7884.75</v>
      </c>
      <c r="I23" s="92">
        <f t="shared" si="0"/>
        <v>-7884.75</v>
      </c>
    </row>
    <row r="24" spans="1:9" x14ac:dyDescent="0.2">
      <c r="A24" t="s">
        <v>39</v>
      </c>
      <c r="B24" s="91">
        <v>240</v>
      </c>
      <c r="G24" s="91">
        <v>7067.58</v>
      </c>
      <c r="I24" s="92">
        <f t="shared" si="0"/>
        <v>-7067.58</v>
      </c>
    </row>
    <row r="25" spans="1:9" x14ac:dyDescent="0.2">
      <c r="A25" t="s">
        <v>39</v>
      </c>
      <c r="B25" s="91">
        <v>648</v>
      </c>
      <c r="G25" s="91">
        <v>7011.91</v>
      </c>
      <c r="I25" s="92">
        <f t="shared" si="0"/>
        <v>-7011.91</v>
      </c>
    </row>
    <row r="26" spans="1:9" x14ac:dyDescent="0.2">
      <c r="A26" t="s">
        <v>39</v>
      </c>
      <c r="B26" s="91">
        <v>297</v>
      </c>
      <c r="G26" s="91">
        <v>5916.56</v>
      </c>
      <c r="I26" s="92">
        <f t="shared" si="0"/>
        <v>-5916.56</v>
      </c>
    </row>
    <row r="27" spans="1:9" x14ac:dyDescent="0.2">
      <c r="A27" t="s">
        <v>39</v>
      </c>
      <c r="B27" s="91">
        <v>223</v>
      </c>
      <c r="G27" s="91">
        <v>5841.09</v>
      </c>
      <c r="I27" s="92">
        <f t="shared" si="0"/>
        <v>-5841.09</v>
      </c>
    </row>
    <row r="28" spans="1:9" x14ac:dyDescent="0.2">
      <c r="A28" t="s">
        <v>40</v>
      </c>
      <c r="B28" s="91">
        <v>708</v>
      </c>
      <c r="G28" s="91">
        <v>5638.86</v>
      </c>
      <c r="I28" s="92">
        <f t="shared" si="0"/>
        <v>-5638.86</v>
      </c>
    </row>
    <row r="29" spans="1:9" x14ac:dyDescent="0.2">
      <c r="A29" t="s">
        <v>41</v>
      </c>
      <c r="B29" s="91">
        <v>17.5</v>
      </c>
      <c r="D29" t="s">
        <v>825</v>
      </c>
      <c r="E29" s="91">
        <v>5474</v>
      </c>
      <c r="G29" s="91">
        <v>5474</v>
      </c>
      <c r="I29" s="92">
        <f t="shared" si="0"/>
        <v>0</v>
      </c>
    </row>
    <row r="30" spans="1:9" x14ac:dyDescent="0.2">
      <c r="A30" t="s">
        <v>42</v>
      </c>
      <c r="B30" s="91">
        <v>10</v>
      </c>
      <c r="D30" t="s">
        <v>486</v>
      </c>
      <c r="E30" s="91">
        <v>5233</v>
      </c>
      <c r="I30" s="92">
        <f t="shared" si="0"/>
        <v>5233</v>
      </c>
    </row>
    <row r="31" spans="1:9" x14ac:dyDescent="0.2">
      <c r="A31" t="s">
        <v>43</v>
      </c>
      <c r="B31" s="91">
        <v>1110</v>
      </c>
      <c r="D31" t="s">
        <v>33</v>
      </c>
      <c r="E31" s="91">
        <v>4920</v>
      </c>
      <c r="G31" s="91">
        <v>4920</v>
      </c>
      <c r="I31" s="92">
        <f t="shared" si="0"/>
        <v>0</v>
      </c>
    </row>
    <row r="32" spans="1:9" x14ac:dyDescent="0.2">
      <c r="A32" t="s">
        <v>43</v>
      </c>
      <c r="B32" s="91">
        <v>790</v>
      </c>
      <c r="D32" t="s">
        <v>242</v>
      </c>
      <c r="E32" s="91">
        <v>4734</v>
      </c>
      <c r="I32" s="92">
        <f t="shared" si="0"/>
        <v>4734</v>
      </c>
    </row>
    <row r="33" spans="1:9" x14ac:dyDescent="0.2">
      <c r="A33" t="s">
        <v>44</v>
      </c>
      <c r="B33" s="91">
        <v>216</v>
      </c>
      <c r="D33" t="s">
        <v>545</v>
      </c>
      <c r="E33" s="91">
        <v>4400</v>
      </c>
      <c r="I33" s="92">
        <f t="shared" si="0"/>
        <v>4400</v>
      </c>
    </row>
    <row r="34" spans="1:9" x14ac:dyDescent="0.2">
      <c r="A34" t="s">
        <v>44</v>
      </c>
      <c r="B34" s="91">
        <v>120</v>
      </c>
      <c r="D34" t="s">
        <v>932</v>
      </c>
      <c r="E34" s="91">
        <v>4320.21</v>
      </c>
      <c r="I34" s="92">
        <f t="shared" si="0"/>
        <v>4320.21</v>
      </c>
    </row>
    <row r="35" spans="1:9" x14ac:dyDescent="0.2">
      <c r="A35" t="s">
        <v>44</v>
      </c>
      <c r="B35" s="91">
        <v>120</v>
      </c>
      <c r="D35" t="s">
        <v>48</v>
      </c>
      <c r="E35" s="91">
        <v>4104.96</v>
      </c>
      <c r="G35" s="91">
        <v>4104.96</v>
      </c>
      <c r="I35" s="92">
        <f t="shared" si="0"/>
        <v>0</v>
      </c>
    </row>
    <row r="36" spans="1:9" x14ac:dyDescent="0.2">
      <c r="A36" t="s">
        <v>44</v>
      </c>
      <c r="B36" s="91">
        <v>174</v>
      </c>
      <c r="G36" s="91">
        <v>4098.25</v>
      </c>
      <c r="I36" s="92">
        <f t="shared" si="0"/>
        <v>-4098.25</v>
      </c>
    </row>
    <row r="37" spans="1:9" x14ac:dyDescent="0.2">
      <c r="A37" t="s">
        <v>45</v>
      </c>
      <c r="B37" s="91">
        <v>7.5</v>
      </c>
      <c r="G37" s="91">
        <v>3975.75</v>
      </c>
      <c r="I37" s="92">
        <f t="shared" si="0"/>
        <v>-3975.75</v>
      </c>
    </row>
    <row r="38" spans="1:9" x14ac:dyDescent="0.2">
      <c r="A38" t="s">
        <v>45</v>
      </c>
      <c r="B38" s="91">
        <v>7.5</v>
      </c>
      <c r="G38" s="91">
        <v>3891</v>
      </c>
      <c r="I38" s="92">
        <f t="shared" si="0"/>
        <v>-3891</v>
      </c>
    </row>
    <row r="39" spans="1:9" x14ac:dyDescent="0.2">
      <c r="A39" t="s">
        <v>45</v>
      </c>
      <c r="B39" s="91">
        <v>16.25</v>
      </c>
      <c r="D39" t="s">
        <v>445</v>
      </c>
      <c r="E39" s="91">
        <v>3800</v>
      </c>
      <c r="G39" s="91">
        <v>3800</v>
      </c>
      <c r="I39" s="92">
        <f t="shared" si="0"/>
        <v>0</v>
      </c>
    </row>
    <row r="40" spans="1:9" x14ac:dyDescent="0.2">
      <c r="A40" t="s">
        <v>45</v>
      </c>
      <c r="B40" s="91">
        <v>22.5</v>
      </c>
      <c r="G40" s="91">
        <v>3786.56</v>
      </c>
      <c r="I40" s="92">
        <f t="shared" si="0"/>
        <v>-3786.56</v>
      </c>
    </row>
    <row r="41" spans="1:9" x14ac:dyDescent="0.2">
      <c r="A41" t="s">
        <v>46</v>
      </c>
      <c r="B41" s="91">
        <v>10</v>
      </c>
      <c r="G41" s="91">
        <v>3699.5</v>
      </c>
      <c r="I41" s="92">
        <f t="shared" si="0"/>
        <v>-3699.5</v>
      </c>
    </row>
    <row r="42" spans="1:9" x14ac:dyDescent="0.2">
      <c r="A42" t="s">
        <v>47</v>
      </c>
      <c r="B42" s="91">
        <v>22.27</v>
      </c>
      <c r="G42" s="91">
        <v>3408.98</v>
      </c>
      <c r="I42" s="92">
        <f t="shared" si="0"/>
        <v>-3408.98</v>
      </c>
    </row>
    <row r="43" spans="1:9" x14ac:dyDescent="0.2">
      <c r="A43" t="s">
        <v>48</v>
      </c>
      <c r="B43" s="91">
        <v>2280</v>
      </c>
      <c r="G43" s="91">
        <v>3327.46</v>
      </c>
      <c r="I43" s="92">
        <f t="shared" si="0"/>
        <v>-3327.46</v>
      </c>
    </row>
    <row r="44" spans="1:9" x14ac:dyDescent="0.2">
      <c r="A44" t="s">
        <v>48</v>
      </c>
      <c r="B44" s="91">
        <v>1824.96</v>
      </c>
      <c r="D44" t="s">
        <v>854</v>
      </c>
      <c r="E44" s="91">
        <v>3212</v>
      </c>
      <c r="G44" s="91">
        <v>3212</v>
      </c>
      <c r="I44" s="92">
        <f t="shared" si="0"/>
        <v>0</v>
      </c>
    </row>
    <row r="45" spans="1:9" x14ac:dyDescent="0.2">
      <c r="A45" t="s">
        <v>49</v>
      </c>
      <c r="B45" s="91">
        <v>18</v>
      </c>
      <c r="D45" t="s">
        <v>1041</v>
      </c>
      <c r="E45" s="91">
        <v>3179.5</v>
      </c>
      <c r="I45" s="92">
        <f t="shared" si="0"/>
        <v>3179.5</v>
      </c>
    </row>
    <row r="46" spans="1:9" x14ac:dyDescent="0.2">
      <c r="A46" t="s">
        <v>49</v>
      </c>
      <c r="B46" s="91">
        <v>18</v>
      </c>
      <c r="D46" t="s">
        <v>1149</v>
      </c>
      <c r="E46" s="91">
        <v>3170</v>
      </c>
      <c r="I46" s="92">
        <f t="shared" si="0"/>
        <v>3170</v>
      </c>
    </row>
    <row r="47" spans="1:9" x14ac:dyDescent="0.2">
      <c r="A47" t="s">
        <v>49</v>
      </c>
      <c r="B47" s="91">
        <v>22</v>
      </c>
      <c r="D47" t="s">
        <v>643</v>
      </c>
      <c r="E47" s="91">
        <v>3080</v>
      </c>
      <c r="G47" s="91">
        <v>3080</v>
      </c>
      <c r="I47" s="92">
        <f t="shared" si="0"/>
        <v>0</v>
      </c>
    </row>
    <row r="48" spans="1:9" x14ac:dyDescent="0.2">
      <c r="A48" t="s">
        <v>50</v>
      </c>
      <c r="B48" s="91">
        <v>810</v>
      </c>
      <c r="D48" t="s">
        <v>1046</v>
      </c>
      <c r="E48" s="91">
        <v>2910.25</v>
      </c>
      <c r="I48" s="92">
        <f t="shared" si="0"/>
        <v>2910.25</v>
      </c>
    </row>
    <row r="49" spans="1:9" x14ac:dyDescent="0.2">
      <c r="A49" t="s">
        <v>50</v>
      </c>
      <c r="B49" s="91">
        <v>444</v>
      </c>
      <c r="G49" s="91">
        <v>2950.39</v>
      </c>
      <c r="I49" s="92">
        <f t="shared" si="0"/>
        <v>-2950.39</v>
      </c>
    </row>
    <row r="50" spans="1:9" x14ac:dyDescent="0.2">
      <c r="A50" t="s">
        <v>50</v>
      </c>
      <c r="B50" s="91">
        <v>214</v>
      </c>
      <c r="D50" t="s">
        <v>499</v>
      </c>
      <c r="E50" s="91">
        <v>2820</v>
      </c>
      <c r="I50" s="92">
        <f t="shared" si="0"/>
        <v>2820</v>
      </c>
    </row>
    <row r="51" spans="1:9" x14ac:dyDescent="0.2">
      <c r="A51" t="s">
        <v>51</v>
      </c>
      <c r="B51" s="91">
        <v>27.5</v>
      </c>
      <c r="D51" t="s">
        <v>1022</v>
      </c>
      <c r="E51" s="91">
        <v>2798</v>
      </c>
      <c r="I51" s="92">
        <f t="shared" si="0"/>
        <v>2798</v>
      </c>
    </row>
    <row r="52" spans="1:9" x14ac:dyDescent="0.2">
      <c r="A52" t="s">
        <v>51</v>
      </c>
      <c r="B52" s="91">
        <v>27.5</v>
      </c>
      <c r="D52" t="s">
        <v>153</v>
      </c>
      <c r="E52" s="91">
        <v>2674.25</v>
      </c>
      <c r="I52" s="92">
        <f t="shared" si="0"/>
        <v>2674.25</v>
      </c>
    </row>
    <row r="53" spans="1:9" x14ac:dyDescent="0.2">
      <c r="A53" t="s">
        <v>51</v>
      </c>
      <c r="B53" s="91">
        <v>13</v>
      </c>
      <c r="D53" t="s">
        <v>39</v>
      </c>
      <c r="E53" s="91">
        <v>2608</v>
      </c>
      <c r="I53" s="92">
        <f t="shared" si="0"/>
        <v>2608</v>
      </c>
    </row>
    <row r="54" spans="1:9" x14ac:dyDescent="0.2">
      <c r="A54" t="s">
        <v>52</v>
      </c>
      <c r="B54" s="91">
        <v>240</v>
      </c>
      <c r="D54" t="s">
        <v>339</v>
      </c>
      <c r="E54" s="91">
        <v>2482.52</v>
      </c>
      <c r="I54" s="92">
        <f t="shared" si="0"/>
        <v>2482.52</v>
      </c>
    </row>
    <row r="55" spans="1:9" x14ac:dyDescent="0.2">
      <c r="A55" t="s">
        <v>52</v>
      </c>
      <c r="B55" s="91">
        <v>240</v>
      </c>
      <c r="D55" t="s">
        <v>55</v>
      </c>
      <c r="E55" s="91">
        <v>2481</v>
      </c>
      <c r="I55" s="92">
        <f t="shared" si="0"/>
        <v>2481</v>
      </c>
    </row>
    <row r="56" spans="1:9" x14ac:dyDescent="0.2">
      <c r="A56" t="s">
        <v>52</v>
      </c>
      <c r="B56" s="91">
        <v>230</v>
      </c>
      <c r="G56" s="91">
        <v>2477.75</v>
      </c>
      <c r="I56" s="92">
        <f t="shared" si="0"/>
        <v>-2477.75</v>
      </c>
    </row>
    <row r="57" spans="1:9" x14ac:dyDescent="0.2">
      <c r="A57" t="s">
        <v>53</v>
      </c>
      <c r="B57" s="91">
        <v>1188</v>
      </c>
      <c r="D57" t="s">
        <v>1044</v>
      </c>
      <c r="E57" s="91">
        <v>2459</v>
      </c>
      <c r="I57" s="92">
        <f t="shared" si="0"/>
        <v>2459</v>
      </c>
    </row>
    <row r="58" spans="1:9" x14ac:dyDescent="0.2">
      <c r="A58" t="s">
        <v>53</v>
      </c>
      <c r="B58" s="91">
        <v>480</v>
      </c>
      <c r="D58" t="s">
        <v>261</v>
      </c>
      <c r="E58" s="91">
        <v>2294</v>
      </c>
      <c r="I58" s="92">
        <f t="shared" si="0"/>
        <v>2294</v>
      </c>
    </row>
    <row r="59" spans="1:9" x14ac:dyDescent="0.2">
      <c r="A59" t="s">
        <v>53</v>
      </c>
      <c r="B59" s="91">
        <v>92</v>
      </c>
      <c r="D59" t="s">
        <v>1049</v>
      </c>
      <c r="E59" s="91">
        <v>2268.5</v>
      </c>
      <c r="I59" s="92">
        <f t="shared" si="0"/>
        <v>2268.5</v>
      </c>
    </row>
    <row r="60" spans="1:9" x14ac:dyDescent="0.2">
      <c r="A60" t="s">
        <v>54</v>
      </c>
      <c r="B60" s="91">
        <v>11</v>
      </c>
      <c r="D60" t="s">
        <v>973</v>
      </c>
      <c r="E60" s="91">
        <v>2258</v>
      </c>
      <c r="I60" s="92">
        <f t="shared" si="0"/>
        <v>2258</v>
      </c>
    </row>
    <row r="61" spans="1:9" x14ac:dyDescent="0.2">
      <c r="A61" t="s">
        <v>55</v>
      </c>
      <c r="B61" s="91">
        <v>810</v>
      </c>
      <c r="D61" t="s">
        <v>360</v>
      </c>
      <c r="E61" s="91">
        <v>2143</v>
      </c>
      <c r="I61" s="92">
        <f t="shared" si="0"/>
        <v>2143</v>
      </c>
    </row>
    <row r="62" spans="1:9" x14ac:dyDescent="0.2">
      <c r="A62" t="s">
        <v>55</v>
      </c>
      <c r="B62" s="91">
        <v>300</v>
      </c>
      <c r="G62" s="91">
        <v>2140.5</v>
      </c>
      <c r="I62" s="92">
        <f t="shared" si="0"/>
        <v>-2140.5</v>
      </c>
    </row>
    <row r="63" spans="1:9" x14ac:dyDescent="0.2">
      <c r="A63" t="s">
        <v>55</v>
      </c>
      <c r="B63" s="91">
        <v>177</v>
      </c>
      <c r="D63" t="s">
        <v>720</v>
      </c>
      <c r="E63" s="91">
        <v>2117.5</v>
      </c>
      <c r="G63" s="91">
        <v>2117.5</v>
      </c>
      <c r="I63" s="92">
        <f t="shared" si="0"/>
        <v>0</v>
      </c>
    </row>
    <row r="64" spans="1:9" x14ac:dyDescent="0.2">
      <c r="A64" t="s">
        <v>55</v>
      </c>
      <c r="B64" s="91">
        <v>594</v>
      </c>
      <c r="D64" t="s">
        <v>866</v>
      </c>
      <c r="E64" s="91">
        <v>2116</v>
      </c>
      <c r="I64" s="92">
        <f t="shared" si="0"/>
        <v>2116</v>
      </c>
    </row>
    <row r="65" spans="1:9" x14ac:dyDescent="0.2">
      <c r="A65" t="s">
        <v>55</v>
      </c>
      <c r="B65" s="91">
        <v>148.5</v>
      </c>
      <c r="D65" t="s">
        <v>100</v>
      </c>
      <c r="E65" s="91">
        <v>2052</v>
      </c>
      <c r="G65" s="91">
        <v>2052</v>
      </c>
      <c r="I65" s="92">
        <f t="shared" si="0"/>
        <v>0</v>
      </c>
    </row>
    <row r="66" spans="1:9" x14ac:dyDescent="0.2">
      <c r="A66" t="s">
        <v>55</v>
      </c>
      <c r="B66" s="91">
        <v>148.5</v>
      </c>
      <c r="G66" s="91">
        <v>2051</v>
      </c>
      <c r="I66" s="92">
        <f t="shared" si="0"/>
        <v>-2051</v>
      </c>
    </row>
    <row r="67" spans="1:9" x14ac:dyDescent="0.2">
      <c r="A67" t="s">
        <v>55</v>
      </c>
      <c r="B67" s="91">
        <v>432</v>
      </c>
      <c r="D67" t="s">
        <v>898</v>
      </c>
      <c r="E67" s="91">
        <v>2037</v>
      </c>
      <c r="I67" s="92">
        <f t="shared" ref="I67:I130" si="1">E67-G67</f>
        <v>2037</v>
      </c>
    </row>
    <row r="68" spans="1:9" x14ac:dyDescent="0.2">
      <c r="A68" t="s">
        <v>55</v>
      </c>
      <c r="B68" s="91">
        <v>-129</v>
      </c>
      <c r="D68" t="s">
        <v>1034</v>
      </c>
      <c r="E68" s="91">
        <v>1950</v>
      </c>
      <c r="G68" s="91">
        <v>1950</v>
      </c>
      <c r="I68" s="92">
        <f t="shared" si="1"/>
        <v>0</v>
      </c>
    </row>
    <row r="69" spans="1:9" x14ac:dyDescent="0.2">
      <c r="A69" t="s">
        <v>56</v>
      </c>
      <c r="B69" s="91">
        <v>23.25</v>
      </c>
      <c r="D69" t="s">
        <v>1060</v>
      </c>
      <c r="E69" s="91">
        <v>1948.96</v>
      </c>
      <c r="I69" s="92">
        <f t="shared" si="1"/>
        <v>1948.96</v>
      </c>
    </row>
    <row r="70" spans="1:9" x14ac:dyDescent="0.2">
      <c r="A70" t="s">
        <v>56</v>
      </c>
      <c r="B70" s="91">
        <v>26.25</v>
      </c>
      <c r="D70" t="s">
        <v>975</v>
      </c>
      <c r="E70" s="91">
        <v>1906.5</v>
      </c>
      <c r="I70" s="92">
        <f t="shared" si="1"/>
        <v>1906.5</v>
      </c>
    </row>
    <row r="71" spans="1:9" x14ac:dyDescent="0.2">
      <c r="A71" t="s">
        <v>57</v>
      </c>
      <c r="B71" s="91">
        <v>131</v>
      </c>
      <c r="D71" t="s">
        <v>43</v>
      </c>
      <c r="E71" s="91">
        <v>1900</v>
      </c>
      <c r="I71" s="92">
        <f t="shared" si="1"/>
        <v>1900</v>
      </c>
    </row>
    <row r="72" spans="1:9" x14ac:dyDescent="0.2">
      <c r="A72" t="s">
        <v>58</v>
      </c>
      <c r="B72" s="91">
        <v>14.75</v>
      </c>
      <c r="D72" t="s">
        <v>34</v>
      </c>
      <c r="E72" s="91">
        <v>1896</v>
      </c>
      <c r="I72" s="92">
        <f t="shared" si="1"/>
        <v>1896</v>
      </c>
    </row>
    <row r="73" spans="1:9" x14ac:dyDescent="0.2">
      <c r="A73" t="s">
        <v>58</v>
      </c>
      <c r="B73" s="91">
        <v>11</v>
      </c>
      <c r="D73" t="s">
        <v>645</v>
      </c>
      <c r="E73" s="91">
        <v>1824</v>
      </c>
      <c r="I73" s="92">
        <f t="shared" si="1"/>
        <v>1824</v>
      </c>
    </row>
    <row r="74" spans="1:9" x14ac:dyDescent="0.2">
      <c r="A74" t="s">
        <v>59</v>
      </c>
      <c r="B74" s="91">
        <v>54</v>
      </c>
      <c r="D74" t="s">
        <v>706</v>
      </c>
      <c r="E74" s="91">
        <v>1822</v>
      </c>
      <c r="I74" s="92">
        <f t="shared" si="1"/>
        <v>1822</v>
      </c>
    </row>
    <row r="75" spans="1:9" x14ac:dyDescent="0.2">
      <c r="A75" t="s">
        <v>59</v>
      </c>
      <c r="B75" s="91">
        <v>18.75</v>
      </c>
      <c r="D75" t="s">
        <v>371</v>
      </c>
      <c r="E75" s="91">
        <v>1806</v>
      </c>
      <c r="I75" s="92">
        <f t="shared" si="1"/>
        <v>1806</v>
      </c>
    </row>
    <row r="76" spans="1:9" x14ac:dyDescent="0.2">
      <c r="A76" t="s">
        <v>59</v>
      </c>
      <c r="B76" s="91">
        <v>20</v>
      </c>
      <c r="D76" t="s">
        <v>1043</v>
      </c>
      <c r="E76" s="91">
        <v>1801.5</v>
      </c>
      <c r="I76" s="92">
        <f t="shared" si="1"/>
        <v>1801.5</v>
      </c>
    </row>
    <row r="77" spans="1:9" x14ac:dyDescent="0.2">
      <c r="A77" t="s">
        <v>59</v>
      </c>
      <c r="B77" s="91">
        <v>14.75</v>
      </c>
      <c r="D77" t="s">
        <v>53</v>
      </c>
      <c r="E77" s="91">
        <v>1760</v>
      </c>
      <c r="I77" s="92">
        <f t="shared" si="1"/>
        <v>1760</v>
      </c>
    </row>
    <row r="78" spans="1:9" x14ac:dyDescent="0.2">
      <c r="A78" t="s">
        <v>59</v>
      </c>
      <c r="B78" s="91">
        <v>2</v>
      </c>
      <c r="D78" t="s">
        <v>544</v>
      </c>
      <c r="E78" s="91">
        <v>1750</v>
      </c>
      <c r="G78" s="91">
        <v>1750</v>
      </c>
      <c r="I78" s="92">
        <f t="shared" si="1"/>
        <v>0</v>
      </c>
    </row>
    <row r="79" spans="1:9" x14ac:dyDescent="0.2">
      <c r="A79" t="s">
        <v>60</v>
      </c>
      <c r="B79" s="91">
        <v>18</v>
      </c>
      <c r="D79" t="s">
        <v>1135</v>
      </c>
      <c r="E79" s="91">
        <v>1733.4</v>
      </c>
      <c r="I79" s="92">
        <f t="shared" si="1"/>
        <v>1733.4</v>
      </c>
    </row>
    <row r="80" spans="1:9" x14ac:dyDescent="0.2">
      <c r="A80" t="s">
        <v>60</v>
      </c>
      <c r="B80" s="91">
        <v>23</v>
      </c>
      <c r="D80" t="s">
        <v>434</v>
      </c>
      <c r="E80" s="91">
        <v>1698</v>
      </c>
      <c r="I80" s="92">
        <f t="shared" si="1"/>
        <v>1698</v>
      </c>
    </row>
    <row r="81" spans="1:9" x14ac:dyDescent="0.2">
      <c r="A81" t="s">
        <v>60</v>
      </c>
      <c r="B81" s="91">
        <v>14.75</v>
      </c>
      <c r="D81" t="s">
        <v>201</v>
      </c>
      <c r="E81" s="91">
        <v>1656</v>
      </c>
      <c r="I81" s="92">
        <f t="shared" si="1"/>
        <v>1656</v>
      </c>
    </row>
    <row r="82" spans="1:9" x14ac:dyDescent="0.2">
      <c r="A82" t="s">
        <v>61</v>
      </c>
      <c r="B82" s="91">
        <v>262</v>
      </c>
      <c r="D82" t="s">
        <v>131</v>
      </c>
      <c r="E82" s="91">
        <v>1616.75</v>
      </c>
      <c r="I82" s="92">
        <f t="shared" si="1"/>
        <v>1616.75</v>
      </c>
    </row>
    <row r="83" spans="1:9" x14ac:dyDescent="0.2">
      <c r="A83" t="s">
        <v>62</v>
      </c>
      <c r="B83" s="91">
        <v>177.75</v>
      </c>
      <c r="D83" s="95" t="s">
        <v>1191</v>
      </c>
      <c r="E83" s="93">
        <v>1611</v>
      </c>
      <c r="G83" s="91">
        <v>1611</v>
      </c>
      <c r="I83" s="92">
        <f t="shared" si="1"/>
        <v>0</v>
      </c>
    </row>
    <row r="84" spans="1:9" x14ac:dyDescent="0.2">
      <c r="A84" t="s">
        <v>63</v>
      </c>
      <c r="B84" s="91">
        <v>278</v>
      </c>
      <c r="D84" t="s">
        <v>739</v>
      </c>
      <c r="E84" s="91">
        <v>1608.75</v>
      </c>
      <c r="I84" s="92">
        <f t="shared" si="1"/>
        <v>1608.75</v>
      </c>
    </row>
    <row r="85" spans="1:9" x14ac:dyDescent="0.2">
      <c r="A85" t="s">
        <v>64</v>
      </c>
      <c r="B85" s="91">
        <v>148.5</v>
      </c>
      <c r="D85" t="s">
        <v>926</v>
      </c>
      <c r="E85" s="91">
        <v>1584</v>
      </c>
      <c r="G85" s="91">
        <v>1584</v>
      </c>
      <c r="I85" s="92">
        <f t="shared" si="1"/>
        <v>0</v>
      </c>
    </row>
    <row r="86" spans="1:9" x14ac:dyDescent="0.2">
      <c r="A86" t="s">
        <v>64</v>
      </c>
      <c r="B86" s="91">
        <v>113.5</v>
      </c>
      <c r="D86" t="s">
        <v>574</v>
      </c>
      <c r="E86" s="91">
        <v>1582</v>
      </c>
      <c r="I86" s="92">
        <f t="shared" si="1"/>
        <v>1582</v>
      </c>
    </row>
    <row r="87" spans="1:9" x14ac:dyDescent="0.2">
      <c r="A87" t="s">
        <v>65</v>
      </c>
      <c r="B87" s="91">
        <v>120</v>
      </c>
      <c r="D87" t="s">
        <v>824</v>
      </c>
      <c r="E87" s="91">
        <v>1563</v>
      </c>
      <c r="I87" s="92">
        <f t="shared" si="1"/>
        <v>1563</v>
      </c>
    </row>
    <row r="88" spans="1:9" x14ac:dyDescent="0.2">
      <c r="A88" t="s">
        <v>65</v>
      </c>
      <c r="B88" s="91">
        <v>58</v>
      </c>
      <c r="G88" s="91">
        <v>1541.1</v>
      </c>
      <c r="I88" s="92">
        <f t="shared" si="1"/>
        <v>-1541.1</v>
      </c>
    </row>
    <row r="89" spans="1:9" x14ac:dyDescent="0.2">
      <c r="A89" t="s">
        <v>66</v>
      </c>
      <c r="B89" s="91">
        <v>30</v>
      </c>
      <c r="D89" t="s">
        <v>680</v>
      </c>
      <c r="E89" s="91">
        <v>1491.07</v>
      </c>
      <c r="I89" s="92">
        <f t="shared" si="1"/>
        <v>1491.07</v>
      </c>
    </row>
    <row r="90" spans="1:9" x14ac:dyDescent="0.2">
      <c r="A90" t="s">
        <v>66</v>
      </c>
      <c r="B90" s="91">
        <v>18</v>
      </c>
      <c r="D90" t="s">
        <v>595</v>
      </c>
      <c r="E90" s="91">
        <v>1470</v>
      </c>
      <c r="I90" s="92">
        <f t="shared" si="1"/>
        <v>1470</v>
      </c>
    </row>
    <row r="91" spans="1:9" x14ac:dyDescent="0.2">
      <c r="A91" t="s">
        <v>67</v>
      </c>
      <c r="B91" s="91">
        <v>44</v>
      </c>
      <c r="D91" t="s">
        <v>50</v>
      </c>
      <c r="E91" s="91">
        <v>1468</v>
      </c>
      <c r="I91" s="92">
        <f t="shared" si="1"/>
        <v>1468</v>
      </c>
    </row>
    <row r="92" spans="1:9" x14ac:dyDescent="0.2">
      <c r="A92" t="s">
        <v>68</v>
      </c>
      <c r="B92" s="91">
        <v>183</v>
      </c>
      <c r="D92" t="s">
        <v>1057</v>
      </c>
      <c r="E92" s="91">
        <v>1460.02</v>
      </c>
      <c r="I92" s="92">
        <f t="shared" si="1"/>
        <v>1460.02</v>
      </c>
    </row>
    <row r="93" spans="1:9" x14ac:dyDescent="0.2">
      <c r="A93" t="s">
        <v>69</v>
      </c>
      <c r="B93" s="91">
        <v>28.35</v>
      </c>
      <c r="D93" t="s">
        <v>769</v>
      </c>
      <c r="E93" s="91">
        <v>1430</v>
      </c>
      <c r="I93" s="92">
        <f t="shared" si="1"/>
        <v>1430</v>
      </c>
    </row>
    <row r="94" spans="1:9" x14ac:dyDescent="0.2">
      <c r="A94" t="s">
        <v>69</v>
      </c>
      <c r="B94" s="91">
        <v>348</v>
      </c>
      <c r="D94" t="s">
        <v>851</v>
      </c>
      <c r="E94" s="91">
        <v>1416</v>
      </c>
      <c r="I94" s="92">
        <f t="shared" si="1"/>
        <v>1416</v>
      </c>
    </row>
    <row r="95" spans="1:9" x14ac:dyDescent="0.2">
      <c r="A95" t="s">
        <v>69</v>
      </c>
      <c r="B95" s="91">
        <v>118.65</v>
      </c>
      <c r="D95" t="s">
        <v>1140</v>
      </c>
      <c r="E95" s="91">
        <v>1416</v>
      </c>
      <c r="I95" s="92">
        <f t="shared" si="1"/>
        <v>1416</v>
      </c>
    </row>
    <row r="96" spans="1:9" x14ac:dyDescent="0.2">
      <c r="A96" t="s">
        <v>70</v>
      </c>
      <c r="B96" s="91">
        <v>6.5</v>
      </c>
      <c r="D96" t="s">
        <v>430</v>
      </c>
      <c r="E96" s="91">
        <v>1414</v>
      </c>
      <c r="I96" s="92">
        <f t="shared" si="1"/>
        <v>1414</v>
      </c>
    </row>
    <row r="97" spans="1:9" x14ac:dyDescent="0.2">
      <c r="A97" t="s">
        <v>69</v>
      </c>
      <c r="B97" s="91">
        <v>5</v>
      </c>
      <c r="D97" t="s">
        <v>377</v>
      </c>
      <c r="E97" s="91">
        <v>1320</v>
      </c>
      <c r="I97" s="92">
        <f t="shared" si="1"/>
        <v>1320</v>
      </c>
    </row>
    <row r="98" spans="1:9" x14ac:dyDescent="0.2">
      <c r="A98" t="s">
        <v>69</v>
      </c>
      <c r="B98" s="91">
        <v>28</v>
      </c>
      <c r="G98" s="91">
        <v>1308.75</v>
      </c>
      <c r="I98" s="92">
        <f t="shared" si="1"/>
        <v>-1308.75</v>
      </c>
    </row>
    <row r="99" spans="1:9" x14ac:dyDescent="0.2">
      <c r="A99" t="s">
        <v>69</v>
      </c>
      <c r="B99" s="91">
        <v>13.75</v>
      </c>
      <c r="D99" t="s">
        <v>442</v>
      </c>
      <c r="E99" s="91">
        <v>1298.5</v>
      </c>
      <c r="I99" s="92">
        <f t="shared" si="1"/>
        <v>1298.5</v>
      </c>
    </row>
    <row r="100" spans="1:9" x14ac:dyDescent="0.2">
      <c r="A100" t="s">
        <v>69</v>
      </c>
      <c r="B100" s="91">
        <v>7.75</v>
      </c>
      <c r="D100" t="s">
        <v>471</v>
      </c>
      <c r="E100" s="91">
        <v>1287</v>
      </c>
      <c r="I100" s="92">
        <f t="shared" si="1"/>
        <v>1287</v>
      </c>
    </row>
    <row r="101" spans="1:9" x14ac:dyDescent="0.2">
      <c r="A101" t="s">
        <v>69</v>
      </c>
      <c r="B101" s="91">
        <v>10.1</v>
      </c>
      <c r="D101" t="s">
        <v>1048</v>
      </c>
      <c r="E101" s="91">
        <v>1271.25</v>
      </c>
      <c r="I101" s="92">
        <f t="shared" si="1"/>
        <v>1271.25</v>
      </c>
    </row>
    <row r="102" spans="1:9" x14ac:dyDescent="0.2">
      <c r="A102" t="s">
        <v>71</v>
      </c>
      <c r="B102" s="91">
        <v>108.75</v>
      </c>
      <c r="D102" t="s">
        <v>649</v>
      </c>
      <c r="E102" s="91">
        <v>1234</v>
      </c>
      <c r="I102" s="92">
        <f t="shared" si="1"/>
        <v>1234</v>
      </c>
    </row>
    <row r="103" spans="1:9" x14ac:dyDescent="0.2">
      <c r="A103" t="s">
        <v>72</v>
      </c>
      <c r="B103" s="91">
        <v>19.5</v>
      </c>
      <c r="D103" t="s">
        <v>559</v>
      </c>
      <c r="E103" s="91">
        <v>1200</v>
      </c>
      <c r="I103" s="92">
        <f t="shared" si="1"/>
        <v>1200</v>
      </c>
    </row>
    <row r="104" spans="1:9" x14ac:dyDescent="0.2">
      <c r="A104" t="s">
        <v>72</v>
      </c>
      <c r="B104" s="91">
        <v>11.32</v>
      </c>
      <c r="D104" t="s">
        <v>647</v>
      </c>
      <c r="E104" s="91">
        <v>1124</v>
      </c>
      <c r="I104" s="92">
        <f t="shared" si="1"/>
        <v>1124</v>
      </c>
    </row>
    <row r="105" spans="1:9" x14ac:dyDescent="0.2">
      <c r="A105" t="s">
        <v>73</v>
      </c>
      <c r="B105" s="91">
        <v>110.47</v>
      </c>
      <c r="D105" t="s">
        <v>267</v>
      </c>
      <c r="E105" s="91">
        <v>1050</v>
      </c>
      <c r="I105" s="92">
        <f t="shared" si="1"/>
        <v>1050</v>
      </c>
    </row>
    <row r="106" spans="1:9" x14ac:dyDescent="0.2">
      <c r="A106" t="s">
        <v>74</v>
      </c>
      <c r="B106" s="91">
        <v>18.75</v>
      </c>
      <c r="D106" t="s">
        <v>450</v>
      </c>
      <c r="E106" s="91">
        <v>1048</v>
      </c>
      <c r="I106" s="92">
        <f t="shared" si="1"/>
        <v>1048</v>
      </c>
    </row>
    <row r="107" spans="1:9" x14ac:dyDescent="0.2">
      <c r="A107" t="s">
        <v>74</v>
      </c>
      <c r="B107" s="91">
        <v>11.17</v>
      </c>
      <c r="D107" t="s">
        <v>1097</v>
      </c>
      <c r="E107" s="91">
        <v>1048</v>
      </c>
      <c r="I107" s="92">
        <f t="shared" si="1"/>
        <v>1048</v>
      </c>
    </row>
    <row r="108" spans="1:9" x14ac:dyDescent="0.2">
      <c r="A108" t="s">
        <v>75</v>
      </c>
      <c r="B108" s="91">
        <v>17</v>
      </c>
      <c r="D108" t="s">
        <v>344</v>
      </c>
      <c r="E108" s="91">
        <v>1043.32</v>
      </c>
      <c r="I108" s="92">
        <f t="shared" si="1"/>
        <v>1043.32</v>
      </c>
    </row>
    <row r="109" spans="1:9" x14ac:dyDescent="0.2">
      <c r="A109" t="s">
        <v>76</v>
      </c>
      <c r="B109" s="91">
        <v>96</v>
      </c>
      <c r="D109" t="s">
        <v>141</v>
      </c>
      <c r="E109" s="91">
        <v>1030</v>
      </c>
      <c r="I109" s="92">
        <f t="shared" si="1"/>
        <v>1030</v>
      </c>
    </row>
    <row r="110" spans="1:9" x14ac:dyDescent="0.2">
      <c r="A110" t="s">
        <v>77</v>
      </c>
      <c r="B110" s="91">
        <v>11</v>
      </c>
      <c r="D110" t="s">
        <v>345</v>
      </c>
      <c r="E110" s="91">
        <v>1024</v>
      </c>
      <c r="I110" s="92">
        <f t="shared" si="1"/>
        <v>1024</v>
      </c>
    </row>
    <row r="111" spans="1:9" x14ac:dyDescent="0.2">
      <c r="A111" t="s">
        <v>77</v>
      </c>
      <c r="B111" s="91">
        <v>3</v>
      </c>
      <c r="D111" t="s">
        <v>189</v>
      </c>
      <c r="E111" s="91">
        <v>1000</v>
      </c>
      <c r="I111" s="92">
        <f t="shared" si="1"/>
        <v>1000</v>
      </c>
    </row>
    <row r="112" spans="1:9" x14ac:dyDescent="0.2">
      <c r="A112" t="s">
        <v>77</v>
      </c>
      <c r="B112" s="91">
        <v>3</v>
      </c>
      <c r="D112" t="s">
        <v>230</v>
      </c>
      <c r="E112" s="91">
        <v>1000</v>
      </c>
      <c r="I112" s="92">
        <f t="shared" si="1"/>
        <v>1000</v>
      </c>
    </row>
    <row r="113" spans="1:9" x14ac:dyDescent="0.2">
      <c r="A113" t="s">
        <v>78</v>
      </c>
      <c r="B113" s="91">
        <v>150</v>
      </c>
      <c r="G113" s="91">
        <v>997.5</v>
      </c>
      <c r="I113" s="92">
        <f t="shared" si="1"/>
        <v>-997.5</v>
      </c>
    </row>
    <row r="114" spans="1:9" x14ac:dyDescent="0.2">
      <c r="A114" t="s">
        <v>78</v>
      </c>
      <c r="B114" s="91">
        <v>300</v>
      </c>
      <c r="G114" s="91">
        <v>992.75</v>
      </c>
      <c r="I114" s="92">
        <f t="shared" si="1"/>
        <v>-992.75</v>
      </c>
    </row>
    <row r="115" spans="1:9" x14ac:dyDescent="0.2">
      <c r="A115" t="s">
        <v>79</v>
      </c>
      <c r="B115" s="91">
        <v>5</v>
      </c>
      <c r="D115" t="s">
        <v>1047</v>
      </c>
      <c r="E115" s="91">
        <v>979</v>
      </c>
      <c r="I115" s="92">
        <f t="shared" si="1"/>
        <v>979</v>
      </c>
    </row>
    <row r="116" spans="1:9" x14ac:dyDescent="0.2">
      <c r="A116" t="s">
        <v>79</v>
      </c>
      <c r="B116" s="91">
        <v>5</v>
      </c>
      <c r="D116" t="s">
        <v>735</v>
      </c>
      <c r="E116" s="91">
        <v>974</v>
      </c>
      <c r="I116" s="92">
        <f t="shared" si="1"/>
        <v>974</v>
      </c>
    </row>
    <row r="117" spans="1:9" x14ac:dyDescent="0.2">
      <c r="A117" t="s">
        <v>80</v>
      </c>
      <c r="B117" s="91">
        <v>90.25</v>
      </c>
      <c r="D117" t="s">
        <v>1174</v>
      </c>
      <c r="E117" s="91">
        <v>970.84000000000015</v>
      </c>
      <c r="I117" s="92">
        <f t="shared" si="1"/>
        <v>970.84000000000015</v>
      </c>
    </row>
    <row r="118" spans="1:9" x14ac:dyDescent="0.2">
      <c r="A118" t="s">
        <v>81</v>
      </c>
      <c r="B118" s="91">
        <v>219</v>
      </c>
      <c r="D118" t="s">
        <v>459</v>
      </c>
      <c r="E118" s="91">
        <v>965.25</v>
      </c>
      <c r="G118" s="91">
        <v>965.25</v>
      </c>
      <c r="I118" s="92">
        <f t="shared" si="1"/>
        <v>0</v>
      </c>
    </row>
    <row r="119" spans="1:9" x14ac:dyDescent="0.2">
      <c r="A119" t="s">
        <v>82</v>
      </c>
      <c r="B119" s="91">
        <v>20</v>
      </c>
      <c r="D119" t="s">
        <v>604</v>
      </c>
      <c r="E119" s="91">
        <v>964</v>
      </c>
      <c r="I119" s="92">
        <f t="shared" si="1"/>
        <v>964</v>
      </c>
    </row>
    <row r="120" spans="1:9" x14ac:dyDescent="0.2">
      <c r="A120" t="s">
        <v>83</v>
      </c>
      <c r="B120" s="91">
        <v>14.75</v>
      </c>
      <c r="D120" t="s">
        <v>1119</v>
      </c>
      <c r="E120" s="91">
        <v>964</v>
      </c>
      <c r="I120" s="92">
        <f t="shared" si="1"/>
        <v>964</v>
      </c>
    </row>
    <row r="121" spans="1:9" x14ac:dyDescent="0.2">
      <c r="A121" t="s">
        <v>84</v>
      </c>
      <c r="B121" s="91">
        <v>20</v>
      </c>
      <c r="D121" t="s">
        <v>343</v>
      </c>
      <c r="E121" s="91">
        <v>950</v>
      </c>
      <c r="I121" s="92">
        <f t="shared" si="1"/>
        <v>950</v>
      </c>
    </row>
    <row r="122" spans="1:9" x14ac:dyDescent="0.2">
      <c r="A122" t="s">
        <v>85</v>
      </c>
      <c r="B122" s="91">
        <v>216</v>
      </c>
      <c r="D122" s="95" t="s">
        <v>1166</v>
      </c>
      <c r="E122" s="93">
        <v>948.5</v>
      </c>
      <c r="G122" s="91">
        <v>948.5</v>
      </c>
      <c r="I122" s="92">
        <f t="shared" si="1"/>
        <v>0</v>
      </c>
    </row>
    <row r="123" spans="1:9" x14ac:dyDescent="0.2">
      <c r="A123" t="s">
        <v>85</v>
      </c>
      <c r="B123" s="91">
        <v>106</v>
      </c>
      <c r="D123" t="s">
        <v>190</v>
      </c>
      <c r="E123" s="91">
        <v>936</v>
      </c>
      <c r="I123" s="92">
        <f t="shared" si="1"/>
        <v>936</v>
      </c>
    </row>
    <row r="124" spans="1:9" x14ac:dyDescent="0.2">
      <c r="A124" t="s">
        <v>85</v>
      </c>
      <c r="B124" s="91">
        <v>14.75</v>
      </c>
      <c r="D124" t="s">
        <v>690</v>
      </c>
      <c r="E124" s="91">
        <v>934</v>
      </c>
      <c r="I124" s="92">
        <f t="shared" si="1"/>
        <v>934</v>
      </c>
    </row>
    <row r="125" spans="1:9" x14ac:dyDescent="0.2">
      <c r="A125" t="s">
        <v>85</v>
      </c>
      <c r="B125" s="91">
        <v>24</v>
      </c>
      <c r="D125" t="s">
        <v>1084</v>
      </c>
      <c r="E125" s="91">
        <v>927</v>
      </c>
      <c r="G125" s="91">
        <v>927</v>
      </c>
      <c r="I125" s="92">
        <f t="shared" si="1"/>
        <v>0</v>
      </c>
    </row>
    <row r="126" spans="1:9" x14ac:dyDescent="0.2">
      <c r="A126" t="s">
        <v>86</v>
      </c>
      <c r="B126" s="91">
        <v>18</v>
      </c>
      <c r="D126" t="s">
        <v>944</v>
      </c>
      <c r="E126" s="91">
        <v>906</v>
      </c>
      <c r="I126" s="92">
        <f t="shared" si="1"/>
        <v>906</v>
      </c>
    </row>
    <row r="127" spans="1:9" x14ac:dyDescent="0.2">
      <c r="A127" t="s">
        <v>87</v>
      </c>
      <c r="B127" s="91">
        <v>18</v>
      </c>
      <c r="D127" t="s">
        <v>770</v>
      </c>
      <c r="E127" s="91">
        <v>904</v>
      </c>
      <c r="I127" s="92">
        <f t="shared" si="1"/>
        <v>904</v>
      </c>
    </row>
    <row r="128" spans="1:9" x14ac:dyDescent="0.2">
      <c r="A128" t="s">
        <v>88</v>
      </c>
      <c r="B128" s="91">
        <v>132</v>
      </c>
      <c r="D128" t="s">
        <v>943</v>
      </c>
      <c r="E128" s="91">
        <v>904</v>
      </c>
      <c r="I128" s="92">
        <f t="shared" si="1"/>
        <v>904</v>
      </c>
    </row>
    <row r="129" spans="1:9" x14ac:dyDescent="0.2">
      <c r="A129" t="s">
        <v>89</v>
      </c>
      <c r="B129" s="91">
        <v>1</v>
      </c>
      <c r="D129" t="s">
        <v>1000</v>
      </c>
      <c r="E129" s="91">
        <v>899</v>
      </c>
      <c r="G129" s="91">
        <v>899</v>
      </c>
      <c r="I129" s="92">
        <f t="shared" si="1"/>
        <v>0</v>
      </c>
    </row>
    <row r="130" spans="1:9" x14ac:dyDescent="0.2">
      <c r="A130" t="s">
        <v>89</v>
      </c>
      <c r="B130" s="91">
        <v>1</v>
      </c>
      <c r="D130" t="s">
        <v>103</v>
      </c>
      <c r="E130" s="91">
        <v>890</v>
      </c>
      <c r="I130" s="92">
        <f t="shared" si="1"/>
        <v>890</v>
      </c>
    </row>
    <row r="131" spans="1:9" x14ac:dyDescent="0.2">
      <c r="A131" t="s">
        <v>90</v>
      </c>
      <c r="B131" s="91">
        <v>90.25</v>
      </c>
      <c r="D131" t="s">
        <v>888</v>
      </c>
      <c r="E131" s="91">
        <v>880.59</v>
      </c>
      <c r="I131" s="92">
        <f t="shared" ref="I131:I194" si="2">E131-G131</f>
        <v>880.59</v>
      </c>
    </row>
    <row r="132" spans="1:9" x14ac:dyDescent="0.2">
      <c r="A132" t="s">
        <v>91</v>
      </c>
      <c r="B132" s="91">
        <v>350</v>
      </c>
      <c r="D132" t="s">
        <v>726</v>
      </c>
      <c r="E132" s="91">
        <v>880</v>
      </c>
      <c r="I132" s="92">
        <f t="shared" si="2"/>
        <v>880</v>
      </c>
    </row>
    <row r="133" spans="1:9" x14ac:dyDescent="0.2">
      <c r="A133" t="s">
        <v>91</v>
      </c>
      <c r="B133" s="91">
        <v>11</v>
      </c>
      <c r="D133" t="s">
        <v>767</v>
      </c>
      <c r="E133" s="91">
        <v>880</v>
      </c>
      <c r="I133" s="92">
        <f t="shared" si="2"/>
        <v>880</v>
      </c>
    </row>
    <row r="134" spans="1:9" x14ac:dyDescent="0.2">
      <c r="A134" t="s">
        <v>92</v>
      </c>
      <c r="B134" s="91">
        <v>177.75</v>
      </c>
      <c r="D134" t="s">
        <v>1113</v>
      </c>
      <c r="E134" s="91">
        <v>880</v>
      </c>
      <c r="I134" s="92">
        <f t="shared" si="2"/>
        <v>880</v>
      </c>
    </row>
    <row r="135" spans="1:9" x14ac:dyDescent="0.2">
      <c r="A135" t="s">
        <v>93</v>
      </c>
      <c r="B135" s="91">
        <v>24</v>
      </c>
      <c r="D135" t="s">
        <v>613</v>
      </c>
      <c r="E135" s="91">
        <v>874</v>
      </c>
      <c r="I135" s="92">
        <f t="shared" si="2"/>
        <v>874</v>
      </c>
    </row>
    <row r="136" spans="1:9" x14ac:dyDescent="0.2">
      <c r="A136" t="s">
        <v>94</v>
      </c>
      <c r="B136" s="91">
        <v>18.22</v>
      </c>
      <c r="D136" t="s">
        <v>781</v>
      </c>
      <c r="E136" s="91">
        <v>861.75</v>
      </c>
      <c r="I136" s="92">
        <f t="shared" si="2"/>
        <v>861.75</v>
      </c>
    </row>
    <row r="137" spans="1:9" x14ac:dyDescent="0.2">
      <c r="A137" t="s">
        <v>95</v>
      </c>
      <c r="B137" s="91">
        <v>14</v>
      </c>
      <c r="D137" t="s">
        <v>243</v>
      </c>
      <c r="E137" s="91">
        <v>840</v>
      </c>
      <c r="G137" s="91">
        <v>840</v>
      </c>
      <c r="I137" s="92">
        <f t="shared" si="2"/>
        <v>0</v>
      </c>
    </row>
    <row r="138" spans="1:9" x14ac:dyDescent="0.2">
      <c r="A138" t="s">
        <v>95</v>
      </c>
      <c r="B138" s="91">
        <v>32.25</v>
      </c>
      <c r="D138" t="s">
        <v>968</v>
      </c>
      <c r="E138" s="91">
        <v>820</v>
      </c>
      <c r="I138" s="92">
        <f t="shared" si="2"/>
        <v>820</v>
      </c>
    </row>
    <row r="139" spans="1:9" x14ac:dyDescent="0.2">
      <c r="A139" t="s">
        <v>95</v>
      </c>
      <c r="B139" s="91">
        <v>4.37</v>
      </c>
      <c r="D139" t="s">
        <v>142</v>
      </c>
      <c r="E139" s="91">
        <v>809.75</v>
      </c>
      <c r="G139" s="91">
        <v>809.75</v>
      </c>
      <c r="I139" s="92">
        <f t="shared" si="2"/>
        <v>0</v>
      </c>
    </row>
    <row r="140" spans="1:9" x14ac:dyDescent="0.2">
      <c r="A140" t="s">
        <v>96</v>
      </c>
      <c r="B140" s="91">
        <v>10</v>
      </c>
      <c r="D140" t="s">
        <v>338</v>
      </c>
      <c r="E140" s="91">
        <v>808</v>
      </c>
      <c r="I140" s="92">
        <f t="shared" si="2"/>
        <v>808</v>
      </c>
    </row>
    <row r="141" spans="1:9" x14ac:dyDescent="0.2">
      <c r="A141" t="s">
        <v>97</v>
      </c>
      <c r="B141" s="91">
        <v>18</v>
      </c>
      <c r="D141" t="s">
        <v>140</v>
      </c>
      <c r="E141" s="91">
        <v>796</v>
      </c>
      <c r="I141" s="92">
        <f t="shared" si="2"/>
        <v>796</v>
      </c>
    </row>
    <row r="142" spans="1:9" x14ac:dyDescent="0.2">
      <c r="A142" t="s">
        <v>98</v>
      </c>
      <c r="B142" s="91">
        <v>6.5</v>
      </c>
      <c r="D142" t="s">
        <v>333</v>
      </c>
      <c r="E142" s="91">
        <v>796</v>
      </c>
      <c r="I142" s="92">
        <f t="shared" si="2"/>
        <v>796</v>
      </c>
    </row>
    <row r="143" spans="1:9" x14ac:dyDescent="0.2">
      <c r="A143" t="s">
        <v>99</v>
      </c>
      <c r="B143" s="91">
        <v>5</v>
      </c>
      <c r="D143" t="s">
        <v>784</v>
      </c>
      <c r="E143" s="91">
        <v>796</v>
      </c>
      <c r="I143" s="92">
        <f t="shared" si="2"/>
        <v>796</v>
      </c>
    </row>
    <row r="144" spans="1:9" x14ac:dyDescent="0.2">
      <c r="A144" t="s">
        <v>100</v>
      </c>
      <c r="B144" s="91">
        <v>1200</v>
      </c>
      <c r="D144" t="s">
        <v>1148</v>
      </c>
      <c r="E144" s="91">
        <v>790.25</v>
      </c>
      <c r="G144" s="91">
        <v>790.25</v>
      </c>
      <c r="I144" s="92">
        <f t="shared" si="2"/>
        <v>0</v>
      </c>
    </row>
    <row r="145" spans="1:9" x14ac:dyDescent="0.2">
      <c r="A145" t="s">
        <v>100</v>
      </c>
      <c r="B145" s="91">
        <v>900</v>
      </c>
      <c r="D145" t="s">
        <v>458</v>
      </c>
      <c r="E145" s="91">
        <v>780</v>
      </c>
      <c r="G145" s="91">
        <v>780</v>
      </c>
      <c r="I145" s="92">
        <f t="shared" si="2"/>
        <v>0</v>
      </c>
    </row>
    <row r="146" spans="1:9" x14ac:dyDescent="0.2">
      <c r="A146" t="s">
        <v>100</v>
      </c>
      <c r="B146" s="91">
        <v>-48</v>
      </c>
      <c r="D146" t="s">
        <v>368</v>
      </c>
      <c r="E146" s="91">
        <v>775.25</v>
      </c>
      <c r="I146" s="92">
        <f t="shared" si="2"/>
        <v>775.25</v>
      </c>
    </row>
    <row r="147" spans="1:9" x14ac:dyDescent="0.2">
      <c r="A147" t="s">
        <v>101</v>
      </c>
      <c r="B147" s="91">
        <v>11.5</v>
      </c>
      <c r="D147" t="s">
        <v>928</v>
      </c>
      <c r="E147" s="91">
        <v>773</v>
      </c>
      <c r="I147" s="92">
        <f t="shared" si="2"/>
        <v>773</v>
      </c>
    </row>
    <row r="148" spans="1:9" x14ac:dyDescent="0.2">
      <c r="A148" t="s">
        <v>102</v>
      </c>
      <c r="B148" s="91">
        <v>524</v>
      </c>
      <c r="D148" t="s">
        <v>733</v>
      </c>
      <c r="E148" s="91">
        <v>760</v>
      </c>
      <c r="G148" s="91">
        <v>760</v>
      </c>
      <c r="I148" s="92">
        <f t="shared" si="2"/>
        <v>0</v>
      </c>
    </row>
    <row r="149" spans="1:9" x14ac:dyDescent="0.2">
      <c r="A149" t="s">
        <v>103</v>
      </c>
      <c r="B149" s="91">
        <v>960</v>
      </c>
      <c r="D149" t="s">
        <v>699</v>
      </c>
      <c r="E149" s="91">
        <v>756.5</v>
      </c>
      <c r="I149" s="92">
        <f t="shared" si="2"/>
        <v>756.5</v>
      </c>
    </row>
    <row r="150" spans="1:9" x14ac:dyDescent="0.2">
      <c r="A150" t="s">
        <v>103</v>
      </c>
      <c r="B150" s="91">
        <v>-70</v>
      </c>
      <c r="D150" t="s">
        <v>348</v>
      </c>
      <c r="E150" s="91">
        <v>736</v>
      </c>
      <c r="I150" s="92">
        <f t="shared" si="2"/>
        <v>736</v>
      </c>
    </row>
    <row r="151" spans="1:9" x14ac:dyDescent="0.2">
      <c r="A151" t="s">
        <v>104</v>
      </c>
      <c r="B151" s="91">
        <v>10</v>
      </c>
      <c r="D151" t="s">
        <v>353</v>
      </c>
      <c r="E151" s="91">
        <v>735.5</v>
      </c>
      <c r="I151" s="92">
        <f t="shared" si="2"/>
        <v>735.5</v>
      </c>
    </row>
    <row r="152" spans="1:9" x14ac:dyDescent="0.2">
      <c r="A152" t="s">
        <v>105</v>
      </c>
      <c r="B152" s="91">
        <v>38.700000000000003</v>
      </c>
      <c r="D152" t="s">
        <v>895</v>
      </c>
      <c r="E152" s="91">
        <v>720</v>
      </c>
      <c r="G152" s="91">
        <v>720</v>
      </c>
      <c r="I152" s="92">
        <f t="shared" si="2"/>
        <v>0</v>
      </c>
    </row>
    <row r="153" spans="1:9" x14ac:dyDescent="0.2">
      <c r="A153" t="s">
        <v>106</v>
      </c>
      <c r="B153" s="91">
        <v>11</v>
      </c>
      <c r="D153" t="s">
        <v>173</v>
      </c>
      <c r="E153" s="91">
        <v>712</v>
      </c>
      <c r="I153" s="92">
        <f t="shared" si="2"/>
        <v>712</v>
      </c>
    </row>
    <row r="154" spans="1:9" x14ac:dyDescent="0.2">
      <c r="A154" t="s">
        <v>107</v>
      </c>
      <c r="B154" s="91">
        <v>11</v>
      </c>
      <c r="D154" t="s">
        <v>1070</v>
      </c>
      <c r="E154" s="91">
        <v>712</v>
      </c>
      <c r="I154" s="92">
        <f t="shared" si="2"/>
        <v>712</v>
      </c>
    </row>
    <row r="155" spans="1:9" x14ac:dyDescent="0.2">
      <c r="A155" t="s">
        <v>107</v>
      </c>
      <c r="B155" s="91">
        <v>7.5</v>
      </c>
      <c r="D155" t="s">
        <v>52</v>
      </c>
      <c r="E155" s="91">
        <v>710</v>
      </c>
      <c r="I155" s="92">
        <f t="shared" si="2"/>
        <v>710</v>
      </c>
    </row>
    <row r="156" spans="1:9" x14ac:dyDescent="0.2">
      <c r="A156" t="s">
        <v>107</v>
      </c>
      <c r="B156" s="91">
        <v>7.75</v>
      </c>
      <c r="D156" t="s">
        <v>145</v>
      </c>
      <c r="E156" s="91">
        <v>710</v>
      </c>
      <c r="I156" s="92">
        <f t="shared" si="2"/>
        <v>710</v>
      </c>
    </row>
    <row r="157" spans="1:9" x14ac:dyDescent="0.2">
      <c r="A157" t="s">
        <v>107</v>
      </c>
      <c r="B157" s="91">
        <v>6.5</v>
      </c>
      <c r="D157" t="s">
        <v>707</v>
      </c>
      <c r="E157" s="91">
        <v>710</v>
      </c>
      <c r="I157" s="92">
        <f t="shared" si="2"/>
        <v>710</v>
      </c>
    </row>
    <row r="158" spans="1:9" x14ac:dyDescent="0.2">
      <c r="A158" t="s">
        <v>108</v>
      </c>
      <c r="B158" s="91">
        <v>10</v>
      </c>
      <c r="D158" t="s">
        <v>40</v>
      </c>
      <c r="E158" s="91">
        <v>708</v>
      </c>
      <c r="I158" s="92">
        <f t="shared" si="2"/>
        <v>708</v>
      </c>
    </row>
    <row r="159" spans="1:9" x14ac:dyDescent="0.2">
      <c r="A159" t="s">
        <v>108</v>
      </c>
      <c r="B159" s="91">
        <v>10.25</v>
      </c>
      <c r="D159" t="s">
        <v>193</v>
      </c>
      <c r="E159" s="91">
        <v>708</v>
      </c>
      <c r="I159" s="92">
        <f t="shared" si="2"/>
        <v>708</v>
      </c>
    </row>
    <row r="160" spans="1:9" x14ac:dyDescent="0.2">
      <c r="A160" t="s">
        <v>109</v>
      </c>
      <c r="B160" s="91">
        <v>22.5</v>
      </c>
      <c r="D160" t="s">
        <v>270</v>
      </c>
      <c r="E160" s="91">
        <v>708</v>
      </c>
      <c r="I160" s="92">
        <f t="shared" si="2"/>
        <v>708</v>
      </c>
    </row>
    <row r="161" spans="1:9" x14ac:dyDescent="0.2">
      <c r="A161" t="s">
        <v>109</v>
      </c>
      <c r="B161" s="91">
        <v>7.75</v>
      </c>
      <c r="D161" t="s">
        <v>651</v>
      </c>
      <c r="E161" s="91">
        <v>708</v>
      </c>
      <c r="I161" s="92">
        <f t="shared" si="2"/>
        <v>708</v>
      </c>
    </row>
    <row r="162" spans="1:9" x14ac:dyDescent="0.2">
      <c r="A162" t="s">
        <v>109</v>
      </c>
      <c r="B162" s="91">
        <v>18.5</v>
      </c>
      <c r="D162" t="s">
        <v>711</v>
      </c>
      <c r="E162" s="91">
        <v>708</v>
      </c>
      <c r="I162" s="92">
        <f t="shared" si="2"/>
        <v>708</v>
      </c>
    </row>
    <row r="163" spans="1:9" x14ac:dyDescent="0.2">
      <c r="A163" t="s">
        <v>110</v>
      </c>
      <c r="B163" s="91">
        <v>45.5</v>
      </c>
      <c r="D163" t="s">
        <v>416</v>
      </c>
      <c r="E163" s="91">
        <v>702</v>
      </c>
      <c r="I163" s="92">
        <f t="shared" si="2"/>
        <v>702</v>
      </c>
    </row>
    <row r="164" spans="1:9" x14ac:dyDescent="0.2">
      <c r="A164" t="s">
        <v>111</v>
      </c>
      <c r="B164" s="91">
        <v>61.5</v>
      </c>
      <c r="G164" s="91">
        <v>687.5</v>
      </c>
      <c r="I164" s="92">
        <f t="shared" si="2"/>
        <v>-687.5</v>
      </c>
    </row>
    <row r="165" spans="1:9" x14ac:dyDescent="0.2">
      <c r="A165" t="s">
        <v>111</v>
      </c>
      <c r="B165" s="91">
        <v>36.75</v>
      </c>
      <c r="D165" t="s">
        <v>253</v>
      </c>
      <c r="E165" s="91">
        <v>682.2</v>
      </c>
      <c r="I165" s="92">
        <f t="shared" si="2"/>
        <v>682.2</v>
      </c>
    </row>
    <row r="166" spans="1:9" x14ac:dyDescent="0.2">
      <c r="A166" t="s">
        <v>111</v>
      </c>
      <c r="B166" s="91">
        <v>91.25</v>
      </c>
      <c r="D166" t="s">
        <v>484</v>
      </c>
      <c r="E166" s="91">
        <v>666.51</v>
      </c>
      <c r="I166" s="92">
        <f t="shared" si="2"/>
        <v>666.51</v>
      </c>
    </row>
    <row r="167" spans="1:9" x14ac:dyDescent="0.2">
      <c r="A167" t="s">
        <v>111</v>
      </c>
      <c r="B167" s="91">
        <v>38.75</v>
      </c>
      <c r="D167" t="s">
        <v>176</v>
      </c>
      <c r="E167" s="91">
        <v>663.75</v>
      </c>
      <c r="I167" s="92">
        <f t="shared" si="2"/>
        <v>663.75</v>
      </c>
    </row>
    <row r="168" spans="1:9" x14ac:dyDescent="0.2">
      <c r="A168" t="s">
        <v>112</v>
      </c>
      <c r="B168" s="91">
        <v>156</v>
      </c>
      <c r="D168" t="s">
        <v>397</v>
      </c>
      <c r="E168" s="91">
        <v>660</v>
      </c>
      <c r="I168" s="92">
        <f t="shared" si="2"/>
        <v>660</v>
      </c>
    </row>
    <row r="169" spans="1:9" x14ac:dyDescent="0.2">
      <c r="A169" t="s">
        <v>113</v>
      </c>
      <c r="B169" s="91">
        <v>23.62</v>
      </c>
      <c r="G169" s="91">
        <v>656.75</v>
      </c>
      <c r="I169" s="92">
        <f t="shared" si="2"/>
        <v>-656.75</v>
      </c>
    </row>
    <row r="170" spans="1:9" x14ac:dyDescent="0.2">
      <c r="A170" t="s">
        <v>114</v>
      </c>
      <c r="B170" s="91">
        <v>81.5</v>
      </c>
      <c r="D170" t="s">
        <v>44</v>
      </c>
      <c r="E170" s="91">
        <v>630</v>
      </c>
      <c r="I170" s="92">
        <f t="shared" si="2"/>
        <v>630</v>
      </c>
    </row>
    <row r="171" spans="1:9" x14ac:dyDescent="0.2">
      <c r="A171" t="s">
        <v>115</v>
      </c>
      <c r="B171" s="91">
        <v>27.75</v>
      </c>
      <c r="D171" t="s">
        <v>700</v>
      </c>
      <c r="E171" s="91">
        <v>630</v>
      </c>
      <c r="I171" s="92">
        <f t="shared" si="2"/>
        <v>630</v>
      </c>
    </row>
    <row r="172" spans="1:9" x14ac:dyDescent="0.2">
      <c r="A172" t="s">
        <v>115</v>
      </c>
      <c r="B172" s="91">
        <v>24.3</v>
      </c>
      <c r="D172" t="s">
        <v>761</v>
      </c>
      <c r="E172" s="91">
        <v>630</v>
      </c>
      <c r="I172" s="92">
        <f t="shared" si="2"/>
        <v>630</v>
      </c>
    </row>
    <row r="173" spans="1:9" x14ac:dyDescent="0.2">
      <c r="A173" t="s">
        <v>116</v>
      </c>
      <c r="B173" s="91">
        <v>18.899999999999999</v>
      </c>
      <c r="D173" t="s">
        <v>957</v>
      </c>
      <c r="E173" s="91">
        <v>630</v>
      </c>
      <c r="I173" s="92">
        <f t="shared" si="2"/>
        <v>630</v>
      </c>
    </row>
    <row r="174" spans="1:9" x14ac:dyDescent="0.2">
      <c r="A174" t="s">
        <v>117</v>
      </c>
      <c r="B174" s="91">
        <v>16.87</v>
      </c>
      <c r="D174" t="s">
        <v>960</v>
      </c>
      <c r="E174" s="91">
        <v>630</v>
      </c>
      <c r="I174" s="92">
        <f t="shared" si="2"/>
        <v>630</v>
      </c>
    </row>
    <row r="175" spans="1:9" x14ac:dyDescent="0.2">
      <c r="A175" t="s">
        <v>118</v>
      </c>
      <c r="B175" s="91">
        <v>36</v>
      </c>
      <c r="D175" t="s">
        <v>716</v>
      </c>
      <c r="E175" s="91">
        <v>621</v>
      </c>
      <c r="I175" s="92">
        <f t="shared" si="2"/>
        <v>621</v>
      </c>
    </row>
    <row r="176" spans="1:9" x14ac:dyDescent="0.2">
      <c r="A176" t="s">
        <v>119</v>
      </c>
      <c r="B176" s="91">
        <v>10</v>
      </c>
      <c r="D176" t="s">
        <v>36</v>
      </c>
      <c r="E176" s="91">
        <v>618</v>
      </c>
      <c r="I176" s="92">
        <f t="shared" si="2"/>
        <v>618</v>
      </c>
    </row>
    <row r="177" spans="1:9" x14ac:dyDescent="0.2">
      <c r="A177" t="s">
        <v>119</v>
      </c>
      <c r="B177" s="91">
        <v>10</v>
      </c>
      <c r="D177" t="s">
        <v>372</v>
      </c>
      <c r="E177" s="91">
        <v>618</v>
      </c>
      <c r="I177" s="92">
        <f t="shared" si="2"/>
        <v>618</v>
      </c>
    </row>
    <row r="178" spans="1:9" x14ac:dyDescent="0.2">
      <c r="A178" t="s">
        <v>119</v>
      </c>
      <c r="B178" s="91">
        <v>18</v>
      </c>
      <c r="D178" t="s">
        <v>821</v>
      </c>
      <c r="E178" s="91">
        <v>618</v>
      </c>
      <c r="I178" s="92">
        <f t="shared" si="2"/>
        <v>618</v>
      </c>
    </row>
    <row r="179" spans="1:9" x14ac:dyDescent="0.2">
      <c r="A179" t="s">
        <v>119</v>
      </c>
      <c r="B179" s="91">
        <v>17.5</v>
      </c>
      <c r="D179" t="s">
        <v>907</v>
      </c>
      <c r="E179" s="91">
        <v>618</v>
      </c>
      <c r="I179" s="92">
        <f t="shared" si="2"/>
        <v>618</v>
      </c>
    </row>
    <row r="180" spans="1:9" x14ac:dyDescent="0.2">
      <c r="A180" t="s">
        <v>120</v>
      </c>
      <c r="B180" s="91">
        <v>47.25</v>
      </c>
      <c r="D180" t="s">
        <v>963</v>
      </c>
      <c r="E180" s="91">
        <v>618</v>
      </c>
      <c r="I180" s="92">
        <f t="shared" si="2"/>
        <v>618</v>
      </c>
    </row>
    <row r="181" spans="1:9" x14ac:dyDescent="0.2">
      <c r="A181" t="s">
        <v>120</v>
      </c>
      <c r="B181" s="91">
        <v>12</v>
      </c>
      <c r="D181" t="s">
        <v>1213</v>
      </c>
      <c r="E181" s="91">
        <v>618</v>
      </c>
      <c r="I181" s="92">
        <f t="shared" si="2"/>
        <v>618</v>
      </c>
    </row>
    <row r="182" spans="1:9" x14ac:dyDescent="0.2">
      <c r="A182" t="s">
        <v>120</v>
      </c>
      <c r="B182" s="91">
        <v>9</v>
      </c>
      <c r="D182" t="s">
        <v>272</v>
      </c>
      <c r="E182" s="91">
        <v>616</v>
      </c>
      <c r="I182" s="92">
        <f t="shared" si="2"/>
        <v>616</v>
      </c>
    </row>
    <row r="183" spans="1:9" x14ac:dyDescent="0.2">
      <c r="A183" t="s">
        <v>121</v>
      </c>
      <c r="B183" s="91">
        <v>86</v>
      </c>
      <c r="D183" t="s">
        <v>1074</v>
      </c>
      <c r="E183" s="91">
        <v>616</v>
      </c>
      <c r="I183" s="92">
        <f t="shared" si="2"/>
        <v>616</v>
      </c>
    </row>
    <row r="184" spans="1:9" x14ac:dyDescent="0.2">
      <c r="A184" t="s">
        <v>121</v>
      </c>
      <c r="B184" s="91">
        <v>68.75</v>
      </c>
      <c r="D184" t="s">
        <v>1042</v>
      </c>
      <c r="E184" s="91">
        <v>614</v>
      </c>
      <c r="I184" s="92">
        <f t="shared" si="2"/>
        <v>614</v>
      </c>
    </row>
    <row r="185" spans="1:9" x14ac:dyDescent="0.2">
      <c r="A185" t="s">
        <v>121</v>
      </c>
      <c r="B185" s="91">
        <v>37</v>
      </c>
      <c r="D185" t="s">
        <v>650</v>
      </c>
      <c r="E185" s="91">
        <v>609.70000000000005</v>
      </c>
      <c r="I185" s="92">
        <f t="shared" si="2"/>
        <v>609.70000000000005</v>
      </c>
    </row>
    <row r="186" spans="1:9" x14ac:dyDescent="0.2">
      <c r="A186" t="s">
        <v>121</v>
      </c>
      <c r="B186" s="91">
        <v>66</v>
      </c>
      <c r="D186" t="s">
        <v>697</v>
      </c>
      <c r="E186" s="91">
        <v>590.25</v>
      </c>
      <c r="I186" s="92">
        <f t="shared" si="2"/>
        <v>590.25</v>
      </c>
    </row>
    <row r="187" spans="1:9" x14ac:dyDescent="0.2">
      <c r="A187" t="s">
        <v>121</v>
      </c>
      <c r="B187" s="91">
        <v>88.5</v>
      </c>
      <c r="D187" t="s">
        <v>470</v>
      </c>
      <c r="E187" s="91">
        <v>587.79999999999995</v>
      </c>
      <c r="I187" s="92">
        <f t="shared" si="2"/>
        <v>587.79999999999995</v>
      </c>
    </row>
    <row r="188" spans="1:9" x14ac:dyDescent="0.2">
      <c r="A188" t="s">
        <v>121</v>
      </c>
      <c r="B188" s="91">
        <v>18.5</v>
      </c>
      <c r="D188" t="s">
        <v>908</v>
      </c>
      <c r="E188" s="91">
        <v>584</v>
      </c>
      <c r="I188" s="92">
        <f t="shared" si="2"/>
        <v>584</v>
      </c>
    </row>
    <row r="189" spans="1:9" x14ac:dyDescent="0.2">
      <c r="A189" t="s">
        <v>122</v>
      </c>
      <c r="B189" s="91">
        <v>19</v>
      </c>
      <c r="D189" t="s">
        <v>1023</v>
      </c>
      <c r="E189" s="91">
        <v>584</v>
      </c>
      <c r="I189" s="92">
        <f t="shared" si="2"/>
        <v>584</v>
      </c>
    </row>
    <row r="190" spans="1:9" x14ac:dyDescent="0.2">
      <c r="A190" t="s">
        <v>122</v>
      </c>
      <c r="B190" s="91">
        <v>31</v>
      </c>
      <c r="D190" t="s">
        <v>869</v>
      </c>
      <c r="E190" s="91">
        <v>580.75</v>
      </c>
      <c r="I190" s="92">
        <f t="shared" si="2"/>
        <v>580.75</v>
      </c>
    </row>
    <row r="191" spans="1:9" x14ac:dyDescent="0.2">
      <c r="A191" t="s">
        <v>122</v>
      </c>
      <c r="B191" s="91">
        <v>43</v>
      </c>
      <c r="D191" t="s">
        <v>324</v>
      </c>
      <c r="E191" s="91">
        <v>579.15</v>
      </c>
      <c r="I191" s="92">
        <f t="shared" si="2"/>
        <v>579.15</v>
      </c>
    </row>
    <row r="192" spans="1:9" x14ac:dyDescent="0.2">
      <c r="A192" t="s">
        <v>122</v>
      </c>
      <c r="B192" s="91">
        <v>66</v>
      </c>
      <c r="D192" t="s">
        <v>694</v>
      </c>
      <c r="E192" s="91">
        <v>570.87</v>
      </c>
      <c r="I192" s="92">
        <f t="shared" si="2"/>
        <v>570.87</v>
      </c>
    </row>
    <row r="193" spans="1:9" x14ac:dyDescent="0.2">
      <c r="A193" t="s">
        <v>122</v>
      </c>
      <c r="B193" s="91">
        <v>57.9</v>
      </c>
      <c r="D193" t="s">
        <v>69</v>
      </c>
      <c r="E193" s="91">
        <v>559.6</v>
      </c>
      <c r="I193" s="92">
        <f t="shared" si="2"/>
        <v>559.6</v>
      </c>
    </row>
    <row r="194" spans="1:9" x14ac:dyDescent="0.2">
      <c r="A194" t="s">
        <v>123</v>
      </c>
      <c r="B194" s="91">
        <v>11</v>
      </c>
      <c r="D194" t="s">
        <v>308</v>
      </c>
      <c r="E194" s="91">
        <v>559.5</v>
      </c>
      <c r="G194" s="91">
        <v>559.5</v>
      </c>
      <c r="I194" s="92">
        <f t="shared" si="2"/>
        <v>0</v>
      </c>
    </row>
    <row r="195" spans="1:9" x14ac:dyDescent="0.2">
      <c r="A195" t="s">
        <v>124</v>
      </c>
      <c r="B195" s="91">
        <v>146.69999999999999</v>
      </c>
      <c r="D195" t="s">
        <v>796</v>
      </c>
      <c r="E195" s="91">
        <v>552</v>
      </c>
      <c r="I195" s="92">
        <f t="shared" ref="I195:I258" si="3">E195-G195</f>
        <v>552</v>
      </c>
    </row>
    <row r="196" spans="1:9" x14ac:dyDescent="0.2">
      <c r="A196" t="s">
        <v>125</v>
      </c>
      <c r="B196" s="91">
        <v>9</v>
      </c>
      <c r="D196" t="s">
        <v>615</v>
      </c>
      <c r="E196" s="91">
        <v>549.45000000000005</v>
      </c>
      <c r="I196" s="92">
        <f t="shared" si="3"/>
        <v>549.45000000000005</v>
      </c>
    </row>
    <row r="197" spans="1:9" x14ac:dyDescent="0.2">
      <c r="A197" t="s">
        <v>126</v>
      </c>
      <c r="B197" s="91">
        <v>121</v>
      </c>
      <c r="D197" t="s">
        <v>551</v>
      </c>
      <c r="E197" s="91">
        <v>539.1</v>
      </c>
      <c r="I197" s="92">
        <f t="shared" si="3"/>
        <v>539.1</v>
      </c>
    </row>
    <row r="198" spans="1:9" x14ac:dyDescent="0.2">
      <c r="A198" t="s">
        <v>126</v>
      </c>
      <c r="B198" s="91">
        <v>12</v>
      </c>
      <c r="D198" t="s">
        <v>139</v>
      </c>
      <c r="E198" s="91">
        <v>534</v>
      </c>
      <c r="I198" s="92">
        <f t="shared" si="3"/>
        <v>534</v>
      </c>
    </row>
    <row r="199" spans="1:9" x14ac:dyDescent="0.2">
      <c r="A199" t="s">
        <v>127</v>
      </c>
      <c r="B199" s="91">
        <v>262</v>
      </c>
      <c r="D199" t="s">
        <v>271</v>
      </c>
      <c r="E199" s="91">
        <v>534</v>
      </c>
      <c r="I199" s="92">
        <f t="shared" si="3"/>
        <v>534</v>
      </c>
    </row>
    <row r="200" spans="1:9" x14ac:dyDescent="0.2">
      <c r="A200" t="s">
        <v>128</v>
      </c>
      <c r="B200" s="91">
        <v>15</v>
      </c>
      <c r="D200" t="s">
        <v>575</v>
      </c>
      <c r="E200" s="91">
        <v>534</v>
      </c>
      <c r="G200" s="91">
        <v>534</v>
      </c>
      <c r="I200" s="92">
        <f t="shared" si="3"/>
        <v>0</v>
      </c>
    </row>
    <row r="201" spans="1:9" x14ac:dyDescent="0.2">
      <c r="A201" t="s">
        <v>129</v>
      </c>
      <c r="B201" s="91">
        <v>524</v>
      </c>
      <c r="D201" t="s">
        <v>1171</v>
      </c>
      <c r="E201" s="91">
        <v>533.5</v>
      </c>
      <c r="I201" s="92">
        <f t="shared" si="3"/>
        <v>533.5</v>
      </c>
    </row>
    <row r="202" spans="1:9" x14ac:dyDescent="0.2">
      <c r="A202" t="s">
        <v>130</v>
      </c>
      <c r="B202" s="91">
        <v>10.5</v>
      </c>
      <c r="D202" t="s">
        <v>280</v>
      </c>
      <c r="E202" s="91">
        <v>528</v>
      </c>
      <c r="I202" s="92">
        <f t="shared" si="3"/>
        <v>528</v>
      </c>
    </row>
    <row r="203" spans="1:9" x14ac:dyDescent="0.2">
      <c r="A203" t="s">
        <v>131</v>
      </c>
      <c r="B203" s="91">
        <v>891</v>
      </c>
      <c r="D203" s="95" t="s">
        <v>1182</v>
      </c>
      <c r="E203" s="93">
        <v>528</v>
      </c>
      <c r="I203" s="92">
        <f t="shared" si="3"/>
        <v>528</v>
      </c>
    </row>
    <row r="204" spans="1:9" x14ac:dyDescent="0.2">
      <c r="A204" t="s">
        <v>131</v>
      </c>
      <c r="B204" s="91">
        <v>297</v>
      </c>
      <c r="D204" t="s">
        <v>102</v>
      </c>
      <c r="E204" s="91">
        <v>524</v>
      </c>
      <c r="I204" s="92">
        <f t="shared" si="3"/>
        <v>524</v>
      </c>
    </row>
    <row r="205" spans="1:9" x14ac:dyDescent="0.2">
      <c r="A205" t="s">
        <v>131</v>
      </c>
      <c r="B205" s="91">
        <v>480</v>
      </c>
      <c r="D205" t="s">
        <v>129</v>
      </c>
      <c r="E205" s="91">
        <v>524</v>
      </c>
      <c r="I205" s="92">
        <f t="shared" si="3"/>
        <v>524</v>
      </c>
    </row>
    <row r="206" spans="1:9" x14ac:dyDescent="0.2">
      <c r="A206" t="s">
        <v>131</v>
      </c>
      <c r="B206" s="91">
        <v>-86</v>
      </c>
      <c r="D206" t="s">
        <v>684</v>
      </c>
      <c r="E206" s="91">
        <v>524</v>
      </c>
      <c r="I206" s="92">
        <f t="shared" si="3"/>
        <v>524</v>
      </c>
    </row>
    <row r="207" spans="1:9" x14ac:dyDescent="0.2">
      <c r="A207" t="s">
        <v>131</v>
      </c>
      <c r="B207" s="91">
        <v>34.75</v>
      </c>
      <c r="D207" t="s">
        <v>910</v>
      </c>
      <c r="E207" s="91">
        <v>524</v>
      </c>
      <c r="I207" s="92">
        <f t="shared" si="3"/>
        <v>524</v>
      </c>
    </row>
    <row r="208" spans="1:9" x14ac:dyDescent="0.2">
      <c r="A208" t="s">
        <v>132</v>
      </c>
      <c r="B208" s="91">
        <v>22</v>
      </c>
      <c r="D208" t="s">
        <v>1017</v>
      </c>
      <c r="E208" s="91">
        <v>524</v>
      </c>
      <c r="I208" s="92">
        <f t="shared" si="3"/>
        <v>524</v>
      </c>
    </row>
    <row r="209" spans="1:9" x14ac:dyDescent="0.2">
      <c r="A209" t="s">
        <v>133</v>
      </c>
      <c r="B209" s="91">
        <v>18</v>
      </c>
      <c r="D209" t="s">
        <v>542</v>
      </c>
      <c r="E209" s="91">
        <v>522.75</v>
      </c>
      <c r="I209" s="92">
        <f t="shared" si="3"/>
        <v>522.75</v>
      </c>
    </row>
    <row r="210" spans="1:9" x14ac:dyDescent="0.2">
      <c r="A210" t="s">
        <v>134</v>
      </c>
      <c r="B210" s="91">
        <v>131</v>
      </c>
      <c r="D210" t="s">
        <v>1157</v>
      </c>
      <c r="E210" s="91">
        <v>513</v>
      </c>
      <c r="I210" s="92">
        <f t="shared" si="3"/>
        <v>513</v>
      </c>
    </row>
    <row r="211" spans="1:9" x14ac:dyDescent="0.2">
      <c r="A211" t="s">
        <v>135</v>
      </c>
      <c r="B211" s="91">
        <v>396</v>
      </c>
      <c r="D211" t="s">
        <v>511</v>
      </c>
      <c r="E211" s="91">
        <v>512</v>
      </c>
      <c r="I211" s="92">
        <f t="shared" si="3"/>
        <v>512</v>
      </c>
    </row>
    <row r="212" spans="1:9" x14ac:dyDescent="0.2">
      <c r="A212" t="s">
        <v>136</v>
      </c>
      <c r="B212" s="91">
        <v>178</v>
      </c>
      <c r="D212" t="s">
        <v>765</v>
      </c>
      <c r="E212" s="91">
        <v>509.5</v>
      </c>
      <c r="I212" s="92">
        <f t="shared" si="3"/>
        <v>509.5</v>
      </c>
    </row>
    <row r="213" spans="1:9" x14ac:dyDescent="0.2">
      <c r="A213" t="s">
        <v>137</v>
      </c>
      <c r="B213" s="91">
        <v>22</v>
      </c>
      <c r="D213" t="s">
        <v>313</v>
      </c>
      <c r="E213" s="91">
        <v>504.22</v>
      </c>
      <c r="I213" s="92">
        <f t="shared" si="3"/>
        <v>504.22</v>
      </c>
    </row>
    <row r="214" spans="1:9" x14ac:dyDescent="0.2">
      <c r="A214" t="s">
        <v>137</v>
      </c>
      <c r="B214" s="91">
        <v>23.75</v>
      </c>
      <c r="D214" t="s">
        <v>578</v>
      </c>
      <c r="E214" s="91">
        <v>500</v>
      </c>
      <c r="I214" s="92">
        <f t="shared" si="3"/>
        <v>500</v>
      </c>
    </row>
    <row r="215" spans="1:9" x14ac:dyDescent="0.2">
      <c r="A215" t="s">
        <v>138</v>
      </c>
      <c r="B215" s="91">
        <v>18.75</v>
      </c>
      <c r="D215" t="s">
        <v>316</v>
      </c>
      <c r="E215" s="91">
        <v>499.5</v>
      </c>
      <c r="I215" s="92">
        <f t="shared" si="3"/>
        <v>499.5</v>
      </c>
    </row>
    <row r="216" spans="1:9" x14ac:dyDescent="0.2">
      <c r="A216" t="s">
        <v>138</v>
      </c>
      <c r="B216" s="91">
        <v>59.5</v>
      </c>
      <c r="D216" t="s">
        <v>603</v>
      </c>
      <c r="E216" s="91">
        <v>495.75</v>
      </c>
      <c r="I216" s="92">
        <f t="shared" si="3"/>
        <v>495.75</v>
      </c>
    </row>
    <row r="217" spans="1:9" x14ac:dyDescent="0.2">
      <c r="A217" t="s">
        <v>138</v>
      </c>
      <c r="B217" s="91">
        <v>10</v>
      </c>
      <c r="D217" t="s">
        <v>568</v>
      </c>
      <c r="E217" s="91">
        <v>486</v>
      </c>
      <c r="I217" s="92">
        <f t="shared" si="3"/>
        <v>486</v>
      </c>
    </row>
    <row r="218" spans="1:9" x14ac:dyDescent="0.2">
      <c r="A218" t="s">
        <v>138</v>
      </c>
      <c r="B218" s="91">
        <v>112.5</v>
      </c>
      <c r="D218" t="s">
        <v>994</v>
      </c>
      <c r="E218" s="91">
        <v>486</v>
      </c>
      <c r="I218" s="92">
        <f t="shared" si="3"/>
        <v>486</v>
      </c>
    </row>
    <row r="219" spans="1:9" x14ac:dyDescent="0.2">
      <c r="A219" t="s">
        <v>138</v>
      </c>
      <c r="B219" s="91">
        <v>75</v>
      </c>
      <c r="D219" s="95" t="s">
        <v>1185</v>
      </c>
      <c r="E219" s="93">
        <v>480</v>
      </c>
      <c r="G219" s="91">
        <v>480</v>
      </c>
      <c r="I219" s="92">
        <f t="shared" si="3"/>
        <v>0</v>
      </c>
    </row>
    <row r="220" spans="1:9" x14ac:dyDescent="0.2">
      <c r="A220" t="s">
        <v>138</v>
      </c>
      <c r="B220" s="91">
        <v>87.5</v>
      </c>
      <c r="D220" s="95" t="s">
        <v>1167</v>
      </c>
      <c r="E220" s="93">
        <v>460.75</v>
      </c>
      <c r="G220" s="91">
        <v>460.75</v>
      </c>
      <c r="I220" s="92">
        <f t="shared" si="3"/>
        <v>0</v>
      </c>
    </row>
    <row r="221" spans="1:9" x14ac:dyDescent="0.2">
      <c r="A221" t="s">
        <v>139</v>
      </c>
      <c r="B221" s="91">
        <v>120</v>
      </c>
      <c r="D221" t="s">
        <v>383</v>
      </c>
      <c r="E221" s="91">
        <v>454</v>
      </c>
      <c r="I221" s="92">
        <f t="shared" si="3"/>
        <v>454</v>
      </c>
    </row>
    <row r="222" spans="1:9" x14ac:dyDescent="0.2">
      <c r="A222" t="s">
        <v>139</v>
      </c>
      <c r="B222" s="91">
        <v>120</v>
      </c>
      <c r="D222" t="s">
        <v>1231</v>
      </c>
      <c r="E222" s="91">
        <v>452</v>
      </c>
      <c r="I222" s="92">
        <f t="shared" si="3"/>
        <v>452</v>
      </c>
    </row>
    <row r="223" spans="1:9" x14ac:dyDescent="0.2">
      <c r="A223" t="s">
        <v>139</v>
      </c>
      <c r="B223" s="91">
        <v>294</v>
      </c>
      <c r="D223" t="s">
        <v>78</v>
      </c>
      <c r="E223" s="91">
        <v>450</v>
      </c>
      <c r="I223" s="92">
        <f t="shared" si="3"/>
        <v>450</v>
      </c>
    </row>
    <row r="224" spans="1:9" x14ac:dyDescent="0.2">
      <c r="A224" t="s">
        <v>140</v>
      </c>
      <c r="B224" s="91">
        <v>297</v>
      </c>
      <c r="D224" t="s">
        <v>349</v>
      </c>
      <c r="E224" s="91">
        <v>444.25</v>
      </c>
      <c r="I224" s="92">
        <f t="shared" si="3"/>
        <v>444.25</v>
      </c>
    </row>
    <row r="225" spans="1:9" x14ac:dyDescent="0.2">
      <c r="A225" t="s">
        <v>140</v>
      </c>
      <c r="B225" s="91">
        <v>480</v>
      </c>
      <c r="D225" t="s">
        <v>435</v>
      </c>
      <c r="E225" s="91">
        <v>442.5</v>
      </c>
      <c r="I225" s="92">
        <f t="shared" si="3"/>
        <v>442.5</v>
      </c>
    </row>
    <row r="226" spans="1:9" x14ac:dyDescent="0.2">
      <c r="A226" t="s">
        <v>140</v>
      </c>
      <c r="B226" s="91">
        <v>120</v>
      </c>
      <c r="D226" t="s">
        <v>221</v>
      </c>
      <c r="E226" s="91">
        <v>440</v>
      </c>
      <c r="I226" s="92">
        <f t="shared" si="3"/>
        <v>440</v>
      </c>
    </row>
    <row r="227" spans="1:9" x14ac:dyDescent="0.2">
      <c r="A227" t="s">
        <v>140</v>
      </c>
      <c r="B227" s="91">
        <v>-101</v>
      </c>
      <c r="D227" t="s">
        <v>235</v>
      </c>
      <c r="E227" s="91">
        <v>440</v>
      </c>
      <c r="I227" s="92">
        <f t="shared" si="3"/>
        <v>440</v>
      </c>
    </row>
    <row r="228" spans="1:9" x14ac:dyDescent="0.2">
      <c r="A228" t="s">
        <v>141</v>
      </c>
      <c r="B228" s="91">
        <v>45</v>
      </c>
      <c r="D228" t="s">
        <v>543</v>
      </c>
      <c r="E228" s="91">
        <v>440</v>
      </c>
      <c r="I228" s="92">
        <f t="shared" si="3"/>
        <v>440</v>
      </c>
    </row>
    <row r="229" spans="1:9" x14ac:dyDescent="0.2">
      <c r="A229" t="s">
        <v>141</v>
      </c>
      <c r="B229" s="91">
        <v>19.25</v>
      </c>
      <c r="D229" t="s">
        <v>629</v>
      </c>
      <c r="E229" s="91">
        <v>440</v>
      </c>
      <c r="I229" s="92">
        <f t="shared" si="3"/>
        <v>440</v>
      </c>
    </row>
    <row r="230" spans="1:9" x14ac:dyDescent="0.2">
      <c r="A230" t="s">
        <v>141</v>
      </c>
      <c r="B230" s="91">
        <v>22</v>
      </c>
      <c r="D230" t="s">
        <v>683</v>
      </c>
      <c r="E230" s="91">
        <v>440</v>
      </c>
      <c r="I230" s="92">
        <f t="shared" si="3"/>
        <v>440</v>
      </c>
    </row>
    <row r="231" spans="1:9" x14ac:dyDescent="0.2">
      <c r="A231" t="s">
        <v>141</v>
      </c>
      <c r="B231" s="91">
        <v>87.75</v>
      </c>
      <c r="D231" t="s">
        <v>819</v>
      </c>
      <c r="E231" s="91">
        <v>440</v>
      </c>
      <c r="I231" s="92">
        <f t="shared" si="3"/>
        <v>440</v>
      </c>
    </row>
    <row r="232" spans="1:9" x14ac:dyDescent="0.2">
      <c r="A232" t="s">
        <v>141</v>
      </c>
      <c r="B232" s="91">
        <v>95.25</v>
      </c>
      <c r="D232" t="s">
        <v>855</v>
      </c>
      <c r="E232" s="91">
        <v>440</v>
      </c>
      <c r="I232" s="92">
        <f t="shared" si="3"/>
        <v>440</v>
      </c>
    </row>
    <row r="233" spans="1:9" x14ac:dyDescent="0.2">
      <c r="A233" t="s">
        <v>141</v>
      </c>
      <c r="B233" s="91">
        <v>216.25</v>
      </c>
      <c r="D233" t="s">
        <v>929</v>
      </c>
      <c r="E233" s="91">
        <v>440</v>
      </c>
      <c r="I233" s="92">
        <f t="shared" si="3"/>
        <v>440</v>
      </c>
    </row>
    <row r="234" spans="1:9" x14ac:dyDescent="0.2">
      <c r="A234" t="s">
        <v>141</v>
      </c>
      <c r="B234" s="91">
        <v>144</v>
      </c>
      <c r="D234" t="s">
        <v>1168</v>
      </c>
      <c r="E234" s="91">
        <v>440</v>
      </c>
      <c r="I234" s="92">
        <f t="shared" si="3"/>
        <v>440</v>
      </c>
    </row>
    <row r="235" spans="1:9" x14ac:dyDescent="0.2">
      <c r="A235" t="s">
        <v>141</v>
      </c>
      <c r="B235" s="91">
        <v>37.5</v>
      </c>
      <c r="D235" t="s">
        <v>1143</v>
      </c>
      <c r="E235" s="91">
        <v>436.25</v>
      </c>
      <c r="I235" s="92">
        <f t="shared" si="3"/>
        <v>436.25</v>
      </c>
    </row>
    <row r="236" spans="1:9" x14ac:dyDescent="0.2">
      <c r="A236" t="s">
        <v>141</v>
      </c>
      <c r="B236" s="91">
        <v>134</v>
      </c>
      <c r="D236" t="s">
        <v>886</v>
      </c>
      <c r="E236" s="91">
        <v>429</v>
      </c>
      <c r="I236" s="92">
        <f t="shared" si="3"/>
        <v>429</v>
      </c>
    </row>
    <row r="237" spans="1:9" x14ac:dyDescent="0.2">
      <c r="A237" t="s">
        <v>141</v>
      </c>
      <c r="B237" s="91">
        <v>217.5</v>
      </c>
      <c r="D237" t="s">
        <v>737</v>
      </c>
      <c r="E237" s="91">
        <v>423.25</v>
      </c>
      <c r="I237" s="92">
        <f t="shared" si="3"/>
        <v>423.25</v>
      </c>
    </row>
    <row r="238" spans="1:9" x14ac:dyDescent="0.2">
      <c r="A238" t="s">
        <v>141</v>
      </c>
      <c r="B238" s="91">
        <v>11.5</v>
      </c>
      <c r="D238" t="s">
        <v>548</v>
      </c>
      <c r="E238" s="91">
        <v>420.5</v>
      </c>
      <c r="I238" s="92">
        <f t="shared" si="3"/>
        <v>420.5</v>
      </c>
    </row>
    <row r="239" spans="1:9" x14ac:dyDescent="0.2">
      <c r="A239" t="s">
        <v>142</v>
      </c>
      <c r="B239" s="91">
        <v>249</v>
      </c>
      <c r="D239" t="s">
        <v>478</v>
      </c>
      <c r="E239" s="91">
        <v>418.25</v>
      </c>
      <c r="I239" s="92">
        <f t="shared" si="3"/>
        <v>418.25</v>
      </c>
    </row>
    <row r="240" spans="1:9" x14ac:dyDescent="0.2">
      <c r="A240" t="s">
        <v>142</v>
      </c>
      <c r="B240" s="91">
        <v>46.75</v>
      </c>
      <c r="D240" t="s">
        <v>1092</v>
      </c>
      <c r="E240" s="91">
        <v>408</v>
      </c>
      <c r="G240" s="91">
        <v>408</v>
      </c>
      <c r="I240" s="92">
        <f t="shared" si="3"/>
        <v>0</v>
      </c>
    </row>
    <row r="241" spans="1:9" x14ac:dyDescent="0.2">
      <c r="A241" t="s">
        <v>142</v>
      </c>
      <c r="B241" s="91">
        <v>192</v>
      </c>
      <c r="G241" s="91">
        <v>401.75</v>
      </c>
      <c r="I241" s="92">
        <f t="shared" si="3"/>
        <v>-401.75</v>
      </c>
    </row>
    <row r="242" spans="1:9" x14ac:dyDescent="0.2">
      <c r="A242" t="s">
        <v>142</v>
      </c>
      <c r="B242" s="91">
        <v>15.5</v>
      </c>
      <c r="D242" t="s">
        <v>135</v>
      </c>
      <c r="E242" s="91">
        <v>396</v>
      </c>
      <c r="I242" s="92">
        <f t="shared" si="3"/>
        <v>396</v>
      </c>
    </row>
    <row r="243" spans="1:9" x14ac:dyDescent="0.2">
      <c r="A243" t="s">
        <v>142</v>
      </c>
      <c r="B243" s="91">
        <v>45.75</v>
      </c>
      <c r="D243" t="s">
        <v>1232</v>
      </c>
      <c r="E243" s="91">
        <v>396</v>
      </c>
      <c r="I243" s="92">
        <f t="shared" si="3"/>
        <v>396</v>
      </c>
    </row>
    <row r="244" spans="1:9" x14ac:dyDescent="0.2">
      <c r="A244" t="s">
        <v>142</v>
      </c>
      <c r="B244" s="91">
        <v>85</v>
      </c>
      <c r="D244" t="s">
        <v>247</v>
      </c>
      <c r="E244" s="91">
        <v>393</v>
      </c>
      <c r="I244" s="92">
        <f t="shared" si="3"/>
        <v>393</v>
      </c>
    </row>
    <row r="245" spans="1:9" x14ac:dyDescent="0.2">
      <c r="A245" t="s">
        <v>142</v>
      </c>
      <c r="B245" s="91">
        <v>67</v>
      </c>
      <c r="D245" t="s">
        <v>984</v>
      </c>
      <c r="E245" s="91">
        <v>393</v>
      </c>
      <c r="I245" s="92">
        <f t="shared" si="3"/>
        <v>393</v>
      </c>
    </row>
    <row r="246" spans="1:9" x14ac:dyDescent="0.2">
      <c r="A246" t="s">
        <v>142</v>
      </c>
      <c r="B246" s="91">
        <v>108.75</v>
      </c>
      <c r="D246" t="s">
        <v>1116</v>
      </c>
      <c r="E246" s="91">
        <v>393</v>
      </c>
      <c r="I246" s="92">
        <f t="shared" si="3"/>
        <v>393</v>
      </c>
    </row>
    <row r="247" spans="1:9" x14ac:dyDescent="0.2">
      <c r="A247" t="s">
        <v>143</v>
      </c>
      <c r="B247" s="91">
        <v>26.55</v>
      </c>
      <c r="D247" t="s">
        <v>1129</v>
      </c>
      <c r="E247" s="91">
        <v>393</v>
      </c>
      <c r="I247" s="92">
        <f t="shared" si="3"/>
        <v>393</v>
      </c>
    </row>
    <row r="248" spans="1:9" x14ac:dyDescent="0.2">
      <c r="A248" t="s">
        <v>144</v>
      </c>
      <c r="B248" s="91">
        <v>10</v>
      </c>
      <c r="D248" t="s">
        <v>537</v>
      </c>
      <c r="E248" s="91">
        <v>383.8</v>
      </c>
      <c r="I248" s="92">
        <f t="shared" si="3"/>
        <v>383.8</v>
      </c>
    </row>
    <row r="249" spans="1:9" x14ac:dyDescent="0.2">
      <c r="A249" t="s">
        <v>145</v>
      </c>
      <c r="B249" s="91">
        <v>480</v>
      </c>
      <c r="D249" t="s">
        <v>453</v>
      </c>
      <c r="E249" s="91">
        <v>380</v>
      </c>
      <c r="I249" s="92">
        <f t="shared" si="3"/>
        <v>380</v>
      </c>
    </row>
    <row r="250" spans="1:9" x14ac:dyDescent="0.2">
      <c r="A250" t="s">
        <v>145</v>
      </c>
      <c r="B250" s="91">
        <v>230</v>
      </c>
      <c r="D250" t="s">
        <v>456</v>
      </c>
      <c r="E250" s="91">
        <v>380</v>
      </c>
      <c r="I250" s="92">
        <f t="shared" si="3"/>
        <v>380</v>
      </c>
    </row>
    <row r="251" spans="1:9" x14ac:dyDescent="0.2">
      <c r="A251" t="s">
        <v>146</v>
      </c>
      <c r="B251" s="91">
        <v>14.75</v>
      </c>
      <c r="D251" t="s">
        <v>663</v>
      </c>
      <c r="E251" s="91">
        <v>380</v>
      </c>
      <c r="I251" s="92">
        <f t="shared" si="3"/>
        <v>380</v>
      </c>
    </row>
    <row r="252" spans="1:9" x14ac:dyDescent="0.2">
      <c r="A252" t="s">
        <v>147</v>
      </c>
      <c r="B252" s="91">
        <v>21</v>
      </c>
      <c r="D252" t="s">
        <v>876</v>
      </c>
      <c r="E252" s="91">
        <v>380</v>
      </c>
      <c r="I252" s="92">
        <f t="shared" si="3"/>
        <v>380</v>
      </c>
    </row>
    <row r="253" spans="1:9" x14ac:dyDescent="0.2">
      <c r="A253" t="s">
        <v>148</v>
      </c>
      <c r="B253" s="91">
        <v>7.5</v>
      </c>
      <c r="D253" t="s">
        <v>918</v>
      </c>
      <c r="E253" s="91">
        <v>380</v>
      </c>
      <c r="I253" s="92">
        <f t="shared" si="3"/>
        <v>380</v>
      </c>
    </row>
    <row r="254" spans="1:9" x14ac:dyDescent="0.2">
      <c r="A254" t="s">
        <v>148</v>
      </c>
      <c r="B254" s="91">
        <v>7.5</v>
      </c>
      <c r="D254" t="s">
        <v>881</v>
      </c>
      <c r="E254" s="91">
        <v>366.25</v>
      </c>
      <c r="I254" s="92">
        <f t="shared" si="3"/>
        <v>366.25</v>
      </c>
    </row>
    <row r="255" spans="1:9" x14ac:dyDescent="0.2">
      <c r="A255" t="s">
        <v>149</v>
      </c>
      <c r="B255" s="91">
        <v>39</v>
      </c>
      <c r="D255" t="s">
        <v>121</v>
      </c>
      <c r="E255" s="91">
        <v>364.75</v>
      </c>
      <c r="I255" s="92">
        <f t="shared" si="3"/>
        <v>364.75</v>
      </c>
    </row>
    <row r="256" spans="1:9" x14ac:dyDescent="0.2">
      <c r="A256" t="s">
        <v>150</v>
      </c>
      <c r="B256" s="91">
        <v>20</v>
      </c>
      <c r="D256" t="s">
        <v>138</v>
      </c>
      <c r="E256" s="91">
        <v>363.25</v>
      </c>
      <c r="G256" s="91">
        <v>363.25</v>
      </c>
      <c r="I256" s="92">
        <f t="shared" si="3"/>
        <v>0</v>
      </c>
    </row>
    <row r="257" spans="1:9" x14ac:dyDescent="0.2">
      <c r="A257" t="s">
        <v>151</v>
      </c>
      <c r="B257" s="91">
        <v>13.75</v>
      </c>
      <c r="D257" t="s">
        <v>91</v>
      </c>
      <c r="E257" s="91">
        <v>361</v>
      </c>
      <c r="I257" s="92">
        <f t="shared" si="3"/>
        <v>361</v>
      </c>
    </row>
    <row r="258" spans="1:9" x14ac:dyDescent="0.2">
      <c r="A258" t="s">
        <v>152</v>
      </c>
      <c r="B258" s="91">
        <v>270</v>
      </c>
      <c r="D258" t="s">
        <v>85</v>
      </c>
      <c r="E258" s="91">
        <v>360.75</v>
      </c>
      <c r="I258" s="92">
        <f t="shared" si="3"/>
        <v>360.75</v>
      </c>
    </row>
    <row r="259" spans="1:9" x14ac:dyDescent="0.2">
      <c r="A259" t="s">
        <v>152</v>
      </c>
      <c r="B259" s="91">
        <v>85</v>
      </c>
      <c r="D259" t="s">
        <v>213</v>
      </c>
      <c r="E259" s="91">
        <v>356</v>
      </c>
      <c r="I259" s="92">
        <f t="shared" ref="I259:I322" si="4">E259-G259</f>
        <v>356</v>
      </c>
    </row>
    <row r="260" spans="1:9" x14ac:dyDescent="0.2">
      <c r="A260" t="s">
        <v>153</v>
      </c>
      <c r="B260" s="91">
        <v>1287</v>
      </c>
      <c r="D260" t="s">
        <v>365</v>
      </c>
      <c r="E260" s="91">
        <v>356</v>
      </c>
      <c r="I260" s="92">
        <f t="shared" si="4"/>
        <v>356</v>
      </c>
    </row>
    <row r="261" spans="1:9" x14ac:dyDescent="0.2">
      <c r="A261" t="s">
        <v>153</v>
      </c>
      <c r="B261" s="91">
        <v>190.5</v>
      </c>
      <c r="D261" t="s">
        <v>405</v>
      </c>
      <c r="E261" s="91">
        <v>356</v>
      </c>
      <c r="I261" s="92">
        <f t="shared" si="4"/>
        <v>356</v>
      </c>
    </row>
    <row r="262" spans="1:9" x14ac:dyDescent="0.2">
      <c r="A262" t="s">
        <v>153</v>
      </c>
      <c r="B262" s="91">
        <v>75</v>
      </c>
      <c r="D262" t="s">
        <v>794</v>
      </c>
      <c r="E262" s="91">
        <v>356</v>
      </c>
      <c r="I262" s="92">
        <f t="shared" si="4"/>
        <v>356</v>
      </c>
    </row>
    <row r="263" spans="1:9" x14ac:dyDescent="0.2">
      <c r="A263" t="s">
        <v>153</v>
      </c>
      <c r="B263" s="91">
        <v>166</v>
      </c>
      <c r="D263" t="s">
        <v>899</v>
      </c>
      <c r="E263" s="91">
        <v>356</v>
      </c>
      <c r="I263" s="92">
        <f t="shared" si="4"/>
        <v>356</v>
      </c>
    </row>
    <row r="264" spans="1:9" x14ac:dyDescent="0.2">
      <c r="A264" t="s">
        <v>153</v>
      </c>
      <c r="B264" s="91">
        <v>126.5</v>
      </c>
      <c r="D264" t="s">
        <v>933</v>
      </c>
      <c r="E264" s="91">
        <v>356</v>
      </c>
      <c r="I264" s="92">
        <f t="shared" si="4"/>
        <v>356</v>
      </c>
    </row>
    <row r="265" spans="1:9" x14ac:dyDescent="0.2">
      <c r="A265" t="s">
        <v>153</v>
      </c>
      <c r="B265" s="91">
        <v>84</v>
      </c>
      <c r="D265" t="s">
        <v>947</v>
      </c>
      <c r="E265" s="91">
        <v>356</v>
      </c>
      <c r="I265" s="92">
        <f t="shared" si="4"/>
        <v>356</v>
      </c>
    </row>
    <row r="266" spans="1:9" x14ac:dyDescent="0.2">
      <c r="A266" t="s">
        <v>153</v>
      </c>
      <c r="B266" s="91">
        <v>249</v>
      </c>
      <c r="D266" t="s">
        <v>967</v>
      </c>
      <c r="E266" s="91">
        <v>356</v>
      </c>
      <c r="I266" s="92">
        <f t="shared" si="4"/>
        <v>356</v>
      </c>
    </row>
    <row r="267" spans="1:9" x14ac:dyDescent="0.2">
      <c r="A267" t="s">
        <v>153</v>
      </c>
      <c r="B267" s="91">
        <v>67</v>
      </c>
      <c r="D267" t="s">
        <v>152</v>
      </c>
      <c r="E267" s="91">
        <v>355</v>
      </c>
      <c r="I267" s="92">
        <f t="shared" si="4"/>
        <v>355</v>
      </c>
    </row>
    <row r="268" spans="1:9" x14ac:dyDescent="0.2">
      <c r="A268" t="s">
        <v>153</v>
      </c>
      <c r="B268" s="91">
        <v>76.75</v>
      </c>
      <c r="D268" t="s">
        <v>369</v>
      </c>
      <c r="E268" s="91">
        <v>354</v>
      </c>
      <c r="I268" s="92">
        <f t="shared" si="4"/>
        <v>354</v>
      </c>
    </row>
    <row r="269" spans="1:9" x14ac:dyDescent="0.2">
      <c r="A269" t="s">
        <v>153</v>
      </c>
      <c r="B269" s="91">
        <v>136.5</v>
      </c>
      <c r="D269" t="s">
        <v>632</v>
      </c>
      <c r="E269" s="91">
        <v>354</v>
      </c>
      <c r="I269" s="92">
        <f t="shared" si="4"/>
        <v>354</v>
      </c>
    </row>
    <row r="270" spans="1:9" x14ac:dyDescent="0.2">
      <c r="A270" t="s">
        <v>153</v>
      </c>
      <c r="B270" s="91">
        <v>216</v>
      </c>
      <c r="D270" t="s">
        <v>718</v>
      </c>
      <c r="E270" s="91">
        <v>354</v>
      </c>
      <c r="I270" s="92">
        <f t="shared" si="4"/>
        <v>354</v>
      </c>
    </row>
    <row r="271" spans="1:9" x14ac:dyDescent="0.2">
      <c r="A271" t="s">
        <v>154</v>
      </c>
      <c r="B271" s="91">
        <v>14.75</v>
      </c>
      <c r="D271" t="s">
        <v>566</v>
      </c>
      <c r="E271" s="91">
        <v>352</v>
      </c>
      <c r="I271" s="92">
        <f t="shared" si="4"/>
        <v>352</v>
      </c>
    </row>
    <row r="272" spans="1:9" x14ac:dyDescent="0.2">
      <c r="A272" t="s">
        <v>155</v>
      </c>
      <c r="B272" s="91">
        <v>24.52</v>
      </c>
      <c r="D272" t="s">
        <v>808</v>
      </c>
      <c r="E272" s="91">
        <v>352</v>
      </c>
      <c r="G272" s="91">
        <v>352</v>
      </c>
      <c r="I272" s="92">
        <f t="shared" si="4"/>
        <v>0</v>
      </c>
    </row>
    <row r="273" spans="1:9" x14ac:dyDescent="0.2">
      <c r="A273" t="s">
        <v>156</v>
      </c>
      <c r="B273" s="91">
        <v>75</v>
      </c>
      <c r="D273" t="s">
        <v>438</v>
      </c>
      <c r="E273" s="91">
        <v>350</v>
      </c>
      <c r="G273" s="91">
        <v>350</v>
      </c>
      <c r="I273" s="92">
        <f t="shared" si="4"/>
        <v>0</v>
      </c>
    </row>
    <row r="274" spans="1:9" x14ac:dyDescent="0.2">
      <c r="A274" t="s">
        <v>156</v>
      </c>
      <c r="B274" s="91">
        <v>87.75</v>
      </c>
      <c r="D274" t="s">
        <v>417</v>
      </c>
      <c r="E274" s="91">
        <v>343.65</v>
      </c>
      <c r="I274" s="92">
        <f t="shared" si="4"/>
        <v>343.65</v>
      </c>
    </row>
    <row r="275" spans="1:9" x14ac:dyDescent="0.2">
      <c r="A275" t="s">
        <v>156</v>
      </c>
      <c r="B275" s="91">
        <v>9.82</v>
      </c>
      <c r="D275" t="s">
        <v>612</v>
      </c>
      <c r="E275" s="91">
        <v>342.75</v>
      </c>
      <c r="I275" s="92">
        <f t="shared" si="4"/>
        <v>342.75</v>
      </c>
    </row>
    <row r="276" spans="1:9" x14ac:dyDescent="0.2">
      <c r="A276" t="s">
        <v>157</v>
      </c>
      <c r="B276" s="91">
        <v>65.25</v>
      </c>
      <c r="D276" t="s">
        <v>1056</v>
      </c>
      <c r="E276" s="91">
        <v>332</v>
      </c>
      <c r="I276" s="92">
        <f t="shared" si="4"/>
        <v>332</v>
      </c>
    </row>
    <row r="277" spans="1:9" x14ac:dyDescent="0.2">
      <c r="A277" t="s">
        <v>158</v>
      </c>
      <c r="B277" s="91">
        <v>28.35</v>
      </c>
      <c r="D277" t="s">
        <v>625</v>
      </c>
      <c r="E277" s="91">
        <v>330</v>
      </c>
      <c r="I277" s="92">
        <f t="shared" si="4"/>
        <v>330</v>
      </c>
    </row>
    <row r="278" spans="1:9" x14ac:dyDescent="0.2">
      <c r="A278" t="s">
        <v>159</v>
      </c>
      <c r="B278" s="91">
        <v>40.5</v>
      </c>
      <c r="D278" t="s">
        <v>1112</v>
      </c>
      <c r="E278" s="91">
        <v>323.06</v>
      </c>
      <c r="I278" s="92">
        <f t="shared" si="4"/>
        <v>323.06</v>
      </c>
    </row>
    <row r="279" spans="1:9" x14ac:dyDescent="0.2">
      <c r="A279" t="s">
        <v>159</v>
      </c>
      <c r="B279" s="91">
        <v>23.75</v>
      </c>
      <c r="D279" t="s">
        <v>367</v>
      </c>
      <c r="E279" s="91">
        <v>321</v>
      </c>
      <c r="I279" s="92">
        <f t="shared" si="4"/>
        <v>321</v>
      </c>
    </row>
    <row r="280" spans="1:9" x14ac:dyDescent="0.2">
      <c r="A280" t="s">
        <v>160</v>
      </c>
      <c r="B280" s="91">
        <v>15.25</v>
      </c>
      <c r="D280" t="s">
        <v>479</v>
      </c>
      <c r="E280" s="91">
        <v>317.25</v>
      </c>
      <c r="I280" s="92">
        <f t="shared" si="4"/>
        <v>317.25</v>
      </c>
    </row>
    <row r="281" spans="1:9" x14ac:dyDescent="0.2">
      <c r="A281" t="s">
        <v>160</v>
      </c>
      <c r="B281" s="91">
        <v>31.5</v>
      </c>
      <c r="D281" t="s">
        <v>1013</v>
      </c>
      <c r="E281" s="91">
        <v>310.25</v>
      </c>
      <c r="I281" s="92">
        <f t="shared" si="4"/>
        <v>310.25</v>
      </c>
    </row>
    <row r="282" spans="1:9" x14ac:dyDescent="0.2">
      <c r="A282" t="s">
        <v>160</v>
      </c>
      <c r="B282" s="91">
        <v>14.9</v>
      </c>
      <c r="D282" t="s">
        <v>1122</v>
      </c>
      <c r="E282" s="91">
        <v>310</v>
      </c>
      <c r="I282" s="92">
        <f t="shared" si="4"/>
        <v>310</v>
      </c>
    </row>
    <row r="283" spans="1:9" x14ac:dyDescent="0.2">
      <c r="A283" t="s">
        <v>161</v>
      </c>
      <c r="B283" s="91">
        <v>95</v>
      </c>
      <c r="D283" s="97" t="s">
        <v>1225</v>
      </c>
      <c r="E283" s="96">
        <v>309</v>
      </c>
      <c r="G283" s="91">
        <v>309</v>
      </c>
      <c r="I283" s="92">
        <f t="shared" si="4"/>
        <v>0</v>
      </c>
    </row>
    <row r="284" spans="1:9" x14ac:dyDescent="0.2">
      <c r="A284" t="s">
        <v>162</v>
      </c>
      <c r="B284" s="91">
        <v>18.75</v>
      </c>
      <c r="D284" t="s">
        <v>1219</v>
      </c>
      <c r="E284" s="91">
        <v>307</v>
      </c>
      <c r="G284" s="91">
        <v>307</v>
      </c>
      <c r="I284" s="92">
        <f t="shared" si="4"/>
        <v>0</v>
      </c>
    </row>
    <row r="285" spans="1:9" x14ac:dyDescent="0.2">
      <c r="A285" t="s">
        <v>163</v>
      </c>
      <c r="B285" s="91">
        <v>18.22</v>
      </c>
      <c r="D285" s="97" t="s">
        <v>1243</v>
      </c>
      <c r="E285" s="96">
        <v>307</v>
      </c>
      <c r="I285" s="92">
        <f t="shared" si="4"/>
        <v>307</v>
      </c>
    </row>
    <row r="286" spans="1:9" x14ac:dyDescent="0.2">
      <c r="A286" t="s">
        <v>164</v>
      </c>
      <c r="B286" s="91">
        <v>20.7</v>
      </c>
      <c r="D286" t="s">
        <v>1006</v>
      </c>
      <c r="E286" s="91">
        <v>305.08</v>
      </c>
      <c r="I286" s="92">
        <f t="shared" si="4"/>
        <v>305.08</v>
      </c>
    </row>
    <row r="287" spans="1:9" x14ac:dyDescent="0.2">
      <c r="A287" t="s">
        <v>165</v>
      </c>
      <c r="B287" s="91">
        <v>60.75</v>
      </c>
      <c r="D287" t="s">
        <v>1075</v>
      </c>
      <c r="E287" s="91">
        <v>304.25</v>
      </c>
      <c r="I287" s="92">
        <f t="shared" si="4"/>
        <v>304.25</v>
      </c>
    </row>
    <row r="288" spans="1:9" x14ac:dyDescent="0.2">
      <c r="A288" t="s">
        <v>166</v>
      </c>
      <c r="B288" s="91">
        <v>25.87</v>
      </c>
      <c r="D288" t="s">
        <v>879</v>
      </c>
      <c r="E288" s="91">
        <v>303</v>
      </c>
      <c r="I288" s="92">
        <f t="shared" si="4"/>
        <v>303</v>
      </c>
    </row>
    <row r="289" spans="1:9" x14ac:dyDescent="0.2">
      <c r="A289" t="s">
        <v>167</v>
      </c>
      <c r="B289" s="91">
        <v>24</v>
      </c>
      <c r="D289" t="s">
        <v>773</v>
      </c>
      <c r="E289" s="91">
        <v>301</v>
      </c>
      <c r="I289" s="92">
        <f t="shared" si="4"/>
        <v>301</v>
      </c>
    </row>
    <row r="290" spans="1:9" x14ac:dyDescent="0.2">
      <c r="A290" t="s">
        <v>168</v>
      </c>
      <c r="B290" s="91">
        <v>58.5</v>
      </c>
      <c r="D290" t="s">
        <v>659</v>
      </c>
      <c r="E290" s="91">
        <v>293.5</v>
      </c>
      <c r="I290" s="92">
        <f t="shared" si="4"/>
        <v>293.5</v>
      </c>
    </row>
    <row r="291" spans="1:9" x14ac:dyDescent="0.2">
      <c r="A291" t="s">
        <v>169</v>
      </c>
      <c r="B291" s="91">
        <v>33</v>
      </c>
      <c r="D291" t="s">
        <v>916</v>
      </c>
      <c r="E291" s="91">
        <v>291.89</v>
      </c>
      <c r="I291" s="92">
        <f t="shared" si="4"/>
        <v>291.89</v>
      </c>
    </row>
    <row r="292" spans="1:9" x14ac:dyDescent="0.2">
      <c r="A292" t="s">
        <v>169</v>
      </c>
      <c r="B292" s="91">
        <v>72.5</v>
      </c>
      <c r="D292" t="s">
        <v>880</v>
      </c>
      <c r="E292" s="91">
        <v>290.75</v>
      </c>
      <c r="I292" s="92">
        <f t="shared" si="4"/>
        <v>290.75</v>
      </c>
    </row>
    <row r="293" spans="1:9" x14ac:dyDescent="0.2">
      <c r="A293" t="s">
        <v>169</v>
      </c>
      <c r="B293" s="91">
        <v>152</v>
      </c>
      <c r="D293" t="s">
        <v>785</v>
      </c>
      <c r="E293" s="91">
        <v>284</v>
      </c>
      <c r="I293" s="92">
        <f t="shared" si="4"/>
        <v>284</v>
      </c>
    </row>
    <row r="294" spans="1:9" x14ac:dyDescent="0.2">
      <c r="A294" t="s">
        <v>169</v>
      </c>
      <c r="B294" s="91">
        <v>-12.7</v>
      </c>
      <c r="D294" t="s">
        <v>593</v>
      </c>
      <c r="E294" s="91">
        <v>281.39999999999998</v>
      </c>
      <c r="I294" s="92">
        <f t="shared" si="4"/>
        <v>281.39999999999998</v>
      </c>
    </row>
    <row r="295" spans="1:9" x14ac:dyDescent="0.2">
      <c r="A295" t="s">
        <v>170</v>
      </c>
      <c r="B295" s="91">
        <v>62</v>
      </c>
      <c r="D295" t="s">
        <v>63</v>
      </c>
      <c r="E295" s="91">
        <v>278</v>
      </c>
      <c r="I295" s="92">
        <f t="shared" si="4"/>
        <v>278</v>
      </c>
    </row>
    <row r="296" spans="1:9" x14ac:dyDescent="0.2">
      <c r="A296" t="s">
        <v>171</v>
      </c>
      <c r="B296" s="91">
        <v>12.6</v>
      </c>
      <c r="D296" t="s">
        <v>780</v>
      </c>
      <c r="E296" s="91">
        <v>276</v>
      </c>
      <c r="G296" s="91">
        <v>276</v>
      </c>
      <c r="I296" s="92">
        <f t="shared" si="4"/>
        <v>0</v>
      </c>
    </row>
    <row r="297" spans="1:9" x14ac:dyDescent="0.2">
      <c r="A297" t="s">
        <v>172</v>
      </c>
      <c r="B297" s="91">
        <v>13</v>
      </c>
      <c r="D297" t="s">
        <v>556</v>
      </c>
      <c r="E297" s="91">
        <v>275.25</v>
      </c>
      <c r="I297" s="92">
        <f t="shared" si="4"/>
        <v>275.25</v>
      </c>
    </row>
    <row r="298" spans="1:9" x14ac:dyDescent="0.2">
      <c r="A298" t="s">
        <v>173</v>
      </c>
      <c r="B298" s="91">
        <v>480</v>
      </c>
      <c r="D298" t="s">
        <v>384</v>
      </c>
      <c r="E298" s="91">
        <v>274.25</v>
      </c>
      <c r="I298" s="92">
        <f t="shared" si="4"/>
        <v>274.25</v>
      </c>
    </row>
    <row r="299" spans="1:9" x14ac:dyDescent="0.2">
      <c r="A299" t="s">
        <v>173</v>
      </c>
      <c r="B299" s="91">
        <v>240</v>
      </c>
      <c r="D299" t="s">
        <v>492</v>
      </c>
      <c r="E299" s="91">
        <v>271.5</v>
      </c>
      <c r="I299" s="92">
        <f t="shared" si="4"/>
        <v>271.5</v>
      </c>
    </row>
    <row r="300" spans="1:9" x14ac:dyDescent="0.2">
      <c r="A300" t="s">
        <v>173</v>
      </c>
      <c r="B300" s="91">
        <v>-8</v>
      </c>
      <c r="D300" t="s">
        <v>315</v>
      </c>
      <c r="E300" s="91">
        <v>264</v>
      </c>
      <c r="I300" s="92">
        <f t="shared" si="4"/>
        <v>264</v>
      </c>
    </row>
    <row r="301" spans="1:9" x14ac:dyDescent="0.2">
      <c r="A301" t="s">
        <v>174</v>
      </c>
      <c r="B301" s="91">
        <v>178</v>
      </c>
      <c r="D301" t="s">
        <v>320</v>
      </c>
      <c r="E301" s="91">
        <v>264</v>
      </c>
      <c r="I301" s="92">
        <f t="shared" si="4"/>
        <v>264</v>
      </c>
    </row>
    <row r="302" spans="1:9" x14ac:dyDescent="0.2">
      <c r="A302" t="s">
        <v>175</v>
      </c>
      <c r="B302" s="91">
        <v>15.75</v>
      </c>
      <c r="D302" t="s">
        <v>346</v>
      </c>
      <c r="E302" s="91">
        <v>264</v>
      </c>
      <c r="I302" s="92">
        <f t="shared" si="4"/>
        <v>264</v>
      </c>
    </row>
    <row r="303" spans="1:9" x14ac:dyDescent="0.2">
      <c r="A303" t="s">
        <v>176</v>
      </c>
      <c r="B303" s="91">
        <v>445.5</v>
      </c>
      <c r="D303" t="s">
        <v>359</v>
      </c>
      <c r="E303" s="91">
        <v>264</v>
      </c>
      <c r="I303" s="92">
        <f t="shared" si="4"/>
        <v>264</v>
      </c>
    </row>
    <row r="304" spans="1:9" x14ac:dyDescent="0.2">
      <c r="A304" t="s">
        <v>176</v>
      </c>
      <c r="B304" s="91">
        <v>78.5</v>
      </c>
      <c r="D304" t="s">
        <v>705</v>
      </c>
      <c r="E304" s="91">
        <v>264</v>
      </c>
      <c r="I304" s="92">
        <f t="shared" si="4"/>
        <v>264</v>
      </c>
    </row>
    <row r="305" spans="1:9" x14ac:dyDescent="0.2">
      <c r="A305" t="s">
        <v>176</v>
      </c>
      <c r="B305" s="91">
        <v>70.25</v>
      </c>
      <c r="D305" t="s">
        <v>1101</v>
      </c>
      <c r="E305" s="91">
        <v>264</v>
      </c>
      <c r="I305" s="92">
        <f t="shared" si="4"/>
        <v>264</v>
      </c>
    </row>
    <row r="306" spans="1:9" x14ac:dyDescent="0.2">
      <c r="A306" t="s">
        <v>176</v>
      </c>
      <c r="B306" s="91">
        <v>30.5</v>
      </c>
      <c r="D306" s="97" t="s">
        <v>1238</v>
      </c>
      <c r="E306" s="96">
        <v>264</v>
      </c>
      <c r="G306" s="91">
        <v>264</v>
      </c>
      <c r="I306" s="92">
        <f t="shared" si="4"/>
        <v>0</v>
      </c>
    </row>
    <row r="307" spans="1:9" x14ac:dyDescent="0.2">
      <c r="A307" t="s">
        <v>176</v>
      </c>
      <c r="B307" s="91">
        <v>39</v>
      </c>
      <c r="D307" t="s">
        <v>747</v>
      </c>
      <c r="E307" s="91">
        <v>262.5</v>
      </c>
      <c r="I307" s="92">
        <f t="shared" si="4"/>
        <v>262.5</v>
      </c>
    </row>
    <row r="308" spans="1:9" x14ac:dyDescent="0.2">
      <c r="A308" t="s">
        <v>177</v>
      </c>
      <c r="B308" s="91">
        <v>32</v>
      </c>
      <c r="D308" t="s">
        <v>61</v>
      </c>
      <c r="E308" s="91">
        <v>262</v>
      </c>
      <c r="I308" s="92">
        <f t="shared" si="4"/>
        <v>262</v>
      </c>
    </row>
    <row r="309" spans="1:9" x14ac:dyDescent="0.2">
      <c r="A309" t="s">
        <v>177</v>
      </c>
      <c r="B309" s="91">
        <v>12.1</v>
      </c>
      <c r="D309" t="s">
        <v>64</v>
      </c>
      <c r="E309" s="91">
        <v>262</v>
      </c>
      <c r="I309" s="92">
        <f t="shared" si="4"/>
        <v>262</v>
      </c>
    </row>
    <row r="310" spans="1:9" x14ac:dyDescent="0.2">
      <c r="A310" t="s">
        <v>178</v>
      </c>
      <c r="B310" s="91">
        <v>18</v>
      </c>
      <c r="D310" t="s">
        <v>127</v>
      </c>
      <c r="E310" s="91">
        <v>262</v>
      </c>
      <c r="I310" s="92">
        <f t="shared" si="4"/>
        <v>262</v>
      </c>
    </row>
    <row r="311" spans="1:9" x14ac:dyDescent="0.2">
      <c r="A311" t="s">
        <v>179</v>
      </c>
      <c r="B311" s="91">
        <v>12.15</v>
      </c>
      <c r="D311" t="s">
        <v>224</v>
      </c>
      <c r="E311" s="91">
        <v>262</v>
      </c>
      <c r="I311" s="92">
        <f t="shared" si="4"/>
        <v>262</v>
      </c>
    </row>
    <row r="312" spans="1:9" x14ac:dyDescent="0.2">
      <c r="A312" t="s">
        <v>180</v>
      </c>
      <c r="B312" s="91">
        <v>12</v>
      </c>
      <c r="D312" t="s">
        <v>282</v>
      </c>
      <c r="E312" s="91">
        <v>262</v>
      </c>
      <c r="I312" s="92">
        <f t="shared" si="4"/>
        <v>262</v>
      </c>
    </row>
    <row r="313" spans="1:9" x14ac:dyDescent="0.2">
      <c r="A313" t="s">
        <v>180</v>
      </c>
      <c r="B313" s="91">
        <v>11.620000000000001</v>
      </c>
      <c r="D313" t="s">
        <v>334</v>
      </c>
      <c r="E313" s="91">
        <v>262</v>
      </c>
      <c r="I313" s="92">
        <f t="shared" si="4"/>
        <v>262</v>
      </c>
    </row>
    <row r="314" spans="1:9" x14ac:dyDescent="0.2">
      <c r="A314" t="s">
        <v>181</v>
      </c>
      <c r="B314" s="91">
        <v>190.5</v>
      </c>
      <c r="D314" t="s">
        <v>444</v>
      </c>
      <c r="E314" s="91">
        <v>262</v>
      </c>
      <c r="I314" s="92">
        <f t="shared" si="4"/>
        <v>262</v>
      </c>
    </row>
    <row r="315" spans="1:9" x14ac:dyDescent="0.2">
      <c r="A315" t="s">
        <v>181</v>
      </c>
      <c r="B315" s="91">
        <v>37.5</v>
      </c>
      <c r="D315" t="s">
        <v>504</v>
      </c>
      <c r="E315" s="91">
        <v>262</v>
      </c>
      <c r="I315" s="92">
        <f t="shared" si="4"/>
        <v>262</v>
      </c>
    </row>
    <row r="316" spans="1:9" x14ac:dyDescent="0.2">
      <c r="A316" t="s">
        <v>182</v>
      </c>
      <c r="B316" s="91">
        <v>6.5</v>
      </c>
      <c r="D316" t="s">
        <v>512</v>
      </c>
      <c r="E316" s="91">
        <v>262</v>
      </c>
      <c r="I316" s="92">
        <f t="shared" si="4"/>
        <v>262</v>
      </c>
    </row>
    <row r="317" spans="1:9" x14ac:dyDescent="0.2">
      <c r="A317" t="s">
        <v>182</v>
      </c>
      <c r="B317" s="91">
        <v>19.5</v>
      </c>
      <c r="D317" t="s">
        <v>853</v>
      </c>
      <c r="E317" s="91">
        <v>262</v>
      </c>
      <c r="I317" s="92">
        <f t="shared" si="4"/>
        <v>262</v>
      </c>
    </row>
    <row r="318" spans="1:9" x14ac:dyDescent="0.2">
      <c r="A318" t="s">
        <v>182</v>
      </c>
      <c r="B318" s="91">
        <v>12.5</v>
      </c>
      <c r="D318" t="s">
        <v>924</v>
      </c>
      <c r="E318" s="91">
        <v>262</v>
      </c>
      <c r="I318" s="92">
        <f t="shared" si="4"/>
        <v>262</v>
      </c>
    </row>
    <row r="319" spans="1:9" x14ac:dyDescent="0.2">
      <c r="A319" t="s">
        <v>182</v>
      </c>
      <c r="B319" s="91">
        <v>8.52</v>
      </c>
      <c r="D319" t="s">
        <v>938</v>
      </c>
      <c r="E319" s="91">
        <v>262</v>
      </c>
      <c r="I319" s="92">
        <f t="shared" si="4"/>
        <v>262</v>
      </c>
    </row>
    <row r="320" spans="1:9" x14ac:dyDescent="0.2">
      <c r="A320" t="s">
        <v>183</v>
      </c>
      <c r="B320" s="91">
        <v>24.5</v>
      </c>
      <c r="D320" t="s">
        <v>1015</v>
      </c>
      <c r="E320" s="91">
        <v>262</v>
      </c>
      <c r="I320" s="92">
        <f t="shared" si="4"/>
        <v>262</v>
      </c>
    </row>
    <row r="321" spans="1:9" x14ac:dyDescent="0.2">
      <c r="A321" t="s">
        <v>184</v>
      </c>
      <c r="B321" s="91">
        <v>16.75</v>
      </c>
      <c r="D321" t="s">
        <v>1036</v>
      </c>
      <c r="E321" s="91">
        <v>262</v>
      </c>
      <c r="I321" s="92">
        <f t="shared" si="4"/>
        <v>262</v>
      </c>
    </row>
    <row r="322" spans="1:9" x14ac:dyDescent="0.2">
      <c r="A322" t="s">
        <v>184</v>
      </c>
      <c r="B322" s="91">
        <v>19.25</v>
      </c>
      <c r="D322" t="s">
        <v>1054</v>
      </c>
      <c r="E322" s="91">
        <v>262</v>
      </c>
      <c r="I322" s="92">
        <f t="shared" si="4"/>
        <v>262</v>
      </c>
    </row>
    <row r="323" spans="1:9" x14ac:dyDescent="0.2">
      <c r="A323" t="s">
        <v>185</v>
      </c>
      <c r="B323" s="91">
        <v>67.5</v>
      </c>
      <c r="D323" t="s">
        <v>1132</v>
      </c>
      <c r="E323" s="91">
        <v>262</v>
      </c>
      <c r="I323" s="92">
        <f t="shared" ref="I323:I386" si="5">E323-G323</f>
        <v>262</v>
      </c>
    </row>
    <row r="324" spans="1:9" x14ac:dyDescent="0.2">
      <c r="A324" t="s">
        <v>186</v>
      </c>
      <c r="B324" s="91">
        <v>10</v>
      </c>
      <c r="D324" t="s">
        <v>1164</v>
      </c>
      <c r="E324" s="91">
        <v>262</v>
      </c>
      <c r="I324" s="92">
        <f t="shared" si="5"/>
        <v>262</v>
      </c>
    </row>
    <row r="325" spans="1:9" x14ac:dyDescent="0.2">
      <c r="A325" t="s">
        <v>187</v>
      </c>
      <c r="B325" s="91">
        <v>146</v>
      </c>
      <c r="D325" t="s">
        <v>1214</v>
      </c>
      <c r="E325" s="91">
        <v>262</v>
      </c>
      <c r="G325" s="91">
        <v>262</v>
      </c>
      <c r="I325" s="92">
        <f t="shared" si="5"/>
        <v>0</v>
      </c>
    </row>
    <row r="326" spans="1:9" x14ac:dyDescent="0.2">
      <c r="A326" t="s">
        <v>188</v>
      </c>
      <c r="B326" s="91">
        <v>29.5</v>
      </c>
      <c r="D326" t="s">
        <v>951</v>
      </c>
      <c r="E326" s="91">
        <v>261.75</v>
      </c>
      <c r="I326" s="92">
        <f t="shared" si="5"/>
        <v>261.75</v>
      </c>
    </row>
    <row r="327" spans="1:9" x14ac:dyDescent="0.2">
      <c r="A327" t="s">
        <v>189</v>
      </c>
      <c r="B327" s="91">
        <v>49.75</v>
      </c>
      <c r="D327" t="s">
        <v>1145</v>
      </c>
      <c r="E327" s="91">
        <v>261.5</v>
      </c>
      <c r="I327" s="92">
        <f t="shared" si="5"/>
        <v>261.5</v>
      </c>
    </row>
    <row r="328" spans="1:9" x14ac:dyDescent="0.2">
      <c r="A328" t="s">
        <v>189</v>
      </c>
      <c r="B328" s="91">
        <v>102</v>
      </c>
      <c r="D328" t="s">
        <v>698</v>
      </c>
      <c r="E328" s="91">
        <v>261.25</v>
      </c>
      <c r="I328" s="92">
        <f t="shared" si="5"/>
        <v>261.25</v>
      </c>
    </row>
    <row r="329" spans="1:9" x14ac:dyDescent="0.2">
      <c r="A329" t="s">
        <v>189</v>
      </c>
      <c r="B329" s="91">
        <v>51.25</v>
      </c>
      <c r="D329" t="s">
        <v>688</v>
      </c>
      <c r="E329" s="91">
        <v>256</v>
      </c>
      <c r="I329" s="92">
        <f t="shared" si="5"/>
        <v>256</v>
      </c>
    </row>
    <row r="330" spans="1:9" x14ac:dyDescent="0.2">
      <c r="A330" t="s">
        <v>189</v>
      </c>
      <c r="B330" s="91">
        <v>51.25</v>
      </c>
      <c r="D330" t="s">
        <v>231</v>
      </c>
      <c r="E330" s="91">
        <v>251.32</v>
      </c>
      <c r="I330" s="92">
        <f t="shared" si="5"/>
        <v>251.32</v>
      </c>
    </row>
    <row r="331" spans="1:9" x14ac:dyDescent="0.2">
      <c r="A331" t="s">
        <v>189</v>
      </c>
      <c r="B331" s="91">
        <v>51.25</v>
      </c>
      <c r="D331" t="s">
        <v>245</v>
      </c>
      <c r="E331" s="91">
        <v>250.5</v>
      </c>
      <c r="I331" s="92">
        <f t="shared" si="5"/>
        <v>250.5</v>
      </c>
    </row>
    <row r="332" spans="1:9" x14ac:dyDescent="0.2">
      <c r="A332" t="s">
        <v>189</v>
      </c>
      <c r="B332" s="91">
        <v>77.75</v>
      </c>
      <c r="D332" t="s">
        <v>592</v>
      </c>
      <c r="E332" s="91">
        <v>249</v>
      </c>
      <c r="I332" s="92">
        <f t="shared" si="5"/>
        <v>249</v>
      </c>
    </row>
    <row r="333" spans="1:9" x14ac:dyDescent="0.2">
      <c r="A333" t="s">
        <v>189</v>
      </c>
      <c r="B333" s="91">
        <v>81.5</v>
      </c>
      <c r="D333" t="s">
        <v>215</v>
      </c>
      <c r="E333" s="91">
        <v>245.25</v>
      </c>
      <c r="I333" s="92">
        <f t="shared" si="5"/>
        <v>245.25</v>
      </c>
    </row>
    <row r="334" spans="1:9" x14ac:dyDescent="0.2">
      <c r="A334" t="s">
        <v>189</v>
      </c>
      <c r="B334" s="91">
        <v>354</v>
      </c>
      <c r="D334" t="s">
        <v>169</v>
      </c>
      <c r="E334" s="91">
        <v>244.8</v>
      </c>
      <c r="I334" s="92">
        <f t="shared" si="5"/>
        <v>244.8</v>
      </c>
    </row>
    <row r="335" spans="1:9" x14ac:dyDescent="0.2">
      <c r="A335" t="s">
        <v>189</v>
      </c>
      <c r="B335" s="91">
        <v>85</v>
      </c>
      <c r="D335" t="s">
        <v>440</v>
      </c>
      <c r="E335" s="91">
        <v>243</v>
      </c>
      <c r="I335" s="92">
        <f t="shared" si="5"/>
        <v>243</v>
      </c>
    </row>
    <row r="336" spans="1:9" x14ac:dyDescent="0.2">
      <c r="A336" t="s">
        <v>189</v>
      </c>
      <c r="B336" s="91">
        <v>17.75</v>
      </c>
      <c r="D336" t="s">
        <v>934</v>
      </c>
      <c r="E336" s="91">
        <v>242.5</v>
      </c>
      <c r="I336" s="92">
        <f t="shared" si="5"/>
        <v>242.5</v>
      </c>
    </row>
    <row r="337" spans="1:9" x14ac:dyDescent="0.2">
      <c r="A337" t="s">
        <v>189</v>
      </c>
      <c r="B337" s="91">
        <v>13</v>
      </c>
      <c r="D337" t="s">
        <v>1162</v>
      </c>
      <c r="E337" s="91">
        <v>241.25</v>
      </c>
      <c r="I337" s="92">
        <f t="shared" si="5"/>
        <v>241.25</v>
      </c>
    </row>
    <row r="338" spans="1:9" x14ac:dyDescent="0.2">
      <c r="A338" t="s">
        <v>189</v>
      </c>
      <c r="B338" s="91">
        <v>65.5</v>
      </c>
      <c r="D338" t="s">
        <v>885</v>
      </c>
      <c r="E338" s="91">
        <v>240</v>
      </c>
      <c r="I338" s="92">
        <f t="shared" si="5"/>
        <v>240</v>
      </c>
    </row>
    <row r="339" spans="1:9" x14ac:dyDescent="0.2">
      <c r="A339" t="s">
        <v>190</v>
      </c>
      <c r="B339" s="91">
        <v>348</v>
      </c>
      <c r="D339" t="s">
        <v>870</v>
      </c>
      <c r="E339" s="91">
        <v>236.5</v>
      </c>
      <c r="I339" s="92">
        <f t="shared" si="5"/>
        <v>236.5</v>
      </c>
    </row>
    <row r="340" spans="1:9" x14ac:dyDescent="0.2">
      <c r="A340" t="s">
        <v>190</v>
      </c>
      <c r="B340" s="91">
        <v>297</v>
      </c>
      <c r="D340" t="s">
        <v>897</v>
      </c>
      <c r="E340" s="91">
        <v>236.5</v>
      </c>
      <c r="I340" s="92">
        <f t="shared" si="5"/>
        <v>236.5</v>
      </c>
    </row>
    <row r="341" spans="1:9" x14ac:dyDescent="0.2">
      <c r="A341" t="s">
        <v>190</v>
      </c>
      <c r="B341" s="91">
        <v>291</v>
      </c>
      <c r="D341" t="s">
        <v>1012</v>
      </c>
      <c r="E341" s="91">
        <v>230.75</v>
      </c>
      <c r="I341" s="92">
        <f t="shared" si="5"/>
        <v>230.75</v>
      </c>
    </row>
    <row r="342" spans="1:9" x14ac:dyDescent="0.2">
      <c r="A342" t="s">
        <v>191</v>
      </c>
      <c r="B342" s="91">
        <v>42.75</v>
      </c>
      <c r="D342" t="s">
        <v>572</v>
      </c>
      <c r="E342" s="91">
        <v>229.5</v>
      </c>
      <c r="I342" s="92">
        <f t="shared" si="5"/>
        <v>229.5</v>
      </c>
    </row>
    <row r="343" spans="1:9" x14ac:dyDescent="0.2">
      <c r="A343" t="s">
        <v>192</v>
      </c>
      <c r="B343" s="91">
        <v>60.75</v>
      </c>
      <c r="D343" t="s">
        <v>778</v>
      </c>
      <c r="E343" s="91">
        <v>229.5</v>
      </c>
      <c r="I343" s="92">
        <f t="shared" si="5"/>
        <v>229.5</v>
      </c>
    </row>
    <row r="344" spans="1:9" x14ac:dyDescent="0.2">
      <c r="A344" t="s">
        <v>193</v>
      </c>
      <c r="B344" s="91">
        <v>397.5</v>
      </c>
      <c r="D344" t="s">
        <v>111</v>
      </c>
      <c r="E344" s="91">
        <v>228.25</v>
      </c>
      <c r="I344" s="92">
        <f t="shared" si="5"/>
        <v>228.25</v>
      </c>
    </row>
    <row r="345" spans="1:9" x14ac:dyDescent="0.2">
      <c r="A345" t="s">
        <v>193</v>
      </c>
      <c r="B345" s="91">
        <v>310.5</v>
      </c>
      <c r="D345" t="s">
        <v>181</v>
      </c>
      <c r="E345" s="91">
        <v>228</v>
      </c>
      <c r="G345" s="91">
        <v>228</v>
      </c>
      <c r="I345" s="92">
        <f t="shared" si="5"/>
        <v>0</v>
      </c>
    </row>
    <row r="346" spans="1:9" x14ac:dyDescent="0.2">
      <c r="A346" t="s">
        <v>194</v>
      </c>
      <c r="B346" s="91">
        <v>11</v>
      </c>
      <c r="D346" t="s">
        <v>959</v>
      </c>
      <c r="E346" s="91">
        <v>225.32</v>
      </c>
      <c r="I346" s="92">
        <f t="shared" si="5"/>
        <v>225.32</v>
      </c>
    </row>
    <row r="347" spans="1:9" x14ac:dyDescent="0.2">
      <c r="A347" t="s">
        <v>195</v>
      </c>
      <c r="B347" s="91">
        <v>26.25</v>
      </c>
      <c r="D347" t="s">
        <v>366</v>
      </c>
      <c r="E347" s="91">
        <v>224</v>
      </c>
      <c r="I347" s="92">
        <f t="shared" si="5"/>
        <v>224</v>
      </c>
    </row>
    <row r="348" spans="1:9" x14ac:dyDescent="0.2">
      <c r="A348" t="s">
        <v>196</v>
      </c>
      <c r="B348" s="91">
        <v>10</v>
      </c>
      <c r="D348" t="s">
        <v>475</v>
      </c>
      <c r="E348" s="91">
        <v>222.7</v>
      </c>
      <c r="I348" s="92">
        <f t="shared" si="5"/>
        <v>222.7</v>
      </c>
    </row>
    <row r="349" spans="1:9" x14ac:dyDescent="0.2">
      <c r="A349" t="s">
        <v>197</v>
      </c>
      <c r="B349" s="91">
        <v>122.75</v>
      </c>
      <c r="D349" t="s">
        <v>81</v>
      </c>
      <c r="E349" s="91">
        <v>219</v>
      </c>
      <c r="I349" s="92">
        <f t="shared" si="5"/>
        <v>219</v>
      </c>
    </row>
    <row r="350" spans="1:9" x14ac:dyDescent="0.2">
      <c r="A350" t="s">
        <v>198</v>
      </c>
      <c r="B350" s="91">
        <v>14.75</v>
      </c>
      <c r="D350" t="s">
        <v>748</v>
      </c>
      <c r="E350" s="91">
        <v>219</v>
      </c>
      <c r="I350" s="92">
        <f t="shared" si="5"/>
        <v>219</v>
      </c>
    </row>
    <row r="351" spans="1:9" x14ac:dyDescent="0.2">
      <c r="A351" t="s">
        <v>199</v>
      </c>
      <c r="B351" s="91">
        <v>21</v>
      </c>
      <c r="D351" t="s">
        <v>122</v>
      </c>
      <c r="E351" s="91">
        <v>216.9</v>
      </c>
      <c r="I351" s="92">
        <f t="shared" si="5"/>
        <v>216.9</v>
      </c>
    </row>
    <row r="352" spans="1:9" x14ac:dyDescent="0.2">
      <c r="A352" t="s">
        <v>200</v>
      </c>
      <c r="B352" s="91">
        <v>54.75</v>
      </c>
      <c r="D352" t="s">
        <v>637</v>
      </c>
      <c r="E352" s="91">
        <v>216</v>
      </c>
      <c r="I352" s="92">
        <f t="shared" si="5"/>
        <v>216</v>
      </c>
    </row>
    <row r="353" spans="1:9" x14ac:dyDescent="0.2">
      <c r="A353" t="s">
        <v>200</v>
      </c>
      <c r="B353" s="91">
        <v>10.719999999999999</v>
      </c>
      <c r="D353" t="s">
        <v>630</v>
      </c>
      <c r="E353" s="91">
        <v>210.79000000000002</v>
      </c>
      <c r="I353" s="92">
        <f t="shared" si="5"/>
        <v>210.79000000000002</v>
      </c>
    </row>
    <row r="354" spans="1:9" x14ac:dyDescent="0.2">
      <c r="A354" t="s">
        <v>201</v>
      </c>
      <c r="B354" s="91">
        <v>1656</v>
      </c>
      <c r="D354" t="s">
        <v>508</v>
      </c>
      <c r="E354" s="91">
        <v>208</v>
      </c>
      <c r="I354" s="92">
        <f t="shared" si="5"/>
        <v>208</v>
      </c>
    </row>
    <row r="355" spans="1:9" x14ac:dyDescent="0.2">
      <c r="A355" t="s">
        <v>202</v>
      </c>
      <c r="B355" s="91">
        <v>12.6</v>
      </c>
      <c r="D355" t="s">
        <v>978</v>
      </c>
      <c r="E355" s="91">
        <v>207.5</v>
      </c>
      <c r="G355" s="91">
        <v>207.5</v>
      </c>
      <c r="I355" s="92">
        <f t="shared" si="5"/>
        <v>0</v>
      </c>
    </row>
    <row r="356" spans="1:9" x14ac:dyDescent="0.2">
      <c r="A356" t="s">
        <v>203</v>
      </c>
      <c r="B356" s="91">
        <v>19</v>
      </c>
      <c r="D356" t="s">
        <v>791</v>
      </c>
      <c r="E356" s="91">
        <v>205.5</v>
      </c>
      <c r="I356" s="92">
        <f t="shared" si="5"/>
        <v>205.5</v>
      </c>
    </row>
    <row r="357" spans="1:9" x14ac:dyDescent="0.2">
      <c r="A357" t="s">
        <v>203</v>
      </c>
      <c r="B357" s="91">
        <v>16</v>
      </c>
      <c r="D357" t="s">
        <v>523</v>
      </c>
      <c r="E357" s="91">
        <v>203.75</v>
      </c>
      <c r="I357" s="92">
        <f t="shared" si="5"/>
        <v>203.75</v>
      </c>
    </row>
    <row r="358" spans="1:9" x14ac:dyDescent="0.2">
      <c r="A358" t="s">
        <v>203</v>
      </c>
      <c r="B358" s="91">
        <v>22.5</v>
      </c>
      <c r="D358" t="s">
        <v>381</v>
      </c>
      <c r="E358" s="91">
        <v>202.5</v>
      </c>
      <c r="I358" s="92">
        <f t="shared" si="5"/>
        <v>202.5</v>
      </c>
    </row>
    <row r="359" spans="1:9" x14ac:dyDescent="0.2">
      <c r="A359" t="s">
        <v>203</v>
      </c>
      <c r="B359" s="91">
        <v>32.5</v>
      </c>
      <c r="D359" t="s">
        <v>642</v>
      </c>
      <c r="E359" s="91">
        <v>202.5</v>
      </c>
      <c r="I359" s="92">
        <f t="shared" si="5"/>
        <v>202.5</v>
      </c>
    </row>
    <row r="360" spans="1:9" x14ac:dyDescent="0.2">
      <c r="A360" t="s">
        <v>204</v>
      </c>
      <c r="B360" s="91">
        <v>67.5</v>
      </c>
      <c r="D360" t="s">
        <v>949</v>
      </c>
      <c r="E360" s="91">
        <v>202.5</v>
      </c>
      <c r="I360" s="92">
        <f t="shared" si="5"/>
        <v>202.5</v>
      </c>
    </row>
    <row r="361" spans="1:9" x14ac:dyDescent="0.2">
      <c r="A361" t="s">
        <v>204</v>
      </c>
      <c r="B361" s="91">
        <v>66.5</v>
      </c>
      <c r="D361" t="s">
        <v>536</v>
      </c>
      <c r="E361" s="91">
        <v>200</v>
      </c>
      <c r="I361" s="92">
        <f t="shared" si="5"/>
        <v>200</v>
      </c>
    </row>
    <row r="362" spans="1:9" x14ac:dyDescent="0.2">
      <c r="A362" t="s">
        <v>205</v>
      </c>
      <c r="B362" s="91">
        <v>96</v>
      </c>
      <c r="D362" t="s">
        <v>608</v>
      </c>
      <c r="E362" s="91">
        <v>199.8</v>
      </c>
      <c r="I362" s="92">
        <f t="shared" si="5"/>
        <v>199.8</v>
      </c>
    </row>
    <row r="363" spans="1:9" x14ac:dyDescent="0.2">
      <c r="A363" t="s">
        <v>205</v>
      </c>
      <c r="B363" s="91">
        <v>18.25</v>
      </c>
      <c r="D363" t="s">
        <v>354</v>
      </c>
      <c r="E363" s="91">
        <v>197.76999999999998</v>
      </c>
      <c r="I363" s="92">
        <f t="shared" si="5"/>
        <v>197.76999999999998</v>
      </c>
    </row>
    <row r="364" spans="1:9" x14ac:dyDescent="0.2">
      <c r="A364" t="s">
        <v>205</v>
      </c>
      <c r="B364" s="91">
        <v>27.27</v>
      </c>
      <c r="D364" t="s">
        <v>1093</v>
      </c>
      <c r="E364" s="91">
        <v>195.75</v>
      </c>
      <c r="I364" s="92">
        <f t="shared" si="5"/>
        <v>195.75</v>
      </c>
    </row>
    <row r="365" spans="1:9" x14ac:dyDescent="0.2">
      <c r="A365" t="s">
        <v>206</v>
      </c>
      <c r="B365" s="91">
        <v>136.5</v>
      </c>
      <c r="D365" t="s">
        <v>882</v>
      </c>
      <c r="E365" s="91">
        <v>192.5</v>
      </c>
      <c r="I365" s="92">
        <f t="shared" si="5"/>
        <v>192.5</v>
      </c>
    </row>
    <row r="366" spans="1:9" x14ac:dyDescent="0.2">
      <c r="A366" t="s">
        <v>206</v>
      </c>
      <c r="B366" s="91">
        <v>19.75</v>
      </c>
      <c r="D366" t="s">
        <v>513</v>
      </c>
      <c r="E366" s="91">
        <v>191.44</v>
      </c>
      <c r="I366" s="92">
        <f t="shared" si="5"/>
        <v>191.44</v>
      </c>
    </row>
    <row r="367" spans="1:9" x14ac:dyDescent="0.2">
      <c r="A367" t="s">
        <v>207</v>
      </c>
      <c r="B367" s="91">
        <v>44.25</v>
      </c>
      <c r="D367" t="s">
        <v>469</v>
      </c>
      <c r="E367" s="91">
        <v>190.5</v>
      </c>
      <c r="I367" s="92">
        <f t="shared" si="5"/>
        <v>190.5</v>
      </c>
    </row>
    <row r="368" spans="1:9" x14ac:dyDescent="0.2">
      <c r="A368" t="s">
        <v>207</v>
      </c>
      <c r="B368" s="91">
        <v>27.97</v>
      </c>
      <c r="D368" t="s">
        <v>591</v>
      </c>
      <c r="E368" s="91">
        <v>190.5</v>
      </c>
      <c r="I368" s="92">
        <f t="shared" si="5"/>
        <v>190.5</v>
      </c>
    </row>
    <row r="369" spans="1:9" x14ac:dyDescent="0.2">
      <c r="A369" t="s">
        <v>208</v>
      </c>
      <c r="B369" s="91">
        <v>7.5</v>
      </c>
      <c r="D369" t="s">
        <v>305</v>
      </c>
      <c r="E369" s="91">
        <v>190.47</v>
      </c>
      <c r="I369" s="92">
        <f t="shared" si="5"/>
        <v>190.47</v>
      </c>
    </row>
    <row r="370" spans="1:9" x14ac:dyDescent="0.2">
      <c r="A370" t="s">
        <v>208</v>
      </c>
      <c r="B370" s="91">
        <v>8</v>
      </c>
      <c r="D370" t="s">
        <v>681</v>
      </c>
      <c r="E370" s="91">
        <v>190</v>
      </c>
      <c r="I370" s="92">
        <f t="shared" si="5"/>
        <v>190</v>
      </c>
    </row>
    <row r="371" spans="1:9" x14ac:dyDescent="0.2">
      <c r="A371" t="s">
        <v>209</v>
      </c>
      <c r="B371" s="91">
        <v>47.5</v>
      </c>
      <c r="D371" t="s">
        <v>972</v>
      </c>
      <c r="E371" s="91">
        <v>190</v>
      </c>
      <c r="I371" s="92">
        <f t="shared" si="5"/>
        <v>190</v>
      </c>
    </row>
    <row r="372" spans="1:9" x14ac:dyDescent="0.2">
      <c r="A372" t="s">
        <v>209</v>
      </c>
      <c r="B372" s="91">
        <v>13.25</v>
      </c>
      <c r="D372" t="s">
        <v>1073</v>
      </c>
      <c r="E372" s="91">
        <v>190</v>
      </c>
      <c r="I372" s="92">
        <f t="shared" si="5"/>
        <v>190</v>
      </c>
    </row>
    <row r="373" spans="1:9" x14ac:dyDescent="0.2">
      <c r="A373" t="s">
        <v>210</v>
      </c>
      <c r="B373" s="91">
        <v>18.75</v>
      </c>
      <c r="D373" t="s">
        <v>1090</v>
      </c>
      <c r="E373" s="91">
        <v>190</v>
      </c>
      <c r="I373" s="92">
        <f t="shared" si="5"/>
        <v>190</v>
      </c>
    </row>
    <row r="374" spans="1:9" x14ac:dyDescent="0.2">
      <c r="A374" t="s">
        <v>210</v>
      </c>
      <c r="B374" s="91">
        <v>160</v>
      </c>
      <c r="D374" t="s">
        <v>1190</v>
      </c>
      <c r="E374" s="91">
        <v>190</v>
      </c>
      <c r="I374" s="92">
        <f t="shared" si="5"/>
        <v>190</v>
      </c>
    </row>
    <row r="375" spans="1:9" x14ac:dyDescent="0.2">
      <c r="A375" t="s">
        <v>211</v>
      </c>
      <c r="B375" s="91">
        <v>29.25</v>
      </c>
      <c r="D375" t="s">
        <v>940</v>
      </c>
      <c r="E375" s="91">
        <v>188.5</v>
      </c>
      <c r="I375" s="92">
        <f t="shared" si="5"/>
        <v>188.5</v>
      </c>
    </row>
    <row r="376" spans="1:9" x14ac:dyDescent="0.2">
      <c r="A376" t="s">
        <v>211</v>
      </c>
      <c r="B376" s="91">
        <v>47.5</v>
      </c>
      <c r="D376" t="s">
        <v>956</v>
      </c>
      <c r="E376" s="91">
        <v>187.5</v>
      </c>
      <c r="I376" s="92">
        <f t="shared" si="5"/>
        <v>187.5</v>
      </c>
    </row>
    <row r="377" spans="1:9" x14ac:dyDescent="0.2">
      <c r="A377" t="s">
        <v>211</v>
      </c>
      <c r="B377" s="91">
        <v>10.77</v>
      </c>
      <c r="D377" t="s">
        <v>610</v>
      </c>
      <c r="E377" s="91">
        <v>186</v>
      </c>
      <c r="I377" s="92">
        <f t="shared" si="5"/>
        <v>186</v>
      </c>
    </row>
    <row r="378" spans="1:9" x14ac:dyDescent="0.2">
      <c r="A378" t="s">
        <v>212</v>
      </c>
      <c r="B378" s="91">
        <v>18.75</v>
      </c>
      <c r="D378" t="s">
        <v>228</v>
      </c>
      <c r="E378" s="91">
        <v>185.5</v>
      </c>
      <c r="I378" s="92">
        <f t="shared" si="5"/>
        <v>185.5</v>
      </c>
    </row>
    <row r="379" spans="1:9" x14ac:dyDescent="0.2">
      <c r="A379" t="s">
        <v>212</v>
      </c>
      <c r="B379" s="91">
        <v>13.75</v>
      </c>
      <c r="D379" t="s">
        <v>1139</v>
      </c>
      <c r="E379" s="91">
        <v>184.25</v>
      </c>
      <c r="I379" s="92">
        <f t="shared" si="5"/>
        <v>184.25</v>
      </c>
    </row>
    <row r="380" spans="1:9" x14ac:dyDescent="0.2">
      <c r="A380" t="s">
        <v>212</v>
      </c>
      <c r="B380" s="91">
        <v>14.3</v>
      </c>
      <c r="D380" t="s">
        <v>695</v>
      </c>
      <c r="E380" s="91">
        <v>183.25</v>
      </c>
      <c r="G380" s="91">
        <v>183.25</v>
      </c>
      <c r="I380" s="92">
        <f t="shared" si="5"/>
        <v>0</v>
      </c>
    </row>
    <row r="381" spans="1:9" x14ac:dyDescent="0.2">
      <c r="A381" t="s">
        <v>213</v>
      </c>
      <c r="B381" s="91">
        <v>240</v>
      </c>
      <c r="D381" t="s">
        <v>68</v>
      </c>
      <c r="E381" s="91">
        <v>183</v>
      </c>
      <c r="I381" s="92">
        <f t="shared" si="5"/>
        <v>183</v>
      </c>
    </row>
    <row r="382" spans="1:9" x14ac:dyDescent="0.2">
      <c r="A382" t="s">
        <v>213</v>
      </c>
      <c r="B382" s="91">
        <v>116</v>
      </c>
      <c r="D382" t="s">
        <v>991</v>
      </c>
      <c r="E382" s="91">
        <v>182.75</v>
      </c>
      <c r="I382" s="92">
        <f t="shared" si="5"/>
        <v>182.75</v>
      </c>
    </row>
    <row r="383" spans="1:9" x14ac:dyDescent="0.2">
      <c r="A383" t="s">
        <v>214</v>
      </c>
      <c r="B383" s="91">
        <v>9</v>
      </c>
      <c r="D383" t="s">
        <v>996</v>
      </c>
      <c r="E383" s="91">
        <v>182.75</v>
      </c>
      <c r="I383" s="92">
        <f t="shared" si="5"/>
        <v>182.75</v>
      </c>
    </row>
    <row r="384" spans="1:9" x14ac:dyDescent="0.2">
      <c r="A384" t="s">
        <v>214</v>
      </c>
      <c r="B384" s="91">
        <v>27.25</v>
      </c>
      <c r="D384" t="s">
        <v>714</v>
      </c>
      <c r="E384" s="91">
        <v>180.5</v>
      </c>
      <c r="I384" s="92">
        <f t="shared" si="5"/>
        <v>180.5</v>
      </c>
    </row>
    <row r="385" spans="1:9" x14ac:dyDescent="0.2">
      <c r="A385" t="s">
        <v>214</v>
      </c>
      <c r="B385" s="91">
        <v>44</v>
      </c>
      <c r="D385" t="s">
        <v>1170</v>
      </c>
      <c r="E385" s="91">
        <v>180.25</v>
      </c>
      <c r="I385" s="92">
        <f t="shared" si="5"/>
        <v>180.25</v>
      </c>
    </row>
    <row r="386" spans="1:9" x14ac:dyDescent="0.2">
      <c r="A386" t="s">
        <v>214</v>
      </c>
      <c r="B386" s="91">
        <v>6.5</v>
      </c>
      <c r="D386" t="s">
        <v>210</v>
      </c>
      <c r="E386" s="91">
        <v>178.75</v>
      </c>
      <c r="I386" s="92">
        <f t="shared" si="5"/>
        <v>178.75</v>
      </c>
    </row>
    <row r="387" spans="1:9" x14ac:dyDescent="0.2">
      <c r="A387" t="s">
        <v>214</v>
      </c>
      <c r="B387" s="91">
        <v>31.6</v>
      </c>
      <c r="D387" t="s">
        <v>614</v>
      </c>
      <c r="E387" s="91">
        <v>178.75</v>
      </c>
      <c r="I387" s="92">
        <f t="shared" ref="I387:I450" si="6">E387-G387</f>
        <v>178.75</v>
      </c>
    </row>
    <row r="388" spans="1:9" x14ac:dyDescent="0.2">
      <c r="A388" t="s">
        <v>215</v>
      </c>
      <c r="B388" s="91">
        <v>44</v>
      </c>
      <c r="D388" t="s">
        <v>65</v>
      </c>
      <c r="E388" s="91">
        <v>178</v>
      </c>
      <c r="I388" s="92">
        <f t="shared" si="6"/>
        <v>178</v>
      </c>
    </row>
    <row r="389" spans="1:9" x14ac:dyDescent="0.2">
      <c r="A389" t="s">
        <v>215</v>
      </c>
      <c r="B389" s="91">
        <v>156</v>
      </c>
      <c r="D389" t="s">
        <v>136</v>
      </c>
      <c r="E389" s="91">
        <v>178</v>
      </c>
      <c r="I389" s="92">
        <f t="shared" si="6"/>
        <v>178</v>
      </c>
    </row>
    <row r="390" spans="1:9" x14ac:dyDescent="0.2">
      <c r="A390" t="s">
        <v>215</v>
      </c>
      <c r="B390" s="91">
        <v>45.25</v>
      </c>
      <c r="D390" t="s">
        <v>174</v>
      </c>
      <c r="E390" s="91">
        <v>178</v>
      </c>
      <c r="I390" s="92">
        <f t="shared" si="6"/>
        <v>178</v>
      </c>
    </row>
    <row r="391" spans="1:9" x14ac:dyDescent="0.2">
      <c r="A391" t="s">
        <v>216</v>
      </c>
      <c r="B391" s="91">
        <v>36</v>
      </c>
      <c r="D391" t="s">
        <v>232</v>
      </c>
      <c r="E391" s="91">
        <v>178</v>
      </c>
      <c r="I391" s="92">
        <f t="shared" si="6"/>
        <v>178</v>
      </c>
    </row>
    <row r="392" spans="1:9" x14ac:dyDescent="0.2">
      <c r="A392" t="s">
        <v>216</v>
      </c>
      <c r="B392" s="91">
        <v>23</v>
      </c>
      <c r="D392" t="s">
        <v>378</v>
      </c>
      <c r="E392" s="91">
        <v>178</v>
      </c>
      <c r="I392" s="92">
        <f t="shared" si="6"/>
        <v>178</v>
      </c>
    </row>
    <row r="393" spans="1:9" x14ac:dyDescent="0.2">
      <c r="A393" t="s">
        <v>216</v>
      </c>
      <c r="B393" s="91">
        <v>11.5</v>
      </c>
      <c r="D393" t="s">
        <v>403</v>
      </c>
      <c r="E393" s="91">
        <v>178</v>
      </c>
      <c r="I393" s="92">
        <f t="shared" si="6"/>
        <v>178</v>
      </c>
    </row>
    <row r="394" spans="1:9" x14ac:dyDescent="0.2">
      <c r="A394" t="s">
        <v>216</v>
      </c>
      <c r="B394" s="91">
        <v>11.5</v>
      </c>
      <c r="D394" t="s">
        <v>439</v>
      </c>
      <c r="E394" s="91">
        <v>178</v>
      </c>
      <c r="I394" s="92">
        <f t="shared" si="6"/>
        <v>178</v>
      </c>
    </row>
    <row r="395" spans="1:9" x14ac:dyDescent="0.2">
      <c r="A395" t="s">
        <v>216</v>
      </c>
      <c r="B395" s="91">
        <v>11.5</v>
      </c>
      <c r="D395" t="s">
        <v>468</v>
      </c>
      <c r="E395" s="91">
        <v>178</v>
      </c>
      <c r="I395" s="92">
        <f t="shared" si="6"/>
        <v>178</v>
      </c>
    </row>
    <row r="396" spans="1:9" x14ac:dyDescent="0.2">
      <c r="A396" t="s">
        <v>217</v>
      </c>
      <c r="B396" s="91">
        <v>72.5</v>
      </c>
      <c r="D396" t="s">
        <v>644</v>
      </c>
      <c r="E396" s="91">
        <v>178</v>
      </c>
      <c r="I396" s="92">
        <f t="shared" si="6"/>
        <v>178</v>
      </c>
    </row>
    <row r="397" spans="1:9" x14ac:dyDescent="0.2">
      <c r="A397" t="s">
        <v>218</v>
      </c>
      <c r="B397" s="91">
        <v>67.25</v>
      </c>
      <c r="D397" t="s">
        <v>840</v>
      </c>
      <c r="E397" s="91">
        <v>178</v>
      </c>
      <c r="I397" s="92">
        <f t="shared" si="6"/>
        <v>178</v>
      </c>
    </row>
    <row r="398" spans="1:9" x14ac:dyDescent="0.2">
      <c r="A398" t="s">
        <v>218</v>
      </c>
      <c r="B398" s="91">
        <v>18.75</v>
      </c>
      <c r="D398" t="s">
        <v>887</v>
      </c>
      <c r="E398" s="91">
        <v>178</v>
      </c>
      <c r="I398" s="92">
        <f t="shared" si="6"/>
        <v>178</v>
      </c>
    </row>
    <row r="399" spans="1:9" x14ac:dyDescent="0.2">
      <c r="A399" t="s">
        <v>218</v>
      </c>
      <c r="B399" s="91">
        <v>15.25</v>
      </c>
      <c r="D399" t="s">
        <v>1187</v>
      </c>
      <c r="E399" s="91">
        <v>178</v>
      </c>
      <c r="I399" s="92">
        <f t="shared" si="6"/>
        <v>178</v>
      </c>
    </row>
    <row r="400" spans="1:9" x14ac:dyDescent="0.2">
      <c r="A400" t="s">
        <v>219</v>
      </c>
      <c r="B400" s="91">
        <v>58.5</v>
      </c>
      <c r="D400" t="s">
        <v>1206</v>
      </c>
      <c r="E400" s="91">
        <v>178</v>
      </c>
      <c r="I400" s="92">
        <f t="shared" si="6"/>
        <v>178</v>
      </c>
    </row>
    <row r="401" spans="1:9" x14ac:dyDescent="0.2">
      <c r="A401" t="s">
        <v>219</v>
      </c>
      <c r="B401" s="91">
        <v>11</v>
      </c>
      <c r="D401" t="s">
        <v>1209</v>
      </c>
      <c r="E401" s="91">
        <v>178</v>
      </c>
      <c r="I401" s="92">
        <f t="shared" si="6"/>
        <v>178</v>
      </c>
    </row>
    <row r="402" spans="1:9" x14ac:dyDescent="0.2">
      <c r="A402" t="s">
        <v>220</v>
      </c>
      <c r="B402" s="91">
        <v>85</v>
      </c>
      <c r="D402" t="s">
        <v>1227</v>
      </c>
      <c r="E402" s="91">
        <v>178</v>
      </c>
      <c r="I402" s="92">
        <f t="shared" si="6"/>
        <v>178</v>
      </c>
    </row>
    <row r="403" spans="1:9" x14ac:dyDescent="0.2">
      <c r="A403" t="s">
        <v>221</v>
      </c>
      <c r="B403" s="91">
        <v>297</v>
      </c>
      <c r="D403" t="s">
        <v>62</v>
      </c>
      <c r="E403" s="91">
        <v>177.75</v>
      </c>
      <c r="I403" s="92">
        <f t="shared" si="6"/>
        <v>177.75</v>
      </c>
    </row>
    <row r="404" spans="1:9" x14ac:dyDescent="0.2">
      <c r="A404" t="s">
        <v>221</v>
      </c>
      <c r="B404" s="91">
        <v>120</v>
      </c>
      <c r="D404" t="s">
        <v>92</v>
      </c>
      <c r="E404" s="91">
        <v>177.75</v>
      </c>
      <c r="I404" s="92">
        <f t="shared" si="6"/>
        <v>177.75</v>
      </c>
    </row>
    <row r="405" spans="1:9" x14ac:dyDescent="0.2">
      <c r="A405" t="s">
        <v>221</v>
      </c>
      <c r="B405" s="91">
        <v>23</v>
      </c>
      <c r="D405" t="s">
        <v>460</v>
      </c>
      <c r="E405" s="91">
        <v>177.75</v>
      </c>
      <c r="I405" s="92">
        <f t="shared" si="6"/>
        <v>177.75</v>
      </c>
    </row>
    <row r="406" spans="1:9" x14ac:dyDescent="0.2">
      <c r="A406" t="s">
        <v>222</v>
      </c>
      <c r="B406" s="91">
        <v>15.15</v>
      </c>
      <c r="D406" t="s">
        <v>385</v>
      </c>
      <c r="E406" s="91">
        <v>173.25</v>
      </c>
      <c r="I406" s="92">
        <f t="shared" si="6"/>
        <v>173.25</v>
      </c>
    </row>
    <row r="407" spans="1:9" x14ac:dyDescent="0.2">
      <c r="A407" t="s">
        <v>223</v>
      </c>
      <c r="B407" s="91">
        <v>13.5</v>
      </c>
      <c r="D407" t="s">
        <v>418</v>
      </c>
      <c r="E407" s="91">
        <v>173.25</v>
      </c>
      <c r="I407" s="92">
        <f t="shared" si="6"/>
        <v>173.25</v>
      </c>
    </row>
    <row r="408" spans="1:9" x14ac:dyDescent="0.2">
      <c r="A408" t="s">
        <v>223</v>
      </c>
      <c r="B408" s="91">
        <v>16.5</v>
      </c>
      <c r="D408" t="s">
        <v>156</v>
      </c>
      <c r="E408" s="91">
        <v>172.57</v>
      </c>
      <c r="I408" s="92">
        <f t="shared" si="6"/>
        <v>172.57</v>
      </c>
    </row>
    <row r="409" spans="1:9" x14ac:dyDescent="0.2">
      <c r="A409" t="s">
        <v>223</v>
      </c>
      <c r="B409" s="91">
        <v>2</v>
      </c>
      <c r="D409" t="s">
        <v>531</v>
      </c>
      <c r="E409" s="91">
        <v>170.5</v>
      </c>
      <c r="I409" s="92">
        <f t="shared" si="6"/>
        <v>170.5</v>
      </c>
    </row>
    <row r="410" spans="1:9" x14ac:dyDescent="0.2">
      <c r="A410" t="s">
        <v>224</v>
      </c>
      <c r="B410" s="91">
        <v>262</v>
      </c>
      <c r="D410" t="s">
        <v>392</v>
      </c>
      <c r="E410" s="91">
        <v>170.25</v>
      </c>
      <c r="I410" s="92">
        <f t="shared" si="6"/>
        <v>170.25</v>
      </c>
    </row>
    <row r="411" spans="1:9" x14ac:dyDescent="0.2">
      <c r="A411" t="s">
        <v>225</v>
      </c>
      <c r="B411" s="91">
        <v>6</v>
      </c>
      <c r="D411" t="s">
        <v>602</v>
      </c>
      <c r="E411" s="91">
        <v>170</v>
      </c>
      <c r="I411" s="92">
        <f t="shared" si="6"/>
        <v>170</v>
      </c>
    </row>
    <row r="412" spans="1:9" x14ac:dyDescent="0.2">
      <c r="A412" t="s">
        <v>226</v>
      </c>
      <c r="B412" s="91">
        <v>33.07</v>
      </c>
      <c r="D412" t="s">
        <v>1045</v>
      </c>
      <c r="E412" s="91">
        <v>170</v>
      </c>
      <c r="I412" s="92">
        <f t="shared" si="6"/>
        <v>170</v>
      </c>
    </row>
    <row r="413" spans="1:9" x14ac:dyDescent="0.2">
      <c r="A413" t="s">
        <v>227</v>
      </c>
      <c r="B413" s="91">
        <v>69.3</v>
      </c>
      <c r="D413" t="s">
        <v>678</v>
      </c>
      <c r="E413" s="91">
        <v>169.65</v>
      </c>
      <c r="I413" s="92">
        <f t="shared" si="6"/>
        <v>169.65</v>
      </c>
    </row>
    <row r="414" spans="1:9" x14ac:dyDescent="0.2">
      <c r="A414" t="s">
        <v>228</v>
      </c>
      <c r="B414" s="91">
        <v>120</v>
      </c>
      <c r="D414" t="s">
        <v>742</v>
      </c>
      <c r="E414" s="91">
        <v>166.75</v>
      </c>
      <c r="I414" s="92">
        <f t="shared" si="6"/>
        <v>166.75</v>
      </c>
    </row>
    <row r="415" spans="1:9" x14ac:dyDescent="0.2">
      <c r="A415" t="s">
        <v>228</v>
      </c>
      <c r="B415" s="91">
        <v>58</v>
      </c>
      <c r="D415" t="s">
        <v>658</v>
      </c>
      <c r="E415" s="91">
        <v>165.5</v>
      </c>
      <c r="I415" s="92">
        <f t="shared" si="6"/>
        <v>165.5</v>
      </c>
    </row>
    <row r="416" spans="1:9" x14ac:dyDescent="0.2">
      <c r="A416" t="s">
        <v>228</v>
      </c>
      <c r="B416" s="91">
        <v>7.5</v>
      </c>
      <c r="D416" t="s">
        <v>874</v>
      </c>
      <c r="E416" s="91">
        <v>165</v>
      </c>
      <c r="I416" s="92">
        <f t="shared" si="6"/>
        <v>165</v>
      </c>
    </row>
    <row r="417" spans="1:9" x14ac:dyDescent="0.2">
      <c r="A417" t="s">
        <v>229</v>
      </c>
      <c r="B417" s="91">
        <v>131</v>
      </c>
      <c r="D417" t="s">
        <v>1083</v>
      </c>
      <c r="E417" s="91">
        <v>164</v>
      </c>
      <c r="I417" s="92">
        <f t="shared" si="6"/>
        <v>164</v>
      </c>
    </row>
    <row r="418" spans="1:9" x14ac:dyDescent="0.2">
      <c r="A418" t="s">
        <v>230</v>
      </c>
      <c r="B418" s="91">
        <v>616</v>
      </c>
      <c r="D418" t="s">
        <v>657</v>
      </c>
      <c r="E418" s="91">
        <v>160.25</v>
      </c>
      <c r="I418" s="92">
        <f t="shared" si="6"/>
        <v>160.25</v>
      </c>
    </row>
    <row r="419" spans="1:9" x14ac:dyDescent="0.2">
      <c r="A419" t="s">
        <v>230</v>
      </c>
      <c r="B419" s="91">
        <v>303</v>
      </c>
      <c r="D419" t="s">
        <v>993</v>
      </c>
      <c r="E419" s="91">
        <v>160</v>
      </c>
      <c r="I419" s="92">
        <f t="shared" si="6"/>
        <v>160</v>
      </c>
    </row>
    <row r="420" spans="1:9" x14ac:dyDescent="0.2">
      <c r="A420" t="s">
        <v>230</v>
      </c>
      <c r="B420" s="91">
        <v>79</v>
      </c>
      <c r="D420" s="95" t="s">
        <v>1181</v>
      </c>
      <c r="E420" s="93">
        <v>159.5</v>
      </c>
      <c r="I420" s="92">
        <f t="shared" si="6"/>
        <v>159.5</v>
      </c>
    </row>
    <row r="421" spans="1:9" x14ac:dyDescent="0.2">
      <c r="A421" t="s">
        <v>230</v>
      </c>
      <c r="B421" s="91">
        <v>2</v>
      </c>
      <c r="D421" t="s">
        <v>1076</v>
      </c>
      <c r="E421" s="91">
        <v>158.75</v>
      </c>
      <c r="I421" s="92">
        <f t="shared" si="6"/>
        <v>158.75</v>
      </c>
    </row>
    <row r="422" spans="1:9" x14ac:dyDescent="0.2">
      <c r="A422" t="s">
        <v>231</v>
      </c>
      <c r="B422" s="91">
        <v>262.5</v>
      </c>
      <c r="D422" t="s">
        <v>32</v>
      </c>
      <c r="E422" s="91">
        <v>158.5</v>
      </c>
      <c r="I422" s="92">
        <f t="shared" si="6"/>
        <v>158.5</v>
      </c>
    </row>
    <row r="423" spans="1:9" x14ac:dyDescent="0.2">
      <c r="A423" t="s">
        <v>231</v>
      </c>
      <c r="B423" s="91">
        <v>-11.18</v>
      </c>
      <c r="D423" t="s">
        <v>576</v>
      </c>
      <c r="E423" s="91">
        <v>158</v>
      </c>
      <c r="I423" s="92">
        <f t="shared" si="6"/>
        <v>158</v>
      </c>
    </row>
    <row r="424" spans="1:9" x14ac:dyDescent="0.2">
      <c r="A424" t="s">
        <v>232</v>
      </c>
      <c r="B424" s="91">
        <v>178</v>
      </c>
      <c r="D424" t="s">
        <v>554</v>
      </c>
      <c r="E424" s="91">
        <v>157.72</v>
      </c>
      <c r="I424" s="92">
        <f t="shared" si="6"/>
        <v>157.72</v>
      </c>
    </row>
    <row r="425" spans="1:9" x14ac:dyDescent="0.2">
      <c r="A425" t="s">
        <v>233</v>
      </c>
      <c r="B425" s="91">
        <v>10</v>
      </c>
      <c r="D425" t="s">
        <v>206</v>
      </c>
      <c r="E425" s="91">
        <v>156.25</v>
      </c>
      <c r="I425" s="92">
        <f t="shared" si="6"/>
        <v>156.25</v>
      </c>
    </row>
    <row r="426" spans="1:9" x14ac:dyDescent="0.2">
      <c r="A426" t="s">
        <v>233</v>
      </c>
      <c r="B426" s="91">
        <v>15.42</v>
      </c>
      <c r="D426" t="s">
        <v>112</v>
      </c>
      <c r="E426" s="91">
        <v>156</v>
      </c>
      <c r="I426" s="92">
        <f t="shared" si="6"/>
        <v>156</v>
      </c>
    </row>
    <row r="427" spans="1:9" x14ac:dyDescent="0.2">
      <c r="A427" t="s">
        <v>234</v>
      </c>
      <c r="B427" s="91">
        <v>12.370000000000001</v>
      </c>
      <c r="D427" t="s">
        <v>1236</v>
      </c>
      <c r="E427" s="91">
        <v>156</v>
      </c>
      <c r="I427" s="92">
        <f t="shared" si="6"/>
        <v>156</v>
      </c>
    </row>
    <row r="428" spans="1:9" x14ac:dyDescent="0.2">
      <c r="A428" t="s">
        <v>235</v>
      </c>
      <c r="B428" s="91">
        <v>240</v>
      </c>
      <c r="D428" t="s">
        <v>312</v>
      </c>
      <c r="E428" s="91">
        <v>150</v>
      </c>
      <c r="I428" s="92">
        <f t="shared" si="6"/>
        <v>150</v>
      </c>
    </row>
    <row r="429" spans="1:9" x14ac:dyDescent="0.2">
      <c r="A429" t="s">
        <v>235</v>
      </c>
      <c r="B429" s="91">
        <v>200</v>
      </c>
      <c r="D429" t="s">
        <v>953</v>
      </c>
      <c r="E429" s="91">
        <v>149</v>
      </c>
      <c r="I429" s="92">
        <f t="shared" si="6"/>
        <v>149</v>
      </c>
    </row>
    <row r="430" spans="1:9" x14ac:dyDescent="0.2">
      <c r="A430" t="s">
        <v>236</v>
      </c>
      <c r="B430" s="91">
        <v>7.75</v>
      </c>
      <c r="D430" t="s">
        <v>664</v>
      </c>
      <c r="E430" s="91">
        <v>148.5</v>
      </c>
      <c r="I430" s="92">
        <f t="shared" si="6"/>
        <v>148.5</v>
      </c>
    </row>
    <row r="431" spans="1:9" x14ac:dyDescent="0.2">
      <c r="A431" t="s">
        <v>236</v>
      </c>
      <c r="B431" s="91">
        <v>17.75</v>
      </c>
      <c r="D431" t="s">
        <v>124</v>
      </c>
      <c r="E431" s="91">
        <v>146.69999999999999</v>
      </c>
      <c r="I431" s="92">
        <f t="shared" si="6"/>
        <v>146.69999999999999</v>
      </c>
    </row>
    <row r="432" spans="1:9" x14ac:dyDescent="0.2">
      <c r="A432" t="s">
        <v>236</v>
      </c>
      <c r="B432" s="91">
        <v>55.5</v>
      </c>
      <c r="D432" t="s">
        <v>858</v>
      </c>
      <c r="E432" s="91">
        <v>146.5</v>
      </c>
      <c r="I432" s="92">
        <f t="shared" si="6"/>
        <v>146.5</v>
      </c>
    </row>
    <row r="433" spans="1:9" x14ac:dyDescent="0.2">
      <c r="A433" t="s">
        <v>236</v>
      </c>
      <c r="B433" s="91">
        <v>26.5</v>
      </c>
      <c r="D433" t="s">
        <v>633</v>
      </c>
      <c r="E433" s="91">
        <v>146.25</v>
      </c>
      <c r="I433" s="92">
        <f t="shared" si="6"/>
        <v>146.25</v>
      </c>
    </row>
    <row r="434" spans="1:9" x14ac:dyDescent="0.2">
      <c r="A434" t="s">
        <v>237</v>
      </c>
      <c r="B434" s="91">
        <v>20</v>
      </c>
      <c r="D434" t="s">
        <v>187</v>
      </c>
      <c r="E434" s="91">
        <v>146</v>
      </c>
      <c r="I434" s="92">
        <f t="shared" si="6"/>
        <v>146</v>
      </c>
    </row>
    <row r="435" spans="1:9" x14ac:dyDescent="0.2">
      <c r="A435" t="s">
        <v>237</v>
      </c>
      <c r="B435" s="91">
        <v>10</v>
      </c>
      <c r="D435" t="s">
        <v>524</v>
      </c>
      <c r="E435" s="91">
        <v>145</v>
      </c>
      <c r="I435" s="92">
        <f t="shared" si="6"/>
        <v>145</v>
      </c>
    </row>
    <row r="436" spans="1:9" x14ac:dyDescent="0.2">
      <c r="A436" t="s">
        <v>237</v>
      </c>
      <c r="B436" s="91">
        <v>10</v>
      </c>
      <c r="D436" t="s">
        <v>723</v>
      </c>
      <c r="E436" s="91">
        <v>145</v>
      </c>
      <c r="G436" s="91">
        <v>145</v>
      </c>
      <c r="I436" s="92">
        <f t="shared" si="6"/>
        <v>0</v>
      </c>
    </row>
    <row r="437" spans="1:9" x14ac:dyDescent="0.2">
      <c r="A437" t="s">
        <v>238</v>
      </c>
      <c r="B437" s="91">
        <v>11.5</v>
      </c>
      <c r="D437" t="s">
        <v>1118</v>
      </c>
      <c r="E437" s="91">
        <v>144.75</v>
      </c>
      <c r="I437" s="92">
        <f t="shared" si="6"/>
        <v>144.75</v>
      </c>
    </row>
    <row r="438" spans="1:9" x14ac:dyDescent="0.2">
      <c r="A438" t="s">
        <v>239</v>
      </c>
      <c r="B438" s="91">
        <v>20</v>
      </c>
      <c r="D438" t="s">
        <v>1195</v>
      </c>
      <c r="E438" s="91">
        <v>142.5</v>
      </c>
      <c r="I438" s="92">
        <f t="shared" si="6"/>
        <v>142.5</v>
      </c>
    </row>
    <row r="439" spans="1:9" x14ac:dyDescent="0.2">
      <c r="A439" t="s">
        <v>240</v>
      </c>
      <c r="B439" s="91">
        <v>18</v>
      </c>
      <c r="D439" t="s">
        <v>466</v>
      </c>
      <c r="E439" s="91">
        <v>142</v>
      </c>
      <c r="G439" s="91">
        <v>142</v>
      </c>
      <c r="I439" s="92">
        <f t="shared" si="6"/>
        <v>0</v>
      </c>
    </row>
    <row r="440" spans="1:9" x14ac:dyDescent="0.2">
      <c r="A440" t="s">
        <v>241</v>
      </c>
      <c r="B440" s="91">
        <v>59.5</v>
      </c>
      <c r="D440" t="s">
        <v>205</v>
      </c>
      <c r="E440" s="91">
        <v>141.52000000000001</v>
      </c>
      <c r="I440" s="92">
        <f t="shared" si="6"/>
        <v>141.52000000000001</v>
      </c>
    </row>
    <row r="441" spans="1:9" x14ac:dyDescent="0.2">
      <c r="A441" t="s">
        <v>242</v>
      </c>
      <c r="B441" s="91">
        <v>4050</v>
      </c>
      <c r="D441" t="s">
        <v>1147</v>
      </c>
      <c r="E441" s="91">
        <v>138</v>
      </c>
      <c r="I441" s="92">
        <f t="shared" si="6"/>
        <v>138</v>
      </c>
    </row>
    <row r="442" spans="1:9" x14ac:dyDescent="0.2">
      <c r="A442" t="s">
        <v>242</v>
      </c>
      <c r="B442" s="91">
        <v>630</v>
      </c>
      <c r="D442" t="s">
        <v>321</v>
      </c>
      <c r="E442" s="91">
        <v>136.25</v>
      </c>
      <c r="I442" s="92">
        <f t="shared" si="6"/>
        <v>136.25</v>
      </c>
    </row>
    <row r="443" spans="1:9" x14ac:dyDescent="0.2">
      <c r="A443" t="s">
        <v>242</v>
      </c>
      <c r="B443" s="91">
        <v>46.5</v>
      </c>
      <c r="D443" t="s">
        <v>621</v>
      </c>
      <c r="E443" s="91">
        <v>135.5</v>
      </c>
      <c r="I443" s="92">
        <f t="shared" si="6"/>
        <v>135.5</v>
      </c>
    </row>
    <row r="444" spans="1:9" x14ac:dyDescent="0.2">
      <c r="A444" t="s">
        <v>242</v>
      </c>
      <c r="B444" s="91">
        <v>7.5</v>
      </c>
      <c r="D444" t="s">
        <v>827</v>
      </c>
      <c r="E444" s="91">
        <v>135.25</v>
      </c>
      <c r="I444" s="92">
        <f t="shared" si="6"/>
        <v>135.25</v>
      </c>
    </row>
    <row r="445" spans="1:9" x14ac:dyDescent="0.2">
      <c r="A445" t="s">
        <v>243</v>
      </c>
      <c r="B445" s="91">
        <v>200</v>
      </c>
      <c r="D445" t="s">
        <v>461</v>
      </c>
      <c r="E445" s="91">
        <v>135</v>
      </c>
      <c r="I445" s="92">
        <f t="shared" si="6"/>
        <v>135</v>
      </c>
    </row>
    <row r="446" spans="1:9" x14ac:dyDescent="0.2">
      <c r="A446" t="s">
        <v>243</v>
      </c>
      <c r="B446" s="91">
        <v>170</v>
      </c>
      <c r="D446" t="s">
        <v>502</v>
      </c>
      <c r="E446" s="91">
        <v>135</v>
      </c>
      <c r="I446" s="92">
        <f t="shared" si="6"/>
        <v>135</v>
      </c>
    </row>
    <row r="447" spans="1:9" x14ac:dyDescent="0.2">
      <c r="A447" t="s">
        <v>243</v>
      </c>
      <c r="B447" s="91">
        <v>110</v>
      </c>
      <c r="D447" t="s">
        <v>507</v>
      </c>
      <c r="E447" s="91">
        <v>135</v>
      </c>
      <c r="I447" s="92">
        <f t="shared" si="6"/>
        <v>135</v>
      </c>
    </row>
    <row r="448" spans="1:9" x14ac:dyDescent="0.2">
      <c r="A448" t="s">
        <v>243</v>
      </c>
      <c r="B448" s="91">
        <v>10</v>
      </c>
      <c r="D448" t="s">
        <v>958</v>
      </c>
      <c r="E448" s="91">
        <v>135</v>
      </c>
      <c r="I448" s="92">
        <f t="shared" si="6"/>
        <v>135</v>
      </c>
    </row>
    <row r="449" spans="1:9" x14ac:dyDescent="0.2">
      <c r="A449" t="s">
        <v>243</v>
      </c>
      <c r="B449" s="91">
        <v>350</v>
      </c>
      <c r="D449" t="s">
        <v>1080</v>
      </c>
      <c r="E449" s="91">
        <v>135</v>
      </c>
      <c r="G449" s="91">
        <v>135</v>
      </c>
      <c r="I449" s="92">
        <f t="shared" si="6"/>
        <v>0</v>
      </c>
    </row>
    <row r="450" spans="1:9" x14ac:dyDescent="0.2">
      <c r="A450" t="s">
        <v>244</v>
      </c>
      <c r="B450" s="91">
        <v>10.25</v>
      </c>
      <c r="D450" t="s">
        <v>204</v>
      </c>
      <c r="E450" s="91">
        <v>134</v>
      </c>
      <c r="I450" s="92">
        <f t="shared" si="6"/>
        <v>134</v>
      </c>
    </row>
    <row r="451" spans="1:9" x14ac:dyDescent="0.2">
      <c r="A451" t="s">
        <v>245</v>
      </c>
      <c r="B451" s="91">
        <v>240</v>
      </c>
      <c r="D451" t="s">
        <v>1078</v>
      </c>
      <c r="E451" s="91">
        <v>134</v>
      </c>
      <c r="I451" s="92">
        <f t="shared" ref="I451:I514" si="7">E451-G451</f>
        <v>134</v>
      </c>
    </row>
    <row r="452" spans="1:9" x14ac:dyDescent="0.2">
      <c r="A452" t="s">
        <v>245</v>
      </c>
      <c r="B452" s="91">
        <v>10.5</v>
      </c>
      <c r="D452" t="s">
        <v>1188</v>
      </c>
      <c r="E452" s="91">
        <v>133.75</v>
      </c>
      <c r="I452" s="92">
        <f t="shared" si="7"/>
        <v>133.75</v>
      </c>
    </row>
    <row r="453" spans="1:9" x14ac:dyDescent="0.2">
      <c r="A453" t="s">
        <v>246</v>
      </c>
      <c r="B453" s="91">
        <v>132</v>
      </c>
      <c r="D453" t="s">
        <v>126</v>
      </c>
      <c r="E453" s="91">
        <v>133</v>
      </c>
      <c r="I453" s="92">
        <f t="shared" si="7"/>
        <v>133</v>
      </c>
    </row>
    <row r="454" spans="1:9" x14ac:dyDescent="0.2">
      <c r="A454" t="s">
        <v>247</v>
      </c>
      <c r="B454" s="91">
        <v>393</v>
      </c>
      <c r="D454" t="s">
        <v>838</v>
      </c>
      <c r="E454" s="91">
        <v>133</v>
      </c>
      <c r="G454" s="91">
        <v>133</v>
      </c>
      <c r="I454" s="92">
        <f t="shared" si="7"/>
        <v>0</v>
      </c>
    </row>
    <row r="455" spans="1:9" x14ac:dyDescent="0.2">
      <c r="A455" t="s">
        <v>248</v>
      </c>
      <c r="B455" s="91">
        <v>66.25</v>
      </c>
      <c r="D455" t="s">
        <v>743</v>
      </c>
      <c r="E455" s="91">
        <v>132.25</v>
      </c>
      <c r="I455" s="92">
        <f t="shared" si="7"/>
        <v>132.25</v>
      </c>
    </row>
    <row r="456" spans="1:9" x14ac:dyDescent="0.2">
      <c r="A456" t="s">
        <v>248</v>
      </c>
      <c r="B456" s="91">
        <v>54.12</v>
      </c>
      <c r="D456" t="s">
        <v>88</v>
      </c>
      <c r="E456" s="91">
        <v>132</v>
      </c>
      <c r="I456" s="92">
        <f t="shared" si="7"/>
        <v>132</v>
      </c>
    </row>
    <row r="457" spans="1:9" x14ac:dyDescent="0.2">
      <c r="A457" t="s">
        <v>249</v>
      </c>
      <c r="B457" s="91">
        <v>9.75</v>
      </c>
      <c r="D457" t="s">
        <v>246</v>
      </c>
      <c r="E457" s="91">
        <v>132</v>
      </c>
      <c r="I457" s="92">
        <f t="shared" si="7"/>
        <v>132</v>
      </c>
    </row>
    <row r="458" spans="1:9" x14ac:dyDescent="0.2">
      <c r="A458" t="s">
        <v>249</v>
      </c>
      <c r="B458" s="91">
        <v>2</v>
      </c>
      <c r="D458" t="s">
        <v>266</v>
      </c>
      <c r="E458" s="91">
        <v>132</v>
      </c>
      <c r="I458" s="92">
        <f t="shared" si="7"/>
        <v>132</v>
      </c>
    </row>
    <row r="459" spans="1:9" x14ac:dyDescent="0.2">
      <c r="A459" t="s">
        <v>250</v>
      </c>
      <c r="B459" s="91">
        <v>10.25</v>
      </c>
      <c r="D459" t="s">
        <v>326</v>
      </c>
      <c r="E459" s="91">
        <v>132</v>
      </c>
      <c r="I459" s="92">
        <f t="shared" si="7"/>
        <v>132</v>
      </c>
    </row>
    <row r="460" spans="1:9" x14ac:dyDescent="0.2">
      <c r="A460" t="s">
        <v>250</v>
      </c>
      <c r="B460" s="91">
        <v>11.5</v>
      </c>
      <c r="D460" t="s">
        <v>355</v>
      </c>
      <c r="E460" s="91">
        <v>132</v>
      </c>
      <c r="I460" s="92">
        <f t="shared" si="7"/>
        <v>132</v>
      </c>
    </row>
    <row r="461" spans="1:9" x14ac:dyDescent="0.2">
      <c r="A461" t="s">
        <v>251</v>
      </c>
      <c r="B461" s="91">
        <v>9.75</v>
      </c>
      <c r="D461" t="s">
        <v>648</v>
      </c>
      <c r="E461" s="91">
        <v>132</v>
      </c>
      <c r="I461" s="92">
        <f t="shared" si="7"/>
        <v>132</v>
      </c>
    </row>
    <row r="462" spans="1:9" x14ac:dyDescent="0.2">
      <c r="A462" t="s">
        <v>252</v>
      </c>
      <c r="B462" s="91">
        <v>131</v>
      </c>
      <c r="D462" t="s">
        <v>809</v>
      </c>
      <c r="E462" s="91">
        <v>132</v>
      </c>
      <c r="I462" s="92">
        <f t="shared" si="7"/>
        <v>132</v>
      </c>
    </row>
    <row r="463" spans="1:9" x14ac:dyDescent="0.2">
      <c r="A463" t="s">
        <v>253</v>
      </c>
      <c r="B463" s="91">
        <v>80</v>
      </c>
      <c r="D463" t="s">
        <v>836</v>
      </c>
      <c r="E463" s="91">
        <v>132</v>
      </c>
      <c r="I463" s="92">
        <f t="shared" si="7"/>
        <v>132</v>
      </c>
    </row>
    <row r="464" spans="1:9" x14ac:dyDescent="0.2">
      <c r="A464" t="s">
        <v>253</v>
      </c>
      <c r="B464" s="91">
        <v>62</v>
      </c>
      <c r="D464" t="s">
        <v>582</v>
      </c>
      <c r="E464" s="91">
        <v>131.5</v>
      </c>
      <c r="I464" s="92">
        <f t="shared" si="7"/>
        <v>131.5</v>
      </c>
    </row>
    <row r="465" spans="1:9" x14ac:dyDescent="0.2">
      <c r="A465" t="s">
        <v>253</v>
      </c>
      <c r="B465" s="91">
        <v>33</v>
      </c>
      <c r="D465" t="s">
        <v>57</v>
      </c>
      <c r="E465" s="91">
        <v>131</v>
      </c>
      <c r="I465" s="92">
        <f t="shared" si="7"/>
        <v>131</v>
      </c>
    </row>
    <row r="466" spans="1:9" x14ac:dyDescent="0.2">
      <c r="A466" t="s">
        <v>253</v>
      </c>
      <c r="B466" s="91">
        <v>13.5</v>
      </c>
      <c r="D466" t="s">
        <v>134</v>
      </c>
      <c r="E466" s="91">
        <v>131</v>
      </c>
      <c r="I466" s="92">
        <f t="shared" si="7"/>
        <v>131</v>
      </c>
    </row>
    <row r="467" spans="1:9" x14ac:dyDescent="0.2">
      <c r="A467" t="s">
        <v>253</v>
      </c>
      <c r="B467" s="91">
        <v>148.5</v>
      </c>
      <c r="D467" t="s">
        <v>229</v>
      </c>
      <c r="E467" s="91">
        <v>131</v>
      </c>
      <c r="I467" s="92">
        <f t="shared" si="7"/>
        <v>131</v>
      </c>
    </row>
    <row r="468" spans="1:9" x14ac:dyDescent="0.2">
      <c r="A468" t="s">
        <v>253</v>
      </c>
      <c r="B468" s="91">
        <v>18.75</v>
      </c>
      <c r="D468" t="s">
        <v>252</v>
      </c>
      <c r="E468" s="91">
        <v>131</v>
      </c>
      <c r="I468" s="92">
        <f t="shared" si="7"/>
        <v>131</v>
      </c>
    </row>
    <row r="469" spans="1:9" x14ac:dyDescent="0.2">
      <c r="A469" t="s">
        <v>253</v>
      </c>
      <c r="B469" s="91">
        <v>29</v>
      </c>
      <c r="D469" t="s">
        <v>467</v>
      </c>
      <c r="E469" s="91">
        <v>131</v>
      </c>
      <c r="I469" s="92">
        <f t="shared" si="7"/>
        <v>131</v>
      </c>
    </row>
    <row r="470" spans="1:9" x14ac:dyDescent="0.2">
      <c r="A470" t="s">
        <v>253</v>
      </c>
      <c r="B470" s="91">
        <v>100.5</v>
      </c>
      <c r="D470" t="s">
        <v>927</v>
      </c>
      <c r="E470" s="91">
        <v>131</v>
      </c>
      <c r="I470" s="92">
        <f t="shared" si="7"/>
        <v>131</v>
      </c>
    </row>
    <row r="471" spans="1:9" x14ac:dyDescent="0.2">
      <c r="A471" t="s">
        <v>253</v>
      </c>
      <c r="B471" s="91">
        <v>38.25</v>
      </c>
      <c r="D471" t="s">
        <v>813</v>
      </c>
      <c r="E471" s="91">
        <v>130.25</v>
      </c>
      <c r="I471" s="92">
        <f t="shared" si="7"/>
        <v>130.25</v>
      </c>
    </row>
    <row r="472" spans="1:9" x14ac:dyDescent="0.2">
      <c r="A472" t="s">
        <v>253</v>
      </c>
      <c r="B472" s="91">
        <v>52.75</v>
      </c>
      <c r="D472" t="s">
        <v>921</v>
      </c>
      <c r="E472" s="91">
        <v>129.25</v>
      </c>
      <c r="I472" s="92">
        <f t="shared" si="7"/>
        <v>129.25</v>
      </c>
    </row>
    <row r="473" spans="1:9" x14ac:dyDescent="0.2">
      <c r="A473" t="s">
        <v>253</v>
      </c>
      <c r="B473" s="91">
        <v>53.5</v>
      </c>
      <c r="D473" t="s">
        <v>258</v>
      </c>
      <c r="E473" s="91">
        <v>128.91999999999999</v>
      </c>
      <c r="I473" s="92">
        <f t="shared" si="7"/>
        <v>128.91999999999999</v>
      </c>
    </row>
    <row r="474" spans="1:9" x14ac:dyDescent="0.2">
      <c r="A474" t="s">
        <v>253</v>
      </c>
      <c r="B474" s="91">
        <v>41.25</v>
      </c>
      <c r="D474" t="s">
        <v>590</v>
      </c>
      <c r="E474" s="91">
        <v>127.8</v>
      </c>
      <c r="I474" s="92">
        <f t="shared" si="7"/>
        <v>127.8</v>
      </c>
    </row>
    <row r="475" spans="1:9" x14ac:dyDescent="0.2">
      <c r="A475" t="s">
        <v>253</v>
      </c>
      <c r="B475" s="91">
        <v>24</v>
      </c>
      <c r="D475" t="s">
        <v>884</v>
      </c>
      <c r="E475" s="91">
        <v>125.5</v>
      </c>
      <c r="I475" s="92">
        <f t="shared" si="7"/>
        <v>125.5</v>
      </c>
    </row>
    <row r="476" spans="1:9" x14ac:dyDescent="0.2">
      <c r="A476" t="s">
        <v>253</v>
      </c>
      <c r="B476" s="91">
        <v>-12.799999999999997</v>
      </c>
      <c r="D476" t="s">
        <v>1001</v>
      </c>
      <c r="E476" s="91">
        <v>124.71000000000001</v>
      </c>
      <c r="I476" s="92">
        <f t="shared" si="7"/>
        <v>124.71000000000001</v>
      </c>
    </row>
    <row r="477" spans="1:9" x14ac:dyDescent="0.2">
      <c r="A477" t="s">
        <v>254</v>
      </c>
      <c r="B477" s="91">
        <v>53.32</v>
      </c>
      <c r="D477" t="s">
        <v>197</v>
      </c>
      <c r="E477" s="91">
        <v>122.75</v>
      </c>
      <c r="I477" s="92">
        <f t="shared" si="7"/>
        <v>122.75</v>
      </c>
    </row>
    <row r="478" spans="1:9" x14ac:dyDescent="0.2">
      <c r="A478" t="s">
        <v>255</v>
      </c>
      <c r="B478" s="91">
        <v>61</v>
      </c>
      <c r="D478" t="s">
        <v>322</v>
      </c>
      <c r="E478" s="91">
        <v>122</v>
      </c>
      <c r="I478" s="92">
        <f t="shared" si="7"/>
        <v>122</v>
      </c>
    </row>
    <row r="479" spans="1:9" x14ac:dyDescent="0.2">
      <c r="A479" t="s">
        <v>256</v>
      </c>
      <c r="B479" s="91">
        <v>70</v>
      </c>
      <c r="D479" t="s">
        <v>483</v>
      </c>
      <c r="E479" s="91">
        <v>121.72</v>
      </c>
      <c r="I479" s="92">
        <f t="shared" si="7"/>
        <v>121.72</v>
      </c>
    </row>
    <row r="480" spans="1:9" x14ac:dyDescent="0.2">
      <c r="A480" t="s">
        <v>257</v>
      </c>
      <c r="B480" s="91">
        <v>27</v>
      </c>
      <c r="D480" t="s">
        <v>1153</v>
      </c>
      <c r="E480" s="91">
        <v>121.25</v>
      </c>
      <c r="I480" s="92">
        <f t="shared" si="7"/>
        <v>121.25</v>
      </c>
    </row>
    <row r="481" spans="1:9" x14ac:dyDescent="0.2">
      <c r="A481" t="s">
        <v>257</v>
      </c>
      <c r="B481" s="91">
        <v>20.5</v>
      </c>
      <c r="D481" t="s">
        <v>758</v>
      </c>
      <c r="E481" s="91">
        <v>121</v>
      </c>
      <c r="I481" s="92">
        <f t="shared" si="7"/>
        <v>121</v>
      </c>
    </row>
    <row r="482" spans="1:9" x14ac:dyDescent="0.2">
      <c r="A482" t="s">
        <v>257</v>
      </c>
      <c r="B482" s="91">
        <v>3.3499999999999996</v>
      </c>
      <c r="D482" t="s">
        <v>248</v>
      </c>
      <c r="E482" s="91">
        <v>120.37</v>
      </c>
      <c r="I482" s="92">
        <f t="shared" si="7"/>
        <v>120.37</v>
      </c>
    </row>
    <row r="483" spans="1:9" x14ac:dyDescent="0.2">
      <c r="A483" t="s">
        <v>258</v>
      </c>
      <c r="B483" s="91">
        <v>8</v>
      </c>
      <c r="D483" t="s">
        <v>35</v>
      </c>
      <c r="E483" s="91">
        <v>119.25</v>
      </c>
      <c r="I483" s="92">
        <f t="shared" si="7"/>
        <v>119.25</v>
      </c>
    </row>
    <row r="484" spans="1:9" x14ac:dyDescent="0.2">
      <c r="A484" t="s">
        <v>258</v>
      </c>
      <c r="B484" s="91">
        <v>122.75</v>
      </c>
      <c r="D484" t="s">
        <v>904</v>
      </c>
      <c r="E484" s="91">
        <v>119</v>
      </c>
      <c r="I484" s="92">
        <f t="shared" si="7"/>
        <v>119</v>
      </c>
    </row>
    <row r="485" spans="1:9" x14ac:dyDescent="0.2">
      <c r="A485" t="s">
        <v>258</v>
      </c>
      <c r="B485" s="91">
        <v>-1.83</v>
      </c>
      <c r="D485" t="s">
        <v>214</v>
      </c>
      <c r="E485" s="91">
        <v>118.35</v>
      </c>
      <c r="I485" s="92">
        <f t="shared" si="7"/>
        <v>118.35</v>
      </c>
    </row>
    <row r="486" spans="1:9" x14ac:dyDescent="0.2">
      <c r="A486" t="s">
        <v>259</v>
      </c>
      <c r="B486" s="91">
        <v>11.7</v>
      </c>
      <c r="D486" t="s">
        <v>534</v>
      </c>
      <c r="E486" s="91">
        <v>117.75</v>
      </c>
      <c r="I486" s="92">
        <f t="shared" si="7"/>
        <v>117.75</v>
      </c>
    </row>
    <row r="487" spans="1:9" x14ac:dyDescent="0.2">
      <c r="A487" t="s">
        <v>260</v>
      </c>
      <c r="B487" s="91">
        <v>36</v>
      </c>
      <c r="D487" t="s">
        <v>609</v>
      </c>
      <c r="E487" s="91">
        <v>116.75</v>
      </c>
      <c r="I487" s="92">
        <f t="shared" si="7"/>
        <v>116.75</v>
      </c>
    </row>
    <row r="488" spans="1:9" x14ac:dyDescent="0.2">
      <c r="A488" t="s">
        <v>260</v>
      </c>
      <c r="B488" s="91">
        <v>58.5</v>
      </c>
      <c r="D488" t="s">
        <v>782</v>
      </c>
      <c r="E488" s="91">
        <v>115.5</v>
      </c>
      <c r="I488" s="92">
        <f t="shared" si="7"/>
        <v>115.5</v>
      </c>
    </row>
    <row r="489" spans="1:9" x14ac:dyDescent="0.2">
      <c r="A489" t="s">
        <v>261</v>
      </c>
      <c r="B489" s="91">
        <v>1200</v>
      </c>
      <c r="D489" t="s">
        <v>1211</v>
      </c>
      <c r="E489" s="91">
        <v>114.25</v>
      </c>
      <c r="I489" s="92">
        <f t="shared" si="7"/>
        <v>114.25</v>
      </c>
    </row>
    <row r="490" spans="1:9" x14ac:dyDescent="0.2">
      <c r="A490" t="s">
        <v>261</v>
      </c>
      <c r="B490" s="91">
        <v>240</v>
      </c>
      <c r="D490" t="s">
        <v>848</v>
      </c>
      <c r="E490" s="91">
        <v>114</v>
      </c>
      <c r="I490" s="92">
        <f t="shared" si="7"/>
        <v>114</v>
      </c>
    </row>
    <row r="491" spans="1:9" x14ac:dyDescent="0.2">
      <c r="A491" t="s">
        <v>261</v>
      </c>
      <c r="B491" s="91">
        <v>240</v>
      </c>
      <c r="D491" t="s">
        <v>728</v>
      </c>
      <c r="E491" s="91">
        <v>113.75</v>
      </c>
      <c r="I491" s="92">
        <f t="shared" si="7"/>
        <v>113.75</v>
      </c>
    </row>
    <row r="492" spans="1:9" x14ac:dyDescent="0.2">
      <c r="A492" t="s">
        <v>261</v>
      </c>
      <c r="B492" s="91">
        <v>594</v>
      </c>
      <c r="D492" t="s">
        <v>410</v>
      </c>
      <c r="E492" s="91">
        <v>112.27</v>
      </c>
      <c r="I492" s="92">
        <f t="shared" si="7"/>
        <v>112.27</v>
      </c>
    </row>
    <row r="493" spans="1:9" x14ac:dyDescent="0.2">
      <c r="A493" t="s">
        <v>261</v>
      </c>
      <c r="B493" s="91">
        <v>20</v>
      </c>
      <c r="D493" t="s">
        <v>429</v>
      </c>
      <c r="E493" s="91">
        <v>110.55</v>
      </c>
      <c r="I493" s="92">
        <f t="shared" si="7"/>
        <v>110.55</v>
      </c>
    </row>
    <row r="494" spans="1:9" x14ac:dyDescent="0.2">
      <c r="A494" t="s">
        <v>262</v>
      </c>
      <c r="B494" s="91">
        <v>18</v>
      </c>
      <c r="D494" t="s">
        <v>599</v>
      </c>
      <c r="E494" s="91">
        <v>110.55</v>
      </c>
      <c r="I494" s="92">
        <f t="shared" si="7"/>
        <v>110.55</v>
      </c>
    </row>
    <row r="495" spans="1:9" x14ac:dyDescent="0.2">
      <c r="A495" t="s">
        <v>262</v>
      </c>
      <c r="B495" s="91">
        <v>12.75</v>
      </c>
      <c r="D495" t="s">
        <v>73</v>
      </c>
      <c r="E495" s="91">
        <v>110.47</v>
      </c>
      <c r="I495" s="92">
        <f t="shared" si="7"/>
        <v>110.47</v>
      </c>
    </row>
    <row r="496" spans="1:9" x14ac:dyDescent="0.2">
      <c r="A496" t="s">
        <v>263</v>
      </c>
      <c r="B496" s="91">
        <v>18</v>
      </c>
      <c r="D496" t="s">
        <v>515</v>
      </c>
      <c r="E496" s="91">
        <v>110</v>
      </c>
      <c r="I496" s="92">
        <f t="shared" si="7"/>
        <v>110</v>
      </c>
    </row>
    <row r="497" spans="1:9" x14ac:dyDescent="0.2">
      <c r="A497" t="s">
        <v>263</v>
      </c>
      <c r="B497" s="91">
        <v>11.5</v>
      </c>
      <c r="D497" t="s">
        <v>583</v>
      </c>
      <c r="E497" s="91">
        <v>110</v>
      </c>
      <c r="I497" s="92">
        <f t="shared" si="7"/>
        <v>110</v>
      </c>
    </row>
    <row r="498" spans="1:9" x14ac:dyDescent="0.2">
      <c r="A498" t="s">
        <v>264</v>
      </c>
      <c r="B498" s="91">
        <v>32.619999999999997</v>
      </c>
      <c r="D498" t="s">
        <v>749</v>
      </c>
      <c r="E498" s="91">
        <v>110</v>
      </c>
      <c r="I498" s="92">
        <f t="shared" si="7"/>
        <v>110</v>
      </c>
    </row>
    <row r="499" spans="1:9" x14ac:dyDescent="0.2">
      <c r="A499" t="s">
        <v>265</v>
      </c>
      <c r="B499" s="91">
        <v>15.52</v>
      </c>
      <c r="D499" t="s">
        <v>989</v>
      </c>
      <c r="E499" s="91">
        <v>109.75</v>
      </c>
      <c r="I499" s="92">
        <f t="shared" si="7"/>
        <v>109.75</v>
      </c>
    </row>
    <row r="500" spans="1:9" x14ac:dyDescent="0.2">
      <c r="A500" t="s">
        <v>266</v>
      </c>
      <c r="B500" s="91">
        <v>132</v>
      </c>
      <c r="D500" t="s">
        <v>1151</v>
      </c>
      <c r="E500" s="91">
        <v>109.75</v>
      </c>
      <c r="I500" s="92">
        <f t="shared" si="7"/>
        <v>109.75</v>
      </c>
    </row>
    <row r="501" spans="1:9" x14ac:dyDescent="0.2">
      <c r="A501" t="s">
        <v>267</v>
      </c>
      <c r="B501" s="91">
        <v>1050</v>
      </c>
      <c r="D501" t="s">
        <v>59</v>
      </c>
      <c r="E501" s="91">
        <v>109.5</v>
      </c>
      <c r="I501" s="92">
        <f t="shared" si="7"/>
        <v>109.5</v>
      </c>
    </row>
    <row r="502" spans="1:9" x14ac:dyDescent="0.2">
      <c r="A502" t="s">
        <v>268</v>
      </c>
      <c r="B502" s="91">
        <v>12.6</v>
      </c>
      <c r="D502" t="s">
        <v>71</v>
      </c>
      <c r="E502" s="91">
        <v>108.75</v>
      </c>
      <c r="I502" s="92">
        <f t="shared" si="7"/>
        <v>108.75</v>
      </c>
    </row>
    <row r="503" spans="1:9" x14ac:dyDescent="0.2">
      <c r="A503" t="s">
        <v>269</v>
      </c>
      <c r="B503" s="91">
        <v>18</v>
      </c>
      <c r="D503" t="s">
        <v>587</v>
      </c>
      <c r="E503" s="91">
        <v>108.25</v>
      </c>
      <c r="I503" s="92">
        <f t="shared" si="7"/>
        <v>108.25</v>
      </c>
    </row>
    <row r="504" spans="1:9" x14ac:dyDescent="0.2">
      <c r="A504" t="s">
        <v>269</v>
      </c>
      <c r="B504" s="91">
        <v>39.15</v>
      </c>
      <c r="D504" t="s">
        <v>1210</v>
      </c>
      <c r="E504" s="91">
        <v>108</v>
      </c>
      <c r="I504" s="92">
        <f t="shared" si="7"/>
        <v>108</v>
      </c>
    </row>
    <row r="505" spans="1:9" x14ac:dyDescent="0.2">
      <c r="A505" t="s">
        <v>270</v>
      </c>
      <c r="B505" s="91">
        <v>708</v>
      </c>
      <c r="D505" t="s">
        <v>846</v>
      </c>
      <c r="E505" s="91">
        <v>107.75</v>
      </c>
      <c r="I505" s="92">
        <f t="shared" si="7"/>
        <v>107.75</v>
      </c>
    </row>
    <row r="506" spans="1:9" x14ac:dyDescent="0.2">
      <c r="A506" t="s">
        <v>271</v>
      </c>
      <c r="B506" s="91">
        <v>240</v>
      </c>
      <c r="D506" t="s">
        <v>565</v>
      </c>
      <c r="E506" s="91">
        <v>107.6</v>
      </c>
      <c r="I506" s="92">
        <f t="shared" si="7"/>
        <v>107.6</v>
      </c>
    </row>
    <row r="507" spans="1:9" x14ac:dyDescent="0.2">
      <c r="A507" t="s">
        <v>271</v>
      </c>
      <c r="B507" s="91">
        <v>240</v>
      </c>
      <c r="D507" t="s">
        <v>236</v>
      </c>
      <c r="E507" s="91">
        <v>107.5</v>
      </c>
      <c r="I507" s="92">
        <f t="shared" si="7"/>
        <v>107.5</v>
      </c>
    </row>
    <row r="508" spans="1:9" x14ac:dyDescent="0.2">
      <c r="A508" t="s">
        <v>271</v>
      </c>
      <c r="B508" s="91">
        <v>54</v>
      </c>
      <c r="D508" t="s">
        <v>1141</v>
      </c>
      <c r="E508" s="91">
        <v>107</v>
      </c>
      <c r="I508" s="92">
        <f t="shared" si="7"/>
        <v>107</v>
      </c>
    </row>
    <row r="509" spans="1:9" x14ac:dyDescent="0.2">
      <c r="A509" t="s">
        <v>272</v>
      </c>
      <c r="B509" s="91">
        <v>616</v>
      </c>
      <c r="D509" t="s">
        <v>883</v>
      </c>
      <c r="E509" s="91">
        <v>106.75</v>
      </c>
      <c r="I509" s="92">
        <f t="shared" si="7"/>
        <v>106.75</v>
      </c>
    </row>
    <row r="510" spans="1:9" x14ac:dyDescent="0.2">
      <c r="A510" t="s">
        <v>273</v>
      </c>
      <c r="B510" s="91">
        <v>20</v>
      </c>
      <c r="D510" t="s">
        <v>935</v>
      </c>
      <c r="E510" s="91">
        <v>106.25</v>
      </c>
      <c r="I510" s="92">
        <f t="shared" si="7"/>
        <v>106.25</v>
      </c>
    </row>
    <row r="511" spans="1:9" x14ac:dyDescent="0.2">
      <c r="A511" t="s">
        <v>274</v>
      </c>
      <c r="B511" s="91">
        <v>12.82</v>
      </c>
      <c r="D511" t="s">
        <v>936</v>
      </c>
      <c r="E511" s="91">
        <v>106</v>
      </c>
      <c r="I511" s="92">
        <f t="shared" si="7"/>
        <v>106</v>
      </c>
    </row>
    <row r="512" spans="1:9" x14ac:dyDescent="0.2">
      <c r="A512" t="s">
        <v>275</v>
      </c>
      <c r="B512" s="91">
        <v>10.8</v>
      </c>
      <c r="D512" t="s">
        <v>1212</v>
      </c>
      <c r="E512" s="91">
        <v>105.5</v>
      </c>
      <c r="I512" s="92">
        <f t="shared" si="7"/>
        <v>105.5</v>
      </c>
    </row>
    <row r="513" spans="1:9" x14ac:dyDescent="0.2">
      <c r="A513" t="s">
        <v>276</v>
      </c>
      <c r="B513" s="91">
        <v>15.75</v>
      </c>
      <c r="D513" t="s">
        <v>850</v>
      </c>
      <c r="E513" s="91">
        <v>104.5</v>
      </c>
      <c r="I513" s="92">
        <f t="shared" si="7"/>
        <v>104.5</v>
      </c>
    </row>
    <row r="514" spans="1:9" x14ac:dyDescent="0.2">
      <c r="A514" t="s">
        <v>277</v>
      </c>
      <c r="B514" s="91">
        <v>6.5</v>
      </c>
      <c r="D514" t="s">
        <v>386</v>
      </c>
      <c r="E514" s="91">
        <v>103.75</v>
      </c>
      <c r="I514" s="92">
        <f t="shared" si="7"/>
        <v>103.75</v>
      </c>
    </row>
    <row r="515" spans="1:9" x14ac:dyDescent="0.2">
      <c r="A515" t="s">
        <v>278</v>
      </c>
      <c r="B515" s="91">
        <v>17.5</v>
      </c>
      <c r="D515" t="s">
        <v>549</v>
      </c>
      <c r="E515" s="91">
        <v>103.75</v>
      </c>
      <c r="I515" s="92">
        <f t="shared" ref="I515:I578" si="8">E515-G515</f>
        <v>103.75</v>
      </c>
    </row>
    <row r="516" spans="1:9" x14ac:dyDescent="0.2">
      <c r="A516" t="s">
        <v>278</v>
      </c>
      <c r="B516" s="91">
        <v>23</v>
      </c>
      <c r="D516" t="s">
        <v>388</v>
      </c>
      <c r="E516" s="91">
        <v>102.15</v>
      </c>
      <c r="I516" s="92">
        <f t="shared" si="8"/>
        <v>102.15</v>
      </c>
    </row>
    <row r="517" spans="1:9" x14ac:dyDescent="0.2">
      <c r="A517" t="s">
        <v>279</v>
      </c>
      <c r="B517" s="91">
        <v>10</v>
      </c>
      <c r="D517" t="s">
        <v>864</v>
      </c>
      <c r="E517" s="91">
        <v>102</v>
      </c>
      <c r="I517" s="92">
        <f t="shared" si="8"/>
        <v>102</v>
      </c>
    </row>
    <row r="518" spans="1:9" x14ac:dyDescent="0.2">
      <c r="A518" t="s">
        <v>280</v>
      </c>
      <c r="B518" s="91">
        <v>528</v>
      </c>
      <c r="D518" t="s">
        <v>218</v>
      </c>
      <c r="E518" s="91">
        <v>101.25</v>
      </c>
      <c r="I518" s="92">
        <f t="shared" si="8"/>
        <v>101.25</v>
      </c>
    </row>
    <row r="519" spans="1:9" x14ac:dyDescent="0.2">
      <c r="A519" t="s">
        <v>281</v>
      </c>
      <c r="B519" s="91">
        <v>43</v>
      </c>
      <c r="D519" t="s">
        <v>981</v>
      </c>
      <c r="E519" s="91">
        <v>100.5</v>
      </c>
      <c r="I519" s="92">
        <f t="shared" si="8"/>
        <v>100.5</v>
      </c>
    </row>
    <row r="520" spans="1:9" x14ac:dyDescent="0.2">
      <c r="A520" t="s">
        <v>281</v>
      </c>
      <c r="B520" s="91">
        <v>35</v>
      </c>
      <c r="D520" t="s">
        <v>317</v>
      </c>
      <c r="E520" s="91">
        <v>100</v>
      </c>
      <c r="I520" s="92">
        <f t="shared" si="8"/>
        <v>100</v>
      </c>
    </row>
    <row r="521" spans="1:9" x14ac:dyDescent="0.2">
      <c r="A521" t="s">
        <v>282</v>
      </c>
      <c r="B521" s="91">
        <v>262</v>
      </c>
      <c r="D521" t="s">
        <v>861</v>
      </c>
      <c r="E521" s="91">
        <v>100</v>
      </c>
      <c r="I521" s="92">
        <f t="shared" si="8"/>
        <v>100</v>
      </c>
    </row>
    <row r="522" spans="1:9" x14ac:dyDescent="0.2">
      <c r="A522" t="s">
        <v>283</v>
      </c>
      <c r="B522" s="91">
        <v>18</v>
      </c>
      <c r="D522" t="s">
        <v>738</v>
      </c>
      <c r="E522" s="91">
        <v>99.75</v>
      </c>
      <c r="I522" s="92">
        <f t="shared" si="8"/>
        <v>99.75</v>
      </c>
    </row>
    <row r="523" spans="1:9" x14ac:dyDescent="0.2">
      <c r="A523" t="s">
        <v>284</v>
      </c>
      <c r="B523" s="91">
        <v>15.25</v>
      </c>
      <c r="D523" t="s">
        <v>1177</v>
      </c>
      <c r="E523" s="91">
        <v>99.5</v>
      </c>
      <c r="I523" s="92">
        <f t="shared" si="8"/>
        <v>99.5</v>
      </c>
    </row>
    <row r="524" spans="1:9" x14ac:dyDescent="0.2">
      <c r="A524" t="s">
        <v>284</v>
      </c>
      <c r="B524" s="91">
        <v>18</v>
      </c>
      <c r="D524" t="s">
        <v>328</v>
      </c>
      <c r="E524" s="91">
        <v>98.5</v>
      </c>
      <c r="I524" s="92">
        <f t="shared" si="8"/>
        <v>98.5</v>
      </c>
    </row>
    <row r="525" spans="1:9" x14ac:dyDescent="0.2">
      <c r="A525" t="s">
        <v>285</v>
      </c>
      <c r="B525" s="91">
        <v>18</v>
      </c>
      <c r="D525" t="s">
        <v>552</v>
      </c>
      <c r="E525" s="91">
        <v>98.5</v>
      </c>
      <c r="I525" s="92">
        <f t="shared" si="8"/>
        <v>98.5</v>
      </c>
    </row>
    <row r="526" spans="1:9" x14ac:dyDescent="0.2">
      <c r="A526" t="s">
        <v>285</v>
      </c>
      <c r="B526" s="91">
        <v>7.5</v>
      </c>
      <c r="D526" t="s">
        <v>558</v>
      </c>
      <c r="E526" s="91">
        <v>97</v>
      </c>
      <c r="I526" s="92">
        <f t="shared" si="8"/>
        <v>97</v>
      </c>
    </row>
    <row r="527" spans="1:9" x14ac:dyDescent="0.2">
      <c r="A527" t="s">
        <v>286</v>
      </c>
      <c r="B527" s="91">
        <v>7.5</v>
      </c>
      <c r="D527" t="s">
        <v>76</v>
      </c>
      <c r="E527" s="91">
        <v>96</v>
      </c>
      <c r="I527" s="92">
        <f t="shared" si="8"/>
        <v>96</v>
      </c>
    </row>
    <row r="528" spans="1:9" x14ac:dyDescent="0.2">
      <c r="A528" t="s">
        <v>287</v>
      </c>
      <c r="B528" s="91">
        <v>23.85</v>
      </c>
      <c r="D528" t="s">
        <v>161</v>
      </c>
      <c r="E528" s="91">
        <v>95</v>
      </c>
      <c r="I528" s="92">
        <f t="shared" si="8"/>
        <v>95</v>
      </c>
    </row>
    <row r="529" spans="1:9" x14ac:dyDescent="0.2">
      <c r="A529" t="s">
        <v>288</v>
      </c>
      <c r="B529" s="91">
        <v>27</v>
      </c>
      <c r="D529" t="s">
        <v>260</v>
      </c>
      <c r="E529" s="91">
        <v>94.5</v>
      </c>
      <c r="I529" s="92">
        <f t="shared" si="8"/>
        <v>94.5</v>
      </c>
    </row>
    <row r="530" spans="1:9" x14ac:dyDescent="0.2">
      <c r="A530" t="s">
        <v>289</v>
      </c>
      <c r="B530" s="91">
        <v>7.75</v>
      </c>
      <c r="D530" t="s">
        <v>660</v>
      </c>
      <c r="E530" s="91">
        <v>94.5</v>
      </c>
      <c r="I530" s="92">
        <f t="shared" si="8"/>
        <v>94.5</v>
      </c>
    </row>
    <row r="531" spans="1:9" x14ac:dyDescent="0.2">
      <c r="A531" t="s">
        <v>290</v>
      </c>
      <c r="B531" s="91">
        <v>18.75</v>
      </c>
      <c r="D531" t="s">
        <v>871</v>
      </c>
      <c r="E531" s="91">
        <v>94.5</v>
      </c>
      <c r="I531" s="92">
        <f t="shared" si="8"/>
        <v>94.5</v>
      </c>
    </row>
    <row r="532" spans="1:9" x14ac:dyDescent="0.2">
      <c r="A532" t="s">
        <v>290</v>
      </c>
      <c r="B532" s="91">
        <v>14.75</v>
      </c>
      <c r="D532" t="s">
        <v>1105</v>
      </c>
      <c r="E532" s="91">
        <v>94.25</v>
      </c>
      <c r="I532" s="92">
        <f t="shared" si="8"/>
        <v>94.25</v>
      </c>
    </row>
    <row r="533" spans="1:9" x14ac:dyDescent="0.2">
      <c r="A533" t="s">
        <v>291</v>
      </c>
      <c r="B533" s="91">
        <v>38.700000000000003</v>
      </c>
      <c r="D533" t="s">
        <v>607</v>
      </c>
      <c r="E533" s="91">
        <v>93.75</v>
      </c>
      <c r="I533" s="92">
        <f t="shared" si="8"/>
        <v>93.75</v>
      </c>
    </row>
    <row r="534" spans="1:9" x14ac:dyDescent="0.2">
      <c r="A534" t="s">
        <v>292</v>
      </c>
      <c r="B534" s="91">
        <v>10</v>
      </c>
      <c r="D534" t="s">
        <v>892</v>
      </c>
      <c r="E534" s="91">
        <v>93.75</v>
      </c>
      <c r="I534" s="92">
        <f t="shared" si="8"/>
        <v>93.75</v>
      </c>
    </row>
    <row r="535" spans="1:9" x14ac:dyDescent="0.2">
      <c r="A535" t="s">
        <v>292</v>
      </c>
      <c r="B535" s="91">
        <v>5</v>
      </c>
      <c r="D535" t="s">
        <v>216</v>
      </c>
      <c r="E535" s="91">
        <v>93.5</v>
      </c>
      <c r="I535" s="92">
        <f t="shared" si="8"/>
        <v>93.5</v>
      </c>
    </row>
    <row r="536" spans="1:9" x14ac:dyDescent="0.2">
      <c r="A536" t="s">
        <v>293</v>
      </c>
      <c r="B536" s="91">
        <v>18.25</v>
      </c>
      <c r="D536" t="s">
        <v>404</v>
      </c>
      <c r="E536" s="91">
        <v>93.25</v>
      </c>
      <c r="I536" s="92">
        <f t="shared" si="8"/>
        <v>93.25</v>
      </c>
    </row>
    <row r="537" spans="1:9" x14ac:dyDescent="0.2">
      <c r="A537" t="s">
        <v>294</v>
      </c>
      <c r="B537" s="91">
        <v>18</v>
      </c>
      <c r="D537" t="s">
        <v>588</v>
      </c>
      <c r="E537" s="91">
        <v>93.2</v>
      </c>
      <c r="I537" s="92">
        <f t="shared" si="8"/>
        <v>93.2</v>
      </c>
    </row>
    <row r="538" spans="1:9" x14ac:dyDescent="0.2">
      <c r="A538" t="s">
        <v>295</v>
      </c>
      <c r="B538" s="91">
        <v>8.5</v>
      </c>
      <c r="D538" t="s">
        <v>485</v>
      </c>
      <c r="E538" s="91">
        <v>93</v>
      </c>
      <c r="I538" s="92">
        <f t="shared" si="8"/>
        <v>93</v>
      </c>
    </row>
    <row r="539" spans="1:9" x14ac:dyDescent="0.2">
      <c r="A539" t="s">
        <v>295</v>
      </c>
      <c r="B539" s="91">
        <v>22</v>
      </c>
      <c r="D539" t="s">
        <v>865</v>
      </c>
      <c r="E539" s="91">
        <v>93</v>
      </c>
      <c r="I539" s="92">
        <f t="shared" si="8"/>
        <v>93</v>
      </c>
    </row>
    <row r="540" spans="1:9" x14ac:dyDescent="0.2">
      <c r="A540" t="s">
        <v>296</v>
      </c>
      <c r="B540" s="91">
        <v>10</v>
      </c>
      <c r="D540" t="s">
        <v>905</v>
      </c>
      <c r="E540" s="91">
        <v>93</v>
      </c>
      <c r="G540" s="91">
        <v>93</v>
      </c>
      <c r="I540" s="92">
        <f t="shared" si="8"/>
        <v>0</v>
      </c>
    </row>
    <row r="541" spans="1:9" x14ac:dyDescent="0.2">
      <c r="A541" t="s">
        <v>296</v>
      </c>
      <c r="B541" s="91">
        <v>23</v>
      </c>
      <c r="D541" t="s">
        <v>318</v>
      </c>
      <c r="E541" s="91">
        <v>92.25</v>
      </c>
      <c r="I541" s="92">
        <f t="shared" si="8"/>
        <v>92.25</v>
      </c>
    </row>
    <row r="542" spans="1:9" x14ac:dyDescent="0.2">
      <c r="A542" t="s">
        <v>297</v>
      </c>
      <c r="B542" s="91">
        <v>6.5</v>
      </c>
      <c r="D542" t="s">
        <v>834</v>
      </c>
      <c r="E542" s="91">
        <v>92.25</v>
      </c>
      <c r="I542" s="92">
        <f t="shared" si="8"/>
        <v>92.25</v>
      </c>
    </row>
    <row r="543" spans="1:9" x14ac:dyDescent="0.2">
      <c r="A543" t="s">
        <v>297</v>
      </c>
      <c r="B543" s="91">
        <v>10</v>
      </c>
      <c r="D543" t="s">
        <v>804</v>
      </c>
      <c r="E543" s="91">
        <v>91.75</v>
      </c>
      <c r="I543" s="92">
        <f t="shared" si="8"/>
        <v>91.75</v>
      </c>
    </row>
    <row r="544" spans="1:9" x14ac:dyDescent="0.2">
      <c r="A544" t="s">
        <v>298</v>
      </c>
      <c r="B544" s="91">
        <v>20</v>
      </c>
      <c r="D544" t="s">
        <v>616</v>
      </c>
      <c r="E544" s="91">
        <v>91.57</v>
      </c>
      <c r="I544" s="92">
        <f t="shared" si="8"/>
        <v>91.57</v>
      </c>
    </row>
    <row r="545" spans="1:9" x14ac:dyDescent="0.2">
      <c r="A545" t="s">
        <v>299</v>
      </c>
      <c r="B545" s="91">
        <v>14.75</v>
      </c>
      <c r="D545" t="s">
        <v>422</v>
      </c>
      <c r="E545" s="91">
        <v>91.5</v>
      </c>
      <c r="I545" s="92">
        <f t="shared" si="8"/>
        <v>91.5</v>
      </c>
    </row>
    <row r="546" spans="1:9" x14ac:dyDescent="0.2">
      <c r="A546" t="s">
        <v>300</v>
      </c>
      <c r="B546" s="91">
        <v>14</v>
      </c>
      <c r="D546" t="s">
        <v>1199</v>
      </c>
      <c r="E546" s="91">
        <v>91</v>
      </c>
      <c r="I546" s="92">
        <f t="shared" si="8"/>
        <v>91</v>
      </c>
    </row>
    <row r="547" spans="1:9" x14ac:dyDescent="0.2">
      <c r="A547" t="s">
        <v>300</v>
      </c>
      <c r="B547" s="91">
        <v>9.4</v>
      </c>
      <c r="D547" t="s">
        <v>80</v>
      </c>
      <c r="E547" s="91">
        <v>90.25</v>
      </c>
      <c r="I547" s="92">
        <f t="shared" si="8"/>
        <v>90.25</v>
      </c>
    </row>
    <row r="548" spans="1:9" x14ac:dyDescent="0.2">
      <c r="A548" t="s">
        <v>301</v>
      </c>
      <c r="B548" s="91">
        <v>18</v>
      </c>
      <c r="D548" t="s">
        <v>90</v>
      </c>
      <c r="E548" s="91">
        <v>90.25</v>
      </c>
      <c r="I548" s="92">
        <f t="shared" si="8"/>
        <v>90.25</v>
      </c>
    </row>
    <row r="549" spans="1:9" x14ac:dyDescent="0.2">
      <c r="A549" t="s">
        <v>302</v>
      </c>
      <c r="B549" s="91">
        <v>7.75</v>
      </c>
      <c r="D549" t="s">
        <v>203</v>
      </c>
      <c r="E549" s="91">
        <v>90</v>
      </c>
      <c r="I549" s="92">
        <f t="shared" si="8"/>
        <v>90</v>
      </c>
    </row>
    <row r="550" spans="1:9" x14ac:dyDescent="0.2">
      <c r="A550" t="s">
        <v>303</v>
      </c>
      <c r="B550" s="91">
        <v>18</v>
      </c>
      <c r="D550" t="s">
        <v>843</v>
      </c>
      <c r="E550" s="91">
        <v>90</v>
      </c>
      <c r="I550" s="92">
        <f t="shared" si="8"/>
        <v>90</v>
      </c>
    </row>
    <row r="551" spans="1:9" x14ac:dyDescent="0.2">
      <c r="A551" t="s">
        <v>304</v>
      </c>
      <c r="B551" s="91">
        <v>31.5</v>
      </c>
      <c r="D551" t="s">
        <v>954</v>
      </c>
      <c r="E551" s="91">
        <v>90</v>
      </c>
      <c r="I551" s="92">
        <f t="shared" si="8"/>
        <v>90</v>
      </c>
    </row>
    <row r="552" spans="1:9" x14ac:dyDescent="0.2">
      <c r="A552" t="s">
        <v>305</v>
      </c>
      <c r="B552" s="91">
        <v>75</v>
      </c>
      <c r="D552" t="s">
        <v>627</v>
      </c>
      <c r="E552" s="91">
        <v>89</v>
      </c>
      <c r="I552" s="92">
        <f t="shared" si="8"/>
        <v>89</v>
      </c>
    </row>
    <row r="553" spans="1:9" x14ac:dyDescent="0.2">
      <c r="A553" t="s">
        <v>305</v>
      </c>
      <c r="B553" s="91">
        <v>95.5</v>
      </c>
      <c r="D553" t="s">
        <v>966</v>
      </c>
      <c r="E553" s="91">
        <v>89</v>
      </c>
      <c r="I553" s="92">
        <f t="shared" si="8"/>
        <v>89</v>
      </c>
    </row>
    <row r="554" spans="1:9" x14ac:dyDescent="0.2">
      <c r="A554" t="s">
        <v>305</v>
      </c>
      <c r="B554" s="91">
        <v>15</v>
      </c>
      <c r="D554" t="s">
        <v>674</v>
      </c>
      <c r="E554" s="91">
        <v>88.5</v>
      </c>
      <c r="I554" s="92">
        <f t="shared" si="8"/>
        <v>88.5</v>
      </c>
    </row>
    <row r="555" spans="1:9" x14ac:dyDescent="0.2">
      <c r="A555" t="s">
        <v>305</v>
      </c>
      <c r="B555" s="91">
        <v>4.9700000000000006</v>
      </c>
      <c r="D555" t="s">
        <v>443</v>
      </c>
      <c r="E555" s="91">
        <v>88.2</v>
      </c>
      <c r="I555" s="92">
        <f t="shared" si="8"/>
        <v>88.2</v>
      </c>
    </row>
    <row r="556" spans="1:9" x14ac:dyDescent="0.2">
      <c r="A556" t="s">
        <v>306</v>
      </c>
      <c r="B556" s="91">
        <v>31.5</v>
      </c>
      <c r="D556" t="s">
        <v>826</v>
      </c>
      <c r="E556" s="91">
        <v>88</v>
      </c>
      <c r="I556" s="92">
        <f t="shared" si="8"/>
        <v>88</v>
      </c>
    </row>
    <row r="557" spans="1:9" x14ac:dyDescent="0.2">
      <c r="A557" t="s">
        <v>307</v>
      </c>
      <c r="B557" s="91">
        <v>67.5</v>
      </c>
      <c r="D557" t="s">
        <v>606</v>
      </c>
      <c r="E557" s="91">
        <v>87.75</v>
      </c>
      <c r="I557" s="92">
        <f t="shared" si="8"/>
        <v>87.75</v>
      </c>
    </row>
    <row r="558" spans="1:9" x14ac:dyDescent="0.2">
      <c r="A558" t="s">
        <v>308</v>
      </c>
      <c r="B558" s="91">
        <v>-40.5</v>
      </c>
      <c r="D558" t="s">
        <v>875</v>
      </c>
      <c r="E558" s="91">
        <v>87.75</v>
      </c>
      <c r="I558" s="92">
        <f t="shared" si="8"/>
        <v>87.75</v>
      </c>
    </row>
    <row r="559" spans="1:9" x14ac:dyDescent="0.2">
      <c r="A559" t="s">
        <v>308</v>
      </c>
      <c r="B559" s="91">
        <v>300</v>
      </c>
      <c r="D559" t="s">
        <v>211</v>
      </c>
      <c r="E559" s="91">
        <v>87.52</v>
      </c>
      <c r="I559" s="92">
        <f t="shared" si="8"/>
        <v>87.52</v>
      </c>
    </row>
    <row r="560" spans="1:9" x14ac:dyDescent="0.2">
      <c r="A560" t="s">
        <v>308</v>
      </c>
      <c r="B560" s="91">
        <v>150</v>
      </c>
      <c r="D560" t="s">
        <v>503</v>
      </c>
      <c r="E560" s="91">
        <v>87.25</v>
      </c>
      <c r="G560" s="91">
        <v>87.25</v>
      </c>
      <c r="I560" s="92">
        <f t="shared" si="8"/>
        <v>0</v>
      </c>
    </row>
    <row r="561" spans="1:9" x14ac:dyDescent="0.2">
      <c r="A561" t="s">
        <v>308</v>
      </c>
      <c r="B561" s="91">
        <v>150</v>
      </c>
      <c r="D561" t="s">
        <v>992</v>
      </c>
      <c r="E561" s="91">
        <v>87</v>
      </c>
      <c r="I561" s="92">
        <f t="shared" si="8"/>
        <v>87</v>
      </c>
    </row>
    <row r="562" spans="1:9" x14ac:dyDescent="0.2">
      <c r="A562" t="s">
        <v>309</v>
      </c>
      <c r="B562" s="91">
        <v>19.8</v>
      </c>
      <c r="D562" t="s">
        <v>38</v>
      </c>
      <c r="E562" s="91">
        <v>86.5</v>
      </c>
      <c r="I562" s="92">
        <f t="shared" si="8"/>
        <v>86.5</v>
      </c>
    </row>
    <row r="563" spans="1:9" x14ac:dyDescent="0.2">
      <c r="A563" t="s">
        <v>310</v>
      </c>
      <c r="B563" s="91">
        <v>10</v>
      </c>
      <c r="D563" t="s">
        <v>220</v>
      </c>
      <c r="E563" s="91">
        <v>85</v>
      </c>
      <c r="I563" s="92">
        <f t="shared" si="8"/>
        <v>85</v>
      </c>
    </row>
    <row r="564" spans="1:9" x14ac:dyDescent="0.2">
      <c r="A564" t="s">
        <v>311</v>
      </c>
      <c r="B564" s="91">
        <v>18.25</v>
      </c>
      <c r="D564" t="s">
        <v>753</v>
      </c>
      <c r="E564" s="91">
        <v>85</v>
      </c>
      <c r="I564" s="92">
        <f t="shared" si="8"/>
        <v>85</v>
      </c>
    </row>
    <row r="565" spans="1:9" x14ac:dyDescent="0.2">
      <c r="A565" t="s">
        <v>311</v>
      </c>
      <c r="B565" s="91">
        <v>51.25</v>
      </c>
      <c r="D565" t="s">
        <v>859</v>
      </c>
      <c r="E565" s="91">
        <v>85</v>
      </c>
      <c r="I565" s="92">
        <f t="shared" si="8"/>
        <v>85</v>
      </c>
    </row>
    <row r="566" spans="1:9" x14ac:dyDescent="0.2">
      <c r="A566" t="s">
        <v>312</v>
      </c>
      <c r="B566" s="91">
        <v>150</v>
      </c>
      <c r="D566" t="s">
        <v>1146</v>
      </c>
      <c r="E566" s="91">
        <v>85</v>
      </c>
      <c r="I566" s="92">
        <f t="shared" si="8"/>
        <v>85</v>
      </c>
    </row>
    <row r="567" spans="1:9" x14ac:dyDescent="0.2">
      <c r="A567" t="s">
        <v>313</v>
      </c>
      <c r="B567" s="91">
        <v>6.5</v>
      </c>
      <c r="D567" t="s">
        <v>970</v>
      </c>
      <c r="E567" s="91">
        <v>84.5</v>
      </c>
      <c r="I567" s="92">
        <f t="shared" si="8"/>
        <v>84.5</v>
      </c>
    </row>
    <row r="568" spans="1:9" x14ac:dyDescent="0.2">
      <c r="A568" t="s">
        <v>313</v>
      </c>
      <c r="B568" s="91">
        <v>15</v>
      </c>
      <c r="D568" t="s">
        <v>510</v>
      </c>
      <c r="E568" s="91">
        <v>83.440000000000012</v>
      </c>
      <c r="I568" s="92">
        <f t="shared" si="8"/>
        <v>83.440000000000012</v>
      </c>
    </row>
    <row r="569" spans="1:9" x14ac:dyDescent="0.2">
      <c r="A569" t="s">
        <v>313</v>
      </c>
      <c r="B569" s="91">
        <v>15</v>
      </c>
      <c r="D569" t="s">
        <v>955</v>
      </c>
      <c r="E569" s="91">
        <v>82.5</v>
      </c>
      <c r="I569" s="92">
        <f t="shared" si="8"/>
        <v>82.5</v>
      </c>
    </row>
    <row r="570" spans="1:9" x14ac:dyDescent="0.2">
      <c r="A570" t="s">
        <v>313</v>
      </c>
      <c r="B570" s="91">
        <v>90</v>
      </c>
      <c r="D570" t="s">
        <v>990</v>
      </c>
      <c r="E570" s="91">
        <v>82.5</v>
      </c>
      <c r="I570" s="92">
        <f t="shared" si="8"/>
        <v>82.5</v>
      </c>
    </row>
    <row r="571" spans="1:9" x14ac:dyDescent="0.2">
      <c r="A571" t="s">
        <v>313</v>
      </c>
      <c r="B571" s="91">
        <v>150</v>
      </c>
      <c r="D571" t="s">
        <v>1205</v>
      </c>
      <c r="E571" s="91">
        <v>82.5</v>
      </c>
      <c r="I571" s="92">
        <f t="shared" si="8"/>
        <v>82.5</v>
      </c>
    </row>
    <row r="572" spans="1:9" x14ac:dyDescent="0.2">
      <c r="A572" t="s">
        <v>313</v>
      </c>
      <c r="B572" s="91">
        <v>122.75</v>
      </c>
      <c r="D572" t="s">
        <v>1069</v>
      </c>
      <c r="E572" s="91">
        <v>82</v>
      </c>
      <c r="I572" s="92">
        <f t="shared" si="8"/>
        <v>82</v>
      </c>
    </row>
    <row r="573" spans="1:9" x14ac:dyDescent="0.2">
      <c r="A573" t="s">
        <v>313</v>
      </c>
      <c r="B573" s="91">
        <v>96</v>
      </c>
      <c r="D573" t="s">
        <v>654</v>
      </c>
      <c r="E573" s="91">
        <v>81.900000000000006</v>
      </c>
      <c r="I573" s="92">
        <f t="shared" si="8"/>
        <v>81.900000000000006</v>
      </c>
    </row>
    <row r="574" spans="1:9" x14ac:dyDescent="0.2">
      <c r="A574" t="s">
        <v>313</v>
      </c>
      <c r="B574" s="91">
        <v>32.5</v>
      </c>
      <c r="D574" t="s">
        <v>114</v>
      </c>
      <c r="E574" s="91">
        <v>81.5</v>
      </c>
      <c r="I574" s="92">
        <f t="shared" si="8"/>
        <v>81.5</v>
      </c>
    </row>
    <row r="575" spans="1:9" x14ac:dyDescent="0.2">
      <c r="A575" t="s">
        <v>313</v>
      </c>
      <c r="B575" s="91">
        <v>-23.53</v>
      </c>
      <c r="D575" t="s">
        <v>37</v>
      </c>
      <c r="E575" s="91">
        <v>81</v>
      </c>
      <c r="I575" s="92">
        <f t="shared" si="8"/>
        <v>81</v>
      </c>
    </row>
    <row r="576" spans="1:9" x14ac:dyDescent="0.2">
      <c r="A576" t="s">
        <v>314</v>
      </c>
      <c r="B576" s="91">
        <v>10</v>
      </c>
      <c r="D576" t="s">
        <v>772</v>
      </c>
      <c r="E576" s="91">
        <v>81</v>
      </c>
      <c r="I576" s="92">
        <f t="shared" si="8"/>
        <v>81</v>
      </c>
    </row>
    <row r="577" spans="1:9" x14ac:dyDescent="0.2">
      <c r="A577" t="s">
        <v>315</v>
      </c>
      <c r="B577" s="91">
        <v>150</v>
      </c>
      <c r="D577" t="s">
        <v>911</v>
      </c>
      <c r="E577" s="91">
        <v>81</v>
      </c>
      <c r="I577" s="92">
        <f t="shared" si="8"/>
        <v>81</v>
      </c>
    </row>
    <row r="578" spans="1:9" x14ac:dyDescent="0.2">
      <c r="A578" t="s">
        <v>315</v>
      </c>
      <c r="B578" s="91">
        <v>114</v>
      </c>
      <c r="D578" t="s">
        <v>1198</v>
      </c>
      <c r="E578" s="91">
        <v>79</v>
      </c>
      <c r="I578" s="92">
        <f t="shared" si="8"/>
        <v>79</v>
      </c>
    </row>
    <row r="579" spans="1:9" x14ac:dyDescent="0.2">
      <c r="A579" t="s">
        <v>316</v>
      </c>
      <c r="B579" s="91">
        <v>86</v>
      </c>
      <c r="D579" t="s">
        <v>281</v>
      </c>
      <c r="E579" s="91">
        <v>78</v>
      </c>
      <c r="I579" s="92">
        <f t="shared" ref="I579:I642" si="9">E579-G579</f>
        <v>78</v>
      </c>
    </row>
    <row r="580" spans="1:9" x14ac:dyDescent="0.2">
      <c r="A580" t="s">
        <v>316</v>
      </c>
      <c r="B580" s="91">
        <v>65.5</v>
      </c>
      <c r="D580" t="s">
        <v>1050</v>
      </c>
      <c r="E580" s="91">
        <v>76</v>
      </c>
      <c r="I580" s="92">
        <f t="shared" si="9"/>
        <v>76</v>
      </c>
    </row>
    <row r="581" spans="1:9" x14ac:dyDescent="0.2">
      <c r="A581" t="s">
        <v>316</v>
      </c>
      <c r="B581" s="91">
        <v>85.75</v>
      </c>
      <c r="D581" t="s">
        <v>520</v>
      </c>
      <c r="E581" s="91">
        <v>75.599999999999994</v>
      </c>
      <c r="I581" s="92">
        <f t="shared" si="9"/>
        <v>75.599999999999994</v>
      </c>
    </row>
    <row r="582" spans="1:9" x14ac:dyDescent="0.2">
      <c r="A582" t="s">
        <v>316</v>
      </c>
      <c r="B582" s="91">
        <v>66.25</v>
      </c>
      <c r="D582" t="s">
        <v>988</v>
      </c>
      <c r="E582" s="91">
        <v>75.5</v>
      </c>
      <c r="I582" s="92">
        <f t="shared" si="9"/>
        <v>75.5</v>
      </c>
    </row>
    <row r="583" spans="1:9" x14ac:dyDescent="0.2">
      <c r="A583" t="s">
        <v>316</v>
      </c>
      <c r="B583" s="91">
        <v>186</v>
      </c>
      <c r="D583" t="s">
        <v>945</v>
      </c>
      <c r="E583" s="91">
        <v>75.33</v>
      </c>
      <c r="I583" s="92">
        <f t="shared" si="9"/>
        <v>75.33</v>
      </c>
    </row>
    <row r="584" spans="1:9" x14ac:dyDescent="0.2">
      <c r="A584" t="s">
        <v>316</v>
      </c>
      <c r="B584" s="91">
        <v>10</v>
      </c>
      <c r="D584" t="s">
        <v>757</v>
      </c>
      <c r="E584" s="91">
        <v>75</v>
      </c>
      <c r="I584" s="92">
        <f t="shared" si="9"/>
        <v>75</v>
      </c>
    </row>
    <row r="585" spans="1:9" x14ac:dyDescent="0.2">
      <c r="A585" t="s">
        <v>317</v>
      </c>
      <c r="B585" s="91">
        <v>76.75</v>
      </c>
      <c r="D585" t="s">
        <v>347</v>
      </c>
      <c r="E585" s="91">
        <v>74.75</v>
      </c>
      <c r="I585" s="92">
        <f t="shared" si="9"/>
        <v>74.75</v>
      </c>
    </row>
    <row r="586" spans="1:9" x14ac:dyDescent="0.2">
      <c r="A586" t="s">
        <v>317</v>
      </c>
      <c r="B586" s="91">
        <v>23.25</v>
      </c>
      <c r="D586" t="s">
        <v>1089</v>
      </c>
      <c r="E586" s="91">
        <v>74.75</v>
      </c>
      <c r="I586" s="92">
        <f t="shared" si="9"/>
        <v>74.75</v>
      </c>
    </row>
    <row r="587" spans="1:9" x14ac:dyDescent="0.2">
      <c r="A587" t="s">
        <v>318</v>
      </c>
      <c r="B587" s="91">
        <v>31</v>
      </c>
      <c r="D587" t="s">
        <v>979</v>
      </c>
      <c r="E587" s="91">
        <v>74.460000000000008</v>
      </c>
      <c r="I587" s="92">
        <f t="shared" si="9"/>
        <v>74.460000000000008</v>
      </c>
    </row>
    <row r="588" spans="1:9" x14ac:dyDescent="0.2">
      <c r="A588" t="s">
        <v>318</v>
      </c>
      <c r="B588" s="91">
        <v>19</v>
      </c>
      <c r="D588" t="s">
        <v>401</v>
      </c>
      <c r="E588" s="91">
        <v>73.8</v>
      </c>
      <c r="I588" s="92">
        <f t="shared" si="9"/>
        <v>73.8</v>
      </c>
    </row>
    <row r="589" spans="1:9" x14ac:dyDescent="0.2">
      <c r="A589" t="s">
        <v>318</v>
      </c>
      <c r="B589" s="91">
        <v>15.75</v>
      </c>
      <c r="D589" t="s">
        <v>425</v>
      </c>
      <c r="E589" s="91">
        <v>73.25</v>
      </c>
      <c r="G589" s="91">
        <v>73.25</v>
      </c>
      <c r="I589" s="92">
        <f t="shared" si="9"/>
        <v>0</v>
      </c>
    </row>
    <row r="590" spans="1:9" x14ac:dyDescent="0.2">
      <c r="A590" t="s">
        <v>318</v>
      </c>
      <c r="B590" s="91">
        <v>26.5</v>
      </c>
      <c r="D590" t="s">
        <v>560</v>
      </c>
      <c r="E590" s="91">
        <v>73</v>
      </c>
      <c r="I590" s="92">
        <f t="shared" si="9"/>
        <v>73</v>
      </c>
    </row>
    <row r="591" spans="1:9" x14ac:dyDescent="0.2">
      <c r="A591" t="s">
        <v>319</v>
      </c>
      <c r="B591" s="91">
        <v>16.87</v>
      </c>
      <c r="D591" t="s">
        <v>1086</v>
      </c>
      <c r="E591" s="91">
        <v>73</v>
      </c>
      <c r="I591" s="92">
        <f t="shared" si="9"/>
        <v>73</v>
      </c>
    </row>
    <row r="592" spans="1:9" x14ac:dyDescent="0.2">
      <c r="A592" t="s">
        <v>320</v>
      </c>
      <c r="B592" s="91">
        <v>264</v>
      </c>
      <c r="D592" t="s">
        <v>217</v>
      </c>
      <c r="E592" s="91">
        <v>72.5</v>
      </c>
      <c r="I592" s="92">
        <f t="shared" si="9"/>
        <v>72.5</v>
      </c>
    </row>
    <row r="593" spans="1:9" x14ac:dyDescent="0.2">
      <c r="A593" t="s">
        <v>321</v>
      </c>
      <c r="B593" s="91">
        <v>68.75</v>
      </c>
      <c r="D593" t="s">
        <v>915</v>
      </c>
      <c r="E593" s="91">
        <v>72.5</v>
      </c>
      <c r="I593" s="92">
        <f t="shared" si="9"/>
        <v>72.5</v>
      </c>
    </row>
    <row r="594" spans="1:9" x14ac:dyDescent="0.2">
      <c r="A594" t="s">
        <v>321</v>
      </c>
      <c r="B594" s="91">
        <v>67.5</v>
      </c>
      <c r="D594" t="s">
        <v>1099</v>
      </c>
      <c r="E594" s="91">
        <v>72.5</v>
      </c>
      <c r="I594" s="92">
        <f t="shared" si="9"/>
        <v>72.5</v>
      </c>
    </row>
    <row r="595" spans="1:9" x14ac:dyDescent="0.2">
      <c r="A595" t="s">
        <v>322</v>
      </c>
      <c r="B595" s="91">
        <v>125.75</v>
      </c>
      <c r="D595" t="s">
        <v>1189</v>
      </c>
      <c r="E595" s="91">
        <v>72.5</v>
      </c>
      <c r="I595" s="92">
        <f t="shared" si="9"/>
        <v>72.5</v>
      </c>
    </row>
    <row r="596" spans="1:9" x14ac:dyDescent="0.2">
      <c r="A596" t="s">
        <v>322</v>
      </c>
      <c r="B596" s="91">
        <v>-3.75</v>
      </c>
      <c r="D596" t="s">
        <v>852</v>
      </c>
      <c r="E596" s="91">
        <v>72.25</v>
      </c>
      <c r="I596" s="92">
        <f t="shared" si="9"/>
        <v>72.25</v>
      </c>
    </row>
    <row r="597" spans="1:9" x14ac:dyDescent="0.2">
      <c r="A597" t="s">
        <v>323</v>
      </c>
      <c r="B597" s="91">
        <v>11.5</v>
      </c>
      <c r="D597" t="s">
        <v>207</v>
      </c>
      <c r="E597" s="91">
        <v>72.22</v>
      </c>
      <c r="I597" s="92">
        <f t="shared" si="9"/>
        <v>72.22</v>
      </c>
    </row>
    <row r="598" spans="1:9" x14ac:dyDescent="0.2">
      <c r="A598" t="s">
        <v>323</v>
      </c>
      <c r="B598" s="91">
        <v>18</v>
      </c>
      <c r="D598" t="s">
        <v>672</v>
      </c>
      <c r="E598" s="91">
        <v>72</v>
      </c>
      <c r="I598" s="92">
        <f t="shared" si="9"/>
        <v>72</v>
      </c>
    </row>
    <row r="599" spans="1:9" x14ac:dyDescent="0.2">
      <c r="A599" t="s">
        <v>323</v>
      </c>
      <c r="B599" s="91">
        <v>9.1999999999999993</v>
      </c>
      <c r="D599" t="s">
        <v>736</v>
      </c>
      <c r="E599" s="91">
        <v>72</v>
      </c>
      <c r="I599" s="92">
        <f t="shared" si="9"/>
        <v>72</v>
      </c>
    </row>
    <row r="600" spans="1:9" x14ac:dyDescent="0.2">
      <c r="A600" t="s">
        <v>324</v>
      </c>
      <c r="B600" s="91">
        <v>28</v>
      </c>
      <c r="D600" t="s">
        <v>402</v>
      </c>
      <c r="E600" s="91">
        <v>71.77</v>
      </c>
      <c r="I600" s="92">
        <f t="shared" si="9"/>
        <v>71.77</v>
      </c>
    </row>
    <row r="601" spans="1:9" x14ac:dyDescent="0.2">
      <c r="A601" t="s">
        <v>324</v>
      </c>
      <c r="B601" s="91">
        <v>137</v>
      </c>
      <c r="D601" t="s">
        <v>256</v>
      </c>
      <c r="E601" s="91">
        <v>70</v>
      </c>
      <c r="I601" s="92">
        <f t="shared" si="9"/>
        <v>70</v>
      </c>
    </row>
    <row r="602" spans="1:9" x14ac:dyDescent="0.2">
      <c r="A602" t="s">
        <v>324</v>
      </c>
      <c r="B602" s="91">
        <v>59</v>
      </c>
      <c r="D602" t="s">
        <v>709</v>
      </c>
      <c r="E602" s="91">
        <v>70</v>
      </c>
      <c r="I602" s="92">
        <f t="shared" si="9"/>
        <v>70</v>
      </c>
    </row>
    <row r="603" spans="1:9" x14ac:dyDescent="0.2">
      <c r="A603" t="s">
        <v>324</v>
      </c>
      <c r="B603" s="91">
        <v>174</v>
      </c>
      <c r="D603" t="s">
        <v>1037</v>
      </c>
      <c r="E603" s="91">
        <v>70</v>
      </c>
      <c r="I603" s="92">
        <f t="shared" si="9"/>
        <v>70</v>
      </c>
    </row>
    <row r="604" spans="1:9" x14ac:dyDescent="0.2">
      <c r="A604" t="s">
        <v>324</v>
      </c>
      <c r="B604" s="91">
        <v>47.5</v>
      </c>
      <c r="D604" t="s">
        <v>431</v>
      </c>
      <c r="E604" s="91">
        <v>69.8</v>
      </c>
      <c r="I604" s="92">
        <f t="shared" si="9"/>
        <v>69.8</v>
      </c>
    </row>
    <row r="605" spans="1:9" x14ac:dyDescent="0.2">
      <c r="A605" t="s">
        <v>324</v>
      </c>
      <c r="B605" s="91">
        <v>68.75</v>
      </c>
      <c r="D605" t="s">
        <v>655</v>
      </c>
      <c r="E605" s="91">
        <v>69.75</v>
      </c>
      <c r="I605" s="92">
        <f t="shared" si="9"/>
        <v>69.75</v>
      </c>
    </row>
    <row r="606" spans="1:9" x14ac:dyDescent="0.2">
      <c r="A606" t="s">
        <v>324</v>
      </c>
      <c r="B606" s="91">
        <v>38</v>
      </c>
      <c r="D606" t="s">
        <v>219</v>
      </c>
      <c r="E606" s="91">
        <v>69.5</v>
      </c>
      <c r="I606" s="92">
        <f t="shared" si="9"/>
        <v>69.5</v>
      </c>
    </row>
    <row r="607" spans="1:9" x14ac:dyDescent="0.2">
      <c r="A607" t="s">
        <v>324</v>
      </c>
      <c r="B607" s="91">
        <v>40.5</v>
      </c>
      <c r="D607" t="s">
        <v>311</v>
      </c>
      <c r="E607" s="91">
        <v>69.5</v>
      </c>
      <c r="I607" s="92">
        <f t="shared" si="9"/>
        <v>69.5</v>
      </c>
    </row>
    <row r="608" spans="1:9" x14ac:dyDescent="0.2">
      <c r="A608" t="s">
        <v>324</v>
      </c>
      <c r="B608" s="91">
        <v>22</v>
      </c>
      <c r="D608" t="s">
        <v>628</v>
      </c>
      <c r="E608" s="91">
        <v>69.5</v>
      </c>
      <c r="I608" s="92">
        <f t="shared" si="9"/>
        <v>69.5</v>
      </c>
    </row>
    <row r="609" spans="1:9" x14ac:dyDescent="0.2">
      <c r="A609" t="s">
        <v>324</v>
      </c>
      <c r="B609" s="91">
        <v>-35.599999999999994</v>
      </c>
      <c r="D609" t="s">
        <v>831</v>
      </c>
      <c r="E609" s="91">
        <v>69.5</v>
      </c>
      <c r="I609" s="92">
        <f t="shared" si="9"/>
        <v>69.5</v>
      </c>
    </row>
    <row r="610" spans="1:9" x14ac:dyDescent="0.2">
      <c r="A610" t="s">
        <v>325</v>
      </c>
      <c r="B610" s="91">
        <v>8</v>
      </c>
      <c r="D610" t="s">
        <v>227</v>
      </c>
      <c r="E610" s="91">
        <v>69.3</v>
      </c>
      <c r="I610" s="92">
        <f t="shared" si="9"/>
        <v>69.3</v>
      </c>
    </row>
    <row r="611" spans="1:9" x14ac:dyDescent="0.2">
      <c r="A611" t="s">
        <v>325</v>
      </c>
      <c r="B611" s="91">
        <v>18</v>
      </c>
      <c r="D611" t="s">
        <v>679</v>
      </c>
      <c r="E611" s="91">
        <v>69.25</v>
      </c>
      <c r="I611" s="92">
        <f t="shared" si="9"/>
        <v>69.25</v>
      </c>
    </row>
    <row r="612" spans="1:9" x14ac:dyDescent="0.2">
      <c r="A612" t="s">
        <v>326</v>
      </c>
      <c r="B612" s="91">
        <v>132</v>
      </c>
      <c r="D612" t="s">
        <v>356</v>
      </c>
      <c r="E612" s="91">
        <v>68.75</v>
      </c>
      <c r="I612" s="92">
        <f t="shared" si="9"/>
        <v>68.75</v>
      </c>
    </row>
    <row r="613" spans="1:9" x14ac:dyDescent="0.2">
      <c r="A613" t="s">
        <v>327</v>
      </c>
      <c r="B613" s="91">
        <v>10</v>
      </c>
      <c r="D613" t="s">
        <v>622</v>
      </c>
      <c r="E613" s="91">
        <v>68.75</v>
      </c>
      <c r="I613" s="92">
        <f t="shared" si="9"/>
        <v>68.75</v>
      </c>
    </row>
    <row r="614" spans="1:9" x14ac:dyDescent="0.2">
      <c r="A614" t="s">
        <v>327</v>
      </c>
      <c r="B614" s="91">
        <v>11.5</v>
      </c>
      <c r="D614" t="s">
        <v>120</v>
      </c>
      <c r="E614" s="91">
        <v>68.25</v>
      </c>
      <c r="I614" s="92">
        <f t="shared" si="9"/>
        <v>68.25</v>
      </c>
    </row>
    <row r="615" spans="1:9" x14ac:dyDescent="0.2">
      <c r="A615" t="s">
        <v>328</v>
      </c>
      <c r="B615" s="91">
        <v>85</v>
      </c>
      <c r="D615" t="s">
        <v>51</v>
      </c>
      <c r="E615" s="91">
        <v>68</v>
      </c>
      <c r="I615" s="92">
        <f t="shared" si="9"/>
        <v>68</v>
      </c>
    </row>
    <row r="616" spans="1:9" x14ac:dyDescent="0.2">
      <c r="A616" t="s">
        <v>328</v>
      </c>
      <c r="B616" s="91">
        <v>13.5</v>
      </c>
      <c r="D616" t="s">
        <v>185</v>
      </c>
      <c r="E616" s="91">
        <v>67.5</v>
      </c>
      <c r="I616" s="92">
        <f t="shared" si="9"/>
        <v>67.5</v>
      </c>
    </row>
    <row r="617" spans="1:9" x14ac:dyDescent="0.2">
      <c r="A617" t="s">
        <v>329</v>
      </c>
      <c r="B617" s="91">
        <v>13.75</v>
      </c>
      <c r="D617" t="s">
        <v>307</v>
      </c>
      <c r="E617" s="91">
        <v>67.5</v>
      </c>
      <c r="I617" s="92">
        <f t="shared" si="9"/>
        <v>67.5</v>
      </c>
    </row>
    <row r="618" spans="1:9" x14ac:dyDescent="0.2">
      <c r="A618" t="s">
        <v>329</v>
      </c>
      <c r="B618" s="91">
        <v>11.22</v>
      </c>
      <c r="D618" t="s">
        <v>409</v>
      </c>
      <c r="E618" s="91">
        <v>67.5</v>
      </c>
      <c r="I618" s="92">
        <f t="shared" si="9"/>
        <v>67.5</v>
      </c>
    </row>
    <row r="619" spans="1:9" x14ac:dyDescent="0.2">
      <c r="A619" t="s">
        <v>330</v>
      </c>
      <c r="B619" s="91">
        <v>6.75</v>
      </c>
      <c r="D619" t="s">
        <v>474</v>
      </c>
      <c r="E619" s="91">
        <v>67.5</v>
      </c>
      <c r="I619" s="92">
        <f t="shared" si="9"/>
        <v>67.5</v>
      </c>
    </row>
    <row r="620" spans="1:9" x14ac:dyDescent="0.2">
      <c r="A620" t="s">
        <v>331</v>
      </c>
      <c r="B620" s="91">
        <v>8</v>
      </c>
      <c r="D620" t="s">
        <v>788</v>
      </c>
      <c r="E620" s="91">
        <v>67.5</v>
      </c>
      <c r="I620" s="92">
        <f t="shared" si="9"/>
        <v>67.5</v>
      </c>
    </row>
    <row r="621" spans="1:9" x14ac:dyDescent="0.2">
      <c r="A621" t="s">
        <v>332</v>
      </c>
      <c r="B621" s="91">
        <v>18.899999999999999</v>
      </c>
      <c r="D621" t="s">
        <v>913</v>
      </c>
      <c r="E621" s="91">
        <v>67.5</v>
      </c>
      <c r="I621" s="92">
        <f t="shared" si="9"/>
        <v>67.5</v>
      </c>
    </row>
    <row r="622" spans="1:9" x14ac:dyDescent="0.2">
      <c r="A622" t="s">
        <v>333</v>
      </c>
      <c r="B622" s="91">
        <v>720</v>
      </c>
      <c r="D622" t="s">
        <v>1107</v>
      </c>
      <c r="E622" s="91">
        <v>67.5</v>
      </c>
      <c r="I622" s="92">
        <f t="shared" si="9"/>
        <v>67.5</v>
      </c>
    </row>
    <row r="623" spans="1:9" x14ac:dyDescent="0.2">
      <c r="A623" t="s">
        <v>333</v>
      </c>
      <c r="B623" s="91">
        <v>76</v>
      </c>
      <c r="D623" t="s">
        <v>1173</v>
      </c>
      <c r="E623" s="91">
        <v>67.5</v>
      </c>
      <c r="I623" s="92">
        <f t="shared" si="9"/>
        <v>67.5</v>
      </c>
    </row>
    <row r="624" spans="1:9" x14ac:dyDescent="0.2">
      <c r="A624" t="s">
        <v>334</v>
      </c>
      <c r="B624" s="91">
        <v>262</v>
      </c>
      <c r="D624" t="s">
        <v>1234</v>
      </c>
      <c r="E624" s="91">
        <v>67.5</v>
      </c>
      <c r="I624" s="92">
        <f t="shared" si="9"/>
        <v>67.5</v>
      </c>
    </row>
    <row r="625" spans="1:9" x14ac:dyDescent="0.2">
      <c r="A625" t="s">
        <v>335</v>
      </c>
      <c r="B625" s="91">
        <v>10</v>
      </c>
      <c r="D625" t="s">
        <v>1230</v>
      </c>
      <c r="E625" s="91">
        <v>67</v>
      </c>
      <c r="I625" s="92">
        <f t="shared" si="9"/>
        <v>67</v>
      </c>
    </row>
    <row r="626" spans="1:9" x14ac:dyDescent="0.2">
      <c r="A626" t="s">
        <v>336</v>
      </c>
      <c r="B626" s="91">
        <v>14.75</v>
      </c>
      <c r="D626" t="s">
        <v>526</v>
      </c>
      <c r="E626" s="91">
        <v>66</v>
      </c>
      <c r="I626" s="92">
        <f t="shared" si="9"/>
        <v>66</v>
      </c>
    </row>
    <row r="627" spans="1:9" x14ac:dyDescent="0.2">
      <c r="A627" t="s">
        <v>337</v>
      </c>
      <c r="B627" s="91">
        <v>18</v>
      </c>
      <c r="D627" t="s">
        <v>1009</v>
      </c>
      <c r="E627" s="91">
        <v>66</v>
      </c>
      <c r="I627" s="92">
        <f t="shared" si="9"/>
        <v>66</v>
      </c>
    </row>
    <row r="628" spans="1:9" x14ac:dyDescent="0.2">
      <c r="A628" t="s">
        <v>338</v>
      </c>
      <c r="B628" s="91">
        <v>297</v>
      </c>
      <c r="D628" t="s">
        <v>1163</v>
      </c>
      <c r="E628" s="91">
        <v>66</v>
      </c>
      <c r="I628" s="92">
        <f t="shared" si="9"/>
        <v>66</v>
      </c>
    </row>
    <row r="629" spans="1:9" x14ac:dyDescent="0.2">
      <c r="A629" t="s">
        <v>338</v>
      </c>
      <c r="B629" s="91">
        <v>480</v>
      </c>
      <c r="D629" t="s">
        <v>980</v>
      </c>
      <c r="E629" s="91">
        <v>65.5</v>
      </c>
      <c r="I629" s="92">
        <f t="shared" si="9"/>
        <v>65.5</v>
      </c>
    </row>
    <row r="630" spans="1:9" x14ac:dyDescent="0.2">
      <c r="A630" t="s">
        <v>338</v>
      </c>
      <c r="B630" s="91">
        <v>31</v>
      </c>
      <c r="D630" t="s">
        <v>200</v>
      </c>
      <c r="E630" s="91">
        <v>65.47</v>
      </c>
      <c r="I630" s="92">
        <f t="shared" si="9"/>
        <v>65.47</v>
      </c>
    </row>
    <row r="631" spans="1:9" x14ac:dyDescent="0.2">
      <c r="A631" t="s">
        <v>339</v>
      </c>
      <c r="B631" s="91">
        <v>-269.08</v>
      </c>
      <c r="D631" t="s">
        <v>157</v>
      </c>
      <c r="E631" s="91">
        <v>65.25</v>
      </c>
      <c r="I631" s="92">
        <f t="shared" si="9"/>
        <v>65.25</v>
      </c>
    </row>
    <row r="632" spans="1:9" x14ac:dyDescent="0.2">
      <c r="A632" t="s">
        <v>339</v>
      </c>
      <c r="B632" s="91">
        <v>75</v>
      </c>
      <c r="D632" t="s">
        <v>1131</v>
      </c>
      <c r="E632" s="91">
        <v>65</v>
      </c>
      <c r="I632" s="92">
        <f t="shared" si="9"/>
        <v>65</v>
      </c>
    </row>
    <row r="633" spans="1:9" x14ac:dyDescent="0.2">
      <c r="A633" t="s">
        <v>339</v>
      </c>
      <c r="B633" s="91">
        <v>75</v>
      </c>
      <c r="D633" t="s">
        <v>509</v>
      </c>
      <c r="E633" s="91">
        <v>64.75</v>
      </c>
      <c r="I633" s="92">
        <f t="shared" si="9"/>
        <v>64.75</v>
      </c>
    </row>
    <row r="634" spans="1:9" x14ac:dyDescent="0.2">
      <c r="A634" t="s">
        <v>339</v>
      </c>
      <c r="B634" s="91">
        <v>177.5</v>
      </c>
      <c r="D634" t="s">
        <v>789</v>
      </c>
      <c r="E634" s="91">
        <v>64.75</v>
      </c>
      <c r="I634" s="92">
        <f t="shared" si="9"/>
        <v>64.75</v>
      </c>
    </row>
    <row r="635" spans="1:9" x14ac:dyDescent="0.2">
      <c r="A635" t="s">
        <v>339</v>
      </c>
      <c r="B635" s="91">
        <v>227.5</v>
      </c>
      <c r="D635" t="s">
        <v>159</v>
      </c>
      <c r="E635" s="91">
        <v>64.25</v>
      </c>
      <c r="I635" s="92">
        <f t="shared" si="9"/>
        <v>64.25</v>
      </c>
    </row>
    <row r="636" spans="1:9" x14ac:dyDescent="0.2">
      <c r="A636" t="s">
        <v>339</v>
      </c>
      <c r="B636" s="91">
        <v>100</v>
      </c>
      <c r="D636" t="s">
        <v>1082</v>
      </c>
      <c r="E636" s="91">
        <v>64.25</v>
      </c>
      <c r="I636" s="92">
        <f t="shared" si="9"/>
        <v>64.25</v>
      </c>
    </row>
    <row r="637" spans="1:9" x14ac:dyDescent="0.2">
      <c r="A637" t="s">
        <v>339</v>
      </c>
      <c r="B637" s="91">
        <v>100</v>
      </c>
      <c r="D637" t="s">
        <v>760</v>
      </c>
      <c r="E637" s="91">
        <v>63.5</v>
      </c>
      <c r="I637" s="92">
        <f t="shared" si="9"/>
        <v>63.5</v>
      </c>
    </row>
    <row r="638" spans="1:9" x14ac:dyDescent="0.2">
      <c r="A638" t="s">
        <v>339</v>
      </c>
      <c r="B638" s="91">
        <v>185.5</v>
      </c>
      <c r="D638" t="s">
        <v>1239</v>
      </c>
      <c r="E638" s="91">
        <v>63.5</v>
      </c>
      <c r="I638" s="92">
        <f t="shared" si="9"/>
        <v>63.5</v>
      </c>
    </row>
    <row r="639" spans="1:9" x14ac:dyDescent="0.2">
      <c r="A639" t="s">
        <v>339</v>
      </c>
      <c r="B639" s="91">
        <v>117</v>
      </c>
      <c r="D639" t="s">
        <v>421</v>
      </c>
      <c r="E639" s="91">
        <v>62.55</v>
      </c>
      <c r="I639" s="92">
        <f t="shared" si="9"/>
        <v>62.55</v>
      </c>
    </row>
    <row r="640" spans="1:9" x14ac:dyDescent="0.2">
      <c r="A640" t="s">
        <v>339</v>
      </c>
      <c r="B640" s="91">
        <v>181.6</v>
      </c>
      <c r="D640" t="s">
        <v>689</v>
      </c>
      <c r="E640" s="91">
        <v>62.5</v>
      </c>
      <c r="I640" s="92">
        <f t="shared" si="9"/>
        <v>62.5</v>
      </c>
    </row>
    <row r="641" spans="1:9" x14ac:dyDescent="0.2">
      <c r="A641" t="s">
        <v>339</v>
      </c>
      <c r="B641" s="91">
        <v>182.5</v>
      </c>
      <c r="D641" t="s">
        <v>1071</v>
      </c>
      <c r="E641" s="91">
        <v>62.5</v>
      </c>
      <c r="I641" s="92">
        <f t="shared" si="9"/>
        <v>62.5</v>
      </c>
    </row>
    <row r="642" spans="1:9" x14ac:dyDescent="0.2">
      <c r="A642" t="s">
        <v>339</v>
      </c>
      <c r="B642" s="91">
        <v>75</v>
      </c>
      <c r="D642" t="s">
        <v>170</v>
      </c>
      <c r="E642" s="91">
        <v>62</v>
      </c>
      <c r="I642" s="92">
        <f t="shared" si="9"/>
        <v>62</v>
      </c>
    </row>
    <row r="643" spans="1:9" x14ac:dyDescent="0.2">
      <c r="A643" t="s">
        <v>339</v>
      </c>
      <c r="B643" s="91">
        <v>75</v>
      </c>
      <c r="D643" t="s">
        <v>427</v>
      </c>
      <c r="E643" s="91">
        <v>62</v>
      </c>
      <c r="I643" s="92">
        <f t="shared" ref="I643:I706" si="10">E643-G643</f>
        <v>62</v>
      </c>
    </row>
    <row r="644" spans="1:9" x14ac:dyDescent="0.2">
      <c r="A644" t="s">
        <v>339</v>
      </c>
      <c r="B644" s="91">
        <v>67.5</v>
      </c>
      <c r="D644" t="s">
        <v>856</v>
      </c>
      <c r="E644" s="91">
        <v>62</v>
      </c>
      <c r="I644" s="92">
        <f t="shared" si="10"/>
        <v>62</v>
      </c>
    </row>
    <row r="645" spans="1:9" x14ac:dyDescent="0.2">
      <c r="A645" t="s">
        <v>339</v>
      </c>
      <c r="B645" s="91">
        <v>75</v>
      </c>
      <c r="D645" t="s">
        <v>1008</v>
      </c>
      <c r="E645" s="91">
        <v>62</v>
      </c>
      <c r="I645" s="92">
        <f t="shared" si="10"/>
        <v>62</v>
      </c>
    </row>
    <row r="646" spans="1:9" x14ac:dyDescent="0.2">
      <c r="A646" t="s">
        <v>339</v>
      </c>
      <c r="B646" s="91">
        <v>122.5</v>
      </c>
      <c r="D646" t="s">
        <v>1196</v>
      </c>
      <c r="E646" s="91">
        <v>62</v>
      </c>
      <c r="I646" s="92">
        <f t="shared" si="10"/>
        <v>62</v>
      </c>
    </row>
    <row r="647" spans="1:9" x14ac:dyDescent="0.2">
      <c r="A647" t="s">
        <v>339</v>
      </c>
      <c r="B647" s="91">
        <v>65</v>
      </c>
      <c r="D647" t="s">
        <v>160</v>
      </c>
      <c r="E647" s="91">
        <v>61.65</v>
      </c>
      <c r="I647" s="92">
        <f t="shared" si="10"/>
        <v>61.65</v>
      </c>
    </row>
    <row r="648" spans="1:9" x14ac:dyDescent="0.2">
      <c r="A648" t="s">
        <v>339</v>
      </c>
      <c r="B648" s="91">
        <v>77.5</v>
      </c>
      <c r="D648" t="s">
        <v>814</v>
      </c>
      <c r="E648" s="91">
        <v>61.25</v>
      </c>
      <c r="I648" s="92">
        <f t="shared" si="10"/>
        <v>61.25</v>
      </c>
    </row>
    <row r="649" spans="1:9" x14ac:dyDescent="0.2">
      <c r="A649" t="s">
        <v>339</v>
      </c>
      <c r="B649" s="91">
        <v>375</v>
      </c>
      <c r="D649" t="s">
        <v>255</v>
      </c>
      <c r="E649" s="91">
        <v>61</v>
      </c>
      <c r="I649" s="92">
        <f t="shared" si="10"/>
        <v>61</v>
      </c>
    </row>
    <row r="650" spans="1:9" x14ac:dyDescent="0.2">
      <c r="A650" t="s">
        <v>339</v>
      </c>
      <c r="B650" s="91">
        <v>397.5</v>
      </c>
      <c r="D650" t="s">
        <v>165</v>
      </c>
      <c r="E650" s="91">
        <v>60.75</v>
      </c>
      <c r="I650" s="92">
        <f t="shared" si="10"/>
        <v>60.75</v>
      </c>
    </row>
    <row r="651" spans="1:9" x14ac:dyDescent="0.2">
      <c r="A651" t="s">
        <v>340</v>
      </c>
      <c r="B651" s="91">
        <v>15.3</v>
      </c>
      <c r="D651" t="s">
        <v>192</v>
      </c>
      <c r="E651" s="91">
        <v>60.75</v>
      </c>
      <c r="I651" s="92">
        <f t="shared" si="10"/>
        <v>60.75</v>
      </c>
    </row>
    <row r="652" spans="1:9" x14ac:dyDescent="0.2">
      <c r="A652" t="s">
        <v>341</v>
      </c>
      <c r="B652" s="91">
        <v>10</v>
      </c>
      <c r="D652" t="s">
        <v>209</v>
      </c>
      <c r="E652" s="91">
        <v>60.75</v>
      </c>
      <c r="G652" s="91">
        <v>60.75</v>
      </c>
      <c r="I652" s="92">
        <f t="shared" si="10"/>
        <v>0</v>
      </c>
    </row>
    <row r="653" spans="1:9" x14ac:dyDescent="0.2">
      <c r="A653" t="s">
        <v>341</v>
      </c>
      <c r="B653" s="91">
        <v>31.62</v>
      </c>
      <c r="D653" t="s">
        <v>1202</v>
      </c>
      <c r="E653" s="91">
        <v>60</v>
      </c>
      <c r="I653" s="92">
        <f t="shared" si="10"/>
        <v>60</v>
      </c>
    </row>
    <row r="654" spans="1:9" x14ac:dyDescent="0.2">
      <c r="A654" t="s">
        <v>342</v>
      </c>
      <c r="B654" s="91">
        <v>10</v>
      </c>
      <c r="D654" t="s">
        <v>1019</v>
      </c>
      <c r="E654" s="91">
        <v>59.75</v>
      </c>
      <c r="I654" s="92">
        <f t="shared" si="10"/>
        <v>59.75</v>
      </c>
    </row>
    <row r="655" spans="1:9" x14ac:dyDescent="0.2">
      <c r="A655" t="s">
        <v>343</v>
      </c>
      <c r="B655" s="91">
        <v>950</v>
      </c>
      <c r="D655" t="s">
        <v>436</v>
      </c>
      <c r="E655" s="91">
        <v>59.65</v>
      </c>
      <c r="I655" s="92">
        <f t="shared" si="10"/>
        <v>59.65</v>
      </c>
    </row>
    <row r="656" spans="1:9" x14ac:dyDescent="0.2">
      <c r="A656" t="s">
        <v>344</v>
      </c>
      <c r="B656" s="91">
        <v>35</v>
      </c>
      <c r="D656" t="s">
        <v>241</v>
      </c>
      <c r="E656" s="91">
        <v>59.5</v>
      </c>
      <c r="I656" s="92">
        <f t="shared" si="10"/>
        <v>59.5</v>
      </c>
    </row>
    <row r="657" spans="1:9" x14ac:dyDescent="0.2">
      <c r="A657" t="s">
        <v>344</v>
      </c>
      <c r="B657" s="91">
        <v>96</v>
      </c>
      <c r="D657" t="s">
        <v>396</v>
      </c>
      <c r="E657" s="91">
        <v>59.5</v>
      </c>
      <c r="I657" s="92">
        <f t="shared" si="10"/>
        <v>59.5</v>
      </c>
    </row>
    <row r="658" spans="1:9" x14ac:dyDescent="0.2">
      <c r="A658" t="s">
        <v>344</v>
      </c>
      <c r="B658" s="91">
        <v>12.25</v>
      </c>
      <c r="D658" t="s">
        <v>493</v>
      </c>
      <c r="E658" s="91">
        <v>59.5</v>
      </c>
      <c r="I658" s="92">
        <f t="shared" si="10"/>
        <v>59.5</v>
      </c>
    </row>
    <row r="659" spans="1:9" x14ac:dyDescent="0.2">
      <c r="A659" t="s">
        <v>344</v>
      </c>
      <c r="B659" s="91">
        <v>41.25</v>
      </c>
      <c r="D659" t="s">
        <v>703</v>
      </c>
      <c r="E659" s="91">
        <v>59.5</v>
      </c>
      <c r="G659" s="91">
        <v>59.5</v>
      </c>
      <c r="I659" s="92">
        <f t="shared" si="10"/>
        <v>0</v>
      </c>
    </row>
    <row r="660" spans="1:9" x14ac:dyDescent="0.2">
      <c r="A660" t="s">
        <v>344</v>
      </c>
      <c r="B660" s="91">
        <v>18.75</v>
      </c>
      <c r="D660" t="s">
        <v>451</v>
      </c>
      <c r="E660" s="91">
        <v>59</v>
      </c>
      <c r="G660" s="91">
        <v>0</v>
      </c>
      <c r="I660" s="92">
        <f t="shared" si="10"/>
        <v>59</v>
      </c>
    </row>
    <row r="661" spans="1:9" x14ac:dyDescent="0.2">
      <c r="A661" t="s">
        <v>344</v>
      </c>
      <c r="B661" s="91">
        <v>45.5</v>
      </c>
      <c r="D661" t="s">
        <v>601</v>
      </c>
      <c r="E661" s="91">
        <v>58.9</v>
      </c>
      <c r="G661" s="91">
        <v>0</v>
      </c>
      <c r="I661" s="92">
        <f t="shared" si="10"/>
        <v>58.9</v>
      </c>
    </row>
    <row r="662" spans="1:9" x14ac:dyDescent="0.2">
      <c r="A662" t="s">
        <v>344</v>
      </c>
      <c r="B662" s="91">
        <v>47.25</v>
      </c>
      <c r="D662" t="s">
        <v>168</v>
      </c>
      <c r="E662" s="91">
        <v>58.5</v>
      </c>
      <c r="G662" s="91">
        <v>0</v>
      </c>
      <c r="I662" s="92">
        <f t="shared" si="10"/>
        <v>58.5</v>
      </c>
    </row>
    <row r="663" spans="1:9" x14ac:dyDescent="0.2">
      <c r="A663" t="s">
        <v>344</v>
      </c>
      <c r="B663" s="91">
        <v>23</v>
      </c>
      <c r="D663" t="s">
        <v>823</v>
      </c>
      <c r="E663" s="91">
        <v>58.5</v>
      </c>
      <c r="G663" s="91">
        <v>0</v>
      </c>
      <c r="I663" s="92">
        <f t="shared" si="10"/>
        <v>58.5</v>
      </c>
    </row>
    <row r="664" spans="1:9" x14ac:dyDescent="0.2">
      <c r="A664" t="s">
        <v>344</v>
      </c>
      <c r="B664" s="91">
        <v>633</v>
      </c>
      <c r="D664" t="s">
        <v>411</v>
      </c>
      <c r="E664" s="91">
        <v>58.269999999999996</v>
      </c>
      <c r="G664" s="91">
        <v>0</v>
      </c>
      <c r="I664" s="92">
        <f t="shared" si="10"/>
        <v>58.269999999999996</v>
      </c>
    </row>
    <row r="665" spans="1:9" x14ac:dyDescent="0.2">
      <c r="A665" t="s">
        <v>344</v>
      </c>
      <c r="B665" s="91">
        <v>30.75</v>
      </c>
      <c r="D665" t="s">
        <v>49</v>
      </c>
      <c r="E665" s="91">
        <v>58</v>
      </c>
      <c r="G665" s="91">
        <v>0</v>
      </c>
      <c r="I665" s="92">
        <f t="shared" si="10"/>
        <v>58</v>
      </c>
    </row>
    <row r="666" spans="1:9" x14ac:dyDescent="0.2">
      <c r="A666" t="s">
        <v>344</v>
      </c>
      <c r="B666" s="91">
        <v>14.5</v>
      </c>
      <c r="D666" t="s">
        <v>841</v>
      </c>
      <c r="E666" s="91">
        <v>57.5</v>
      </c>
      <c r="G666" s="91">
        <v>0</v>
      </c>
      <c r="I666" s="92">
        <f t="shared" si="10"/>
        <v>57.5</v>
      </c>
    </row>
    <row r="667" spans="1:9" x14ac:dyDescent="0.2">
      <c r="A667" t="s">
        <v>344</v>
      </c>
      <c r="B667" s="91">
        <v>36.75</v>
      </c>
      <c r="D667" t="s">
        <v>624</v>
      </c>
      <c r="E667" s="91">
        <v>57.25</v>
      </c>
      <c r="G667" s="91">
        <v>0</v>
      </c>
      <c r="I667" s="92">
        <f t="shared" si="10"/>
        <v>57.25</v>
      </c>
    </row>
    <row r="668" spans="1:9" x14ac:dyDescent="0.2">
      <c r="A668" t="s">
        <v>344</v>
      </c>
      <c r="B668" s="91">
        <v>103.25</v>
      </c>
      <c r="D668" t="s">
        <v>269</v>
      </c>
      <c r="E668" s="91">
        <v>57.15</v>
      </c>
      <c r="G668" s="91">
        <v>0</v>
      </c>
      <c r="I668" s="92">
        <f t="shared" si="10"/>
        <v>57.15</v>
      </c>
    </row>
    <row r="669" spans="1:9" x14ac:dyDescent="0.2">
      <c r="A669" t="s">
        <v>344</v>
      </c>
      <c r="B669" s="91">
        <v>-93.93</v>
      </c>
      <c r="D669" t="s">
        <v>692</v>
      </c>
      <c r="E669" s="91">
        <v>56</v>
      </c>
      <c r="G669" s="91">
        <v>0</v>
      </c>
      <c r="I669" s="92">
        <f t="shared" si="10"/>
        <v>56</v>
      </c>
    </row>
    <row r="670" spans="1:9" x14ac:dyDescent="0.2">
      <c r="A670" t="s">
        <v>345</v>
      </c>
      <c r="B670" s="91">
        <v>864</v>
      </c>
      <c r="D670" t="s">
        <v>832</v>
      </c>
      <c r="E670" s="91">
        <v>56</v>
      </c>
      <c r="G670" s="91">
        <v>0</v>
      </c>
      <c r="I670" s="92">
        <f t="shared" si="10"/>
        <v>56</v>
      </c>
    </row>
    <row r="671" spans="1:9" x14ac:dyDescent="0.2">
      <c r="A671" t="s">
        <v>345</v>
      </c>
      <c r="B671" s="91">
        <v>160</v>
      </c>
      <c r="D671" t="s">
        <v>60</v>
      </c>
      <c r="E671" s="91">
        <v>55.75</v>
      </c>
      <c r="G671" s="91">
        <v>0</v>
      </c>
      <c r="I671" s="92">
        <f t="shared" si="10"/>
        <v>55.75</v>
      </c>
    </row>
    <row r="672" spans="1:9" x14ac:dyDescent="0.2">
      <c r="A672" t="s">
        <v>346</v>
      </c>
      <c r="B672" s="91">
        <v>264</v>
      </c>
      <c r="D672" t="s">
        <v>1221</v>
      </c>
      <c r="E672" s="91">
        <v>55.75</v>
      </c>
      <c r="G672" s="91">
        <v>0</v>
      </c>
      <c r="I672" s="92">
        <f t="shared" si="10"/>
        <v>55.75</v>
      </c>
    </row>
    <row r="673" spans="1:9" x14ac:dyDescent="0.2">
      <c r="A673" t="s">
        <v>347</v>
      </c>
      <c r="B673" s="91">
        <v>26.25</v>
      </c>
      <c r="D673" t="s">
        <v>119</v>
      </c>
      <c r="E673" s="91">
        <v>55.5</v>
      </c>
      <c r="I673" s="92">
        <f t="shared" si="10"/>
        <v>55.5</v>
      </c>
    </row>
    <row r="674" spans="1:9" x14ac:dyDescent="0.2">
      <c r="A674" t="s">
        <v>347</v>
      </c>
      <c r="B674" s="91">
        <v>22</v>
      </c>
      <c r="D674" t="s">
        <v>997</v>
      </c>
      <c r="E674" s="91">
        <v>55.25</v>
      </c>
      <c r="I674" s="92">
        <f t="shared" si="10"/>
        <v>55.25</v>
      </c>
    </row>
    <row r="675" spans="1:9" x14ac:dyDescent="0.2">
      <c r="A675" t="s">
        <v>347</v>
      </c>
      <c r="B675" s="91">
        <v>26.5</v>
      </c>
      <c r="D675" t="s">
        <v>666</v>
      </c>
      <c r="E675" s="91">
        <v>54.25</v>
      </c>
      <c r="I675" s="92">
        <f t="shared" si="10"/>
        <v>54.25</v>
      </c>
    </row>
    <row r="676" spans="1:9" x14ac:dyDescent="0.2">
      <c r="A676" t="s">
        <v>348</v>
      </c>
      <c r="B676" s="91">
        <v>240</v>
      </c>
      <c r="D676" t="s">
        <v>1088</v>
      </c>
      <c r="E676" s="91">
        <v>54.25</v>
      </c>
      <c r="I676" s="92">
        <f t="shared" si="10"/>
        <v>54.25</v>
      </c>
    </row>
    <row r="677" spans="1:9" x14ac:dyDescent="0.2">
      <c r="A677" t="s">
        <v>348</v>
      </c>
      <c r="B677" s="91">
        <v>240</v>
      </c>
      <c r="D677" t="s">
        <v>538</v>
      </c>
      <c r="E677" s="91">
        <v>54</v>
      </c>
      <c r="I677" s="92">
        <f t="shared" si="10"/>
        <v>54</v>
      </c>
    </row>
    <row r="678" spans="1:9" x14ac:dyDescent="0.2">
      <c r="A678" t="s">
        <v>348</v>
      </c>
      <c r="B678" s="91">
        <v>216</v>
      </c>
      <c r="D678" t="s">
        <v>45</v>
      </c>
      <c r="E678" s="91">
        <v>53.75</v>
      </c>
      <c r="I678" s="92">
        <f t="shared" si="10"/>
        <v>53.75</v>
      </c>
    </row>
    <row r="679" spans="1:9" x14ac:dyDescent="0.2">
      <c r="A679" t="s">
        <v>348</v>
      </c>
      <c r="B679" s="91">
        <v>40</v>
      </c>
      <c r="D679" t="s">
        <v>902</v>
      </c>
      <c r="E679" s="91">
        <v>53.5</v>
      </c>
      <c r="I679" s="92">
        <f t="shared" si="10"/>
        <v>53.5</v>
      </c>
    </row>
    <row r="680" spans="1:9" x14ac:dyDescent="0.2">
      <c r="A680" t="s">
        <v>349</v>
      </c>
      <c r="B680" s="91">
        <v>393</v>
      </c>
      <c r="D680" t="s">
        <v>596</v>
      </c>
      <c r="E680" s="91">
        <v>53.35</v>
      </c>
      <c r="I680" s="92">
        <f t="shared" si="10"/>
        <v>53.35</v>
      </c>
    </row>
    <row r="681" spans="1:9" x14ac:dyDescent="0.2">
      <c r="A681" t="s">
        <v>349</v>
      </c>
      <c r="B681" s="91">
        <v>51.25</v>
      </c>
      <c r="D681" t="s">
        <v>254</v>
      </c>
      <c r="E681" s="91">
        <v>53.32</v>
      </c>
      <c r="I681" s="92">
        <f t="shared" si="10"/>
        <v>53.32</v>
      </c>
    </row>
    <row r="682" spans="1:9" x14ac:dyDescent="0.2">
      <c r="A682" t="s">
        <v>350</v>
      </c>
      <c r="B682" s="91">
        <v>23.75</v>
      </c>
      <c r="D682" t="s">
        <v>982</v>
      </c>
      <c r="E682" s="91">
        <v>52.75</v>
      </c>
      <c r="I682" s="92">
        <f t="shared" si="10"/>
        <v>52.75</v>
      </c>
    </row>
    <row r="683" spans="1:9" x14ac:dyDescent="0.2">
      <c r="A683" t="s">
        <v>351</v>
      </c>
      <c r="B683" s="91">
        <v>24.3</v>
      </c>
      <c r="D683" t="s">
        <v>983</v>
      </c>
      <c r="E683" s="91">
        <v>52.75</v>
      </c>
      <c r="I683" s="92">
        <f t="shared" si="10"/>
        <v>52.75</v>
      </c>
    </row>
    <row r="684" spans="1:9" x14ac:dyDescent="0.2">
      <c r="A684" t="s">
        <v>352</v>
      </c>
      <c r="B684" s="91">
        <v>12.6</v>
      </c>
      <c r="D684" t="s">
        <v>745</v>
      </c>
      <c r="E684" s="91">
        <v>52.5</v>
      </c>
      <c r="I684" s="92">
        <f t="shared" si="10"/>
        <v>52.5</v>
      </c>
    </row>
    <row r="685" spans="1:9" x14ac:dyDescent="0.2">
      <c r="A685" t="s">
        <v>353</v>
      </c>
      <c r="B685" s="91">
        <v>594</v>
      </c>
      <c r="D685" t="s">
        <v>1032</v>
      </c>
      <c r="E685" s="91">
        <v>52.5</v>
      </c>
      <c r="I685" s="92">
        <f t="shared" si="10"/>
        <v>52.5</v>
      </c>
    </row>
    <row r="686" spans="1:9" x14ac:dyDescent="0.2">
      <c r="A686" t="s">
        <v>353</v>
      </c>
      <c r="B686" s="91">
        <v>120</v>
      </c>
      <c r="D686" t="s">
        <v>115</v>
      </c>
      <c r="E686" s="91">
        <v>52.05</v>
      </c>
      <c r="I686" s="92">
        <f t="shared" si="10"/>
        <v>52.05</v>
      </c>
    </row>
    <row r="687" spans="1:9" x14ac:dyDescent="0.2">
      <c r="A687" t="s">
        <v>353</v>
      </c>
      <c r="B687" s="91">
        <v>-12</v>
      </c>
      <c r="D687" t="s">
        <v>415</v>
      </c>
      <c r="E687" s="91">
        <v>52</v>
      </c>
      <c r="I687" s="92">
        <f t="shared" si="10"/>
        <v>52</v>
      </c>
    </row>
    <row r="688" spans="1:9" x14ac:dyDescent="0.2">
      <c r="A688" t="s">
        <v>353</v>
      </c>
      <c r="B688" s="91">
        <v>33.5</v>
      </c>
      <c r="D688" t="s">
        <v>776</v>
      </c>
      <c r="E688" s="91">
        <v>52</v>
      </c>
      <c r="I688" s="92">
        <f t="shared" si="10"/>
        <v>52</v>
      </c>
    </row>
    <row r="689" spans="1:9" x14ac:dyDescent="0.2">
      <c r="A689" t="s">
        <v>354</v>
      </c>
      <c r="B689" s="91">
        <v>145</v>
      </c>
      <c r="D689" t="s">
        <v>553</v>
      </c>
      <c r="E689" s="91">
        <v>51.75</v>
      </c>
      <c r="I689" s="92">
        <f t="shared" si="10"/>
        <v>51.75</v>
      </c>
    </row>
    <row r="690" spans="1:9" x14ac:dyDescent="0.2">
      <c r="A690" t="s">
        <v>354</v>
      </c>
      <c r="B690" s="91">
        <v>52.769999999999996</v>
      </c>
      <c r="D690" t="s">
        <v>1094</v>
      </c>
      <c r="E690" s="91">
        <v>51.75</v>
      </c>
      <c r="I690" s="92">
        <f t="shared" si="10"/>
        <v>51.75</v>
      </c>
    </row>
    <row r="691" spans="1:9" x14ac:dyDescent="0.2">
      <c r="A691" t="s">
        <v>355</v>
      </c>
      <c r="B691" s="91">
        <v>132</v>
      </c>
      <c r="D691" t="s">
        <v>744</v>
      </c>
      <c r="E691" s="91">
        <v>51.25</v>
      </c>
      <c r="I691" s="92">
        <f t="shared" si="10"/>
        <v>51.25</v>
      </c>
    </row>
    <row r="692" spans="1:9" x14ac:dyDescent="0.2">
      <c r="A692" t="s">
        <v>356</v>
      </c>
      <c r="B692" s="91">
        <v>68.75</v>
      </c>
      <c r="D692" t="s">
        <v>837</v>
      </c>
      <c r="E692" s="91">
        <v>51.25</v>
      </c>
      <c r="I692" s="92">
        <f t="shared" si="10"/>
        <v>51.25</v>
      </c>
    </row>
    <row r="693" spans="1:9" x14ac:dyDescent="0.2">
      <c r="A693" t="s">
        <v>357</v>
      </c>
      <c r="B693" s="91">
        <v>28</v>
      </c>
      <c r="D693" t="s">
        <v>257</v>
      </c>
      <c r="E693" s="91">
        <v>50.85</v>
      </c>
      <c r="I693" s="92">
        <f t="shared" si="10"/>
        <v>50.85</v>
      </c>
    </row>
    <row r="694" spans="1:9" x14ac:dyDescent="0.2">
      <c r="A694" t="s">
        <v>357</v>
      </c>
      <c r="B694" s="91">
        <v>16</v>
      </c>
      <c r="D694" t="s">
        <v>1125</v>
      </c>
      <c r="E694" s="91">
        <v>50.75</v>
      </c>
      <c r="I694" s="92">
        <f t="shared" si="10"/>
        <v>50.75</v>
      </c>
    </row>
    <row r="695" spans="1:9" x14ac:dyDescent="0.2">
      <c r="A695" t="s">
        <v>358</v>
      </c>
      <c r="B695" s="91">
        <v>38.5</v>
      </c>
      <c r="D695" t="s">
        <v>95</v>
      </c>
      <c r="E695" s="91">
        <v>50.62</v>
      </c>
      <c r="I695" s="92">
        <f t="shared" si="10"/>
        <v>50.62</v>
      </c>
    </row>
    <row r="696" spans="1:9" x14ac:dyDescent="0.2">
      <c r="A696" t="s">
        <v>359</v>
      </c>
      <c r="B696" s="91">
        <v>264</v>
      </c>
      <c r="D696" t="s">
        <v>528</v>
      </c>
      <c r="E696" s="91">
        <v>50.46</v>
      </c>
      <c r="I696" s="92">
        <f t="shared" si="10"/>
        <v>50.46</v>
      </c>
    </row>
    <row r="697" spans="1:9" x14ac:dyDescent="0.2">
      <c r="A697" t="s">
        <v>360</v>
      </c>
      <c r="B697" s="91">
        <v>720</v>
      </c>
      <c r="D697" t="s">
        <v>952</v>
      </c>
      <c r="E697" s="91">
        <v>50</v>
      </c>
      <c r="I697" s="92">
        <f t="shared" si="10"/>
        <v>50</v>
      </c>
    </row>
    <row r="698" spans="1:9" x14ac:dyDescent="0.2">
      <c r="A698" t="s">
        <v>360</v>
      </c>
      <c r="B698" s="91">
        <v>120</v>
      </c>
      <c r="D698" t="s">
        <v>639</v>
      </c>
      <c r="E698" s="91">
        <v>49.75</v>
      </c>
      <c r="I698" s="92">
        <f t="shared" si="10"/>
        <v>49.75</v>
      </c>
    </row>
    <row r="699" spans="1:9" x14ac:dyDescent="0.2">
      <c r="A699" t="s">
        <v>360</v>
      </c>
      <c r="B699" s="91">
        <v>891</v>
      </c>
      <c r="D699" t="s">
        <v>56</v>
      </c>
      <c r="E699" s="91">
        <v>49.5</v>
      </c>
      <c r="I699" s="92">
        <f t="shared" si="10"/>
        <v>49.5</v>
      </c>
    </row>
    <row r="700" spans="1:9" x14ac:dyDescent="0.2">
      <c r="A700" t="s">
        <v>360</v>
      </c>
      <c r="B700" s="91">
        <v>432</v>
      </c>
      <c r="D700" t="s">
        <v>109</v>
      </c>
      <c r="E700" s="91">
        <v>48.75</v>
      </c>
      <c r="I700" s="92">
        <f t="shared" si="10"/>
        <v>48.75</v>
      </c>
    </row>
    <row r="701" spans="1:9" x14ac:dyDescent="0.2">
      <c r="A701" t="s">
        <v>360</v>
      </c>
      <c r="B701" s="91">
        <v>-20</v>
      </c>
      <c r="D701" t="s">
        <v>497</v>
      </c>
      <c r="E701" s="91">
        <v>48.75</v>
      </c>
      <c r="I701" s="92">
        <f t="shared" si="10"/>
        <v>48.75</v>
      </c>
    </row>
    <row r="702" spans="1:9" x14ac:dyDescent="0.2">
      <c r="A702" t="s">
        <v>361</v>
      </c>
      <c r="B702" s="91">
        <v>12</v>
      </c>
      <c r="D702" t="s">
        <v>710</v>
      </c>
      <c r="E702" s="91">
        <v>48.75</v>
      </c>
      <c r="I702" s="92">
        <f t="shared" si="10"/>
        <v>48.75</v>
      </c>
    </row>
    <row r="703" spans="1:9" x14ac:dyDescent="0.2">
      <c r="A703" t="s">
        <v>361</v>
      </c>
      <c r="B703" s="91">
        <v>11.4</v>
      </c>
      <c r="D703" t="s">
        <v>669</v>
      </c>
      <c r="E703" s="91">
        <v>48.25</v>
      </c>
      <c r="I703" s="92">
        <f t="shared" si="10"/>
        <v>48.25</v>
      </c>
    </row>
    <row r="704" spans="1:9" x14ac:dyDescent="0.2">
      <c r="A704" t="s">
        <v>362</v>
      </c>
      <c r="B704" s="91">
        <v>9</v>
      </c>
      <c r="D704" t="s">
        <v>661</v>
      </c>
      <c r="E704" s="91">
        <v>48.25</v>
      </c>
      <c r="I704" s="92">
        <f t="shared" si="10"/>
        <v>48.25</v>
      </c>
    </row>
    <row r="705" spans="1:9" x14ac:dyDescent="0.2">
      <c r="A705" t="s">
        <v>363</v>
      </c>
      <c r="B705" s="91">
        <v>30</v>
      </c>
      <c r="D705" t="s">
        <v>518</v>
      </c>
      <c r="E705" s="91">
        <v>48.2</v>
      </c>
      <c r="I705" s="92">
        <f t="shared" si="10"/>
        <v>48.2</v>
      </c>
    </row>
    <row r="706" spans="1:9" x14ac:dyDescent="0.2">
      <c r="A706" t="s">
        <v>364</v>
      </c>
      <c r="B706" s="91">
        <v>14.17</v>
      </c>
      <c r="D706" t="s">
        <v>66</v>
      </c>
      <c r="E706" s="91">
        <v>48</v>
      </c>
      <c r="I706" s="92">
        <f t="shared" si="10"/>
        <v>48</v>
      </c>
    </row>
    <row r="707" spans="1:9" x14ac:dyDescent="0.2">
      <c r="A707" t="s">
        <v>365</v>
      </c>
      <c r="B707" s="91">
        <v>360</v>
      </c>
      <c r="D707" t="s">
        <v>1169</v>
      </c>
      <c r="E707" s="91">
        <v>47.75</v>
      </c>
      <c r="I707" s="92">
        <f t="shared" ref="I707:I770" si="11">E707-G707</f>
        <v>47.75</v>
      </c>
    </row>
    <row r="708" spans="1:9" x14ac:dyDescent="0.2">
      <c r="A708" t="s">
        <v>365</v>
      </c>
      <c r="B708" s="91">
        <v>-4</v>
      </c>
      <c r="D708" t="s">
        <v>756</v>
      </c>
      <c r="E708" s="91">
        <v>47.5</v>
      </c>
      <c r="I708" s="92">
        <f t="shared" si="11"/>
        <v>47.5</v>
      </c>
    </row>
    <row r="709" spans="1:9" x14ac:dyDescent="0.2">
      <c r="A709" t="s">
        <v>366</v>
      </c>
      <c r="B709" s="91">
        <v>194.5</v>
      </c>
      <c r="D709" t="s">
        <v>182</v>
      </c>
      <c r="E709" s="91">
        <v>47.019999999999996</v>
      </c>
      <c r="I709" s="92">
        <f t="shared" si="11"/>
        <v>47.019999999999996</v>
      </c>
    </row>
    <row r="710" spans="1:9" x14ac:dyDescent="0.2">
      <c r="A710" t="s">
        <v>366</v>
      </c>
      <c r="B710" s="91">
        <v>29.5</v>
      </c>
      <c r="D710" t="s">
        <v>212</v>
      </c>
      <c r="E710" s="91">
        <v>46.8</v>
      </c>
      <c r="I710" s="92">
        <f t="shared" si="11"/>
        <v>46.8</v>
      </c>
    </row>
    <row r="711" spans="1:9" x14ac:dyDescent="0.2">
      <c r="A711" t="s">
        <v>367</v>
      </c>
      <c r="B711" s="91">
        <v>190</v>
      </c>
      <c r="D711" t="s">
        <v>433</v>
      </c>
      <c r="E711" s="91">
        <v>46.15</v>
      </c>
      <c r="I711" s="92">
        <f t="shared" si="11"/>
        <v>46.15</v>
      </c>
    </row>
    <row r="712" spans="1:9" x14ac:dyDescent="0.2">
      <c r="A712" t="s">
        <v>367</v>
      </c>
      <c r="B712" s="91">
        <v>131</v>
      </c>
      <c r="D712" t="s">
        <v>1059</v>
      </c>
      <c r="E712" s="91">
        <v>46</v>
      </c>
      <c r="I712" s="92">
        <f t="shared" si="11"/>
        <v>46</v>
      </c>
    </row>
    <row r="713" spans="1:9" x14ac:dyDescent="0.2">
      <c r="A713" t="s">
        <v>368</v>
      </c>
      <c r="B713" s="91">
        <v>240</v>
      </c>
      <c r="D713" t="s">
        <v>137</v>
      </c>
      <c r="E713" s="91">
        <v>45.75</v>
      </c>
      <c r="I713" s="92">
        <f t="shared" si="11"/>
        <v>45.75</v>
      </c>
    </row>
    <row r="714" spans="1:9" x14ac:dyDescent="0.2">
      <c r="A714" t="s">
        <v>368</v>
      </c>
      <c r="B714" s="91">
        <v>297</v>
      </c>
      <c r="D714" t="s">
        <v>110</v>
      </c>
      <c r="E714" s="91">
        <v>45.5</v>
      </c>
      <c r="I714" s="92">
        <f t="shared" si="11"/>
        <v>45.5</v>
      </c>
    </row>
    <row r="715" spans="1:9" x14ac:dyDescent="0.2">
      <c r="A715" t="s">
        <v>368</v>
      </c>
      <c r="B715" s="91">
        <v>165</v>
      </c>
      <c r="D715" t="s">
        <v>950</v>
      </c>
      <c r="E715" s="91">
        <v>45.5</v>
      </c>
      <c r="I715" s="92">
        <f t="shared" si="11"/>
        <v>45.5</v>
      </c>
    </row>
    <row r="716" spans="1:9" x14ac:dyDescent="0.2">
      <c r="A716" t="s">
        <v>368</v>
      </c>
      <c r="B716" s="91">
        <v>73.25</v>
      </c>
      <c r="D716" t="s">
        <v>1108</v>
      </c>
      <c r="E716" s="91">
        <v>45.5</v>
      </c>
      <c r="I716" s="92">
        <f t="shared" si="11"/>
        <v>45.5</v>
      </c>
    </row>
    <row r="717" spans="1:9" x14ac:dyDescent="0.2">
      <c r="A717" t="s">
        <v>369</v>
      </c>
      <c r="B717" s="91">
        <v>354</v>
      </c>
      <c r="D717" t="s">
        <v>1228</v>
      </c>
      <c r="E717" s="91">
        <v>45.5</v>
      </c>
      <c r="I717" s="92">
        <f t="shared" si="11"/>
        <v>45.5</v>
      </c>
    </row>
    <row r="718" spans="1:9" x14ac:dyDescent="0.2">
      <c r="A718" t="s">
        <v>370</v>
      </c>
      <c r="B718" s="91">
        <v>16.2</v>
      </c>
      <c r="D718" t="s">
        <v>636</v>
      </c>
      <c r="E718" s="91">
        <v>45</v>
      </c>
      <c r="I718" s="92">
        <f t="shared" si="11"/>
        <v>45</v>
      </c>
    </row>
    <row r="719" spans="1:9" x14ac:dyDescent="0.2">
      <c r="A719" t="s">
        <v>371</v>
      </c>
      <c r="B719" s="91">
        <v>810</v>
      </c>
      <c r="D719" t="s">
        <v>900</v>
      </c>
      <c r="E719" s="91">
        <v>45</v>
      </c>
      <c r="I719" s="92">
        <f t="shared" si="11"/>
        <v>45</v>
      </c>
    </row>
    <row r="720" spans="1:9" x14ac:dyDescent="0.2">
      <c r="A720" t="s">
        <v>371</v>
      </c>
      <c r="B720" s="91">
        <v>648</v>
      </c>
      <c r="D720" t="s">
        <v>1110</v>
      </c>
      <c r="E720" s="91">
        <v>45</v>
      </c>
      <c r="I720" s="92">
        <f t="shared" si="11"/>
        <v>45</v>
      </c>
    </row>
    <row r="721" spans="1:9" x14ac:dyDescent="0.2">
      <c r="A721" t="s">
        <v>371</v>
      </c>
      <c r="B721" s="91">
        <v>300</v>
      </c>
      <c r="D721" t="s">
        <v>896</v>
      </c>
      <c r="E721" s="91">
        <v>44.75</v>
      </c>
      <c r="I721" s="92">
        <f t="shared" si="11"/>
        <v>44.75</v>
      </c>
    </row>
    <row r="722" spans="1:9" x14ac:dyDescent="0.2">
      <c r="A722" t="s">
        <v>371</v>
      </c>
      <c r="B722" s="91">
        <v>48</v>
      </c>
      <c r="D722" t="s">
        <v>506</v>
      </c>
      <c r="E722" s="91">
        <v>44.5</v>
      </c>
      <c r="I722" s="92">
        <f t="shared" si="11"/>
        <v>44.5</v>
      </c>
    </row>
    <row r="723" spans="1:9" x14ac:dyDescent="0.2">
      <c r="A723" t="s">
        <v>372</v>
      </c>
      <c r="B723" s="91">
        <v>297</v>
      </c>
      <c r="D723" t="s">
        <v>670</v>
      </c>
      <c r="E723" s="91">
        <v>44.5</v>
      </c>
      <c r="I723" s="92">
        <f t="shared" si="11"/>
        <v>44.5</v>
      </c>
    </row>
    <row r="724" spans="1:9" x14ac:dyDescent="0.2">
      <c r="A724" t="s">
        <v>372</v>
      </c>
      <c r="B724" s="91">
        <v>240</v>
      </c>
      <c r="D724" t="s">
        <v>177</v>
      </c>
      <c r="E724" s="91">
        <v>44.1</v>
      </c>
      <c r="I724" s="92">
        <f t="shared" si="11"/>
        <v>44.1</v>
      </c>
    </row>
    <row r="725" spans="1:9" x14ac:dyDescent="0.2">
      <c r="A725" t="s">
        <v>372</v>
      </c>
      <c r="B725" s="91">
        <v>120</v>
      </c>
      <c r="D725" t="s">
        <v>67</v>
      </c>
      <c r="E725" s="91">
        <v>44</v>
      </c>
      <c r="I725" s="92">
        <f t="shared" si="11"/>
        <v>44</v>
      </c>
    </row>
    <row r="726" spans="1:9" x14ac:dyDescent="0.2">
      <c r="A726" t="s">
        <v>372</v>
      </c>
      <c r="B726" s="91">
        <v>-39</v>
      </c>
      <c r="D726" t="s">
        <v>357</v>
      </c>
      <c r="E726" s="91">
        <v>44</v>
      </c>
      <c r="I726" s="92">
        <f t="shared" si="11"/>
        <v>44</v>
      </c>
    </row>
    <row r="727" spans="1:9" x14ac:dyDescent="0.2">
      <c r="A727" t="s">
        <v>373</v>
      </c>
      <c r="B727" s="91">
        <v>13.27</v>
      </c>
      <c r="D727" t="s">
        <v>676</v>
      </c>
      <c r="E727" s="91">
        <v>44</v>
      </c>
      <c r="I727" s="92">
        <f t="shared" si="11"/>
        <v>44</v>
      </c>
    </row>
    <row r="728" spans="1:9" x14ac:dyDescent="0.2">
      <c r="A728" t="s">
        <v>374</v>
      </c>
      <c r="B728" s="91">
        <v>18.22</v>
      </c>
      <c r="D728" t="s">
        <v>494</v>
      </c>
      <c r="E728" s="91">
        <v>43.95</v>
      </c>
      <c r="I728" s="92">
        <f t="shared" si="11"/>
        <v>43.95</v>
      </c>
    </row>
    <row r="729" spans="1:9" x14ac:dyDescent="0.2">
      <c r="A729" t="s">
        <v>375</v>
      </c>
      <c r="B729" s="91">
        <v>23.62</v>
      </c>
      <c r="D729" t="s">
        <v>671</v>
      </c>
      <c r="E729" s="91">
        <v>43.75</v>
      </c>
      <c r="I729" s="92">
        <f t="shared" si="11"/>
        <v>43.75</v>
      </c>
    </row>
    <row r="730" spans="1:9" x14ac:dyDescent="0.2">
      <c r="A730" t="s">
        <v>376</v>
      </c>
      <c r="B730" s="91">
        <v>7.5</v>
      </c>
      <c r="D730" t="s">
        <v>686</v>
      </c>
      <c r="E730" s="91">
        <v>43.75</v>
      </c>
      <c r="I730" s="92">
        <f t="shared" si="11"/>
        <v>43.75</v>
      </c>
    </row>
    <row r="731" spans="1:9" x14ac:dyDescent="0.2">
      <c r="A731" t="s">
        <v>376</v>
      </c>
      <c r="B731" s="91">
        <v>5.0999999999999996</v>
      </c>
      <c r="D731" t="s">
        <v>1102</v>
      </c>
      <c r="E731" s="91">
        <v>43.5</v>
      </c>
      <c r="I731" s="92">
        <f t="shared" si="11"/>
        <v>43.5</v>
      </c>
    </row>
    <row r="732" spans="1:9" x14ac:dyDescent="0.2">
      <c r="A732" t="s">
        <v>377</v>
      </c>
      <c r="B732" s="91">
        <v>900</v>
      </c>
      <c r="D732" t="s">
        <v>581</v>
      </c>
      <c r="E732" s="91">
        <v>43.2</v>
      </c>
      <c r="I732" s="92">
        <f t="shared" si="11"/>
        <v>43.2</v>
      </c>
    </row>
    <row r="733" spans="1:9" x14ac:dyDescent="0.2">
      <c r="A733" t="s">
        <v>377</v>
      </c>
      <c r="B733" s="91">
        <v>420</v>
      </c>
      <c r="D733" t="s">
        <v>577</v>
      </c>
      <c r="E733" s="91">
        <v>43.05</v>
      </c>
      <c r="I733" s="92">
        <f t="shared" si="11"/>
        <v>43.05</v>
      </c>
    </row>
    <row r="734" spans="1:9" x14ac:dyDescent="0.2">
      <c r="A734" t="s">
        <v>378</v>
      </c>
      <c r="B734" s="91">
        <v>178</v>
      </c>
      <c r="D734" t="s">
        <v>1040</v>
      </c>
      <c r="E734" s="91">
        <v>43</v>
      </c>
      <c r="I734" s="92">
        <f t="shared" si="11"/>
        <v>43</v>
      </c>
    </row>
    <row r="735" spans="1:9" x14ac:dyDescent="0.2">
      <c r="A735" t="s">
        <v>379</v>
      </c>
      <c r="B735" s="91">
        <v>13</v>
      </c>
      <c r="D735" t="s">
        <v>1072</v>
      </c>
      <c r="E735" s="91">
        <v>43</v>
      </c>
      <c r="I735" s="92">
        <f t="shared" si="11"/>
        <v>43</v>
      </c>
    </row>
    <row r="736" spans="1:9" x14ac:dyDescent="0.2">
      <c r="A736" t="s">
        <v>380</v>
      </c>
      <c r="B736" s="91">
        <v>18.25</v>
      </c>
      <c r="D736" t="s">
        <v>191</v>
      </c>
      <c r="E736" s="91">
        <v>42.75</v>
      </c>
      <c r="I736" s="92">
        <f t="shared" si="11"/>
        <v>42.75</v>
      </c>
    </row>
    <row r="737" spans="1:9" x14ac:dyDescent="0.2">
      <c r="A737" t="s">
        <v>380</v>
      </c>
      <c r="B737" s="91">
        <v>13.47</v>
      </c>
      <c r="D737" t="s">
        <v>764</v>
      </c>
      <c r="E737" s="91">
        <v>42.75</v>
      </c>
      <c r="I737" s="92">
        <f t="shared" si="11"/>
        <v>42.75</v>
      </c>
    </row>
    <row r="738" spans="1:9" x14ac:dyDescent="0.2">
      <c r="A738" t="s">
        <v>381</v>
      </c>
      <c r="B738" s="91">
        <v>135</v>
      </c>
      <c r="D738" t="s">
        <v>1179</v>
      </c>
      <c r="E738" s="91">
        <v>42.75</v>
      </c>
      <c r="I738" s="92">
        <f t="shared" si="11"/>
        <v>42.75</v>
      </c>
    </row>
    <row r="739" spans="1:9" x14ac:dyDescent="0.2">
      <c r="A739" t="s">
        <v>381</v>
      </c>
      <c r="B739" s="91">
        <v>67.5</v>
      </c>
      <c r="D739" t="s">
        <v>514</v>
      </c>
      <c r="E739" s="91">
        <v>42.519999999999996</v>
      </c>
      <c r="I739" s="92">
        <f t="shared" si="11"/>
        <v>42.519999999999996</v>
      </c>
    </row>
    <row r="740" spans="1:9" x14ac:dyDescent="0.2">
      <c r="A740" t="s">
        <v>382</v>
      </c>
      <c r="B740" s="91">
        <v>12.6</v>
      </c>
      <c r="D740" t="s">
        <v>341</v>
      </c>
      <c r="E740" s="91">
        <v>41.620000000000005</v>
      </c>
      <c r="I740" s="92">
        <f t="shared" si="11"/>
        <v>41.620000000000005</v>
      </c>
    </row>
    <row r="741" spans="1:9" x14ac:dyDescent="0.2">
      <c r="A741" t="s">
        <v>383</v>
      </c>
      <c r="B741" s="91">
        <v>216</v>
      </c>
      <c r="D741" t="s">
        <v>1055</v>
      </c>
      <c r="E741" s="91">
        <v>41.5</v>
      </c>
      <c r="I741" s="92">
        <f t="shared" si="11"/>
        <v>41.5</v>
      </c>
    </row>
    <row r="742" spans="1:9" x14ac:dyDescent="0.2">
      <c r="A742" t="s">
        <v>383</v>
      </c>
      <c r="B742" s="91">
        <v>238</v>
      </c>
      <c r="D742" t="s">
        <v>1242</v>
      </c>
      <c r="E742" s="91">
        <v>41</v>
      </c>
      <c r="I742" s="92">
        <f t="shared" si="11"/>
        <v>41</v>
      </c>
    </row>
    <row r="743" spans="1:9" x14ac:dyDescent="0.2">
      <c r="A743" t="s">
        <v>384</v>
      </c>
      <c r="B743" s="91">
        <v>85</v>
      </c>
      <c r="D743" t="s">
        <v>867</v>
      </c>
      <c r="E743" s="91">
        <v>40.75</v>
      </c>
      <c r="I743" s="92">
        <f t="shared" si="11"/>
        <v>40.75</v>
      </c>
    </row>
    <row r="744" spans="1:9" x14ac:dyDescent="0.2">
      <c r="A744" t="s">
        <v>384</v>
      </c>
      <c r="B744" s="91">
        <v>23</v>
      </c>
      <c r="D744" t="s">
        <v>278</v>
      </c>
      <c r="E744" s="91">
        <v>40.5</v>
      </c>
      <c r="I744" s="92">
        <f t="shared" si="11"/>
        <v>40.5</v>
      </c>
    </row>
    <row r="745" spans="1:9" x14ac:dyDescent="0.2">
      <c r="A745" t="s">
        <v>384</v>
      </c>
      <c r="B745" s="91">
        <v>93</v>
      </c>
      <c r="D745" t="s">
        <v>600</v>
      </c>
      <c r="E745" s="91">
        <v>40.5</v>
      </c>
      <c r="I745" s="92">
        <f t="shared" si="11"/>
        <v>40.5</v>
      </c>
    </row>
    <row r="746" spans="1:9" x14ac:dyDescent="0.2">
      <c r="A746" t="s">
        <v>384</v>
      </c>
      <c r="B746" s="91">
        <v>73.25</v>
      </c>
      <c r="D746" t="s">
        <v>571</v>
      </c>
      <c r="E746" s="91">
        <v>40.35</v>
      </c>
      <c r="I746" s="92">
        <f t="shared" si="11"/>
        <v>40.35</v>
      </c>
    </row>
    <row r="747" spans="1:9" x14ac:dyDescent="0.2">
      <c r="A747" t="s">
        <v>385</v>
      </c>
      <c r="B747" s="91">
        <v>70.25</v>
      </c>
      <c r="D747" t="s">
        <v>1237</v>
      </c>
      <c r="E747" s="91">
        <v>40.25</v>
      </c>
      <c r="I747" s="92">
        <f t="shared" si="11"/>
        <v>40.25</v>
      </c>
    </row>
    <row r="748" spans="1:9" x14ac:dyDescent="0.2">
      <c r="A748" t="s">
        <v>385</v>
      </c>
      <c r="B748" s="91">
        <v>18</v>
      </c>
      <c r="D748" t="s">
        <v>395</v>
      </c>
      <c r="E748" s="91">
        <v>40.1</v>
      </c>
      <c r="I748" s="92">
        <f t="shared" si="11"/>
        <v>40.1</v>
      </c>
    </row>
    <row r="749" spans="1:9" x14ac:dyDescent="0.2">
      <c r="A749" t="s">
        <v>385</v>
      </c>
      <c r="B749" s="91">
        <v>11.5</v>
      </c>
      <c r="D749" t="s">
        <v>237</v>
      </c>
      <c r="E749" s="91">
        <v>40</v>
      </c>
      <c r="I749" s="92">
        <f t="shared" si="11"/>
        <v>40</v>
      </c>
    </row>
    <row r="750" spans="1:9" x14ac:dyDescent="0.2">
      <c r="A750" t="s">
        <v>385</v>
      </c>
      <c r="B750" s="91">
        <v>11.5</v>
      </c>
      <c r="D750" t="s">
        <v>965</v>
      </c>
      <c r="E750" s="91">
        <v>40</v>
      </c>
      <c r="I750" s="92">
        <f t="shared" si="11"/>
        <v>40</v>
      </c>
    </row>
    <row r="751" spans="1:9" x14ac:dyDescent="0.2">
      <c r="A751" t="s">
        <v>385</v>
      </c>
      <c r="B751" s="91">
        <v>48</v>
      </c>
      <c r="D751" t="s">
        <v>1158</v>
      </c>
      <c r="E751" s="91">
        <v>40</v>
      </c>
      <c r="I751" s="92">
        <f t="shared" si="11"/>
        <v>40</v>
      </c>
    </row>
    <row r="752" spans="1:9" x14ac:dyDescent="0.2">
      <c r="A752" t="s">
        <v>385</v>
      </c>
      <c r="B752" s="91">
        <v>6.5</v>
      </c>
      <c r="D752" t="s">
        <v>1068</v>
      </c>
      <c r="E752" s="91">
        <v>39.75</v>
      </c>
      <c r="I752" s="92">
        <f t="shared" si="11"/>
        <v>39.75</v>
      </c>
    </row>
    <row r="753" spans="1:9" x14ac:dyDescent="0.2">
      <c r="A753" t="s">
        <v>385</v>
      </c>
      <c r="B753" s="91">
        <v>7.5</v>
      </c>
      <c r="D753" t="s">
        <v>1235</v>
      </c>
      <c r="E753" s="91">
        <v>39.75</v>
      </c>
      <c r="I753" s="92">
        <f t="shared" si="11"/>
        <v>39.75</v>
      </c>
    </row>
    <row r="754" spans="1:9" x14ac:dyDescent="0.2">
      <c r="A754" t="s">
        <v>386</v>
      </c>
      <c r="B754" s="91">
        <v>103.75</v>
      </c>
      <c r="D754" t="s">
        <v>995</v>
      </c>
      <c r="E754" s="91">
        <v>39.5</v>
      </c>
      <c r="I754" s="92">
        <f t="shared" si="11"/>
        <v>39.5</v>
      </c>
    </row>
    <row r="755" spans="1:9" x14ac:dyDescent="0.2">
      <c r="A755" t="s">
        <v>387</v>
      </c>
      <c r="B755" s="91">
        <v>14</v>
      </c>
      <c r="D755" t="s">
        <v>1117</v>
      </c>
      <c r="E755" s="91">
        <v>39.5</v>
      </c>
      <c r="I755" s="92">
        <f t="shared" si="11"/>
        <v>39.5</v>
      </c>
    </row>
    <row r="756" spans="1:9" x14ac:dyDescent="0.2">
      <c r="A756" t="s">
        <v>387</v>
      </c>
      <c r="B756" s="91">
        <v>9.4</v>
      </c>
      <c r="D756" t="s">
        <v>149</v>
      </c>
      <c r="E756" s="91">
        <v>39</v>
      </c>
      <c r="I756" s="92">
        <f t="shared" si="11"/>
        <v>39</v>
      </c>
    </row>
    <row r="757" spans="1:9" x14ac:dyDescent="0.2">
      <c r="A757" t="s">
        <v>388</v>
      </c>
      <c r="B757" s="91">
        <v>66</v>
      </c>
      <c r="D757" t="s">
        <v>729</v>
      </c>
      <c r="E757" s="91">
        <v>38.75</v>
      </c>
      <c r="I757" s="92">
        <f t="shared" si="11"/>
        <v>38.75</v>
      </c>
    </row>
    <row r="758" spans="1:9" x14ac:dyDescent="0.2">
      <c r="A758" t="s">
        <v>388</v>
      </c>
      <c r="B758" s="91">
        <v>36.15</v>
      </c>
      <c r="D758" t="s">
        <v>105</v>
      </c>
      <c r="E758" s="91">
        <v>38.700000000000003</v>
      </c>
      <c r="I758" s="92">
        <f t="shared" si="11"/>
        <v>38.700000000000003</v>
      </c>
    </row>
    <row r="759" spans="1:9" x14ac:dyDescent="0.2">
      <c r="A759" t="s">
        <v>389</v>
      </c>
      <c r="B759" s="91">
        <v>14.75</v>
      </c>
      <c r="D759" t="s">
        <v>291</v>
      </c>
      <c r="E759" s="91">
        <v>38.700000000000003</v>
      </c>
      <c r="I759" s="92">
        <f t="shared" si="11"/>
        <v>38.700000000000003</v>
      </c>
    </row>
    <row r="760" spans="1:9" x14ac:dyDescent="0.2">
      <c r="A760" t="s">
        <v>389</v>
      </c>
      <c r="B760" s="91">
        <v>22.37</v>
      </c>
      <c r="D760" t="s">
        <v>323</v>
      </c>
      <c r="E760" s="91">
        <v>38.700000000000003</v>
      </c>
      <c r="I760" s="92">
        <f t="shared" si="11"/>
        <v>38.700000000000003</v>
      </c>
    </row>
    <row r="761" spans="1:9" x14ac:dyDescent="0.2">
      <c r="A761" t="s">
        <v>390</v>
      </c>
      <c r="B761" s="91">
        <v>10</v>
      </c>
      <c r="D761" t="s">
        <v>573</v>
      </c>
      <c r="E761" s="91">
        <v>38.700000000000003</v>
      </c>
      <c r="I761" s="92">
        <f t="shared" si="11"/>
        <v>38.700000000000003</v>
      </c>
    </row>
    <row r="762" spans="1:9" x14ac:dyDescent="0.2">
      <c r="A762" t="s">
        <v>390</v>
      </c>
      <c r="B762" s="91">
        <v>11.45</v>
      </c>
      <c r="D762" t="s">
        <v>358</v>
      </c>
      <c r="E762" s="91">
        <v>38.5</v>
      </c>
      <c r="I762" s="92">
        <f t="shared" si="11"/>
        <v>38.5</v>
      </c>
    </row>
    <row r="763" spans="1:9" x14ac:dyDescent="0.2">
      <c r="A763" t="s">
        <v>391</v>
      </c>
      <c r="B763" s="91">
        <v>15</v>
      </c>
      <c r="D763" t="s">
        <v>775</v>
      </c>
      <c r="E763" s="91">
        <v>38.5</v>
      </c>
      <c r="I763" s="92">
        <f t="shared" si="11"/>
        <v>38.5</v>
      </c>
    </row>
    <row r="764" spans="1:9" x14ac:dyDescent="0.2">
      <c r="A764" t="s">
        <v>391</v>
      </c>
      <c r="B764" s="91">
        <v>21</v>
      </c>
      <c r="D764" t="s">
        <v>1098</v>
      </c>
      <c r="E764" s="91">
        <v>38.5</v>
      </c>
      <c r="I764" s="92">
        <f t="shared" si="11"/>
        <v>38.5</v>
      </c>
    </row>
    <row r="765" spans="1:9" x14ac:dyDescent="0.2">
      <c r="A765" t="s">
        <v>392</v>
      </c>
      <c r="B765" s="91">
        <v>74</v>
      </c>
      <c r="D765" t="s">
        <v>1137</v>
      </c>
      <c r="E765" s="91">
        <v>38.5</v>
      </c>
      <c r="I765" s="92">
        <f t="shared" si="11"/>
        <v>38.5</v>
      </c>
    </row>
    <row r="766" spans="1:9" x14ac:dyDescent="0.2">
      <c r="A766" t="s">
        <v>392</v>
      </c>
      <c r="B766" s="91">
        <v>7.5</v>
      </c>
      <c r="D766" t="s">
        <v>400</v>
      </c>
      <c r="E766" s="91">
        <v>38</v>
      </c>
      <c r="I766" s="92">
        <f t="shared" si="11"/>
        <v>38</v>
      </c>
    </row>
    <row r="767" spans="1:9" x14ac:dyDescent="0.2">
      <c r="A767" t="s">
        <v>392</v>
      </c>
      <c r="B767" s="91">
        <v>6.5</v>
      </c>
      <c r="D767" t="s">
        <v>1031</v>
      </c>
      <c r="E767" s="91">
        <v>38</v>
      </c>
      <c r="I767" s="92">
        <f t="shared" si="11"/>
        <v>38</v>
      </c>
    </row>
    <row r="768" spans="1:9" x14ac:dyDescent="0.2">
      <c r="A768" t="s">
        <v>392</v>
      </c>
      <c r="B768" s="91">
        <v>6.75</v>
      </c>
      <c r="D768" t="s">
        <v>570</v>
      </c>
      <c r="E768" s="91">
        <v>37.799999999999997</v>
      </c>
      <c r="I768" s="92">
        <f t="shared" si="11"/>
        <v>37.799999999999997</v>
      </c>
    </row>
    <row r="769" spans="1:9" x14ac:dyDescent="0.2">
      <c r="A769" t="s">
        <v>392</v>
      </c>
      <c r="B769" s="91">
        <v>75.5</v>
      </c>
      <c r="D769" t="s">
        <v>1106</v>
      </c>
      <c r="E769" s="91">
        <v>37.75</v>
      </c>
      <c r="I769" s="92">
        <f t="shared" si="11"/>
        <v>37.75</v>
      </c>
    </row>
    <row r="770" spans="1:9" x14ac:dyDescent="0.2">
      <c r="A770" t="s">
        <v>393</v>
      </c>
      <c r="B770" s="91">
        <v>12.45</v>
      </c>
      <c r="D770" t="s">
        <v>779</v>
      </c>
      <c r="E770" s="91">
        <v>37.5</v>
      </c>
      <c r="I770" s="92">
        <f t="shared" si="11"/>
        <v>37.5</v>
      </c>
    </row>
    <row r="771" spans="1:9" x14ac:dyDescent="0.2">
      <c r="A771" t="s">
        <v>394</v>
      </c>
      <c r="B771" s="91">
        <v>7.5</v>
      </c>
      <c r="D771" t="s">
        <v>795</v>
      </c>
      <c r="E771" s="91">
        <v>37.5</v>
      </c>
      <c r="I771" s="92">
        <f t="shared" ref="I771:I834" si="12">E771-G771</f>
        <v>37.5</v>
      </c>
    </row>
    <row r="772" spans="1:9" x14ac:dyDescent="0.2">
      <c r="A772" t="s">
        <v>394</v>
      </c>
      <c r="B772" s="91">
        <v>10</v>
      </c>
      <c r="D772" t="s">
        <v>641</v>
      </c>
      <c r="E772" s="91">
        <v>37.25</v>
      </c>
      <c r="I772" s="92">
        <f t="shared" si="12"/>
        <v>37.25</v>
      </c>
    </row>
    <row r="773" spans="1:9" x14ac:dyDescent="0.2">
      <c r="A773" t="s">
        <v>394</v>
      </c>
      <c r="B773" s="91">
        <v>2.8</v>
      </c>
      <c r="D773" t="s">
        <v>646</v>
      </c>
      <c r="E773" s="91">
        <v>37.25</v>
      </c>
      <c r="I773" s="92">
        <f t="shared" si="12"/>
        <v>37.25</v>
      </c>
    </row>
    <row r="774" spans="1:9" x14ac:dyDescent="0.2">
      <c r="A774" t="s">
        <v>395</v>
      </c>
      <c r="B774" s="91">
        <v>31.5</v>
      </c>
      <c r="D774" t="s">
        <v>389</v>
      </c>
      <c r="E774" s="91">
        <v>37.120000000000005</v>
      </c>
      <c r="I774" s="92">
        <f t="shared" si="12"/>
        <v>37.120000000000005</v>
      </c>
    </row>
    <row r="775" spans="1:9" x14ac:dyDescent="0.2">
      <c r="A775" t="s">
        <v>395</v>
      </c>
      <c r="B775" s="91">
        <v>8.6</v>
      </c>
      <c r="D775" t="s">
        <v>1154</v>
      </c>
      <c r="E775" s="91">
        <v>37</v>
      </c>
      <c r="I775" s="92">
        <f t="shared" si="12"/>
        <v>37</v>
      </c>
    </row>
    <row r="776" spans="1:9" x14ac:dyDescent="0.2">
      <c r="A776" t="s">
        <v>396</v>
      </c>
      <c r="B776" s="91">
        <v>59.5</v>
      </c>
      <c r="D776" t="s">
        <v>562</v>
      </c>
      <c r="E776" s="91">
        <v>36.75</v>
      </c>
      <c r="I776" s="92">
        <f t="shared" si="12"/>
        <v>36.75</v>
      </c>
    </row>
    <row r="777" spans="1:9" x14ac:dyDescent="0.2">
      <c r="A777" t="s">
        <v>397</v>
      </c>
      <c r="B777" s="91">
        <v>660</v>
      </c>
      <c r="D777" t="s">
        <v>668</v>
      </c>
      <c r="E777" s="91">
        <v>36.75</v>
      </c>
      <c r="I777" s="92">
        <f t="shared" si="12"/>
        <v>36.75</v>
      </c>
    </row>
    <row r="778" spans="1:9" x14ac:dyDescent="0.2">
      <c r="A778" t="s">
        <v>398</v>
      </c>
      <c r="B778" s="91">
        <v>18.75</v>
      </c>
      <c r="D778" t="s">
        <v>721</v>
      </c>
      <c r="E778" s="91">
        <v>36.75</v>
      </c>
      <c r="I778" s="92">
        <f t="shared" si="12"/>
        <v>36.75</v>
      </c>
    </row>
    <row r="779" spans="1:9" x14ac:dyDescent="0.2">
      <c r="A779" t="s">
        <v>399</v>
      </c>
      <c r="B779" s="91">
        <v>33.75</v>
      </c>
      <c r="D779" t="s">
        <v>806</v>
      </c>
      <c r="E779" s="91">
        <v>36.5</v>
      </c>
      <c r="I779" s="92">
        <f t="shared" si="12"/>
        <v>36.5</v>
      </c>
    </row>
    <row r="780" spans="1:9" x14ac:dyDescent="0.2">
      <c r="A780" t="s">
        <v>400</v>
      </c>
      <c r="B780" s="91">
        <v>36</v>
      </c>
      <c r="D780" t="s">
        <v>889</v>
      </c>
      <c r="E780" s="91">
        <v>36.5</v>
      </c>
      <c r="I780" s="92">
        <f t="shared" si="12"/>
        <v>36.5</v>
      </c>
    </row>
    <row r="781" spans="1:9" x14ac:dyDescent="0.2">
      <c r="A781" t="s">
        <v>400</v>
      </c>
      <c r="B781" s="91">
        <v>2</v>
      </c>
      <c r="D781" t="s">
        <v>118</v>
      </c>
      <c r="E781" s="91">
        <v>36</v>
      </c>
      <c r="I781" s="92">
        <f t="shared" si="12"/>
        <v>36</v>
      </c>
    </row>
    <row r="782" spans="1:9" x14ac:dyDescent="0.2">
      <c r="A782" t="s">
        <v>401</v>
      </c>
      <c r="B782" s="91">
        <v>73.8</v>
      </c>
      <c r="D782" t="s">
        <v>184</v>
      </c>
      <c r="E782" s="91">
        <v>36</v>
      </c>
      <c r="I782" s="92">
        <f t="shared" si="12"/>
        <v>36</v>
      </c>
    </row>
    <row r="783" spans="1:9" x14ac:dyDescent="0.2">
      <c r="A783" t="s">
        <v>402</v>
      </c>
      <c r="B783" s="91">
        <v>39.75</v>
      </c>
      <c r="D783" t="s">
        <v>391</v>
      </c>
      <c r="E783" s="91">
        <v>36</v>
      </c>
      <c r="I783" s="92">
        <f t="shared" si="12"/>
        <v>36</v>
      </c>
    </row>
    <row r="784" spans="1:9" x14ac:dyDescent="0.2">
      <c r="A784" t="s">
        <v>402</v>
      </c>
      <c r="B784" s="91">
        <v>32.019999999999996</v>
      </c>
      <c r="D784" t="s">
        <v>446</v>
      </c>
      <c r="E784" s="91">
        <v>36</v>
      </c>
      <c r="I784" s="92">
        <f t="shared" si="12"/>
        <v>36</v>
      </c>
    </row>
    <row r="785" spans="1:9" x14ac:dyDescent="0.2">
      <c r="A785" t="s">
        <v>403</v>
      </c>
      <c r="B785" s="91">
        <v>178</v>
      </c>
      <c r="D785" t="s">
        <v>631</v>
      </c>
      <c r="E785" s="91">
        <v>36</v>
      </c>
      <c r="I785" s="92">
        <f t="shared" si="12"/>
        <v>36</v>
      </c>
    </row>
    <row r="786" spans="1:9" x14ac:dyDescent="0.2">
      <c r="A786" t="s">
        <v>404</v>
      </c>
      <c r="B786" s="91">
        <v>15.25</v>
      </c>
      <c r="D786" t="s">
        <v>730</v>
      </c>
      <c r="E786" s="91">
        <v>36</v>
      </c>
      <c r="I786" s="92">
        <f t="shared" si="12"/>
        <v>36</v>
      </c>
    </row>
    <row r="787" spans="1:9" x14ac:dyDescent="0.2">
      <c r="A787" t="s">
        <v>404</v>
      </c>
      <c r="B787" s="91">
        <v>7.5</v>
      </c>
      <c r="D787" t="s">
        <v>579</v>
      </c>
      <c r="E787" s="91">
        <v>35.85</v>
      </c>
      <c r="I787" s="92">
        <f t="shared" si="12"/>
        <v>35.85</v>
      </c>
    </row>
    <row r="788" spans="1:9" x14ac:dyDescent="0.2">
      <c r="A788" t="s">
        <v>404</v>
      </c>
      <c r="B788" s="91">
        <v>7.5</v>
      </c>
      <c r="D788" t="s">
        <v>598</v>
      </c>
      <c r="E788" s="91">
        <v>35.6</v>
      </c>
      <c r="I788" s="92">
        <f t="shared" si="12"/>
        <v>35.6</v>
      </c>
    </row>
    <row r="789" spans="1:9" x14ac:dyDescent="0.2">
      <c r="A789" t="s">
        <v>404</v>
      </c>
      <c r="B789" s="91">
        <v>10</v>
      </c>
      <c r="D789" t="s">
        <v>986</v>
      </c>
      <c r="E789" s="91">
        <v>35.5</v>
      </c>
      <c r="I789" s="92">
        <f t="shared" si="12"/>
        <v>35.5</v>
      </c>
    </row>
    <row r="790" spans="1:9" x14ac:dyDescent="0.2">
      <c r="A790" t="s">
        <v>404</v>
      </c>
      <c r="B790" s="91">
        <v>11.5</v>
      </c>
      <c r="D790" t="s">
        <v>1085</v>
      </c>
      <c r="E790" s="91">
        <v>35.5</v>
      </c>
      <c r="I790" s="92">
        <f t="shared" si="12"/>
        <v>35.5</v>
      </c>
    </row>
    <row r="791" spans="1:9" x14ac:dyDescent="0.2">
      <c r="A791" t="s">
        <v>404</v>
      </c>
      <c r="B791" s="91">
        <v>30</v>
      </c>
      <c r="D791" t="s">
        <v>569</v>
      </c>
      <c r="E791" s="91">
        <v>34.450000000000003</v>
      </c>
      <c r="I791" s="92">
        <f t="shared" si="12"/>
        <v>34.450000000000003</v>
      </c>
    </row>
    <row r="792" spans="1:9" x14ac:dyDescent="0.2">
      <c r="A792" t="s">
        <v>404</v>
      </c>
      <c r="B792" s="91">
        <v>11.5</v>
      </c>
      <c r="D792" t="s">
        <v>620</v>
      </c>
      <c r="E792" s="91">
        <v>34.42</v>
      </c>
      <c r="I792" s="92">
        <f t="shared" si="12"/>
        <v>34.42</v>
      </c>
    </row>
    <row r="793" spans="1:9" x14ac:dyDescent="0.2">
      <c r="A793" t="s">
        <v>405</v>
      </c>
      <c r="B793" s="91">
        <v>356</v>
      </c>
      <c r="D793" t="s">
        <v>399</v>
      </c>
      <c r="E793" s="91">
        <v>33.75</v>
      </c>
      <c r="I793" s="92">
        <f t="shared" si="12"/>
        <v>33.75</v>
      </c>
    </row>
    <row r="794" spans="1:9" x14ac:dyDescent="0.2">
      <c r="A794" t="s">
        <v>406</v>
      </c>
      <c r="B794" s="91">
        <v>14.5</v>
      </c>
      <c r="D794" t="s">
        <v>550</v>
      </c>
      <c r="E794" s="91">
        <v>33.75</v>
      </c>
      <c r="I794" s="92">
        <f t="shared" si="12"/>
        <v>33.75</v>
      </c>
    </row>
    <row r="795" spans="1:9" x14ac:dyDescent="0.2">
      <c r="A795" t="s">
        <v>407</v>
      </c>
      <c r="B795" s="91">
        <v>27.25</v>
      </c>
      <c r="D795" t="s">
        <v>1142</v>
      </c>
      <c r="E795" s="91">
        <v>33.75</v>
      </c>
      <c r="I795" s="92">
        <f t="shared" si="12"/>
        <v>33.75</v>
      </c>
    </row>
    <row r="796" spans="1:9" x14ac:dyDescent="0.2">
      <c r="A796" t="s">
        <v>408</v>
      </c>
      <c r="B796" s="91">
        <v>10</v>
      </c>
      <c r="D796" t="s">
        <v>1208</v>
      </c>
      <c r="E796" s="91">
        <v>33.75</v>
      </c>
      <c r="I796" s="92">
        <f t="shared" si="12"/>
        <v>33.75</v>
      </c>
    </row>
    <row r="797" spans="1:9" x14ac:dyDescent="0.2">
      <c r="A797" t="s">
        <v>409</v>
      </c>
      <c r="B797" s="91">
        <v>67.5</v>
      </c>
      <c r="D797" t="s">
        <v>290</v>
      </c>
      <c r="E797" s="91">
        <v>33.5</v>
      </c>
      <c r="I797" s="92">
        <f t="shared" si="12"/>
        <v>33.5</v>
      </c>
    </row>
    <row r="798" spans="1:9" x14ac:dyDescent="0.2">
      <c r="A798" t="s">
        <v>410</v>
      </c>
      <c r="B798" s="91">
        <v>18</v>
      </c>
      <c r="D798" t="s">
        <v>1128</v>
      </c>
      <c r="E798" s="91">
        <v>33.5</v>
      </c>
      <c r="I798" s="92">
        <f t="shared" si="12"/>
        <v>33.5</v>
      </c>
    </row>
    <row r="799" spans="1:9" x14ac:dyDescent="0.2">
      <c r="A799" t="s">
        <v>410</v>
      </c>
      <c r="B799" s="91">
        <v>73.25</v>
      </c>
      <c r="D799" t="s">
        <v>1161</v>
      </c>
      <c r="E799" s="91">
        <v>33.5</v>
      </c>
      <c r="I799" s="92">
        <f t="shared" si="12"/>
        <v>33.5</v>
      </c>
    </row>
    <row r="800" spans="1:9" x14ac:dyDescent="0.2">
      <c r="A800" t="s">
        <v>410</v>
      </c>
      <c r="B800" s="91">
        <v>10.5</v>
      </c>
      <c r="D800" t="s">
        <v>284</v>
      </c>
      <c r="E800" s="91">
        <v>33.25</v>
      </c>
      <c r="I800" s="92">
        <f t="shared" si="12"/>
        <v>33.25</v>
      </c>
    </row>
    <row r="801" spans="1:9" x14ac:dyDescent="0.2">
      <c r="A801" t="s">
        <v>410</v>
      </c>
      <c r="B801" s="91">
        <v>10.52</v>
      </c>
      <c r="D801" t="s">
        <v>226</v>
      </c>
      <c r="E801" s="91">
        <v>33.07</v>
      </c>
      <c r="I801" s="92">
        <f t="shared" si="12"/>
        <v>33.07</v>
      </c>
    </row>
    <row r="802" spans="1:9" x14ac:dyDescent="0.2">
      <c r="A802" t="s">
        <v>411</v>
      </c>
      <c r="B802" s="91">
        <v>58.269999999999996</v>
      </c>
      <c r="D802" t="s">
        <v>296</v>
      </c>
      <c r="E802" s="91">
        <v>33</v>
      </c>
      <c r="I802" s="92">
        <f t="shared" si="12"/>
        <v>33</v>
      </c>
    </row>
    <row r="803" spans="1:9" x14ac:dyDescent="0.2">
      <c r="A803" t="s">
        <v>412</v>
      </c>
      <c r="B803" s="91">
        <v>12.6</v>
      </c>
      <c r="D803" t="s">
        <v>1011</v>
      </c>
      <c r="E803" s="91">
        <v>33</v>
      </c>
      <c r="I803" s="92">
        <f t="shared" si="12"/>
        <v>33</v>
      </c>
    </row>
    <row r="804" spans="1:9" x14ac:dyDescent="0.2">
      <c r="A804" t="s">
        <v>413</v>
      </c>
      <c r="B804" s="91">
        <v>7.5</v>
      </c>
      <c r="D804" t="s">
        <v>555</v>
      </c>
      <c r="E804" s="91">
        <v>32.85</v>
      </c>
      <c r="I804" s="92">
        <f t="shared" si="12"/>
        <v>32.85</v>
      </c>
    </row>
    <row r="805" spans="1:9" x14ac:dyDescent="0.2">
      <c r="A805" t="s">
        <v>413</v>
      </c>
      <c r="B805" s="91">
        <v>5.5</v>
      </c>
      <c r="D805" t="s">
        <v>107</v>
      </c>
      <c r="E805" s="91">
        <v>32.75</v>
      </c>
      <c r="I805" s="92">
        <f t="shared" si="12"/>
        <v>32.75</v>
      </c>
    </row>
    <row r="806" spans="1:9" x14ac:dyDescent="0.2">
      <c r="A806" t="s">
        <v>414</v>
      </c>
      <c r="B806" s="91">
        <v>28.35</v>
      </c>
      <c r="D806" t="s">
        <v>264</v>
      </c>
      <c r="E806" s="91">
        <v>32.619999999999997</v>
      </c>
      <c r="I806" s="92">
        <f t="shared" si="12"/>
        <v>32.619999999999997</v>
      </c>
    </row>
    <row r="807" spans="1:9" x14ac:dyDescent="0.2">
      <c r="A807" t="s">
        <v>415</v>
      </c>
      <c r="B807" s="91">
        <v>37.5</v>
      </c>
      <c r="D807" t="s">
        <v>971</v>
      </c>
      <c r="E807" s="91">
        <v>32.5</v>
      </c>
      <c r="I807" s="92">
        <f t="shared" si="12"/>
        <v>32.5</v>
      </c>
    </row>
    <row r="808" spans="1:9" x14ac:dyDescent="0.2">
      <c r="A808" t="s">
        <v>415</v>
      </c>
      <c r="B808" s="91">
        <v>14.5</v>
      </c>
      <c r="D808" t="s">
        <v>964</v>
      </c>
      <c r="E808" s="91">
        <v>32.25</v>
      </c>
      <c r="I808" s="92">
        <f t="shared" si="12"/>
        <v>32.25</v>
      </c>
    </row>
    <row r="809" spans="1:9" x14ac:dyDescent="0.2">
      <c r="A809" t="s">
        <v>416</v>
      </c>
      <c r="B809" s="91">
        <v>594</v>
      </c>
      <c r="D809" t="s">
        <v>223</v>
      </c>
      <c r="E809" s="91">
        <v>32</v>
      </c>
      <c r="I809" s="92">
        <f t="shared" si="12"/>
        <v>32</v>
      </c>
    </row>
    <row r="810" spans="1:9" x14ac:dyDescent="0.2">
      <c r="A810" t="s">
        <v>416</v>
      </c>
      <c r="B810" s="91">
        <v>108</v>
      </c>
      <c r="D810" t="s">
        <v>783</v>
      </c>
      <c r="E810" s="91">
        <v>32</v>
      </c>
      <c r="I810" s="92">
        <f t="shared" si="12"/>
        <v>32</v>
      </c>
    </row>
    <row r="811" spans="1:9" x14ac:dyDescent="0.2">
      <c r="A811" t="s">
        <v>417</v>
      </c>
      <c r="B811" s="91">
        <v>309</v>
      </c>
      <c r="D811" t="s">
        <v>1033</v>
      </c>
      <c r="E811" s="91">
        <v>32</v>
      </c>
      <c r="I811" s="92">
        <f t="shared" si="12"/>
        <v>32</v>
      </c>
    </row>
    <row r="812" spans="1:9" x14ac:dyDescent="0.2">
      <c r="A812" t="s">
        <v>417</v>
      </c>
      <c r="B812" s="91">
        <v>34.65</v>
      </c>
      <c r="D812" t="s">
        <v>1155</v>
      </c>
      <c r="E812" s="91">
        <v>31.75</v>
      </c>
      <c r="I812" s="92">
        <f t="shared" si="12"/>
        <v>31.75</v>
      </c>
    </row>
    <row r="813" spans="1:9" x14ac:dyDescent="0.2">
      <c r="A813" t="s">
        <v>418</v>
      </c>
      <c r="B813" s="91">
        <v>44</v>
      </c>
      <c r="D813" t="s">
        <v>380</v>
      </c>
      <c r="E813" s="91">
        <v>31.72</v>
      </c>
      <c r="I813" s="92">
        <f t="shared" si="12"/>
        <v>31.72</v>
      </c>
    </row>
    <row r="814" spans="1:9" x14ac:dyDescent="0.2">
      <c r="A814" t="s">
        <v>418</v>
      </c>
      <c r="B814" s="91">
        <v>23.25</v>
      </c>
      <c r="D814" t="s">
        <v>304</v>
      </c>
      <c r="E814" s="91">
        <v>31.5</v>
      </c>
      <c r="I814" s="92">
        <f t="shared" si="12"/>
        <v>31.5</v>
      </c>
    </row>
    <row r="815" spans="1:9" x14ac:dyDescent="0.2">
      <c r="A815" t="s">
        <v>418</v>
      </c>
      <c r="B815" s="91">
        <v>30</v>
      </c>
      <c r="D815" t="s">
        <v>306</v>
      </c>
      <c r="E815" s="91">
        <v>31.5</v>
      </c>
      <c r="I815" s="92">
        <f t="shared" si="12"/>
        <v>31.5</v>
      </c>
    </row>
    <row r="816" spans="1:9" x14ac:dyDescent="0.2">
      <c r="A816" t="s">
        <v>418</v>
      </c>
      <c r="B816" s="91">
        <v>36.25</v>
      </c>
      <c r="D816" t="s">
        <v>868</v>
      </c>
      <c r="E816" s="91">
        <v>31.5</v>
      </c>
      <c r="I816" s="92">
        <f t="shared" si="12"/>
        <v>31.5</v>
      </c>
    </row>
    <row r="817" spans="1:9" x14ac:dyDescent="0.2">
      <c r="A817" t="s">
        <v>418</v>
      </c>
      <c r="B817" s="91">
        <v>18.5</v>
      </c>
      <c r="D817" t="s">
        <v>962</v>
      </c>
      <c r="E817" s="91">
        <v>31.5</v>
      </c>
      <c r="I817" s="92">
        <f t="shared" si="12"/>
        <v>31.5</v>
      </c>
    </row>
    <row r="818" spans="1:9" x14ac:dyDescent="0.2">
      <c r="A818" t="s">
        <v>418</v>
      </c>
      <c r="B818" s="91">
        <v>21.25</v>
      </c>
      <c r="D818" t="s">
        <v>977</v>
      </c>
      <c r="E818" s="91">
        <v>31.5</v>
      </c>
      <c r="I818" s="92">
        <f t="shared" si="12"/>
        <v>31.5</v>
      </c>
    </row>
    <row r="819" spans="1:9" x14ac:dyDescent="0.2">
      <c r="A819" t="s">
        <v>419</v>
      </c>
      <c r="B819" s="91">
        <v>20</v>
      </c>
      <c r="D819" t="s">
        <v>1018</v>
      </c>
      <c r="E819" s="91">
        <v>31.25</v>
      </c>
      <c r="I819" s="92">
        <f t="shared" si="12"/>
        <v>31.25</v>
      </c>
    </row>
    <row r="820" spans="1:9" x14ac:dyDescent="0.2">
      <c r="A820" t="s">
        <v>420</v>
      </c>
      <c r="B820" s="91">
        <v>7.5</v>
      </c>
      <c r="D820" t="s">
        <v>652</v>
      </c>
      <c r="E820" s="91">
        <v>31</v>
      </c>
      <c r="I820" s="92">
        <f t="shared" si="12"/>
        <v>31</v>
      </c>
    </row>
    <row r="821" spans="1:9" x14ac:dyDescent="0.2">
      <c r="A821" t="s">
        <v>421</v>
      </c>
      <c r="B821" s="91">
        <v>36.5</v>
      </c>
      <c r="D821" t="s">
        <v>1193</v>
      </c>
      <c r="E821" s="91">
        <v>31</v>
      </c>
      <c r="I821" s="92">
        <f t="shared" si="12"/>
        <v>31</v>
      </c>
    </row>
    <row r="822" spans="1:9" x14ac:dyDescent="0.2">
      <c r="A822" t="s">
        <v>421</v>
      </c>
      <c r="B822" s="91">
        <v>11</v>
      </c>
      <c r="D822" t="s">
        <v>441</v>
      </c>
      <c r="E822" s="91">
        <v>30.85</v>
      </c>
      <c r="I822" s="92">
        <f t="shared" si="12"/>
        <v>30.85</v>
      </c>
    </row>
    <row r="823" spans="1:9" x14ac:dyDescent="0.2">
      <c r="A823" t="s">
        <v>421</v>
      </c>
      <c r="B823" s="91">
        <v>15.05</v>
      </c>
      <c r="D823" t="s">
        <v>72</v>
      </c>
      <c r="E823" s="91">
        <v>30.82</v>
      </c>
      <c r="I823" s="92">
        <f t="shared" si="12"/>
        <v>30.82</v>
      </c>
    </row>
    <row r="824" spans="1:9" x14ac:dyDescent="0.2">
      <c r="A824" t="s">
        <v>422</v>
      </c>
      <c r="B824" s="91">
        <v>43.75</v>
      </c>
      <c r="D824" t="s">
        <v>262</v>
      </c>
      <c r="E824" s="91">
        <v>30.75</v>
      </c>
      <c r="I824" s="92">
        <f t="shared" si="12"/>
        <v>30.75</v>
      </c>
    </row>
    <row r="825" spans="1:9" x14ac:dyDescent="0.2">
      <c r="A825" t="s">
        <v>422</v>
      </c>
      <c r="B825" s="91">
        <v>13.75</v>
      </c>
      <c r="D825" t="s">
        <v>295</v>
      </c>
      <c r="E825" s="91">
        <v>30.5</v>
      </c>
      <c r="I825" s="92">
        <f t="shared" si="12"/>
        <v>30.5</v>
      </c>
    </row>
    <row r="826" spans="1:9" x14ac:dyDescent="0.2">
      <c r="A826" t="s">
        <v>422</v>
      </c>
      <c r="B826" s="91">
        <v>22</v>
      </c>
      <c r="D826" t="s">
        <v>801</v>
      </c>
      <c r="E826" s="91">
        <v>30.5</v>
      </c>
      <c r="I826" s="92">
        <f t="shared" si="12"/>
        <v>30.5</v>
      </c>
    </row>
    <row r="827" spans="1:9" x14ac:dyDescent="0.2">
      <c r="A827" t="s">
        <v>422</v>
      </c>
      <c r="B827" s="91">
        <v>12</v>
      </c>
      <c r="D827" t="s">
        <v>805</v>
      </c>
      <c r="E827" s="91">
        <v>30.5</v>
      </c>
      <c r="I827" s="92">
        <f t="shared" si="12"/>
        <v>30.5</v>
      </c>
    </row>
    <row r="828" spans="1:9" x14ac:dyDescent="0.2">
      <c r="A828" t="s">
        <v>423</v>
      </c>
      <c r="B828" s="91">
        <v>7</v>
      </c>
      <c r="D828" t="s">
        <v>969</v>
      </c>
      <c r="E828" s="91">
        <v>30.5</v>
      </c>
      <c r="I828" s="92">
        <f t="shared" si="12"/>
        <v>30.5</v>
      </c>
    </row>
    <row r="829" spans="1:9" x14ac:dyDescent="0.2">
      <c r="A829" t="s">
        <v>424</v>
      </c>
      <c r="B829" s="91">
        <v>7.5</v>
      </c>
      <c r="D829" t="s">
        <v>1226</v>
      </c>
      <c r="E829" s="91">
        <v>30.5</v>
      </c>
      <c r="I829" s="92">
        <f t="shared" si="12"/>
        <v>30.5</v>
      </c>
    </row>
    <row r="830" spans="1:9" x14ac:dyDescent="0.2">
      <c r="A830" t="s">
        <v>425</v>
      </c>
      <c r="B830" s="91">
        <v>73.25</v>
      </c>
      <c r="D830" t="s">
        <v>363</v>
      </c>
      <c r="E830" s="91">
        <v>30</v>
      </c>
      <c r="I830" s="92">
        <f t="shared" si="12"/>
        <v>30</v>
      </c>
    </row>
    <row r="831" spans="1:9" x14ac:dyDescent="0.2">
      <c r="A831" t="s">
        <v>426</v>
      </c>
      <c r="B831" s="91">
        <v>5</v>
      </c>
      <c r="D831" t="s">
        <v>799</v>
      </c>
      <c r="E831" s="91">
        <v>30</v>
      </c>
      <c r="I831" s="92">
        <f t="shared" si="12"/>
        <v>30</v>
      </c>
    </row>
    <row r="832" spans="1:9" x14ac:dyDescent="0.2">
      <c r="A832" t="s">
        <v>427</v>
      </c>
      <c r="B832" s="91">
        <v>26.5</v>
      </c>
      <c r="D832" t="s">
        <v>877</v>
      </c>
      <c r="E832" s="91">
        <v>30</v>
      </c>
      <c r="I832" s="92">
        <f t="shared" si="12"/>
        <v>30</v>
      </c>
    </row>
    <row r="833" spans="1:9" x14ac:dyDescent="0.2">
      <c r="A833" t="s">
        <v>427</v>
      </c>
      <c r="B833" s="91">
        <v>35.5</v>
      </c>
      <c r="D833" t="s">
        <v>891</v>
      </c>
      <c r="E833" s="91">
        <v>30</v>
      </c>
      <c r="I833" s="92">
        <f t="shared" si="12"/>
        <v>30</v>
      </c>
    </row>
    <row r="834" spans="1:9" x14ac:dyDescent="0.2">
      <c r="A834" t="s">
        <v>428</v>
      </c>
      <c r="B834" s="91">
        <v>7.5</v>
      </c>
      <c r="D834" t="s">
        <v>906</v>
      </c>
      <c r="E834" s="91">
        <v>30</v>
      </c>
      <c r="I834" s="92">
        <f t="shared" si="12"/>
        <v>30</v>
      </c>
    </row>
    <row r="835" spans="1:9" x14ac:dyDescent="0.2">
      <c r="A835" t="s">
        <v>428</v>
      </c>
      <c r="B835" s="91">
        <v>18</v>
      </c>
      <c r="D835" t="s">
        <v>1172</v>
      </c>
      <c r="E835" s="91">
        <v>30</v>
      </c>
      <c r="I835" s="92">
        <f t="shared" ref="I835:I898" si="13">E835-G835</f>
        <v>30</v>
      </c>
    </row>
    <row r="836" spans="1:9" x14ac:dyDescent="0.2">
      <c r="A836" t="s">
        <v>429</v>
      </c>
      <c r="B836" s="91">
        <v>110.55</v>
      </c>
      <c r="D836" t="s">
        <v>74</v>
      </c>
      <c r="E836" s="91">
        <v>29.92</v>
      </c>
      <c r="I836" s="92">
        <f t="shared" si="13"/>
        <v>29.92</v>
      </c>
    </row>
    <row r="837" spans="1:9" x14ac:dyDescent="0.2">
      <c r="A837" t="s">
        <v>430</v>
      </c>
      <c r="B837" s="91">
        <v>1200</v>
      </c>
      <c r="D837" t="s">
        <v>640</v>
      </c>
      <c r="E837" s="91">
        <v>29.7</v>
      </c>
      <c r="I837" s="92">
        <f t="shared" si="13"/>
        <v>29.7</v>
      </c>
    </row>
    <row r="838" spans="1:9" x14ac:dyDescent="0.2">
      <c r="A838" t="s">
        <v>430</v>
      </c>
      <c r="B838" s="91">
        <v>214</v>
      </c>
      <c r="D838" t="s">
        <v>188</v>
      </c>
      <c r="E838" s="91">
        <v>29.5</v>
      </c>
      <c r="I838" s="92">
        <f t="shared" si="13"/>
        <v>29.5</v>
      </c>
    </row>
    <row r="839" spans="1:9" x14ac:dyDescent="0.2">
      <c r="A839" t="s">
        <v>431</v>
      </c>
      <c r="B839" s="91">
        <v>69.8</v>
      </c>
      <c r="D839" t="s">
        <v>263</v>
      </c>
      <c r="E839" s="91">
        <v>29.5</v>
      </c>
      <c r="I839" s="92">
        <f t="shared" si="13"/>
        <v>29.5</v>
      </c>
    </row>
    <row r="840" spans="1:9" x14ac:dyDescent="0.2">
      <c r="A840" t="s">
        <v>432</v>
      </c>
      <c r="B840" s="91">
        <v>21.6</v>
      </c>
      <c r="D840" t="s">
        <v>1126</v>
      </c>
      <c r="E840" s="91">
        <v>29.5</v>
      </c>
      <c r="I840" s="92">
        <f t="shared" si="13"/>
        <v>29.5</v>
      </c>
    </row>
    <row r="841" spans="1:9" x14ac:dyDescent="0.2">
      <c r="A841" t="s">
        <v>433</v>
      </c>
      <c r="B841" s="91">
        <v>36.5</v>
      </c>
      <c r="D841" t="s">
        <v>1217</v>
      </c>
      <c r="E841" s="91">
        <v>29.5</v>
      </c>
      <c r="I841" s="92">
        <f t="shared" si="13"/>
        <v>29.5</v>
      </c>
    </row>
    <row r="842" spans="1:9" x14ac:dyDescent="0.2">
      <c r="A842" t="s">
        <v>433</v>
      </c>
      <c r="B842" s="91">
        <v>9.65</v>
      </c>
      <c r="D842" t="s">
        <v>1240</v>
      </c>
      <c r="E842" s="91">
        <v>29.5</v>
      </c>
      <c r="I842" s="92">
        <f t="shared" si="13"/>
        <v>29.5</v>
      </c>
    </row>
    <row r="843" spans="1:9" x14ac:dyDescent="0.2">
      <c r="A843" t="s">
        <v>434</v>
      </c>
      <c r="B843" s="91">
        <v>852</v>
      </c>
      <c r="D843" t="s">
        <v>768</v>
      </c>
      <c r="E843" s="91">
        <v>29</v>
      </c>
      <c r="I843" s="92">
        <f t="shared" si="13"/>
        <v>29</v>
      </c>
    </row>
    <row r="844" spans="1:9" x14ac:dyDescent="0.2">
      <c r="A844" t="s">
        <v>434</v>
      </c>
      <c r="B844" s="91">
        <v>864</v>
      </c>
      <c r="D844" t="s">
        <v>693</v>
      </c>
      <c r="E844" s="91">
        <v>28.75</v>
      </c>
      <c r="I844" s="92">
        <f t="shared" si="13"/>
        <v>28.75</v>
      </c>
    </row>
    <row r="845" spans="1:9" x14ac:dyDescent="0.2">
      <c r="A845" t="s">
        <v>434</v>
      </c>
      <c r="B845" s="91">
        <v>-18</v>
      </c>
      <c r="D845" t="s">
        <v>702</v>
      </c>
      <c r="E845" s="91">
        <v>28.5</v>
      </c>
      <c r="I845" s="92">
        <f t="shared" si="13"/>
        <v>28.5</v>
      </c>
    </row>
    <row r="846" spans="1:9" x14ac:dyDescent="0.2">
      <c r="A846" t="s">
        <v>435</v>
      </c>
      <c r="B846" s="91">
        <v>442.5</v>
      </c>
      <c r="D846" t="s">
        <v>1215</v>
      </c>
      <c r="E846" s="91">
        <v>28.5</v>
      </c>
      <c r="I846" s="92">
        <f t="shared" si="13"/>
        <v>28.5</v>
      </c>
    </row>
    <row r="847" spans="1:9" x14ac:dyDescent="0.2">
      <c r="A847" t="s">
        <v>436</v>
      </c>
      <c r="B847" s="91">
        <v>47.5</v>
      </c>
      <c r="D847" t="s">
        <v>597</v>
      </c>
      <c r="E847" s="91">
        <v>28.4</v>
      </c>
      <c r="I847" s="92">
        <f t="shared" si="13"/>
        <v>28.4</v>
      </c>
    </row>
    <row r="848" spans="1:9" x14ac:dyDescent="0.2">
      <c r="A848" t="s">
        <v>436</v>
      </c>
      <c r="B848" s="91">
        <v>12.15</v>
      </c>
      <c r="D848" t="s">
        <v>158</v>
      </c>
      <c r="E848" s="91">
        <v>28.35</v>
      </c>
      <c r="I848" s="92">
        <f t="shared" si="13"/>
        <v>28.35</v>
      </c>
    </row>
    <row r="849" spans="1:9" x14ac:dyDescent="0.2">
      <c r="A849" t="s">
        <v>437</v>
      </c>
      <c r="B849" s="91">
        <v>7.75</v>
      </c>
      <c r="D849" t="s">
        <v>414</v>
      </c>
      <c r="E849" s="91">
        <v>28.35</v>
      </c>
      <c r="I849" s="92">
        <f t="shared" si="13"/>
        <v>28.35</v>
      </c>
    </row>
    <row r="850" spans="1:9" x14ac:dyDescent="0.2">
      <c r="A850" t="s">
        <v>437</v>
      </c>
      <c r="B850" s="91">
        <v>12.5</v>
      </c>
      <c r="D850" t="s">
        <v>491</v>
      </c>
      <c r="E850" s="91">
        <v>28</v>
      </c>
      <c r="I850" s="92">
        <f t="shared" si="13"/>
        <v>28</v>
      </c>
    </row>
    <row r="851" spans="1:9" x14ac:dyDescent="0.2">
      <c r="A851" t="s">
        <v>438</v>
      </c>
      <c r="B851" s="91">
        <v>350</v>
      </c>
      <c r="D851" t="s">
        <v>638</v>
      </c>
      <c r="E851" s="91">
        <v>28</v>
      </c>
      <c r="I851" s="92">
        <f t="shared" si="13"/>
        <v>28</v>
      </c>
    </row>
    <row r="852" spans="1:9" x14ac:dyDescent="0.2">
      <c r="A852" t="s">
        <v>439</v>
      </c>
      <c r="B852" s="91">
        <v>120</v>
      </c>
      <c r="D852" t="s">
        <v>798</v>
      </c>
      <c r="E852" s="91">
        <v>28</v>
      </c>
      <c r="I852" s="92">
        <f t="shared" si="13"/>
        <v>28</v>
      </c>
    </row>
    <row r="853" spans="1:9" x14ac:dyDescent="0.2">
      <c r="A853" t="s">
        <v>439</v>
      </c>
      <c r="B853" s="91">
        <v>58</v>
      </c>
      <c r="D853" t="s">
        <v>1035</v>
      </c>
      <c r="E853" s="91">
        <v>28</v>
      </c>
      <c r="I853" s="92">
        <f t="shared" si="13"/>
        <v>28</v>
      </c>
    </row>
    <row r="854" spans="1:9" x14ac:dyDescent="0.2">
      <c r="A854" t="s">
        <v>440</v>
      </c>
      <c r="B854" s="91">
        <v>243</v>
      </c>
      <c r="D854" t="s">
        <v>1065</v>
      </c>
      <c r="E854" s="91">
        <v>28</v>
      </c>
      <c r="I854" s="92">
        <f t="shared" si="13"/>
        <v>28</v>
      </c>
    </row>
    <row r="855" spans="1:9" x14ac:dyDescent="0.2">
      <c r="A855" t="s">
        <v>441</v>
      </c>
      <c r="B855" s="91">
        <v>8.85</v>
      </c>
      <c r="D855" t="s">
        <v>1150</v>
      </c>
      <c r="E855" s="91">
        <v>28</v>
      </c>
      <c r="I855" s="92">
        <f t="shared" si="13"/>
        <v>28</v>
      </c>
    </row>
    <row r="856" spans="1:9" x14ac:dyDescent="0.2">
      <c r="A856" t="s">
        <v>441</v>
      </c>
      <c r="B856" s="91">
        <v>22</v>
      </c>
      <c r="D856" t="s">
        <v>1165</v>
      </c>
      <c r="E856" s="91">
        <v>28</v>
      </c>
      <c r="I856" s="92">
        <f t="shared" si="13"/>
        <v>28</v>
      </c>
    </row>
    <row r="857" spans="1:9" x14ac:dyDescent="0.2">
      <c r="A857" t="s">
        <v>442</v>
      </c>
      <c r="B857" s="91">
        <v>190</v>
      </c>
      <c r="D857" t="s">
        <v>802</v>
      </c>
      <c r="E857" s="91">
        <v>27.75</v>
      </c>
      <c r="I857" s="92">
        <f t="shared" si="13"/>
        <v>27.75</v>
      </c>
    </row>
    <row r="858" spans="1:9" x14ac:dyDescent="0.2">
      <c r="A858" t="s">
        <v>442</v>
      </c>
      <c r="B858" s="91">
        <v>206.5</v>
      </c>
      <c r="D858" t="s">
        <v>407</v>
      </c>
      <c r="E858" s="91">
        <v>27.25</v>
      </c>
      <c r="I858" s="92">
        <f t="shared" si="13"/>
        <v>27.25</v>
      </c>
    </row>
    <row r="859" spans="1:9" x14ac:dyDescent="0.2">
      <c r="A859" t="s">
        <v>442</v>
      </c>
      <c r="B859" s="91">
        <v>118</v>
      </c>
      <c r="D859" t="s">
        <v>890</v>
      </c>
      <c r="E859" s="91">
        <v>27.25</v>
      </c>
      <c r="I859" s="92">
        <f t="shared" si="13"/>
        <v>27.25</v>
      </c>
    </row>
    <row r="860" spans="1:9" x14ac:dyDescent="0.2">
      <c r="A860" t="s">
        <v>442</v>
      </c>
      <c r="B860" s="91">
        <v>44</v>
      </c>
      <c r="D860" t="s">
        <v>1194</v>
      </c>
      <c r="E860" s="91">
        <v>27.25</v>
      </c>
      <c r="I860" s="92">
        <f t="shared" si="13"/>
        <v>27.25</v>
      </c>
    </row>
    <row r="861" spans="1:9" x14ac:dyDescent="0.2">
      <c r="A861" t="s">
        <v>442</v>
      </c>
      <c r="B861" s="91">
        <v>360</v>
      </c>
      <c r="D861" t="s">
        <v>288</v>
      </c>
      <c r="E861" s="91">
        <v>27</v>
      </c>
      <c r="I861" s="92">
        <f t="shared" si="13"/>
        <v>27</v>
      </c>
    </row>
    <row r="862" spans="1:9" x14ac:dyDescent="0.2">
      <c r="A862" t="s">
        <v>442</v>
      </c>
      <c r="B862" s="91">
        <v>380</v>
      </c>
      <c r="D862" t="s">
        <v>1241</v>
      </c>
      <c r="E862" s="91">
        <v>27</v>
      </c>
      <c r="I862" s="92">
        <f t="shared" si="13"/>
        <v>27</v>
      </c>
    </row>
    <row r="863" spans="1:9" x14ac:dyDescent="0.2">
      <c r="A863" t="s">
        <v>443</v>
      </c>
      <c r="B863" s="91">
        <v>23</v>
      </c>
      <c r="D863" t="s">
        <v>771</v>
      </c>
      <c r="E863" s="91">
        <v>26.71</v>
      </c>
      <c r="I863" s="92">
        <f t="shared" si="13"/>
        <v>26.71</v>
      </c>
    </row>
    <row r="864" spans="1:9" x14ac:dyDescent="0.2">
      <c r="A864" t="s">
        <v>443</v>
      </c>
      <c r="B864" s="91">
        <v>65.2</v>
      </c>
      <c r="D864" t="s">
        <v>143</v>
      </c>
      <c r="E864" s="91">
        <v>26.55</v>
      </c>
      <c r="I864" s="92">
        <f t="shared" si="13"/>
        <v>26.55</v>
      </c>
    </row>
    <row r="865" spans="1:9" x14ac:dyDescent="0.2">
      <c r="A865" t="s">
        <v>444</v>
      </c>
      <c r="B865" s="91">
        <v>262</v>
      </c>
      <c r="D865" t="s">
        <v>1025</v>
      </c>
      <c r="E865" s="91">
        <v>26.5</v>
      </c>
      <c r="I865" s="92">
        <f t="shared" si="13"/>
        <v>26.5</v>
      </c>
    </row>
    <row r="866" spans="1:9" x14ac:dyDescent="0.2">
      <c r="A866" t="s">
        <v>445</v>
      </c>
      <c r="B866" s="91">
        <v>2592</v>
      </c>
      <c r="D866" t="s">
        <v>1066</v>
      </c>
      <c r="E866" s="91">
        <v>26.5</v>
      </c>
      <c r="I866" s="92">
        <f t="shared" si="13"/>
        <v>26.5</v>
      </c>
    </row>
    <row r="867" spans="1:9" x14ac:dyDescent="0.2">
      <c r="A867" t="s">
        <v>445</v>
      </c>
      <c r="B867" s="91">
        <v>1110</v>
      </c>
      <c r="D867" t="s">
        <v>1192</v>
      </c>
      <c r="E867" s="91">
        <v>26.5</v>
      </c>
      <c r="I867" s="92">
        <f t="shared" si="13"/>
        <v>26.5</v>
      </c>
    </row>
    <row r="868" spans="1:9" x14ac:dyDescent="0.2">
      <c r="A868" t="s">
        <v>445</v>
      </c>
      <c r="B868" s="91">
        <v>98</v>
      </c>
      <c r="D868" t="s">
        <v>195</v>
      </c>
      <c r="E868" s="91">
        <v>26.25</v>
      </c>
      <c r="I868" s="92">
        <f t="shared" si="13"/>
        <v>26.25</v>
      </c>
    </row>
    <row r="869" spans="1:9" x14ac:dyDescent="0.2">
      <c r="A869" t="s">
        <v>446</v>
      </c>
      <c r="B869" s="91">
        <v>36</v>
      </c>
      <c r="D869" t="s">
        <v>873</v>
      </c>
      <c r="E869" s="91">
        <v>26.25</v>
      </c>
      <c r="I869" s="92">
        <f t="shared" si="13"/>
        <v>26.25</v>
      </c>
    </row>
    <row r="870" spans="1:9" x14ac:dyDescent="0.2">
      <c r="A870" t="s">
        <v>447</v>
      </c>
      <c r="B870" s="91">
        <v>24.55</v>
      </c>
      <c r="D870" t="s">
        <v>1038</v>
      </c>
      <c r="E870" s="91">
        <v>26.25</v>
      </c>
      <c r="I870" s="92">
        <f t="shared" si="13"/>
        <v>26.25</v>
      </c>
    </row>
    <row r="871" spans="1:9" x14ac:dyDescent="0.2">
      <c r="A871" t="s">
        <v>448</v>
      </c>
      <c r="B871" s="91">
        <v>18</v>
      </c>
      <c r="D871" t="s">
        <v>1121</v>
      </c>
      <c r="E871" s="91">
        <v>26.25</v>
      </c>
      <c r="I871" s="92">
        <f t="shared" si="13"/>
        <v>26.25</v>
      </c>
    </row>
    <row r="872" spans="1:9" x14ac:dyDescent="0.2">
      <c r="A872" t="s">
        <v>449</v>
      </c>
      <c r="B872" s="91">
        <v>18</v>
      </c>
      <c r="D872" t="s">
        <v>1130</v>
      </c>
      <c r="E872" s="91">
        <v>26.25</v>
      </c>
      <c r="I872" s="92">
        <f t="shared" si="13"/>
        <v>26.25</v>
      </c>
    </row>
    <row r="873" spans="1:9" x14ac:dyDescent="0.2">
      <c r="A873" t="s">
        <v>450</v>
      </c>
      <c r="B873" s="91">
        <v>594</v>
      </c>
      <c r="D873" t="s">
        <v>325</v>
      </c>
      <c r="E873" s="91">
        <v>26</v>
      </c>
      <c r="I873" s="92">
        <f t="shared" si="13"/>
        <v>26</v>
      </c>
    </row>
    <row r="874" spans="1:9" x14ac:dyDescent="0.2">
      <c r="A874" t="s">
        <v>450</v>
      </c>
      <c r="B874" s="91">
        <v>454</v>
      </c>
      <c r="D874" t="s">
        <v>166</v>
      </c>
      <c r="E874" s="91">
        <v>25.87</v>
      </c>
      <c r="I874" s="92">
        <f t="shared" si="13"/>
        <v>25.87</v>
      </c>
    </row>
    <row r="875" spans="1:9" x14ac:dyDescent="0.2">
      <c r="A875" t="s">
        <v>451</v>
      </c>
      <c r="B875" s="91">
        <v>59</v>
      </c>
      <c r="D875" t="s">
        <v>58</v>
      </c>
      <c r="E875" s="91">
        <v>25.75</v>
      </c>
      <c r="I875" s="92">
        <f t="shared" si="13"/>
        <v>25.75</v>
      </c>
    </row>
    <row r="876" spans="1:9" x14ac:dyDescent="0.2">
      <c r="A876" t="s">
        <v>452</v>
      </c>
      <c r="B876" s="91">
        <v>18.5</v>
      </c>
      <c r="D876" t="s">
        <v>777</v>
      </c>
      <c r="E876" s="91">
        <v>25.75</v>
      </c>
      <c r="I876" s="92">
        <f t="shared" si="13"/>
        <v>25.75</v>
      </c>
    </row>
    <row r="877" spans="1:9" x14ac:dyDescent="0.2">
      <c r="A877" t="s">
        <v>453</v>
      </c>
      <c r="B877" s="91">
        <v>380</v>
      </c>
      <c r="D877" t="s">
        <v>525</v>
      </c>
      <c r="E877" s="91">
        <v>25.65</v>
      </c>
      <c r="I877" s="92">
        <f t="shared" si="13"/>
        <v>25.65</v>
      </c>
    </row>
    <row r="878" spans="1:9" x14ac:dyDescent="0.2">
      <c r="A878" t="s">
        <v>454</v>
      </c>
      <c r="B878" s="91">
        <v>5</v>
      </c>
      <c r="D878" t="s">
        <v>285</v>
      </c>
      <c r="E878" s="91">
        <v>25.5</v>
      </c>
      <c r="I878" s="92">
        <f t="shared" si="13"/>
        <v>25.5</v>
      </c>
    </row>
    <row r="879" spans="1:9" x14ac:dyDescent="0.2">
      <c r="A879" t="s">
        <v>455</v>
      </c>
      <c r="B879" s="91">
        <v>23.65</v>
      </c>
      <c r="D879" t="s">
        <v>428</v>
      </c>
      <c r="E879" s="91">
        <v>25.5</v>
      </c>
      <c r="I879" s="92">
        <f t="shared" si="13"/>
        <v>25.5</v>
      </c>
    </row>
    <row r="880" spans="1:9" x14ac:dyDescent="0.2">
      <c r="A880" t="s">
        <v>456</v>
      </c>
      <c r="B880" s="91">
        <v>380</v>
      </c>
      <c r="D880" t="s">
        <v>792</v>
      </c>
      <c r="E880" s="91">
        <v>25.5</v>
      </c>
      <c r="I880" s="92">
        <f t="shared" si="13"/>
        <v>25.5</v>
      </c>
    </row>
    <row r="881" spans="1:9" x14ac:dyDescent="0.2">
      <c r="A881" t="s">
        <v>457</v>
      </c>
      <c r="B881" s="91">
        <v>21</v>
      </c>
      <c r="D881" t="s">
        <v>233</v>
      </c>
      <c r="E881" s="91">
        <v>25.42</v>
      </c>
      <c r="I881" s="92">
        <f t="shared" si="13"/>
        <v>25.42</v>
      </c>
    </row>
    <row r="882" spans="1:9" x14ac:dyDescent="0.2">
      <c r="A882" t="s">
        <v>458</v>
      </c>
      <c r="B882" s="91">
        <v>643.5</v>
      </c>
      <c r="D882" t="s">
        <v>719</v>
      </c>
      <c r="E882" s="91">
        <v>25</v>
      </c>
      <c r="I882" s="92">
        <f t="shared" si="13"/>
        <v>25</v>
      </c>
    </row>
    <row r="883" spans="1:9" x14ac:dyDescent="0.2">
      <c r="A883" t="s">
        <v>458</v>
      </c>
      <c r="B883" s="91">
        <v>136.5</v>
      </c>
      <c r="D883" t="s">
        <v>1156</v>
      </c>
      <c r="E883" s="91">
        <v>25</v>
      </c>
      <c r="I883" s="92">
        <f t="shared" si="13"/>
        <v>25</v>
      </c>
    </row>
    <row r="884" spans="1:9" x14ac:dyDescent="0.2">
      <c r="A884" t="s">
        <v>459</v>
      </c>
      <c r="B884" s="91">
        <v>965.25</v>
      </c>
      <c r="D884" t="s">
        <v>329</v>
      </c>
      <c r="E884" s="91">
        <v>24.97</v>
      </c>
      <c r="I884" s="92">
        <f t="shared" si="13"/>
        <v>24.97</v>
      </c>
    </row>
    <row r="885" spans="1:9" x14ac:dyDescent="0.2">
      <c r="A885" t="s">
        <v>460</v>
      </c>
      <c r="B885" s="91">
        <v>177.75</v>
      </c>
      <c r="D885" t="s">
        <v>477</v>
      </c>
      <c r="E885" s="91">
        <v>24.75</v>
      </c>
      <c r="I885" s="92">
        <f t="shared" si="13"/>
        <v>24.75</v>
      </c>
    </row>
    <row r="886" spans="1:9" x14ac:dyDescent="0.2">
      <c r="A886" t="s">
        <v>461</v>
      </c>
      <c r="B886" s="91">
        <v>135</v>
      </c>
      <c r="D886" t="s">
        <v>839</v>
      </c>
      <c r="E886" s="91">
        <v>24.75</v>
      </c>
      <c r="I886" s="92">
        <f t="shared" si="13"/>
        <v>24.75</v>
      </c>
    </row>
    <row r="887" spans="1:9" x14ac:dyDescent="0.2">
      <c r="A887" t="s">
        <v>462</v>
      </c>
      <c r="B887" s="91">
        <v>10</v>
      </c>
      <c r="D887" t="s">
        <v>1014</v>
      </c>
      <c r="E887" s="91">
        <v>24.75</v>
      </c>
      <c r="I887" s="92">
        <f t="shared" si="13"/>
        <v>24.75</v>
      </c>
    </row>
    <row r="888" spans="1:9" x14ac:dyDescent="0.2">
      <c r="A888" t="s">
        <v>463</v>
      </c>
      <c r="B888" s="91">
        <v>9.75</v>
      </c>
      <c r="D888" t="s">
        <v>447</v>
      </c>
      <c r="E888" s="91">
        <v>24.55</v>
      </c>
      <c r="I888" s="92">
        <f t="shared" si="13"/>
        <v>24.55</v>
      </c>
    </row>
    <row r="889" spans="1:9" x14ac:dyDescent="0.2">
      <c r="A889" t="s">
        <v>463</v>
      </c>
      <c r="B889" s="91">
        <v>2.7</v>
      </c>
      <c r="D889" t="s">
        <v>155</v>
      </c>
      <c r="E889" s="91">
        <v>24.52</v>
      </c>
      <c r="I889" s="92">
        <f t="shared" si="13"/>
        <v>24.52</v>
      </c>
    </row>
    <row r="890" spans="1:9" x14ac:dyDescent="0.2">
      <c r="A890" t="s">
        <v>464</v>
      </c>
      <c r="B890" s="91">
        <v>20</v>
      </c>
      <c r="D890" t="s">
        <v>183</v>
      </c>
      <c r="E890" s="91">
        <v>24.5</v>
      </c>
      <c r="I890" s="92">
        <f t="shared" si="13"/>
        <v>24.5</v>
      </c>
    </row>
    <row r="891" spans="1:9" x14ac:dyDescent="0.2">
      <c r="A891" t="s">
        <v>465</v>
      </c>
      <c r="B891" s="91">
        <v>14.75</v>
      </c>
      <c r="D891" t="s">
        <v>351</v>
      </c>
      <c r="E891" s="91">
        <v>24.3</v>
      </c>
      <c r="I891" s="92">
        <f t="shared" si="13"/>
        <v>24.3</v>
      </c>
    </row>
    <row r="892" spans="1:9" x14ac:dyDescent="0.2">
      <c r="A892" t="s">
        <v>466</v>
      </c>
      <c r="B892" s="91">
        <v>142</v>
      </c>
      <c r="D892" t="s">
        <v>750</v>
      </c>
      <c r="E892" s="91">
        <v>24.25</v>
      </c>
      <c r="I892" s="92">
        <f t="shared" si="13"/>
        <v>24.25</v>
      </c>
    </row>
    <row r="893" spans="1:9" x14ac:dyDescent="0.2">
      <c r="A893" t="s">
        <v>467</v>
      </c>
      <c r="B893" s="91">
        <v>131</v>
      </c>
      <c r="D893" t="s">
        <v>93</v>
      </c>
      <c r="E893" s="91">
        <v>24</v>
      </c>
      <c r="I893" s="92">
        <f t="shared" si="13"/>
        <v>24</v>
      </c>
    </row>
    <row r="894" spans="1:9" x14ac:dyDescent="0.2">
      <c r="A894" t="s">
        <v>468</v>
      </c>
      <c r="B894" s="91">
        <v>178</v>
      </c>
      <c r="D894" t="s">
        <v>167</v>
      </c>
      <c r="E894" s="91">
        <v>24</v>
      </c>
      <c r="I894" s="92">
        <f t="shared" si="13"/>
        <v>24</v>
      </c>
    </row>
    <row r="895" spans="1:9" x14ac:dyDescent="0.2">
      <c r="A895" t="s">
        <v>469</v>
      </c>
      <c r="B895" s="91">
        <v>104</v>
      </c>
      <c r="D895" t="s">
        <v>903</v>
      </c>
      <c r="E895" s="91">
        <v>24</v>
      </c>
      <c r="I895" s="92">
        <f t="shared" si="13"/>
        <v>24</v>
      </c>
    </row>
    <row r="896" spans="1:9" x14ac:dyDescent="0.2">
      <c r="A896" t="s">
        <v>469</v>
      </c>
      <c r="B896" s="91">
        <v>11</v>
      </c>
      <c r="D896" t="s">
        <v>1104</v>
      </c>
      <c r="E896" s="91">
        <v>24</v>
      </c>
      <c r="I896" s="92">
        <f t="shared" si="13"/>
        <v>24</v>
      </c>
    </row>
    <row r="897" spans="1:9" x14ac:dyDescent="0.2">
      <c r="A897" t="s">
        <v>469</v>
      </c>
      <c r="B897" s="91">
        <v>65.5</v>
      </c>
      <c r="D897" t="s">
        <v>287</v>
      </c>
      <c r="E897" s="91">
        <v>23.85</v>
      </c>
      <c r="I897" s="92">
        <f t="shared" si="13"/>
        <v>23.85</v>
      </c>
    </row>
    <row r="898" spans="1:9" x14ac:dyDescent="0.2">
      <c r="A898" t="s">
        <v>469</v>
      </c>
      <c r="B898" s="91">
        <v>10</v>
      </c>
      <c r="D898" t="s">
        <v>522</v>
      </c>
      <c r="E898" s="91">
        <v>23.85</v>
      </c>
      <c r="I898" s="92">
        <f t="shared" si="13"/>
        <v>23.85</v>
      </c>
    </row>
    <row r="899" spans="1:9" x14ac:dyDescent="0.2">
      <c r="A899" t="s">
        <v>470</v>
      </c>
      <c r="B899" s="91">
        <v>62</v>
      </c>
      <c r="D899" t="s">
        <v>350</v>
      </c>
      <c r="E899" s="91">
        <v>23.75</v>
      </c>
      <c r="I899" s="92">
        <f t="shared" ref="I899:I962" si="14">E899-G899</f>
        <v>23.75</v>
      </c>
    </row>
    <row r="900" spans="1:9" x14ac:dyDescent="0.2">
      <c r="A900" t="s">
        <v>470</v>
      </c>
      <c r="B900" s="91">
        <v>67.5</v>
      </c>
      <c r="D900" t="s">
        <v>1127</v>
      </c>
      <c r="E900" s="91">
        <v>23.75</v>
      </c>
      <c r="I900" s="92">
        <f t="shared" si="14"/>
        <v>23.75</v>
      </c>
    </row>
    <row r="901" spans="1:9" x14ac:dyDescent="0.2">
      <c r="A901" t="s">
        <v>470</v>
      </c>
      <c r="B901" s="91">
        <v>67.5</v>
      </c>
      <c r="D901" t="s">
        <v>455</v>
      </c>
      <c r="E901" s="91">
        <v>23.65</v>
      </c>
      <c r="I901" s="92">
        <f t="shared" si="14"/>
        <v>23.65</v>
      </c>
    </row>
    <row r="902" spans="1:9" x14ac:dyDescent="0.2">
      <c r="A902" t="s">
        <v>470</v>
      </c>
      <c r="B902" s="91">
        <v>33.75</v>
      </c>
      <c r="D902" t="s">
        <v>113</v>
      </c>
      <c r="E902" s="91">
        <v>23.62</v>
      </c>
      <c r="I902" s="92">
        <f t="shared" si="14"/>
        <v>23.62</v>
      </c>
    </row>
    <row r="903" spans="1:9" x14ac:dyDescent="0.2">
      <c r="A903" t="s">
        <v>470</v>
      </c>
      <c r="B903" s="91">
        <v>10</v>
      </c>
      <c r="D903" t="s">
        <v>180</v>
      </c>
      <c r="E903" s="91">
        <v>23.62</v>
      </c>
      <c r="I903" s="92">
        <f t="shared" si="14"/>
        <v>23.62</v>
      </c>
    </row>
    <row r="904" spans="1:9" x14ac:dyDescent="0.2">
      <c r="A904" t="s">
        <v>470</v>
      </c>
      <c r="B904" s="91">
        <v>12</v>
      </c>
      <c r="D904" t="s">
        <v>375</v>
      </c>
      <c r="E904" s="91">
        <v>23.62</v>
      </c>
      <c r="I904" s="92">
        <f t="shared" si="14"/>
        <v>23.62</v>
      </c>
    </row>
    <row r="905" spans="1:9" x14ac:dyDescent="0.2">
      <c r="A905" t="s">
        <v>470</v>
      </c>
      <c r="B905" s="91">
        <v>87.5</v>
      </c>
      <c r="D905" t="s">
        <v>519</v>
      </c>
      <c r="E905" s="91">
        <v>23.62</v>
      </c>
      <c r="I905" s="92">
        <f t="shared" si="14"/>
        <v>23.62</v>
      </c>
    </row>
    <row r="906" spans="1:9" x14ac:dyDescent="0.2">
      <c r="A906" t="s">
        <v>470</v>
      </c>
      <c r="B906" s="91">
        <v>7.75</v>
      </c>
      <c r="D906" t="s">
        <v>300</v>
      </c>
      <c r="E906" s="91">
        <v>23.4</v>
      </c>
      <c r="I906" s="92">
        <f t="shared" si="14"/>
        <v>23.4</v>
      </c>
    </row>
    <row r="907" spans="1:9" x14ac:dyDescent="0.2">
      <c r="A907" t="s">
        <v>470</v>
      </c>
      <c r="B907" s="91">
        <v>7.5</v>
      </c>
      <c r="D907" t="s">
        <v>361</v>
      </c>
      <c r="E907" s="91">
        <v>23.4</v>
      </c>
      <c r="I907" s="92">
        <f t="shared" si="14"/>
        <v>23.4</v>
      </c>
    </row>
    <row r="908" spans="1:9" x14ac:dyDescent="0.2">
      <c r="A908" t="s">
        <v>470</v>
      </c>
      <c r="B908" s="91">
        <v>121</v>
      </c>
      <c r="D908" t="s">
        <v>387</v>
      </c>
      <c r="E908" s="91">
        <v>23.4</v>
      </c>
      <c r="I908" s="92">
        <f t="shared" si="14"/>
        <v>23.4</v>
      </c>
    </row>
    <row r="909" spans="1:9" x14ac:dyDescent="0.2">
      <c r="A909" t="s">
        <v>470</v>
      </c>
      <c r="B909" s="91">
        <v>11.299999999999997</v>
      </c>
      <c r="D909" t="s">
        <v>482</v>
      </c>
      <c r="E909" s="91">
        <v>23.4</v>
      </c>
      <c r="I909" s="92">
        <f t="shared" si="14"/>
        <v>23.4</v>
      </c>
    </row>
    <row r="910" spans="1:9" x14ac:dyDescent="0.2">
      <c r="A910" t="s">
        <v>470</v>
      </c>
      <c r="B910" s="91">
        <v>100</v>
      </c>
      <c r="D910" t="s">
        <v>667</v>
      </c>
      <c r="E910" s="91">
        <v>23.25</v>
      </c>
      <c r="I910" s="92">
        <f t="shared" si="14"/>
        <v>23.25</v>
      </c>
    </row>
    <row r="911" spans="1:9" x14ac:dyDescent="0.2">
      <c r="A911" t="s">
        <v>471</v>
      </c>
      <c r="B911" s="91">
        <v>1287</v>
      </c>
      <c r="D911" t="s">
        <v>701</v>
      </c>
      <c r="E911" s="91">
        <v>23</v>
      </c>
      <c r="I911" s="92">
        <f t="shared" si="14"/>
        <v>23</v>
      </c>
    </row>
    <row r="912" spans="1:9" x14ac:dyDescent="0.2">
      <c r="A912" t="s">
        <v>472</v>
      </c>
      <c r="B912" s="91">
        <v>10</v>
      </c>
      <c r="D912" t="s">
        <v>1004</v>
      </c>
      <c r="E912" s="91">
        <v>23</v>
      </c>
      <c r="I912" s="92">
        <f t="shared" si="14"/>
        <v>23</v>
      </c>
    </row>
    <row r="913" spans="1:9" x14ac:dyDescent="0.2">
      <c r="A913" t="s">
        <v>473</v>
      </c>
      <c r="B913" s="91">
        <v>10</v>
      </c>
      <c r="D913" t="s">
        <v>1020</v>
      </c>
      <c r="E913" s="91">
        <v>23</v>
      </c>
      <c r="I913" s="92">
        <f t="shared" si="14"/>
        <v>23</v>
      </c>
    </row>
    <row r="914" spans="1:9" x14ac:dyDescent="0.2">
      <c r="A914" t="s">
        <v>474</v>
      </c>
      <c r="B914" s="91">
        <v>67.5</v>
      </c>
      <c r="D914" t="s">
        <v>1058</v>
      </c>
      <c r="E914" s="91">
        <v>23</v>
      </c>
      <c r="I914" s="92">
        <f t="shared" si="14"/>
        <v>23</v>
      </c>
    </row>
    <row r="915" spans="1:9" x14ac:dyDescent="0.2">
      <c r="A915" t="s">
        <v>475</v>
      </c>
      <c r="B915" s="91">
        <v>67.5</v>
      </c>
      <c r="D915" t="s">
        <v>653</v>
      </c>
      <c r="E915" s="91">
        <v>22.75</v>
      </c>
      <c r="I915" s="92">
        <f t="shared" si="14"/>
        <v>22.75</v>
      </c>
    </row>
    <row r="916" spans="1:9" x14ac:dyDescent="0.2">
      <c r="A916" t="s">
        <v>475</v>
      </c>
      <c r="B916" s="91">
        <v>67.5</v>
      </c>
      <c r="D916" t="s">
        <v>759</v>
      </c>
      <c r="E916" s="91">
        <v>22.75</v>
      </c>
      <c r="I916" s="92">
        <f t="shared" si="14"/>
        <v>22.75</v>
      </c>
    </row>
    <row r="917" spans="1:9" x14ac:dyDescent="0.2">
      <c r="A917" t="s">
        <v>475</v>
      </c>
      <c r="B917" s="91">
        <v>2.6999999999999993</v>
      </c>
      <c r="D917" t="s">
        <v>920</v>
      </c>
      <c r="E917" s="91">
        <v>22.75</v>
      </c>
      <c r="I917" s="92">
        <f t="shared" si="14"/>
        <v>22.75</v>
      </c>
    </row>
    <row r="918" spans="1:9" x14ac:dyDescent="0.2">
      <c r="A918" t="s">
        <v>475</v>
      </c>
      <c r="B918" s="91">
        <v>85</v>
      </c>
      <c r="D918" t="s">
        <v>1100</v>
      </c>
      <c r="E918" s="91">
        <v>22.75</v>
      </c>
      <c r="I918" s="92">
        <f t="shared" si="14"/>
        <v>22.75</v>
      </c>
    </row>
    <row r="919" spans="1:9" x14ac:dyDescent="0.2">
      <c r="A919" t="s">
        <v>476</v>
      </c>
      <c r="B919" s="91">
        <v>10</v>
      </c>
      <c r="D919" t="s">
        <v>1133</v>
      </c>
      <c r="E919" s="91">
        <v>22.75</v>
      </c>
      <c r="I919" s="92">
        <f t="shared" si="14"/>
        <v>22.75</v>
      </c>
    </row>
    <row r="920" spans="1:9" x14ac:dyDescent="0.2">
      <c r="A920" t="s">
        <v>477</v>
      </c>
      <c r="B920" s="91">
        <v>24.75</v>
      </c>
      <c r="D920" t="s">
        <v>922</v>
      </c>
      <c r="E920" s="91">
        <v>22.5</v>
      </c>
      <c r="I920" s="92">
        <f t="shared" si="14"/>
        <v>22.5</v>
      </c>
    </row>
    <row r="921" spans="1:9" x14ac:dyDescent="0.2">
      <c r="A921" t="s">
        <v>478</v>
      </c>
      <c r="B921" s="91">
        <v>85</v>
      </c>
      <c r="D921" t="s">
        <v>47</v>
      </c>
      <c r="E921" s="91">
        <v>22.27</v>
      </c>
      <c r="I921" s="92">
        <f t="shared" si="14"/>
        <v>22.27</v>
      </c>
    </row>
    <row r="922" spans="1:9" x14ac:dyDescent="0.2">
      <c r="A922" t="s">
        <v>478</v>
      </c>
      <c r="B922" s="91">
        <v>32.5</v>
      </c>
      <c r="D922" t="s">
        <v>919</v>
      </c>
      <c r="E922" s="91">
        <v>22.25</v>
      </c>
      <c r="I922" s="92">
        <f t="shared" si="14"/>
        <v>22.25</v>
      </c>
    </row>
    <row r="923" spans="1:9" x14ac:dyDescent="0.2">
      <c r="A923" t="s">
        <v>478</v>
      </c>
      <c r="B923" s="91">
        <v>87.75</v>
      </c>
      <c r="D923" t="s">
        <v>132</v>
      </c>
      <c r="E923" s="91">
        <v>22</v>
      </c>
      <c r="I923" s="92">
        <f t="shared" si="14"/>
        <v>22</v>
      </c>
    </row>
    <row r="924" spans="1:9" x14ac:dyDescent="0.2">
      <c r="A924" t="s">
        <v>478</v>
      </c>
      <c r="B924" s="91">
        <v>47.5</v>
      </c>
      <c r="D924" t="s">
        <v>521</v>
      </c>
      <c r="E924" s="91">
        <v>22</v>
      </c>
      <c r="I924" s="92">
        <f t="shared" si="14"/>
        <v>22</v>
      </c>
    </row>
    <row r="925" spans="1:9" x14ac:dyDescent="0.2">
      <c r="A925" t="s">
        <v>478</v>
      </c>
      <c r="B925" s="91">
        <v>30</v>
      </c>
      <c r="D925" t="s">
        <v>741</v>
      </c>
      <c r="E925" s="91">
        <v>22</v>
      </c>
      <c r="I925" s="92">
        <f t="shared" si="14"/>
        <v>22</v>
      </c>
    </row>
    <row r="926" spans="1:9" x14ac:dyDescent="0.2">
      <c r="A926" t="s">
        <v>478</v>
      </c>
      <c r="B926" s="91">
        <v>47.5</v>
      </c>
      <c r="D926" t="s">
        <v>909</v>
      </c>
      <c r="E926" s="91">
        <v>22</v>
      </c>
      <c r="I926" s="92">
        <f t="shared" si="14"/>
        <v>22</v>
      </c>
    </row>
    <row r="927" spans="1:9" x14ac:dyDescent="0.2">
      <c r="A927" t="s">
        <v>478</v>
      </c>
      <c r="B927" s="91">
        <v>56</v>
      </c>
      <c r="D927" t="s">
        <v>976</v>
      </c>
      <c r="E927" s="91">
        <v>22</v>
      </c>
      <c r="I927" s="92">
        <f t="shared" si="14"/>
        <v>22</v>
      </c>
    </row>
    <row r="928" spans="1:9" x14ac:dyDescent="0.2">
      <c r="A928" t="s">
        <v>478</v>
      </c>
      <c r="B928" s="91">
        <v>32</v>
      </c>
      <c r="D928" t="s">
        <v>1030</v>
      </c>
      <c r="E928" s="91">
        <v>22</v>
      </c>
      <c r="I928" s="92">
        <f t="shared" si="14"/>
        <v>22</v>
      </c>
    </row>
    <row r="929" spans="1:9" x14ac:dyDescent="0.2">
      <c r="A929" t="s">
        <v>479</v>
      </c>
      <c r="B929" s="91">
        <v>85</v>
      </c>
      <c r="D929" t="s">
        <v>1120</v>
      </c>
      <c r="E929" s="91">
        <v>22</v>
      </c>
      <c r="I929" s="92">
        <f t="shared" si="14"/>
        <v>22</v>
      </c>
    </row>
    <row r="930" spans="1:9" x14ac:dyDescent="0.2">
      <c r="A930" t="s">
        <v>479</v>
      </c>
      <c r="B930" s="91">
        <v>70.25</v>
      </c>
      <c r="D930" t="s">
        <v>250</v>
      </c>
      <c r="E930" s="91">
        <v>21.75</v>
      </c>
      <c r="I930" s="92">
        <f t="shared" si="14"/>
        <v>21.75</v>
      </c>
    </row>
    <row r="931" spans="1:9" x14ac:dyDescent="0.2">
      <c r="A931" t="s">
        <v>479</v>
      </c>
      <c r="B931" s="91">
        <v>70.25</v>
      </c>
      <c r="D931" t="s">
        <v>939</v>
      </c>
      <c r="E931" s="91">
        <v>21.75</v>
      </c>
      <c r="I931" s="92">
        <f t="shared" si="14"/>
        <v>21.75</v>
      </c>
    </row>
    <row r="932" spans="1:9" x14ac:dyDescent="0.2">
      <c r="A932" t="s">
        <v>479</v>
      </c>
      <c r="B932" s="91">
        <v>40.5</v>
      </c>
      <c r="D932" t="s">
        <v>432</v>
      </c>
      <c r="E932" s="91">
        <v>21.6</v>
      </c>
      <c r="I932" s="92">
        <f t="shared" si="14"/>
        <v>21.6</v>
      </c>
    </row>
    <row r="933" spans="1:9" x14ac:dyDescent="0.2">
      <c r="A933" t="s">
        <v>479</v>
      </c>
      <c r="B933" s="91">
        <v>40.5</v>
      </c>
      <c r="D933" t="s">
        <v>327</v>
      </c>
      <c r="E933" s="91">
        <v>21.5</v>
      </c>
      <c r="I933" s="92">
        <f t="shared" si="14"/>
        <v>21.5</v>
      </c>
    </row>
    <row r="934" spans="1:9" x14ac:dyDescent="0.2">
      <c r="A934" t="s">
        <v>479</v>
      </c>
      <c r="B934" s="91">
        <v>10.75</v>
      </c>
      <c r="D934" t="s">
        <v>390</v>
      </c>
      <c r="E934" s="91">
        <v>21.45</v>
      </c>
      <c r="I934" s="92">
        <f t="shared" si="14"/>
        <v>21.45</v>
      </c>
    </row>
    <row r="935" spans="1:9" x14ac:dyDescent="0.2">
      <c r="A935" t="s">
        <v>480</v>
      </c>
      <c r="B935" s="91">
        <v>18</v>
      </c>
      <c r="D935" t="s">
        <v>147</v>
      </c>
      <c r="E935" s="91">
        <v>21</v>
      </c>
      <c r="I935" s="92">
        <f t="shared" si="14"/>
        <v>21</v>
      </c>
    </row>
    <row r="936" spans="1:9" x14ac:dyDescent="0.2">
      <c r="A936" t="s">
        <v>481</v>
      </c>
      <c r="B936" s="91">
        <v>13.5</v>
      </c>
      <c r="D936" t="s">
        <v>199</v>
      </c>
      <c r="E936" s="91">
        <v>21</v>
      </c>
      <c r="I936" s="92">
        <f t="shared" si="14"/>
        <v>21</v>
      </c>
    </row>
    <row r="937" spans="1:9" x14ac:dyDescent="0.2">
      <c r="A937" t="s">
        <v>482</v>
      </c>
      <c r="B937" s="91">
        <v>14</v>
      </c>
      <c r="D937" t="s">
        <v>457</v>
      </c>
      <c r="E937" s="91">
        <v>21</v>
      </c>
      <c r="I937" s="92">
        <f t="shared" si="14"/>
        <v>21</v>
      </c>
    </row>
    <row r="938" spans="1:9" x14ac:dyDescent="0.2">
      <c r="A938" t="s">
        <v>482</v>
      </c>
      <c r="B938" s="91">
        <v>9.4</v>
      </c>
      <c r="D938" t="s">
        <v>930</v>
      </c>
      <c r="E938" s="91">
        <v>21</v>
      </c>
      <c r="I938" s="92">
        <f t="shared" si="14"/>
        <v>21</v>
      </c>
    </row>
    <row r="939" spans="1:9" x14ac:dyDescent="0.2">
      <c r="A939" t="s">
        <v>483</v>
      </c>
      <c r="B939" s="91">
        <v>122.75</v>
      </c>
      <c r="D939" t="s">
        <v>1024</v>
      </c>
      <c r="E939" s="91">
        <v>21</v>
      </c>
      <c r="I939" s="92">
        <f t="shared" si="14"/>
        <v>21</v>
      </c>
    </row>
    <row r="940" spans="1:9" x14ac:dyDescent="0.2">
      <c r="A940" t="s">
        <v>483</v>
      </c>
      <c r="B940" s="91">
        <v>-1.0299999999999994</v>
      </c>
      <c r="D940" t="s">
        <v>1096</v>
      </c>
      <c r="E940" s="91">
        <v>21</v>
      </c>
      <c r="I940" s="92">
        <f t="shared" si="14"/>
        <v>21</v>
      </c>
    </row>
    <row r="941" spans="1:9" x14ac:dyDescent="0.2">
      <c r="A941" t="s">
        <v>484</v>
      </c>
      <c r="B941" s="91">
        <v>7.75</v>
      </c>
      <c r="D941" t="s">
        <v>1222</v>
      </c>
      <c r="E941" s="91">
        <v>21</v>
      </c>
      <c r="I941" s="92">
        <f t="shared" si="14"/>
        <v>21</v>
      </c>
    </row>
    <row r="942" spans="1:9" x14ac:dyDescent="0.2">
      <c r="A942" t="s">
        <v>484</v>
      </c>
      <c r="B942" s="91">
        <v>28.75</v>
      </c>
      <c r="D942" t="s">
        <v>546</v>
      </c>
      <c r="E942" s="91">
        <v>20.92</v>
      </c>
      <c r="I942" s="92">
        <f t="shared" si="14"/>
        <v>20.92</v>
      </c>
    </row>
    <row r="943" spans="1:9" x14ac:dyDescent="0.2">
      <c r="A943" t="s">
        <v>484</v>
      </c>
      <c r="B943" s="91">
        <v>10</v>
      </c>
      <c r="D943" t="s">
        <v>754</v>
      </c>
      <c r="E943" s="91">
        <v>20.75</v>
      </c>
      <c r="I943" s="92">
        <f t="shared" si="14"/>
        <v>20.75</v>
      </c>
    </row>
    <row r="944" spans="1:9" x14ac:dyDescent="0.2">
      <c r="A944" t="s">
        <v>484</v>
      </c>
      <c r="B944" s="91">
        <v>18</v>
      </c>
      <c r="D944" t="s">
        <v>1109</v>
      </c>
      <c r="E944" s="91">
        <v>20.75</v>
      </c>
      <c r="I944" s="92">
        <f t="shared" si="14"/>
        <v>20.75</v>
      </c>
    </row>
    <row r="945" spans="1:9" x14ac:dyDescent="0.2">
      <c r="A945" t="s">
        <v>484</v>
      </c>
      <c r="B945" s="91">
        <v>9</v>
      </c>
      <c r="D945" t="s">
        <v>164</v>
      </c>
      <c r="E945" s="91">
        <v>20.7</v>
      </c>
      <c r="I945" s="92">
        <f t="shared" si="14"/>
        <v>20.7</v>
      </c>
    </row>
    <row r="946" spans="1:9" x14ac:dyDescent="0.2">
      <c r="A946" t="s">
        <v>484</v>
      </c>
      <c r="B946" s="91">
        <v>44.75</v>
      </c>
      <c r="D946" t="s">
        <v>634</v>
      </c>
      <c r="E946" s="91">
        <v>20.7</v>
      </c>
      <c r="I946" s="92">
        <f t="shared" si="14"/>
        <v>20.7</v>
      </c>
    </row>
    <row r="947" spans="1:9" x14ac:dyDescent="0.2">
      <c r="A947" t="s">
        <v>484</v>
      </c>
      <c r="B947" s="91">
        <v>36.32</v>
      </c>
      <c r="D947" t="s">
        <v>394</v>
      </c>
      <c r="E947" s="91">
        <v>20.3</v>
      </c>
      <c r="I947" s="92">
        <f t="shared" si="14"/>
        <v>20.3</v>
      </c>
    </row>
    <row r="948" spans="1:9" x14ac:dyDescent="0.2">
      <c r="A948" t="s">
        <v>484</v>
      </c>
      <c r="B948" s="91">
        <v>90.5</v>
      </c>
      <c r="D948" t="s">
        <v>108</v>
      </c>
      <c r="E948" s="91">
        <v>20.25</v>
      </c>
      <c r="I948" s="92">
        <f t="shared" si="14"/>
        <v>20.25</v>
      </c>
    </row>
    <row r="949" spans="1:9" x14ac:dyDescent="0.2">
      <c r="A949" t="s">
        <v>484</v>
      </c>
      <c r="B949" s="91">
        <v>96</v>
      </c>
      <c r="D949" t="s">
        <v>437</v>
      </c>
      <c r="E949" s="91">
        <v>20.25</v>
      </c>
      <c r="I949" s="92">
        <f t="shared" si="14"/>
        <v>20.25</v>
      </c>
    </row>
    <row r="950" spans="1:9" x14ac:dyDescent="0.2">
      <c r="A950" t="s">
        <v>484</v>
      </c>
      <c r="B950" s="91">
        <v>120</v>
      </c>
      <c r="D950" t="s">
        <v>82</v>
      </c>
      <c r="E950" s="91">
        <v>20</v>
      </c>
      <c r="I950" s="92">
        <f t="shared" si="14"/>
        <v>20</v>
      </c>
    </row>
    <row r="951" spans="1:9" x14ac:dyDescent="0.2">
      <c r="A951" t="s">
        <v>484</v>
      </c>
      <c r="B951" s="91">
        <v>85.75</v>
      </c>
      <c r="D951" t="s">
        <v>84</v>
      </c>
      <c r="E951" s="91">
        <v>20</v>
      </c>
      <c r="I951" s="92">
        <f t="shared" si="14"/>
        <v>20</v>
      </c>
    </row>
    <row r="952" spans="1:9" x14ac:dyDescent="0.2">
      <c r="A952" t="s">
        <v>484</v>
      </c>
      <c r="B952" s="91">
        <v>30</v>
      </c>
      <c r="D952" t="s">
        <v>150</v>
      </c>
      <c r="E952" s="91">
        <v>20</v>
      </c>
      <c r="I952" s="92">
        <f t="shared" si="14"/>
        <v>20</v>
      </c>
    </row>
    <row r="953" spans="1:9" x14ac:dyDescent="0.2">
      <c r="A953" t="s">
        <v>484</v>
      </c>
      <c r="B953" s="91">
        <v>73.75</v>
      </c>
      <c r="D953" t="s">
        <v>239</v>
      </c>
      <c r="E953" s="91">
        <v>20</v>
      </c>
      <c r="I953" s="92">
        <f t="shared" si="14"/>
        <v>20</v>
      </c>
    </row>
    <row r="954" spans="1:9" x14ac:dyDescent="0.2">
      <c r="A954" t="s">
        <v>484</v>
      </c>
      <c r="B954" s="91">
        <v>20.25</v>
      </c>
      <c r="D954" t="s">
        <v>273</v>
      </c>
      <c r="E954" s="91">
        <v>20</v>
      </c>
      <c r="I954" s="92">
        <f t="shared" si="14"/>
        <v>20</v>
      </c>
    </row>
    <row r="955" spans="1:9" x14ac:dyDescent="0.2">
      <c r="A955" t="s">
        <v>484</v>
      </c>
      <c r="B955" s="91">
        <v>-4.3100000000000023</v>
      </c>
      <c r="D955" t="s">
        <v>298</v>
      </c>
      <c r="E955" s="91">
        <v>20</v>
      </c>
      <c r="I955" s="92">
        <f t="shared" si="14"/>
        <v>20</v>
      </c>
    </row>
    <row r="956" spans="1:9" x14ac:dyDescent="0.2">
      <c r="A956" t="s">
        <v>485</v>
      </c>
      <c r="B956" s="91">
        <v>17.5</v>
      </c>
      <c r="D956" t="s">
        <v>419</v>
      </c>
      <c r="E956" s="91">
        <v>20</v>
      </c>
      <c r="I956" s="92">
        <f t="shared" si="14"/>
        <v>20</v>
      </c>
    </row>
    <row r="957" spans="1:9" x14ac:dyDescent="0.2">
      <c r="A957" t="s">
        <v>485</v>
      </c>
      <c r="B957" s="91">
        <v>7.5</v>
      </c>
      <c r="D957" t="s">
        <v>464</v>
      </c>
      <c r="E957" s="91">
        <v>20</v>
      </c>
      <c r="I957" s="92">
        <f t="shared" si="14"/>
        <v>20</v>
      </c>
    </row>
    <row r="958" spans="1:9" x14ac:dyDescent="0.2">
      <c r="A958" t="s">
        <v>485</v>
      </c>
      <c r="B958" s="91">
        <v>7.5</v>
      </c>
      <c r="D958" t="s">
        <v>527</v>
      </c>
      <c r="E958" s="91">
        <v>20</v>
      </c>
      <c r="I958" s="92">
        <f t="shared" si="14"/>
        <v>20</v>
      </c>
    </row>
    <row r="959" spans="1:9" x14ac:dyDescent="0.2">
      <c r="A959" t="s">
        <v>485</v>
      </c>
      <c r="B959" s="91">
        <v>20</v>
      </c>
      <c r="D959" t="s">
        <v>561</v>
      </c>
      <c r="E959" s="91">
        <v>20</v>
      </c>
      <c r="I959" s="92">
        <f t="shared" si="14"/>
        <v>20</v>
      </c>
    </row>
    <row r="960" spans="1:9" x14ac:dyDescent="0.2">
      <c r="A960" t="s">
        <v>485</v>
      </c>
      <c r="B960" s="91">
        <v>40.5</v>
      </c>
      <c r="D960" t="s">
        <v>635</v>
      </c>
      <c r="E960" s="91">
        <v>20</v>
      </c>
      <c r="I960" s="92">
        <f t="shared" si="14"/>
        <v>20</v>
      </c>
    </row>
    <row r="961" spans="1:9" x14ac:dyDescent="0.2">
      <c r="A961" t="s">
        <v>486</v>
      </c>
      <c r="B961" s="91">
        <v>340</v>
      </c>
      <c r="D961" t="s">
        <v>687</v>
      </c>
      <c r="E961" s="91">
        <v>20</v>
      </c>
      <c r="I961" s="92">
        <f t="shared" si="14"/>
        <v>20</v>
      </c>
    </row>
    <row r="962" spans="1:9" x14ac:dyDescent="0.2">
      <c r="A962" t="s">
        <v>486</v>
      </c>
      <c r="B962" s="91">
        <v>800</v>
      </c>
      <c r="D962" t="s">
        <v>751</v>
      </c>
      <c r="E962" s="91">
        <v>20</v>
      </c>
      <c r="I962" s="92">
        <f t="shared" si="14"/>
        <v>20</v>
      </c>
    </row>
    <row r="963" spans="1:9" x14ac:dyDescent="0.2">
      <c r="A963" t="s">
        <v>486</v>
      </c>
      <c r="B963" s="91">
        <v>1155</v>
      </c>
      <c r="D963" t="s">
        <v>1051</v>
      </c>
      <c r="E963" s="91">
        <v>20</v>
      </c>
      <c r="I963" s="92">
        <f t="shared" ref="I963:I1026" si="15">E963-G963</f>
        <v>20</v>
      </c>
    </row>
    <row r="964" spans="1:9" x14ac:dyDescent="0.2">
      <c r="A964" t="s">
        <v>486</v>
      </c>
      <c r="B964" s="91">
        <v>990</v>
      </c>
      <c r="D964" t="s">
        <v>1176</v>
      </c>
      <c r="E964" s="91">
        <v>20</v>
      </c>
      <c r="I964" s="92">
        <f t="shared" si="15"/>
        <v>20</v>
      </c>
    </row>
    <row r="965" spans="1:9" x14ac:dyDescent="0.2">
      <c r="A965" t="s">
        <v>486</v>
      </c>
      <c r="B965" s="91">
        <v>50</v>
      </c>
      <c r="D965" t="s">
        <v>618</v>
      </c>
      <c r="E965" s="91">
        <v>19.87</v>
      </c>
      <c r="I965" s="92">
        <f t="shared" si="15"/>
        <v>19.87</v>
      </c>
    </row>
    <row r="966" spans="1:9" x14ac:dyDescent="0.2">
      <c r="A966" t="s">
        <v>486</v>
      </c>
      <c r="B966" s="91">
        <v>34</v>
      </c>
      <c r="D966" t="s">
        <v>309</v>
      </c>
      <c r="E966" s="91">
        <v>19.8</v>
      </c>
      <c r="I966" s="92">
        <f t="shared" si="15"/>
        <v>19.8</v>
      </c>
    </row>
    <row r="967" spans="1:9" x14ac:dyDescent="0.2">
      <c r="A967" t="s">
        <v>486</v>
      </c>
      <c r="B967" s="91">
        <v>29</v>
      </c>
      <c r="D967" t="s">
        <v>842</v>
      </c>
      <c r="E967" s="91">
        <v>19.75</v>
      </c>
      <c r="I967" s="92">
        <f t="shared" si="15"/>
        <v>19.75</v>
      </c>
    </row>
    <row r="968" spans="1:9" x14ac:dyDescent="0.2">
      <c r="A968" t="s">
        <v>486</v>
      </c>
      <c r="B968" s="91">
        <v>42</v>
      </c>
      <c r="D968" t="s">
        <v>1026</v>
      </c>
      <c r="E968" s="91">
        <v>19.5</v>
      </c>
      <c r="I968" s="92">
        <f t="shared" si="15"/>
        <v>19.5</v>
      </c>
    </row>
    <row r="969" spans="1:9" x14ac:dyDescent="0.2">
      <c r="A969" t="s">
        <v>486</v>
      </c>
      <c r="B969" s="91">
        <v>43.75</v>
      </c>
      <c r="D969" t="s">
        <v>1063</v>
      </c>
      <c r="E969" s="91">
        <v>19.5</v>
      </c>
      <c r="I969" s="92">
        <f t="shared" si="15"/>
        <v>19.5</v>
      </c>
    </row>
    <row r="970" spans="1:9" x14ac:dyDescent="0.2">
      <c r="A970" t="s">
        <v>486</v>
      </c>
      <c r="B970" s="91">
        <v>75</v>
      </c>
      <c r="D970" t="s">
        <v>712</v>
      </c>
      <c r="E970" s="91">
        <v>19.25</v>
      </c>
      <c r="I970" s="92">
        <f t="shared" si="15"/>
        <v>19.25</v>
      </c>
    </row>
    <row r="971" spans="1:9" x14ac:dyDescent="0.2">
      <c r="A971" t="s">
        <v>486</v>
      </c>
      <c r="B971" s="91">
        <v>75</v>
      </c>
      <c r="D971" t="s">
        <v>487</v>
      </c>
      <c r="E971" s="91">
        <v>19</v>
      </c>
      <c r="I971" s="92">
        <f t="shared" si="15"/>
        <v>19</v>
      </c>
    </row>
    <row r="972" spans="1:9" x14ac:dyDescent="0.2">
      <c r="A972" t="s">
        <v>486</v>
      </c>
      <c r="B972" s="91">
        <v>266.25</v>
      </c>
      <c r="D972" t="s">
        <v>535</v>
      </c>
      <c r="E972" s="91">
        <v>19</v>
      </c>
      <c r="I972" s="92">
        <f t="shared" si="15"/>
        <v>19</v>
      </c>
    </row>
    <row r="973" spans="1:9" x14ac:dyDescent="0.2">
      <c r="A973" t="s">
        <v>486</v>
      </c>
      <c r="B973" s="91">
        <v>175</v>
      </c>
      <c r="D973" t="s">
        <v>1064</v>
      </c>
      <c r="E973" s="91">
        <v>19</v>
      </c>
      <c r="I973" s="92">
        <f t="shared" si="15"/>
        <v>19</v>
      </c>
    </row>
    <row r="974" spans="1:9" x14ac:dyDescent="0.2">
      <c r="A974" t="s">
        <v>486</v>
      </c>
      <c r="B974" s="91">
        <v>45</v>
      </c>
      <c r="D974" t="s">
        <v>116</v>
      </c>
      <c r="E974" s="91">
        <v>18.899999999999999</v>
      </c>
      <c r="I974" s="92">
        <f t="shared" si="15"/>
        <v>18.899999999999999</v>
      </c>
    </row>
    <row r="975" spans="1:9" x14ac:dyDescent="0.2">
      <c r="A975" t="s">
        <v>486</v>
      </c>
      <c r="B975" s="91">
        <v>77.5</v>
      </c>
      <c r="D975" t="s">
        <v>332</v>
      </c>
      <c r="E975" s="91">
        <v>18.899999999999999</v>
      </c>
      <c r="I975" s="92">
        <f t="shared" si="15"/>
        <v>18.899999999999999</v>
      </c>
    </row>
    <row r="976" spans="1:9" x14ac:dyDescent="0.2">
      <c r="A976" t="s">
        <v>486</v>
      </c>
      <c r="B976" s="91">
        <v>110</v>
      </c>
      <c r="D976" t="s">
        <v>162</v>
      </c>
      <c r="E976" s="91">
        <v>18.75</v>
      </c>
      <c r="I976" s="92">
        <f t="shared" si="15"/>
        <v>18.75</v>
      </c>
    </row>
    <row r="977" spans="1:9" x14ac:dyDescent="0.2">
      <c r="A977" t="s">
        <v>486</v>
      </c>
      <c r="B977" s="91">
        <v>92.5</v>
      </c>
      <c r="D977" t="s">
        <v>398</v>
      </c>
      <c r="E977" s="91">
        <v>18.75</v>
      </c>
      <c r="I977" s="92">
        <f t="shared" si="15"/>
        <v>18.75</v>
      </c>
    </row>
    <row r="978" spans="1:9" x14ac:dyDescent="0.2">
      <c r="A978" t="s">
        <v>486</v>
      </c>
      <c r="B978" s="91">
        <v>65</v>
      </c>
      <c r="D978" t="s">
        <v>489</v>
      </c>
      <c r="E978" s="91">
        <v>18.75</v>
      </c>
      <c r="I978" s="92">
        <f t="shared" si="15"/>
        <v>18.75</v>
      </c>
    </row>
    <row r="979" spans="1:9" x14ac:dyDescent="0.2">
      <c r="A979" t="s">
        <v>486</v>
      </c>
      <c r="B979" s="91">
        <v>14.75</v>
      </c>
      <c r="D979" t="s">
        <v>810</v>
      </c>
      <c r="E979" s="91">
        <v>18.75</v>
      </c>
      <c r="I979" s="92">
        <f t="shared" si="15"/>
        <v>18.75</v>
      </c>
    </row>
    <row r="980" spans="1:9" x14ac:dyDescent="0.2">
      <c r="A980" t="s">
        <v>486</v>
      </c>
      <c r="B980" s="91">
        <v>54.75</v>
      </c>
      <c r="D980" t="s">
        <v>812</v>
      </c>
      <c r="E980" s="91">
        <v>18.75</v>
      </c>
      <c r="I980" s="92">
        <f t="shared" si="15"/>
        <v>18.75</v>
      </c>
    </row>
    <row r="981" spans="1:9" x14ac:dyDescent="0.2">
      <c r="A981" t="s">
        <v>486</v>
      </c>
      <c r="B981" s="91">
        <v>73</v>
      </c>
      <c r="D981" t="s">
        <v>533</v>
      </c>
      <c r="E981" s="91">
        <v>18.670000000000002</v>
      </c>
      <c r="I981" s="92">
        <f t="shared" si="15"/>
        <v>18.670000000000002</v>
      </c>
    </row>
    <row r="982" spans="1:9" x14ac:dyDescent="0.2">
      <c r="A982" t="s">
        <v>486</v>
      </c>
      <c r="B982" s="91">
        <v>101.25</v>
      </c>
      <c r="D982" t="s">
        <v>452</v>
      </c>
      <c r="E982" s="91">
        <v>18.5</v>
      </c>
      <c r="I982" s="92">
        <f t="shared" si="15"/>
        <v>18.5</v>
      </c>
    </row>
    <row r="983" spans="1:9" x14ac:dyDescent="0.2">
      <c r="A983" t="s">
        <v>486</v>
      </c>
      <c r="B983" s="91">
        <v>68</v>
      </c>
      <c r="D983" t="s">
        <v>893</v>
      </c>
      <c r="E983" s="91">
        <v>18.5</v>
      </c>
      <c r="I983" s="92">
        <f t="shared" si="15"/>
        <v>18.5</v>
      </c>
    </row>
    <row r="984" spans="1:9" x14ac:dyDescent="0.2">
      <c r="A984" t="s">
        <v>486</v>
      </c>
      <c r="B984" s="91">
        <v>29.25</v>
      </c>
      <c r="D984" t="s">
        <v>923</v>
      </c>
      <c r="E984" s="91">
        <v>18.5</v>
      </c>
      <c r="I984" s="92">
        <f t="shared" si="15"/>
        <v>18.5</v>
      </c>
    </row>
    <row r="985" spans="1:9" x14ac:dyDescent="0.2">
      <c r="A985" t="s">
        <v>486</v>
      </c>
      <c r="B985" s="91">
        <v>20</v>
      </c>
      <c r="D985" t="s">
        <v>293</v>
      </c>
      <c r="E985" s="91">
        <v>18.25</v>
      </c>
      <c r="I985" s="92">
        <f t="shared" si="15"/>
        <v>18.25</v>
      </c>
    </row>
    <row r="986" spans="1:9" x14ac:dyDescent="0.2">
      <c r="A986" t="s">
        <v>486</v>
      </c>
      <c r="B986" s="91">
        <v>54</v>
      </c>
      <c r="D986" t="s">
        <v>662</v>
      </c>
      <c r="E986" s="91">
        <v>18.25</v>
      </c>
      <c r="I986" s="92">
        <f t="shared" si="15"/>
        <v>18.25</v>
      </c>
    </row>
    <row r="987" spans="1:9" x14ac:dyDescent="0.2">
      <c r="A987" t="s">
        <v>486</v>
      </c>
      <c r="B987" s="91">
        <v>47.5</v>
      </c>
      <c r="D987" t="s">
        <v>94</v>
      </c>
      <c r="E987" s="91">
        <v>18.22</v>
      </c>
      <c r="I987" s="92">
        <f t="shared" si="15"/>
        <v>18.22</v>
      </c>
    </row>
    <row r="988" spans="1:9" x14ac:dyDescent="0.2">
      <c r="A988" t="s">
        <v>486</v>
      </c>
      <c r="B988" s="91">
        <v>67.5</v>
      </c>
      <c r="D988" t="s">
        <v>163</v>
      </c>
      <c r="E988" s="91">
        <v>18.22</v>
      </c>
      <c r="I988" s="92">
        <f t="shared" si="15"/>
        <v>18.22</v>
      </c>
    </row>
    <row r="989" spans="1:9" x14ac:dyDescent="0.2">
      <c r="A989" t="s">
        <v>486</v>
      </c>
      <c r="B989" s="91">
        <v>65.5</v>
      </c>
      <c r="D989" t="s">
        <v>374</v>
      </c>
      <c r="E989" s="91">
        <v>18.22</v>
      </c>
      <c r="I989" s="92">
        <f t="shared" si="15"/>
        <v>18.22</v>
      </c>
    </row>
    <row r="990" spans="1:9" x14ac:dyDescent="0.2">
      <c r="A990" t="s">
        <v>486</v>
      </c>
      <c r="B990" s="91">
        <v>57.5</v>
      </c>
      <c r="D990" t="s">
        <v>86</v>
      </c>
      <c r="E990" s="91">
        <v>18</v>
      </c>
      <c r="I990" s="92">
        <f t="shared" si="15"/>
        <v>18</v>
      </c>
    </row>
    <row r="991" spans="1:9" x14ac:dyDescent="0.2">
      <c r="A991" t="s">
        <v>486</v>
      </c>
      <c r="B991" s="91">
        <v>57.5</v>
      </c>
      <c r="D991" t="s">
        <v>87</v>
      </c>
      <c r="E991" s="91">
        <v>18</v>
      </c>
      <c r="I991" s="92">
        <f t="shared" si="15"/>
        <v>18</v>
      </c>
    </row>
    <row r="992" spans="1:9" x14ac:dyDescent="0.2">
      <c r="A992" t="s">
        <v>486</v>
      </c>
      <c r="B992" s="91">
        <v>57.5</v>
      </c>
      <c r="D992" t="s">
        <v>97</v>
      </c>
      <c r="E992" s="91">
        <v>18</v>
      </c>
      <c r="I992" s="92">
        <f t="shared" si="15"/>
        <v>18</v>
      </c>
    </row>
    <row r="993" spans="1:9" x14ac:dyDescent="0.2">
      <c r="A993" t="s">
        <v>487</v>
      </c>
      <c r="B993" s="91">
        <v>19</v>
      </c>
      <c r="D993" t="s">
        <v>133</v>
      </c>
      <c r="E993" s="91">
        <v>18</v>
      </c>
      <c r="I993" s="92">
        <f t="shared" si="15"/>
        <v>18</v>
      </c>
    </row>
    <row r="994" spans="1:9" x14ac:dyDescent="0.2">
      <c r="A994" t="s">
        <v>488</v>
      </c>
      <c r="B994" s="91">
        <v>18</v>
      </c>
      <c r="D994" t="s">
        <v>178</v>
      </c>
      <c r="E994" s="91">
        <v>18</v>
      </c>
      <c r="I994" s="92">
        <f t="shared" si="15"/>
        <v>18</v>
      </c>
    </row>
    <row r="995" spans="1:9" x14ac:dyDescent="0.2">
      <c r="A995" t="s">
        <v>489</v>
      </c>
      <c r="B995" s="91">
        <v>18.75</v>
      </c>
      <c r="D995" t="s">
        <v>240</v>
      </c>
      <c r="E995" s="91">
        <v>18</v>
      </c>
      <c r="I995" s="92">
        <f t="shared" si="15"/>
        <v>18</v>
      </c>
    </row>
    <row r="996" spans="1:9" x14ac:dyDescent="0.2">
      <c r="A996" t="s">
        <v>490</v>
      </c>
      <c r="B996" s="91">
        <v>12.82</v>
      </c>
      <c r="D996" t="s">
        <v>283</v>
      </c>
      <c r="E996" s="91">
        <v>18</v>
      </c>
      <c r="I996" s="92">
        <f t="shared" si="15"/>
        <v>18</v>
      </c>
    </row>
    <row r="997" spans="1:9" x14ac:dyDescent="0.2">
      <c r="A997" t="s">
        <v>491</v>
      </c>
      <c r="B997" s="91">
        <v>28</v>
      </c>
      <c r="D997" t="s">
        <v>294</v>
      </c>
      <c r="E997" s="91">
        <v>18</v>
      </c>
      <c r="I997" s="92">
        <f t="shared" si="15"/>
        <v>18</v>
      </c>
    </row>
    <row r="998" spans="1:9" x14ac:dyDescent="0.2">
      <c r="A998" t="s">
        <v>492</v>
      </c>
      <c r="B998" s="91">
        <v>194.5</v>
      </c>
      <c r="D998" t="s">
        <v>301</v>
      </c>
      <c r="E998" s="91">
        <v>18</v>
      </c>
      <c r="I998" s="92">
        <f t="shared" si="15"/>
        <v>18</v>
      </c>
    </row>
    <row r="999" spans="1:9" x14ac:dyDescent="0.2">
      <c r="A999" t="s">
        <v>492</v>
      </c>
      <c r="B999" s="91">
        <v>77</v>
      </c>
      <c r="D999" t="s">
        <v>303</v>
      </c>
      <c r="E999" s="91">
        <v>18</v>
      </c>
      <c r="I999" s="92">
        <f t="shared" si="15"/>
        <v>18</v>
      </c>
    </row>
    <row r="1000" spans="1:9" x14ac:dyDescent="0.2">
      <c r="A1000" t="s">
        <v>493</v>
      </c>
      <c r="B1000" s="91">
        <v>59.5</v>
      </c>
      <c r="D1000" t="s">
        <v>337</v>
      </c>
      <c r="E1000" s="91">
        <v>18</v>
      </c>
      <c r="I1000" s="92">
        <f t="shared" si="15"/>
        <v>18</v>
      </c>
    </row>
    <row r="1001" spans="1:9" x14ac:dyDescent="0.2">
      <c r="A1001" t="s">
        <v>494</v>
      </c>
      <c r="B1001" s="91">
        <v>43.95</v>
      </c>
      <c r="D1001" t="s">
        <v>448</v>
      </c>
      <c r="E1001" s="91">
        <v>18</v>
      </c>
      <c r="I1001" s="92">
        <f t="shared" si="15"/>
        <v>18</v>
      </c>
    </row>
    <row r="1002" spans="1:9" x14ac:dyDescent="0.2">
      <c r="A1002" t="s">
        <v>495</v>
      </c>
      <c r="B1002" s="91">
        <v>7.75</v>
      </c>
      <c r="D1002" t="s">
        <v>449</v>
      </c>
      <c r="E1002" s="91">
        <v>18</v>
      </c>
      <c r="I1002" s="92">
        <f t="shared" si="15"/>
        <v>18</v>
      </c>
    </row>
    <row r="1003" spans="1:9" x14ac:dyDescent="0.2">
      <c r="A1003" t="s">
        <v>496</v>
      </c>
      <c r="B1003" s="91">
        <v>18</v>
      </c>
      <c r="D1003" t="s">
        <v>480</v>
      </c>
      <c r="E1003" s="91">
        <v>18</v>
      </c>
      <c r="I1003" s="92">
        <f t="shared" si="15"/>
        <v>18</v>
      </c>
    </row>
    <row r="1004" spans="1:9" x14ac:dyDescent="0.2">
      <c r="A1004" t="s">
        <v>497</v>
      </c>
      <c r="B1004" s="91">
        <v>22</v>
      </c>
      <c r="D1004" t="s">
        <v>488</v>
      </c>
      <c r="E1004" s="91">
        <v>18</v>
      </c>
      <c r="I1004" s="92">
        <f t="shared" si="15"/>
        <v>18</v>
      </c>
    </row>
    <row r="1005" spans="1:9" x14ac:dyDescent="0.2">
      <c r="A1005" t="s">
        <v>497</v>
      </c>
      <c r="B1005" s="91">
        <v>26.75</v>
      </c>
      <c r="D1005" t="s">
        <v>496</v>
      </c>
      <c r="E1005" s="91">
        <v>18</v>
      </c>
      <c r="I1005" s="92">
        <f t="shared" si="15"/>
        <v>18</v>
      </c>
    </row>
    <row r="1006" spans="1:9" x14ac:dyDescent="0.2">
      <c r="A1006" t="s">
        <v>498</v>
      </c>
      <c r="B1006" s="91">
        <v>10</v>
      </c>
      <c r="D1006" t="s">
        <v>557</v>
      </c>
      <c r="E1006" s="91">
        <v>18</v>
      </c>
      <c r="I1006" s="92">
        <f t="shared" si="15"/>
        <v>18</v>
      </c>
    </row>
    <row r="1007" spans="1:9" x14ac:dyDescent="0.2">
      <c r="A1007" t="s">
        <v>499</v>
      </c>
      <c r="B1007" s="91">
        <v>440</v>
      </c>
      <c r="D1007" t="s">
        <v>567</v>
      </c>
      <c r="E1007" s="91">
        <v>18</v>
      </c>
      <c r="I1007" s="92">
        <f t="shared" si="15"/>
        <v>18</v>
      </c>
    </row>
    <row r="1008" spans="1:9" x14ac:dyDescent="0.2">
      <c r="A1008" t="s">
        <v>499</v>
      </c>
      <c r="B1008" s="91">
        <v>150</v>
      </c>
      <c r="D1008" t="s">
        <v>580</v>
      </c>
      <c r="E1008" s="91">
        <v>18</v>
      </c>
      <c r="I1008" s="92">
        <f t="shared" si="15"/>
        <v>18</v>
      </c>
    </row>
    <row r="1009" spans="1:9" x14ac:dyDescent="0.2">
      <c r="A1009" t="s">
        <v>499</v>
      </c>
      <c r="B1009" s="91">
        <v>700</v>
      </c>
      <c r="D1009" t="s">
        <v>586</v>
      </c>
      <c r="E1009" s="91">
        <v>18</v>
      </c>
      <c r="I1009" s="92">
        <f t="shared" si="15"/>
        <v>18</v>
      </c>
    </row>
    <row r="1010" spans="1:9" x14ac:dyDescent="0.2">
      <c r="A1010" t="s">
        <v>499</v>
      </c>
      <c r="B1010" s="91">
        <v>350</v>
      </c>
      <c r="D1010" t="s">
        <v>605</v>
      </c>
      <c r="E1010" s="91">
        <v>18</v>
      </c>
      <c r="I1010" s="92">
        <f t="shared" si="15"/>
        <v>18</v>
      </c>
    </row>
    <row r="1011" spans="1:9" x14ac:dyDescent="0.2">
      <c r="A1011" t="s">
        <v>499</v>
      </c>
      <c r="B1011" s="91">
        <v>80</v>
      </c>
      <c r="D1011" t="s">
        <v>656</v>
      </c>
      <c r="E1011" s="91">
        <v>18</v>
      </c>
      <c r="I1011" s="92">
        <f t="shared" si="15"/>
        <v>18</v>
      </c>
    </row>
    <row r="1012" spans="1:9" x14ac:dyDescent="0.2">
      <c r="A1012" t="s">
        <v>499</v>
      </c>
      <c r="B1012" s="91">
        <v>600</v>
      </c>
      <c r="D1012" t="s">
        <v>665</v>
      </c>
      <c r="E1012" s="91">
        <v>18</v>
      </c>
      <c r="I1012" s="92">
        <f t="shared" si="15"/>
        <v>18</v>
      </c>
    </row>
    <row r="1013" spans="1:9" x14ac:dyDescent="0.2">
      <c r="A1013" t="s">
        <v>499</v>
      </c>
      <c r="B1013" s="91">
        <v>150</v>
      </c>
      <c r="D1013" t="s">
        <v>673</v>
      </c>
      <c r="E1013" s="91">
        <v>18</v>
      </c>
      <c r="I1013" s="92">
        <f t="shared" si="15"/>
        <v>18</v>
      </c>
    </row>
    <row r="1014" spans="1:9" x14ac:dyDescent="0.2">
      <c r="A1014" t="s">
        <v>499</v>
      </c>
      <c r="B1014" s="91">
        <v>350</v>
      </c>
      <c r="D1014" t="s">
        <v>675</v>
      </c>
      <c r="E1014" s="91">
        <v>18</v>
      </c>
      <c r="I1014" s="92">
        <f t="shared" si="15"/>
        <v>18</v>
      </c>
    </row>
    <row r="1015" spans="1:9" x14ac:dyDescent="0.2">
      <c r="A1015" t="s">
        <v>500</v>
      </c>
      <c r="B1015" s="91">
        <v>14.75</v>
      </c>
      <c r="D1015" t="s">
        <v>713</v>
      </c>
      <c r="E1015" s="91">
        <v>18</v>
      </c>
      <c r="I1015" s="92">
        <f t="shared" si="15"/>
        <v>18</v>
      </c>
    </row>
    <row r="1016" spans="1:9" x14ac:dyDescent="0.2">
      <c r="A1016" t="s">
        <v>501</v>
      </c>
      <c r="B1016" s="91">
        <v>10</v>
      </c>
      <c r="D1016" t="s">
        <v>725</v>
      </c>
      <c r="E1016" s="91">
        <v>18</v>
      </c>
      <c r="I1016" s="92">
        <f t="shared" si="15"/>
        <v>18</v>
      </c>
    </row>
    <row r="1017" spans="1:9" x14ac:dyDescent="0.2">
      <c r="A1017" t="s">
        <v>502</v>
      </c>
      <c r="B1017" s="91">
        <v>67.5</v>
      </c>
      <c r="D1017" t="s">
        <v>734</v>
      </c>
      <c r="E1017" s="91">
        <v>18</v>
      </c>
      <c r="I1017" s="92">
        <f t="shared" si="15"/>
        <v>18</v>
      </c>
    </row>
    <row r="1018" spans="1:9" x14ac:dyDescent="0.2">
      <c r="A1018" t="s">
        <v>502</v>
      </c>
      <c r="B1018" s="91">
        <v>67.5</v>
      </c>
      <c r="D1018" t="s">
        <v>763</v>
      </c>
      <c r="E1018" s="91">
        <v>18</v>
      </c>
      <c r="I1018" s="92">
        <f t="shared" si="15"/>
        <v>18</v>
      </c>
    </row>
    <row r="1019" spans="1:9" x14ac:dyDescent="0.2">
      <c r="A1019" t="s">
        <v>503</v>
      </c>
      <c r="B1019" s="91">
        <v>35.5</v>
      </c>
      <c r="D1019" t="s">
        <v>774</v>
      </c>
      <c r="E1019" s="91">
        <v>18</v>
      </c>
      <c r="I1019" s="92">
        <f t="shared" si="15"/>
        <v>18</v>
      </c>
    </row>
    <row r="1020" spans="1:9" x14ac:dyDescent="0.2">
      <c r="A1020" t="s">
        <v>503</v>
      </c>
      <c r="B1020" s="91">
        <v>33.75</v>
      </c>
      <c r="D1020" t="s">
        <v>811</v>
      </c>
      <c r="E1020" s="91">
        <v>18</v>
      </c>
      <c r="I1020" s="92">
        <f t="shared" si="15"/>
        <v>18</v>
      </c>
    </row>
    <row r="1021" spans="1:9" x14ac:dyDescent="0.2">
      <c r="A1021" t="s">
        <v>503</v>
      </c>
      <c r="B1021" s="91">
        <v>18</v>
      </c>
      <c r="D1021" t="s">
        <v>816</v>
      </c>
      <c r="E1021" s="91">
        <v>18</v>
      </c>
      <c r="I1021" s="92">
        <f t="shared" si="15"/>
        <v>18</v>
      </c>
    </row>
    <row r="1022" spans="1:9" x14ac:dyDescent="0.2">
      <c r="A1022" t="s">
        <v>504</v>
      </c>
      <c r="B1022" s="91">
        <v>165</v>
      </c>
      <c r="D1022" t="s">
        <v>862</v>
      </c>
      <c r="E1022" s="91">
        <v>18</v>
      </c>
      <c r="I1022" s="92">
        <f t="shared" si="15"/>
        <v>18</v>
      </c>
    </row>
    <row r="1023" spans="1:9" x14ac:dyDescent="0.2">
      <c r="A1023" t="s">
        <v>504</v>
      </c>
      <c r="B1023" s="91">
        <v>75</v>
      </c>
      <c r="D1023" t="s">
        <v>878</v>
      </c>
      <c r="E1023" s="91">
        <v>18</v>
      </c>
      <c r="I1023" s="92">
        <f t="shared" si="15"/>
        <v>18</v>
      </c>
    </row>
    <row r="1024" spans="1:9" x14ac:dyDescent="0.2">
      <c r="A1024" t="s">
        <v>504</v>
      </c>
      <c r="B1024" s="91">
        <v>22</v>
      </c>
      <c r="D1024" t="s">
        <v>961</v>
      </c>
      <c r="E1024" s="91">
        <v>18</v>
      </c>
      <c r="I1024" s="92">
        <f t="shared" si="15"/>
        <v>18</v>
      </c>
    </row>
    <row r="1025" spans="1:9" x14ac:dyDescent="0.2">
      <c r="A1025" t="s">
        <v>505</v>
      </c>
      <c r="B1025" s="91">
        <v>6.75</v>
      </c>
      <c r="D1025" t="s">
        <v>1029</v>
      </c>
      <c r="E1025" s="91">
        <v>18</v>
      </c>
      <c r="I1025" s="92">
        <f t="shared" si="15"/>
        <v>18</v>
      </c>
    </row>
    <row r="1026" spans="1:9" x14ac:dyDescent="0.2">
      <c r="A1026" t="s">
        <v>506</v>
      </c>
      <c r="B1026" s="91">
        <v>36.5</v>
      </c>
      <c r="D1026" t="s">
        <v>1077</v>
      </c>
      <c r="E1026" s="91">
        <v>18</v>
      </c>
      <c r="I1026" s="92">
        <f t="shared" si="15"/>
        <v>18</v>
      </c>
    </row>
    <row r="1027" spans="1:9" x14ac:dyDescent="0.2">
      <c r="A1027" t="s">
        <v>506</v>
      </c>
      <c r="B1027" s="91">
        <v>8</v>
      </c>
      <c r="D1027" t="s">
        <v>1087</v>
      </c>
      <c r="E1027" s="91">
        <v>18</v>
      </c>
      <c r="I1027" s="92">
        <f t="shared" ref="I1027:I1090" si="16">E1027-G1027</f>
        <v>18</v>
      </c>
    </row>
    <row r="1028" spans="1:9" x14ac:dyDescent="0.2">
      <c r="A1028" t="s">
        <v>507</v>
      </c>
      <c r="B1028" s="91">
        <v>135</v>
      </c>
      <c r="D1028" t="s">
        <v>1204</v>
      </c>
      <c r="E1028" s="91">
        <v>18</v>
      </c>
      <c r="I1028" s="92">
        <f t="shared" si="16"/>
        <v>18</v>
      </c>
    </row>
    <row r="1029" spans="1:9" x14ac:dyDescent="0.2">
      <c r="A1029" t="s">
        <v>508</v>
      </c>
      <c r="B1029" s="91">
        <v>98</v>
      </c>
      <c r="D1029" t="s">
        <v>1223</v>
      </c>
      <c r="E1029" s="91">
        <v>18</v>
      </c>
      <c r="I1029" s="92">
        <f t="shared" si="16"/>
        <v>18</v>
      </c>
    </row>
    <row r="1030" spans="1:9" x14ac:dyDescent="0.2">
      <c r="A1030" t="s">
        <v>508</v>
      </c>
      <c r="B1030" s="91">
        <v>110</v>
      </c>
      <c r="D1030" t="s">
        <v>1114</v>
      </c>
      <c r="E1030" s="91">
        <v>17.75</v>
      </c>
      <c r="I1030" s="92">
        <f t="shared" si="16"/>
        <v>17.75</v>
      </c>
    </row>
    <row r="1031" spans="1:9" x14ac:dyDescent="0.2">
      <c r="A1031" t="s">
        <v>509</v>
      </c>
      <c r="B1031" s="91">
        <v>64.75</v>
      </c>
      <c r="D1031" t="s">
        <v>1207</v>
      </c>
      <c r="E1031" s="91">
        <v>17.75</v>
      </c>
      <c r="I1031" s="92">
        <f t="shared" si="16"/>
        <v>17.75</v>
      </c>
    </row>
    <row r="1032" spans="1:9" x14ac:dyDescent="0.2">
      <c r="A1032" t="s">
        <v>510</v>
      </c>
      <c r="B1032" s="91">
        <v>53.5</v>
      </c>
      <c r="D1032" t="s">
        <v>41</v>
      </c>
      <c r="E1032" s="91">
        <v>17.5</v>
      </c>
      <c r="I1032" s="92">
        <f t="shared" si="16"/>
        <v>17.5</v>
      </c>
    </row>
    <row r="1033" spans="1:9" x14ac:dyDescent="0.2">
      <c r="A1033" t="s">
        <v>510</v>
      </c>
      <c r="B1033" s="91">
        <v>26.71</v>
      </c>
      <c r="D1033" t="s">
        <v>75</v>
      </c>
      <c r="E1033" s="91">
        <v>17</v>
      </c>
      <c r="I1033" s="92">
        <f t="shared" si="16"/>
        <v>17</v>
      </c>
    </row>
    <row r="1034" spans="1:9" x14ac:dyDescent="0.2">
      <c r="A1034" t="s">
        <v>510</v>
      </c>
      <c r="B1034" s="91">
        <v>3.2300000000000004</v>
      </c>
      <c r="D1034" t="s">
        <v>77</v>
      </c>
      <c r="E1034" s="91">
        <v>17</v>
      </c>
      <c r="I1034" s="92">
        <f t="shared" si="16"/>
        <v>17</v>
      </c>
    </row>
    <row r="1035" spans="1:9" x14ac:dyDescent="0.2">
      <c r="A1035" t="s">
        <v>511</v>
      </c>
      <c r="B1035" s="91">
        <v>432</v>
      </c>
      <c r="D1035" t="s">
        <v>117</v>
      </c>
      <c r="E1035" s="91">
        <v>16.87</v>
      </c>
      <c r="I1035" s="92">
        <f t="shared" si="16"/>
        <v>16.87</v>
      </c>
    </row>
    <row r="1036" spans="1:9" x14ac:dyDescent="0.2">
      <c r="A1036" t="s">
        <v>511</v>
      </c>
      <c r="B1036" s="91">
        <v>80</v>
      </c>
      <c r="D1036" t="s">
        <v>319</v>
      </c>
      <c r="E1036" s="91">
        <v>16.87</v>
      </c>
      <c r="I1036" s="92">
        <f t="shared" si="16"/>
        <v>16.87</v>
      </c>
    </row>
    <row r="1037" spans="1:9" x14ac:dyDescent="0.2">
      <c r="A1037" t="s">
        <v>512</v>
      </c>
      <c r="B1037" s="91">
        <v>262</v>
      </c>
      <c r="D1037" t="s">
        <v>564</v>
      </c>
      <c r="E1037" s="91">
        <v>16.75</v>
      </c>
      <c r="I1037" s="92">
        <f t="shared" si="16"/>
        <v>16.75</v>
      </c>
    </row>
    <row r="1038" spans="1:9" x14ac:dyDescent="0.2">
      <c r="A1038" t="s">
        <v>513</v>
      </c>
      <c r="B1038" s="91">
        <v>44</v>
      </c>
      <c r="D1038" t="s">
        <v>297</v>
      </c>
      <c r="E1038" s="91">
        <v>16.5</v>
      </c>
      <c r="I1038" s="92">
        <f t="shared" si="16"/>
        <v>16.5</v>
      </c>
    </row>
    <row r="1039" spans="1:9" x14ac:dyDescent="0.2">
      <c r="A1039" t="s">
        <v>513</v>
      </c>
      <c r="B1039" s="91">
        <v>53.5</v>
      </c>
      <c r="D1039" t="s">
        <v>370</v>
      </c>
      <c r="E1039" s="91">
        <v>16.2</v>
      </c>
      <c r="I1039" s="92">
        <f t="shared" si="16"/>
        <v>16.2</v>
      </c>
    </row>
    <row r="1040" spans="1:9" x14ac:dyDescent="0.2">
      <c r="A1040" t="s">
        <v>513</v>
      </c>
      <c r="B1040" s="91">
        <v>26.71</v>
      </c>
      <c r="D1040" t="s">
        <v>517</v>
      </c>
      <c r="E1040" s="91">
        <v>16.2</v>
      </c>
      <c r="I1040" s="92">
        <f t="shared" si="16"/>
        <v>16.2</v>
      </c>
    </row>
    <row r="1041" spans="1:9" x14ac:dyDescent="0.2">
      <c r="A1041" t="s">
        <v>513</v>
      </c>
      <c r="B1041" s="91">
        <v>18</v>
      </c>
      <c r="D1041" t="s">
        <v>541</v>
      </c>
      <c r="E1041" s="91">
        <v>16</v>
      </c>
      <c r="I1041" s="92">
        <f t="shared" si="16"/>
        <v>16</v>
      </c>
    </row>
    <row r="1042" spans="1:9" x14ac:dyDescent="0.2">
      <c r="A1042" t="s">
        <v>513</v>
      </c>
      <c r="B1042" s="91">
        <v>49.5</v>
      </c>
      <c r="D1042" t="s">
        <v>727</v>
      </c>
      <c r="E1042" s="91">
        <v>16</v>
      </c>
      <c r="I1042" s="92">
        <f t="shared" si="16"/>
        <v>16</v>
      </c>
    </row>
    <row r="1043" spans="1:9" x14ac:dyDescent="0.2">
      <c r="A1043" t="s">
        <v>513</v>
      </c>
      <c r="B1043" s="91">
        <v>-0.26999999999999957</v>
      </c>
      <c r="D1043" t="s">
        <v>175</v>
      </c>
      <c r="E1043" s="91">
        <v>15.75</v>
      </c>
      <c r="I1043" s="92">
        <f t="shared" si="16"/>
        <v>15.75</v>
      </c>
    </row>
    <row r="1044" spans="1:9" x14ac:dyDescent="0.2">
      <c r="A1044" t="s">
        <v>514</v>
      </c>
      <c r="B1044" s="91">
        <v>24.75</v>
      </c>
      <c r="D1044" t="s">
        <v>276</v>
      </c>
      <c r="E1044" s="91">
        <v>15.75</v>
      </c>
      <c r="I1044" s="92">
        <f t="shared" si="16"/>
        <v>15.75</v>
      </c>
    </row>
    <row r="1045" spans="1:9" x14ac:dyDescent="0.2">
      <c r="A1045" t="s">
        <v>514</v>
      </c>
      <c r="B1045" s="91">
        <v>11</v>
      </c>
      <c r="D1045" t="s">
        <v>265</v>
      </c>
      <c r="E1045" s="91">
        <v>15.52</v>
      </c>
      <c r="I1045" s="92">
        <f t="shared" si="16"/>
        <v>15.52</v>
      </c>
    </row>
    <row r="1046" spans="1:9" x14ac:dyDescent="0.2">
      <c r="A1046" t="s">
        <v>514</v>
      </c>
      <c r="B1046" s="91">
        <v>6.77</v>
      </c>
      <c r="D1046" t="s">
        <v>208</v>
      </c>
      <c r="E1046" s="91">
        <v>15.5</v>
      </c>
      <c r="I1046" s="92">
        <f t="shared" si="16"/>
        <v>15.5</v>
      </c>
    </row>
    <row r="1047" spans="1:9" x14ac:dyDescent="0.2">
      <c r="A1047" t="s">
        <v>515</v>
      </c>
      <c r="B1047" s="91">
        <v>110</v>
      </c>
      <c r="D1047" t="s">
        <v>623</v>
      </c>
      <c r="E1047" s="91">
        <v>15.5</v>
      </c>
      <c r="I1047" s="92">
        <f t="shared" si="16"/>
        <v>15.5</v>
      </c>
    </row>
    <row r="1048" spans="1:9" x14ac:dyDescent="0.2">
      <c r="A1048" t="s">
        <v>516</v>
      </c>
      <c r="B1048" s="91">
        <v>12.82</v>
      </c>
      <c r="D1048" t="s">
        <v>1103</v>
      </c>
      <c r="E1048" s="91">
        <v>15.5</v>
      </c>
      <c r="I1048" s="92">
        <f t="shared" si="16"/>
        <v>15.5</v>
      </c>
    </row>
    <row r="1049" spans="1:9" x14ac:dyDescent="0.2">
      <c r="A1049" t="s">
        <v>517</v>
      </c>
      <c r="B1049" s="91">
        <v>16.2</v>
      </c>
      <c r="D1049" t="s">
        <v>340</v>
      </c>
      <c r="E1049" s="91">
        <v>15.3</v>
      </c>
      <c r="I1049" s="92">
        <f t="shared" si="16"/>
        <v>15.3</v>
      </c>
    </row>
    <row r="1050" spans="1:9" x14ac:dyDescent="0.2">
      <c r="A1050" t="s">
        <v>518</v>
      </c>
      <c r="B1050" s="91">
        <v>48.2</v>
      </c>
      <c r="D1050" t="s">
        <v>222</v>
      </c>
      <c r="E1050" s="91">
        <v>15.15</v>
      </c>
      <c r="I1050" s="92">
        <f t="shared" si="16"/>
        <v>15.15</v>
      </c>
    </row>
    <row r="1051" spans="1:9" x14ac:dyDescent="0.2">
      <c r="A1051" t="s">
        <v>519</v>
      </c>
      <c r="B1051" s="91">
        <v>12.25</v>
      </c>
      <c r="D1051" t="s">
        <v>128</v>
      </c>
      <c r="E1051" s="91">
        <v>15</v>
      </c>
      <c r="I1051" s="92">
        <f t="shared" si="16"/>
        <v>15</v>
      </c>
    </row>
    <row r="1052" spans="1:9" x14ac:dyDescent="0.2">
      <c r="A1052" t="s">
        <v>519</v>
      </c>
      <c r="B1052" s="91">
        <v>11.370000000000001</v>
      </c>
      <c r="D1052" t="s">
        <v>148</v>
      </c>
      <c r="E1052" s="91">
        <v>15</v>
      </c>
      <c r="I1052" s="92">
        <f t="shared" si="16"/>
        <v>15</v>
      </c>
    </row>
    <row r="1053" spans="1:9" x14ac:dyDescent="0.2">
      <c r="A1053" t="s">
        <v>520</v>
      </c>
      <c r="B1053" s="91">
        <v>60</v>
      </c>
      <c r="D1053" t="s">
        <v>292</v>
      </c>
      <c r="E1053" s="91">
        <v>15</v>
      </c>
      <c r="I1053" s="92">
        <f t="shared" si="16"/>
        <v>15</v>
      </c>
    </row>
    <row r="1054" spans="1:9" x14ac:dyDescent="0.2">
      <c r="A1054" t="s">
        <v>520</v>
      </c>
      <c r="B1054" s="91">
        <v>15.6</v>
      </c>
      <c r="D1054" t="s">
        <v>863</v>
      </c>
      <c r="E1054" s="91">
        <v>15</v>
      </c>
      <c r="I1054" s="92">
        <f t="shared" si="16"/>
        <v>15</v>
      </c>
    </row>
    <row r="1055" spans="1:9" x14ac:dyDescent="0.2">
      <c r="A1055" t="s">
        <v>521</v>
      </c>
      <c r="B1055" s="91">
        <v>22</v>
      </c>
      <c r="D1055" t="s">
        <v>1220</v>
      </c>
      <c r="E1055" s="91">
        <v>15</v>
      </c>
      <c r="I1055" s="92">
        <f t="shared" si="16"/>
        <v>15</v>
      </c>
    </row>
    <row r="1056" spans="1:9" x14ac:dyDescent="0.2">
      <c r="A1056" t="s">
        <v>522</v>
      </c>
      <c r="B1056" s="91">
        <v>23.85</v>
      </c>
      <c r="D1056" t="s">
        <v>83</v>
      </c>
      <c r="E1056" s="91">
        <v>14.75</v>
      </c>
      <c r="I1056" s="92">
        <f t="shared" si="16"/>
        <v>14.75</v>
      </c>
    </row>
    <row r="1057" spans="1:9" x14ac:dyDescent="0.2">
      <c r="A1057" t="s">
        <v>523</v>
      </c>
      <c r="B1057" s="91">
        <v>70.25</v>
      </c>
      <c r="D1057" t="s">
        <v>146</v>
      </c>
      <c r="E1057" s="91">
        <v>14.75</v>
      </c>
      <c r="I1057" s="92">
        <f t="shared" si="16"/>
        <v>14.75</v>
      </c>
    </row>
    <row r="1058" spans="1:9" x14ac:dyDescent="0.2">
      <c r="A1058" t="s">
        <v>523</v>
      </c>
      <c r="B1058" s="91">
        <v>27.25</v>
      </c>
      <c r="D1058" t="s">
        <v>154</v>
      </c>
      <c r="E1058" s="91">
        <v>14.75</v>
      </c>
      <c r="I1058" s="92">
        <f t="shared" si="16"/>
        <v>14.75</v>
      </c>
    </row>
    <row r="1059" spans="1:9" x14ac:dyDescent="0.2">
      <c r="A1059" t="s">
        <v>523</v>
      </c>
      <c r="B1059" s="91">
        <v>41.5</v>
      </c>
      <c r="D1059" t="s">
        <v>198</v>
      </c>
      <c r="E1059" s="91">
        <v>14.75</v>
      </c>
      <c r="I1059" s="92">
        <f t="shared" si="16"/>
        <v>14.75</v>
      </c>
    </row>
    <row r="1060" spans="1:9" x14ac:dyDescent="0.2">
      <c r="A1060" t="s">
        <v>523</v>
      </c>
      <c r="B1060" s="91">
        <v>64.75</v>
      </c>
      <c r="D1060" t="s">
        <v>299</v>
      </c>
      <c r="E1060" s="91">
        <v>14.75</v>
      </c>
      <c r="I1060" s="92">
        <f t="shared" si="16"/>
        <v>14.75</v>
      </c>
    </row>
    <row r="1061" spans="1:9" x14ac:dyDescent="0.2">
      <c r="A1061" t="s">
        <v>524</v>
      </c>
      <c r="B1061" s="91">
        <v>145</v>
      </c>
      <c r="D1061" t="s">
        <v>336</v>
      </c>
      <c r="E1061" s="91">
        <v>14.75</v>
      </c>
      <c r="I1061" s="92">
        <f t="shared" si="16"/>
        <v>14.75</v>
      </c>
    </row>
    <row r="1062" spans="1:9" x14ac:dyDescent="0.2">
      <c r="A1062" t="s">
        <v>525</v>
      </c>
      <c r="B1062" s="91">
        <v>20.75</v>
      </c>
      <c r="D1062" t="s">
        <v>465</v>
      </c>
      <c r="E1062" s="91">
        <v>14.75</v>
      </c>
      <c r="I1062" s="92">
        <f t="shared" si="16"/>
        <v>14.75</v>
      </c>
    </row>
    <row r="1063" spans="1:9" x14ac:dyDescent="0.2">
      <c r="A1063" t="s">
        <v>525</v>
      </c>
      <c r="B1063" s="91">
        <v>4.9000000000000004</v>
      </c>
      <c r="D1063" t="s">
        <v>500</v>
      </c>
      <c r="E1063" s="91">
        <v>14.75</v>
      </c>
      <c r="I1063" s="92">
        <f t="shared" si="16"/>
        <v>14.75</v>
      </c>
    </row>
    <row r="1064" spans="1:9" x14ac:dyDescent="0.2">
      <c r="A1064" t="s">
        <v>526</v>
      </c>
      <c r="B1064" s="91">
        <v>66</v>
      </c>
      <c r="D1064" t="s">
        <v>584</v>
      </c>
      <c r="E1064" s="91">
        <v>14.75</v>
      </c>
      <c r="I1064" s="92">
        <f t="shared" si="16"/>
        <v>14.75</v>
      </c>
    </row>
    <row r="1065" spans="1:9" x14ac:dyDescent="0.2">
      <c r="A1065" t="s">
        <v>527</v>
      </c>
      <c r="B1065" s="91">
        <v>20</v>
      </c>
      <c r="D1065" t="s">
        <v>732</v>
      </c>
      <c r="E1065" s="91">
        <v>14.75</v>
      </c>
      <c r="I1065" s="92">
        <f t="shared" si="16"/>
        <v>14.75</v>
      </c>
    </row>
    <row r="1066" spans="1:9" x14ac:dyDescent="0.2">
      <c r="A1066" t="s">
        <v>528</v>
      </c>
      <c r="B1066" s="91">
        <v>26.71</v>
      </c>
      <c r="D1066" t="s">
        <v>786</v>
      </c>
      <c r="E1066" s="91">
        <v>14.75</v>
      </c>
      <c r="I1066" s="92">
        <f t="shared" si="16"/>
        <v>14.75</v>
      </c>
    </row>
    <row r="1067" spans="1:9" x14ac:dyDescent="0.2">
      <c r="A1067" t="s">
        <v>528</v>
      </c>
      <c r="B1067" s="91">
        <v>23.75</v>
      </c>
      <c r="D1067" t="s">
        <v>818</v>
      </c>
      <c r="E1067" s="91">
        <v>14.75</v>
      </c>
      <c r="I1067" s="92">
        <f t="shared" si="16"/>
        <v>14.75</v>
      </c>
    </row>
    <row r="1068" spans="1:9" x14ac:dyDescent="0.2">
      <c r="A1068" t="s">
        <v>529</v>
      </c>
      <c r="B1068" s="91">
        <v>12.370000000000001</v>
      </c>
      <c r="D1068" t="s">
        <v>820</v>
      </c>
      <c r="E1068" s="91">
        <v>14.75</v>
      </c>
      <c r="I1068" s="92">
        <f t="shared" si="16"/>
        <v>14.75</v>
      </c>
    </row>
    <row r="1069" spans="1:9" x14ac:dyDescent="0.2">
      <c r="A1069" t="s">
        <v>530</v>
      </c>
      <c r="B1069" s="91">
        <v>11</v>
      </c>
      <c r="D1069" t="s">
        <v>822</v>
      </c>
      <c r="E1069" s="91">
        <v>14.75</v>
      </c>
      <c r="I1069" s="92">
        <f t="shared" si="16"/>
        <v>14.75</v>
      </c>
    </row>
    <row r="1070" spans="1:9" x14ac:dyDescent="0.2">
      <c r="A1070" t="s">
        <v>531</v>
      </c>
      <c r="B1070" s="91">
        <v>20.25</v>
      </c>
      <c r="D1070" t="s">
        <v>857</v>
      </c>
      <c r="E1070" s="91">
        <v>14.75</v>
      </c>
      <c r="I1070" s="92">
        <f t="shared" si="16"/>
        <v>14.75</v>
      </c>
    </row>
    <row r="1071" spans="1:9" x14ac:dyDescent="0.2">
      <c r="A1071" t="s">
        <v>531</v>
      </c>
      <c r="B1071" s="91">
        <v>45</v>
      </c>
      <c r="D1071" t="s">
        <v>894</v>
      </c>
      <c r="E1071" s="91">
        <v>14.75</v>
      </c>
      <c r="I1071" s="92">
        <f t="shared" si="16"/>
        <v>14.75</v>
      </c>
    </row>
    <row r="1072" spans="1:9" x14ac:dyDescent="0.2">
      <c r="A1072" t="s">
        <v>531</v>
      </c>
      <c r="B1072" s="91">
        <v>18</v>
      </c>
      <c r="D1072" t="s">
        <v>974</v>
      </c>
      <c r="E1072" s="91">
        <v>14.75</v>
      </c>
      <c r="I1072" s="92">
        <f t="shared" si="16"/>
        <v>14.75</v>
      </c>
    </row>
    <row r="1073" spans="1:9" x14ac:dyDescent="0.2">
      <c r="A1073" t="s">
        <v>531</v>
      </c>
      <c r="B1073" s="91">
        <v>47.5</v>
      </c>
      <c r="D1073" t="s">
        <v>1053</v>
      </c>
      <c r="E1073" s="91">
        <v>14.75</v>
      </c>
      <c r="I1073" s="92">
        <f t="shared" si="16"/>
        <v>14.75</v>
      </c>
    </row>
    <row r="1074" spans="1:9" x14ac:dyDescent="0.2">
      <c r="A1074" t="s">
        <v>531</v>
      </c>
      <c r="B1074" s="91">
        <v>18</v>
      </c>
      <c r="D1074" t="s">
        <v>1091</v>
      </c>
      <c r="E1074" s="91">
        <v>14.75</v>
      </c>
      <c r="I1074" s="92">
        <f t="shared" si="16"/>
        <v>14.75</v>
      </c>
    </row>
    <row r="1075" spans="1:9" x14ac:dyDescent="0.2">
      <c r="A1075" t="s">
        <v>531</v>
      </c>
      <c r="B1075" s="91">
        <v>21.75</v>
      </c>
      <c r="D1075" t="s">
        <v>1218</v>
      </c>
      <c r="E1075" s="91">
        <v>14.75</v>
      </c>
      <c r="I1075" s="92">
        <f t="shared" si="16"/>
        <v>14.75</v>
      </c>
    </row>
    <row r="1076" spans="1:9" x14ac:dyDescent="0.2">
      <c r="A1076" t="s">
        <v>532</v>
      </c>
      <c r="B1076" s="91">
        <v>12</v>
      </c>
      <c r="D1076" t="s">
        <v>406</v>
      </c>
      <c r="E1076" s="91">
        <v>14.5</v>
      </c>
      <c r="I1076" s="92">
        <f t="shared" si="16"/>
        <v>14.5</v>
      </c>
    </row>
    <row r="1077" spans="1:9" x14ac:dyDescent="0.2">
      <c r="A1077" t="s">
        <v>533</v>
      </c>
      <c r="B1077" s="91">
        <v>18.670000000000002</v>
      </c>
      <c r="D1077" t="s">
        <v>1138</v>
      </c>
      <c r="E1077" s="91">
        <v>14.5</v>
      </c>
      <c r="I1077" s="92">
        <f t="shared" si="16"/>
        <v>14.5</v>
      </c>
    </row>
    <row r="1078" spans="1:9" x14ac:dyDescent="0.2">
      <c r="A1078" t="s">
        <v>534</v>
      </c>
      <c r="B1078" s="91">
        <v>36</v>
      </c>
      <c r="D1078" t="s">
        <v>845</v>
      </c>
      <c r="E1078" s="91">
        <v>14.25</v>
      </c>
      <c r="I1078" s="92">
        <f t="shared" si="16"/>
        <v>14.25</v>
      </c>
    </row>
    <row r="1079" spans="1:9" x14ac:dyDescent="0.2">
      <c r="A1079" t="s">
        <v>534</v>
      </c>
      <c r="B1079" s="91">
        <v>18</v>
      </c>
      <c r="D1079" t="s">
        <v>901</v>
      </c>
      <c r="E1079" s="91">
        <v>14.25</v>
      </c>
      <c r="I1079" s="92">
        <f t="shared" si="16"/>
        <v>14.25</v>
      </c>
    </row>
    <row r="1080" spans="1:9" x14ac:dyDescent="0.2">
      <c r="A1080" t="s">
        <v>534</v>
      </c>
      <c r="B1080" s="91">
        <v>13.5</v>
      </c>
      <c r="D1080" t="s">
        <v>1002</v>
      </c>
      <c r="E1080" s="91">
        <v>14.25</v>
      </c>
      <c r="I1080" s="92">
        <f t="shared" si="16"/>
        <v>14.25</v>
      </c>
    </row>
    <row r="1081" spans="1:9" x14ac:dyDescent="0.2">
      <c r="A1081" t="s">
        <v>534</v>
      </c>
      <c r="B1081" s="91">
        <v>10</v>
      </c>
      <c r="D1081" t="s">
        <v>1061</v>
      </c>
      <c r="E1081" s="91">
        <v>14.25</v>
      </c>
      <c r="I1081" s="92">
        <f t="shared" si="16"/>
        <v>14.25</v>
      </c>
    </row>
    <row r="1082" spans="1:9" x14ac:dyDescent="0.2">
      <c r="A1082" t="s">
        <v>534</v>
      </c>
      <c r="B1082" s="91">
        <v>18.25</v>
      </c>
      <c r="D1082" t="s">
        <v>1144</v>
      </c>
      <c r="E1082" s="91">
        <v>14.25</v>
      </c>
      <c r="I1082" s="92">
        <f t="shared" si="16"/>
        <v>14.25</v>
      </c>
    </row>
    <row r="1083" spans="1:9" x14ac:dyDescent="0.2">
      <c r="A1083" t="s">
        <v>534</v>
      </c>
      <c r="B1083" s="91">
        <v>22</v>
      </c>
      <c r="D1083" t="s">
        <v>1159</v>
      </c>
      <c r="E1083" s="91">
        <v>14.25</v>
      </c>
      <c r="I1083" s="92">
        <f t="shared" si="16"/>
        <v>14.25</v>
      </c>
    </row>
    <row r="1084" spans="1:9" x14ac:dyDescent="0.2">
      <c r="A1084" t="s">
        <v>535</v>
      </c>
      <c r="B1084" s="91">
        <v>19</v>
      </c>
      <c r="D1084" t="s">
        <v>1229</v>
      </c>
      <c r="E1084" s="91">
        <v>14.25</v>
      </c>
      <c r="I1084" s="92">
        <f t="shared" si="16"/>
        <v>14.25</v>
      </c>
    </row>
    <row r="1085" spans="1:9" x14ac:dyDescent="0.2">
      <c r="A1085" t="s">
        <v>536</v>
      </c>
      <c r="B1085" s="91">
        <v>200</v>
      </c>
      <c r="D1085" t="s">
        <v>1233</v>
      </c>
      <c r="E1085" s="91">
        <v>14.25</v>
      </c>
      <c r="I1085" s="92">
        <f t="shared" si="16"/>
        <v>14.25</v>
      </c>
    </row>
    <row r="1086" spans="1:9" x14ac:dyDescent="0.2">
      <c r="A1086" t="s">
        <v>537</v>
      </c>
      <c r="B1086" s="91">
        <v>187.75</v>
      </c>
      <c r="D1086" t="s">
        <v>364</v>
      </c>
      <c r="E1086" s="91">
        <v>14.17</v>
      </c>
      <c r="I1086" s="92">
        <f t="shared" si="16"/>
        <v>14.17</v>
      </c>
    </row>
    <row r="1087" spans="1:9" x14ac:dyDescent="0.2">
      <c r="A1087" t="s">
        <v>537</v>
      </c>
      <c r="B1087" s="91">
        <v>103.5</v>
      </c>
      <c r="D1087" t="s">
        <v>717</v>
      </c>
      <c r="E1087" s="91">
        <v>14</v>
      </c>
      <c r="I1087" s="92">
        <f t="shared" si="16"/>
        <v>14</v>
      </c>
    </row>
    <row r="1088" spans="1:9" x14ac:dyDescent="0.2">
      <c r="A1088" t="s">
        <v>537</v>
      </c>
      <c r="B1088" s="91">
        <v>7.5499999999999972</v>
      </c>
      <c r="D1088" t="s">
        <v>800</v>
      </c>
      <c r="E1088" s="91">
        <v>14</v>
      </c>
      <c r="I1088" s="92">
        <f t="shared" si="16"/>
        <v>14</v>
      </c>
    </row>
    <row r="1089" spans="1:9" x14ac:dyDescent="0.2">
      <c r="A1089" t="s">
        <v>537</v>
      </c>
      <c r="B1089" s="91">
        <v>85</v>
      </c>
      <c r="D1089" t="s">
        <v>151</v>
      </c>
      <c r="E1089" s="91">
        <v>13.75</v>
      </c>
      <c r="I1089" s="92">
        <f t="shared" si="16"/>
        <v>13.75</v>
      </c>
    </row>
    <row r="1090" spans="1:9" x14ac:dyDescent="0.2">
      <c r="A1090" t="s">
        <v>538</v>
      </c>
      <c r="B1090" s="91">
        <v>26</v>
      </c>
      <c r="D1090" t="s">
        <v>762</v>
      </c>
      <c r="E1090" s="91">
        <v>13.75</v>
      </c>
      <c r="I1090" s="92">
        <f t="shared" si="16"/>
        <v>13.75</v>
      </c>
    </row>
    <row r="1091" spans="1:9" x14ac:dyDescent="0.2">
      <c r="A1091" t="s">
        <v>538</v>
      </c>
      <c r="B1091" s="91">
        <v>28</v>
      </c>
      <c r="D1091" t="s">
        <v>1115</v>
      </c>
      <c r="E1091" s="91">
        <v>13.75</v>
      </c>
      <c r="I1091" s="92">
        <f t="shared" ref="I1091:I1154" si="17">E1091-G1091</f>
        <v>13.75</v>
      </c>
    </row>
    <row r="1092" spans="1:9" x14ac:dyDescent="0.2">
      <c r="A1092" t="s">
        <v>539</v>
      </c>
      <c r="B1092" s="91">
        <v>6.5</v>
      </c>
      <c r="D1092" t="s">
        <v>1224</v>
      </c>
      <c r="E1092" s="91">
        <v>13.75</v>
      </c>
      <c r="I1092" s="92">
        <f t="shared" si="17"/>
        <v>13.75</v>
      </c>
    </row>
    <row r="1093" spans="1:9" x14ac:dyDescent="0.2">
      <c r="A1093" t="s">
        <v>539</v>
      </c>
      <c r="B1093" s="91">
        <v>3</v>
      </c>
      <c r="D1093" t="s">
        <v>481</v>
      </c>
      <c r="E1093" s="91">
        <v>13.5</v>
      </c>
      <c r="I1093" s="92">
        <f t="shared" si="17"/>
        <v>13.5</v>
      </c>
    </row>
    <row r="1094" spans="1:9" x14ac:dyDescent="0.2">
      <c r="A1094" t="s">
        <v>540</v>
      </c>
      <c r="B1094" s="91">
        <v>7.75</v>
      </c>
      <c r="D1094" t="s">
        <v>1021</v>
      </c>
      <c r="E1094" s="91">
        <v>13.5</v>
      </c>
      <c r="I1094" s="92">
        <f t="shared" si="17"/>
        <v>13.5</v>
      </c>
    </row>
    <row r="1095" spans="1:9" x14ac:dyDescent="0.2">
      <c r="A1095" t="s">
        <v>541</v>
      </c>
      <c r="B1095" s="91">
        <v>7.75</v>
      </c>
      <c r="D1095" t="s">
        <v>1184</v>
      </c>
      <c r="E1095" s="91">
        <v>13.5</v>
      </c>
      <c r="I1095" s="92">
        <f t="shared" si="17"/>
        <v>13.5</v>
      </c>
    </row>
    <row r="1096" spans="1:9" x14ac:dyDescent="0.2">
      <c r="A1096" t="s">
        <v>541</v>
      </c>
      <c r="B1096" s="91">
        <v>8.25</v>
      </c>
      <c r="D1096" t="s">
        <v>373</v>
      </c>
      <c r="E1096" s="91">
        <v>13.27</v>
      </c>
      <c r="I1096" s="92">
        <f t="shared" si="17"/>
        <v>13.27</v>
      </c>
    </row>
    <row r="1097" spans="1:9" x14ac:dyDescent="0.2">
      <c r="A1097" t="s">
        <v>542</v>
      </c>
      <c r="B1097" s="91">
        <v>110</v>
      </c>
      <c r="D1097" t="s">
        <v>787</v>
      </c>
      <c r="E1097" s="91">
        <v>13.25</v>
      </c>
      <c r="I1097" s="92">
        <f t="shared" si="17"/>
        <v>13.25</v>
      </c>
    </row>
    <row r="1098" spans="1:9" x14ac:dyDescent="0.2">
      <c r="A1098" t="s">
        <v>542</v>
      </c>
      <c r="B1098" s="91">
        <v>216</v>
      </c>
      <c r="D1098" t="s">
        <v>172</v>
      </c>
      <c r="E1098" s="91">
        <v>13</v>
      </c>
      <c r="I1098" s="92">
        <f t="shared" si="17"/>
        <v>13</v>
      </c>
    </row>
    <row r="1099" spans="1:9" x14ac:dyDescent="0.2">
      <c r="A1099" t="s">
        <v>542</v>
      </c>
      <c r="B1099" s="91">
        <v>72</v>
      </c>
      <c r="D1099" t="s">
        <v>379</v>
      </c>
      <c r="E1099" s="91">
        <v>13</v>
      </c>
      <c r="I1099" s="92">
        <f t="shared" si="17"/>
        <v>13</v>
      </c>
    </row>
    <row r="1100" spans="1:9" x14ac:dyDescent="0.2">
      <c r="A1100" t="s">
        <v>542</v>
      </c>
      <c r="B1100" s="91">
        <v>21.75</v>
      </c>
      <c r="D1100" t="s">
        <v>413</v>
      </c>
      <c r="E1100" s="91">
        <v>13</v>
      </c>
      <c r="I1100" s="92">
        <f t="shared" si="17"/>
        <v>13</v>
      </c>
    </row>
    <row r="1101" spans="1:9" x14ac:dyDescent="0.2">
      <c r="A1101" t="s">
        <v>542</v>
      </c>
      <c r="B1101" s="91">
        <v>70.75</v>
      </c>
      <c r="D1101" t="s">
        <v>1079</v>
      </c>
      <c r="E1101" s="91">
        <v>13</v>
      </c>
      <c r="I1101" s="92">
        <f t="shared" si="17"/>
        <v>13</v>
      </c>
    </row>
    <row r="1102" spans="1:9" x14ac:dyDescent="0.2">
      <c r="A1102" t="s">
        <v>542</v>
      </c>
      <c r="B1102" s="91">
        <v>17.5</v>
      </c>
      <c r="D1102" t="s">
        <v>563</v>
      </c>
      <c r="E1102" s="91">
        <v>12.85</v>
      </c>
      <c r="I1102" s="92">
        <f t="shared" si="17"/>
        <v>12.85</v>
      </c>
    </row>
    <row r="1103" spans="1:9" x14ac:dyDescent="0.2">
      <c r="A1103" t="s">
        <v>542</v>
      </c>
      <c r="B1103" s="91">
        <v>14.75</v>
      </c>
      <c r="D1103" t="s">
        <v>274</v>
      </c>
      <c r="E1103" s="91">
        <v>12.82</v>
      </c>
      <c r="I1103" s="92">
        <f t="shared" si="17"/>
        <v>12.82</v>
      </c>
    </row>
    <row r="1104" spans="1:9" x14ac:dyDescent="0.2">
      <c r="A1104" t="s">
        <v>543</v>
      </c>
      <c r="B1104" s="91">
        <v>240</v>
      </c>
      <c r="D1104" t="s">
        <v>490</v>
      </c>
      <c r="E1104" s="91">
        <v>12.82</v>
      </c>
      <c r="I1104" s="92">
        <f t="shared" si="17"/>
        <v>12.82</v>
      </c>
    </row>
    <row r="1105" spans="1:9" x14ac:dyDescent="0.2">
      <c r="A1105" t="s">
        <v>543</v>
      </c>
      <c r="B1105" s="91">
        <v>200</v>
      </c>
      <c r="D1105" t="s">
        <v>516</v>
      </c>
      <c r="E1105" s="91">
        <v>12.82</v>
      </c>
      <c r="I1105" s="92">
        <f t="shared" si="17"/>
        <v>12.82</v>
      </c>
    </row>
    <row r="1106" spans="1:9" x14ac:dyDescent="0.2">
      <c r="A1106" t="s">
        <v>544</v>
      </c>
      <c r="B1106" s="91">
        <v>1750</v>
      </c>
      <c r="D1106" t="s">
        <v>547</v>
      </c>
      <c r="E1106" s="91">
        <v>12.82</v>
      </c>
      <c r="I1106" s="92">
        <f t="shared" si="17"/>
        <v>12.82</v>
      </c>
    </row>
    <row r="1107" spans="1:9" x14ac:dyDescent="0.2">
      <c r="A1107" t="s">
        <v>545</v>
      </c>
      <c r="B1107" s="91">
        <v>1200</v>
      </c>
      <c r="D1107" t="s">
        <v>611</v>
      </c>
      <c r="E1107" s="91">
        <v>12.82</v>
      </c>
      <c r="I1107" s="92">
        <f t="shared" si="17"/>
        <v>12.82</v>
      </c>
    </row>
    <row r="1108" spans="1:9" x14ac:dyDescent="0.2">
      <c r="A1108" t="s">
        <v>545</v>
      </c>
      <c r="B1108" s="91">
        <v>1200</v>
      </c>
      <c r="D1108" t="s">
        <v>619</v>
      </c>
      <c r="E1108" s="91">
        <v>12.82</v>
      </c>
      <c r="I1108" s="92">
        <f t="shared" si="17"/>
        <v>12.82</v>
      </c>
    </row>
    <row r="1109" spans="1:9" x14ac:dyDescent="0.2">
      <c r="A1109" t="s">
        <v>545</v>
      </c>
      <c r="B1109" s="91">
        <v>600</v>
      </c>
      <c r="D1109" t="s">
        <v>691</v>
      </c>
      <c r="E1109" s="91">
        <v>12.82</v>
      </c>
      <c r="I1109" s="92">
        <f t="shared" si="17"/>
        <v>12.82</v>
      </c>
    </row>
    <row r="1110" spans="1:9" x14ac:dyDescent="0.2">
      <c r="A1110" t="s">
        <v>545</v>
      </c>
      <c r="B1110" s="91">
        <v>1400</v>
      </c>
      <c r="D1110" t="s">
        <v>171</v>
      </c>
      <c r="E1110" s="91">
        <v>12.6</v>
      </c>
      <c r="I1110" s="92">
        <f t="shared" si="17"/>
        <v>12.6</v>
      </c>
    </row>
    <row r="1111" spans="1:9" x14ac:dyDescent="0.2">
      <c r="A1111" t="s">
        <v>546</v>
      </c>
      <c r="B1111" s="91">
        <v>9</v>
      </c>
      <c r="D1111" t="s">
        <v>202</v>
      </c>
      <c r="E1111" s="91">
        <v>12.6</v>
      </c>
      <c r="I1111" s="92">
        <f t="shared" si="17"/>
        <v>12.6</v>
      </c>
    </row>
    <row r="1112" spans="1:9" x14ac:dyDescent="0.2">
      <c r="A1112" t="s">
        <v>546</v>
      </c>
      <c r="B1112" s="91">
        <v>11.92</v>
      </c>
      <c r="D1112" t="s">
        <v>268</v>
      </c>
      <c r="E1112" s="91">
        <v>12.6</v>
      </c>
      <c r="I1112" s="92">
        <f t="shared" si="17"/>
        <v>12.6</v>
      </c>
    </row>
    <row r="1113" spans="1:9" x14ac:dyDescent="0.2">
      <c r="A1113" t="s">
        <v>547</v>
      </c>
      <c r="B1113" s="91">
        <v>12.82</v>
      </c>
      <c r="D1113" t="s">
        <v>352</v>
      </c>
      <c r="E1113" s="91">
        <v>12.6</v>
      </c>
      <c r="I1113" s="92">
        <f t="shared" si="17"/>
        <v>12.6</v>
      </c>
    </row>
    <row r="1114" spans="1:9" x14ac:dyDescent="0.2">
      <c r="A1114" t="s">
        <v>548</v>
      </c>
      <c r="B1114" s="91">
        <v>123</v>
      </c>
      <c r="D1114" t="s">
        <v>376</v>
      </c>
      <c r="E1114" s="91">
        <v>12.6</v>
      </c>
      <c r="I1114" s="92">
        <f t="shared" si="17"/>
        <v>12.6</v>
      </c>
    </row>
    <row r="1115" spans="1:9" x14ac:dyDescent="0.2">
      <c r="A1115" t="s">
        <v>548</v>
      </c>
      <c r="B1115" s="91">
        <v>70.75</v>
      </c>
      <c r="D1115" t="s">
        <v>382</v>
      </c>
      <c r="E1115" s="91">
        <v>12.6</v>
      </c>
      <c r="I1115" s="92">
        <f t="shared" si="17"/>
        <v>12.6</v>
      </c>
    </row>
    <row r="1116" spans="1:9" x14ac:dyDescent="0.2">
      <c r="A1116" t="s">
        <v>548</v>
      </c>
      <c r="B1116" s="91">
        <v>226.75</v>
      </c>
      <c r="D1116" t="s">
        <v>412</v>
      </c>
      <c r="E1116" s="91">
        <v>12.6</v>
      </c>
      <c r="I1116" s="92">
        <f t="shared" si="17"/>
        <v>12.6</v>
      </c>
    </row>
    <row r="1117" spans="1:9" x14ac:dyDescent="0.2">
      <c r="A1117" t="s">
        <v>549</v>
      </c>
      <c r="B1117" s="91">
        <v>103.75</v>
      </c>
      <c r="D1117" t="s">
        <v>1039</v>
      </c>
      <c r="E1117" s="91">
        <v>12.5</v>
      </c>
      <c r="I1117" s="92">
        <f t="shared" si="17"/>
        <v>12.5</v>
      </c>
    </row>
    <row r="1118" spans="1:9" x14ac:dyDescent="0.2">
      <c r="A1118" t="s">
        <v>550</v>
      </c>
      <c r="B1118" s="91">
        <v>33.75</v>
      </c>
      <c r="D1118" t="s">
        <v>393</v>
      </c>
      <c r="E1118" s="91">
        <v>12.45</v>
      </c>
      <c r="I1118" s="92">
        <f t="shared" si="17"/>
        <v>12.45</v>
      </c>
    </row>
    <row r="1119" spans="1:9" x14ac:dyDescent="0.2">
      <c r="A1119" t="s">
        <v>551</v>
      </c>
      <c r="B1119" s="91">
        <v>122.75</v>
      </c>
      <c r="D1119" t="s">
        <v>463</v>
      </c>
      <c r="E1119" s="91">
        <v>12.45</v>
      </c>
      <c r="I1119" s="92">
        <f t="shared" si="17"/>
        <v>12.45</v>
      </c>
    </row>
    <row r="1120" spans="1:9" x14ac:dyDescent="0.2">
      <c r="A1120" t="s">
        <v>551</v>
      </c>
      <c r="B1120" s="91">
        <v>13.75</v>
      </c>
      <c r="D1120" t="s">
        <v>234</v>
      </c>
      <c r="E1120" s="91">
        <v>12.370000000000001</v>
      </c>
      <c r="I1120" s="92">
        <f t="shared" si="17"/>
        <v>12.370000000000001</v>
      </c>
    </row>
    <row r="1121" spans="1:9" x14ac:dyDescent="0.2">
      <c r="A1121" t="s">
        <v>551</v>
      </c>
      <c r="B1121" s="91">
        <v>96</v>
      </c>
      <c r="D1121" t="s">
        <v>529</v>
      </c>
      <c r="E1121" s="91">
        <v>12.370000000000001</v>
      </c>
      <c r="I1121" s="92">
        <f t="shared" si="17"/>
        <v>12.370000000000001</v>
      </c>
    </row>
    <row r="1122" spans="1:9" x14ac:dyDescent="0.2">
      <c r="A1122" t="s">
        <v>551</v>
      </c>
      <c r="B1122" s="91">
        <v>71</v>
      </c>
      <c r="D1122" t="s">
        <v>847</v>
      </c>
      <c r="E1122" s="91">
        <v>12.25</v>
      </c>
      <c r="I1122" s="92">
        <f t="shared" si="17"/>
        <v>12.25</v>
      </c>
    </row>
    <row r="1123" spans="1:9" x14ac:dyDescent="0.2">
      <c r="A1123" t="s">
        <v>551</v>
      </c>
      <c r="B1123" s="91">
        <v>93</v>
      </c>
      <c r="D1123" t="s">
        <v>179</v>
      </c>
      <c r="E1123" s="91">
        <v>12.15</v>
      </c>
      <c r="I1123" s="92">
        <f t="shared" si="17"/>
        <v>12.15</v>
      </c>
    </row>
    <row r="1124" spans="1:9" x14ac:dyDescent="0.2">
      <c r="A1124" t="s">
        <v>551</v>
      </c>
      <c r="B1124" s="91">
        <v>41.25</v>
      </c>
      <c r="D1124" t="s">
        <v>532</v>
      </c>
      <c r="E1124" s="91">
        <v>12</v>
      </c>
      <c r="I1124" s="92">
        <f t="shared" si="17"/>
        <v>12</v>
      </c>
    </row>
    <row r="1125" spans="1:9" x14ac:dyDescent="0.2">
      <c r="A1125" t="s">
        <v>551</v>
      </c>
      <c r="B1125" s="91">
        <v>45</v>
      </c>
      <c r="D1125" t="s">
        <v>249</v>
      </c>
      <c r="E1125" s="91">
        <v>11.75</v>
      </c>
      <c r="I1125" s="92">
        <f t="shared" si="17"/>
        <v>11.75</v>
      </c>
    </row>
    <row r="1126" spans="1:9" x14ac:dyDescent="0.2">
      <c r="A1126" t="s">
        <v>551</v>
      </c>
      <c r="B1126" s="91">
        <v>67.5</v>
      </c>
      <c r="D1126" t="s">
        <v>259</v>
      </c>
      <c r="E1126" s="91">
        <v>11.7</v>
      </c>
      <c r="I1126" s="92">
        <f t="shared" si="17"/>
        <v>11.7</v>
      </c>
    </row>
    <row r="1127" spans="1:9" x14ac:dyDescent="0.2">
      <c r="A1127" t="s">
        <v>551</v>
      </c>
      <c r="B1127" s="91">
        <v>32.5</v>
      </c>
      <c r="D1127" t="s">
        <v>101</v>
      </c>
      <c r="E1127" s="91">
        <v>11.5</v>
      </c>
      <c r="I1127" s="92">
        <f t="shared" si="17"/>
        <v>11.5</v>
      </c>
    </row>
    <row r="1128" spans="1:9" x14ac:dyDescent="0.2">
      <c r="A1128" t="s">
        <v>551</v>
      </c>
      <c r="B1128" s="91">
        <v>-43.65</v>
      </c>
      <c r="D1128" t="s">
        <v>238</v>
      </c>
      <c r="E1128" s="91">
        <v>11.5</v>
      </c>
      <c r="I1128" s="92">
        <f t="shared" si="17"/>
        <v>11.5</v>
      </c>
    </row>
    <row r="1129" spans="1:9" x14ac:dyDescent="0.2">
      <c r="A1129" t="s">
        <v>552</v>
      </c>
      <c r="B1129" s="91">
        <v>84</v>
      </c>
      <c r="D1129" t="s">
        <v>807</v>
      </c>
      <c r="E1129" s="91">
        <v>11.5</v>
      </c>
      <c r="I1129" s="92">
        <f t="shared" si="17"/>
        <v>11.5</v>
      </c>
    </row>
    <row r="1130" spans="1:9" x14ac:dyDescent="0.2">
      <c r="A1130" t="s">
        <v>552</v>
      </c>
      <c r="B1130" s="91">
        <v>14.5</v>
      </c>
      <c r="D1130" t="s">
        <v>872</v>
      </c>
      <c r="E1130" s="91">
        <v>11.5</v>
      </c>
      <c r="I1130" s="92">
        <f t="shared" si="17"/>
        <v>11.5</v>
      </c>
    </row>
    <row r="1131" spans="1:9" x14ac:dyDescent="0.2">
      <c r="A1131" t="s">
        <v>553</v>
      </c>
      <c r="B1131" s="91">
        <v>14.75</v>
      </c>
      <c r="D1131" t="s">
        <v>985</v>
      </c>
      <c r="E1131" s="91">
        <v>11.5</v>
      </c>
      <c r="I1131" s="92">
        <f t="shared" si="17"/>
        <v>11.5</v>
      </c>
    </row>
    <row r="1132" spans="1:9" x14ac:dyDescent="0.2">
      <c r="A1132" t="s">
        <v>553</v>
      </c>
      <c r="B1132" s="91">
        <v>22.75</v>
      </c>
      <c r="D1132" t="s">
        <v>1005</v>
      </c>
      <c r="E1132" s="91">
        <v>11.5</v>
      </c>
      <c r="I1132" s="92">
        <f t="shared" si="17"/>
        <v>11.5</v>
      </c>
    </row>
    <row r="1133" spans="1:9" x14ac:dyDescent="0.2">
      <c r="A1133" t="s">
        <v>553</v>
      </c>
      <c r="B1133" s="91">
        <v>14.25</v>
      </c>
      <c r="D1133" t="s">
        <v>1010</v>
      </c>
      <c r="E1133" s="91">
        <v>11.5</v>
      </c>
      <c r="I1133" s="92">
        <f t="shared" si="17"/>
        <v>11.5</v>
      </c>
    </row>
    <row r="1134" spans="1:9" x14ac:dyDescent="0.2">
      <c r="A1134" t="s">
        <v>554</v>
      </c>
      <c r="B1134" s="91">
        <v>67</v>
      </c>
      <c r="D1134" t="s">
        <v>1123</v>
      </c>
      <c r="E1134" s="91">
        <v>11.5</v>
      </c>
      <c r="I1134" s="92">
        <f t="shared" si="17"/>
        <v>11.5</v>
      </c>
    </row>
    <row r="1135" spans="1:9" x14ac:dyDescent="0.2">
      <c r="A1135" t="s">
        <v>554</v>
      </c>
      <c r="B1135" s="91">
        <v>66</v>
      </c>
      <c r="D1135" t="s">
        <v>1160</v>
      </c>
      <c r="E1135" s="91">
        <v>11.5</v>
      </c>
      <c r="I1135" s="92">
        <f t="shared" si="17"/>
        <v>11.5</v>
      </c>
    </row>
    <row r="1136" spans="1:9" x14ac:dyDescent="0.2">
      <c r="A1136" t="s">
        <v>554</v>
      </c>
      <c r="B1136" s="91">
        <v>18.75</v>
      </c>
      <c r="D1136" t="s">
        <v>54</v>
      </c>
      <c r="E1136" s="91">
        <v>11</v>
      </c>
      <c r="I1136" s="92">
        <f t="shared" si="17"/>
        <v>11</v>
      </c>
    </row>
    <row r="1137" spans="1:9" x14ac:dyDescent="0.2">
      <c r="A1137" t="s">
        <v>554</v>
      </c>
      <c r="B1137" s="91">
        <v>5.9699999999999989</v>
      </c>
      <c r="D1137" t="s">
        <v>106</v>
      </c>
      <c r="E1137" s="91">
        <v>11</v>
      </c>
      <c r="I1137" s="92">
        <f t="shared" si="17"/>
        <v>11</v>
      </c>
    </row>
    <row r="1138" spans="1:9" x14ac:dyDescent="0.2">
      <c r="A1138" t="s">
        <v>555</v>
      </c>
      <c r="B1138" s="91">
        <v>32.85</v>
      </c>
      <c r="D1138" t="s">
        <v>123</v>
      </c>
      <c r="E1138" s="91">
        <v>11</v>
      </c>
      <c r="I1138" s="92">
        <f t="shared" si="17"/>
        <v>11</v>
      </c>
    </row>
    <row r="1139" spans="1:9" x14ac:dyDescent="0.2">
      <c r="A1139" t="s">
        <v>556</v>
      </c>
      <c r="B1139" s="91">
        <v>97.25</v>
      </c>
      <c r="D1139" t="s">
        <v>194</v>
      </c>
      <c r="E1139" s="91">
        <v>11</v>
      </c>
      <c r="I1139" s="92">
        <f t="shared" si="17"/>
        <v>11</v>
      </c>
    </row>
    <row r="1140" spans="1:9" x14ac:dyDescent="0.2">
      <c r="A1140" t="s">
        <v>556</v>
      </c>
      <c r="B1140" s="91">
        <v>178</v>
      </c>
      <c r="D1140" t="s">
        <v>530</v>
      </c>
      <c r="E1140" s="91">
        <v>11</v>
      </c>
      <c r="I1140" s="92">
        <f t="shared" si="17"/>
        <v>11</v>
      </c>
    </row>
    <row r="1141" spans="1:9" x14ac:dyDescent="0.2">
      <c r="A1141" t="s">
        <v>557</v>
      </c>
      <c r="B1141" s="91">
        <v>18</v>
      </c>
      <c r="D1141" t="s">
        <v>696</v>
      </c>
      <c r="E1141" s="91">
        <v>11</v>
      </c>
      <c r="I1141" s="92">
        <f t="shared" si="17"/>
        <v>11</v>
      </c>
    </row>
    <row r="1142" spans="1:9" x14ac:dyDescent="0.2">
      <c r="A1142" t="s">
        <v>558</v>
      </c>
      <c r="B1142" s="91">
        <v>37.5</v>
      </c>
      <c r="D1142" t="s">
        <v>724</v>
      </c>
      <c r="E1142" s="91">
        <v>11</v>
      </c>
      <c r="I1142" s="92">
        <f t="shared" si="17"/>
        <v>11</v>
      </c>
    </row>
    <row r="1143" spans="1:9" x14ac:dyDescent="0.2">
      <c r="A1143" t="s">
        <v>558</v>
      </c>
      <c r="B1143" s="91">
        <v>59.5</v>
      </c>
      <c r="D1143" t="s">
        <v>275</v>
      </c>
      <c r="E1143" s="91">
        <v>10.8</v>
      </c>
      <c r="I1143" s="92">
        <f t="shared" si="17"/>
        <v>10.8</v>
      </c>
    </row>
    <row r="1144" spans="1:9" x14ac:dyDescent="0.2">
      <c r="A1144" t="s">
        <v>559</v>
      </c>
      <c r="B1144" s="91">
        <v>1200</v>
      </c>
      <c r="D1144" t="s">
        <v>130</v>
      </c>
      <c r="E1144" s="91">
        <v>10.5</v>
      </c>
      <c r="I1144" s="92">
        <f t="shared" si="17"/>
        <v>10.5</v>
      </c>
    </row>
    <row r="1145" spans="1:9" x14ac:dyDescent="0.2">
      <c r="A1145" t="s">
        <v>560</v>
      </c>
      <c r="B1145" s="91">
        <v>73</v>
      </c>
      <c r="D1145" t="s">
        <v>626</v>
      </c>
      <c r="E1145" s="91">
        <v>10.5</v>
      </c>
      <c r="I1145" s="92">
        <f t="shared" si="17"/>
        <v>10.5</v>
      </c>
    </row>
    <row r="1146" spans="1:9" x14ac:dyDescent="0.2">
      <c r="A1146" t="s">
        <v>561</v>
      </c>
      <c r="B1146" s="91">
        <v>20</v>
      </c>
      <c r="D1146" t="s">
        <v>1152</v>
      </c>
      <c r="E1146" s="91">
        <v>10.5</v>
      </c>
      <c r="I1146" s="92">
        <f t="shared" si="17"/>
        <v>10.5</v>
      </c>
    </row>
    <row r="1147" spans="1:9" x14ac:dyDescent="0.2">
      <c r="A1147" t="s">
        <v>562</v>
      </c>
      <c r="B1147" s="91">
        <v>36.75</v>
      </c>
      <c r="D1147" t="s">
        <v>244</v>
      </c>
      <c r="E1147" s="91">
        <v>10.25</v>
      </c>
      <c r="I1147" s="92">
        <f t="shared" si="17"/>
        <v>10.25</v>
      </c>
    </row>
    <row r="1148" spans="1:9" x14ac:dyDescent="0.2">
      <c r="A1148" t="s">
        <v>563</v>
      </c>
      <c r="B1148" s="91">
        <v>12.85</v>
      </c>
      <c r="D1148" t="s">
        <v>42</v>
      </c>
      <c r="E1148" s="91">
        <v>10</v>
      </c>
      <c r="I1148" s="92">
        <f t="shared" si="17"/>
        <v>10</v>
      </c>
    </row>
    <row r="1149" spans="1:9" x14ac:dyDescent="0.2">
      <c r="A1149" t="s">
        <v>564</v>
      </c>
      <c r="B1149" s="91">
        <v>10</v>
      </c>
      <c r="D1149" t="s">
        <v>46</v>
      </c>
      <c r="E1149" s="91">
        <v>10</v>
      </c>
      <c r="I1149" s="92">
        <f t="shared" si="17"/>
        <v>10</v>
      </c>
    </row>
    <row r="1150" spans="1:9" x14ac:dyDescent="0.2">
      <c r="A1150" t="s">
        <v>564</v>
      </c>
      <c r="B1150" s="91">
        <v>6.75</v>
      </c>
      <c r="D1150" t="s">
        <v>79</v>
      </c>
      <c r="E1150" s="91">
        <v>10</v>
      </c>
      <c r="I1150" s="92">
        <f t="shared" si="17"/>
        <v>10</v>
      </c>
    </row>
    <row r="1151" spans="1:9" x14ac:dyDescent="0.2">
      <c r="A1151" t="s">
        <v>565</v>
      </c>
      <c r="B1151" s="91">
        <v>26.5</v>
      </c>
      <c r="D1151" t="s">
        <v>96</v>
      </c>
      <c r="E1151" s="91">
        <v>10</v>
      </c>
      <c r="I1151" s="92">
        <f t="shared" si="17"/>
        <v>10</v>
      </c>
    </row>
    <row r="1152" spans="1:9" x14ac:dyDescent="0.2">
      <c r="A1152" t="s">
        <v>565</v>
      </c>
      <c r="B1152" s="91">
        <v>81.099999999999994</v>
      </c>
      <c r="D1152" t="s">
        <v>104</v>
      </c>
      <c r="E1152" s="91">
        <v>10</v>
      </c>
      <c r="I1152" s="92">
        <f t="shared" si="17"/>
        <v>10</v>
      </c>
    </row>
    <row r="1153" spans="1:9" x14ac:dyDescent="0.2">
      <c r="A1153" t="s">
        <v>566</v>
      </c>
      <c r="B1153" s="91">
        <v>352</v>
      </c>
      <c r="D1153" t="s">
        <v>144</v>
      </c>
      <c r="E1153" s="91">
        <v>10</v>
      </c>
      <c r="I1153" s="92">
        <f t="shared" si="17"/>
        <v>10</v>
      </c>
    </row>
    <row r="1154" spans="1:9" x14ac:dyDescent="0.2">
      <c r="A1154" t="s">
        <v>567</v>
      </c>
      <c r="B1154" s="91">
        <v>18</v>
      </c>
      <c r="D1154" t="s">
        <v>186</v>
      </c>
      <c r="E1154" s="91">
        <v>10</v>
      </c>
      <c r="I1154" s="92">
        <f t="shared" si="17"/>
        <v>10</v>
      </c>
    </row>
    <row r="1155" spans="1:9" x14ac:dyDescent="0.2">
      <c r="A1155" t="s">
        <v>568</v>
      </c>
      <c r="B1155" s="91">
        <v>150</v>
      </c>
      <c r="D1155" t="s">
        <v>196</v>
      </c>
      <c r="E1155" s="91">
        <v>10</v>
      </c>
      <c r="I1155" s="92">
        <f t="shared" ref="I1155:I1218" si="18">E1155-G1155</f>
        <v>10</v>
      </c>
    </row>
    <row r="1156" spans="1:9" x14ac:dyDescent="0.2">
      <c r="A1156" t="s">
        <v>568</v>
      </c>
      <c r="B1156" s="91">
        <v>336</v>
      </c>
      <c r="D1156" t="s">
        <v>279</v>
      </c>
      <c r="E1156" s="91">
        <v>10</v>
      </c>
      <c r="I1156" s="92">
        <f t="shared" si="18"/>
        <v>10</v>
      </c>
    </row>
    <row r="1157" spans="1:9" x14ac:dyDescent="0.2">
      <c r="A1157" t="s">
        <v>569</v>
      </c>
      <c r="B1157" s="91">
        <v>34.450000000000003</v>
      </c>
      <c r="D1157" t="s">
        <v>310</v>
      </c>
      <c r="E1157" s="91">
        <v>10</v>
      </c>
      <c r="I1157" s="92">
        <f t="shared" si="18"/>
        <v>10</v>
      </c>
    </row>
    <row r="1158" spans="1:9" x14ac:dyDescent="0.2">
      <c r="A1158" t="s">
        <v>570</v>
      </c>
      <c r="B1158" s="91">
        <v>31.5</v>
      </c>
      <c r="D1158" t="s">
        <v>314</v>
      </c>
      <c r="E1158" s="91">
        <v>10</v>
      </c>
      <c r="I1158" s="92">
        <f t="shared" si="18"/>
        <v>10</v>
      </c>
    </row>
    <row r="1159" spans="1:9" x14ac:dyDescent="0.2">
      <c r="A1159" t="s">
        <v>570</v>
      </c>
      <c r="B1159" s="91">
        <v>6.3</v>
      </c>
      <c r="D1159" t="s">
        <v>335</v>
      </c>
      <c r="E1159" s="91">
        <v>10</v>
      </c>
      <c r="I1159" s="92">
        <f t="shared" si="18"/>
        <v>10</v>
      </c>
    </row>
    <row r="1160" spans="1:9" x14ac:dyDescent="0.2">
      <c r="A1160" t="s">
        <v>571</v>
      </c>
      <c r="B1160" s="91">
        <v>15</v>
      </c>
      <c r="D1160" t="s">
        <v>342</v>
      </c>
      <c r="E1160" s="91">
        <v>10</v>
      </c>
      <c r="I1160" s="92">
        <f t="shared" si="18"/>
        <v>10</v>
      </c>
    </row>
    <row r="1161" spans="1:9" x14ac:dyDescent="0.2">
      <c r="A1161" t="s">
        <v>571</v>
      </c>
      <c r="B1161" s="91">
        <v>9.75</v>
      </c>
      <c r="D1161" t="s">
        <v>408</v>
      </c>
      <c r="E1161" s="91">
        <v>10</v>
      </c>
      <c r="I1161" s="92">
        <f t="shared" si="18"/>
        <v>10</v>
      </c>
    </row>
    <row r="1162" spans="1:9" x14ac:dyDescent="0.2">
      <c r="A1162" t="s">
        <v>571</v>
      </c>
      <c r="B1162" s="91">
        <v>15.6</v>
      </c>
      <c r="D1162" t="s">
        <v>462</v>
      </c>
      <c r="E1162" s="91">
        <v>10</v>
      </c>
      <c r="I1162" s="92">
        <f t="shared" si="18"/>
        <v>10</v>
      </c>
    </row>
    <row r="1163" spans="1:9" x14ac:dyDescent="0.2">
      <c r="A1163" t="s">
        <v>572</v>
      </c>
      <c r="B1163" s="91">
        <v>26.25</v>
      </c>
      <c r="D1163" t="s">
        <v>472</v>
      </c>
      <c r="E1163" s="91">
        <v>10</v>
      </c>
      <c r="I1163" s="92">
        <f t="shared" si="18"/>
        <v>10</v>
      </c>
    </row>
    <row r="1164" spans="1:9" x14ac:dyDescent="0.2">
      <c r="A1164" t="s">
        <v>572</v>
      </c>
      <c r="B1164" s="91">
        <v>26.25</v>
      </c>
      <c r="D1164" t="s">
        <v>473</v>
      </c>
      <c r="E1164" s="91">
        <v>10</v>
      </c>
      <c r="I1164" s="92">
        <f t="shared" si="18"/>
        <v>10</v>
      </c>
    </row>
    <row r="1165" spans="1:9" x14ac:dyDescent="0.2">
      <c r="A1165" t="s">
        <v>572</v>
      </c>
      <c r="B1165" s="91">
        <v>10</v>
      </c>
      <c r="D1165" t="s">
        <v>476</v>
      </c>
      <c r="E1165" s="91">
        <v>10</v>
      </c>
      <c r="I1165" s="92">
        <f t="shared" si="18"/>
        <v>10</v>
      </c>
    </row>
    <row r="1166" spans="1:9" x14ac:dyDescent="0.2">
      <c r="A1166" t="s">
        <v>572</v>
      </c>
      <c r="B1166" s="91">
        <v>18</v>
      </c>
      <c r="D1166" t="s">
        <v>498</v>
      </c>
      <c r="E1166" s="91">
        <v>10</v>
      </c>
      <c r="I1166" s="92">
        <f t="shared" si="18"/>
        <v>10</v>
      </c>
    </row>
    <row r="1167" spans="1:9" x14ac:dyDescent="0.2">
      <c r="A1167" t="s">
        <v>572</v>
      </c>
      <c r="B1167" s="91">
        <v>4</v>
      </c>
      <c r="D1167" t="s">
        <v>501</v>
      </c>
      <c r="E1167" s="91">
        <v>10</v>
      </c>
      <c r="I1167" s="92">
        <f t="shared" si="18"/>
        <v>10</v>
      </c>
    </row>
    <row r="1168" spans="1:9" x14ac:dyDescent="0.2">
      <c r="A1168" t="s">
        <v>572</v>
      </c>
      <c r="B1168" s="91">
        <v>1</v>
      </c>
      <c r="D1168" t="s">
        <v>740</v>
      </c>
      <c r="E1168" s="91">
        <v>10</v>
      </c>
      <c r="I1168" s="92">
        <f t="shared" si="18"/>
        <v>10</v>
      </c>
    </row>
    <row r="1169" spans="1:9" x14ac:dyDescent="0.2">
      <c r="A1169" t="s">
        <v>572</v>
      </c>
      <c r="B1169" s="91">
        <v>36.75</v>
      </c>
      <c r="D1169" t="s">
        <v>766</v>
      </c>
      <c r="E1169" s="91">
        <v>10</v>
      </c>
      <c r="I1169" s="92">
        <f t="shared" si="18"/>
        <v>10</v>
      </c>
    </row>
    <row r="1170" spans="1:9" x14ac:dyDescent="0.2">
      <c r="A1170" t="s">
        <v>572</v>
      </c>
      <c r="B1170" s="91">
        <v>10.25</v>
      </c>
      <c r="D1170" t="s">
        <v>790</v>
      </c>
      <c r="E1170" s="91">
        <v>10</v>
      </c>
      <c r="I1170" s="92">
        <f t="shared" si="18"/>
        <v>10</v>
      </c>
    </row>
    <row r="1171" spans="1:9" x14ac:dyDescent="0.2">
      <c r="A1171" t="s">
        <v>572</v>
      </c>
      <c r="B1171" s="91">
        <v>22.75</v>
      </c>
      <c r="D1171" t="s">
        <v>797</v>
      </c>
      <c r="E1171" s="91">
        <v>10</v>
      </c>
      <c r="I1171" s="92">
        <f t="shared" si="18"/>
        <v>10</v>
      </c>
    </row>
    <row r="1172" spans="1:9" x14ac:dyDescent="0.2">
      <c r="A1172" t="s">
        <v>572</v>
      </c>
      <c r="B1172" s="91">
        <v>74.75</v>
      </c>
      <c r="D1172" t="s">
        <v>752</v>
      </c>
      <c r="E1172" s="91">
        <v>10</v>
      </c>
      <c r="I1172" s="92">
        <f t="shared" si="18"/>
        <v>10</v>
      </c>
    </row>
    <row r="1173" spans="1:9" x14ac:dyDescent="0.2">
      <c r="A1173" t="s">
        <v>572</v>
      </c>
      <c r="B1173" s="91">
        <v>14</v>
      </c>
      <c r="D1173" t="s">
        <v>803</v>
      </c>
      <c r="E1173" s="91">
        <v>10</v>
      </c>
      <c r="I1173" s="92">
        <f t="shared" si="18"/>
        <v>10</v>
      </c>
    </row>
    <row r="1174" spans="1:9" x14ac:dyDescent="0.2">
      <c r="A1174" t="s">
        <v>572</v>
      </c>
      <c r="B1174" s="91">
        <v>-14.5</v>
      </c>
      <c r="D1174" t="s">
        <v>849</v>
      </c>
      <c r="E1174" s="91">
        <v>10</v>
      </c>
      <c r="I1174" s="92">
        <f t="shared" si="18"/>
        <v>10</v>
      </c>
    </row>
    <row r="1175" spans="1:9" x14ac:dyDescent="0.2">
      <c r="A1175" t="s">
        <v>573</v>
      </c>
      <c r="B1175" s="91">
        <v>18</v>
      </c>
      <c r="D1175" t="s">
        <v>912</v>
      </c>
      <c r="E1175" s="91">
        <v>10</v>
      </c>
      <c r="I1175" s="92">
        <f t="shared" si="18"/>
        <v>10</v>
      </c>
    </row>
    <row r="1176" spans="1:9" x14ac:dyDescent="0.2">
      <c r="A1176" t="s">
        <v>573</v>
      </c>
      <c r="B1176" s="91">
        <v>20.7</v>
      </c>
      <c r="D1176" t="s">
        <v>937</v>
      </c>
      <c r="E1176" s="91">
        <v>10</v>
      </c>
      <c r="I1176" s="92">
        <f t="shared" si="18"/>
        <v>10</v>
      </c>
    </row>
    <row r="1177" spans="1:9" x14ac:dyDescent="0.2">
      <c r="A1177" t="s">
        <v>574</v>
      </c>
      <c r="B1177" s="91">
        <v>720</v>
      </c>
      <c r="D1177" t="s">
        <v>987</v>
      </c>
      <c r="E1177" s="91">
        <v>10</v>
      </c>
      <c r="I1177" s="92">
        <f t="shared" si="18"/>
        <v>10</v>
      </c>
    </row>
    <row r="1178" spans="1:9" x14ac:dyDescent="0.2">
      <c r="A1178" t="s">
        <v>574</v>
      </c>
      <c r="B1178" s="91">
        <v>862</v>
      </c>
      <c r="D1178" t="s">
        <v>998</v>
      </c>
      <c r="E1178" s="91">
        <v>10</v>
      </c>
      <c r="I1178" s="92">
        <f t="shared" si="18"/>
        <v>10</v>
      </c>
    </row>
    <row r="1179" spans="1:9" x14ac:dyDescent="0.2">
      <c r="A1179" t="s">
        <v>575</v>
      </c>
      <c r="B1179" s="91">
        <v>240</v>
      </c>
      <c r="D1179" t="s">
        <v>1028</v>
      </c>
      <c r="E1179" s="91">
        <v>10</v>
      </c>
      <c r="I1179" s="92">
        <f t="shared" si="18"/>
        <v>10</v>
      </c>
    </row>
    <row r="1180" spans="1:9" x14ac:dyDescent="0.2">
      <c r="A1180" t="s">
        <v>575</v>
      </c>
      <c r="B1180" s="91">
        <v>240</v>
      </c>
      <c r="D1180" t="s">
        <v>1067</v>
      </c>
      <c r="E1180" s="91">
        <v>10</v>
      </c>
      <c r="I1180" s="92">
        <f t="shared" si="18"/>
        <v>10</v>
      </c>
    </row>
    <row r="1181" spans="1:9" x14ac:dyDescent="0.2">
      <c r="A1181" t="s">
        <v>575</v>
      </c>
      <c r="B1181" s="91">
        <v>54</v>
      </c>
      <c r="D1181" t="s">
        <v>1200</v>
      </c>
      <c r="E1181" s="91">
        <v>10</v>
      </c>
      <c r="I1181" s="92">
        <f t="shared" si="18"/>
        <v>10</v>
      </c>
    </row>
    <row r="1182" spans="1:9" x14ac:dyDescent="0.2">
      <c r="A1182" t="s">
        <v>576</v>
      </c>
      <c r="B1182" s="91">
        <v>158</v>
      </c>
      <c r="D1182" t="s">
        <v>1203</v>
      </c>
      <c r="E1182" s="91">
        <v>10</v>
      </c>
      <c r="I1182" s="92">
        <f t="shared" si="18"/>
        <v>10</v>
      </c>
    </row>
    <row r="1183" spans="1:9" x14ac:dyDescent="0.2">
      <c r="A1183" t="s">
        <v>577</v>
      </c>
      <c r="B1183" s="91">
        <v>10.5</v>
      </c>
      <c r="D1183" t="s">
        <v>1216</v>
      </c>
      <c r="E1183" s="91">
        <v>10</v>
      </c>
      <c r="I1183" s="92">
        <f t="shared" si="18"/>
        <v>10</v>
      </c>
    </row>
    <row r="1184" spans="1:9" x14ac:dyDescent="0.2">
      <c r="A1184" t="s">
        <v>577</v>
      </c>
      <c r="B1184" s="91">
        <v>26.75</v>
      </c>
      <c r="D1184" t="s">
        <v>251</v>
      </c>
      <c r="E1184" s="91">
        <v>9.75</v>
      </c>
      <c r="I1184" s="92">
        <f t="shared" si="18"/>
        <v>9.75</v>
      </c>
    </row>
    <row r="1185" spans="1:9" x14ac:dyDescent="0.2">
      <c r="A1185" t="s">
        <v>577</v>
      </c>
      <c r="B1185" s="91">
        <v>5.8</v>
      </c>
      <c r="D1185" t="s">
        <v>830</v>
      </c>
      <c r="E1185" s="91">
        <v>9.75</v>
      </c>
      <c r="I1185" s="92">
        <f t="shared" si="18"/>
        <v>9.75</v>
      </c>
    </row>
    <row r="1186" spans="1:9" x14ac:dyDescent="0.2">
      <c r="A1186" t="s">
        <v>578</v>
      </c>
      <c r="B1186" s="91">
        <v>150</v>
      </c>
      <c r="D1186" t="s">
        <v>835</v>
      </c>
      <c r="E1186" s="91">
        <v>9.75</v>
      </c>
      <c r="I1186" s="92">
        <f t="shared" si="18"/>
        <v>9.75</v>
      </c>
    </row>
    <row r="1187" spans="1:9" x14ac:dyDescent="0.2">
      <c r="A1187" t="s">
        <v>578</v>
      </c>
      <c r="B1187" s="91">
        <v>216</v>
      </c>
      <c r="D1187" t="s">
        <v>1007</v>
      </c>
      <c r="E1187" s="91">
        <v>9.75</v>
      </c>
      <c r="I1187" s="92">
        <f t="shared" si="18"/>
        <v>9.75</v>
      </c>
    </row>
    <row r="1188" spans="1:9" x14ac:dyDescent="0.2">
      <c r="A1188" t="s">
        <v>578</v>
      </c>
      <c r="B1188" s="91">
        <v>120</v>
      </c>
      <c r="D1188" t="s">
        <v>1062</v>
      </c>
      <c r="E1188" s="91">
        <v>9.75</v>
      </c>
      <c r="I1188" s="92">
        <f t="shared" si="18"/>
        <v>9.75</v>
      </c>
    </row>
    <row r="1189" spans="1:9" x14ac:dyDescent="0.2">
      <c r="A1189" t="s">
        <v>578</v>
      </c>
      <c r="B1189" s="91">
        <v>14</v>
      </c>
      <c r="D1189" t="s">
        <v>539</v>
      </c>
      <c r="E1189" s="91">
        <v>9.5</v>
      </c>
      <c r="I1189" s="92">
        <f t="shared" si="18"/>
        <v>9.5</v>
      </c>
    </row>
    <row r="1190" spans="1:9" x14ac:dyDescent="0.2">
      <c r="A1190" t="s">
        <v>579</v>
      </c>
      <c r="B1190" s="91">
        <v>35.85</v>
      </c>
      <c r="D1190" t="s">
        <v>125</v>
      </c>
      <c r="E1190" s="91">
        <v>9</v>
      </c>
      <c r="I1190" s="92">
        <f t="shared" si="18"/>
        <v>9</v>
      </c>
    </row>
    <row r="1191" spans="1:9" x14ac:dyDescent="0.2">
      <c r="A1191" t="s">
        <v>580</v>
      </c>
      <c r="B1191" s="91">
        <v>18</v>
      </c>
      <c r="D1191" t="s">
        <v>362</v>
      </c>
      <c r="E1191" s="91">
        <v>9</v>
      </c>
      <c r="I1191" s="92">
        <f t="shared" si="18"/>
        <v>9</v>
      </c>
    </row>
    <row r="1192" spans="1:9" x14ac:dyDescent="0.2">
      <c r="A1192" t="s">
        <v>581</v>
      </c>
      <c r="B1192" s="91">
        <v>43.2</v>
      </c>
      <c r="D1192" t="s">
        <v>925</v>
      </c>
      <c r="E1192" s="91">
        <v>9</v>
      </c>
      <c r="I1192" s="92">
        <f t="shared" si="18"/>
        <v>9</v>
      </c>
    </row>
    <row r="1193" spans="1:9" x14ac:dyDescent="0.2">
      <c r="A1193" t="s">
        <v>582</v>
      </c>
      <c r="B1193" s="91">
        <v>110</v>
      </c>
      <c r="D1193" t="s">
        <v>1095</v>
      </c>
      <c r="E1193" s="91">
        <v>9</v>
      </c>
      <c r="I1193" s="92">
        <f t="shared" si="18"/>
        <v>9</v>
      </c>
    </row>
    <row r="1194" spans="1:9" x14ac:dyDescent="0.2">
      <c r="A1194" t="s">
        <v>582</v>
      </c>
      <c r="B1194" s="91">
        <v>6.5</v>
      </c>
      <c r="D1194" t="s">
        <v>941</v>
      </c>
      <c r="E1194" s="91">
        <v>8.75</v>
      </c>
      <c r="I1194" s="92">
        <f t="shared" si="18"/>
        <v>8.75</v>
      </c>
    </row>
    <row r="1195" spans="1:9" x14ac:dyDescent="0.2">
      <c r="A1195" t="s">
        <v>582</v>
      </c>
      <c r="B1195" s="91">
        <v>7.5</v>
      </c>
      <c r="D1195" t="s">
        <v>793</v>
      </c>
      <c r="E1195" s="91">
        <v>8.5</v>
      </c>
      <c r="I1195" s="92">
        <f t="shared" si="18"/>
        <v>8.5</v>
      </c>
    </row>
    <row r="1196" spans="1:9" x14ac:dyDescent="0.2">
      <c r="A1196" t="s">
        <v>582</v>
      </c>
      <c r="B1196" s="91">
        <v>7.5</v>
      </c>
      <c r="D1196" t="s">
        <v>1136</v>
      </c>
      <c r="E1196" s="91">
        <v>8.25</v>
      </c>
      <c r="I1196" s="92">
        <f t="shared" si="18"/>
        <v>8.25</v>
      </c>
    </row>
    <row r="1197" spans="1:9" x14ac:dyDescent="0.2">
      <c r="A1197" t="s">
        <v>583</v>
      </c>
      <c r="B1197" s="91">
        <v>110</v>
      </c>
      <c r="D1197" t="s">
        <v>331</v>
      </c>
      <c r="E1197" s="91">
        <v>8</v>
      </c>
      <c r="I1197" s="92">
        <f t="shared" si="18"/>
        <v>8</v>
      </c>
    </row>
    <row r="1198" spans="1:9" x14ac:dyDescent="0.2">
      <c r="A1198" t="s">
        <v>584</v>
      </c>
      <c r="B1198" s="91">
        <v>14.75</v>
      </c>
      <c r="D1198" t="s">
        <v>817</v>
      </c>
      <c r="E1198" s="91">
        <v>8</v>
      </c>
      <c r="I1198" s="92">
        <f t="shared" si="18"/>
        <v>8</v>
      </c>
    </row>
    <row r="1199" spans="1:9" x14ac:dyDescent="0.2">
      <c r="A1199" t="s">
        <v>585</v>
      </c>
      <c r="B1199" s="91">
        <v>6.5</v>
      </c>
      <c r="D1199" t="s">
        <v>833</v>
      </c>
      <c r="E1199" s="91">
        <v>8</v>
      </c>
      <c r="I1199" s="92">
        <f t="shared" si="18"/>
        <v>8</v>
      </c>
    </row>
    <row r="1200" spans="1:9" x14ac:dyDescent="0.2">
      <c r="A1200" t="s">
        <v>586</v>
      </c>
      <c r="B1200" s="91">
        <v>18</v>
      </c>
      <c r="D1200" t="s">
        <v>844</v>
      </c>
      <c r="E1200" s="91">
        <v>8</v>
      </c>
      <c r="I1200" s="92">
        <f t="shared" si="18"/>
        <v>8</v>
      </c>
    </row>
    <row r="1201" spans="1:9" x14ac:dyDescent="0.2">
      <c r="A1201" t="s">
        <v>587</v>
      </c>
      <c r="B1201" s="91">
        <v>108.25</v>
      </c>
      <c r="D1201" t="s">
        <v>1016</v>
      </c>
      <c r="E1201" s="91">
        <v>8</v>
      </c>
      <c r="I1201" s="92">
        <f t="shared" si="18"/>
        <v>8</v>
      </c>
    </row>
    <row r="1202" spans="1:9" x14ac:dyDescent="0.2">
      <c r="A1202" t="s">
        <v>588</v>
      </c>
      <c r="B1202" s="91">
        <v>93.2</v>
      </c>
      <c r="D1202" t="s">
        <v>1111</v>
      </c>
      <c r="E1202" s="91">
        <v>8</v>
      </c>
      <c r="I1202" s="92">
        <f t="shared" si="18"/>
        <v>8</v>
      </c>
    </row>
    <row r="1203" spans="1:9" x14ac:dyDescent="0.2">
      <c r="A1203" t="s">
        <v>589</v>
      </c>
      <c r="B1203" s="91">
        <v>10800</v>
      </c>
      <c r="D1203" t="s">
        <v>1175</v>
      </c>
      <c r="E1203" s="91">
        <v>8</v>
      </c>
      <c r="I1203" s="92">
        <f t="shared" si="18"/>
        <v>8</v>
      </c>
    </row>
    <row r="1204" spans="1:9" x14ac:dyDescent="0.2">
      <c r="A1204" t="s">
        <v>589</v>
      </c>
      <c r="B1204" s="91">
        <v>3240</v>
      </c>
      <c r="D1204" t="s">
        <v>289</v>
      </c>
      <c r="E1204" s="91">
        <v>7.75</v>
      </c>
      <c r="I1204" s="92">
        <f t="shared" si="18"/>
        <v>7.75</v>
      </c>
    </row>
    <row r="1205" spans="1:9" x14ac:dyDescent="0.2">
      <c r="A1205" t="s">
        <v>589</v>
      </c>
      <c r="B1205" s="91">
        <v>1160</v>
      </c>
      <c r="D1205" t="s">
        <v>302</v>
      </c>
      <c r="E1205" s="91">
        <v>7.75</v>
      </c>
      <c r="I1205" s="92">
        <f t="shared" si="18"/>
        <v>7.75</v>
      </c>
    </row>
    <row r="1206" spans="1:9" x14ac:dyDescent="0.2">
      <c r="A1206" t="s">
        <v>590</v>
      </c>
      <c r="B1206" s="91">
        <v>63</v>
      </c>
      <c r="D1206" t="s">
        <v>495</v>
      </c>
      <c r="E1206" s="91">
        <v>7.75</v>
      </c>
      <c r="I1206" s="92">
        <f t="shared" si="18"/>
        <v>7.75</v>
      </c>
    </row>
    <row r="1207" spans="1:9" x14ac:dyDescent="0.2">
      <c r="A1207" t="s">
        <v>590</v>
      </c>
      <c r="B1207" s="91">
        <v>10.5</v>
      </c>
      <c r="D1207" t="s">
        <v>540</v>
      </c>
      <c r="E1207" s="91">
        <v>7.75</v>
      </c>
      <c r="I1207" s="92">
        <f t="shared" si="18"/>
        <v>7.75</v>
      </c>
    </row>
    <row r="1208" spans="1:9" x14ac:dyDescent="0.2">
      <c r="A1208" t="s">
        <v>590</v>
      </c>
      <c r="B1208" s="91">
        <v>7.5</v>
      </c>
      <c r="D1208" t="s">
        <v>1052</v>
      </c>
      <c r="E1208" s="91">
        <v>7.75</v>
      </c>
      <c r="I1208" s="92">
        <f t="shared" si="18"/>
        <v>7.75</v>
      </c>
    </row>
    <row r="1209" spans="1:9" x14ac:dyDescent="0.2">
      <c r="A1209" t="s">
        <v>590</v>
      </c>
      <c r="B1209" s="91">
        <v>37</v>
      </c>
      <c r="D1209" t="s">
        <v>286</v>
      </c>
      <c r="E1209" s="91">
        <v>7.5</v>
      </c>
      <c r="I1209" s="92">
        <f t="shared" si="18"/>
        <v>7.5</v>
      </c>
    </row>
    <row r="1210" spans="1:9" x14ac:dyDescent="0.2">
      <c r="A1210" t="s">
        <v>590</v>
      </c>
      <c r="B1210" s="91">
        <v>9.8000000000000007</v>
      </c>
      <c r="D1210" t="s">
        <v>420</v>
      </c>
      <c r="E1210" s="91">
        <v>7.5</v>
      </c>
      <c r="I1210" s="92">
        <f t="shared" si="18"/>
        <v>7.5</v>
      </c>
    </row>
    <row r="1211" spans="1:9" x14ac:dyDescent="0.2">
      <c r="A1211" t="s">
        <v>591</v>
      </c>
      <c r="B1211" s="91">
        <v>73.25</v>
      </c>
      <c r="D1211" t="s">
        <v>424</v>
      </c>
      <c r="E1211" s="91">
        <v>7.5</v>
      </c>
      <c r="I1211" s="92">
        <f t="shared" si="18"/>
        <v>7.5</v>
      </c>
    </row>
    <row r="1212" spans="1:9" x14ac:dyDescent="0.2">
      <c r="A1212" t="s">
        <v>591</v>
      </c>
      <c r="B1212" s="91">
        <v>15</v>
      </c>
      <c r="D1212" t="s">
        <v>704</v>
      </c>
      <c r="E1212" s="91">
        <v>7.5</v>
      </c>
      <c r="I1212" s="92">
        <f t="shared" si="18"/>
        <v>7.5</v>
      </c>
    </row>
    <row r="1213" spans="1:9" x14ac:dyDescent="0.2">
      <c r="A1213" t="s">
        <v>591</v>
      </c>
      <c r="B1213" s="91">
        <v>7.5</v>
      </c>
      <c r="D1213" t="s">
        <v>746</v>
      </c>
      <c r="E1213" s="91">
        <v>7.5</v>
      </c>
      <c r="I1213" s="92">
        <f t="shared" si="18"/>
        <v>7.5</v>
      </c>
    </row>
    <row r="1214" spans="1:9" x14ac:dyDescent="0.2">
      <c r="A1214" t="s">
        <v>591</v>
      </c>
      <c r="B1214" s="91">
        <v>6.5</v>
      </c>
      <c r="D1214" t="s">
        <v>917</v>
      </c>
      <c r="E1214" s="91">
        <v>7.5</v>
      </c>
      <c r="I1214" s="92">
        <f t="shared" si="18"/>
        <v>7.5</v>
      </c>
    </row>
    <row r="1215" spans="1:9" x14ac:dyDescent="0.2">
      <c r="A1215" t="s">
        <v>591</v>
      </c>
      <c r="B1215" s="91">
        <v>73.25</v>
      </c>
      <c r="D1215" t="s">
        <v>931</v>
      </c>
      <c r="E1215" s="91">
        <v>7.5</v>
      </c>
      <c r="I1215" s="92">
        <f t="shared" si="18"/>
        <v>7.5</v>
      </c>
    </row>
    <row r="1216" spans="1:9" x14ac:dyDescent="0.2">
      <c r="A1216" t="s">
        <v>591</v>
      </c>
      <c r="B1216" s="91">
        <v>15</v>
      </c>
      <c r="D1216" t="s">
        <v>999</v>
      </c>
      <c r="E1216" s="91">
        <v>7.5</v>
      </c>
      <c r="I1216" s="92">
        <f t="shared" si="18"/>
        <v>7.5</v>
      </c>
    </row>
    <row r="1217" spans="1:9" x14ac:dyDescent="0.2">
      <c r="A1217" t="s">
        <v>592</v>
      </c>
      <c r="B1217" s="91">
        <v>18.75</v>
      </c>
      <c r="D1217" t="s">
        <v>1180</v>
      </c>
      <c r="E1217" s="91">
        <v>7.5</v>
      </c>
      <c r="I1217" s="92">
        <f t="shared" si="18"/>
        <v>7.5</v>
      </c>
    </row>
    <row r="1218" spans="1:9" x14ac:dyDescent="0.2">
      <c r="A1218" t="s">
        <v>592</v>
      </c>
      <c r="B1218" s="91">
        <v>63</v>
      </c>
      <c r="D1218" t="s">
        <v>1201</v>
      </c>
      <c r="E1218" s="91">
        <v>7.5</v>
      </c>
      <c r="I1218" s="92">
        <f t="shared" si="18"/>
        <v>7.5</v>
      </c>
    </row>
    <row r="1219" spans="1:9" x14ac:dyDescent="0.2">
      <c r="A1219" t="s">
        <v>592</v>
      </c>
      <c r="B1219" s="91">
        <v>29.25</v>
      </c>
      <c r="D1219" t="s">
        <v>423</v>
      </c>
      <c r="E1219" s="91">
        <v>7</v>
      </c>
      <c r="I1219" s="92">
        <f t="shared" ref="I1219:I1252" si="19">E1219-G1219</f>
        <v>7</v>
      </c>
    </row>
    <row r="1220" spans="1:9" x14ac:dyDescent="0.2">
      <c r="A1220" t="s">
        <v>592</v>
      </c>
      <c r="B1220" s="91">
        <v>39</v>
      </c>
      <c r="D1220" t="s">
        <v>330</v>
      </c>
      <c r="E1220" s="91">
        <v>6.75</v>
      </c>
      <c r="I1220" s="92">
        <f t="shared" si="19"/>
        <v>6.75</v>
      </c>
    </row>
    <row r="1221" spans="1:9" x14ac:dyDescent="0.2">
      <c r="A1221" t="s">
        <v>592</v>
      </c>
      <c r="B1221" s="91">
        <v>99</v>
      </c>
      <c r="D1221" t="s">
        <v>505</v>
      </c>
      <c r="E1221" s="91">
        <v>6.75</v>
      </c>
      <c r="I1221" s="92">
        <f t="shared" si="19"/>
        <v>6.75</v>
      </c>
    </row>
    <row r="1222" spans="1:9" x14ac:dyDescent="0.2">
      <c r="A1222" t="s">
        <v>593</v>
      </c>
      <c r="B1222" s="91">
        <v>54</v>
      </c>
      <c r="D1222" t="s">
        <v>594</v>
      </c>
      <c r="E1222" s="91">
        <v>6.75</v>
      </c>
      <c r="I1222" s="92">
        <f t="shared" si="19"/>
        <v>6.75</v>
      </c>
    </row>
    <row r="1223" spans="1:9" x14ac:dyDescent="0.2">
      <c r="A1223" t="s">
        <v>593</v>
      </c>
      <c r="B1223" s="91">
        <v>29.7</v>
      </c>
      <c r="D1223" t="s">
        <v>1183</v>
      </c>
      <c r="E1223" s="91">
        <v>6.75</v>
      </c>
      <c r="I1223" s="92">
        <f t="shared" si="19"/>
        <v>6.75</v>
      </c>
    </row>
    <row r="1224" spans="1:9" x14ac:dyDescent="0.2">
      <c r="A1224" t="s">
        <v>593</v>
      </c>
      <c r="B1224" s="91">
        <v>34.200000000000003</v>
      </c>
      <c r="D1224" t="s">
        <v>1197</v>
      </c>
      <c r="E1224" s="91">
        <v>6.75</v>
      </c>
      <c r="I1224" s="92">
        <f t="shared" si="19"/>
        <v>6.75</v>
      </c>
    </row>
    <row r="1225" spans="1:9" x14ac:dyDescent="0.2">
      <c r="A1225" t="s">
        <v>593</v>
      </c>
      <c r="B1225" s="91">
        <v>105</v>
      </c>
      <c r="D1225" t="s">
        <v>70</v>
      </c>
      <c r="E1225" s="91">
        <v>6.5</v>
      </c>
      <c r="I1225" s="92">
        <f t="shared" si="19"/>
        <v>6.5</v>
      </c>
    </row>
    <row r="1226" spans="1:9" x14ac:dyDescent="0.2">
      <c r="A1226" t="s">
        <v>593</v>
      </c>
      <c r="B1226" s="91">
        <v>58.5</v>
      </c>
      <c r="D1226" t="s">
        <v>98</v>
      </c>
      <c r="E1226" s="91">
        <v>6.5</v>
      </c>
      <c r="I1226" s="92">
        <f t="shared" si="19"/>
        <v>6.5</v>
      </c>
    </row>
    <row r="1227" spans="1:9" x14ac:dyDescent="0.2">
      <c r="A1227" t="s">
        <v>594</v>
      </c>
      <c r="B1227" s="91">
        <v>6.75</v>
      </c>
      <c r="D1227" t="s">
        <v>277</v>
      </c>
      <c r="E1227" s="91">
        <v>6.5</v>
      </c>
      <c r="I1227" s="92">
        <f t="shared" si="19"/>
        <v>6.5</v>
      </c>
    </row>
    <row r="1228" spans="1:9" x14ac:dyDescent="0.2">
      <c r="A1228" t="s">
        <v>595</v>
      </c>
      <c r="B1228" s="91">
        <v>1470</v>
      </c>
      <c r="D1228" t="s">
        <v>585</v>
      </c>
      <c r="E1228" s="91">
        <v>6.5</v>
      </c>
      <c r="I1228" s="92">
        <f t="shared" si="19"/>
        <v>6.5</v>
      </c>
    </row>
    <row r="1229" spans="1:9" x14ac:dyDescent="0.2">
      <c r="A1229" t="s">
        <v>596</v>
      </c>
      <c r="B1229" s="91">
        <v>41.25</v>
      </c>
      <c r="D1229" t="s">
        <v>829</v>
      </c>
      <c r="E1229" s="91">
        <v>6.5</v>
      </c>
      <c r="I1229" s="92">
        <f t="shared" si="19"/>
        <v>6.5</v>
      </c>
    </row>
    <row r="1230" spans="1:9" x14ac:dyDescent="0.2">
      <c r="A1230" t="s">
        <v>596</v>
      </c>
      <c r="B1230" s="91">
        <v>12.1</v>
      </c>
      <c r="D1230" t="s">
        <v>225</v>
      </c>
      <c r="E1230" s="91">
        <v>6</v>
      </c>
      <c r="I1230" s="92">
        <f t="shared" si="19"/>
        <v>6</v>
      </c>
    </row>
    <row r="1231" spans="1:9" x14ac:dyDescent="0.2">
      <c r="A1231" t="s">
        <v>597</v>
      </c>
      <c r="B1231" s="91">
        <v>28.4</v>
      </c>
      <c r="D1231" t="s">
        <v>708</v>
      </c>
      <c r="E1231" s="91">
        <v>6</v>
      </c>
      <c r="I1231" s="92">
        <f t="shared" si="19"/>
        <v>6</v>
      </c>
    </row>
    <row r="1232" spans="1:9" x14ac:dyDescent="0.2">
      <c r="A1232" t="s">
        <v>598</v>
      </c>
      <c r="B1232" s="91">
        <v>35.6</v>
      </c>
      <c r="D1232" t="s">
        <v>99</v>
      </c>
      <c r="E1232" s="91">
        <v>5</v>
      </c>
      <c r="I1232" s="92">
        <f t="shared" si="19"/>
        <v>5</v>
      </c>
    </row>
    <row r="1233" spans="1:9" x14ac:dyDescent="0.2">
      <c r="A1233" t="s">
        <v>599</v>
      </c>
      <c r="B1233" s="91">
        <v>110.55</v>
      </c>
      <c r="D1233" t="s">
        <v>426</v>
      </c>
      <c r="E1233" s="91">
        <v>5</v>
      </c>
      <c r="I1233" s="92">
        <f t="shared" si="19"/>
        <v>5</v>
      </c>
    </row>
    <row r="1234" spans="1:9" x14ac:dyDescent="0.2">
      <c r="A1234" t="s">
        <v>600</v>
      </c>
      <c r="B1234" s="91">
        <v>22</v>
      </c>
      <c r="D1234" t="s">
        <v>454</v>
      </c>
      <c r="E1234" s="91">
        <v>5</v>
      </c>
      <c r="I1234" s="92">
        <f t="shared" si="19"/>
        <v>5</v>
      </c>
    </row>
    <row r="1235" spans="1:9" x14ac:dyDescent="0.2">
      <c r="A1235" t="s">
        <v>600</v>
      </c>
      <c r="B1235" s="91">
        <v>18.5</v>
      </c>
      <c r="D1235" t="s">
        <v>677</v>
      </c>
      <c r="E1235" s="91">
        <v>5</v>
      </c>
      <c r="I1235" s="92">
        <f t="shared" si="19"/>
        <v>5</v>
      </c>
    </row>
    <row r="1236" spans="1:9" x14ac:dyDescent="0.2">
      <c r="A1236" t="s">
        <v>601</v>
      </c>
      <c r="B1236" s="91">
        <v>15</v>
      </c>
      <c r="D1236" t="s">
        <v>682</v>
      </c>
      <c r="E1236" s="91">
        <v>5</v>
      </c>
      <c r="I1236" s="92">
        <f t="shared" si="19"/>
        <v>5</v>
      </c>
    </row>
    <row r="1237" spans="1:9" x14ac:dyDescent="0.2">
      <c r="A1237" t="s">
        <v>601</v>
      </c>
      <c r="B1237" s="91">
        <v>20.75</v>
      </c>
      <c r="D1237" t="s">
        <v>685</v>
      </c>
      <c r="E1237" s="91">
        <v>5</v>
      </c>
      <c r="I1237" s="92">
        <f t="shared" si="19"/>
        <v>5</v>
      </c>
    </row>
    <row r="1238" spans="1:9" x14ac:dyDescent="0.2">
      <c r="A1238" t="s">
        <v>601</v>
      </c>
      <c r="B1238" s="91">
        <v>23.15</v>
      </c>
      <c r="D1238" t="s">
        <v>715</v>
      </c>
      <c r="E1238" s="91">
        <v>5</v>
      </c>
      <c r="I1238" s="92">
        <f t="shared" si="19"/>
        <v>5</v>
      </c>
    </row>
    <row r="1239" spans="1:9" x14ac:dyDescent="0.2">
      <c r="A1239" t="s">
        <v>602</v>
      </c>
      <c r="B1239" s="91">
        <v>170</v>
      </c>
      <c r="D1239" t="s">
        <v>914</v>
      </c>
      <c r="E1239" s="91">
        <v>5</v>
      </c>
      <c r="I1239" s="92">
        <f t="shared" si="19"/>
        <v>5</v>
      </c>
    </row>
    <row r="1240" spans="1:9" x14ac:dyDescent="0.2">
      <c r="A1240" t="s">
        <v>603</v>
      </c>
      <c r="B1240" s="91">
        <v>10.25</v>
      </c>
      <c r="D1240" t="s">
        <v>942</v>
      </c>
      <c r="E1240" s="91">
        <v>5</v>
      </c>
      <c r="I1240" s="92">
        <f t="shared" si="19"/>
        <v>5</v>
      </c>
    </row>
    <row r="1241" spans="1:9" x14ac:dyDescent="0.2">
      <c r="A1241" t="s">
        <v>603</v>
      </c>
      <c r="B1241" s="91">
        <v>93</v>
      </c>
      <c r="D1241" t="s">
        <v>946</v>
      </c>
      <c r="E1241" s="91">
        <v>5</v>
      </c>
      <c r="I1241" s="92">
        <f t="shared" si="19"/>
        <v>5</v>
      </c>
    </row>
    <row r="1242" spans="1:9" x14ac:dyDescent="0.2">
      <c r="A1242" t="s">
        <v>603</v>
      </c>
      <c r="B1242" s="91">
        <v>21.5</v>
      </c>
      <c r="D1242" t="s">
        <v>1027</v>
      </c>
      <c r="E1242" s="91">
        <v>5</v>
      </c>
      <c r="I1242" s="92">
        <f t="shared" si="19"/>
        <v>5</v>
      </c>
    </row>
    <row r="1243" spans="1:9" x14ac:dyDescent="0.2">
      <c r="A1243" t="s">
        <v>603</v>
      </c>
      <c r="B1243" s="91">
        <v>96</v>
      </c>
      <c r="D1243" t="s">
        <v>1124</v>
      </c>
      <c r="E1243" s="91">
        <v>5</v>
      </c>
      <c r="I1243" s="92">
        <f t="shared" si="19"/>
        <v>5</v>
      </c>
    </row>
    <row r="1244" spans="1:9" x14ac:dyDescent="0.2">
      <c r="A1244" t="s">
        <v>603</v>
      </c>
      <c r="B1244" s="91">
        <v>27</v>
      </c>
      <c r="D1244" t="s">
        <v>828</v>
      </c>
      <c r="E1244" s="91">
        <v>4</v>
      </c>
      <c r="I1244" s="92">
        <f t="shared" si="19"/>
        <v>4</v>
      </c>
    </row>
    <row r="1245" spans="1:9" x14ac:dyDescent="0.2">
      <c r="A1245" t="s">
        <v>603</v>
      </c>
      <c r="B1245" s="91">
        <v>72.5</v>
      </c>
      <c r="D1245" t="s">
        <v>722</v>
      </c>
      <c r="E1245" s="91">
        <v>3</v>
      </c>
      <c r="I1245" s="92">
        <f t="shared" si="19"/>
        <v>3</v>
      </c>
    </row>
    <row r="1246" spans="1:9" x14ac:dyDescent="0.2">
      <c r="A1246" t="s">
        <v>603</v>
      </c>
      <c r="B1246" s="91">
        <v>211</v>
      </c>
      <c r="D1246" t="s">
        <v>860</v>
      </c>
      <c r="E1246" s="91">
        <v>3</v>
      </c>
      <c r="I1246" s="92">
        <f t="shared" si="19"/>
        <v>3</v>
      </c>
    </row>
    <row r="1247" spans="1:9" x14ac:dyDescent="0.2">
      <c r="A1247" t="s">
        <v>603</v>
      </c>
      <c r="B1247" s="91">
        <v>-35.5</v>
      </c>
      <c r="D1247" t="s">
        <v>755</v>
      </c>
      <c r="E1247" s="91">
        <v>2.5</v>
      </c>
      <c r="I1247" s="92">
        <f t="shared" si="19"/>
        <v>2.5</v>
      </c>
    </row>
    <row r="1248" spans="1:9" x14ac:dyDescent="0.2">
      <c r="A1248" t="s">
        <v>604</v>
      </c>
      <c r="B1248" s="91">
        <v>786</v>
      </c>
      <c r="D1248" t="s">
        <v>89</v>
      </c>
      <c r="E1248" s="91">
        <v>2</v>
      </c>
      <c r="I1248" s="92">
        <f t="shared" si="19"/>
        <v>2</v>
      </c>
    </row>
    <row r="1249" spans="1:9" x14ac:dyDescent="0.2">
      <c r="A1249" t="s">
        <v>604</v>
      </c>
      <c r="B1249" s="91">
        <v>120</v>
      </c>
      <c r="D1249" t="s">
        <v>617</v>
      </c>
      <c r="E1249" s="91">
        <v>2</v>
      </c>
      <c r="I1249" s="92">
        <f t="shared" si="19"/>
        <v>2</v>
      </c>
    </row>
    <row r="1250" spans="1:9" x14ac:dyDescent="0.2">
      <c r="A1250" t="s">
        <v>604</v>
      </c>
      <c r="B1250" s="91">
        <v>58</v>
      </c>
      <c r="D1250" t="s">
        <v>815</v>
      </c>
      <c r="E1250" s="91">
        <v>2</v>
      </c>
      <c r="I1250" s="92">
        <f t="shared" si="19"/>
        <v>2</v>
      </c>
    </row>
    <row r="1251" spans="1:9" x14ac:dyDescent="0.2">
      <c r="A1251" t="s">
        <v>605</v>
      </c>
      <c r="B1251" s="91">
        <v>18</v>
      </c>
      <c r="D1251" t="s">
        <v>948</v>
      </c>
      <c r="E1251" s="91">
        <v>2</v>
      </c>
      <c r="I1251" s="92">
        <f t="shared" si="19"/>
        <v>2</v>
      </c>
    </row>
    <row r="1252" spans="1:9" x14ac:dyDescent="0.2">
      <c r="A1252" t="s">
        <v>606</v>
      </c>
      <c r="B1252" s="91">
        <v>42</v>
      </c>
      <c r="D1252" t="s">
        <v>1081</v>
      </c>
      <c r="E1252" s="91">
        <v>1</v>
      </c>
      <c r="I1252" s="92">
        <f t="shared" si="19"/>
        <v>1</v>
      </c>
    </row>
    <row r="1253" spans="1:9" x14ac:dyDescent="0.2">
      <c r="A1253" t="s">
        <v>606</v>
      </c>
      <c r="B1253" s="91">
        <v>18.25</v>
      </c>
      <c r="D1253" t="s">
        <v>1244</v>
      </c>
      <c r="E1253" s="91">
        <v>447718.77000000037</v>
      </c>
      <c r="G1253" s="94">
        <f>SUM(G2:G1252)</f>
        <v>449141.51999999996</v>
      </c>
      <c r="I1253" s="92">
        <f>SUM(I2:I1252)</f>
        <v>-1422.7500000000305</v>
      </c>
    </row>
    <row r="1254" spans="1:9" x14ac:dyDescent="0.2">
      <c r="A1254" t="s">
        <v>606</v>
      </c>
      <c r="B1254" s="91">
        <v>27.5</v>
      </c>
    </row>
    <row r="1255" spans="1:9" x14ac:dyDescent="0.2">
      <c r="A1255" t="s">
        <v>607</v>
      </c>
      <c r="B1255" s="91">
        <v>45</v>
      </c>
    </row>
    <row r="1256" spans="1:9" x14ac:dyDescent="0.2">
      <c r="A1256" t="s">
        <v>607</v>
      </c>
      <c r="B1256" s="91">
        <v>48.75</v>
      </c>
    </row>
    <row r="1257" spans="1:9" x14ac:dyDescent="0.2">
      <c r="A1257" t="s">
        <v>608</v>
      </c>
      <c r="B1257" s="91">
        <v>45</v>
      </c>
    </row>
    <row r="1258" spans="1:9" x14ac:dyDescent="0.2">
      <c r="A1258" t="s">
        <v>608</v>
      </c>
      <c r="B1258" s="91">
        <v>93</v>
      </c>
    </row>
    <row r="1259" spans="1:9" x14ac:dyDescent="0.2">
      <c r="A1259" t="s">
        <v>608</v>
      </c>
      <c r="B1259" s="91">
        <v>61.8</v>
      </c>
    </row>
    <row r="1260" spans="1:9" x14ac:dyDescent="0.2">
      <c r="A1260" t="s">
        <v>609</v>
      </c>
      <c r="B1260" s="91">
        <v>73.75</v>
      </c>
    </row>
    <row r="1261" spans="1:9" x14ac:dyDescent="0.2">
      <c r="A1261" t="s">
        <v>609</v>
      </c>
      <c r="B1261" s="91">
        <v>21.5</v>
      </c>
    </row>
    <row r="1262" spans="1:9" x14ac:dyDescent="0.2">
      <c r="A1262" t="s">
        <v>609</v>
      </c>
      <c r="B1262" s="91">
        <v>21.5</v>
      </c>
    </row>
    <row r="1263" spans="1:9" x14ac:dyDescent="0.2">
      <c r="A1263" t="s">
        <v>610</v>
      </c>
      <c r="B1263" s="91">
        <v>57.5</v>
      </c>
    </row>
    <row r="1264" spans="1:9" x14ac:dyDescent="0.2">
      <c r="A1264" t="s">
        <v>610</v>
      </c>
      <c r="B1264" s="91">
        <v>22.75</v>
      </c>
    </row>
    <row r="1265" spans="1:2" x14ac:dyDescent="0.2">
      <c r="A1265" t="s">
        <v>610</v>
      </c>
      <c r="B1265" s="91">
        <v>105.75</v>
      </c>
    </row>
    <row r="1266" spans="1:2" x14ac:dyDescent="0.2">
      <c r="A1266" t="s">
        <v>611</v>
      </c>
      <c r="B1266" s="91">
        <v>12.82</v>
      </c>
    </row>
    <row r="1267" spans="1:2" x14ac:dyDescent="0.2">
      <c r="A1267" t="s">
        <v>612</v>
      </c>
      <c r="B1267" s="91">
        <v>39.75</v>
      </c>
    </row>
    <row r="1268" spans="1:2" x14ac:dyDescent="0.2">
      <c r="A1268" t="s">
        <v>612</v>
      </c>
      <c r="B1268" s="91">
        <v>303</v>
      </c>
    </row>
    <row r="1269" spans="1:2" x14ac:dyDescent="0.2">
      <c r="A1269" t="s">
        <v>613</v>
      </c>
      <c r="B1269" s="91">
        <v>405</v>
      </c>
    </row>
    <row r="1270" spans="1:2" x14ac:dyDescent="0.2">
      <c r="A1270" t="s">
        <v>613</v>
      </c>
      <c r="B1270" s="91">
        <v>354</v>
      </c>
    </row>
    <row r="1271" spans="1:2" x14ac:dyDescent="0.2">
      <c r="A1271" t="s">
        <v>613</v>
      </c>
      <c r="B1271" s="91">
        <v>115</v>
      </c>
    </row>
    <row r="1272" spans="1:2" x14ac:dyDescent="0.2">
      <c r="A1272" t="s">
        <v>614</v>
      </c>
      <c r="B1272" s="91">
        <v>36</v>
      </c>
    </row>
    <row r="1273" spans="1:2" x14ac:dyDescent="0.2">
      <c r="A1273" t="s">
        <v>614</v>
      </c>
      <c r="B1273" s="91">
        <v>24</v>
      </c>
    </row>
    <row r="1274" spans="1:2" x14ac:dyDescent="0.2">
      <c r="A1274" t="s">
        <v>614</v>
      </c>
      <c r="B1274" s="91">
        <v>51.25</v>
      </c>
    </row>
    <row r="1275" spans="1:2" x14ac:dyDescent="0.2">
      <c r="A1275" t="s">
        <v>614</v>
      </c>
      <c r="B1275" s="91">
        <v>67.5</v>
      </c>
    </row>
    <row r="1276" spans="1:2" x14ac:dyDescent="0.2">
      <c r="A1276" t="s">
        <v>615</v>
      </c>
      <c r="B1276" s="91">
        <v>65.5</v>
      </c>
    </row>
    <row r="1277" spans="1:2" x14ac:dyDescent="0.2">
      <c r="A1277" t="s">
        <v>615</v>
      </c>
      <c r="B1277" s="91">
        <v>131</v>
      </c>
    </row>
    <row r="1278" spans="1:2" x14ac:dyDescent="0.2">
      <c r="A1278" t="s">
        <v>615</v>
      </c>
      <c r="B1278" s="91">
        <v>79.5</v>
      </c>
    </row>
    <row r="1279" spans="1:2" x14ac:dyDescent="0.2">
      <c r="A1279" t="s">
        <v>615</v>
      </c>
      <c r="B1279" s="91">
        <v>79.5</v>
      </c>
    </row>
    <row r="1280" spans="1:2" x14ac:dyDescent="0.2">
      <c r="A1280" t="s">
        <v>615</v>
      </c>
      <c r="B1280" s="91">
        <v>45</v>
      </c>
    </row>
    <row r="1281" spans="1:2" x14ac:dyDescent="0.2">
      <c r="A1281" t="s">
        <v>615</v>
      </c>
      <c r="B1281" s="91">
        <v>24.5</v>
      </c>
    </row>
    <row r="1282" spans="1:2" x14ac:dyDescent="0.2">
      <c r="A1282" t="s">
        <v>615</v>
      </c>
      <c r="B1282" s="91">
        <v>120</v>
      </c>
    </row>
    <row r="1283" spans="1:2" x14ac:dyDescent="0.2">
      <c r="A1283" t="s">
        <v>615</v>
      </c>
      <c r="B1283" s="91">
        <v>4.4500000000000028</v>
      </c>
    </row>
    <row r="1284" spans="1:2" x14ac:dyDescent="0.2">
      <c r="A1284" t="s">
        <v>616</v>
      </c>
      <c r="B1284" s="91">
        <v>28.75</v>
      </c>
    </row>
    <row r="1285" spans="1:2" x14ac:dyDescent="0.2">
      <c r="A1285" t="s">
        <v>616</v>
      </c>
      <c r="B1285" s="91">
        <v>33</v>
      </c>
    </row>
    <row r="1286" spans="1:2" x14ac:dyDescent="0.2">
      <c r="A1286" t="s">
        <v>616</v>
      </c>
      <c r="B1286" s="91">
        <v>7</v>
      </c>
    </row>
    <row r="1287" spans="1:2" x14ac:dyDescent="0.2">
      <c r="A1287" t="s">
        <v>616</v>
      </c>
      <c r="B1287" s="91">
        <v>15</v>
      </c>
    </row>
    <row r="1288" spans="1:2" x14ac:dyDescent="0.2">
      <c r="A1288" t="s">
        <v>616</v>
      </c>
      <c r="B1288" s="91">
        <v>7.82</v>
      </c>
    </row>
    <row r="1289" spans="1:2" x14ac:dyDescent="0.2">
      <c r="A1289" t="s">
        <v>617</v>
      </c>
      <c r="B1289" s="91">
        <v>2</v>
      </c>
    </row>
    <row r="1290" spans="1:2" x14ac:dyDescent="0.2">
      <c r="A1290" t="s">
        <v>618</v>
      </c>
      <c r="B1290" s="91">
        <v>16.87</v>
      </c>
    </row>
    <row r="1291" spans="1:2" x14ac:dyDescent="0.2">
      <c r="A1291" t="s">
        <v>618</v>
      </c>
      <c r="B1291" s="91">
        <v>3</v>
      </c>
    </row>
    <row r="1292" spans="1:2" x14ac:dyDescent="0.2">
      <c r="A1292" t="s">
        <v>619</v>
      </c>
      <c r="B1292" s="91">
        <v>12.82</v>
      </c>
    </row>
    <row r="1293" spans="1:2" x14ac:dyDescent="0.2">
      <c r="A1293" t="s">
        <v>620</v>
      </c>
      <c r="B1293" s="91">
        <v>18</v>
      </c>
    </row>
    <row r="1294" spans="1:2" x14ac:dyDescent="0.2">
      <c r="A1294" t="s">
        <v>620</v>
      </c>
      <c r="B1294" s="91">
        <v>16.420000000000002</v>
      </c>
    </row>
    <row r="1295" spans="1:2" x14ac:dyDescent="0.2">
      <c r="A1295" t="s">
        <v>621</v>
      </c>
      <c r="B1295" s="91">
        <v>63</v>
      </c>
    </row>
    <row r="1296" spans="1:2" x14ac:dyDescent="0.2">
      <c r="A1296" t="s">
        <v>621</v>
      </c>
      <c r="B1296" s="91">
        <v>72.5</v>
      </c>
    </row>
    <row r="1297" spans="1:2" x14ac:dyDescent="0.2">
      <c r="A1297" t="s">
        <v>622</v>
      </c>
      <c r="B1297" s="91">
        <v>68.75</v>
      </c>
    </row>
    <row r="1298" spans="1:2" x14ac:dyDescent="0.2">
      <c r="A1298" t="s">
        <v>623</v>
      </c>
      <c r="B1298" s="91">
        <v>8</v>
      </c>
    </row>
    <row r="1299" spans="1:2" x14ac:dyDescent="0.2">
      <c r="A1299" t="s">
        <v>623</v>
      </c>
      <c r="B1299" s="91">
        <v>7.5</v>
      </c>
    </row>
    <row r="1300" spans="1:2" x14ac:dyDescent="0.2">
      <c r="A1300" t="s">
        <v>624</v>
      </c>
      <c r="B1300" s="91">
        <v>57.25</v>
      </c>
    </row>
    <row r="1301" spans="1:2" x14ac:dyDescent="0.2">
      <c r="A1301" t="s">
        <v>625</v>
      </c>
      <c r="B1301" s="91">
        <v>330</v>
      </c>
    </row>
    <row r="1302" spans="1:2" x14ac:dyDescent="0.2">
      <c r="A1302" t="s">
        <v>626</v>
      </c>
      <c r="B1302" s="91">
        <v>10.5</v>
      </c>
    </row>
    <row r="1303" spans="1:2" x14ac:dyDescent="0.2">
      <c r="A1303" t="s">
        <v>627</v>
      </c>
      <c r="B1303" s="91">
        <v>89</v>
      </c>
    </row>
    <row r="1304" spans="1:2" x14ac:dyDescent="0.2">
      <c r="A1304" t="s">
        <v>628</v>
      </c>
      <c r="B1304" s="91">
        <v>32.25</v>
      </c>
    </row>
    <row r="1305" spans="1:2" x14ac:dyDescent="0.2">
      <c r="A1305" t="s">
        <v>628</v>
      </c>
      <c r="B1305" s="91">
        <v>37.25</v>
      </c>
    </row>
    <row r="1306" spans="1:2" x14ac:dyDescent="0.2">
      <c r="A1306" t="s">
        <v>629</v>
      </c>
      <c r="B1306" s="91">
        <v>240</v>
      </c>
    </row>
    <row r="1307" spans="1:2" x14ac:dyDescent="0.2">
      <c r="A1307" t="s">
        <v>629</v>
      </c>
      <c r="B1307" s="91">
        <v>200</v>
      </c>
    </row>
    <row r="1308" spans="1:2" x14ac:dyDescent="0.2">
      <c r="A1308" t="s">
        <v>630</v>
      </c>
      <c r="B1308" s="91">
        <v>11</v>
      </c>
    </row>
    <row r="1309" spans="1:2" x14ac:dyDescent="0.2">
      <c r="A1309" t="s">
        <v>630</v>
      </c>
      <c r="B1309" s="91">
        <v>13.5</v>
      </c>
    </row>
    <row r="1310" spans="1:2" x14ac:dyDescent="0.2">
      <c r="A1310" t="s">
        <v>630</v>
      </c>
      <c r="B1310" s="91">
        <v>26.71</v>
      </c>
    </row>
    <row r="1311" spans="1:2" x14ac:dyDescent="0.2">
      <c r="A1311" t="s">
        <v>630</v>
      </c>
      <c r="B1311" s="91">
        <v>174</v>
      </c>
    </row>
    <row r="1312" spans="1:2" x14ac:dyDescent="0.2">
      <c r="A1312" t="s">
        <v>630</v>
      </c>
      <c r="B1312" s="91">
        <v>-14.420000000000002</v>
      </c>
    </row>
    <row r="1313" spans="1:2" x14ac:dyDescent="0.2">
      <c r="A1313" t="s">
        <v>631</v>
      </c>
      <c r="B1313" s="91">
        <v>36</v>
      </c>
    </row>
    <row r="1314" spans="1:2" x14ac:dyDescent="0.2">
      <c r="A1314" t="s">
        <v>632</v>
      </c>
      <c r="B1314" s="91">
        <v>354</v>
      </c>
    </row>
    <row r="1315" spans="1:2" x14ac:dyDescent="0.2">
      <c r="A1315" t="s">
        <v>633</v>
      </c>
      <c r="B1315" s="91">
        <v>21</v>
      </c>
    </row>
    <row r="1316" spans="1:2" x14ac:dyDescent="0.2">
      <c r="A1316" t="s">
        <v>633</v>
      </c>
      <c r="B1316" s="91">
        <v>36.25</v>
      </c>
    </row>
    <row r="1317" spans="1:2" x14ac:dyDescent="0.2">
      <c r="A1317" t="s">
        <v>633</v>
      </c>
      <c r="B1317" s="91">
        <v>51.75</v>
      </c>
    </row>
    <row r="1318" spans="1:2" x14ac:dyDescent="0.2">
      <c r="A1318" t="s">
        <v>633</v>
      </c>
      <c r="B1318" s="91">
        <v>37.25</v>
      </c>
    </row>
    <row r="1319" spans="1:2" x14ac:dyDescent="0.2">
      <c r="A1319" t="s">
        <v>634</v>
      </c>
      <c r="B1319" s="91">
        <v>20.7</v>
      </c>
    </row>
    <row r="1320" spans="1:2" x14ac:dyDescent="0.2">
      <c r="A1320" t="s">
        <v>635</v>
      </c>
      <c r="B1320" s="91">
        <v>20</v>
      </c>
    </row>
    <row r="1321" spans="1:2" x14ac:dyDescent="0.2">
      <c r="A1321" t="s">
        <v>636</v>
      </c>
      <c r="B1321" s="91">
        <v>45</v>
      </c>
    </row>
    <row r="1322" spans="1:2" x14ac:dyDescent="0.2">
      <c r="A1322" t="s">
        <v>637</v>
      </c>
      <c r="B1322" s="91">
        <v>216</v>
      </c>
    </row>
    <row r="1323" spans="1:2" x14ac:dyDescent="0.2">
      <c r="A1323" t="s">
        <v>638</v>
      </c>
      <c r="B1323" s="91">
        <v>18</v>
      </c>
    </row>
    <row r="1324" spans="1:2" x14ac:dyDescent="0.2">
      <c r="A1324" t="s">
        <v>638</v>
      </c>
      <c r="B1324" s="91">
        <v>10</v>
      </c>
    </row>
    <row r="1325" spans="1:2" x14ac:dyDescent="0.2">
      <c r="A1325" t="s">
        <v>639</v>
      </c>
      <c r="B1325" s="91">
        <v>49.75</v>
      </c>
    </row>
    <row r="1326" spans="1:2" x14ac:dyDescent="0.2">
      <c r="A1326" t="s">
        <v>640</v>
      </c>
      <c r="B1326" s="91">
        <v>10</v>
      </c>
    </row>
    <row r="1327" spans="1:2" x14ac:dyDescent="0.2">
      <c r="A1327" t="s">
        <v>640</v>
      </c>
      <c r="B1327" s="91">
        <v>19.7</v>
      </c>
    </row>
    <row r="1328" spans="1:2" x14ac:dyDescent="0.2">
      <c r="A1328" t="s">
        <v>641</v>
      </c>
      <c r="B1328" s="91">
        <v>27.25</v>
      </c>
    </row>
    <row r="1329" spans="1:2" x14ac:dyDescent="0.2">
      <c r="A1329" t="s">
        <v>641</v>
      </c>
      <c r="B1329" s="91">
        <v>10</v>
      </c>
    </row>
    <row r="1330" spans="1:2" x14ac:dyDescent="0.2">
      <c r="A1330" t="s">
        <v>642</v>
      </c>
      <c r="B1330" s="91">
        <v>202.5</v>
      </c>
    </row>
    <row r="1331" spans="1:2" x14ac:dyDescent="0.2">
      <c r="A1331" t="s">
        <v>643</v>
      </c>
      <c r="B1331" s="91">
        <v>1680</v>
      </c>
    </row>
    <row r="1332" spans="1:2" x14ac:dyDescent="0.2">
      <c r="A1332" t="s">
        <v>643</v>
      </c>
      <c r="B1332" s="91">
        <v>1400</v>
      </c>
    </row>
    <row r="1333" spans="1:2" x14ac:dyDescent="0.2">
      <c r="A1333" t="s">
        <v>644</v>
      </c>
      <c r="B1333" s="91">
        <v>120</v>
      </c>
    </row>
    <row r="1334" spans="1:2" x14ac:dyDescent="0.2">
      <c r="A1334" t="s">
        <v>644</v>
      </c>
      <c r="B1334" s="91">
        <v>58</v>
      </c>
    </row>
    <row r="1335" spans="1:2" x14ac:dyDescent="0.2">
      <c r="A1335" t="s">
        <v>645</v>
      </c>
      <c r="B1335" s="91">
        <v>444</v>
      </c>
    </row>
    <row r="1336" spans="1:2" x14ac:dyDescent="0.2">
      <c r="A1336" t="s">
        <v>645</v>
      </c>
      <c r="B1336" s="91">
        <v>432</v>
      </c>
    </row>
    <row r="1337" spans="1:2" x14ac:dyDescent="0.2">
      <c r="A1337" t="s">
        <v>645</v>
      </c>
      <c r="B1337" s="91">
        <v>240</v>
      </c>
    </row>
    <row r="1338" spans="1:2" x14ac:dyDescent="0.2">
      <c r="A1338" t="s">
        <v>645</v>
      </c>
      <c r="B1338" s="91">
        <v>240</v>
      </c>
    </row>
    <row r="1339" spans="1:2" x14ac:dyDescent="0.2">
      <c r="A1339" t="s">
        <v>645</v>
      </c>
      <c r="B1339" s="91">
        <v>405</v>
      </c>
    </row>
    <row r="1340" spans="1:2" x14ac:dyDescent="0.2">
      <c r="A1340" t="s">
        <v>645</v>
      </c>
      <c r="B1340" s="91">
        <v>63</v>
      </c>
    </row>
    <row r="1341" spans="1:2" x14ac:dyDescent="0.2">
      <c r="A1341" t="s">
        <v>646</v>
      </c>
      <c r="B1341" s="91">
        <v>7.75</v>
      </c>
    </row>
    <row r="1342" spans="1:2" x14ac:dyDescent="0.2">
      <c r="A1342" t="s">
        <v>646</v>
      </c>
      <c r="B1342" s="91">
        <v>29.5</v>
      </c>
    </row>
    <row r="1343" spans="1:2" x14ac:dyDescent="0.2">
      <c r="A1343" t="s">
        <v>647</v>
      </c>
      <c r="B1343" s="91">
        <v>300</v>
      </c>
    </row>
    <row r="1344" spans="1:2" x14ac:dyDescent="0.2">
      <c r="A1344" t="s">
        <v>647</v>
      </c>
      <c r="B1344" s="91">
        <v>216</v>
      </c>
    </row>
    <row r="1345" spans="1:2" x14ac:dyDescent="0.2">
      <c r="A1345" t="s">
        <v>647</v>
      </c>
      <c r="B1345" s="91">
        <v>222</v>
      </c>
    </row>
    <row r="1346" spans="1:2" x14ac:dyDescent="0.2">
      <c r="A1346" t="s">
        <v>647</v>
      </c>
      <c r="B1346" s="91">
        <v>150</v>
      </c>
    </row>
    <row r="1347" spans="1:2" x14ac:dyDescent="0.2">
      <c r="A1347" t="s">
        <v>647</v>
      </c>
      <c r="B1347" s="91">
        <v>150</v>
      </c>
    </row>
    <row r="1348" spans="1:2" x14ac:dyDescent="0.2">
      <c r="A1348" t="s">
        <v>647</v>
      </c>
      <c r="B1348" s="91">
        <v>86</v>
      </c>
    </row>
    <row r="1349" spans="1:2" x14ac:dyDescent="0.2">
      <c r="A1349" t="s">
        <v>648</v>
      </c>
      <c r="B1349" s="91">
        <v>132</v>
      </c>
    </row>
    <row r="1350" spans="1:2" x14ac:dyDescent="0.2">
      <c r="A1350" t="s">
        <v>649</v>
      </c>
      <c r="B1350" s="91">
        <v>594</v>
      </c>
    </row>
    <row r="1351" spans="1:2" x14ac:dyDescent="0.2">
      <c r="A1351" t="s">
        <v>649</v>
      </c>
      <c r="B1351" s="91">
        <v>240</v>
      </c>
    </row>
    <row r="1352" spans="1:2" x14ac:dyDescent="0.2">
      <c r="A1352" t="s">
        <v>649</v>
      </c>
      <c r="B1352" s="91">
        <v>240</v>
      </c>
    </row>
    <row r="1353" spans="1:2" x14ac:dyDescent="0.2">
      <c r="A1353" t="s">
        <v>649</v>
      </c>
      <c r="B1353" s="91">
        <v>160</v>
      </c>
    </row>
    <row r="1354" spans="1:2" x14ac:dyDescent="0.2">
      <c r="A1354" t="s">
        <v>650</v>
      </c>
      <c r="B1354" s="91">
        <v>38.25</v>
      </c>
    </row>
    <row r="1355" spans="1:2" x14ac:dyDescent="0.2">
      <c r="A1355" t="s">
        <v>650</v>
      </c>
      <c r="B1355" s="91">
        <v>6.75</v>
      </c>
    </row>
    <row r="1356" spans="1:2" x14ac:dyDescent="0.2">
      <c r="A1356" t="s">
        <v>650</v>
      </c>
      <c r="B1356" s="91">
        <v>29.75</v>
      </c>
    </row>
    <row r="1357" spans="1:2" x14ac:dyDescent="0.2">
      <c r="A1357" t="s">
        <v>650</v>
      </c>
      <c r="B1357" s="91">
        <v>105</v>
      </c>
    </row>
    <row r="1358" spans="1:2" x14ac:dyDescent="0.2">
      <c r="A1358" t="s">
        <v>650</v>
      </c>
      <c r="B1358" s="91">
        <v>7.25</v>
      </c>
    </row>
    <row r="1359" spans="1:2" x14ac:dyDescent="0.2">
      <c r="A1359" t="s">
        <v>650</v>
      </c>
      <c r="B1359" s="91">
        <v>147</v>
      </c>
    </row>
    <row r="1360" spans="1:2" x14ac:dyDescent="0.2">
      <c r="A1360" t="s">
        <v>650</v>
      </c>
      <c r="B1360" s="91">
        <v>190.7</v>
      </c>
    </row>
    <row r="1361" spans="1:2" x14ac:dyDescent="0.2">
      <c r="A1361" t="s">
        <v>650</v>
      </c>
      <c r="B1361" s="91">
        <v>85</v>
      </c>
    </row>
    <row r="1362" spans="1:2" x14ac:dyDescent="0.2">
      <c r="A1362" t="s">
        <v>651</v>
      </c>
      <c r="B1362" s="91">
        <v>708</v>
      </c>
    </row>
    <row r="1363" spans="1:2" x14ac:dyDescent="0.2">
      <c r="A1363" t="s">
        <v>652</v>
      </c>
      <c r="B1363" s="91">
        <v>7.5</v>
      </c>
    </row>
    <row r="1364" spans="1:2" x14ac:dyDescent="0.2">
      <c r="A1364" t="s">
        <v>652</v>
      </c>
      <c r="B1364" s="91">
        <v>7.5</v>
      </c>
    </row>
    <row r="1365" spans="1:2" x14ac:dyDescent="0.2">
      <c r="A1365" t="s">
        <v>652</v>
      </c>
      <c r="B1365" s="91">
        <v>16</v>
      </c>
    </row>
    <row r="1366" spans="1:2" x14ac:dyDescent="0.2">
      <c r="A1366" t="s">
        <v>653</v>
      </c>
      <c r="B1366" s="91">
        <v>12.25</v>
      </c>
    </row>
    <row r="1367" spans="1:2" x14ac:dyDescent="0.2">
      <c r="A1367" t="s">
        <v>653</v>
      </c>
      <c r="B1367" s="91">
        <v>10.5</v>
      </c>
    </row>
    <row r="1368" spans="1:2" x14ac:dyDescent="0.2">
      <c r="A1368" t="s">
        <v>654</v>
      </c>
      <c r="B1368" s="91">
        <v>81.900000000000006</v>
      </c>
    </row>
    <row r="1369" spans="1:2" x14ac:dyDescent="0.2">
      <c r="A1369" t="s">
        <v>655</v>
      </c>
      <c r="B1369" s="91">
        <v>27.5</v>
      </c>
    </row>
    <row r="1370" spans="1:2" x14ac:dyDescent="0.2">
      <c r="A1370" t="s">
        <v>655</v>
      </c>
      <c r="B1370" s="91">
        <v>15</v>
      </c>
    </row>
    <row r="1371" spans="1:2" x14ac:dyDescent="0.2">
      <c r="A1371" t="s">
        <v>655</v>
      </c>
      <c r="B1371" s="91">
        <v>20</v>
      </c>
    </row>
    <row r="1372" spans="1:2" x14ac:dyDescent="0.2">
      <c r="A1372" t="s">
        <v>655</v>
      </c>
      <c r="B1372" s="91">
        <v>7.25</v>
      </c>
    </row>
    <row r="1373" spans="1:2" x14ac:dyDescent="0.2">
      <c r="A1373" t="s">
        <v>656</v>
      </c>
      <c r="B1373" s="91">
        <v>18</v>
      </c>
    </row>
    <row r="1374" spans="1:2" x14ac:dyDescent="0.2">
      <c r="A1374" t="s">
        <v>657</v>
      </c>
      <c r="B1374" s="91">
        <v>132</v>
      </c>
    </row>
    <row r="1375" spans="1:2" x14ac:dyDescent="0.2">
      <c r="A1375" t="s">
        <v>657</v>
      </c>
      <c r="B1375" s="91">
        <v>28.25</v>
      </c>
    </row>
    <row r="1376" spans="1:2" x14ac:dyDescent="0.2">
      <c r="A1376" t="s">
        <v>658</v>
      </c>
      <c r="B1376" s="91">
        <v>62</v>
      </c>
    </row>
    <row r="1377" spans="1:2" x14ac:dyDescent="0.2">
      <c r="A1377" t="s">
        <v>658</v>
      </c>
      <c r="B1377" s="91">
        <v>103.5</v>
      </c>
    </row>
    <row r="1378" spans="1:2" x14ac:dyDescent="0.2">
      <c r="A1378" t="s">
        <v>659</v>
      </c>
      <c r="B1378" s="91">
        <v>67.25</v>
      </c>
    </row>
    <row r="1379" spans="1:2" x14ac:dyDescent="0.2">
      <c r="A1379" t="s">
        <v>659</v>
      </c>
      <c r="B1379" s="91">
        <v>35.5</v>
      </c>
    </row>
    <row r="1380" spans="1:2" x14ac:dyDescent="0.2">
      <c r="A1380" t="s">
        <v>659</v>
      </c>
      <c r="B1380" s="91">
        <v>17.5</v>
      </c>
    </row>
    <row r="1381" spans="1:2" x14ac:dyDescent="0.2">
      <c r="A1381" t="s">
        <v>659</v>
      </c>
      <c r="B1381" s="91">
        <v>44.25</v>
      </c>
    </row>
    <row r="1382" spans="1:2" x14ac:dyDescent="0.2">
      <c r="A1382" t="s">
        <v>659</v>
      </c>
      <c r="B1382" s="91">
        <v>29.5</v>
      </c>
    </row>
    <row r="1383" spans="1:2" x14ac:dyDescent="0.2">
      <c r="A1383" t="s">
        <v>659</v>
      </c>
      <c r="B1383" s="91">
        <v>24.75</v>
      </c>
    </row>
    <row r="1384" spans="1:2" x14ac:dyDescent="0.2">
      <c r="A1384" t="s">
        <v>659</v>
      </c>
      <c r="B1384" s="91">
        <v>74.75</v>
      </c>
    </row>
    <row r="1385" spans="1:2" x14ac:dyDescent="0.2">
      <c r="A1385" t="s">
        <v>660</v>
      </c>
      <c r="B1385" s="91">
        <v>28.75</v>
      </c>
    </row>
    <row r="1386" spans="1:2" x14ac:dyDescent="0.2">
      <c r="A1386" t="s">
        <v>660</v>
      </c>
      <c r="B1386" s="91">
        <v>28.75</v>
      </c>
    </row>
    <row r="1387" spans="1:2" x14ac:dyDescent="0.2">
      <c r="A1387" t="s">
        <v>660</v>
      </c>
      <c r="B1387" s="91">
        <v>37</v>
      </c>
    </row>
    <row r="1388" spans="1:2" x14ac:dyDescent="0.2">
      <c r="A1388" t="s">
        <v>661</v>
      </c>
      <c r="B1388" s="91">
        <v>18.5</v>
      </c>
    </row>
    <row r="1389" spans="1:2" x14ac:dyDescent="0.2">
      <c r="A1389" t="s">
        <v>661</v>
      </c>
      <c r="B1389" s="91">
        <v>6.75</v>
      </c>
    </row>
    <row r="1390" spans="1:2" x14ac:dyDescent="0.2">
      <c r="A1390" t="s">
        <v>661</v>
      </c>
      <c r="B1390" s="91">
        <v>11.5</v>
      </c>
    </row>
    <row r="1391" spans="1:2" x14ac:dyDescent="0.2">
      <c r="A1391" t="s">
        <v>661</v>
      </c>
      <c r="B1391" s="91">
        <v>11.5</v>
      </c>
    </row>
    <row r="1392" spans="1:2" x14ac:dyDescent="0.2">
      <c r="A1392" t="s">
        <v>662</v>
      </c>
      <c r="B1392" s="91">
        <v>18.25</v>
      </c>
    </row>
    <row r="1393" spans="1:2" x14ac:dyDescent="0.2">
      <c r="A1393" t="s">
        <v>663</v>
      </c>
      <c r="B1393" s="91">
        <v>380</v>
      </c>
    </row>
    <row r="1394" spans="1:2" x14ac:dyDescent="0.2">
      <c r="A1394" t="s">
        <v>664</v>
      </c>
      <c r="B1394" s="91">
        <v>122.75</v>
      </c>
    </row>
    <row r="1395" spans="1:2" x14ac:dyDescent="0.2">
      <c r="A1395" t="s">
        <v>664</v>
      </c>
      <c r="B1395" s="91">
        <v>10</v>
      </c>
    </row>
    <row r="1396" spans="1:2" x14ac:dyDescent="0.2">
      <c r="A1396" t="s">
        <v>664</v>
      </c>
      <c r="B1396" s="91">
        <v>8</v>
      </c>
    </row>
    <row r="1397" spans="1:2" x14ac:dyDescent="0.2">
      <c r="A1397" t="s">
        <v>664</v>
      </c>
      <c r="B1397" s="91">
        <v>7.75</v>
      </c>
    </row>
    <row r="1398" spans="1:2" x14ac:dyDescent="0.2">
      <c r="A1398" t="s">
        <v>665</v>
      </c>
      <c r="B1398" s="91">
        <v>18</v>
      </c>
    </row>
    <row r="1399" spans="1:2" x14ac:dyDescent="0.2">
      <c r="A1399" t="s">
        <v>666</v>
      </c>
      <c r="B1399" s="91">
        <v>42.75</v>
      </c>
    </row>
    <row r="1400" spans="1:2" x14ac:dyDescent="0.2">
      <c r="A1400" t="s">
        <v>666</v>
      </c>
      <c r="B1400" s="91">
        <v>11.5</v>
      </c>
    </row>
    <row r="1401" spans="1:2" x14ac:dyDescent="0.2">
      <c r="A1401" t="s">
        <v>667</v>
      </c>
      <c r="B1401" s="91">
        <v>9.75</v>
      </c>
    </row>
    <row r="1402" spans="1:2" x14ac:dyDescent="0.2">
      <c r="A1402" t="s">
        <v>667</v>
      </c>
      <c r="B1402" s="91">
        <v>13.5</v>
      </c>
    </row>
    <row r="1403" spans="1:2" x14ac:dyDescent="0.2">
      <c r="A1403" t="s">
        <v>668</v>
      </c>
      <c r="B1403" s="91">
        <v>36.75</v>
      </c>
    </row>
    <row r="1404" spans="1:2" x14ac:dyDescent="0.2">
      <c r="A1404" t="s">
        <v>669</v>
      </c>
      <c r="B1404" s="91">
        <v>26.25</v>
      </c>
    </row>
    <row r="1405" spans="1:2" x14ac:dyDescent="0.2">
      <c r="A1405" t="s">
        <v>669</v>
      </c>
      <c r="B1405" s="91">
        <v>22</v>
      </c>
    </row>
    <row r="1406" spans="1:2" x14ac:dyDescent="0.2">
      <c r="A1406" t="s">
        <v>670</v>
      </c>
      <c r="B1406" s="91">
        <v>7.5</v>
      </c>
    </row>
    <row r="1407" spans="1:2" x14ac:dyDescent="0.2">
      <c r="A1407" t="s">
        <v>670</v>
      </c>
      <c r="B1407" s="91">
        <v>16</v>
      </c>
    </row>
    <row r="1408" spans="1:2" x14ac:dyDescent="0.2">
      <c r="A1408" t="s">
        <v>670</v>
      </c>
      <c r="B1408" s="91">
        <v>12.25</v>
      </c>
    </row>
    <row r="1409" spans="1:2" x14ac:dyDescent="0.2">
      <c r="A1409" t="s">
        <v>670</v>
      </c>
      <c r="B1409" s="91">
        <v>8.75</v>
      </c>
    </row>
    <row r="1410" spans="1:2" x14ac:dyDescent="0.2">
      <c r="A1410" t="s">
        <v>671</v>
      </c>
      <c r="B1410" s="91">
        <v>43.75</v>
      </c>
    </row>
    <row r="1411" spans="1:2" x14ac:dyDescent="0.2">
      <c r="A1411" t="s">
        <v>672</v>
      </c>
      <c r="B1411" s="91">
        <v>72</v>
      </c>
    </row>
    <row r="1412" spans="1:2" x14ac:dyDescent="0.2">
      <c r="A1412" t="s">
        <v>673</v>
      </c>
      <c r="B1412" s="91">
        <v>18</v>
      </c>
    </row>
    <row r="1413" spans="1:2" x14ac:dyDescent="0.2">
      <c r="A1413" t="s">
        <v>674</v>
      </c>
      <c r="B1413" s="91">
        <v>88.5</v>
      </c>
    </row>
    <row r="1414" spans="1:2" x14ac:dyDescent="0.2">
      <c r="A1414" t="s">
        <v>675</v>
      </c>
      <c r="B1414" s="91">
        <v>18</v>
      </c>
    </row>
    <row r="1415" spans="1:2" x14ac:dyDescent="0.2">
      <c r="A1415" t="s">
        <v>676</v>
      </c>
      <c r="B1415" s="91">
        <v>30</v>
      </c>
    </row>
    <row r="1416" spans="1:2" x14ac:dyDescent="0.2">
      <c r="A1416" t="s">
        <v>676</v>
      </c>
      <c r="B1416" s="91">
        <v>14</v>
      </c>
    </row>
    <row r="1417" spans="1:2" x14ac:dyDescent="0.2">
      <c r="A1417" t="s">
        <v>677</v>
      </c>
      <c r="B1417" s="91">
        <v>5</v>
      </c>
    </row>
    <row r="1418" spans="1:2" x14ac:dyDescent="0.2">
      <c r="A1418" t="s">
        <v>678</v>
      </c>
      <c r="B1418" s="91">
        <v>37.5</v>
      </c>
    </row>
    <row r="1419" spans="1:2" x14ac:dyDescent="0.2">
      <c r="A1419" t="s">
        <v>678</v>
      </c>
      <c r="B1419" s="91">
        <v>39.75</v>
      </c>
    </row>
    <row r="1420" spans="1:2" x14ac:dyDescent="0.2">
      <c r="A1420" t="s">
        <v>678</v>
      </c>
      <c r="B1420" s="91">
        <v>35.5</v>
      </c>
    </row>
    <row r="1421" spans="1:2" x14ac:dyDescent="0.2">
      <c r="A1421" t="s">
        <v>678</v>
      </c>
      <c r="B1421" s="91">
        <v>24</v>
      </c>
    </row>
    <row r="1422" spans="1:2" x14ac:dyDescent="0.2">
      <c r="A1422" t="s">
        <v>678</v>
      </c>
      <c r="B1422" s="91">
        <v>22</v>
      </c>
    </row>
    <row r="1423" spans="1:2" x14ac:dyDescent="0.2">
      <c r="A1423" t="s">
        <v>678</v>
      </c>
      <c r="B1423" s="91">
        <v>18.25</v>
      </c>
    </row>
    <row r="1424" spans="1:2" x14ac:dyDescent="0.2">
      <c r="A1424" t="s">
        <v>678</v>
      </c>
      <c r="B1424" s="91">
        <v>-7.3500000000000014</v>
      </c>
    </row>
    <row r="1425" spans="1:2" x14ac:dyDescent="0.2">
      <c r="A1425" t="s">
        <v>679</v>
      </c>
      <c r="B1425" s="91">
        <v>18</v>
      </c>
    </row>
    <row r="1426" spans="1:2" x14ac:dyDescent="0.2">
      <c r="A1426" t="s">
        <v>679</v>
      </c>
      <c r="B1426" s="91">
        <v>51.25</v>
      </c>
    </row>
    <row r="1427" spans="1:2" x14ac:dyDescent="0.2">
      <c r="A1427" t="s">
        <v>680</v>
      </c>
      <c r="B1427" s="91">
        <v>40.75</v>
      </c>
    </row>
    <row r="1428" spans="1:2" x14ac:dyDescent="0.2">
      <c r="A1428" t="s">
        <v>680</v>
      </c>
      <c r="B1428" s="91">
        <v>19.5</v>
      </c>
    </row>
    <row r="1429" spans="1:2" x14ac:dyDescent="0.2">
      <c r="A1429" t="s">
        <v>680</v>
      </c>
      <c r="B1429" s="91">
        <v>24</v>
      </c>
    </row>
    <row r="1430" spans="1:2" x14ac:dyDescent="0.2">
      <c r="A1430" t="s">
        <v>680</v>
      </c>
      <c r="B1430" s="91">
        <v>29.5</v>
      </c>
    </row>
    <row r="1431" spans="1:2" x14ac:dyDescent="0.2">
      <c r="A1431" t="s">
        <v>680</v>
      </c>
      <c r="B1431" s="91">
        <v>188.5</v>
      </c>
    </row>
    <row r="1432" spans="1:2" x14ac:dyDescent="0.2">
      <c r="A1432" t="s">
        <v>680</v>
      </c>
      <c r="B1432" s="91">
        <v>63</v>
      </c>
    </row>
    <row r="1433" spans="1:2" x14ac:dyDescent="0.2">
      <c r="A1433" t="s">
        <v>680</v>
      </c>
      <c r="B1433" s="91">
        <v>171</v>
      </c>
    </row>
    <row r="1434" spans="1:2" x14ac:dyDescent="0.2">
      <c r="A1434" t="s">
        <v>680</v>
      </c>
      <c r="B1434" s="91">
        <v>159</v>
      </c>
    </row>
    <row r="1435" spans="1:2" x14ac:dyDescent="0.2">
      <c r="A1435" t="s">
        <v>680</v>
      </c>
      <c r="B1435" s="91">
        <v>102.25</v>
      </c>
    </row>
    <row r="1436" spans="1:2" x14ac:dyDescent="0.2">
      <c r="A1436" t="s">
        <v>680</v>
      </c>
      <c r="B1436" s="91">
        <v>350.75</v>
      </c>
    </row>
    <row r="1437" spans="1:2" x14ac:dyDescent="0.2">
      <c r="A1437" t="s">
        <v>680</v>
      </c>
      <c r="B1437" s="91">
        <v>38</v>
      </c>
    </row>
    <row r="1438" spans="1:2" x14ac:dyDescent="0.2">
      <c r="A1438" t="s">
        <v>680</v>
      </c>
      <c r="B1438" s="91">
        <v>88</v>
      </c>
    </row>
    <row r="1439" spans="1:2" x14ac:dyDescent="0.2">
      <c r="A1439" t="s">
        <v>680</v>
      </c>
      <c r="B1439" s="91">
        <v>287.5</v>
      </c>
    </row>
    <row r="1440" spans="1:2" x14ac:dyDescent="0.2">
      <c r="A1440" t="s">
        <v>680</v>
      </c>
      <c r="B1440" s="91">
        <v>-70.680000000000007</v>
      </c>
    </row>
    <row r="1441" spans="1:2" x14ac:dyDescent="0.2">
      <c r="A1441" t="s">
        <v>681</v>
      </c>
      <c r="B1441" s="91">
        <v>190</v>
      </c>
    </row>
    <row r="1442" spans="1:2" x14ac:dyDescent="0.2">
      <c r="A1442" t="s">
        <v>682</v>
      </c>
      <c r="B1442" s="91">
        <v>1</v>
      </c>
    </row>
    <row r="1443" spans="1:2" x14ac:dyDescent="0.2">
      <c r="A1443" t="s">
        <v>682</v>
      </c>
      <c r="B1443" s="91">
        <v>4</v>
      </c>
    </row>
    <row r="1444" spans="1:2" x14ac:dyDescent="0.2">
      <c r="A1444" t="s">
        <v>683</v>
      </c>
      <c r="B1444" s="91">
        <v>240</v>
      </c>
    </row>
    <row r="1445" spans="1:2" x14ac:dyDescent="0.2">
      <c r="A1445" t="s">
        <v>683</v>
      </c>
      <c r="B1445" s="91">
        <v>200</v>
      </c>
    </row>
    <row r="1446" spans="1:2" x14ac:dyDescent="0.2">
      <c r="A1446" t="s">
        <v>684</v>
      </c>
      <c r="B1446" s="91">
        <v>524</v>
      </c>
    </row>
    <row r="1447" spans="1:2" x14ac:dyDescent="0.2">
      <c r="A1447" t="s">
        <v>685</v>
      </c>
      <c r="B1447" s="91">
        <v>5</v>
      </c>
    </row>
    <row r="1448" spans="1:2" x14ac:dyDescent="0.2">
      <c r="A1448" t="s">
        <v>686</v>
      </c>
      <c r="B1448" s="91">
        <v>43.75</v>
      </c>
    </row>
    <row r="1449" spans="1:2" x14ac:dyDescent="0.2">
      <c r="A1449" t="s">
        <v>687</v>
      </c>
      <c r="B1449" s="91">
        <v>20</v>
      </c>
    </row>
    <row r="1450" spans="1:2" x14ac:dyDescent="0.2">
      <c r="A1450" t="s">
        <v>688</v>
      </c>
      <c r="B1450" s="91">
        <v>74.75</v>
      </c>
    </row>
    <row r="1451" spans="1:2" x14ac:dyDescent="0.2">
      <c r="A1451" t="s">
        <v>688</v>
      </c>
      <c r="B1451" s="91">
        <v>13.5</v>
      </c>
    </row>
    <row r="1452" spans="1:2" x14ac:dyDescent="0.2">
      <c r="A1452" t="s">
        <v>688</v>
      </c>
      <c r="B1452" s="91">
        <v>21</v>
      </c>
    </row>
    <row r="1453" spans="1:2" x14ac:dyDescent="0.2">
      <c r="A1453" t="s">
        <v>688</v>
      </c>
      <c r="B1453" s="91">
        <v>10.5</v>
      </c>
    </row>
    <row r="1454" spans="1:2" x14ac:dyDescent="0.2">
      <c r="A1454" t="s">
        <v>688</v>
      </c>
      <c r="B1454" s="91">
        <v>32.5</v>
      </c>
    </row>
    <row r="1455" spans="1:2" x14ac:dyDescent="0.2">
      <c r="A1455" t="s">
        <v>688</v>
      </c>
      <c r="B1455" s="91">
        <v>60</v>
      </c>
    </row>
    <row r="1456" spans="1:2" x14ac:dyDescent="0.2">
      <c r="A1456" t="s">
        <v>688</v>
      </c>
      <c r="B1456" s="91">
        <v>43.75</v>
      </c>
    </row>
    <row r="1457" spans="1:2" x14ac:dyDescent="0.2">
      <c r="A1457" t="s">
        <v>689</v>
      </c>
      <c r="B1457" s="91">
        <v>62.5</v>
      </c>
    </row>
    <row r="1458" spans="1:2" x14ac:dyDescent="0.2">
      <c r="A1458" t="s">
        <v>690</v>
      </c>
      <c r="B1458" s="91">
        <v>720</v>
      </c>
    </row>
    <row r="1459" spans="1:2" x14ac:dyDescent="0.2">
      <c r="A1459" t="s">
        <v>690</v>
      </c>
      <c r="B1459" s="91">
        <v>240</v>
      </c>
    </row>
    <row r="1460" spans="1:2" x14ac:dyDescent="0.2">
      <c r="A1460" t="s">
        <v>690</v>
      </c>
      <c r="B1460" s="91">
        <v>-26</v>
      </c>
    </row>
    <row r="1461" spans="1:2" x14ac:dyDescent="0.2">
      <c r="A1461" t="s">
        <v>691</v>
      </c>
      <c r="B1461" s="91">
        <v>12.82</v>
      </c>
    </row>
    <row r="1462" spans="1:2" x14ac:dyDescent="0.2">
      <c r="A1462" t="s">
        <v>692</v>
      </c>
      <c r="B1462" s="91">
        <v>56</v>
      </c>
    </row>
    <row r="1463" spans="1:2" x14ac:dyDescent="0.2">
      <c r="A1463" t="s">
        <v>693</v>
      </c>
      <c r="B1463" s="91">
        <v>28.75</v>
      </c>
    </row>
    <row r="1464" spans="1:2" x14ac:dyDescent="0.2">
      <c r="A1464" t="s">
        <v>694</v>
      </c>
      <c r="B1464" s="91">
        <v>11</v>
      </c>
    </row>
    <row r="1465" spans="1:2" x14ac:dyDescent="0.2">
      <c r="A1465" t="s">
        <v>694</v>
      </c>
      <c r="B1465" s="91">
        <v>26.75</v>
      </c>
    </row>
    <row r="1466" spans="1:2" x14ac:dyDescent="0.2">
      <c r="A1466" t="s">
        <v>694</v>
      </c>
      <c r="B1466" s="91">
        <v>19</v>
      </c>
    </row>
    <row r="1467" spans="1:2" x14ac:dyDescent="0.2">
      <c r="A1467" t="s">
        <v>694</v>
      </c>
      <c r="B1467" s="91">
        <v>12</v>
      </c>
    </row>
    <row r="1468" spans="1:2" x14ac:dyDescent="0.2">
      <c r="A1468" t="s">
        <v>694</v>
      </c>
      <c r="B1468" s="91">
        <v>120</v>
      </c>
    </row>
    <row r="1469" spans="1:2" x14ac:dyDescent="0.2">
      <c r="A1469" t="s">
        <v>694</v>
      </c>
      <c r="B1469" s="91">
        <v>263.25</v>
      </c>
    </row>
    <row r="1470" spans="1:2" x14ac:dyDescent="0.2">
      <c r="A1470" t="s">
        <v>694</v>
      </c>
      <c r="B1470" s="91">
        <v>23.869999999999997</v>
      </c>
    </row>
    <row r="1471" spans="1:2" x14ac:dyDescent="0.2">
      <c r="A1471" t="s">
        <v>694</v>
      </c>
      <c r="B1471" s="91">
        <v>95</v>
      </c>
    </row>
    <row r="1472" spans="1:2" x14ac:dyDescent="0.2">
      <c r="A1472" t="s">
        <v>695</v>
      </c>
      <c r="B1472" s="91">
        <v>142</v>
      </c>
    </row>
    <row r="1473" spans="1:2" x14ac:dyDescent="0.2">
      <c r="A1473" t="s">
        <v>695</v>
      </c>
      <c r="B1473" s="91">
        <v>41.25</v>
      </c>
    </row>
    <row r="1474" spans="1:2" x14ac:dyDescent="0.2">
      <c r="A1474" t="s">
        <v>696</v>
      </c>
      <c r="B1474" s="91">
        <v>11</v>
      </c>
    </row>
    <row r="1475" spans="1:2" x14ac:dyDescent="0.2">
      <c r="A1475" t="s">
        <v>697</v>
      </c>
      <c r="B1475" s="91">
        <v>307.25</v>
      </c>
    </row>
    <row r="1476" spans="1:2" x14ac:dyDescent="0.2">
      <c r="A1476" t="s">
        <v>697</v>
      </c>
      <c r="B1476" s="91">
        <v>43.75</v>
      </c>
    </row>
    <row r="1477" spans="1:2" x14ac:dyDescent="0.2">
      <c r="A1477" t="s">
        <v>697</v>
      </c>
      <c r="B1477" s="91">
        <v>29.25</v>
      </c>
    </row>
    <row r="1478" spans="1:2" x14ac:dyDescent="0.2">
      <c r="A1478" t="s">
        <v>697</v>
      </c>
      <c r="B1478" s="91">
        <v>30</v>
      </c>
    </row>
    <row r="1479" spans="1:2" x14ac:dyDescent="0.2">
      <c r="A1479" t="s">
        <v>697</v>
      </c>
      <c r="B1479" s="91">
        <v>67.5</v>
      </c>
    </row>
    <row r="1480" spans="1:2" x14ac:dyDescent="0.2">
      <c r="A1480" t="s">
        <v>697</v>
      </c>
      <c r="B1480" s="91">
        <v>67.5</v>
      </c>
    </row>
    <row r="1481" spans="1:2" x14ac:dyDescent="0.2">
      <c r="A1481" t="s">
        <v>697</v>
      </c>
      <c r="B1481" s="91">
        <v>45</v>
      </c>
    </row>
    <row r="1482" spans="1:2" x14ac:dyDescent="0.2">
      <c r="A1482" t="s">
        <v>698</v>
      </c>
      <c r="B1482" s="91">
        <v>84.5</v>
      </c>
    </row>
    <row r="1483" spans="1:2" x14ac:dyDescent="0.2">
      <c r="A1483" t="s">
        <v>698</v>
      </c>
      <c r="B1483" s="91">
        <v>33</v>
      </c>
    </row>
    <row r="1484" spans="1:2" x14ac:dyDescent="0.2">
      <c r="A1484" t="s">
        <v>698</v>
      </c>
      <c r="B1484" s="91">
        <v>143.75</v>
      </c>
    </row>
    <row r="1485" spans="1:2" x14ac:dyDescent="0.2">
      <c r="A1485" t="s">
        <v>699</v>
      </c>
      <c r="B1485" s="91">
        <v>356</v>
      </c>
    </row>
    <row r="1486" spans="1:2" x14ac:dyDescent="0.2">
      <c r="A1486" t="s">
        <v>699</v>
      </c>
      <c r="B1486" s="91">
        <v>85.5</v>
      </c>
    </row>
    <row r="1487" spans="1:2" x14ac:dyDescent="0.2">
      <c r="A1487" t="s">
        <v>699</v>
      </c>
      <c r="B1487" s="91">
        <v>160</v>
      </c>
    </row>
    <row r="1488" spans="1:2" x14ac:dyDescent="0.2">
      <c r="A1488" t="s">
        <v>699</v>
      </c>
      <c r="B1488" s="91">
        <v>155</v>
      </c>
    </row>
    <row r="1489" spans="1:2" x14ac:dyDescent="0.2">
      <c r="A1489" t="s">
        <v>700</v>
      </c>
      <c r="B1489" s="91">
        <v>216</v>
      </c>
    </row>
    <row r="1490" spans="1:2" x14ac:dyDescent="0.2">
      <c r="A1490" t="s">
        <v>700</v>
      </c>
      <c r="B1490" s="91">
        <v>297</v>
      </c>
    </row>
    <row r="1491" spans="1:2" x14ac:dyDescent="0.2">
      <c r="A1491" t="s">
        <v>700</v>
      </c>
      <c r="B1491" s="91">
        <v>117</v>
      </c>
    </row>
    <row r="1492" spans="1:2" x14ac:dyDescent="0.2">
      <c r="A1492" t="s">
        <v>701</v>
      </c>
      <c r="B1492" s="91">
        <v>23</v>
      </c>
    </row>
    <row r="1493" spans="1:2" x14ac:dyDescent="0.2">
      <c r="A1493" t="s">
        <v>702</v>
      </c>
      <c r="B1493" s="91">
        <v>28.5</v>
      </c>
    </row>
    <row r="1494" spans="1:2" x14ac:dyDescent="0.2">
      <c r="A1494" t="s">
        <v>703</v>
      </c>
      <c r="B1494" s="91">
        <v>18.75</v>
      </c>
    </row>
    <row r="1495" spans="1:2" x14ac:dyDescent="0.2">
      <c r="A1495" t="s">
        <v>703</v>
      </c>
      <c r="B1495" s="91">
        <v>40.75</v>
      </c>
    </row>
    <row r="1496" spans="1:2" x14ac:dyDescent="0.2">
      <c r="A1496" t="s">
        <v>704</v>
      </c>
      <c r="B1496" s="91">
        <v>7.5</v>
      </c>
    </row>
    <row r="1497" spans="1:2" x14ac:dyDescent="0.2">
      <c r="A1497" t="s">
        <v>705</v>
      </c>
      <c r="B1497" s="91">
        <v>150</v>
      </c>
    </row>
    <row r="1498" spans="1:2" x14ac:dyDescent="0.2">
      <c r="A1498" t="s">
        <v>705</v>
      </c>
      <c r="B1498" s="91">
        <v>114</v>
      </c>
    </row>
    <row r="1499" spans="1:2" x14ac:dyDescent="0.2">
      <c r="A1499" t="s">
        <v>706</v>
      </c>
      <c r="B1499" s="91">
        <v>810</v>
      </c>
    </row>
    <row r="1500" spans="1:2" x14ac:dyDescent="0.2">
      <c r="A1500" t="s">
        <v>706</v>
      </c>
      <c r="B1500" s="91">
        <v>405</v>
      </c>
    </row>
    <row r="1501" spans="1:2" x14ac:dyDescent="0.2">
      <c r="A1501" t="s">
        <v>706</v>
      </c>
      <c r="B1501" s="91">
        <v>444</v>
      </c>
    </row>
    <row r="1502" spans="1:2" x14ac:dyDescent="0.2">
      <c r="A1502" t="s">
        <v>706</v>
      </c>
      <c r="B1502" s="91">
        <v>163</v>
      </c>
    </row>
    <row r="1503" spans="1:2" x14ac:dyDescent="0.2">
      <c r="A1503" t="s">
        <v>707</v>
      </c>
      <c r="B1503" s="91">
        <v>480</v>
      </c>
    </row>
    <row r="1504" spans="1:2" x14ac:dyDescent="0.2">
      <c r="A1504" t="s">
        <v>707</v>
      </c>
      <c r="B1504" s="91">
        <v>230</v>
      </c>
    </row>
    <row r="1505" spans="1:2" x14ac:dyDescent="0.2">
      <c r="A1505" t="s">
        <v>708</v>
      </c>
      <c r="B1505" s="91">
        <v>6</v>
      </c>
    </row>
    <row r="1506" spans="1:2" x14ac:dyDescent="0.2">
      <c r="A1506" t="s">
        <v>709</v>
      </c>
      <c r="B1506" s="91">
        <v>43.25</v>
      </c>
    </row>
    <row r="1507" spans="1:2" x14ac:dyDescent="0.2">
      <c r="A1507" t="s">
        <v>709</v>
      </c>
      <c r="B1507" s="91">
        <v>26.75</v>
      </c>
    </row>
    <row r="1508" spans="1:2" x14ac:dyDescent="0.2">
      <c r="A1508" t="s">
        <v>710</v>
      </c>
      <c r="B1508" s="91">
        <v>48.75</v>
      </c>
    </row>
    <row r="1509" spans="1:2" x14ac:dyDescent="0.2">
      <c r="A1509" t="s">
        <v>711</v>
      </c>
      <c r="B1509" s="91">
        <v>708</v>
      </c>
    </row>
    <row r="1510" spans="1:2" x14ac:dyDescent="0.2">
      <c r="A1510" t="s">
        <v>712</v>
      </c>
      <c r="B1510" s="91">
        <v>19.25</v>
      </c>
    </row>
    <row r="1511" spans="1:2" x14ac:dyDescent="0.2">
      <c r="A1511" t="s">
        <v>713</v>
      </c>
      <c r="B1511" s="91">
        <v>18</v>
      </c>
    </row>
    <row r="1512" spans="1:2" x14ac:dyDescent="0.2">
      <c r="A1512" t="s">
        <v>714</v>
      </c>
      <c r="B1512" s="91">
        <v>180.5</v>
      </c>
    </row>
    <row r="1513" spans="1:2" x14ac:dyDescent="0.2">
      <c r="A1513" t="s">
        <v>715</v>
      </c>
      <c r="B1513" s="91">
        <v>5</v>
      </c>
    </row>
    <row r="1514" spans="1:2" x14ac:dyDescent="0.2">
      <c r="A1514" t="s">
        <v>716</v>
      </c>
      <c r="B1514" s="91">
        <v>264</v>
      </c>
    </row>
    <row r="1515" spans="1:2" x14ac:dyDescent="0.2">
      <c r="A1515" t="s">
        <v>716</v>
      </c>
      <c r="B1515" s="91">
        <v>357</v>
      </c>
    </row>
    <row r="1516" spans="1:2" x14ac:dyDescent="0.2">
      <c r="A1516" t="s">
        <v>717</v>
      </c>
      <c r="B1516" s="91">
        <v>14</v>
      </c>
    </row>
    <row r="1517" spans="1:2" x14ac:dyDescent="0.2">
      <c r="A1517" t="s">
        <v>718</v>
      </c>
      <c r="B1517" s="91">
        <v>354</v>
      </c>
    </row>
    <row r="1518" spans="1:2" x14ac:dyDescent="0.2">
      <c r="A1518" t="s">
        <v>719</v>
      </c>
      <c r="B1518" s="91">
        <v>25</v>
      </c>
    </row>
    <row r="1519" spans="1:2" x14ac:dyDescent="0.2">
      <c r="A1519" t="s">
        <v>720</v>
      </c>
      <c r="B1519" s="91">
        <v>1318.5</v>
      </c>
    </row>
    <row r="1520" spans="1:2" x14ac:dyDescent="0.2">
      <c r="A1520" t="s">
        <v>720</v>
      </c>
      <c r="B1520" s="91">
        <v>439.5</v>
      </c>
    </row>
    <row r="1521" spans="1:2" x14ac:dyDescent="0.2">
      <c r="A1521" t="s">
        <v>720</v>
      </c>
      <c r="B1521" s="91">
        <v>190.5</v>
      </c>
    </row>
    <row r="1522" spans="1:2" x14ac:dyDescent="0.2">
      <c r="A1522" t="s">
        <v>720</v>
      </c>
      <c r="B1522" s="91">
        <v>50</v>
      </c>
    </row>
    <row r="1523" spans="1:2" x14ac:dyDescent="0.2">
      <c r="A1523" t="s">
        <v>720</v>
      </c>
      <c r="B1523" s="91">
        <v>119</v>
      </c>
    </row>
    <row r="1524" spans="1:2" x14ac:dyDescent="0.2">
      <c r="A1524" t="s">
        <v>721</v>
      </c>
      <c r="B1524" s="91">
        <v>36.75</v>
      </c>
    </row>
    <row r="1525" spans="1:2" x14ac:dyDescent="0.2">
      <c r="A1525" t="s">
        <v>722</v>
      </c>
      <c r="B1525" s="91">
        <v>3</v>
      </c>
    </row>
    <row r="1526" spans="1:2" x14ac:dyDescent="0.2">
      <c r="A1526" t="s">
        <v>723</v>
      </c>
      <c r="B1526" s="91">
        <v>145</v>
      </c>
    </row>
    <row r="1527" spans="1:2" x14ac:dyDescent="0.2">
      <c r="A1527" t="s">
        <v>724</v>
      </c>
      <c r="B1527" s="91">
        <v>11</v>
      </c>
    </row>
    <row r="1528" spans="1:2" x14ac:dyDescent="0.2">
      <c r="A1528" t="s">
        <v>725</v>
      </c>
      <c r="B1528" s="91">
        <v>18</v>
      </c>
    </row>
    <row r="1529" spans="1:2" x14ac:dyDescent="0.2">
      <c r="A1529" t="s">
        <v>726</v>
      </c>
      <c r="B1529" s="91">
        <v>594</v>
      </c>
    </row>
    <row r="1530" spans="1:2" x14ac:dyDescent="0.2">
      <c r="A1530" t="s">
        <v>726</v>
      </c>
      <c r="B1530" s="91">
        <v>286</v>
      </c>
    </row>
    <row r="1531" spans="1:2" x14ac:dyDescent="0.2">
      <c r="A1531" t="s">
        <v>727</v>
      </c>
      <c r="B1531" s="91">
        <v>7.5</v>
      </c>
    </row>
    <row r="1532" spans="1:2" x14ac:dyDescent="0.2">
      <c r="A1532" t="s">
        <v>727</v>
      </c>
      <c r="B1532" s="91">
        <v>8.5</v>
      </c>
    </row>
    <row r="1533" spans="1:2" x14ac:dyDescent="0.2">
      <c r="A1533" t="s">
        <v>728</v>
      </c>
      <c r="B1533" s="91">
        <v>32.5</v>
      </c>
    </row>
    <row r="1534" spans="1:2" x14ac:dyDescent="0.2">
      <c r="A1534" t="s">
        <v>728</v>
      </c>
      <c r="B1534" s="91">
        <v>81.25</v>
      </c>
    </row>
    <row r="1535" spans="1:2" x14ac:dyDescent="0.2">
      <c r="A1535" t="s">
        <v>729</v>
      </c>
      <c r="B1535" s="91">
        <v>10</v>
      </c>
    </row>
    <row r="1536" spans="1:2" x14ac:dyDescent="0.2">
      <c r="A1536" t="s">
        <v>729</v>
      </c>
      <c r="B1536" s="91">
        <v>28.75</v>
      </c>
    </row>
    <row r="1537" spans="1:2" x14ac:dyDescent="0.2">
      <c r="A1537" t="s">
        <v>730</v>
      </c>
      <c r="B1537" s="91">
        <v>36</v>
      </c>
    </row>
    <row r="1538" spans="1:2" x14ac:dyDescent="0.2">
      <c r="A1538" t="s">
        <v>731</v>
      </c>
      <c r="B1538" s="91">
        <v>12960</v>
      </c>
    </row>
    <row r="1539" spans="1:2" x14ac:dyDescent="0.2">
      <c r="A1539" t="s">
        <v>731</v>
      </c>
      <c r="B1539" s="91">
        <v>4320</v>
      </c>
    </row>
    <row r="1540" spans="1:2" x14ac:dyDescent="0.2">
      <c r="A1540" t="s">
        <v>731</v>
      </c>
      <c r="B1540" s="91">
        <v>1720</v>
      </c>
    </row>
    <row r="1541" spans="1:2" x14ac:dyDescent="0.2">
      <c r="A1541" t="s">
        <v>732</v>
      </c>
      <c r="B1541" s="91">
        <v>14.75</v>
      </c>
    </row>
    <row r="1542" spans="1:2" x14ac:dyDescent="0.2">
      <c r="A1542" t="s">
        <v>733</v>
      </c>
      <c r="B1542" s="91">
        <v>648</v>
      </c>
    </row>
    <row r="1543" spans="1:2" x14ac:dyDescent="0.2">
      <c r="A1543" t="s">
        <v>733</v>
      </c>
      <c r="B1543" s="91">
        <v>112</v>
      </c>
    </row>
    <row r="1544" spans="1:2" x14ac:dyDescent="0.2">
      <c r="A1544" t="s">
        <v>734</v>
      </c>
      <c r="B1544" s="91">
        <v>18</v>
      </c>
    </row>
    <row r="1545" spans="1:2" x14ac:dyDescent="0.2">
      <c r="A1545" t="s">
        <v>735</v>
      </c>
      <c r="B1545" s="91">
        <v>720</v>
      </c>
    </row>
    <row r="1546" spans="1:2" x14ac:dyDescent="0.2">
      <c r="A1546" t="s">
        <v>735</v>
      </c>
      <c r="B1546" s="91">
        <v>120</v>
      </c>
    </row>
    <row r="1547" spans="1:2" x14ac:dyDescent="0.2">
      <c r="A1547" t="s">
        <v>735</v>
      </c>
      <c r="B1547" s="91">
        <v>120</v>
      </c>
    </row>
    <row r="1548" spans="1:2" x14ac:dyDescent="0.2">
      <c r="A1548" t="s">
        <v>735</v>
      </c>
      <c r="B1548" s="91">
        <v>14</v>
      </c>
    </row>
    <row r="1549" spans="1:2" x14ac:dyDescent="0.2">
      <c r="A1549" t="s">
        <v>736</v>
      </c>
      <c r="B1549" s="91">
        <v>65.5</v>
      </c>
    </row>
    <row r="1550" spans="1:2" x14ac:dyDescent="0.2">
      <c r="A1550" t="s">
        <v>736</v>
      </c>
      <c r="B1550" s="91">
        <v>6.5</v>
      </c>
    </row>
    <row r="1551" spans="1:2" x14ac:dyDescent="0.2">
      <c r="A1551" t="s">
        <v>737</v>
      </c>
      <c r="B1551" s="91">
        <v>150.5</v>
      </c>
    </row>
    <row r="1552" spans="1:2" x14ac:dyDescent="0.2">
      <c r="A1552" t="s">
        <v>737</v>
      </c>
      <c r="B1552" s="91">
        <v>272.75</v>
      </c>
    </row>
    <row r="1553" spans="1:2" x14ac:dyDescent="0.2">
      <c r="A1553" t="s">
        <v>738</v>
      </c>
      <c r="B1553" s="91">
        <v>19.5</v>
      </c>
    </row>
    <row r="1554" spans="1:2" x14ac:dyDescent="0.2">
      <c r="A1554" t="s">
        <v>738</v>
      </c>
      <c r="B1554" s="91">
        <v>36</v>
      </c>
    </row>
    <row r="1555" spans="1:2" x14ac:dyDescent="0.2">
      <c r="A1555" t="s">
        <v>738</v>
      </c>
      <c r="B1555" s="91">
        <v>44.25</v>
      </c>
    </row>
    <row r="1556" spans="1:2" x14ac:dyDescent="0.2">
      <c r="A1556" t="s">
        <v>739</v>
      </c>
      <c r="B1556" s="91">
        <v>1608.75</v>
      </c>
    </row>
    <row r="1557" spans="1:2" x14ac:dyDescent="0.2">
      <c r="A1557" t="s">
        <v>740</v>
      </c>
      <c r="B1557" s="91">
        <v>10</v>
      </c>
    </row>
    <row r="1558" spans="1:2" x14ac:dyDescent="0.2">
      <c r="A1558" t="s">
        <v>741</v>
      </c>
      <c r="B1558" s="91">
        <v>22</v>
      </c>
    </row>
    <row r="1559" spans="1:2" x14ac:dyDescent="0.2">
      <c r="A1559" t="s">
        <v>742</v>
      </c>
      <c r="B1559" s="91">
        <v>24.5</v>
      </c>
    </row>
    <row r="1560" spans="1:2" x14ac:dyDescent="0.2">
      <c r="A1560" t="s">
        <v>742</v>
      </c>
      <c r="B1560" s="91">
        <v>75</v>
      </c>
    </row>
    <row r="1561" spans="1:2" x14ac:dyDescent="0.2">
      <c r="A1561" t="s">
        <v>742</v>
      </c>
      <c r="B1561" s="91">
        <v>67.25</v>
      </c>
    </row>
    <row r="1562" spans="1:2" x14ac:dyDescent="0.2">
      <c r="A1562" t="s">
        <v>743</v>
      </c>
      <c r="B1562" s="91">
        <v>36.75</v>
      </c>
    </row>
    <row r="1563" spans="1:2" x14ac:dyDescent="0.2">
      <c r="A1563" t="s">
        <v>743</v>
      </c>
      <c r="B1563" s="91">
        <v>77.75</v>
      </c>
    </row>
    <row r="1564" spans="1:2" x14ac:dyDescent="0.2">
      <c r="A1564" t="s">
        <v>743</v>
      </c>
      <c r="B1564" s="91">
        <v>10</v>
      </c>
    </row>
    <row r="1565" spans="1:2" x14ac:dyDescent="0.2">
      <c r="A1565" t="s">
        <v>743</v>
      </c>
      <c r="B1565" s="91">
        <v>7.75</v>
      </c>
    </row>
    <row r="1566" spans="1:2" x14ac:dyDescent="0.2">
      <c r="A1566" t="s">
        <v>744</v>
      </c>
      <c r="B1566" s="91">
        <v>51.25</v>
      </c>
    </row>
    <row r="1567" spans="1:2" x14ac:dyDescent="0.2">
      <c r="A1567" t="s">
        <v>745</v>
      </c>
      <c r="B1567" s="91">
        <v>31.5</v>
      </c>
    </row>
    <row r="1568" spans="1:2" x14ac:dyDescent="0.2">
      <c r="A1568" t="s">
        <v>745</v>
      </c>
      <c r="B1568" s="91">
        <v>21</v>
      </c>
    </row>
    <row r="1569" spans="1:2" x14ac:dyDescent="0.2">
      <c r="A1569" t="s">
        <v>746</v>
      </c>
      <c r="B1569" s="91">
        <v>7.5</v>
      </c>
    </row>
    <row r="1570" spans="1:2" x14ac:dyDescent="0.2">
      <c r="A1570" t="s">
        <v>747</v>
      </c>
      <c r="B1570" s="91">
        <v>53.5</v>
      </c>
    </row>
    <row r="1571" spans="1:2" x14ac:dyDescent="0.2">
      <c r="A1571" t="s">
        <v>747</v>
      </c>
      <c r="B1571" s="91">
        <v>20</v>
      </c>
    </row>
    <row r="1572" spans="1:2" x14ac:dyDescent="0.2">
      <c r="A1572" t="s">
        <v>747</v>
      </c>
      <c r="B1572" s="91">
        <v>20.5</v>
      </c>
    </row>
    <row r="1573" spans="1:2" x14ac:dyDescent="0.2">
      <c r="A1573" t="s">
        <v>747</v>
      </c>
      <c r="B1573" s="91">
        <v>67.5</v>
      </c>
    </row>
    <row r="1574" spans="1:2" x14ac:dyDescent="0.2">
      <c r="A1574" t="s">
        <v>747</v>
      </c>
      <c r="B1574" s="91">
        <v>45</v>
      </c>
    </row>
    <row r="1575" spans="1:2" x14ac:dyDescent="0.2">
      <c r="A1575" t="s">
        <v>747</v>
      </c>
      <c r="B1575" s="91">
        <v>56</v>
      </c>
    </row>
    <row r="1576" spans="1:2" x14ac:dyDescent="0.2">
      <c r="A1576" t="s">
        <v>748</v>
      </c>
      <c r="B1576" s="91">
        <v>219</v>
      </c>
    </row>
    <row r="1577" spans="1:2" x14ac:dyDescent="0.2">
      <c r="A1577" t="s">
        <v>749</v>
      </c>
      <c r="B1577" s="91">
        <v>110</v>
      </c>
    </row>
    <row r="1578" spans="1:2" x14ac:dyDescent="0.2">
      <c r="A1578" t="s">
        <v>750</v>
      </c>
      <c r="B1578" s="91">
        <v>10</v>
      </c>
    </row>
    <row r="1579" spans="1:2" x14ac:dyDescent="0.2">
      <c r="A1579" t="s">
        <v>750</v>
      </c>
      <c r="B1579" s="91">
        <v>14.25</v>
      </c>
    </row>
    <row r="1580" spans="1:2" x14ac:dyDescent="0.2">
      <c r="A1580" t="s">
        <v>751</v>
      </c>
      <c r="B1580" s="91">
        <v>11.5</v>
      </c>
    </row>
    <row r="1581" spans="1:2" x14ac:dyDescent="0.2">
      <c r="A1581" t="s">
        <v>751</v>
      </c>
      <c r="B1581" s="91">
        <v>8.5</v>
      </c>
    </row>
    <row r="1582" spans="1:2" x14ac:dyDescent="0.2">
      <c r="A1582" t="s">
        <v>752</v>
      </c>
      <c r="B1582" s="91">
        <v>10</v>
      </c>
    </row>
    <row r="1583" spans="1:2" x14ac:dyDescent="0.2">
      <c r="A1583" t="s">
        <v>753</v>
      </c>
      <c r="B1583" s="91">
        <v>85</v>
      </c>
    </row>
    <row r="1584" spans="1:2" x14ac:dyDescent="0.2">
      <c r="A1584" t="s">
        <v>754</v>
      </c>
      <c r="B1584" s="91">
        <v>20.75</v>
      </c>
    </row>
    <row r="1585" spans="1:2" x14ac:dyDescent="0.2">
      <c r="A1585" t="s">
        <v>755</v>
      </c>
      <c r="B1585" s="91">
        <v>2.5</v>
      </c>
    </row>
    <row r="1586" spans="1:2" x14ac:dyDescent="0.2">
      <c r="A1586" t="s">
        <v>756</v>
      </c>
      <c r="B1586" s="91">
        <v>47.5</v>
      </c>
    </row>
    <row r="1587" spans="1:2" x14ac:dyDescent="0.2">
      <c r="A1587" t="s">
        <v>757</v>
      </c>
      <c r="B1587" s="91">
        <v>27.25</v>
      </c>
    </row>
    <row r="1588" spans="1:2" x14ac:dyDescent="0.2">
      <c r="A1588" t="s">
        <v>757</v>
      </c>
      <c r="B1588" s="91">
        <v>34.5</v>
      </c>
    </row>
    <row r="1589" spans="1:2" x14ac:dyDescent="0.2">
      <c r="A1589" t="s">
        <v>757</v>
      </c>
      <c r="B1589" s="91">
        <v>13.25</v>
      </c>
    </row>
    <row r="1590" spans="1:2" x14ac:dyDescent="0.2">
      <c r="A1590" t="s">
        <v>758</v>
      </c>
      <c r="B1590" s="91">
        <v>121</v>
      </c>
    </row>
    <row r="1591" spans="1:2" x14ac:dyDescent="0.2">
      <c r="A1591" t="s">
        <v>759</v>
      </c>
      <c r="B1591" s="91">
        <v>18</v>
      </c>
    </row>
    <row r="1592" spans="1:2" x14ac:dyDescent="0.2">
      <c r="A1592" t="s">
        <v>759</v>
      </c>
      <c r="B1592" s="91">
        <v>4.75</v>
      </c>
    </row>
    <row r="1593" spans="1:2" x14ac:dyDescent="0.2">
      <c r="A1593" t="s">
        <v>760</v>
      </c>
      <c r="B1593" s="91">
        <v>45.5</v>
      </c>
    </row>
    <row r="1594" spans="1:2" x14ac:dyDescent="0.2">
      <c r="A1594" t="s">
        <v>760</v>
      </c>
      <c r="B1594" s="91">
        <v>18</v>
      </c>
    </row>
    <row r="1595" spans="1:2" x14ac:dyDescent="0.2">
      <c r="A1595" t="s">
        <v>761</v>
      </c>
      <c r="B1595" s="91">
        <v>297</v>
      </c>
    </row>
    <row r="1596" spans="1:2" x14ac:dyDescent="0.2">
      <c r="A1596" t="s">
        <v>761</v>
      </c>
      <c r="B1596" s="91">
        <v>240</v>
      </c>
    </row>
    <row r="1597" spans="1:2" x14ac:dyDescent="0.2">
      <c r="A1597" t="s">
        <v>761</v>
      </c>
      <c r="B1597" s="91">
        <v>93</v>
      </c>
    </row>
    <row r="1598" spans="1:2" x14ac:dyDescent="0.2">
      <c r="A1598" t="s">
        <v>762</v>
      </c>
      <c r="B1598" s="91">
        <v>13.75</v>
      </c>
    </row>
    <row r="1599" spans="1:2" x14ac:dyDescent="0.2">
      <c r="A1599" t="s">
        <v>763</v>
      </c>
      <c r="B1599" s="91">
        <v>18</v>
      </c>
    </row>
    <row r="1600" spans="1:2" x14ac:dyDescent="0.2">
      <c r="A1600" t="s">
        <v>764</v>
      </c>
      <c r="B1600" s="91">
        <v>42.75</v>
      </c>
    </row>
    <row r="1601" spans="1:2" x14ac:dyDescent="0.2">
      <c r="A1601" t="s">
        <v>765</v>
      </c>
      <c r="B1601" s="91">
        <v>10.5</v>
      </c>
    </row>
    <row r="1602" spans="1:2" x14ac:dyDescent="0.2">
      <c r="A1602" t="s">
        <v>765</v>
      </c>
      <c r="B1602" s="91">
        <v>55.5</v>
      </c>
    </row>
    <row r="1603" spans="1:2" x14ac:dyDescent="0.2">
      <c r="A1603" t="s">
        <v>765</v>
      </c>
      <c r="B1603" s="91">
        <v>21</v>
      </c>
    </row>
    <row r="1604" spans="1:2" x14ac:dyDescent="0.2">
      <c r="A1604" t="s">
        <v>765</v>
      </c>
      <c r="B1604" s="91">
        <v>7.5</v>
      </c>
    </row>
    <row r="1605" spans="1:2" x14ac:dyDescent="0.2">
      <c r="A1605" t="s">
        <v>765</v>
      </c>
      <c r="B1605" s="91">
        <v>24</v>
      </c>
    </row>
    <row r="1606" spans="1:2" x14ac:dyDescent="0.2">
      <c r="A1606" t="s">
        <v>765</v>
      </c>
      <c r="B1606" s="91">
        <v>195.5</v>
      </c>
    </row>
    <row r="1607" spans="1:2" x14ac:dyDescent="0.2">
      <c r="A1607" t="s">
        <v>765</v>
      </c>
      <c r="B1607" s="91">
        <v>195.5</v>
      </c>
    </row>
    <row r="1608" spans="1:2" x14ac:dyDescent="0.2">
      <c r="A1608" t="s">
        <v>766</v>
      </c>
      <c r="B1608" s="91">
        <v>10</v>
      </c>
    </row>
    <row r="1609" spans="1:2" x14ac:dyDescent="0.2">
      <c r="A1609" t="s">
        <v>767</v>
      </c>
      <c r="B1609" s="91">
        <v>480</v>
      </c>
    </row>
    <row r="1610" spans="1:2" x14ac:dyDescent="0.2">
      <c r="A1610" t="s">
        <v>767</v>
      </c>
      <c r="B1610" s="91">
        <v>400</v>
      </c>
    </row>
    <row r="1611" spans="1:2" x14ac:dyDescent="0.2">
      <c r="A1611" t="s">
        <v>768</v>
      </c>
      <c r="B1611" s="91">
        <v>18</v>
      </c>
    </row>
    <row r="1612" spans="1:2" x14ac:dyDescent="0.2">
      <c r="A1612" t="s">
        <v>768</v>
      </c>
      <c r="B1612" s="91">
        <v>11</v>
      </c>
    </row>
    <row r="1613" spans="1:2" x14ac:dyDescent="0.2">
      <c r="A1613" t="s">
        <v>769</v>
      </c>
      <c r="B1613" s="91">
        <v>891</v>
      </c>
    </row>
    <row r="1614" spans="1:2" x14ac:dyDescent="0.2">
      <c r="A1614" t="s">
        <v>769</v>
      </c>
      <c r="B1614" s="91">
        <v>432</v>
      </c>
    </row>
    <row r="1615" spans="1:2" x14ac:dyDescent="0.2">
      <c r="A1615" t="s">
        <v>769</v>
      </c>
      <c r="B1615" s="91">
        <v>107</v>
      </c>
    </row>
    <row r="1616" spans="1:2" x14ac:dyDescent="0.2">
      <c r="A1616" t="s">
        <v>770</v>
      </c>
      <c r="B1616" s="91">
        <v>594</v>
      </c>
    </row>
    <row r="1617" spans="1:2" x14ac:dyDescent="0.2">
      <c r="A1617" t="s">
        <v>770</v>
      </c>
      <c r="B1617" s="91">
        <v>310</v>
      </c>
    </row>
    <row r="1618" spans="1:2" x14ac:dyDescent="0.2">
      <c r="A1618" t="s">
        <v>771</v>
      </c>
      <c r="B1618" s="91">
        <v>26.71</v>
      </c>
    </row>
    <row r="1619" spans="1:2" x14ac:dyDescent="0.2">
      <c r="A1619" t="s">
        <v>772</v>
      </c>
      <c r="B1619" s="91">
        <v>38.25</v>
      </c>
    </row>
    <row r="1620" spans="1:2" x14ac:dyDescent="0.2">
      <c r="A1620" t="s">
        <v>772</v>
      </c>
      <c r="B1620" s="91">
        <v>42.75</v>
      </c>
    </row>
    <row r="1621" spans="1:2" x14ac:dyDescent="0.2">
      <c r="A1621" t="s">
        <v>773</v>
      </c>
      <c r="B1621" s="91">
        <v>144</v>
      </c>
    </row>
    <row r="1622" spans="1:2" x14ac:dyDescent="0.2">
      <c r="A1622" t="s">
        <v>773</v>
      </c>
      <c r="B1622" s="91">
        <v>81.25</v>
      </c>
    </row>
    <row r="1623" spans="1:2" x14ac:dyDescent="0.2">
      <c r="A1623" t="s">
        <v>773</v>
      </c>
      <c r="B1623" s="91">
        <v>75.75</v>
      </c>
    </row>
    <row r="1624" spans="1:2" x14ac:dyDescent="0.2">
      <c r="A1624" t="s">
        <v>774</v>
      </c>
      <c r="B1624" s="91">
        <v>18</v>
      </c>
    </row>
    <row r="1625" spans="1:2" x14ac:dyDescent="0.2">
      <c r="A1625" t="s">
        <v>775</v>
      </c>
      <c r="B1625" s="91">
        <v>11.75</v>
      </c>
    </row>
    <row r="1626" spans="1:2" x14ac:dyDescent="0.2">
      <c r="A1626" t="s">
        <v>775</v>
      </c>
      <c r="B1626" s="91">
        <v>26.75</v>
      </c>
    </row>
    <row r="1627" spans="1:2" x14ac:dyDescent="0.2">
      <c r="A1627" t="s">
        <v>776</v>
      </c>
      <c r="B1627" s="91">
        <v>26</v>
      </c>
    </row>
    <row r="1628" spans="1:2" x14ac:dyDescent="0.2">
      <c r="A1628" t="s">
        <v>776</v>
      </c>
      <c r="B1628" s="91">
        <v>26</v>
      </c>
    </row>
    <row r="1629" spans="1:2" x14ac:dyDescent="0.2">
      <c r="A1629" t="s">
        <v>777</v>
      </c>
      <c r="B1629" s="91">
        <v>7.75</v>
      </c>
    </row>
    <row r="1630" spans="1:2" x14ac:dyDescent="0.2">
      <c r="A1630" t="s">
        <v>777</v>
      </c>
      <c r="B1630" s="91">
        <v>18</v>
      </c>
    </row>
    <row r="1631" spans="1:2" x14ac:dyDescent="0.2">
      <c r="A1631" t="s">
        <v>778</v>
      </c>
      <c r="B1631" s="91">
        <v>44</v>
      </c>
    </row>
    <row r="1632" spans="1:2" x14ac:dyDescent="0.2">
      <c r="A1632" t="s">
        <v>778</v>
      </c>
      <c r="B1632" s="91">
        <v>24</v>
      </c>
    </row>
    <row r="1633" spans="1:2" x14ac:dyDescent="0.2">
      <c r="A1633" t="s">
        <v>778</v>
      </c>
      <c r="B1633" s="91">
        <v>34.5</v>
      </c>
    </row>
    <row r="1634" spans="1:2" x14ac:dyDescent="0.2">
      <c r="A1634" t="s">
        <v>778</v>
      </c>
      <c r="B1634" s="91">
        <v>66.75</v>
      </c>
    </row>
    <row r="1635" spans="1:2" x14ac:dyDescent="0.2">
      <c r="A1635" t="s">
        <v>778</v>
      </c>
      <c r="B1635" s="91">
        <v>33.5</v>
      </c>
    </row>
    <row r="1636" spans="1:2" x14ac:dyDescent="0.2">
      <c r="A1636" t="s">
        <v>778</v>
      </c>
      <c r="B1636" s="91">
        <v>26.75</v>
      </c>
    </row>
    <row r="1637" spans="1:2" x14ac:dyDescent="0.2">
      <c r="A1637" t="s">
        <v>779</v>
      </c>
      <c r="B1637" s="91">
        <v>37.5</v>
      </c>
    </row>
    <row r="1638" spans="1:2" x14ac:dyDescent="0.2">
      <c r="A1638" t="s">
        <v>780</v>
      </c>
      <c r="B1638" s="91">
        <v>100</v>
      </c>
    </row>
    <row r="1639" spans="1:2" x14ac:dyDescent="0.2">
      <c r="A1639" t="s">
        <v>780</v>
      </c>
      <c r="B1639" s="91">
        <v>25</v>
      </c>
    </row>
    <row r="1640" spans="1:2" x14ac:dyDescent="0.2">
      <c r="A1640" t="s">
        <v>780</v>
      </c>
      <c r="B1640" s="91">
        <v>25</v>
      </c>
    </row>
    <row r="1641" spans="1:2" x14ac:dyDescent="0.2">
      <c r="A1641" t="s">
        <v>780</v>
      </c>
      <c r="B1641" s="91">
        <v>54</v>
      </c>
    </row>
    <row r="1642" spans="1:2" x14ac:dyDescent="0.2">
      <c r="A1642" t="s">
        <v>780</v>
      </c>
      <c r="B1642" s="91">
        <v>72</v>
      </c>
    </row>
    <row r="1643" spans="1:2" x14ac:dyDescent="0.2">
      <c r="A1643" t="s">
        <v>781</v>
      </c>
      <c r="B1643" s="91">
        <v>221.25</v>
      </c>
    </row>
    <row r="1644" spans="1:2" x14ac:dyDescent="0.2">
      <c r="A1644" t="s">
        <v>781</v>
      </c>
      <c r="B1644" s="91">
        <v>247.5</v>
      </c>
    </row>
    <row r="1645" spans="1:2" x14ac:dyDescent="0.2">
      <c r="A1645" t="s">
        <v>781</v>
      </c>
      <c r="B1645" s="91">
        <v>69.75</v>
      </c>
    </row>
    <row r="1646" spans="1:2" x14ac:dyDescent="0.2">
      <c r="A1646" t="s">
        <v>781</v>
      </c>
      <c r="B1646" s="91">
        <v>33</v>
      </c>
    </row>
    <row r="1647" spans="1:2" x14ac:dyDescent="0.2">
      <c r="A1647" t="s">
        <v>781</v>
      </c>
      <c r="B1647" s="91">
        <v>18.75</v>
      </c>
    </row>
    <row r="1648" spans="1:2" x14ac:dyDescent="0.2">
      <c r="A1648" t="s">
        <v>781</v>
      </c>
      <c r="B1648" s="91">
        <v>96</v>
      </c>
    </row>
    <row r="1649" spans="1:2" x14ac:dyDescent="0.2">
      <c r="A1649" t="s">
        <v>781</v>
      </c>
      <c r="B1649" s="91">
        <v>19.25</v>
      </c>
    </row>
    <row r="1650" spans="1:2" x14ac:dyDescent="0.2">
      <c r="A1650" t="s">
        <v>781</v>
      </c>
      <c r="B1650" s="91">
        <v>29.5</v>
      </c>
    </row>
    <row r="1651" spans="1:2" x14ac:dyDescent="0.2">
      <c r="A1651" t="s">
        <v>781</v>
      </c>
      <c r="B1651" s="91">
        <v>22</v>
      </c>
    </row>
    <row r="1652" spans="1:2" x14ac:dyDescent="0.2">
      <c r="A1652" t="s">
        <v>781</v>
      </c>
      <c r="B1652" s="91">
        <v>40.5</v>
      </c>
    </row>
    <row r="1653" spans="1:2" x14ac:dyDescent="0.2">
      <c r="A1653" t="s">
        <v>781</v>
      </c>
      <c r="B1653" s="91">
        <v>64.25</v>
      </c>
    </row>
    <row r="1654" spans="1:2" x14ac:dyDescent="0.2">
      <c r="A1654" t="s">
        <v>782</v>
      </c>
      <c r="B1654" s="91">
        <v>39.5</v>
      </c>
    </row>
    <row r="1655" spans="1:2" x14ac:dyDescent="0.2">
      <c r="A1655" t="s">
        <v>782</v>
      </c>
      <c r="B1655" s="91">
        <v>39.5</v>
      </c>
    </row>
    <row r="1656" spans="1:2" x14ac:dyDescent="0.2">
      <c r="A1656" t="s">
        <v>782</v>
      </c>
      <c r="B1656" s="91">
        <v>18</v>
      </c>
    </row>
    <row r="1657" spans="1:2" x14ac:dyDescent="0.2">
      <c r="A1657" t="s">
        <v>782</v>
      </c>
      <c r="B1657" s="91">
        <v>18.5</v>
      </c>
    </row>
    <row r="1658" spans="1:2" x14ac:dyDescent="0.2">
      <c r="A1658" t="s">
        <v>783</v>
      </c>
      <c r="B1658" s="91">
        <v>11</v>
      </c>
    </row>
    <row r="1659" spans="1:2" x14ac:dyDescent="0.2">
      <c r="A1659" t="s">
        <v>783</v>
      </c>
      <c r="B1659" s="91">
        <v>21</v>
      </c>
    </row>
    <row r="1660" spans="1:2" x14ac:dyDescent="0.2">
      <c r="A1660" t="s">
        <v>784</v>
      </c>
      <c r="B1660" s="91">
        <v>297</v>
      </c>
    </row>
    <row r="1661" spans="1:2" x14ac:dyDescent="0.2">
      <c r="A1661" t="s">
        <v>784</v>
      </c>
      <c r="B1661" s="91">
        <v>499</v>
      </c>
    </row>
    <row r="1662" spans="1:2" x14ac:dyDescent="0.2">
      <c r="A1662" t="s">
        <v>785</v>
      </c>
      <c r="B1662" s="91">
        <v>67.5</v>
      </c>
    </row>
    <row r="1663" spans="1:2" x14ac:dyDescent="0.2">
      <c r="A1663" t="s">
        <v>785</v>
      </c>
      <c r="B1663" s="91">
        <v>67.5</v>
      </c>
    </row>
    <row r="1664" spans="1:2" x14ac:dyDescent="0.2">
      <c r="A1664" t="s">
        <v>785</v>
      </c>
      <c r="B1664" s="91">
        <v>54</v>
      </c>
    </row>
    <row r="1665" spans="1:2" x14ac:dyDescent="0.2">
      <c r="A1665" t="s">
        <v>785</v>
      </c>
      <c r="B1665" s="91">
        <v>95</v>
      </c>
    </row>
    <row r="1666" spans="1:2" x14ac:dyDescent="0.2">
      <c r="A1666" t="s">
        <v>786</v>
      </c>
      <c r="B1666" s="91">
        <v>14.75</v>
      </c>
    </row>
    <row r="1667" spans="1:2" x14ac:dyDescent="0.2">
      <c r="A1667" t="s">
        <v>787</v>
      </c>
      <c r="B1667" s="91">
        <v>13.25</v>
      </c>
    </row>
    <row r="1668" spans="1:2" x14ac:dyDescent="0.2">
      <c r="A1668" t="s">
        <v>788</v>
      </c>
      <c r="B1668" s="91">
        <v>67.5</v>
      </c>
    </row>
    <row r="1669" spans="1:2" x14ac:dyDescent="0.2">
      <c r="A1669" t="s">
        <v>789</v>
      </c>
      <c r="B1669" s="91">
        <v>18.25</v>
      </c>
    </row>
    <row r="1670" spans="1:2" x14ac:dyDescent="0.2">
      <c r="A1670" t="s">
        <v>789</v>
      </c>
      <c r="B1670" s="91">
        <v>46.5</v>
      </c>
    </row>
    <row r="1671" spans="1:2" x14ac:dyDescent="0.2">
      <c r="A1671" t="s">
        <v>790</v>
      </c>
      <c r="B1671" s="91">
        <v>10</v>
      </c>
    </row>
    <row r="1672" spans="1:2" x14ac:dyDescent="0.2">
      <c r="A1672" t="s">
        <v>791</v>
      </c>
      <c r="B1672" s="91">
        <v>195.5</v>
      </c>
    </row>
    <row r="1673" spans="1:2" x14ac:dyDescent="0.2">
      <c r="A1673" t="s">
        <v>791</v>
      </c>
      <c r="B1673" s="91">
        <v>10</v>
      </c>
    </row>
    <row r="1674" spans="1:2" x14ac:dyDescent="0.2">
      <c r="A1674" t="s">
        <v>792</v>
      </c>
      <c r="B1674" s="91">
        <v>24.5</v>
      </c>
    </row>
    <row r="1675" spans="1:2" x14ac:dyDescent="0.2">
      <c r="A1675" t="s">
        <v>792</v>
      </c>
      <c r="B1675" s="91">
        <v>1</v>
      </c>
    </row>
    <row r="1676" spans="1:2" x14ac:dyDescent="0.2">
      <c r="A1676" t="s">
        <v>793</v>
      </c>
      <c r="B1676" s="91">
        <v>8.5</v>
      </c>
    </row>
    <row r="1677" spans="1:2" x14ac:dyDescent="0.2">
      <c r="A1677" t="s">
        <v>794</v>
      </c>
      <c r="B1677" s="91">
        <v>240</v>
      </c>
    </row>
    <row r="1678" spans="1:2" x14ac:dyDescent="0.2">
      <c r="A1678" t="s">
        <v>794</v>
      </c>
      <c r="B1678" s="91">
        <v>120</v>
      </c>
    </row>
    <row r="1679" spans="1:2" x14ac:dyDescent="0.2">
      <c r="A1679" t="s">
        <v>794</v>
      </c>
      <c r="B1679" s="91">
        <v>-4</v>
      </c>
    </row>
    <row r="1680" spans="1:2" x14ac:dyDescent="0.2">
      <c r="A1680" t="s">
        <v>795</v>
      </c>
      <c r="B1680" s="91">
        <v>8.75</v>
      </c>
    </row>
    <row r="1681" spans="1:2" x14ac:dyDescent="0.2">
      <c r="A1681" t="s">
        <v>795</v>
      </c>
      <c r="B1681" s="91">
        <v>18.75</v>
      </c>
    </row>
    <row r="1682" spans="1:2" x14ac:dyDescent="0.2">
      <c r="A1682" t="s">
        <v>795</v>
      </c>
      <c r="B1682" s="91">
        <v>10</v>
      </c>
    </row>
    <row r="1683" spans="1:2" x14ac:dyDescent="0.2">
      <c r="A1683" t="s">
        <v>796</v>
      </c>
      <c r="B1683" s="91">
        <v>552</v>
      </c>
    </row>
    <row r="1684" spans="1:2" x14ac:dyDescent="0.2">
      <c r="A1684" t="s">
        <v>797</v>
      </c>
      <c r="B1684" s="91">
        <v>10</v>
      </c>
    </row>
    <row r="1685" spans="1:2" x14ac:dyDescent="0.2">
      <c r="A1685" t="s">
        <v>798</v>
      </c>
      <c r="B1685" s="91">
        <v>28</v>
      </c>
    </row>
    <row r="1686" spans="1:2" x14ac:dyDescent="0.2">
      <c r="A1686" t="s">
        <v>799</v>
      </c>
      <c r="B1686" s="91">
        <v>30</v>
      </c>
    </row>
    <row r="1687" spans="1:2" x14ac:dyDescent="0.2">
      <c r="A1687" t="s">
        <v>800</v>
      </c>
      <c r="B1687" s="91">
        <v>14</v>
      </c>
    </row>
    <row r="1688" spans="1:2" x14ac:dyDescent="0.2">
      <c r="A1688" t="s">
        <v>801</v>
      </c>
      <c r="B1688" s="91">
        <v>6.75</v>
      </c>
    </row>
    <row r="1689" spans="1:2" x14ac:dyDescent="0.2">
      <c r="A1689" t="s">
        <v>801</v>
      </c>
      <c r="B1689" s="91">
        <v>23.75</v>
      </c>
    </row>
    <row r="1690" spans="1:2" x14ac:dyDescent="0.2">
      <c r="A1690" t="s">
        <v>802</v>
      </c>
      <c r="B1690" s="91">
        <v>6.75</v>
      </c>
    </row>
    <row r="1691" spans="1:2" x14ac:dyDescent="0.2">
      <c r="A1691" t="s">
        <v>802</v>
      </c>
      <c r="B1691" s="91">
        <v>10</v>
      </c>
    </row>
    <row r="1692" spans="1:2" x14ac:dyDescent="0.2">
      <c r="A1692" t="s">
        <v>802</v>
      </c>
      <c r="B1692" s="91">
        <v>11</v>
      </c>
    </row>
    <row r="1693" spans="1:2" x14ac:dyDescent="0.2">
      <c r="A1693" t="s">
        <v>803</v>
      </c>
      <c r="B1693" s="91">
        <v>10</v>
      </c>
    </row>
    <row r="1694" spans="1:2" x14ac:dyDescent="0.2">
      <c r="A1694" t="s">
        <v>804</v>
      </c>
      <c r="B1694" s="91">
        <v>6.75</v>
      </c>
    </row>
    <row r="1695" spans="1:2" x14ac:dyDescent="0.2">
      <c r="A1695" t="s">
        <v>804</v>
      </c>
      <c r="B1695" s="91">
        <v>6.75</v>
      </c>
    </row>
    <row r="1696" spans="1:2" x14ac:dyDescent="0.2">
      <c r="A1696" t="s">
        <v>804</v>
      </c>
      <c r="B1696" s="91">
        <v>11</v>
      </c>
    </row>
    <row r="1697" spans="1:2" x14ac:dyDescent="0.2">
      <c r="A1697" t="s">
        <v>804</v>
      </c>
      <c r="B1697" s="91">
        <v>9.75</v>
      </c>
    </row>
    <row r="1698" spans="1:2" x14ac:dyDescent="0.2">
      <c r="A1698" t="s">
        <v>804</v>
      </c>
      <c r="B1698" s="91">
        <v>57.5</v>
      </c>
    </row>
    <row r="1699" spans="1:2" x14ac:dyDescent="0.2">
      <c r="A1699" t="s">
        <v>805</v>
      </c>
      <c r="B1699" s="91">
        <v>4</v>
      </c>
    </row>
    <row r="1700" spans="1:2" x14ac:dyDescent="0.2">
      <c r="A1700" t="s">
        <v>805</v>
      </c>
      <c r="B1700" s="91">
        <v>26.5</v>
      </c>
    </row>
    <row r="1701" spans="1:2" x14ac:dyDescent="0.2">
      <c r="A1701" t="s">
        <v>806</v>
      </c>
      <c r="B1701" s="91">
        <v>36.5</v>
      </c>
    </row>
    <row r="1702" spans="1:2" x14ac:dyDescent="0.2">
      <c r="A1702" t="s">
        <v>807</v>
      </c>
      <c r="B1702" s="91">
        <v>11.5</v>
      </c>
    </row>
    <row r="1703" spans="1:2" x14ac:dyDescent="0.2">
      <c r="A1703" t="s">
        <v>808</v>
      </c>
      <c r="B1703" s="91">
        <v>148.5</v>
      </c>
    </row>
    <row r="1704" spans="1:2" x14ac:dyDescent="0.2">
      <c r="A1704" t="s">
        <v>808</v>
      </c>
      <c r="B1704" s="91">
        <v>120</v>
      </c>
    </row>
    <row r="1705" spans="1:2" x14ac:dyDescent="0.2">
      <c r="A1705" t="s">
        <v>808</v>
      </c>
      <c r="B1705" s="91">
        <v>83.5</v>
      </c>
    </row>
    <row r="1706" spans="1:2" x14ac:dyDescent="0.2">
      <c r="A1706" t="s">
        <v>809</v>
      </c>
      <c r="B1706" s="91">
        <v>132</v>
      </c>
    </row>
    <row r="1707" spans="1:2" x14ac:dyDescent="0.2">
      <c r="A1707" t="s">
        <v>810</v>
      </c>
      <c r="B1707" s="91">
        <v>8.75</v>
      </c>
    </row>
    <row r="1708" spans="1:2" x14ac:dyDescent="0.2">
      <c r="A1708" t="s">
        <v>810</v>
      </c>
      <c r="B1708" s="91">
        <v>10</v>
      </c>
    </row>
    <row r="1709" spans="1:2" x14ac:dyDescent="0.2">
      <c r="A1709" t="s">
        <v>811</v>
      </c>
      <c r="B1709" s="91">
        <v>18</v>
      </c>
    </row>
    <row r="1710" spans="1:2" x14ac:dyDescent="0.2">
      <c r="A1710" t="s">
        <v>812</v>
      </c>
      <c r="B1710" s="91">
        <v>18.75</v>
      </c>
    </row>
    <row r="1711" spans="1:2" x14ac:dyDescent="0.2">
      <c r="A1711" t="s">
        <v>813</v>
      </c>
      <c r="B1711" s="91">
        <v>67.5</v>
      </c>
    </row>
    <row r="1712" spans="1:2" x14ac:dyDescent="0.2">
      <c r="A1712" t="s">
        <v>813</v>
      </c>
      <c r="B1712" s="91">
        <v>62.75</v>
      </c>
    </row>
    <row r="1713" spans="1:2" x14ac:dyDescent="0.2">
      <c r="A1713" t="s">
        <v>814</v>
      </c>
      <c r="B1713" s="91">
        <v>61.25</v>
      </c>
    </row>
    <row r="1714" spans="1:2" x14ac:dyDescent="0.2">
      <c r="A1714" t="s">
        <v>815</v>
      </c>
      <c r="B1714" s="91">
        <v>2</v>
      </c>
    </row>
    <row r="1715" spans="1:2" x14ac:dyDescent="0.2">
      <c r="A1715" t="s">
        <v>816</v>
      </c>
      <c r="B1715" s="91">
        <v>18</v>
      </c>
    </row>
    <row r="1716" spans="1:2" x14ac:dyDescent="0.2">
      <c r="A1716" t="s">
        <v>817</v>
      </c>
      <c r="B1716" s="91">
        <v>8</v>
      </c>
    </row>
    <row r="1717" spans="1:2" x14ac:dyDescent="0.2">
      <c r="A1717" t="s">
        <v>818</v>
      </c>
      <c r="B1717" s="91">
        <v>14.75</v>
      </c>
    </row>
    <row r="1718" spans="1:2" x14ac:dyDescent="0.2">
      <c r="A1718" t="s">
        <v>819</v>
      </c>
      <c r="B1718" s="91">
        <v>120</v>
      </c>
    </row>
    <row r="1719" spans="1:2" x14ac:dyDescent="0.2">
      <c r="A1719" t="s">
        <v>819</v>
      </c>
      <c r="B1719" s="91">
        <v>120</v>
      </c>
    </row>
    <row r="1720" spans="1:2" x14ac:dyDescent="0.2">
      <c r="A1720" t="s">
        <v>819</v>
      </c>
      <c r="B1720" s="91">
        <v>173.25</v>
      </c>
    </row>
    <row r="1721" spans="1:2" x14ac:dyDescent="0.2">
      <c r="A1721" t="s">
        <v>819</v>
      </c>
      <c r="B1721" s="91">
        <v>26.75</v>
      </c>
    </row>
    <row r="1722" spans="1:2" x14ac:dyDescent="0.2">
      <c r="A1722" t="s">
        <v>820</v>
      </c>
      <c r="B1722" s="91">
        <v>14.75</v>
      </c>
    </row>
    <row r="1723" spans="1:2" x14ac:dyDescent="0.2">
      <c r="A1723" t="s">
        <v>821</v>
      </c>
      <c r="B1723" s="91">
        <v>360</v>
      </c>
    </row>
    <row r="1724" spans="1:2" x14ac:dyDescent="0.2">
      <c r="A1724" t="s">
        <v>821</v>
      </c>
      <c r="B1724" s="91">
        <v>120</v>
      </c>
    </row>
    <row r="1725" spans="1:2" x14ac:dyDescent="0.2">
      <c r="A1725" t="s">
        <v>821</v>
      </c>
      <c r="B1725" s="91">
        <v>138</v>
      </c>
    </row>
    <row r="1726" spans="1:2" x14ac:dyDescent="0.2">
      <c r="A1726" t="s">
        <v>822</v>
      </c>
      <c r="B1726" s="91">
        <v>14.75</v>
      </c>
    </row>
    <row r="1727" spans="1:2" x14ac:dyDescent="0.2">
      <c r="A1727" t="s">
        <v>823</v>
      </c>
      <c r="B1727" s="91">
        <v>58.5</v>
      </c>
    </row>
    <row r="1728" spans="1:2" x14ac:dyDescent="0.2">
      <c r="A1728" t="s">
        <v>824</v>
      </c>
      <c r="B1728" s="91">
        <v>742.5</v>
      </c>
    </row>
    <row r="1729" spans="1:2" x14ac:dyDescent="0.2">
      <c r="A1729" t="s">
        <v>824</v>
      </c>
      <c r="B1729" s="91">
        <v>432</v>
      </c>
    </row>
    <row r="1730" spans="1:2" x14ac:dyDescent="0.2">
      <c r="A1730" t="s">
        <v>824</v>
      </c>
      <c r="B1730" s="91">
        <v>388.5</v>
      </c>
    </row>
    <row r="1731" spans="1:2" x14ac:dyDescent="0.2">
      <c r="A1731" t="s">
        <v>825</v>
      </c>
      <c r="B1731" s="91">
        <v>1029.5</v>
      </c>
    </row>
    <row r="1732" spans="1:2" x14ac:dyDescent="0.2">
      <c r="A1732" t="s">
        <v>825</v>
      </c>
      <c r="B1732" s="91">
        <v>2378.5</v>
      </c>
    </row>
    <row r="1733" spans="1:2" x14ac:dyDescent="0.2">
      <c r="A1733" t="s">
        <v>825</v>
      </c>
      <c r="B1733" s="91">
        <v>648</v>
      </c>
    </row>
    <row r="1734" spans="1:2" x14ac:dyDescent="0.2">
      <c r="A1734" t="s">
        <v>825</v>
      </c>
      <c r="B1734" s="91">
        <v>666</v>
      </c>
    </row>
    <row r="1735" spans="1:2" x14ac:dyDescent="0.2">
      <c r="A1735" t="s">
        <v>825</v>
      </c>
      <c r="B1735" s="91">
        <v>1080</v>
      </c>
    </row>
    <row r="1736" spans="1:2" x14ac:dyDescent="0.2">
      <c r="A1736" t="s">
        <v>825</v>
      </c>
      <c r="B1736" s="91">
        <v>205</v>
      </c>
    </row>
    <row r="1737" spans="1:2" x14ac:dyDescent="0.2">
      <c r="A1737" t="s">
        <v>825</v>
      </c>
      <c r="B1737" s="91">
        <v>-533</v>
      </c>
    </row>
    <row r="1738" spans="1:2" x14ac:dyDescent="0.2">
      <c r="A1738" t="s">
        <v>826</v>
      </c>
      <c r="B1738" s="91">
        <v>88</v>
      </c>
    </row>
    <row r="1739" spans="1:2" x14ac:dyDescent="0.2">
      <c r="A1739" t="s">
        <v>827</v>
      </c>
      <c r="B1739" s="91">
        <v>103.75</v>
      </c>
    </row>
    <row r="1740" spans="1:2" x14ac:dyDescent="0.2">
      <c r="A1740" t="s">
        <v>827</v>
      </c>
      <c r="B1740" s="91">
        <v>31.5</v>
      </c>
    </row>
    <row r="1741" spans="1:2" x14ac:dyDescent="0.2">
      <c r="A1741" t="s">
        <v>828</v>
      </c>
      <c r="B1741" s="91">
        <v>4</v>
      </c>
    </row>
    <row r="1742" spans="1:2" x14ac:dyDescent="0.2">
      <c r="A1742" t="s">
        <v>829</v>
      </c>
      <c r="B1742" s="91">
        <v>6.5</v>
      </c>
    </row>
    <row r="1743" spans="1:2" x14ac:dyDescent="0.2">
      <c r="A1743" t="s">
        <v>830</v>
      </c>
      <c r="B1743" s="91">
        <v>9.75</v>
      </c>
    </row>
    <row r="1744" spans="1:2" x14ac:dyDescent="0.2">
      <c r="A1744" t="s">
        <v>831</v>
      </c>
      <c r="B1744" s="91">
        <v>18.75</v>
      </c>
    </row>
    <row r="1745" spans="1:2" x14ac:dyDescent="0.2">
      <c r="A1745" t="s">
        <v>831</v>
      </c>
      <c r="B1745" s="91">
        <v>17</v>
      </c>
    </row>
    <row r="1746" spans="1:2" x14ac:dyDescent="0.2">
      <c r="A1746" t="s">
        <v>831</v>
      </c>
      <c r="B1746" s="91">
        <v>33.75</v>
      </c>
    </row>
    <row r="1747" spans="1:2" x14ac:dyDescent="0.2">
      <c r="A1747" t="s">
        <v>832</v>
      </c>
      <c r="B1747" s="91">
        <v>32</v>
      </c>
    </row>
    <row r="1748" spans="1:2" x14ac:dyDescent="0.2">
      <c r="A1748" t="s">
        <v>832</v>
      </c>
      <c r="B1748" s="91">
        <v>24</v>
      </c>
    </row>
    <row r="1749" spans="1:2" x14ac:dyDescent="0.2">
      <c r="A1749" t="s">
        <v>833</v>
      </c>
      <c r="B1749" s="91">
        <v>8</v>
      </c>
    </row>
    <row r="1750" spans="1:2" x14ac:dyDescent="0.2">
      <c r="A1750" t="s">
        <v>834</v>
      </c>
      <c r="B1750" s="91">
        <v>27</v>
      </c>
    </row>
    <row r="1751" spans="1:2" x14ac:dyDescent="0.2">
      <c r="A1751" t="s">
        <v>834</v>
      </c>
      <c r="B1751" s="91">
        <v>45</v>
      </c>
    </row>
    <row r="1752" spans="1:2" x14ac:dyDescent="0.2">
      <c r="A1752" t="s">
        <v>834</v>
      </c>
      <c r="B1752" s="91">
        <v>20.25</v>
      </c>
    </row>
    <row r="1753" spans="1:2" x14ac:dyDescent="0.2">
      <c r="A1753" t="s">
        <v>835</v>
      </c>
      <c r="B1753" s="91">
        <v>9.75</v>
      </c>
    </row>
    <row r="1754" spans="1:2" x14ac:dyDescent="0.2">
      <c r="A1754" t="s">
        <v>836</v>
      </c>
      <c r="B1754" s="91">
        <v>132</v>
      </c>
    </row>
    <row r="1755" spans="1:2" x14ac:dyDescent="0.2">
      <c r="A1755" t="s">
        <v>837</v>
      </c>
      <c r="B1755" s="91">
        <v>7.5</v>
      </c>
    </row>
    <row r="1756" spans="1:2" x14ac:dyDescent="0.2">
      <c r="A1756" t="s">
        <v>837</v>
      </c>
      <c r="B1756" s="91">
        <v>7.75</v>
      </c>
    </row>
    <row r="1757" spans="1:2" x14ac:dyDescent="0.2">
      <c r="A1757" t="s">
        <v>837</v>
      </c>
      <c r="B1757" s="91">
        <v>36</v>
      </c>
    </row>
    <row r="1758" spans="1:2" x14ac:dyDescent="0.2">
      <c r="A1758" t="s">
        <v>838</v>
      </c>
      <c r="B1758" s="91">
        <v>66</v>
      </c>
    </row>
    <row r="1759" spans="1:2" x14ac:dyDescent="0.2">
      <c r="A1759" t="s">
        <v>838</v>
      </c>
      <c r="B1759" s="91">
        <v>67</v>
      </c>
    </row>
    <row r="1760" spans="1:2" x14ac:dyDescent="0.2">
      <c r="A1760" t="s">
        <v>839</v>
      </c>
      <c r="B1760" s="91">
        <v>24.75</v>
      </c>
    </row>
    <row r="1761" spans="1:2" x14ac:dyDescent="0.2">
      <c r="A1761" t="s">
        <v>840</v>
      </c>
      <c r="B1761" s="91">
        <v>178</v>
      </c>
    </row>
    <row r="1762" spans="1:2" x14ac:dyDescent="0.2">
      <c r="A1762" t="s">
        <v>841</v>
      </c>
      <c r="B1762" s="91">
        <v>57.5</v>
      </c>
    </row>
    <row r="1763" spans="1:2" x14ac:dyDescent="0.2">
      <c r="A1763" t="s">
        <v>842</v>
      </c>
      <c r="B1763" s="91">
        <v>9.75</v>
      </c>
    </row>
    <row r="1764" spans="1:2" x14ac:dyDescent="0.2">
      <c r="A1764" t="s">
        <v>842</v>
      </c>
      <c r="B1764" s="91">
        <v>10</v>
      </c>
    </row>
    <row r="1765" spans="1:2" x14ac:dyDescent="0.2">
      <c r="A1765" t="s">
        <v>843</v>
      </c>
      <c r="B1765" s="91">
        <v>90</v>
      </c>
    </row>
    <row r="1766" spans="1:2" x14ac:dyDescent="0.2">
      <c r="A1766" t="s">
        <v>844</v>
      </c>
      <c r="B1766" s="91">
        <v>8</v>
      </c>
    </row>
    <row r="1767" spans="1:2" x14ac:dyDescent="0.2">
      <c r="A1767" t="s">
        <v>845</v>
      </c>
      <c r="B1767" s="91">
        <v>14.25</v>
      </c>
    </row>
    <row r="1768" spans="1:2" x14ac:dyDescent="0.2">
      <c r="A1768" t="s">
        <v>846</v>
      </c>
      <c r="B1768" s="91">
        <v>30</v>
      </c>
    </row>
    <row r="1769" spans="1:2" x14ac:dyDescent="0.2">
      <c r="A1769" t="s">
        <v>846</v>
      </c>
      <c r="B1769" s="91">
        <v>14.75</v>
      </c>
    </row>
    <row r="1770" spans="1:2" x14ac:dyDescent="0.2">
      <c r="A1770" t="s">
        <v>846</v>
      </c>
      <c r="B1770" s="91">
        <v>63</v>
      </c>
    </row>
    <row r="1771" spans="1:2" x14ac:dyDescent="0.2">
      <c r="A1771" t="s">
        <v>847</v>
      </c>
      <c r="B1771" s="91">
        <v>12.25</v>
      </c>
    </row>
    <row r="1772" spans="1:2" x14ac:dyDescent="0.2">
      <c r="A1772" t="s">
        <v>848</v>
      </c>
      <c r="B1772" s="91">
        <v>114</v>
      </c>
    </row>
    <row r="1773" spans="1:2" x14ac:dyDescent="0.2">
      <c r="A1773" t="s">
        <v>849</v>
      </c>
      <c r="B1773" s="91">
        <v>10</v>
      </c>
    </row>
    <row r="1774" spans="1:2" x14ac:dyDescent="0.2">
      <c r="A1774" t="s">
        <v>850</v>
      </c>
      <c r="B1774" s="91">
        <v>62.5</v>
      </c>
    </row>
    <row r="1775" spans="1:2" x14ac:dyDescent="0.2">
      <c r="A1775" t="s">
        <v>850</v>
      </c>
      <c r="B1775" s="91">
        <v>42</v>
      </c>
    </row>
    <row r="1776" spans="1:2" x14ac:dyDescent="0.2">
      <c r="A1776" t="s">
        <v>851</v>
      </c>
      <c r="B1776" s="91">
        <v>1416</v>
      </c>
    </row>
    <row r="1777" spans="1:2" x14ac:dyDescent="0.2">
      <c r="A1777" t="s">
        <v>852</v>
      </c>
      <c r="B1777" s="91">
        <v>44</v>
      </c>
    </row>
    <row r="1778" spans="1:2" x14ac:dyDescent="0.2">
      <c r="A1778" t="s">
        <v>852</v>
      </c>
      <c r="B1778" s="91">
        <v>28.25</v>
      </c>
    </row>
    <row r="1779" spans="1:2" x14ac:dyDescent="0.2">
      <c r="A1779" t="s">
        <v>853</v>
      </c>
      <c r="B1779" s="91">
        <v>262</v>
      </c>
    </row>
    <row r="1780" spans="1:2" x14ac:dyDescent="0.2">
      <c r="A1780" t="s">
        <v>854</v>
      </c>
      <c r="B1780" s="91">
        <v>348</v>
      </c>
    </row>
    <row r="1781" spans="1:2" x14ac:dyDescent="0.2">
      <c r="A1781" t="s">
        <v>854</v>
      </c>
      <c r="B1781" s="91">
        <v>1080</v>
      </c>
    </row>
    <row r="1782" spans="1:2" x14ac:dyDescent="0.2">
      <c r="A1782" t="s">
        <v>854</v>
      </c>
      <c r="B1782" s="91">
        <v>750</v>
      </c>
    </row>
    <row r="1783" spans="1:2" x14ac:dyDescent="0.2">
      <c r="A1783" t="s">
        <v>854</v>
      </c>
      <c r="B1783" s="91">
        <v>300</v>
      </c>
    </row>
    <row r="1784" spans="1:2" x14ac:dyDescent="0.2">
      <c r="A1784" t="s">
        <v>854</v>
      </c>
      <c r="B1784" s="91">
        <v>264</v>
      </c>
    </row>
    <row r="1785" spans="1:2" x14ac:dyDescent="0.2">
      <c r="A1785" t="s">
        <v>854</v>
      </c>
      <c r="B1785" s="91">
        <v>470</v>
      </c>
    </row>
    <row r="1786" spans="1:2" x14ac:dyDescent="0.2">
      <c r="A1786" t="s">
        <v>855</v>
      </c>
      <c r="B1786" s="91">
        <v>120</v>
      </c>
    </row>
    <row r="1787" spans="1:2" x14ac:dyDescent="0.2">
      <c r="A1787" t="s">
        <v>855</v>
      </c>
      <c r="B1787" s="91">
        <v>120</v>
      </c>
    </row>
    <row r="1788" spans="1:2" x14ac:dyDescent="0.2">
      <c r="A1788" t="s">
        <v>855</v>
      </c>
      <c r="B1788" s="91">
        <v>200</v>
      </c>
    </row>
    <row r="1789" spans="1:2" x14ac:dyDescent="0.2">
      <c r="A1789" t="s">
        <v>856</v>
      </c>
      <c r="B1789" s="91">
        <v>62</v>
      </c>
    </row>
    <row r="1790" spans="1:2" x14ac:dyDescent="0.2">
      <c r="A1790" t="s">
        <v>857</v>
      </c>
      <c r="B1790" s="91">
        <v>14.75</v>
      </c>
    </row>
    <row r="1791" spans="1:2" x14ac:dyDescent="0.2">
      <c r="A1791" t="s">
        <v>858</v>
      </c>
      <c r="B1791" s="91">
        <v>146.5</v>
      </c>
    </row>
    <row r="1792" spans="1:2" x14ac:dyDescent="0.2">
      <c r="A1792" t="s">
        <v>859</v>
      </c>
      <c r="B1792" s="91">
        <v>30</v>
      </c>
    </row>
    <row r="1793" spans="1:2" x14ac:dyDescent="0.2">
      <c r="A1793" t="s">
        <v>859</v>
      </c>
      <c r="B1793" s="91">
        <v>55</v>
      </c>
    </row>
    <row r="1794" spans="1:2" x14ac:dyDescent="0.2">
      <c r="A1794" t="s">
        <v>860</v>
      </c>
      <c r="B1794" s="91">
        <v>3</v>
      </c>
    </row>
    <row r="1795" spans="1:2" x14ac:dyDescent="0.2">
      <c r="A1795" t="s">
        <v>861</v>
      </c>
      <c r="B1795" s="91">
        <v>100</v>
      </c>
    </row>
    <row r="1796" spans="1:2" x14ac:dyDescent="0.2">
      <c r="A1796" t="s">
        <v>862</v>
      </c>
      <c r="B1796" s="91">
        <v>18</v>
      </c>
    </row>
    <row r="1797" spans="1:2" x14ac:dyDescent="0.2">
      <c r="A1797" t="s">
        <v>863</v>
      </c>
      <c r="B1797" s="91">
        <v>10</v>
      </c>
    </row>
    <row r="1798" spans="1:2" x14ac:dyDescent="0.2">
      <c r="A1798" t="s">
        <v>863</v>
      </c>
      <c r="B1798" s="91">
        <v>5</v>
      </c>
    </row>
    <row r="1799" spans="1:2" x14ac:dyDescent="0.2">
      <c r="A1799" t="s">
        <v>864</v>
      </c>
      <c r="B1799" s="91">
        <v>27</v>
      </c>
    </row>
    <row r="1800" spans="1:2" x14ac:dyDescent="0.2">
      <c r="A1800" t="s">
        <v>864</v>
      </c>
      <c r="B1800" s="91">
        <v>13</v>
      </c>
    </row>
    <row r="1801" spans="1:2" x14ac:dyDescent="0.2">
      <c r="A1801" t="s">
        <v>864</v>
      </c>
      <c r="B1801" s="91">
        <v>19.5</v>
      </c>
    </row>
    <row r="1802" spans="1:2" x14ac:dyDescent="0.2">
      <c r="A1802" t="s">
        <v>864</v>
      </c>
      <c r="B1802" s="91">
        <v>21</v>
      </c>
    </row>
    <row r="1803" spans="1:2" x14ac:dyDescent="0.2">
      <c r="A1803" t="s">
        <v>864</v>
      </c>
      <c r="B1803" s="91">
        <v>21.5</v>
      </c>
    </row>
    <row r="1804" spans="1:2" x14ac:dyDescent="0.2">
      <c r="A1804" t="s">
        <v>865</v>
      </c>
      <c r="B1804" s="91">
        <v>21</v>
      </c>
    </row>
    <row r="1805" spans="1:2" x14ac:dyDescent="0.2">
      <c r="A1805" t="s">
        <v>865</v>
      </c>
      <c r="B1805" s="91">
        <v>8.5</v>
      </c>
    </row>
    <row r="1806" spans="1:2" x14ac:dyDescent="0.2">
      <c r="A1806" t="s">
        <v>865</v>
      </c>
      <c r="B1806" s="91">
        <v>28.5</v>
      </c>
    </row>
    <row r="1807" spans="1:2" x14ac:dyDescent="0.2">
      <c r="A1807" t="s">
        <v>865</v>
      </c>
      <c r="B1807" s="91">
        <v>19</v>
      </c>
    </row>
    <row r="1808" spans="1:2" x14ac:dyDescent="0.2">
      <c r="A1808" t="s">
        <v>865</v>
      </c>
      <c r="B1808" s="91">
        <v>16</v>
      </c>
    </row>
    <row r="1809" spans="1:2" x14ac:dyDescent="0.2">
      <c r="A1809" t="s">
        <v>866</v>
      </c>
      <c r="B1809" s="91">
        <v>891</v>
      </c>
    </row>
    <row r="1810" spans="1:2" x14ac:dyDescent="0.2">
      <c r="A1810" t="s">
        <v>866</v>
      </c>
      <c r="B1810" s="91">
        <v>297</v>
      </c>
    </row>
    <row r="1811" spans="1:2" x14ac:dyDescent="0.2">
      <c r="A1811" t="s">
        <v>866</v>
      </c>
      <c r="B1811" s="91">
        <v>448</v>
      </c>
    </row>
    <row r="1812" spans="1:2" x14ac:dyDescent="0.2">
      <c r="A1812" t="s">
        <v>866</v>
      </c>
      <c r="B1812" s="91">
        <v>240</v>
      </c>
    </row>
    <row r="1813" spans="1:2" x14ac:dyDescent="0.2">
      <c r="A1813" t="s">
        <v>866</v>
      </c>
      <c r="B1813" s="91">
        <v>240</v>
      </c>
    </row>
    <row r="1814" spans="1:2" x14ac:dyDescent="0.2">
      <c r="A1814" t="s">
        <v>867</v>
      </c>
      <c r="B1814" s="91">
        <v>40.75</v>
      </c>
    </row>
    <row r="1815" spans="1:2" x14ac:dyDescent="0.2">
      <c r="A1815" t="s">
        <v>868</v>
      </c>
      <c r="B1815" s="91">
        <v>23.75</v>
      </c>
    </row>
    <row r="1816" spans="1:2" x14ac:dyDescent="0.2">
      <c r="A1816" t="s">
        <v>868</v>
      </c>
      <c r="B1816" s="91">
        <v>7.75</v>
      </c>
    </row>
    <row r="1817" spans="1:2" x14ac:dyDescent="0.2">
      <c r="A1817" t="s">
        <v>869</v>
      </c>
      <c r="B1817" s="91">
        <v>22.75</v>
      </c>
    </row>
    <row r="1818" spans="1:2" x14ac:dyDescent="0.2">
      <c r="A1818" t="s">
        <v>869</v>
      </c>
      <c r="B1818" s="91">
        <v>26.5</v>
      </c>
    </row>
    <row r="1819" spans="1:2" x14ac:dyDescent="0.2">
      <c r="A1819" t="s">
        <v>869</v>
      </c>
      <c r="B1819" s="91">
        <v>26.5</v>
      </c>
    </row>
    <row r="1820" spans="1:2" x14ac:dyDescent="0.2">
      <c r="A1820" t="s">
        <v>869</v>
      </c>
      <c r="B1820" s="91">
        <v>344</v>
      </c>
    </row>
    <row r="1821" spans="1:2" x14ac:dyDescent="0.2">
      <c r="A1821" t="s">
        <v>869</v>
      </c>
      <c r="B1821" s="91">
        <v>58</v>
      </c>
    </row>
    <row r="1822" spans="1:2" x14ac:dyDescent="0.2">
      <c r="A1822" t="s">
        <v>869</v>
      </c>
      <c r="B1822" s="91">
        <v>58</v>
      </c>
    </row>
    <row r="1823" spans="1:2" x14ac:dyDescent="0.2">
      <c r="A1823" t="s">
        <v>869</v>
      </c>
      <c r="B1823" s="91">
        <v>45</v>
      </c>
    </row>
    <row r="1824" spans="1:2" x14ac:dyDescent="0.2">
      <c r="A1824" t="s">
        <v>870</v>
      </c>
      <c r="B1824" s="91">
        <v>236.5</v>
      </c>
    </row>
    <row r="1825" spans="1:2" x14ac:dyDescent="0.2">
      <c r="A1825" t="s">
        <v>871</v>
      </c>
      <c r="B1825" s="91">
        <v>94.5</v>
      </c>
    </row>
    <row r="1826" spans="1:2" x14ac:dyDescent="0.2">
      <c r="A1826" t="s">
        <v>872</v>
      </c>
      <c r="B1826" s="91">
        <v>11.5</v>
      </c>
    </row>
    <row r="1827" spans="1:2" x14ac:dyDescent="0.2">
      <c r="A1827" t="s">
        <v>873</v>
      </c>
      <c r="B1827" s="91">
        <v>26.25</v>
      </c>
    </row>
    <row r="1828" spans="1:2" x14ac:dyDescent="0.2">
      <c r="A1828" t="s">
        <v>874</v>
      </c>
      <c r="B1828" s="91">
        <v>165</v>
      </c>
    </row>
    <row r="1829" spans="1:2" x14ac:dyDescent="0.2">
      <c r="A1829" t="s">
        <v>875</v>
      </c>
      <c r="B1829" s="91">
        <v>33.25</v>
      </c>
    </row>
    <row r="1830" spans="1:2" x14ac:dyDescent="0.2">
      <c r="A1830" t="s">
        <v>875</v>
      </c>
      <c r="B1830" s="91">
        <v>36.5</v>
      </c>
    </row>
    <row r="1831" spans="1:2" x14ac:dyDescent="0.2">
      <c r="A1831" t="s">
        <v>875</v>
      </c>
      <c r="B1831" s="91">
        <v>18</v>
      </c>
    </row>
    <row r="1832" spans="1:2" x14ac:dyDescent="0.2">
      <c r="A1832" t="s">
        <v>876</v>
      </c>
      <c r="B1832" s="91">
        <v>216</v>
      </c>
    </row>
    <row r="1833" spans="1:2" x14ac:dyDescent="0.2">
      <c r="A1833" t="s">
        <v>876</v>
      </c>
      <c r="B1833" s="91">
        <v>164</v>
      </c>
    </row>
    <row r="1834" spans="1:2" x14ac:dyDescent="0.2">
      <c r="A1834" t="s">
        <v>877</v>
      </c>
      <c r="B1834" s="91">
        <v>30</v>
      </c>
    </row>
    <row r="1835" spans="1:2" x14ac:dyDescent="0.2">
      <c r="A1835" t="s">
        <v>878</v>
      </c>
      <c r="B1835" s="91">
        <v>18</v>
      </c>
    </row>
    <row r="1836" spans="1:2" x14ac:dyDescent="0.2">
      <c r="A1836" t="s">
        <v>879</v>
      </c>
      <c r="B1836" s="91">
        <v>303</v>
      </c>
    </row>
    <row r="1837" spans="1:2" x14ac:dyDescent="0.2">
      <c r="A1837" t="s">
        <v>880</v>
      </c>
      <c r="B1837" s="91">
        <v>177.5</v>
      </c>
    </row>
    <row r="1838" spans="1:2" x14ac:dyDescent="0.2">
      <c r="A1838" t="s">
        <v>880</v>
      </c>
      <c r="B1838" s="91">
        <v>68.25</v>
      </c>
    </row>
    <row r="1839" spans="1:2" x14ac:dyDescent="0.2">
      <c r="A1839" t="s">
        <v>880</v>
      </c>
      <c r="B1839" s="91">
        <v>45</v>
      </c>
    </row>
    <row r="1840" spans="1:2" x14ac:dyDescent="0.2">
      <c r="A1840" t="s">
        <v>881</v>
      </c>
      <c r="B1840" s="91">
        <v>366.25</v>
      </c>
    </row>
    <row r="1841" spans="1:2" x14ac:dyDescent="0.2">
      <c r="A1841" t="s">
        <v>882</v>
      </c>
      <c r="B1841" s="91">
        <v>75</v>
      </c>
    </row>
    <row r="1842" spans="1:2" x14ac:dyDescent="0.2">
      <c r="A1842" t="s">
        <v>882</v>
      </c>
      <c r="B1842" s="91">
        <v>39.75</v>
      </c>
    </row>
    <row r="1843" spans="1:2" x14ac:dyDescent="0.2">
      <c r="A1843" t="s">
        <v>882</v>
      </c>
      <c r="B1843" s="91">
        <v>77.75</v>
      </c>
    </row>
    <row r="1844" spans="1:2" x14ac:dyDescent="0.2">
      <c r="A1844" t="s">
        <v>883</v>
      </c>
      <c r="B1844" s="91">
        <v>7.5</v>
      </c>
    </row>
    <row r="1845" spans="1:2" x14ac:dyDescent="0.2">
      <c r="A1845" t="s">
        <v>883</v>
      </c>
      <c r="B1845" s="91">
        <v>7.75</v>
      </c>
    </row>
    <row r="1846" spans="1:2" x14ac:dyDescent="0.2">
      <c r="A1846" t="s">
        <v>883</v>
      </c>
      <c r="B1846" s="91">
        <v>13.75</v>
      </c>
    </row>
    <row r="1847" spans="1:2" x14ac:dyDescent="0.2">
      <c r="A1847" t="s">
        <v>883</v>
      </c>
      <c r="B1847" s="91">
        <v>30.5</v>
      </c>
    </row>
    <row r="1848" spans="1:2" x14ac:dyDescent="0.2">
      <c r="A1848" t="s">
        <v>883</v>
      </c>
      <c r="B1848" s="91">
        <v>6.5</v>
      </c>
    </row>
    <row r="1849" spans="1:2" x14ac:dyDescent="0.2">
      <c r="A1849" t="s">
        <v>883</v>
      </c>
      <c r="B1849" s="91">
        <v>40.75</v>
      </c>
    </row>
    <row r="1850" spans="1:2" x14ac:dyDescent="0.2">
      <c r="A1850" t="s">
        <v>884</v>
      </c>
      <c r="B1850" s="91">
        <v>67.5</v>
      </c>
    </row>
    <row r="1851" spans="1:2" x14ac:dyDescent="0.2">
      <c r="A1851" t="s">
        <v>884</v>
      </c>
      <c r="B1851" s="91">
        <v>58</v>
      </c>
    </row>
    <row r="1852" spans="1:2" x14ac:dyDescent="0.2">
      <c r="A1852" t="s">
        <v>885</v>
      </c>
      <c r="B1852" s="91">
        <v>240</v>
      </c>
    </row>
    <row r="1853" spans="1:2" x14ac:dyDescent="0.2">
      <c r="A1853" t="s">
        <v>886</v>
      </c>
      <c r="B1853" s="91">
        <v>300</v>
      </c>
    </row>
    <row r="1854" spans="1:2" x14ac:dyDescent="0.2">
      <c r="A1854" t="s">
        <v>886</v>
      </c>
      <c r="B1854" s="91">
        <v>129</v>
      </c>
    </row>
    <row r="1855" spans="1:2" x14ac:dyDescent="0.2">
      <c r="A1855" t="s">
        <v>887</v>
      </c>
      <c r="B1855" s="91">
        <v>178</v>
      </c>
    </row>
    <row r="1856" spans="1:2" x14ac:dyDescent="0.2">
      <c r="A1856" t="s">
        <v>888</v>
      </c>
      <c r="B1856" s="91">
        <v>44</v>
      </c>
    </row>
    <row r="1857" spans="1:2" x14ac:dyDescent="0.2">
      <c r="A1857" t="s">
        <v>888</v>
      </c>
      <c r="B1857" s="91">
        <v>63</v>
      </c>
    </row>
    <row r="1858" spans="1:2" x14ac:dyDescent="0.2">
      <c r="A1858" t="s">
        <v>888</v>
      </c>
      <c r="B1858" s="91">
        <v>170</v>
      </c>
    </row>
    <row r="1859" spans="1:2" x14ac:dyDescent="0.2">
      <c r="A1859" t="s">
        <v>888</v>
      </c>
      <c r="B1859" s="91">
        <v>66.5</v>
      </c>
    </row>
    <row r="1860" spans="1:2" x14ac:dyDescent="0.2">
      <c r="A1860" t="s">
        <v>888</v>
      </c>
      <c r="B1860" s="91">
        <v>90</v>
      </c>
    </row>
    <row r="1861" spans="1:2" x14ac:dyDescent="0.2">
      <c r="A1861" t="s">
        <v>888</v>
      </c>
      <c r="B1861" s="91">
        <v>44.25</v>
      </c>
    </row>
    <row r="1862" spans="1:2" x14ac:dyDescent="0.2">
      <c r="A1862" t="s">
        <v>888</v>
      </c>
      <c r="B1862" s="91">
        <v>36</v>
      </c>
    </row>
    <row r="1863" spans="1:2" x14ac:dyDescent="0.2">
      <c r="A1863" t="s">
        <v>888</v>
      </c>
      <c r="B1863" s="91">
        <v>139.75</v>
      </c>
    </row>
    <row r="1864" spans="1:2" x14ac:dyDescent="0.2">
      <c r="A1864" t="s">
        <v>888</v>
      </c>
      <c r="B1864" s="91">
        <v>42</v>
      </c>
    </row>
    <row r="1865" spans="1:2" x14ac:dyDescent="0.2">
      <c r="A1865" t="s">
        <v>888</v>
      </c>
      <c r="B1865" s="91">
        <v>26.75</v>
      </c>
    </row>
    <row r="1866" spans="1:2" x14ac:dyDescent="0.2">
      <c r="A1866" t="s">
        <v>888</v>
      </c>
      <c r="B1866" s="91">
        <v>21</v>
      </c>
    </row>
    <row r="1867" spans="1:2" x14ac:dyDescent="0.2">
      <c r="A1867" t="s">
        <v>888</v>
      </c>
      <c r="B1867" s="91">
        <v>-27.659999999999997</v>
      </c>
    </row>
    <row r="1868" spans="1:2" x14ac:dyDescent="0.2">
      <c r="A1868" t="s">
        <v>888</v>
      </c>
      <c r="B1868" s="91">
        <v>165</v>
      </c>
    </row>
    <row r="1869" spans="1:2" x14ac:dyDescent="0.2">
      <c r="A1869" t="s">
        <v>889</v>
      </c>
      <c r="B1869" s="91">
        <v>36.5</v>
      </c>
    </row>
    <row r="1870" spans="1:2" x14ac:dyDescent="0.2">
      <c r="A1870" t="s">
        <v>890</v>
      </c>
      <c r="B1870" s="91">
        <v>27.25</v>
      </c>
    </row>
    <row r="1871" spans="1:2" x14ac:dyDescent="0.2">
      <c r="A1871" t="s">
        <v>891</v>
      </c>
      <c r="B1871" s="91">
        <v>20</v>
      </c>
    </row>
    <row r="1872" spans="1:2" x14ac:dyDescent="0.2">
      <c r="A1872" t="s">
        <v>891</v>
      </c>
      <c r="B1872" s="91">
        <v>10</v>
      </c>
    </row>
    <row r="1873" spans="1:2" x14ac:dyDescent="0.2">
      <c r="A1873" t="s">
        <v>892</v>
      </c>
      <c r="B1873" s="91">
        <v>67.5</v>
      </c>
    </row>
    <row r="1874" spans="1:2" x14ac:dyDescent="0.2">
      <c r="A1874" t="s">
        <v>892</v>
      </c>
      <c r="B1874" s="91">
        <v>26.25</v>
      </c>
    </row>
    <row r="1875" spans="1:2" x14ac:dyDescent="0.2">
      <c r="A1875" t="s">
        <v>893</v>
      </c>
      <c r="B1875" s="91">
        <v>18.5</v>
      </c>
    </row>
    <row r="1876" spans="1:2" x14ac:dyDescent="0.2">
      <c r="A1876" t="s">
        <v>894</v>
      </c>
      <c r="B1876" s="91">
        <v>14.75</v>
      </c>
    </row>
    <row r="1877" spans="1:2" x14ac:dyDescent="0.2">
      <c r="A1877" t="s">
        <v>895</v>
      </c>
      <c r="B1877" s="91">
        <v>720</v>
      </c>
    </row>
    <row r="1878" spans="1:2" x14ac:dyDescent="0.2">
      <c r="A1878" t="s">
        <v>896</v>
      </c>
      <c r="B1878" s="91">
        <v>30</v>
      </c>
    </row>
    <row r="1879" spans="1:2" x14ac:dyDescent="0.2">
      <c r="A1879" t="s">
        <v>896</v>
      </c>
      <c r="B1879" s="91">
        <v>14.75</v>
      </c>
    </row>
    <row r="1880" spans="1:2" x14ac:dyDescent="0.2">
      <c r="A1880" t="s">
        <v>897</v>
      </c>
      <c r="B1880" s="91">
        <v>44.25</v>
      </c>
    </row>
    <row r="1881" spans="1:2" x14ac:dyDescent="0.2">
      <c r="A1881" t="s">
        <v>897</v>
      </c>
      <c r="B1881" s="91">
        <v>54</v>
      </c>
    </row>
    <row r="1882" spans="1:2" x14ac:dyDescent="0.2">
      <c r="A1882" t="s">
        <v>897</v>
      </c>
      <c r="B1882" s="91">
        <v>60.5</v>
      </c>
    </row>
    <row r="1883" spans="1:2" x14ac:dyDescent="0.2">
      <c r="A1883" t="s">
        <v>897</v>
      </c>
      <c r="B1883" s="91">
        <v>77.75</v>
      </c>
    </row>
    <row r="1884" spans="1:2" x14ac:dyDescent="0.2">
      <c r="A1884" t="s">
        <v>898</v>
      </c>
      <c r="B1884" s="91">
        <v>810</v>
      </c>
    </row>
    <row r="1885" spans="1:2" x14ac:dyDescent="0.2">
      <c r="A1885" t="s">
        <v>898</v>
      </c>
      <c r="B1885" s="91">
        <v>648</v>
      </c>
    </row>
    <row r="1886" spans="1:2" x14ac:dyDescent="0.2">
      <c r="A1886" t="s">
        <v>898</v>
      </c>
      <c r="B1886" s="91">
        <v>300</v>
      </c>
    </row>
    <row r="1887" spans="1:2" x14ac:dyDescent="0.2">
      <c r="A1887" t="s">
        <v>898</v>
      </c>
      <c r="B1887" s="91">
        <v>279</v>
      </c>
    </row>
    <row r="1888" spans="1:2" x14ac:dyDescent="0.2">
      <c r="A1888" t="s">
        <v>899</v>
      </c>
      <c r="B1888" s="91">
        <v>356</v>
      </c>
    </row>
    <row r="1889" spans="1:2" x14ac:dyDescent="0.2">
      <c r="A1889" t="s">
        <v>900</v>
      </c>
      <c r="B1889" s="91">
        <v>45</v>
      </c>
    </row>
    <row r="1890" spans="1:2" x14ac:dyDescent="0.2">
      <c r="A1890" t="s">
        <v>901</v>
      </c>
      <c r="B1890" s="91">
        <v>14.25</v>
      </c>
    </row>
    <row r="1891" spans="1:2" x14ac:dyDescent="0.2">
      <c r="A1891" t="s">
        <v>902</v>
      </c>
      <c r="B1891" s="91">
        <v>27.25</v>
      </c>
    </row>
    <row r="1892" spans="1:2" x14ac:dyDescent="0.2">
      <c r="A1892" t="s">
        <v>902</v>
      </c>
      <c r="B1892" s="91">
        <v>26.25</v>
      </c>
    </row>
    <row r="1893" spans="1:2" x14ac:dyDescent="0.2">
      <c r="A1893" t="s">
        <v>903</v>
      </c>
      <c r="B1893" s="91">
        <v>24</v>
      </c>
    </row>
    <row r="1894" spans="1:2" x14ac:dyDescent="0.2">
      <c r="A1894" t="s">
        <v>904</v>
      </c>
      <c r="B1894" s="91">
        <v>81.5</v>
      </c>
    </row>
    <row r="1895" spans="1:2" x14ac:dyDescent="0.2">
      <c r="A1895" t="s">
        <v>904</v>
      </c>
      <c r="B1895" s="91">
        <v>10</v>
      </c>
    </row>
    <row r="1896" spans="1:2" x14ac:dyDescent="0.2">
      <c r="A1896" t="s">
        <v>904</v>
      </c>
      <c r="B1896" s="91">
        <v>10</v>
      </c>
    </row>
    <row r="1897" spans="1:2" x14ac:dyDescent="0.2">
      <c r="A1897" t="s">
        <v>904</v>
      </c>
      <c r="B1897" s="91">
        <v>17.5</v>
      </c>
    </row>
    <row r="1898" spans="1:2" x14ac:dyDescent="0.2">
      <c r="A1898" t="s">
        <v>905</v>
      </c>
      <c r="B1898" s="91">
        <v>20.25</v>
      </c>
    </row>
    <row r="1899" spans="1:2" x14ac:dyDescent="0.2">
      <c r="A1899" t="s">
        <v>905</v>
      </c>
      <c r="B1899" s="91">
        <v>66</v>
      </c>
    </row>
    <row r="1900" spans="1:2" x14ac:dyDescent="0.2">
      <c r="A1900" t="s">
        <v>905</v>
      </c>
      <c r="B1900" s="91">
        <v>6.75</v>
      </c>
    </row>
    <row r="1901" spans="1:2" x14ac:dyDescent="0.2">
      <c r="A1901" t="s">
        <v>906</v>
      </c>
      <c r="B1901" s="91">
        <v>30</v>
      </c>
    </row>
    <row r="1902" spans="1:2" x14ac:dyDescent="0.2">
      <c r="A1902" t="s">
        <v>907</v>
      </c>
      <c r="B1902" s="91">
        <v>297</v>
      </c>
    </row>
    <row r="1903" spans="1:2" x14ac:dyDescent="0.2">
      <c r="A1903" t="s">
        <v>907</v>
      </c>
      <c r="B1903" s="91">
        <v>120</v>
      </c>
    </row>
    <row r="1904" spans="1:2" x14ac:dyDescent="0.2">
      <c r="A1904" t="s">
        <v>907</v>
      </c>
      <c r="B1904" s="91">
        <v>120</v>
      </c>
    </row>
    <row r="1905" spans="1:2" x14ac:dyDescent="0.2">
      <c r="A1905" t="s">
        <v>907</v>
      </c>
      <c r="B1905" s="91">
        <v>81</v>
      </c>
    </row>
    <row r="1906" spans="1:2" x14ac:dyDescent="0.2">
      <c r="A1906" t="s">
        <v>908</v>
      </c>
      <c r="B1906" s="91">
        <v>297</v>
      </c>
    </row>
    <row r="1907" spans="1:2" x14ac:dyDescent="0.2">
      <c r="A1907" t="s">
        <v>908</v>
      </c>
      <c r="B1907" s="91">
        <v>150</v>
      </c>
    </row>
    <row r="1908" spans="1:2" x14ac:dyDescent="0.2">
      <c r="A1908" t="s">
        <v>908</v>
      </c>
      <c r="B1908" s="91">
        <v>137</v>
      </c>
    </row>
    <row r="1909" spans="1:2" x14ac:dyDescent="0.2">
      <c r="A1909" t="s">
        <v>909</v>
      </c>
      <c r="B1909" s="91">
        <v>22</v>
      </c>
    </row>
    <row r="1910" spans="1:2" x14ac:dyDescent="0.2">
      <c r="A1910" t="s">
        <v>910</v>
      </c>
      <c r="B1910" s="91">
        <v>297</v>
      </c>
    </row>
    <row r="1911" spans="1:2" x14ac:dyDescent="0.2">
      <c r="A1911" t="s">
        <v>910</v>
      </c>
      <c r="B1911" s="91">
        <v>227</v>
      </c>
    </row>
    <row r="1912" spans="1:2" x14ac:dyDescent="0.2">
      <c r="A1912" t="s">
        <v>911</v>
      </c>
      <c r="B1912" s="91">
        <v>6.75</v>
      </c>
    </row>
    <row r="1913" spans="1:2" x14ac:dyDescent="0.2">
      <c r="A1913" t="s">
        <v>911</v>
      </c>
      <c r="B1913" s="91">
        <v>6.75</v>
      </c>
    </row>
    <row r="1914" spans="1:2" x14ac:dyDescent="0.2">
      <c r="A1914" t="s">
        <v>911</v>
      </c>
      <c r="B1914" s="91">
        <v>67.5</v>
      </c>
    </row>
    <row r="1915" spans="1:2" x14ac:dyDescent="0.2">
      <c r="A1915" t="s">
        <v>912</v>
      </c>
      <c r="B1915" s="91">
        <v>10</v>
      </c>
    </row>
    <row r="1916" spans="1:2" x14ac:dyDescent="0.2">
      <c r="A1916" t="s">
        <v>913</v>
      </c>
      <c r="B1916" s="91">
        <v>67.5</v>
      </c>
    </row>
    <row r="1917" spans="1:2" x14ac:dyDescent="0.2">
      <c r="A1917" t="s">
        <v>914</v>
      </c>
      <c r="B1917" s="91">
        <v>5</v>
      </c>
    </row>
    <row r="1918" spans="1:2" x14ac:dyDescent="0.2">
      <c r="A1918" t="s">
        <v>915</v>
      </c>
      <c r="B1918" s="91">
        <v>72.5</v>
      </c>
    </row>
    <row r="1919" spans="1:2" x14ac:dyDescent="0.2">
      <c r="A1919" t="s">
        <v>916</v>
      </c>
      <c r="B1919" s="91">
        <v>163</v>
      </c>
    </row>
    <row r="1920" spans="1:2" x14ac:dyDescent="0.2">
      <c r="A1920" t="s">
        <v>916</v>
      </c>
      <c r="B1920" s="91">
        <v>40.75</v>
      </c>
    </row>
    <row r="1921" spans="1:2" x14ac:dyDescent="0.2">
      <c r="A1921" t="s">
        <v>916</v>
      </c>
      <c r="B1921" s="91">
        <v>88.14</v>
      </c>
    </row>
    <row r="1922" spans="1:2" x14ac:dyDescent="0.2">
      <c r="A1922" t="s">
        <v>917</v>
      </c>
      <c r="B1922" s="91">
        <v>7.5</v>
      </c>
    </row>
    <row r="1923" spans="1:2" x14ac:dyDescent="0.2">
      <c r="A1923" t="s">
        <v>918</v>
      </c>
      <c r="B1923" s="91">
        <v>380</v>
      </c>
    </row>
    <row r="1924" spans="1:2" x14ac:dyDescent="0.2">
      <c r="A1924" t="s">
        <v>919</v>
      </c>
      <c r="B1924" s="91">
        <v>22.25</v>
      </c>
    </row>
    <row r="1925" spans="1:2" x14ac:dyDescent="0.2">
      <c r="A1925" t="s">
        <v>920</v>
      </c>
      <c r="B1925" s="91">
        <v>13.75</v>
      </c>
    </row>
    <row r="1926" spans="1:2" x14ac:dyDescent="0.2">
      <c r="A1926" t="s">
        <v>920</v>
      </c>
      <c r="B1926" s="91">
        <v>9</v>
      </c>
    </row>
    <row r="1927" spans="1:2" x14ac:dyDescent="0.2">
      <c r="A1927" t="s">
        <v>921</v>
      </c>
      <c r="B1927" s="91">
        <v>65.5</v>
      </c>
    </row>
    <row r="1928" spans="1:2" x14ac:dyDescent="0.2">
      <c r="A1928" t="s">
        <v>921</v>
      </c>
      <c r="B1928" s="91">
        <v>41.25</v>
      </c>
    </row>
    <row r="1929" spans="1:2" x14ac:dyDescent="0.2">
      <c r="A1929" t="s">
        <v>921</v>
      </c>
      <c r="B1929" s="91">
        <v>22.5</v>
      </c>
    </row>
    <row r="1930" spans="1:2" x14ac:dyDescent="0.2">
      <c r="A1930" t="s">
        <v>922</v>
      </c>
      <c r="B1930" s="91">
        <v>8.75</v>
      </c>
    </row>
    <row r="1931" spans="1:2" x14ac:dyDescent="0.2">
      <c r="A1931" t="s">
        <v>922</v>
      </c>
      <c r="B1931" s="91">
        <v>13.75</v>
      </c>
    </row>
    <row r="1932" spans="1:2" x14ac:dyDescent="0.2">
      <c r="A1932" t="s">
        <v>923</v>
      </c>
      <c r="B1932" s="91">
        <v>10</v>
      </c>
    </row>
    <row r="1933" spans="1:2" x14ac:dyDescent="0.2">
      <c r="A1933" t="s">
        <v>923</v>
      </c>
      <c r="B1933" s="91">
        <v>8.5</v>
      </c>
    </row>
    <row r="1934" spans="1:2" x14ac:dyDescent="0.2">
      <c r="A1934" t="s">
        <v>924</v>
      </c>
      <c r="B1934" s="91">
        <v>262</v>
      </c>
    </row>
    <row r="1935" spans="1:2" x14ac:dyDescent="0.2">
      <c r="A1935" t="s">
        <v>925</v>
      </c>
      <c r="B1935" s="91">
        <v>9</v>
      </c>
    </row>
    <row r="1936" spans="1:2" x14ac:dyDescent="0.2">
      <c r="A1936" t="s">
        <v>926</v>
      </c>
      <c r="B1936" s="91">
        <v>1584</v>
      </c>
    </row>
    <row r="1937" spans="1:2" x14ac:dyDescent="0.2">
      <c r="A1937" t="s">
        <v>927</v>
      </c>
      <c r="B1937" s="91">
        <v>85.75</v>
      </c>
    </row>
    <row r="1938" spans="1:2" x14ac:dyDescent="0.2">
      <c r="A1938" t="s">
        <v>927</v>
      </c>
      <c r="B1938" s="91">
        <v>22.75</v>
      </c>
    </row>
    <row r="1939" spans="1:2" x14ac:dyDescent="0.2">
      <c r="A1939" t="s">
        <v>927</v>
      </c>
      <c r="B1939" s="91">
        <v>22.5</v>
      </c>
    </row>
    <row r="1940" spans="1:2" x14ac:dyDescent="0.2">
      <c r="A1940" t="s">
        <v>928</v>
      </c>
      <c r="B1940" s="91">
        <v>297</v>
      </c>
    </row>
    <row r="1941" spans="1:2" x14ac:dyDescent="0.2">
      <c r="A1941" t="s">
        <v>928</v>
      </c>
      <c r="B1941" s="91">
        <v>148.5</v>
      </c>
    </row>
    <row r="1942" spans="1:2" x14ac:dyDescent="0.2">
      <c r="A1942" t="s">
        <v>928</v>
      </c>
      <c r="B1942" s="91">
        <v>327.5</v>
      </c>
    </row>
    <row r="1943" spans="1:2" x14ac:dyDescent="0.2">
      <c r="A1943" t="s">
        <v>929</v>
      </c>
      <c r="B1943" s="91">
        <v>297</v>
      </c>
    </row>
    <row r="1944" spans="1:2" x14ac:dyDescent="0.2">
      <c r="A1944" t="s">
        <v>929</v>
      </c>
      <c r="B1944" s="91">
        <v>143</v>
      </c>
    </row>
    <row r="1945" spans="1:2" x14ac:dyDescent="0.2">
      <c r="A1945" t="s">
        <v>930</v>
      </c>
      <c r="B1945" s="91">
        <v>21</v>
      </c>
    </row>
    <row r="1946" spans="1:2" x14ac:dyDescent="0.2">
      <c r="A1946" t="s">
        <v>931</v>
      </c>
      <c r="B1946" s="91">
        <v>7.5</v>
      </c>
    </row>
    <row r="1947" spans="1:2" x14ac:dyDescent="0.2">
      <c r="A1947" t="s">
        <v>932</v>
      </c>
      <c r="B1947" s="91">
        <v>67</v>
      </c>
    </row>
    <row r="1948" spans="1:2" x14ac:dyDescent="0.2">
      <c r="A1948" t="s">
        <v>932</v>
      </c>
      <c r="B1948" s="91">
        <v>6.75</v>
      </c>
    </row>
    <row r="1949" spans="1:2" x14ac:dyDescent="0.2">
      <c r="A1949" t="s">
        <v>932</v>
      </c>
      <c r="B1949" s="91">
        <v>291.25</v>
      </c>
    </row>
    <row r="1950" spans="1:2" x14ac:dyDescent="0.2">
      <c r="A1950" t="s">
        <v>932</v>
      </c>
      <c r="B1950" s="91">
        <v>23</v>
      </c>
    </row>
    <row r="1951" spans="1:2" x14ac:dyDescent="0.2">
      <c r="A1951" t="s">
        <v>932</v>
      </c>
      <c r="B1951" s="91">
        <v>24.75</v>
      </c>
    </row>
    <row r="1952" spans="1:2" x14ac:dyDescent="0.2">
      <c r="A1952" t="s">
        <v>932</v>
      </c>
      <c r="B1952" s="91">
        <v>26.71</v>
      </c>
    </row>
    <row r="1953" spans="1:2" x14ac:dyDescent="0.2">
      <c r="A1953" t="s">
        <v>932</v>
      </c>
      <c r="B1953" s="91">
        <v>18</v>
      </c>
    </row>
    <row r="1954" spans="1:2" x14ac:dyDescent="0.2">
      <c r="A1954" t="s">
        <v>932</v>
      </c>
      <c r="B1954" s="91">
        <v>45</v>
      </c>
    </row>
    <row r="1955" spans="1:2" x14ac:dyDescent="0.2">
      <c r="A1955" t="s">
        <v>932</v>
      </c>
      <c r="B1955" s="91">
        <v>166</v>
      </c>
    </row>
    <row r="1956" spans="1:2" x14ac:dyDescent="0.2">
      <c r="A1956" t="s">
        <v>932</v>
      </c>
      <c r="B1956" s="91">
        <v>52</v>
      </c>
    </row>
    <row r="1957" spans="1:2" x14ac:dyDescent="0.2">
      <c r="A1957" t="s">
        <v>932</v>
      </c>
      <c r="B1957" s="91">
        <v>130.75</v>
      </c>
    </row>
    <row r="1958" spans="1:2" x14ac:dyDescent="0.2">
      <c r="A1958" t="s">
        <v>932</v>
      </c>
      <c r="B1958" s="91">
        <v>136.5</v>
      </c>
    </row>
    <row r="1959" spans="1:2" x14ac:dyDescent="0.2">
      <c r="A1959" t="s">
        <v>932</v>
      </c>
      <c r="B1959" s="91">
        <v>88.5</v>
      </c>
    </row>
    <row r="1960" spans="1:2" x14ac:dyDescent="0.2">
      <c r="A1960" t="s">
        <v>932</v>
      </c>
      <c r="B1960" s="91">
        <v>39.5</v>
      </c>
    </row>
    <row r="1961" spans="1:2" x14ac:dyDescent="0.2">
      <c r="A1961" t="s">
        <v>932</v>
      </c>
      <c r="B1961" s="91">
        <v>44</v>
      </c>
    </row>
    <row r="1962" spans="1:2" x14ac:dyDescent="0.2">
      <c r="A1962" t="s">
        <v>932</v>
      </c>
      <c r="B1962" s="91">
        <v>36.5</v>
      </c>
    </row>
    <row r="1963" spans="1:2" x14ac:dyDescent="0.2">
      <c r="A1963" t="s">
        <v>932</v>
      </c>
      <c r="B1963" s="91">
        <v>39.5</v>
      </c>
    </row>
    <row r="1964" spans="1:2" x14ac:dyDescent="0.2">
      <c r="A1964" t="s">
        <v>932</v>
      </c>
      <c r="B1964" s="91">
        <v>64.75</v>
      </c>
    </row>
    <row r="1965" spans="1:2" x14ac:dyDescent="0.2">
      <c r="A1965" t="s">
        <v>932</v>
      </c>
      <c r="B1965" s="91">
        <v>68.5</v>
      </c>
    </row>
    <row r="1966" spans="1:2" x14ac:dyDescent="0.2">
      <c r="A1966" t="s">
        <v>932</v>
      </c>
      <c r="B1966" s="91">
        <v>7.5</v>
      </c>
    </row>
    <row r="1967" spans="1:2" x14ac:dyDescent="0.2">
      <c r="A1967" t="s">
        <v>932</v>
      </c>
      <c r="B1967" s="91">
        <v>1056</v>
      </c>
    </row>
    <row r="1968" spans="1:2" x14ac:dyDescent="0.2">
      <c r="A1968" t="s">
        <v>932</v>
      </c>
      <c r="B1968" s="91">
        <v>1056</v>
      </c>
    </row>
    <row r="1969" spans="1:2" x14ac:dyDescent="0.2">
      <c r="A1969" t="s">
        <v>932</v>
      </c>
      <c r="B1969" s="91">
        <v>648</v>
      </c>
    </row>
    <row r="1970" spans="1:2" x14ac:dyDescent="0.2">
      <c r="A1970" t="s">
        <v>932</v>
      </c>
      <c r="B1970" s="91">
        <v>93.25</v>
      </c>
    </row>
    <row r="1971" spans="1:2" x14ac:dyDescent="0.2">
      <c r="A1971" t="s">
        <v>932</v>
      </c>
      <c r="B1971" s="91">
        <v>33.75</v>
      </c>
    </row>
    <row r="1972" spans="1:2" x14ac:dyDescent="0.2">
      <c r="A1972" t="s">
        <v>932</v>
      </c>
      <c r="B1972" s="91">
        <v>33.75</v>
      </c>
    </row>
    <row r="1973" spans="1:2" x14ac:dyDescent="0.2">
      <c r="A1973" t="s">
        <v>932</v>
      </c>
      <c r="B1973" s="91">
        <v>23</v>
      </c>
    </row>
    <row r="1974" spans="1:2" x14ac:dyDescent="0.2">
      <c r="A1974" t="s">
        <v>933</v>
      </c>
      <c r="B1974" s="91">
        <v>240</v>
      </c>
    </row>
    <row r="1975" spans="1:2" x14ac:dyDescent="0.2">
      <c r="A1975" t="s">
        <v>933</v>
      </c>
      <c r="B1975" s="91">
        <v>116</v>
      </c>
    </row>
    <row r="1976" spans="1:2" x14ac:dyDescent="0.2">
      <c r="A1976" t="s">
        <v>934</v>
      </c>
      <c r="B1976" s="91">
        <v>36</v>
      </c>
    </row>
    <row r="1977" spans="1:2" x14ac:dyDescent="0.2">
      <c r="A1977" t="s">
        <v>934</v>
      </c>
      <c r="B1977" s="91">
        <v>20</v>
      </c>
    </row>
    <row r="1978" spans="1:2" x14ac:dyDescent="0.2">
      <c r="A1978" t="s">
        <v>934</v>
      </c>
      <c r="B1978" s="91">
        <v>20.5</v>
      </c>
    </row>
    <row r="1979" spans="1:2" x14ac:dyDescent="0.2">
      <c r="A1979" t="s">
        <v>934</v>
      </c>
      <c r="B1979" s="91">
        <v>166</v>
      </c>
    </row>
    <row r="1980" spans="1:2" x14ac:dyDescent="0.2">
      <c r="A1980" t="s">
        <v>935</v>
      </c>
      <c r="B1980" s="91">
        <v>20.75</v>
      </c>
    </row>
    <row r="1981" spans="1:2" x14ac:dyDescent="0.2">
      <c r="A1981" t="s">
        <v>935</v>
      </c>
      <c r="B1981" s="91">
        <v>85.5</v>
      </c>
    </row>
    <row r="1982" spans="1:2" x14ac:dyDescent="0.2">
      <c r="A1982" t="s">
        <v>936</v>
      </c>
      <c r="B1982" s="91">
        <v>39.5</v>
      </c>
    </row>
    <row r="1983" spans="1:2" x14ac:dyDescent="0.2">
      <c r="A1983" t="s">
        <v>936</v>
      </c>
      <c r="B1983" s="91">
        <v>66.5</v>
      </c>
    </row>
    <row r="1984" spans="1:2" x14ac:dyDescent="0.2">
      <c r="A1984" t="s">
        <v>937</v>
      </c>
      <c r="B1984" s="91">
        <v>10</v>
      </c>
    </row>
    <row r="1985" spans="1:2" x14ac:dyDescent="0.2">
      <c r="A1985" t="s">
        <v>938</v>
      </c>
      <c r="B1985" s="91">
        <v>262</v>
      </c>
    </row>
    <row r="1986" spans="1:2" x14ac:dyDescent="0.2">
      <c r="A1986" t="s">
        <v>939</v>
      </c>
      <c r="B1986" s="91">
        <v>21.75</v>
      </c>
    </row>
    <row r="1987" spans="1:2" x14ac:dyDescent="0.2">
      <c r="A1987" t="s">
        <v>940</v>
      </c>
      <c r="B1987" s="91">
        <v>145</v>
      </c>
    </row>
    <row r="1988" spans="1:2" x14ac:dyDescent="0.2">
      <c r="A1988" t="s">
        <v>940</v>
      </c>
      <c r="B1988" s="91">
        <v>43.5</v>
      </c>
    </row>
    <row r="1989" spans="1:2" x14ac:dyDescent="0.2">
      <c r="A1989" t="s">
        <v>941</v>
      </c>
      <c r="B1989" s="91">
        <v>8.75</v>
      </c>
    </row>
    <row r="1990" spans="1:2" x14ac:dyDescent="0.2">
      <c r="A1990" t="s">
        <v>942</v>
      </c>
      <c r="B1990" s="91">
        <v>5</v>
      </c>
    </row>
    <row r="1991" spans="1:2" x14ac:dyDescent="0.2">
      <c r="A1991" t="s">
        <v>943</v>
      </c>
      <c r="B1991" s="91">
        <v>297</v>
      </c>
    </row>
    <row r="1992" spans="1:2" x14ac:dyDescent="0.2">
      <c r="A1992" t="s">
        <v>943</v>
      </c>
      <c r="B1992" s="91">
        <v>297</v>
      </c>
    </row>
    <row r="1993" spans="1:2" x14ac:dyDescent="0.2">
      <c r="A1993" t="s">
        <v>943</v>
      </c>
      <c r="B1993" s="91">
        <v>216</v>
      </c>
    </row>
    <row r="1994" spans="1:2" x14ac:dyDescent="0.2">
      <c r="A1994" t="s">
        <v>943</v>
      </c>
      <c r="B1994" s="91">
        <v>94</v>
      </c>
    </row>
    <row r="1995" spans="1:2" x14ac:dyDescent="0.2">
      <c r="A1995" t="s">
        <v>944</v>
      </c>
      <c r="B1995" s="91">
        <v>148.5</v>
      </c>
    </row>
    <row r="1996" spans="1:2" x14ac:dyDescent="0.2">
      <c r="A1996" t="s">
        <v>944</v>
      </c>
      <c r="B1996" s="91">
        <v>148.5</v>
      </c>
    </row>
    <row r="1997" spans="1:2" x14ac:dyDescent="0.2">
      <c r="A1997" t="s">
        <v>944</v>
      </c>
      <c r="B1997" s="91">
        <v>216</v>
      </c>
    </row>
    <row r="1998" spans="1:2" x14ac:dyDescent="0.2">
      <c r="A1998" t="s">
        <v>944</v>
      </c>
      <c r="B1998" s="91">
        <v>150</v>
      </c>
    </row>
    <row r="1999" spans="1:2" x14ac:dyDescent="0.2">
      <c r="A1999" t="s">
        <v>944</v>
      </c>
      <c r="B1999" s="91">
        <v>222</v>
      </c>
    </row>
    <row r="2000" spans="1:2" x14ac:dyDescent="0.2">
      <c r="A2000" t="s">
        <v>944</v>
      </c>
      <c r="B2000" s="91">
        <v>21</v>
      </c>
    </row>
    <row r="2001" spans="1:2" x14ac:dyDescent="0.2">
      <c r="A2001" t="s">
        <v>945</v>
      </c>
      <c r="B2001" s="91">
        <v>18</v>
      </c>
    </row>
    <row r="2002" spans="1:2" x14ac:dyDescent="0.2">
      <c r="A2002" t="s">
        <v>945</v>
      </c>
      <c r="B2002" s="91">
        <v>36.33</v>
      </c>
    </row>
    <row r="2003" spans="1:2" x14ac:dyDescent="0.2">
      <c r="A2003" t="s">
        <v>945</v>
      </c>
      <c r="B2003" s="91">
        <v>21</v>
      </c>
    </row>
    <row r="2004" spans="1:2" x14ac:dyDescent="0.2">
      <c r="A2004" t="s">
        <v>946</v>
      </c>
      <c r="B2004" s="91">
        <v>5</v>
      </c>
    </row>
    <row r="2005" spans="1:2" x14ac:dyDescent="0.2">
      <c r="A2005" t="s">
        <v>947</v>
      </c>
      <c r="B2005" s="91">
        <v>356</v>
      </c>
    </row>
    <row r="2006" spans="1:2" x14ac:dyDescent="0.2">
      <c r="A2006" t="s">
        <v>948</v>
      </c>
      <c r="B2006" s="91">
        <v>1</v>
      </c>
    </row>
    <row r="2007" spans="1:2" x14ac:dyDescent="0.2">
      <c r="A2007" t="s">
        <v>948</v>
      </c>
      <c r="B2007" s="91">
        <v>1</v>
      </c>
    </row>
    <row r="2008" spans="1:2" x14ac:dyDescent="0.2">
      <c r="A2008" t="s">
        <v>949</v>
      </c>
      <c r="B2008" s="91">
        <v>67.5</v>
      </c>
    </row>
    <row r="2009" spans="1:2" x14ac:dyDescent="0.2">
      <c r="A2009" t="s">
        <v>949</v>
      </c>
      <c r="B2009" s="91">
        <v>67.5</v>
      </c>
    </row>
    <row r="2010" spans="1:2" x14ac:dyDescent="0.2">
      <c r="A2010" t="s">
        <v>949</v>
      </c>
      <c r="B2010" s="91">
        <v>67.5</v>
      </c>
    </row>
    <row r="2011" spans="1:2" x14ac:dyDescent="0.2">
      <c r="A2011" t="s">
        <v>950</v>
      </c>
      <c r="B2011" s="91">
        <v>45.5</v>
      </c>
    </row>
    <row r="2012" spans="1:2" x14ac:dyDescent="0.2">
      <c r="A2012" t="s">
        <v>951</v>
      </c>
      <c r="B2012" s="91">
        <v>261.75</v>
      </c>
    </row>
    <row r="2013" spans="1:2" x14ac:dyDescent="0.2">
      <c r="A2013" t="s">
        <v>952</v>
      </c>
      <c r="B2013" s="91">
        <v>50</v>
      </c>
    </row>
    <row r="2014" spans="1:2" x14ac:dyDescent="0.2">
      <c r="A2014" t="s">
        <v>953</v>
      </c>
      <c r="B2014" s="91">
        <v>149</v>
      </c>
    </row>
    <row r="2015" spans="1:2" x14ac:dyDescent="0.2">
      <c r="A2015" t="s">
        <v>954</v>
      </c>
      <c r="B2015" s="91">
        <v>54</v>
      </c>
    </row>
    <row r="2016" spans="1:2" x14ac:dyDescent="0.2">
      <c r="A2016" t="s">
        <v>954</v>
      </c>
      <c r="B2016" s="91">
        <v>36</v>
      </c>
    </row>
    <row r="2017" spans="1:2" x14ac:dyDescent="0.2">
      <c r="A2017" t="s">
        <v>955</v>
      </c>
      <c r="B2017" s="91">
        <v>37.5</v>
      </c>
    </row>
    <row r="2018" spans="1:2" x14ac:dyDescent="0.2">
      <c r="A2018" t="s">
        <v>955</v>
      </c>
      <c r="B2018" s="91">
        <v>45</v>
      </c>
    </row>
    <row r="2019" spans="1:2" x14ac:dyDescent="0.2">
      <c r="A2019" t="s">
        <v>956</v>
      </c>
      <c r="B2019" s="91">
        <v>138</v>
      </c>
    </row>
    <row r="2020" spans="1:2" x14ac:dyDescent="0.2">
      <c r="A2020" t="s">
        <v>956</v>
      </c>
      <c r="B2020" s="91">
        <v>49.5</v>
      </c>
    </row>
    <row r="2021" spans="1:2" x14ac:dyDescent="0.2">
      <c r="A2021" t="s">
        <v>957</v>
      </c>
      <c r="B2021" s="91">
        <v>216</v>
      </c>
    </row>
    <row r="2022" spans="1:2" x14ac:dyDescent="0.2">
      <c r="A2022" t="s">
        <v>957</v>
      </c>
      <c r="B2022" s="91">
        <v>120</v>
      </c>
    </row>
    <row r="2023" spans="1:2" x14ac:dyDescent="0.2">
      <c r="A2023" t="s">
        <v>957</v>
      </c>
      <c r="B2023" s="91">
        <v>120</v>
      </c>
    </row>
    <row r="2024" spans="1:2" x14ac:dyDescent="0.2">
      <c r="A2024" t="s">
        <v>957</v>
      </c>
      <c r="B2024" s="91">
        <v>174</v>
      </c>
    </row>
    <row r="2025" spans="1:2" x14ac:dyDescent="0.2">
      <c r="A2025" t="s">
        <v>958</v>
      </c>
      <c r="B2025" s="91">
        <v>135</v>
      </c>
    </row>
    <row r="2026" spans="1:2" x14ac:dyDescent="0.2">
      <c r="A2026" t="s">
        <v>959</v>
      </c>
      <c r="B2026" s="91">
        <v>225.32</v>
      </c>
    </row>
    <row r="2027" spans="1:2" x14ac:dyDescent="0.2">
      <c r="A2027" t="s">
        <v>960</v>
      </c>
      <c r="B2027" s="91">
        <v>297</v>
      </c>
    </row>
    <row r="2028" spans="1:2" x14ac:dyDescent="0.2">
      <c r="A2028" t="s">
        <v>960</v>
      </c>
      <c r="B2028" s="91">
        <v>120</v>
      </c>
    </row>
    <row r="2029" spans="1:2" x14ac:dyDescent="0.2">
      <c r="A2029" t="s">
        <v>960</v>
      </c>
      <c r="B2029" s="91">
        <v>120</v>
      </c>
    </row>
    <row r="2030" spans="1:2" x14ac:dyDescent="0.2">
      <c r="A2030" t="s">
        <v>960</v>
      </c>
      <c r="B2030" s="91">
        <v>93</v>
      </c>
    </row>
    <row r="2031" spans="1:2" x14ac:dyDescent="0.2">
      <c r="A2031" t="s">
        <v>961</v>
      </c>
      <c r="B2031" s="91">
        <v>18</v>
      </c>
    </row>
    <row r="2032" spans="1:2" x14ac:dyDescent="0.2">
      <c r="A2032" t="s">
        <v>962</v>
      </c>
      <c r="B2032" s="91">
        <v>31.5</v>
      </c>
    </row>
    <row r="2033" spans="1:2" x14ac:dyDescent="0.2">
      <c r="A2033" t="s">
        <v>963</v>
      </c>
      <c r="B2033" s="91">
        <v>360</v>
      </c>
    </row>
    <row r="2034" spans="1:2" x14ac:dyDescent="0.2">
      <c r="A2034" t="s">
        <v>963</v>
      </c>
      <c r="B2034" s="91">
        <v>120</v>
      </c>
    </row>
    <row r="2035" spans="1:2" x14ac:dyDescent="0.2">
      <c r="A2035" t="s">
        <v>963</v>
      </c>
      <c r="B2035" s="91">
        <v>138</v>
      </c>
    </row>
    <row r="2036" spans="1:2" x14ac:dyDescent="0.2">
      <c r="A2036" t="s">
        <v>964</v>
      </c>
      <c r="B2036" s="91">
        <v>14.75</v>
      </c>
    </row>
    <row r="2037" spans="1:2" x14ac:dyDescent="0.2">
      <c r="A2037" t="s">
        <v>964</v>
      </c>
      <c r="B2037" s="91">
        <v>17.5</v>
      </c>
    </row>
    <row r="2038" spans="1:2" x14ac:dyDescent="0.2">
      <c r="A2038" t="s">
        <v>965</v>
      </c>
      <c r="B2038" s="91">
        <v>13.75</v>
      </c>
    </row>
    <row r="2039" spans="1:2" x14ac:dyDescent="0.2">
      <c r="A2039" t="s">
        <v>965</v>
      </c>
      <c r="B2039" s="91">
        <v>12</v>
      </c>
    </row>
    <row r="2040" spans="1:2" x14ac:dyDescent="0.2">
      <c r="A2040" t="s">
        <v>965</v>
      </c>
      <c r="B2040" s="91">
        <v>14.25</v>
      </c>
    </row>
    <row r="2041" spans="1:2" x14ac:dyDescent="0.2">
      <c r="A2041" t="s">
        <v>966</v>
      </c>
      <c r="B2041" s="91">
        <v>43.75</v>
      </c>
    </row>
    <row r="2042" spans="1:2" x14ac:dyDescent="0.2">
      <c r="A2042" t="s">
        <v>966</v>
      </c>
      <c r="B2042" s="91">
        <v>27.25</v>
      </c>
    </row>
    <row r="2043" spans="1:2" x14ac:dyDescent="0.2">
      <c r="A2043" t="s">
        <v>966</v>
      </c>
      <c r="B2043" s="91">
        <v>18</v>
      </c>
    </row>
    <row r="2044" spans="1:2" x14ac:dyDescent="0.2">
      <c r="A2044" t="s">
        <v>967</v>
      </c>
      <c r="B2044" s="91">
        <v>360</v>
      </c>
    </row>
    <row r="2045" spans="1:2" x14ac:dyDescent="0.2">
      <c r="A2045" t="s">
        <v>967</v>
      </c>
      <c r="B2045" s="91">
        <v>-4</v>
      </c>
    </row>
    <row r="2046" spans="1:2" x14ac:dyDescent="0.2">
      <c r="A2046" t="s">
        <v>968</v>
      </c>
      <c r="B2046" s="91">
        <v>240</v>
      </c>
    </row>
    <row r="2047" spans="1:2" x14ac:dyDescent="0.2">
      <c r="A2047" t="s">
        <v>968</v>
      </c>
      <c r="B2047" s="91">
        <v>297</v>
      </c>
    </row>
    <row r="2048" spans="1:2" x14ac:dyDescent="0.2">
      <c r="A2048" t="s">
        <v>968</v>
      </c>
      <c r="B2048" s="91">
        <v>283</v>
      </c>
    </row>
    <row r="2049" spans="1:2" x14ac:dyDescent="0.2">
      <c r="A2049" t="s">
        <v>969</v>
      </c>
      <c r="B2049" s="91">
        <v>18</v>
      </c>
    </row>
    <row r="2050" spans="1:2" x14ac:dyDescent="0.2">
      <c r="A2050" t="s">
        <v>969</v>
      </c>
      <c r="B2050" s="91">
        <v>12.5</v>
      </c>
    </row>
    <row r="2051" spans="1:2" x14ac:dyDescent="0.2">
      <c r="A2051" t="s">
        <v>970</v>
      </c>
      <c r="B2051" s="91">
        <v>61.75</v>
      </c>
    </row>
    <row r="2052" spans="1:2" x14ac:dyDescent="0.2">
      <c r="A2052" t="s">
        <v>970</v>
      </c>
      <c r="B2052" s="91">
        <v>22.75</v>
      </c>
    </row>
    <row r="2053" spans="1:2" x14ac:dyDescent="0.2">
      <c r="A2053" t="s">
        <v>971</v>
      </c>
      <c r="B2053" s="91">
        <v>18</v>
      </c>
    </row>
    <row r="2054" spans="1:2" x14ac:dyDescent="0.2">
      <c r="A2054" t="s">
        <v>971</v>
      </c>
      <c r="B2054" s="91">
        <v>7.75</v>
      </c>
    </row>
    <row r="2055" spans="1:2" x14ac:dyDescent="0.2">
      <c r="A2055" t="s">
        <v>971</v>
      </c>
      <c r="B2055" s="91">
        <v>6.75</v>
      </c>
    </row>
    <row r="2056" spans="1:2" x14ac:dyDescent="0.2">
      <c r="A2056" t="s">
        <v>972</v>
      </c>
      <c r="B2056" s="91">
        <v>190</v>
      </c>
    </row>
    <row r="2057" spans="1:2" x14ac:dyDescent="0.2">
      <c r="A2057" t="s">
        <v>973</v>
      </c>
      <c r="B2057" s="91">
        <v>860</v>
      </c>
    </row>
    <row r="2058" spans="1:2" x14ac:dyDescent="0.2">
      <c r="A2058" t="s">
        <v>973</v>
      </c>
      <c r="B2058" s="91">
        <v>100</v>
      </c>
    </row>
    <row r="2059" spans="1:2" x14ac:dyDescent="0.2">
      <c r="A2059" t="s">
        <v>973</v>
      </c>
      <c r="B2059" s="91">
        <v>864</v>
      </c>
    </row>
    <row r="2060" spans="1:2" x14ac:dyDescent="0.2">
      <c r="A2060" t="s">
        <v>973</v>
      </c>
      <c r="B2060" s="91">
        <v>434</v>
      </c>
    </row>
    <row r="2061" spans="1:2" x14ac:dyDescent="0.2">
      <c r="A2061" t="s">
        <v>974</v>
      </c>
      <c r="B2061" s="91">
        <v>14.75</v>
      </c>
    </row>
    <row r="2062" spans="1:2" x14ac:dyDescent="0.2">
      <c r="A2062" t="s">
        <v>975</v>
      </c>
      <c r="B2062" s="91">
        <v>75</v>
      </c>
    </row>
    <row r="2063" spans="1:2" x14ac:dyDescent="0.2">
      <c r="A2063" t="s">
        <v>975</v>
      </c>
      <c r="B2063" s="91">
        <v>643.5</v>
      </c>
    </row>
    <row r="2064" spans="1:2" x14ac:dyDescent="0.2">
      <c r="A2064" t="s">
        <v>975</v>
      </c>
      <c r="B2064" s="91">
        <v>262.5</v>
      </c>
    </row>
    <row r="2065" spans="1:2" x14ac:dyDescent="0.2">
      <c r="A2065" t="s">
        <v>975</v>
      </c>
      <c r="B2065" s="91">
        <v>498</v>
      </c>
    </row>
    <row r="2066" spans="1:2" x14ac:dyDescent="0.2">
      <c r="A2066" t="s">
        <v>975</v>
      </c>
      <c r="B2066" s="91">
        <v>427.5</v>
      </c>
    </row>
    <row r="2067" spans="1:2" x14ac:dyDescent="0.2">
      <c r="A2067" t="s">
        <v>976</v>
      </c>
      <c r="B2067" s="91">
        <v>22</v>
      </c>
    </row>
    <row r="2068" spans="1:2" x14ac:dyDescent="0.2">
      <c r="A2068" t="s">
        <v>977</v>
      </c>
      <c r="B2068" s="91">
        <v>31.5</v>
      </c>
    </row>
    <row r="2069" spans="1:2" x14ac:dyDescent="0.2">
      <c r="A2069" t="s">
        <v>978</v>
      </c>
      <c r="B2069" s="91">
        <v>123.5</v>
      </c>
    </row>
    <row r="2070" spans="1:2" x14ac:dyDescent="0.2">
      <c r="A2070" t="s">
        <v>978</v>
      </c>
      <c r="B2070" s="91">
        <v>84</v>
      </c>
    </row>
    <row r="2071" spans="1:2" x14ac:dyDescent="0.2">
      <c r="A2071" t="s">
        <v>979</v>
      </c>
      <c r="B2071" s="91">
        <v>10.25</v>
      </c>
    </row>
    <row r="2072" spans="1:2" x14ac:dyDescent="0.2">
      <c r="A2072" t="s">
        <v>979</v>
      </c>
      <c r="B2072" s="91">
        <v>37.5</v>
      </c>
    </row>
    <row r="2073" spans="1:2" x14ac:dyDescent="0.2">
      <c r="A2073" t="s">
        <v>979</v>
      </c>
      <c r="B2073" s="91">
        <v>26.71</v>
      </c>
    </row>
    <row r="2074" spans="1:2" x14ac:dyDescent="0.2">
      <c r="A2074" t="s">
        <v>980</v>
      </c>
      <c r="B2074" s="91">
        <v>27.5</v>
      </c>
    </row>
    <row r="2075" spans="1:2" x14ac:dyDescent="0.2">
      <c r="A2075" t="s">
        <v>980</v>
      </c>
      <c r="B2075" s="91">
        <v>38</v>
      </c>
    </row>
    <row r="2076" spans="1:2" x14ac:dyDescent="0.2">
      <c r="A2076" t="s">
        <v>981</v>
      </c>
      <c r="B2076" s="91">
        <v>33</v>
      </c>
    </row>
    <row r="2077" spans="1:2" x14ac:dyDescent="0.2">
      <c r="A2077" t="s">
        <v>981</v>
      </c>
      <c r="B2077" s="91">
        <v>67.5</v>
      </c>
    </row>
    <row r="2078" spans="1:2" x14ac:dyDescent="0.2">
      <c r="A2078" t="s">
        <v>982</v>
      </c>
      <c r="B2078" s="91">
        <v>11.5</v>
      </c>
    </row>
    <row r="2079" spans="1:2" x14ac:dyDescent="0.2">
      <c r="A2079" t="s">
        <v>982</v>
      </c>
      <c r="B2079" s="91">
        <v>17.5</v>
      </c>
    </row>
    <row r="2080" spans="1:2" x14ac:dyDescent="0.2">
      <c r="A2080" t="s">
        <v>982</v>
      </c>
      <c r="B2080" s="91">
        <v>23.75</v>
      </c>
    </row>
    <row r="2081" spans="1:2" x14ac:dyDescent="0.2">
      <c r="A2081" t="s">
        <v>983</v>
      </c>
      <c r="B2081" s="91">
        <v>28.75</v>
      </c>
    </row>
    <row r="2082" spans="1:2" x14ac:dyDescent="0.2">
      <c r="A2082" t="s">
        <v>983</v>
      </c>
      <c r="B2082" s="91">
        <v>15</v>
      </c>
    </row>
    <row r="2083" spans="1:2" x14ac:dyDescent="0.2">
      <c r="A2083" t="s">
        <v>983</v>
      </c>
      <c r="B2083" s="91">
        <v>9</v>
      </c>
    </row>
    <row r="2084" spans="1:2" x14ac:dyDescent="0.2">
      <c r="A2084" t="s">
        <v>984</v>
      </c>
      <c r="B2084" s="91">
        <v>393</v>
      </c>
    </row>
    <row r="2085" spans="1:2" x14ac:dyDescent="0.2">
      <c r="A2085" t="s">
        <v>985</v>
      </c>
      <c r="B2085" s="91">
        <v>11.5</v>
      </c>
    </row>
    <row r="2086" spans="1:2" x14ac:dyDescent="0.2">
      <c r="A2086" t="s">
        <v>986</v>
      </c>
      <c r="B2086" s="91">
        <v>35.5</v>
      </c>
    </row>
    <row r="2087" spans="1:2" x14ac:dyDescent="0.2">
      <c r="A2087" t="s">
        <v>987</v>
      </c>
      <c r="B2087" s="91">
        <v>10</v>
      </c>
    </row>
    <row r="2088" spans="1:2" x14ac:dyDescent="0.2">
      <c r="A2088" t="s">
        <v>988</v>
      </c>
      <c r="B2088" s="91">
        <v>21.75</v>
      </c>
    </row>
    <row r="2089" spans="1:2" x14ac:dyDescent="0.2">
      <c r="A2089" t="s">
        <v>988</v>
      </c>
      <c r="B2089" s="91">
        <v>31</v>
      </c>
    </row>
    <row r="2090" spans="1:2" x14ac:dyDescent="0.2">
      <c r="A2090" t="s">
        <v>988</v>
      </c>
      <c r="B2090" s="91">
        <v>22.75</v>
      </c>
    </row>
    <row r="2091" spans="1:2" x14ac:dyDescent="0.2">
      <c r="A2091" t="s">
        <v>989</v>
      </c>
      <c r="B2091" s="91">
        <v>36.5</v>
      </c>
    </row>
    <row r="2092" spans="1:2" x14ac:dyDescent="0.2">
      <c r="A2092" t="s">
        <v>989</v>
      </c>
      <c r="B2092" s="91">
        <v>38</v>
      </c>
    </row>
    <row r="2093" spans="1:2" x14ac:dyDescent="0.2">
      <c r="A2093" t="s">
        <v>989</v>
      </c>
      <c r="B2093" s="91">
        <v>12</v>
      </c>
    </row>
    <row r="2094" spans="1:2" x14ac:dyDescent="0.2">
      <c r="A2094" t="s">
        <v>989</v>
      </c>
      <c r="B2094" s="91">
        <v>23.25</v>
      </c>
    </row>
    <row r="2095" spans="1:2" x14ac:dyDescent="0.2">
      <c r="A2095" t="s">
        <v>990</v>
      </c>
      <c r="B2095" s="91">
        <v>45</v>
      </c>
    </row>
    <row r="2096" spans="1:2" x14ac:dyDescent="0.2">
      <c r="A2096" t="s">
        <v>990</v>
      </c>
      <c r="B2096" s="91">
        <v>37.5</v>
      </c>
    </row>
    <row r="2097" spans="1:2" x14ac:dyDescent="0.2">
      <c r="A2097" t="s">
        <v>991</v>
      </c>
      <c r="B2097" s="91">
        <v>182.75</v>
      </c>
    </row>
    <row r="2098" spans="1:2" x14ac:dyDescent="0.2">
      <c r="A2098" t="s">
        <v>992</v>
      </c>
      <c r="B2098" s="91">
        <v>12</v>
      </c>
    </row>
    <row r="2099" spans="1:2" x14ac:dyDescent="0.2">
      <c r="A2099" t="s">
        <v>992</v>
      </c>
      <c r="B2099" s="91">
        <v>27.5</v>
      </c>
    </row>
    <row r="2100" spans="1:2" x14ac:dyDescent="0.2">
      <c r="A2100" t="s">
        <v>992</v>
      </c>
      <c r="B2100" s="91">
        <v>47.5</v>
      </c>
    </row>
    <row r="2101" spans="1:2" x14ac:dyDescent="0.2">
      <c r="A2101" t="s">
        <v>993</v>
      </c>
      <c r="B2101" s="91">
        <v>45</v>
      </c>
    </row>
    <row r="2102" spans="1:2" x14ac:dyDescent="0.2">
      <c r="A2102" t="s">
        <v>993</v>
      </c>
      <c r="B2102" s="91">
        <v>77.5</v>
      </c>
    </row>
    <row r="2103" spans="1:2" x14ac:dyDescent="0.2">
      <c r="A2103" t="s">
        <v>993</v>
      </c>
      <c r="B2103" s="91">
        <v>37.5</v>
      </c>
    </row>
    <row r="2104" spans="1:2" x14ac:dyDescent="0.2">
      <c r="A2104" t="s">
        <v>994</v>
      </c>
      <c r="B2104" s="91">
        <v>405</v>
      </c>
    </row>
    <row r="2105" spans="1:2" x14ac:dyDescent="0.2">
      <c r="A2105" t="s">
        <v>994</v>
      </c>
      <c r="B2105" s="91">
        <v>81</v>
      </c>
    </row>
    <row r="2106" spans="1:2" x14ac:dyDescent="0.2">
      <c r="A2106" t="s">
        <v>995</v>
      </c>
      <c r="B2106" s="91">
        <v>27.5</v>
      </c>
    </row>
    <row r="2107" spans="1:2" x14ac:dyDescent="0.2">
      <c r="A2107" t="s">
        <v>995</v>
      </c>
      <c r="B2107" s="91">
        <v>12</v>
      </c>
    </row>
    <row r="2108" spans="1:2" x14ac:dyDescent="0.2">
      <c r="A2108" t="s">
        <v>996</v>
      </c>
      <c r="B2108" s="91">
        <v>182.75</v>
      </c>
    </row>
    <row r="2109" spans="1:2" x14ac:dyDescent="0.2">
      <c r="A2109" t="s">
        <v>997</v>
      </c>
      <c r="B2109" s="91">
        <v>37</v>
      </c>
    </row>
    <row r="2110" spans="1:2" x14ac:dyDescent="0.2">
      <c r="A2110" t="s">
        <v>997</v>
      </c>
      <c r="B2110" s="91">
        <v>18.25</v>
      </c>
    </row>
    <row r="2111" spans="1:2" x14ac:dyDescent="0.2">
      <c r="A2111" t="s">
        <v>998</v>
      </c>
      <c r="B2111" s="91">
        <v>10</v>
      </c>
    </row>
    <row r="2112" spans="1:2" x14ac:dyDescent="0.2">
      <c r="A2112" t="s">
        <v>999</v>
      </c>
      <c r="B2112" s="91">
        <v>7.5</v>
      </c>
    </row>
    <row r="2113" spans="1:2" x14ac:dyDescent="0.2">
      <c r="A2113" t="s">
        <v>1000</v>
      </c>
      <c r="B2113" s="91">
        <v>503.25</v>
      </c>
    </row>
    <row r="2114" spans="1:2" x14ac:dyDescent="0.2">
      <c r="A2114" t="s">
        <v>1000</v>
      </c>
      <c r="B2114" s="91">
        <v>26.75</v>
      </c>
    </row>
    <row r="2115" spans="1:2" x14ac:dyDescent="0.2">
      <c r="A2115" t="s">
        <v>1000</v>
      </c>
      <c r="B2115" s="91">
        <v>297</v>
      </c>
    </row>
    <row r="2116" spans="1:2" x14ac:dyDescent="0.2">
      <c r="A2116" t="s">
        <v>1000</v>
      </c>
      <c r="B2116" s="91">
        <v>72</v>
      </c>
    </row>
    <row r="2117" spans="1:2" x14ac:dyDescent="0.2">
      <c r="A2117" t="s">
        <v>1001</v>
      </c>
      <c r="B2117" s="91">
        <v>23</v>
      </c>
    </row>
    <row r="2118" spans="1:2" x14ac:dyDescent="0.2">
      <c r="A2118" t="s">
        <v>1001</v>
      </c>
      <c r="B2118" s="91">
        <v>26.71</v>
      </c>
    </row>
    <row r="2119" spans="1:2" x14ac:dyDescent="0.2">
      <c r="A2119" t="s">
        <v>1001</v>
      </c>
      <c r="B2119" s="91">
        <v>9</v>
      </c>
    </row>
    <row r="2120" spans="1:2" x14ac:dyDescent="0.2">
      <c r="A2120" t="s">
        <v>1001</v>
      </c>
      <c r="B2120" s="91">
        <v>66</v>
      </c>
    </row>
    <row r="2121" spans="1:2" x14ac:dyDescent="0.2">
      <c r="A2121" t="s">
        <v>1002</v>
      </c>
      <c r="B2121" s="91">
        <v>14.25</v>
      </c>
    </row>
    <row r="2122" spans="1:2" x14ac:dyDescent="0.2">
      <c r="A2122" t="s">
        <v>1003</v>
      </c>
      <c r="B2122" s="91">
        <v>19000</v>
      </c>
    </row>
    <row r="2123" spans="1:2" x14ac:dyDescent="0.2">
      <c r="A2123" t="s">
        <v>1004</v>
      </c>
      <c r="B2123" s="91">
        <v>23</v>
      </c>
    </row>
    <row r="2124" spans="1:2" x14ac:dyDescent="0.2">
      <c r="A2124" t="s">
        <v>1005</v>
      </c>
      <c r="B2124" s="91">
        <v>11.5</v>
      </c>
    </row>
    <row r="2125" spans="1:2" x14ac:dyDescent="0.2">
      <c r="A2125" t="s">
        <v>1006</v>
      </c>
      <c r="B2125" s="91">
        <v>27.5</v>
      </c>
    </row>
    <row r="2126" spans="1:2" x14ac:dyDescent="0.2">
      <c r="A2126" t="s">
        <v>1006</v>
      </c>
      <c r="B2126" s="91">
        <v>39.5</v>
      </c>
    </row>
    <row r="2127" spans="1:2" x14ac:dyDescent="0.2">
      <c r="A2127" t="s">
        <v>1006</v>
      </c>
      <c r="B2127" s="91">
        <v>37</v>
      </c>
    </row>
    <row r="2128" spans="1:2" x14ac:dyDescent="0.2">
      <c r="A2128" t="s">
        <v>1006</v>
      </c>
      <c r="B2128" s="91">
        <v>8.25</v>
      </c>
    </row>
    <row r="2129" spans="1:2" x14ac:dyDescent="0.2">
      <c r="A2129" t="s">
        <v>1006</v>
      </c>
      <c r="B2129" s="91">
        <v>36.33</v>
      </c>
    </row>
    <row r="2130" spans="1:2" x14ac:dyDescent="0.2">
      <c r="A2130" t="s">
        <v>1006</v>
      </c>
      <c r="B2130" s="91">
        <v>7.5</v>
      </c>
    </row>
    <row r="2131" spans="1:2" x14ac:dyDescent="0.2">
      <c r="A2131" t="s">
        <v>1006</v>
      </c>
      <c r="B2131" s="91">
        <v>24</v>
      </c>
    </row>
    <row r="2132" spans="1:2" x14ac:dyDescent="0.2">
      <c r="A2132" t="s">
        <v>1006</v>
      </c>
      <c r="B2132" s="91">
        <v>125</v>
      </c>
    </row>
    <row r="2133" spans="1:2" x14ac:dyDescent="0.2">
      <c r="A2133" t="s">
        <v>1007</v>
      </c>
      <c r="B2133" s="91">
        <v>9.75</v>
      </c>
    </row>
    <row r="2134" spans="1:2" x14ac:dyDescent="0.2">
      <c r="A2134" t="s">
        <v>1008</v>
      </c>
      <c r="B2134" s="91">
        <v>24.75</v>
      </c>
    </row>
    <row r="2135" spans="1:2" x14ac:dyDescent="0.2">
      <c r="A2135" t="s">
        <v>1008</v>
      </c>
      <c r="B2135" s="91">
        <v>6.75</v>
      </c>
    </row>
    <row r="2136" spans="1:2" x14ac:dyDescent="0.2">
      <c r="A2136" t="s">
        <v>1008</v>
      </c>
      <c r="B2136" s="91">
        <v>30.5</v>
      </c>
    </row>
    <row r="2137" spans="1:2" x14ac:dyDescent="0.2">
      <c r="A2137" t="s">
        <v>1009</v>
      </c>
      <c r="B2137" s="91">
        <v>66</v>
      </c>
    </row>
    <row r="2138" spans="1:2" x14ac:dyDescent="0.2">
      <c r="A2138" t="s">
        <v>1010</v>
      </c>
      <c r="B2138" s="91">
        <v>11.5</v>
      </c>
    </row>
    <row r="2139" spans="1:2" x14ac:dyDescent="0.2">
      <c r="A2139" t="s">
        <v>1011</v>
      </c>
      <c r="B2139" s="91">
        <v>15.5</v>
      </c>
    </row>
    <row r="2140" spans="1:2" x14ac:dyDescent="0.2">
      <c r="A2140" t="s">
        <v>1011</v>
      </c>
      <c r="B2140" s="91">
        <v>17.5</v>
      </c>
    </row>
    <row r="2141" spans="1:2" x14ac:dyDescent="0.2">
      <c r="A2141" t="s">
        <v>1012</v>
      </c>
      <c r="B2141" s="91">
        <v>23.75</v>
      </c>
    </row>
    <row r="2142" spans="1:2" x14ac:dyDescent="0.2">
      <c r="A2142" t="s">
        <v>1012</v>
      </c>
      <c r="B2142" s="91">
        <v>10</v>
      </c>
    </row>
    <row r="2143" spans="1:2" x14ac:dyDescent="0.2">
      <c r="A2143" t="s">
        <v>1012</v>
      </c>
      <c r="B2143" s="91">
        <v>112</v>
      </c>
    </row>
    <row r="2144" spans="1:2" x14ac:dyDescent="0.2">
      <c r="A2144" t="s">
        <v>1012</v>
      </c>
      <c r="B2144" s="91">
        <v>85</v>
      </c>
    </row>
    <row r="2145" spans="1:2" x14ac:dyDescent="0.2">
      <c r="A2145" t="s">
        <v>1013</v>
      </c>
      <c r="B2145" s="91">
        <v>74.25</v>
      </c>
    </row>
    <row r="2146" spans="1:2" x14ac:dyDescent="0.2">
      <c r="A2146" t="s">
        <v>1013</v>
      </c>
      <c r="B2146" s="91">
        <v>85</v>
      </c>
    </row>
    <row r="2147" spans="1:2" x14ac:dyDescent="0.2">
      <c r="A2147" t="s">
        <v>1013</v>
      </c>
      <c r="B2147" s="91">
        <v>103.5</v>
      </c>
    </row>
    <row r="2148" spans="1:2" x14ac:dyDescent="0.2">
      <c r="A2148" t="s">
        <v>1013</v>
      </c>
      <c r="B2148" s="91">
        <v>23.75</v>
      </c>
    </row>
    <row r="2149" spans="1:2" x14ac:dyDescent="0.2">
      <c r="A2149" t="s">
        <v>1013</v>
      </c>
      <c r="B2149" s="91">
        <v>23.75</v>
      </c>
    </row>
    <row r="2150" spans="1:2" x14ac:dyDescent="0.2">
      <c r="A2150" t="s">
        <v>1014</v>
      </c>
      <c r="B2150" s="91">
        <v>24.75</v>
      </c>
    </row>
    <row r="2151" spans="1:2" x14ac:dyDescent="0.2">
      <c r="A2151" t="s">
        <v>1015</v>
      </c>
      <c r="B2151" s="91">
        <v>262</v>
      </c>
    </row>
    <row r="2152" spans="1:2" x14ac:dyDescent="0.2">
      <c r="A2152" t="s">
        <v>1016</v>
      </c>
      <c r="B2152" s="91">
        <v>8</v>
      </c>
    </row>
    <row r="2153" spans="1:2" x14ac:dyDescent="0.2">
      <c r="A2153" t="s">
        <v>1017</v>
      </c>
      <c r="B2153" s="91">
        <v>524</v>
      </c>
    </row>
    <row r="2154" spans="1:2" x14ac:dyDescent="0.2">
      <c r="A2154" t="s">
        <v>1018</v>
      </c>
      <c r="B2154" s="91">
        <v>9.75</v>
      </c>
    </row>
    <row r="2155" spans="1:2" x14ac:dyDescent="0.2">
      <c r="A2155" t="s">
        <v>1018</v>
      </c>
      <c r="B2155" s="91">
        <v>11.5</v>
      </c>
    </row>
    <row r="2156" spans="1:2" x14ac:dyDescent="0.2">
      <c r="A2156" t="s">
        <v>1018</v>
      </c>
      <c r="B2156" s="91">
        <v>10</v>
      </c>
    </row>
    <row r="2157" spans="1:2" x14ac:dyDescent="0.2">
      <c r="A2157" t="s">
        <v>1019</v>
      </c>
      <c r="B2157" s="91">
        <v>26.75</v>
      </c>
    </row>
    <row r="2158" spans="1:2" x14ac:dyDescent="0.2">
      <c r="A2158" t="s">
        <v>1019</v>
      </c>
      <c r="B2158" s="91">
        <v>33</v>
      </c>
    </row>
    <row r="2159" spans="1:2" x14ac:dyDescent="0.2">
      <c r="A2159" t="s">
        <v>1020</v>
      </c>
      <c r="B2159" s="91">
        <v>23</v>
      </c>
    </row>
    <row r="2160" spans="1:2" x14ac:dyDescent="0.2">
      <c r="A2160" t="s">
        <v>1021</v>
      </c>
      <c r="B2160" s="91">
        <v>13.5</v>
      </c>
    </row>
    <row r="2161" spans="1:2" x14ac:dyDescent="0.2">
      <c r="A2161" t="s">
        <v>1022</v>
      </c>
      <c r="B2161" s="91">
        <v>1440</v>
      </c>
    </row>
    <row r="2162" spans="1:2" x14ac:dyDescent="0.2">
      <c r="A2162" t="s">
        <v>1022</v>
      </c>
      <c r="B2162" s="91">
        <v>297</v>
      </c>
    </row>
    <row r="2163" spans="1:2" x14ac:dyDescent="0.2">
      <c r="A2163" t="s">
        <v>1022</v>
      </c>
      <c r="B2163" s="91">
        <v>864</v>
      </c>
    </row>
    <row r="2164" spans="1:2" x14ac:dyDescent="0.2">
      <c r="A2164" t="s">
        <v>1022</v>
      </c>
      <c r="B2164" s="91">
        <v>197</v>
      </c>
    </row>
    <row r="2165" spans="1:2" x14ac:dyDescent="0.2">
      <c r="A2165" t="s">
        <v>1023</v>
      </c>
      <c r="B2165" s="91">
        <v>297</v>
      </c>
    </row>
    <row r="2166" spans="1:2" x14ac:dyDescent="0.2">
      <c r="A2166" t="s">
        <v>1023</v>
      </c>
      <c r="B2166" s="91">
        <v>150</v>
      </c>
    </row>
    <row r="2167" spans="1:2" x14ac:dyDescent="0.2">
      <c r="A2167" t="s">
        <v>1023</v>
      </c>
      <c r="B2167" s="91">
        <v>137</v>
      </c>
    </row>
    <row r="2168" spans="1:2" x14ac:dyDescent="0.2">
      <c r="A2168" t="s">
        <v>1024</v>
      </c>
      <c r="B2168" s="91">
        <v>21</v>
      </c>
    </row>
    <row r="2169" spans="1:2" x14ac:dyDescent="0.2">
      <c r="A2169" t="s">
        <v>1025</v>
      </c>
      <c r="B2169" s="91">
        <v>26.5</v>
      </c>
    </row>
    <row r="2170" spans="1:2" x14ac:dyDescent="0.2">
      <c r="A2170" t="s">
        <v>1026</v>
      </c>
      <c r="B2170" s="91">
        <v>19.5</v>
      </c>
    </row>
    <row r="2171" spans="1:2" x14ac:dyDescent="0.2">
      <c r="A2171" t="s">
        <v>1027</v>
      </c>
      <c r="B2171" s="91">
        <v>5</v>
      </c>
    </row>
    <row r="2172" spans="1:2" x14ac:dyDescent="0.2">
      <c r="A2172" t="s">
        <v>1028</v>
      </c>
      <c r="B2172" s="91">
        <v>10</v>
      </c>
    </row>
    <row r="2173" spans="1:2" x14ac:dyDescent="0.2">
      <c r="A2173" t="s">
        <v>1029</v>
      </c>
      <c r="B2173" s="91">
        <v>18</v>
      </c>
    </row>
    <row r="2174" spans="1:2" x14ac:dyDescent="0.2">
      <c r="A2174" t="s">
        <v>1030</v>
      </c>
      <c r="B2174" s="91">
        <v>7.75</v>
      </c>
    </row>
    <row r="2175" spans="1:2" x14ac:dyDescent="0.2">
      <c r="A2175" t="s">
        <v>1030</v>
      </c>
      <c r="B2175" s="91">
        <v>7.75</v>
      </c>
    </row>
    <row r="2176" spans="1:2" x14ac:dyDescent="0.2">
      <c r="A2176" t="s">
        <v>1030</v>
      </c>
      <c r="B2176" s="91">
        <v>6.5</v>
      </c>
    </row>
    <row r="2177" spans="1:2" x14ac:dyDescent="0.2">
      <c r="A2177" t="s">
        <v>1031</v>
      </c>
      <c r="B2177" s="91">
        <v>20</v>
      </c>
    </row>
    <row r="2178" spans="1:2" x14ac:dyDescent="0.2">
      <c r="A2178" t="s">
        <v>1031</v>
      </c>
      <c r="B2178" s="91">
        <v>18</v>
      </c>
    </row>
    <row r="2179" spans="1:2" x14ac:dyDescent="0.2">
      <c r="A2179" t="s">
        <v>1032</v>
      </c>
      <c r="B2179" s="91">
        <v>52.5</v>
      </c>
    </row>
    <row r="2180" spans="1:2" x14ac:dyDescent="0.2">
      <c r="A2180" t="s">
        <v>1033</v>
      </c>
      <c r="B2180" s="91">
        <v>15</v>
      </c>
    </row>
    <row r="2181" spans="1:2" x14ac:dyDescent="0.2">
      <c r="A2181" t="s">
        <v>1033</v>
      </c>
      <c r="B2181" s="91">
        <v>17</v>
      </c>
    </row>
    <row r="2182" spans="1:2" x14ac:dyDescent="0.2">
      <c r="A2182" t="s">
        <v>1034</v>
      </c>
      <c r="B2182" s="91">
        <v>864</v>
      </c>
    </row>
    <row r="2183" spans="1:2" x14ac:dyDescent="0.2">
      <c r="A2183" t="s">
        <v>1034</v>
      </c>
      <c r="B2183" s="91">
        <v>276</v>
      </c>
    </row>
    <row r="2184" spans="1:2" x14ac:dyDescent="0.2">
      <c r="A2184" t="s">
        <v>1034</v>
      </c>
      <c r="B2184" s="91">
        <v>810</v>
      </c>
    </row>
    <row r="2185" spans="1:2" x14ac:dyDescent="0.2">
      <c r="A2185" t="s">
        <v>1035</v>
      </c>
      <c r="B2185" s="91">
        <v>28</v>
      </c>
    </row>
    <row r="2186" spans="1:2" x14ac:dyDescent="0.2">
      <c r="A2186" t="s">
        <v>1036</v>
      </c>
      <c r="B2186" s="91">
        <v>262</v>
      </c>
    </row>
    <row r="2187" spans="1:2" x14ac:dyDescent="0.2">
      <c r="A2187" t="s">
        <v>1037</v>
      </c>
      <c r="B2187" s="91">
        <v>18</v>
      </c>
    </row>
    <row r="2188" spans="1:2" x14ac:dyDescent="0.2">
      <c r="A2188" t="s">
        <v>1037</v>
      </c>
      <c r="B2188" s="91">
        <v>17</v>
      </c>
    </row>
    <row r="2189" spans="1:2" x14ac:dyDescent="0.2">
      <c r="A2189" t="s">
        <v>1037</v>
      </c>
      <c r="B2189" s="91">
        <v>35</v>
      </c>
    </row>
    <row r="2190" spans="1:2" x14ac:dyDescent="0.2">
      <c r="A2190" t="s">
        <v>1038</v>
      </c>
      <c r="B2190" s="91">
        <v>26.25</v>
      </c>
    </row>
    <row r="2191" spans="1:2" x14ac:dyDescent="0.2">
      <c r="A2191" t="s">
        <v>1039</v>
      </c>
      <c r="B2191" s="91">
        <v>12.5</v>
      </c>
    </row>
    <row r="2192" spans="1:2" x14ac:dyDescent="0.2">
      <c r="A2192" t="s">
        <v>1040</v>
      </c>
      <c r="B2192" s="91">
        <v>43</v>
      </c>
    </row>
    <row r="2193" spans="1:2" x14ac:dyDescent="0.2">
      <c r="A2193" t="s">
        <v>1041</v>
      </c>
      <c r="B2193" s="91">
        <v>614</v>
      </c>
    </row>
    <row r="2194" spans="1:2" x14ac:dyDescent="0.2">
      <c r="A2194" t="s">
        <v>1041</v>
      </c>
      <c r="B2194" s="91">
        <v>332</v>
      </c>
    </row>
    <row r="2195" spans="1:2" x14ac:dyDescent="0.2">
      <c r="A2195" t="s">
        <v>1041</v>
      </c>
      <c r="B2195" s="91">
        <v>1903.5</v>
      </c>
    </row>
    <row r="2196" spans="1:2" x14ac:dyDescent="0.2">
      <c r="A2196" t="s">
        <v>1041</v>
      </c>
      <c r="B2196" s="91">
        <v>330</v>
      </c>
    </row>
    <row r="2197" spans="1:2" x14ac:dyDescent="0.2">
      <c r="A2197" t="s">
        <v>1042</v>
      </c>
      <c r="B2197" s="91">
        <v>614</v>
      </c>
    </row>
    <row r="2198" spans="1:2" x14ac:dyDescent="0.2">
      <c r="A2198" t="s">
        <v>1043</v>
      </c>
      <c r="B2198" s="91">
        <v>614</v>
      </c>
    </row>
    <row r="2199" spans="1:2" x14ac:dyDescent="0.2">
      <c r="A2199" t="s">
        <v>1043</v>
      </c>
      <c r="B2199" s="91">
        <v>1187.5</v>
      </c>
    </row>
    <row r="2200" spans="1:2" x14ac:dyDescent="0.2">
      <c r="A2200" t="s">
        <v>1044</v>
      </c>
      <c r="B2200" s="91">
        <v>614</v>
      </c>
    </row>
    <row r="2201" spans="1:2" x14ac:dyDescent="0.2">
      <c r="A2201" t="s">
        <v>1044</v>
      </c>
      <c r="B2201" s="91">
        <v>1845</v>
      </c>
    </row>
    <row r="2202" spans="1:2" x14ac:dyDescent="0.2">
      <c r="A2202" t="s">
        <v>1045</v>
      </c>
      <c r="B2202" s="91">
        <v>170</v>
      </c>
    </row>
    <row r="2203" spans="1:2" x14ac:dyDescent="0.2">
      <c r="A2203" t="s">
        <v>1046</v>
      </c>
      <c r="B2203" s="91">
        <v>614</v>
      </c>
    </row>
    <row r="2204" spans="1:2" x14ac:dyDescent="0.2">
      <c r="A2204" t="s">
        <v>1046</v>
      </c>
      <c r="B2204" s="91">
        <v>734.25</v>
      </c>
    </row>
    <row r="2205" spans="1:2" x14ac:dyDescent="0.2">
      <c r="A2205" t="s">
        <v>1046</v>
      </c>
      <c r="B2205" s="91">
        <v>332</v>
      </c>
    </row>
    <row r="2206" spans="1:2" x14ac:dyDescent="0.2">
      <c r="A2206" t="s">
        <v>1046</v>
      </c>
      <c r="B2206" s="91">
        <v>1230</v>
      </c>
    </row>
    <row r="2207" spans="1:2" x14ac:dyDescent="0.2">
      <c r="A2207" t="s">
        <v>1047</v>
      </c>
      <c r="B2207" s="91">
        <v>979</v>
      </c>
    </row>
    <row r="2208" spans="1:2" x14ac:dyDescent="0.2">
      <c r="A2208" t="s">
        <v>1048</v>
      </c>
      <c r="B2208" s="91">
        <v>614</v>
      </c>
    </row>
    <row r="2209" spans="1:2" x14ac:dyDescent="0.2">
      <c r="A2209" t="s">
        <v>1048</v>
      </c>
      <c r="B2209" s="91">
        <v>123.5</v>
      </c>
    </row>
    <row r="2210" spans="1:2" x14ac:dyDescent="0.2">
      <c r="A2210" t="s">
        <v>1048</v>
      </c>
      <c r="B2210" s="91">
        <v>134</v>
      </c>
    </row>
    <row r="2211" spans="1:2" x14ac:dyDescent="0.2">
      <c r="A2211" t="s">
        <v>1048</v>
      </c>
      <c r="B2211" s="91">
        <v>399.75</v>
      </c>
    </row>
    <row r="2212" spans="1:2" x14ac:dyDescent="0.2">
      <c r="A2212" t="s">
        <v>1049</v>
      </c>
      <c r="B2212" s="91">
        <v>1187.5</v>
      </c>
    </row>
    <row r="2213" spans="1:2" x14ac:dyDescent="0.2">
      <c r="A2213" t="s">
        <v>1049</v>
      </c>
      <c r="B2213" s="91">
        <v>614</v>
      </c>
    </row>
    <row r="2214" spans="1:2" x14ac:dyDescent="0.2">
      <c r="A2214" t="s">
        <v>1049</v>
      </c>
      <c r="B2214" s="91">
        <v>217.5</v>
      </c>
    </row>
    <row r="2215" spans="1:2" x14ac:dyDescent="0.2">
      <c r="A2215" t="s">
        <v>1049</v>
      </c>
      <c r="B2215" s="91">
        <v>25</v>
      </c>
    </row>
    <row r="2216" spans="1:2" x14ac:dyDescent="0.2">
      <c r="A2216" t="s">
        <v>1049</v>
      </c>
      <c r="B2216" s="91">
        <v>100</v>
      </c>
    </row>
    <row r="2217" spans="1:2" x14ac:dyDescent="0.2">
      <c r="A2217" t="s">
        <v>1049</v>
      </c>
      <c r="B2217" s="91">
        <v>124.5</v>
      </c>
    </row>
    <row r="2218" spans="1:2" x14ac:dyDescent="0.2">
      <c r="A2218" t="s">
        <v>1050</v>
      </c>
      <c r="B2218" s="91">
        <v>76</v>
      </c>
    </row>
    <row r="2219" spans="1:2" x14ac:dyDescent="0.2">
      <c r="A2219" t="s">
        <v>1051</v>
      </c>
      <c r="B2219" s="91">
        <v>20</v>
      </c>
    </row>
    <row r="2220" spans="1:2" x14ac:dyDescent="0.2">
      <c r="A2220" t="s">
        <v>1052</v>
      </c>
      <c r="B2220" s="91">
        <v>7.75</v>
      </c>
    </row>
    <row r="2221" spans="1:2" x14ac:dyDescent="0.2">
      <c r="A2221" t="s">
        <v>1053</v>
      </c>
      <c r="B2221" s="91">
        <v>14.75</v>
      </c>
    </row>
    <row r="2222" spans="1:2" x14ac:dyDescent="0.2">
      <c r="A2222" t="s">
        <v>1054</v>
      </c>
      <c r="B2222" s="91">
        <v>262</v>
      </c>
    </row>
    <row r="2223" spans="1:2" x14ac:dyDescent="0.2">
      <c r="A2223" t="s">
        <v>1055</v>
      </c>
      <c r="B2223" s="91">
        <v>13.5</v>
      </c>
    </row>
    <row r="2224" spans="1:2" x14ac:dyDescent="0.2">
      <c r="A2224" t="s">
        <v>1055</v>
      </c>
      <c r="B2224" s="91">
        <v>18</v>
      </c>
    </row>
    <row r="2225" spans="1:2" x14ac:dyDescent="0.2">
      <c r="A2225" t="s">
        <v>1055</v>
      </c>
      <c r="B2225" s="91">
        <v>10</v>
      </c>
    </row>
    <row r="2226" spans="1:2" x14ac:dyDescent="0.2">
      <c r="A2226" t="s">
        <v>1056</v>
      </c>
      <c r="B2226" s="91">
        <v>65.5</v>
      </c>
    </row>
    <row r="2227" spans="1:2" x14ac:dyDescent="0.2">
      <c r="A2227" t="s">
        <v>1056</v>
      </c>
      <c r="B2227" s="91">
        <v>115.5</v>
      </c>
    </row>
    <row r="2228" spans="1:2" x14ac:dyDescent="0.2">
      <c r="A2228" t="s">
        <v>1056</v>
      </c>
      <c r="B2228" s="91">
        <v>22.75</v>
      </c>
    </row>
    <row r="2229" spans="1:2" x14ac:dyDescent="0.2">
      <c r="A2229" t="s">
        <v>1056</v>
      </c>
      <c r="B2229" s="91">
        <v>128.25</v>
      </c>
    </row>
    <row r="2230" spans="1:2" x14ac:dyDescent="0.2">
      <c r="A2230" t="s">
        <v>1057</v>
      </c>
      <c r="B2230" s="91">
        <v>30.25</v>
      </c>
    </row>
    <row r="2231" spans="1:2" x14ac:dyDescent="0.2">
      <c r="A2231" t="s">
        <v>1057</v>
      </c>
      <c r="B2231" s="91">
        <v>59.25</v>
      </c>
    </row>
    <row r="2232" spans="1:2" x14ac:dyDescent="0.2">
      <c r="A2232" t="s">
        <v>1057</v>
      </c>
      <c r="B2232" s="91">
        <v>18.75</v>
      </c>
    </row>
    <row r="2233" spans="1:2" x14ac:dyDescent="0.2">
      <c r="A2233" t="s">
        <v>1057</v>
      </c>
      <c r="B2233" s="91">
        <v>18.75</v>
      </c>
    </row>
    <row r="2234" spans="1:2" x14ac:dyDescent="0.2">
      <c r="A2234" t="s">
        <v>1057</v>
      </c>
      <c r="B2234" s="91">
        <v>57.5</v>
      </c>
    </row>
    <row r="2235" spans="1:2" x14ac:dyDescent="0.2">
      <c r="A2235" t="s">
        <v>1057</v>
      </c>
      <c r="B2235" s="91">
        <v>66</v>
      </c>
    </row>
    <row r="2236" spans="1:2" x14ac:dyDescent="0.2">
      <c r="A2236" t="s">
        <v>1057</v>
      </c>
      <c r="B2236" s="91">
        <v>26.5</v>
      </c>
    </row>
    <row r="2237" spans="1:2" x14ac:dyDescent="0.2">
      <c r="A2237" t="s">
        <v>1057</v>
      </c>
      <c r="B2237" s="91">
        <v>49</v>
      </c>
    </row>
    <row r="2238" spans="1:2" x14ac:dyDescent="0.2">
      <c r="A2238" t="s">
        <v>1057</v>
      </c>
      <c r="B2238" s="91">
        <v>49</v>
      </c>
    </row>
    <row r="2239" spans="1:2" x14ac:dyDescent="0.2">
      <c r="A2239" t="s">
        <v>1057</v>
      </c>
      <c r="B2239" s="91">
        <v>126</v>
      </c>
    </row>
    <row r="2240" spans="1:2" x14ac:dyDescent="0.2">
      <c r="A2240" t="s">
        <v>1057</v>
      </c>
      <c r="B2240" s="91">
        <v>30</v>
      </c>
    </row>
    <row r="2241" spans="1:2" x14ac:dyDescent="0.2">
      <c r="A2241" t="s">
        <v>1057</v>
      </c>
      <c r="B2241" s="91">
        <v>41</v>
      </c>
    </row>
    <row r="2242" spans="1:2" x14ac:dyDescent="0.2">
      <c r="A2242" t="s">
        <v>1057</v>
      </c>
      <c r="B2242" s="91">
        <v>43.75</v>
      </c>
    </row>
    <row r="2243" spans="1:2" x14ac:dyDescent="0.2">
      <c r="A2243" t="s">
        <v>1057</v>
      </c>
      <c r="B2243" s="91">
        <v>103.5</v>
      </c>
    </row>
    <row r="2244" spans="1:2" x14ac:dyDescent="0.2">
      <c r="A2244" t="s">
        <v>1057</v>
      </c>
      <c r="B2244" s="91">
        <v>62</v>
      </c>
    </row>
    <row r="2245" spans="1:2" x14ac:dyDescent="0.2">
      <c r="A2245" t="s">
        <v>1057</v>
      </c>
      <c r="B2245" s="91">
        <v>39.25</v>
      </c>
    </row>
    <row r="2246" spans="1:2" x14ac:dyDescent="0.2">
      <c r="A2246" t="s">
        <v>1057</v>
      </c>
      <c r="B2246" s="91">
        <v>63.25</v>
      </c>
    </row>
    <row r="2247" spans="1:2" x14ac:dyDescent="0.2">
      <c r="A2247" t="s">
        <v>1057</v>
      </c>
      <c r="B2247" s="91">
        <v>65.25</v>
      </c>
    </row>
    <row r="2248" spans="1:2" x14ac:dyDescent="0.2">
      <c r="A2248" t="s">
        <v>1057</v>
      </c>
      <c r="B2248" s="91">
        <v>14.5</v>
      </c>
    </row>
    <row r="2249" spans="1:2" x14ac:dyDescent="0.2">
      <c r="A2249" t="s">
        <v>1057</v>
      </c>
      <c r="B2249" s="91">
        <v>14.5</v>
      </c>
    </row>
    <row r="2250" spans="1:2" x14ac:dyDescent="0.2">
      <c r="A2250" t="s">
        <v>1057</v>
      </c>
      <c r="B2250" s="91">
        <v>37.5</v>
      </c>
    </row>
    <row r="2251" spans="1:2" x14ac:dyDescent="0.2">
      <c r="A2251" t="s">
        <v>1057</v>
      </c>
      <c r="B2251" s="91">
        <v>66</v>
      </c>
    </row>
    <row r="2252" spans="1:2" x14ac:dyDescent="0.2">
      <c r="A2252" t="s">
        <v>1057</v>
      </c>
      <c r="B2252" s="91">
        <v>75</v>
      </c>
    </row>
    <row r="2253" spans="1:2" x14ac:dyDescent="0.2">
      <c r="A2253" t="s">
        <v>1057</v>
      </c>
      <c r="B2253" s="91">
        <v>87</v>
      </c>
    </row>
    <row r="2254" spans="1:2" x14ac:dyDescent="0.2">
      <c r="A2254" t="s">
        <v>1057</v>
      </c>
      <c r="B2254" s="91">
        <v>67.5</v>
      </c>
    </row>
    <row r="2255" spans="1:2" x14ac:dyDescent="0.2">
      <c r="A2255" t="s">
        <v>1057</v>
      </c>
      <c r="B2255" s="91">
        <v>67.5</v>
      </c>
    </row>
    <row r="2256" spans="1:2" x14ac:dyDescent="0.2">
      <c r="A2256" t="s">
        <v>1057</v>
      </c>
      <c r="B2256" s="91">
        <v>67.5</v>
      </c>
    </row>
    <row r="2257" spans="1:2" x14ac:dyDescent="0.2">
      <c r="A2257" t="s">
        <v>1057</v>
      </c>
      <c r="B2257" s="91">
        <v>85</v>
      </c>
    </row>
    <row r="2258" spans="1:2" x14ac:dyDescent="0.2">
      <c r="A2258" t="s">
        <v>1057</v>
      </c>
      <c r="B2258" s="91">
        <v>-70.98</v>
      </c>
    </row>
    <row r="2259" spans="1:2" x14ac:dyDescent="0.2">
      <c r="A2259" t="s">
        <v>1058</v>
      </c>
      <c r="B2259" s="91">
        <v>23</v>
      </c>
    </row>
    <row r="2260" spans="1:2" x14ac:dyDescent="0.2">
      <c r="A2260" t="s">
        <v>1059</v>
      </c>
      <c r="B2260" s="91">
        <v>6.75</v>
      </c>
    </row>
    <row r="2261" spans="1:2" x14ac:dyDescent="0.2">
      <c r="A2261" t="s">
        <v>1059</v>
      </c>
      <c r="B2261" s="91">
        <v>7.5</v>
      </c>
    </row>
    <row r="2262" spans="1:2" x14ac:dyDescent="0.2">
      <c r="A2262" t="s">
        <v>1059</v>
      </c>
      <c r="B2262" s="91">
        <v>18</v>
      </c>
    </row>
    <row r="2263" spans="1:2" x14ac:dyDescent="0.2">
      <c r="A2263" t="s">
        <v>1059</v>
      </c>
      <c r="B2263" s="91">
        <v>13.75</v>
      </c>
    </row>
    <row r="2264" spans="1:2" x14ac:dyDescent="0.2">
      <c r="A2264" t="s">
        <v>1060</v>
      </c>
      <c r="B2264" s="91">
        <v>49</v>
      </c>
    </row>
    <row r="2265" spans="1:2" x14ac:dyDescent="0.2">
      <c r="A2265" t="s">
        <v>1060</v>
      </c>
      <c r="B2265" s="91">
        <v>49</v>
      </c>
    </row>
    <row r="2266" spans="1:2" x14ac:dyDescent="0.2">
      <c r="A2266" t="s">
        <v>1060</v>
      </c>
      <c r="B2266" s="91">
        <v>59.25</v>
      </c>
    </row>
    <row r="2267" spans="1:2" x14ac:dyDescent="0.2">
      <c r="A2267" t="s">
        <v>1060</v>
      </c>
      <c r="B2267" s="91">
        <v>46</v>
      </c>
    </row>
    <row r="2268" spans="1:2" x14ac:dyDescent="0.2">
      <c r="A2268" t="s">
        <v>1060</v>
      </c>
      <c r="B2268" s="91">
        <v>59</v>
      </c>
    </row>
    <row r="2269" spans="1:2" x14ac:dyDescent="0.2">
      <c r="A2269" t="s">
        <v>1060</v>
      </c>
      <c r="B2269" s="91">
        <v>35.5</v>
      </c>
    </row>
    <row r="2270" spans="1:2" x14ac:dyDescent="0.2">
      <c r="A2270" t="s">
        <v>1060</v>
      </c>
      <c r="B2270" s="91">
        <v>43</v>
      </c>
    </row>
    <row r="2271" spans="1:2" x14ac:dyDescent="0.2">
      <c r="A2271" t="s">
        <v>1060</v>
      </c>
      <c r="B2271" s="91">
        <v>43</v>
      </c>
    </row>
    <row r="2272" spans="1:2" x14ac:dyDescent="0.2">
      <c r="A2272" t="s">
        <v>1060</v>
      </c>
      <c r="B2272" s="91">
        <v>18.75</v>
      </c>
    </row>
    <row r="2273" spans="1:2" x14ac:dyDescent="0.2">
      <c r="A2273" t="s">
        <v>1060</v>
      </c>
      <c r="B2273" s="91">
        <v>18.75</v>
      </c>
    </row>
    <row r="2274" spans="1:2" x14ac:dyDescent="0.2">
      <c r="A2274" t="s">
        <v>1060</v>
      </c>
      <c r="B2274" s="91">
        <v>28.75</v>
      </c>
    </row>
    <row r="2275" spans="1:2" x14ac:dyDescent="0.2">
      <c r="A2275" t="s">
        <v>1060</v>
      </c>
      <c r="B2275" s="91">
        <v>28.75</v>
      </c>
    </row>
    <row r="2276" spans="1:2" x14ac:dyDescent="0.2">
      <c r="A2276" t="s">
        <v>1060</v>
      </c>
      <c r="B2276" s="91">
        <v>132</v>
      </c>
    </row>
    <row r="2277" spans="1:2" x14ac:dyDescent="0.2">
      <c r="A2277" t="s">
        <v>1060</v>
      </c>
      <c r="B2277" s="91">
        <v>99</v>
      </c>
    </row>
    <row r="2278" spans="1:2" x14ac:dyDescent="0.2">
      <c r="A2278" t="s">
        <v>1060</v>
      </c>
      <c r="B2278" s="91">
        <v>66</v>
      </c>
    </row>
    <row r="2279" spans="1:2" x14ac:dyDescent="0.2">
      <c r="A2279" t="s">
        <v>1060</v>
      </c>
      <c r="B2279" s="91">
        <v>43.75</v>
      </c>
    </row>
    <row r="2280" spans="1:2" x14ac:dyDescent="0.2">
      <c r="A2280" t="s">
        <v>1060</v>
      </c>
      <c r="B2280" s="91">
        <v>37</v>
      </c>
    </row>
    <row r="2281" spans="1:2" x14ac:dyDescent="0.2">
      <c r="A2281" t="s">
        <v>1060</v>
      </c>
      <c r="B2281" s="91">
        <v>152</v>
      </c>
    </row>
    <row r="2282" spans="1:2" x14ac:dyDescent="0.2">
      <c r="A2282" t="s">
        <v>1060</v>
      </c>
      <c r="B2282" s="91">
        <v>14.5</v>
      </c>
    </row>
    <row r="2283" spans="1:2" x14ac:dyDescent="0.2">
      <c r="A2283" t="s">
        <v>1060</v>
      </c>
      <c r="B2283" s="91">
        <v>14.5</v>
      </c>
    </row>
    <row r="2284" spans="1:2" x14ac:dyDescent="0.2">
      <c r="A2284" t="s">
        <v>1060</v>
      </c>
      <c r="B2284" s="91">
        <v>38.25</v>
      </c>
    </row>
    <row r="2285" spans="1:2" x14ac:dyDescent="0.2">
      <c r="A2285" t="s">
        <v>1060</v>
      </c>
      <c r="B2285" s="91">
        <v>53.25</v>
      </c>
    </row>
    <row r="2286" spans="1:2" x14ac:dyDescent="0.2">
      <c r="A2286" t="s">
        <v>1060</v>
      </c>
      <c r="B2286" s="91">
        <v>33</v>
      </c>
    </row>
    <row r="2287" spans="1:2" x14ac:dyDescent="0.2">
      <c r="A2287" t="s">
        <v>1060</v>
      </c>
      <c r="B2287" s="91">
        <v>63</v>
      </c>
    </row>
    <row r="2288" spans="1:2" x14ac:dyDescent="0.2">
      <c r="A2288" t="s">
        <v>1060</v>
      </c>
      <c r="B2288" s="91">
        <v>53</v>
      </c>
    </row>
    <row r="2289" spans="1:2" x14ac:dyDescent="0.2">
      <c r="A2289" t="s">
        <v>1060</v>
      </c>
      <c r="B2289" s="91">
        <v>55.75</v>
      </c>
    </row>
    <row r="2290" spans="1:2" x14ac:dyDescent="0.2">
      <c r="A2290" t="s">
        <v>1060</v>
      </c>
      <c r="B2290" s="91">
        <v>57</v>
      </c>
    </row>
    <row r="2291" spans="1:2" x14ac:dyDescent="0.2">
      <c r="A2291" t="s">
        <v>1060</v>
      </c>
      <c r="B2291" s="91">
        <v>47.25</v>
      </c>
    </row>
    <row r="2292" spans="1:2" x14ac:dyDescent="0.2">
      <c r="A2292" t="s">
        <v>1060</v>
      </c>
      <c r="B2292" s="91">
        <v>43.5</v>
      </c>
    </row>
    <row r="2293" spans="1:2" x14ac:dyDescent="0.2">
      <c r="A2293" t="s">
        <v>1060</v>
      </c>
      <c r="B2293" s="91">
        <v>45</v>
      </c>
    </row>
    <row r="2294" spans="1:2" x14ac:dyDescent="0.2">
      <c r="A2294" t="s">
        <v>1060</v>
      </c>
      <c r="B2294" s="91">
        <v>66</v>
      </c>
    </row>
    <row r="2295" spans="1:2" x14ac:dyDescent="0.2">
      <c r="A2295" t="s">
        <v>1060</v>
      </c>
      <c r="B2295" s="91">
        <v>146.5</v>
      </c>
    </row>
    <row r="2296" spans="1:2" x14ac:dyDescent="0.2">
      <c r="A2296" t="s">
        <v>1060</v>
      </c>
      <c r="B2296" s="91">
        <v>37.5</v>
      </c>
    </row>
    <row r="2297" spans="1:2" x14ac:dyDescent="0.2">
      <c r="A2297" t="s">
        <v>1060</v>
      </c>
      <c r="B2297" s="91">
        <v>145</v>
      </c>
    </row>
    <row r="2298" spans="1:2" x14ac:dyDescent="0.2">
      <c r="A2298" t="s">
        <v>1060</v>
      </c>
      <c r="B2298" s="91">
        <v>27.459999999999994</v>
      </c>
    </row>
    <row r="2299" spans="1:2" x14ac:dyDescent="0.2">
      <c r="A2299" t="s">
        <v>1061</v>
      </c>
      <c r="B2299" s="91">
        <v>14.25</v>
      </c>
    </row>
    <row r="2300" spans="1:2" x14ac:dyDescent="0.2">
      <c r="A2300" t="s">
        <v>1062</v>
      </c>
      <c r="B2300" s="91">
        <v>9.75</v>
      </c>
    </row>
    <row r="2301" spans="1:2" x14ac:dyDescent="0.2">
      <c r="A2301" t="s">
        <v>1063</v>
      </c>
      <c r="B2301" s="91">
        <v>19.5</v>
      </c>
    </row>
    <row r="2302" spans="1:2" x14ac:dyDescent="0.2">
      <c r="A2302" t="s">
        <v>1064</v>
      </c>
      <c r="B2302" s="91">
        <v>9</v>
      </c>
    </row>
    <row r="2303" spans="1:2" x14ac:dyDescent="0.2">
      <c r="A2303" t="s">
        <v>1064</v>
      </c>
      <c r="B2303" s="91">
        <v>10</v>
      </c>
    </row>
    <row r="2304" spans="1:2" x14ac:dyDescent="0.2">
      <c r="A2304" t="s">
        <v>1065</v>
      </c>
      <c r="B2304" s="91">
        <v>28</v>
      </c>
    </row>
    <row r="2305" spans="1:2" x14ac:dyDescent="0.2">
      <c r="A2305" t="s">
        <v>1066</v>
      </c>
      <c r="B2305" s="91">
        <v>26.5</v>
      </c>
    </row>
    <row r="2306" spans="1:2" x14ac:dyDescent="0.2">
      <c r="A2306" t="s">
        <v>1067</v>
      </c>
      <c r="B2306" s="91">
        <v>10</v>
      </c>
    </row>
    <row r="2307" spans="1:2" x14ac:dyDescent="0.2">
      <c r="A2307" t="s">
        <v>1068</v>
      </c>
      <c r="B2307" s="91">
        <v>39.75</v>
      </c>
    </row>
    <row r="2308" spans="1:2" x14ac:dyDescent="0.2">
      <c r="A2308" t="s">
        <v>1069</v>
      </c>
      <c r="B2308" s="91">
        <v>82</v>
      </c>
    </row>
    <row r="2309" spans="1:2" x14ac:dyDescent="0.2">
      <c r="A2309" t="s">
        <v>1070</v>
      </c>
      <c r="B2309" s="91">
        <v>712</v>
      </c>
    </row>
    <row r="2310" spans="1:2" x14ac:dyDescent="0.2">
      <c r="A2310" t="s">
        <v>1071</v>
      </c>
      <c r="B2310" s="91">
        <v>18</v>
      </c>
    </row>
    <row r="2311" spans="1:2" x14ac:dyDescent="0.2">
      <c r="A2311" t="s">
        <v>1071</v>
      </c>
      <c r="B2311" s="91">
        <v>18</v>
      </c>
    </row>
    <row r="2312" spans="1:2" x14ac:dyDescent="0.2">
      <c r="A2312" t="s">
        <v>1071</v>
      </c>
      <c r="B2312" s="91">
        <v>26.5</v>
      </c>
    </row>
    <row r="2313" spans="1:2" x14ac:dyDescent="0.2">
      <c r="A2313" t="s">
        <v>1072</v>
      </c>
      <c r="B2313" s="91">
        <v>21.5</v>
      </c>
    </row>
    <row r="2314" spans="1:2" x14ac:dyDescent="0.2">
      <c r="A2314" t="s">
        <v>1072</v>
      </c>
      <c r="B2314" s="91">
        <v>21.5</v>
      </c>
    </row>
    <row r="2315" spans="1:2" x14ac:dyDescent="0.2">
      <c r="A2315" t="s">
        <v>1073</v>
      </c>
      <c r="B2315" s="91">
        <v>190</v>
      </c>
    </row>
    <row r="2316" spans="1:2" x14ac:dyDescent="0.2">
      <c r="A2316" t="s">
        <v>1074</v>
      </c>
      <c r="B2316" s="91">
        <v>616</v>
      </c>
    </row>
    <row r="2317" spans="1:2" x14ac:dyDescent="0.2">
      <c r="A2317" t="s">
        <v>1075</v>
      </c>
      <c r="B2317" s="91">
        <v>75</v>
      </c>
    </row>
    <row r="2318" spans="1:2" x14ac:dyDescent="0.2">
      <c r="A2318" t="s">
        <v>1075</v>
      </c>
      <c r="B2318" s="91">
        <v>51.25</v>
      </c>
    </row>
    <row r="2319" spans="1:2" x14ac:dyDescent="0.2">
      <c r="A2319" t="s">
        <v>1075</v>
      </c>
      <c r="B2319" s="91">
        <v>178</v>
      </c>
    </row>
    <row r="2320" spans="1:2" x14ac:dyDescent="0.2">
      <c r="A2320" t="s">
        <v>1076</v>
      </c>
      <c r="B2320" s="91">
        <v>27.5</v>
      </c>
    </row>
    <row r="2321" spans="1:2" x14ac:dyDescent="0.2">
      <c r="A2321" t="s">
        <v>1076</v>
      </c>
      <c r="B2321" s="91">
        <v>63</v>
      </c>
    </row>
    <row r="2322" spans="1:2" x14ac:dyDescent="0.2">
      <c r="A2322" t="s">
        <v>1076</v>
      </c>
      <c r="B2322" s="91">
        <v>27.5</v>
      </c>
    </row>
    <row r="2323" spans="1:2" x14ac:dyDescent="0.2">
      <c r="A2323" t="s">
        <v>1076</v>
      </c>
      <c r="B2323" s="91">
        <v>40.75</v>
      </c>
    </row>
    <row r="2324" spans="1:2" x14ac:dyDescent="0.2">
      <c r="A2324" t="s">
        <v>1077</v>
      </c>
      <c r="B2324" s="91">
        <v>18</v>
      </c>
    </row>
    <row r="2325" spans="1:2" x14ac:dyDescent="0.2">
      <c r="A2325" t="s">
        <v>1078</v>
      </c>
      <c r="B2325" s="91">
        <v>54</v>
      </c>
    </row>
    <row r="2326" spans="1:2" x14ac:dyDescent="0.2">
      <c r="A2326" t="s">
        <v>1078</v>
      </c>
      <c r="B2326" s="91">
        <v>45</v>
      </c>
    </row>
    <row r="2327" spans="1:2" x14ac:dyDescent="0.2">
      <c r="A2327" t="s">
        <v>1078</v>
      </c>
      <c r="B2327" s="91">
        <v>22.75</v>
      </c>
    </row>
    <row r="2328" spans="1:2" x14ac:dyDescent="0.2">
      <c r="A2328" t="s">
        <v>1078</v>
      </c>
      <c r="B2328" s="91">
        <v>12.25</v>
      </c>
    </row>
    <row r="2329" spans="1:2" x14ac:dyDescent="0.2">
      <c r="A2329" t="s">
        <v>1079</v>
      </c>
      <c r="B2329" s="91">
        <v>13</v>
      </c>
    </row>
    <row r="2330" spans="1:2" x14ac:dyDescent="0.2">
      <c r="A2330" t="s">
        <v>1080</v>
      </c>
      <c r="B2330" s="91">
        <v>135</v>
      </c>
    </row>
    <row r="2331" spans="1:2" x14ac:dyDescent="0.2">
      <c r="A2331" t="s">
        <v>1081</v>
      </c>
      <c r="B2331" s="91">
        <v>1</v>
      </c>
    </row>
    <row r="2332" spans="1:2" x14ac:dyDescent="0.2">
      <c r="A2332" t="s">
        <v>1082</v>
      </c>
      <c r="B2332" s="91">
        <v>57.25</v>
      </c>
    </row>
    <row r="2333" spans="1:2" x14ac:dyDescent="0.2">
      <c r="A2333" t="s">
        <v>1082</v>
      </c>
      <c r="B2333" s="91">
        <v>7</v>
      </c>
    </row>
    <row r="2334" spans="1:2" x14ac:dyDescent="0.2">
      <c r="A2334" t="s">
        <v>1083</v>
      </c>
      <c r="B2334" s="91">
        <v>164</v>
      </c>
    </row>
    <row r="2335" spans="1:2" x14ac:dyDescent="0.2">
      <c r="A2335" t="s">
        <v>1084</v>
      </c>
      <c r="B2335" s="91">
        <v>67.5</v>
      </c>
    </row>
    <row r="2336" spans="1:2" x14ac:dyDescent="0.2">
      <c r="A2336" t="s">
        <v>1084</v>
      </c>
      <c r="B2336" s="91">
        <v>67.5</v>
      </c>
    </row>
    <row r="2337" spans="1:2" x14ac:dyDescent="0.2">
      <c r="A2337" t="s">
        <v>1084</v>
      </c>
      <c r="B2337" s="91">
        <v>150</v>
      </c>
    </row>
    <row r="2338" spans="1:2" x14ac:dyDescent="0.2">
      <c r="A2338" t="s">
        <v>1084</v>
      </c>
      <c r="B2338" s="91">
        <v>150</v>
      </c>
    </row>
    <row r="2339" spans="1:2" x14ac:dyDescent="0.2">
      <c r="A2339" t="s">
        <v>1084</v>
      </c>
      <c r="B2339" s="91">
        <v>300</v>
      </c>
    </row>
    <row r="2340" spans="1:2" x14ac:dyDescent="0.2">
      <c r="A2340" t="s">
        <v>1084</v>
      </c>
      <c r="B2340" s="91">
        <v>192</v>
      </c>
    </row>
    <row r="2341" spans="1:2" x14ac:dyDescent="0.2">
      <c r="A2341" t="s">
        <v>1085</v>
      </c>
      <c r="B2341" s="91">
        <v>35.5</v>
      </c>
    </row>
    <row r="2342" spans="1:2" x14ac:dyDescent="0.2">
      <c r="A2342" t="s">
        <v>1086</v>
      </c>
      <c r="B2342" s="91">
        <v>73</v>
      </c>
    </row>
    <row r="2343" spans="1:2" x14ac:dyDescent="0.2">
      <c r="A2343" t="s">
        <v>1087</v>
      </c>
      <c r="B2343" s="91">
        <v>18</v>
      </c>
    </row>
    <row r="2344" spans="1:2" x14ac:dyDescent="0.2">
      <c r="A2344" t="s">
        <v>1088</v>
      </c>
      <c r="B2344" s="91">
        <v>24.75</v>
      </c>
    </row>
    <row r="2345" spans="1:2" x14ac:dyDescent="0.2">
      <c r="A2345" t="s">
        <v>1088</v>
      </c>
      <c r="B2345" s="91">
        <v>29.5</v>
      </c>
    </row>
    <row r="2346" spans="1:2" x14ac:dyDescent="0.2">
      <c r="A2346" t="s">
        <v>1089</v>
      </c>
      <c r="B2346" s="91">
        <v>74.75</v>
      </c>
    </row>
    <row r="2347" spans="1:2" x14ac:dyDescent="0.2">
      <c r="A2347" t="s">
        <v>1090</v>
      </c>
      <c r="B2347" s="91">
        <v>190</v>
      </c>
    </row>
    <row r="2348" spans="1:2" x14ac:dyDescent="0.2">
      <c r="A2348" t="s">
        <v>1091</v>
      </c>
      <c r="B2348" s="91">
        <v>14.75</v>
      </c>
    </row>
    <row r="2349" spans="1:2" x14ac:dyDescent="0.2">
      <c r="A2349" t="s">
        <v>1092</v>
      </c>
      <c r="B2349" s="91">
        <v>63.75</v>
      </c>
    </row>
    <row r="2350" spans="1:2" x14ac:dyDescent="0.2">
      <c r="A2350" t="s">
        <v>1092</v>
      </c>
      <c r="B2350" s="91">
        <v>64.75</v>
      </c>
    </row>
    <row r="2351" spans="1:2" x14ac:dyDescent="0.2">
      <c r="A2351" t="s">
        <v>1092</v>
      </c>
      <c r="B2351" s="91">
        <v>28.5</v>
      </c>
    </row>
    <row r="2352" spans="1:2" x14ac:dyDescent="0.2">
      <c r="A2352" t="s">
        <v>1092</v>
      </c>
      <c r="B2352" s="91">
        <v>153</v>
      </c>
    </row>
    <row r="2353" spans="1:2" x14ac:dyDescent="0.2">
      <c r="A2353" t="s">
        <v>1092</v>
      </c>
      <c r="B2353" s="91">
        <v>45</v>
      </c>
    </row>
    <row r="2354" spans="1:2" x14ac:dyDescent="0.2">
      <c r="A2354" t="s">
        <v>1092</v>
      </c>
      <c r="B2354" s="91">
        <v>18</v>
      </c>
    </row>
    <row r="2355" spans="1:2" x14ac:dyDescent="0.2">
      <c r="A2355" t="s">
        <v>1092</v>
      </c>
      <c r="B2355" s="91">
        <v>35</v>
      </c>
    </row>
    <row r="2356" spans="1:2" x14ac:dyDescent="0.2">
      <c r="A2356" t="s">
        <v>1093</v>
      </c>
      <c r="B2356" s="91">
        <v>177.75</v>
      </c>
    </row>
    <row r="2357" spans="1:2" x14ac:dyDescent="0.2">
      <c r="A2357" t="s">
        <v>1093</v>
      </c>
      <c r="B2357" s="91">
        <v>18</v>
      </c>
    </row>
    <row r="2358" spans="1:2" x14ac:dyDescent="0.2">
      <c r="A2358" t="s">
        <v>1094</v>
      </c>
      <c r="B2358" s="91">
        <v>20</v>
      </c>
    </row>
    <row r="2359" spans="1:2" x14ac:dyDescent="0.2">
      <c r="A2359" t="s">
        <v>1094</v>
      </c>
      <c r="B2359" s="91">
        <v>22</v>
      </c>
    </row>
    <row r="2360" spans="1:2" x14ac:dyDescent="0.2">
      <c r="A2360" t="s">
        <v>1094</v>
      </c>
      <c r="B2360" s="91">
        <v>9.75</v>
      </c>
    </row>
    <row r="2361" spans="1:2" x14ac:dyDescent="0.2">
      <c r="A2361" t="s">
        <v>1095</v>
      </c>
      <c r="B2361" s="91">
        <v>9</v>
      </c>
    </row>
    <row r="2362" spans="1:2" x14ac:dyDescent="0.2">
      <c r="A2362" t="s">
        <v>1096</v>
      </c>
      <c r="B2362" s="91">
        <v>21</v>
      </c>
    </row>
    <row r="2363" spans="1:2" x14ac:dyDescent="0.2">
      <c r="A2363" t="s">
        <v>1097</v>
      </c>
      <c r="B2363" s="91">
        <v>1048</v>
      </c>
    </row>
    <row r="2364" spans="1:2" x14ac:dyDescent="0.2">
      <c r="A2364" t="s">
        <v>1098</v>
      </c>
      <c r="B2364" s="91">
        <v>12.5</v>
      </c>
    </row>
    <row r="2365" spans="1:2" x14ac:dyDescent="0.2">
      <c r="A2365" t="s">
        <v>1098</v>
      </c>
      <c r="B2365" s="91">
        <v>18</v>
      </c>
    </row>
    <row r="2366" spans="1:2" x14ac:dyDescent="0.2">
      <c r="A2366" t="s">
        <v>1098</v>
      </c>
      <c r="B2366" s="91">
        <v>8</v>
      </c>
    </row>
    <row r="2367" spans="1:2" x14ac:dyDescent="0.2">
      <c r="A2367" t="s">
        <v>1099</v>
      </c>
      <c r="B2367" s="91">
        <v>72.5</v>
      </c>
    </row>
    <row r="2368" spans="1:2" x14ac:dyDescent="0.2">
      <c r="A2368" t="s">
        <v>1100</v>
      </c>
      <c r="B2368" s="91">
        <v>13.75</v>
      </c>
    </row>
    <row r="2369" spans="1:2" x14ac:dyDescent="0.2">
      <c r="A2369" t="s">
        <v>1100</v>
      </c>
      <c r="B2369" s="91">
        <v>9</v>
      </c>
    </row>
    <row r="2370" spans="1:2" x14ac:dyDescent="0.2">
      <c r="A2370" t="s">
        <v>1101</v>
      </c>
      <c r="B2370" s="91">
        <v>264</v>
      </c>
    </row>
    <row r="2371" spans="1:2" x14ac:dyDescent="0.2">
      <c r="A2371" t="s">
        <v>1102</v>
      </c>
      <c r="B2371" s="91">
        <v>27</v>
      </c>
    </row>
    <row r="2372" spans="1:2" x14ac:dyDescent="0.2">
      <c r="A2372" t="s">
        <v>1102</v>
      </c>
      <c r="B2372" s="91">
        <v>16.5</v>
      </c>
    </row>
    <row r="2373" spans="1:2" x14ac:dyDescent="0.2">
      <c r="A2373" t="s">
        <v>1103</v>
      </c>
      <c r="B2373" s="91">
        <v>15.5</v>
      </c>
    </row>
    <row r="2374" spans="1:2" x14ac:dyDescent="0.2">
      <c r="A2374" t="s">
        <v>1104</v>
      </c>
      <c r="B2374" s="91">
        <v>24</v>
      </c>
    </row>
    <row r="2375" spans="1:2" x14ac:dyDescent="0.2">
      <c r="A2375" t="s">
        <v>1105</v>
      </c>
      <c r="B2375" s="91">
        <v>72.5</v>
      </c>
    </row>
    <row r="2376" spans="1:2" x14ac:dyDescent="0.2">
      <c r="A2376" t="s">
        <v>1105</v>
      </c>
      <c r="B2376" s="91">
        <v>21.75</v>
      </c>
    </row>
    <row r="2377" spans="1:2" x14ac:dyDescent="0.2">
      <c r="A2377" t="s">
        <v>1106</v>
      </c>
      <c r="B2377" s="91">
        <v>24</v>
      </c>
    </row>
    <row r="2378" spans="1:2" x14ac:dyDescent="0.2">
      <c r="A2378" t="s">
        <v>1106</v>
      </c>
      <c r="B2378" s="91">
        <v>13.75</v>
      </c>
    </row>
    <row r="2379" spans="1:2" x14ac:dyDescent="0.2">
      <c r="A2379" t="s">
        <v>1107</v>
      </c>
      <c r="B2379" s="91">
        <v>67.5</v>
      </c>
    </row>
    <row r="2380" spans="1:2" x14ac:dyDescent="0.2">
      <c r="A2380" t="s">
        <v>1108</v>
      </c>
      <c r="B2380" s="91">
        <v>45.5</v>
      </c>
    </row>
    <row r="2381" spans="1:2" x14ac:dyDescent="0.2">
      <c r="A2381" t="s">
        <v>1109</v>
      </c>
      <c r="B2381" s="91">
        <v>20.75</v>
      </c>
    </row>
    <row r="2382" spans="1:2" x14ac:dyDescent="0.2">
      <c r="A2382" t="s">
        <v>1110</v>
      </c>
      <c r="B2382" s="91">
        <v>45</v>
      </c>
    </row>
    <row r="2383" spans="1:2" x14ac:dyDescent="0.2">
      <c r="A2383" t="s">
        <v>1111</v>
      </c>
      <c r="B2383" s="91">
        <v>8</v>
      </c>
    </row>
    <row r="2384" spans="1:2" x14ac:dyDescent="0.2">
      <c r="A2384" t="s">
        <v>1112</v>
      </c>
      <c r="B2384" s="91">
        <v>16</v>
      </c>
    </row>
    <row r="2385" spans="1:2" x14ac:dyDescent="0.2">
      <c r="A2385" t="s">
        <v>1112</v>
      </c>
      <c r="B2385" s="91">
        <v>28.5</v>
      </c>
    </row>
    <row r="2386" spans="1:2" x14ac:dyDescent="0.2">
      <c r="A2386" t="s">
        <v>1112</v>
      </c>
      <c r="B2386" s="91">
        <v>18</v>
      </c>
    </row>
    <row r="2387" spans="1:2" x14ac:dyDescent="0.2">
      <c r="A2387" t="s">
        <v>1112</v>
      </c>
      <c r="B2387" s="91">
        <v>14.75</v>
      </c>
    </row>
    <row r="2388" spans="1:2" x14ac:dyDescent="0.2">
      <c r="A2388" t="s">
        <v>1112</v>
      </c>
      <c r="B2388" s="91">
        <v>51.75</v>
      </c>
    </row>
    <row r="2389" spans="1:2" x14ac:dyDescent="0.2">
      <c r="A2389" t="s">
        <v>1112</v>
      </c>
      <c r="B2389" s="91">
        <v>55.06</v>
      </c>
    </row>
    <row r="2390" spans="1:2" x14ac:dyDescent="0.2">
      <c r="A2390" t="s">
        <v>1112</v>
      </c>
      <c r="B2390" s="91">
        <v>121</v>
      </c>
    </row>
    <row r="2391" spans="1:2" x14ac:dyDescent="0.2">
      <c r="A2391" t="s">
        <v>1112</v>
      </c>
      <c r="B2391" s="91">
        <v>18</v>
      </c>
    </row>
    <row r="2392" spans="1:2" x14ac:dyDescent="0.2">
      <c r="A2392" t="s">
        <v>1113</v>
      </c>
      <c r="B2392" s="91">
        <v>480</v>
      </c>
    </row>
    <row r="2393" spans="1:2" x14ac:dyDescent="0.2">
      <c r="A2393" t="s">
        <v>1113</v>
      </c>
      <c r="B2393" s="91">
        <v>400</v>
      </c>
    </row>
    <row r="2394" spans="1:2" x14ac:dyDescent="0.2">
      <c r="A2394" t="s">
        <v>1114</v>
      </c>
      <c r="B2394" s="91">
        <v>8</v>
      </c>
    </row>
    <row r="2395" spans="1:2" x14ac:dyDescent="0.2">
      <c r="A2395" t="s">
        <v>1114</v>
      </c>
      <c r="B2395" s="91">
        <v>9.75</v>
      </c>
    </row>
    <row r="2396" spans="1:2" x14ac:dyDescent="0.2">
      <c r="A2396" t="s">
        <v>1115</v>
      </c>
      <c r="B2396" s="91">
        <v>13.75</v>
      </c>
    </row>
    <row r="2397" spans="1:2" x14ac:dyDescent="0.2">
      <c r="A2397" t="s">
        <v>1116</v>
      </c>
      <c r="B2397" s="91">
        <v>393</v>
      </c>
    </row>
    <row r="2398" spans="1:2" x14ac:dyDescent="0.2">
      <c r="A2398" t="s">
        <v>1117</v>
      </c>
      <c r="B2398" s="91">
        <v>24.5</v>
      </c>
    </row>
    <row r="2399" spans="1:2" x14ac:dyDescent="0.2">
      <c r="A2399" t="s">
        <v>1117</v>
      </c>
      <c r="B2399" s="91">
        <v>7.5</v>
      </c>
    </row>
    <row r="2400" spans="1:2" x14ac:dyDescent="0.2">
      <c r="A2400" t="s">
        <v>1117</v>
      </c>
      <c r="B2400" s="91">
        <v>7.5</v>
      </c>
    </row>
    <row r="2401" spans="1:2" x14ac:dyDescent="0.2">
      <c r="A2401" t="s">
        <v>1118</v>
      </c>
      <c r="B2401" s="91">
        <v>144.75</v>
      </c>
    </row>
    <row r="2402" spans="1:2" x14ac:dyDescent="0.2">
      <c r="A2402" t="s">
        <v>1119</v>
      </c>
      <c r="B2402" s="91">
        <v>891</v>
      </c>
    </row>
    <row r="2403" spans="1:2" x14ac:dyDescent="0.2">
      <c r="A2403" t="s">
        <v>1119</v>
      </c>
      <c r="B2403" s="91">
        <v>73</v>
      </c>
    </row>
    <row r="2404" spans="1:2" x14ac:dyDescent="0.2">
      <c r="A2404" t="s">
        <v>1120</v>
      </c>
      <c r="B2404" s="91">
        <v>22</v>
      </c>
    </row>
    <row r="2405" spans="1:2" x14ac:dyDescent="0.2">
      <c r="A2405" t="s">
        <v>1121</v>
      </c>
      <c r="B2405" s="91">
        <v>14.25</v>
      </c>
    </row>
    <row r="2406" spans="1:2" x14ac:dyDescent="0.2">
      <c r="A2406" t="s">
        <v>1121</v>
      </c>
      <c r="B2406" s="91">
        <v>12</v>
      </c>
    </row>
    <row r="2407" spans="1:2" x14ac:dyDescent="0.2">
      <c r="A2407" t="s">
        <v>1122</v>
      </c>
      <c r="B2407" s="91">
        <v>240</v>
      </c>
    </row>
    <row r="2408" spans="1:2" x14ac:dyDescent="0.2">
      <c r="A2408" t="s">
        <v>1122</v>
      </c>
      <c r="B2408" s="91">
        <v>70</v>
      </c>
    </row>
    <row r="2409" spans="1:2" x14ac:dyDescent="0.2">
      <c r="A2409" t="s">
        <v>1123</v>
      </c>
      <c r="B2409" s="91">
        <v>11.5</v>
      </c>
    </row>
    <row r="2410" spans="1:2" x14ac:dyDescent="0.2">
      <c r="A2410" t="s">
        <v>1124</v>
      </c>
      <c r="B2410" s="91">
        <v>5</v>
      </c>
    </row>
    <row r="2411" spans="1:2" x14ac:dyDescent="0.2">
      <c r="A2411" t="s">
        <v>1125</v>
      </c>
      <c r="B2411" s="91">
        <v>18</v>
      </c>
    </row>
    <row r="2412" spans="1:2" x14ac:dyDescent="0.2">
      <c r="A2412" t="s">
        <v>1125</v>
      </c>
      <c r="B2412" s="91">
        <v>9</v>
      </c>
    </row>
    <row r="2413" spans="1:2" x14ac:dyDescent="0.2">
      <c r="A2413" t="s">
        <v>1125</v>
      </c>
      <c r="B2413" s="91">
        <v>23.75</v>
      </c>
    </row>
    <row r="2414" spans="1:2" x14ac:dyDescent="0.2">
      <c r="A2414" t="s">
        <v>1126</v>
      </c>
      <c r="B2414" s="91">
        <v>29.5</v>
      </c>
    </row>
    <row r="2415" spans="1:2" x14ac:dyDescent="0.2">
      <c r="A2415" t="s">
        <v>1127</v>
      </c>
      <c r="B2415" s="91">
        <v>10</v>
      </c>
    </row>
    <row r="2416" spans="1:2" x14ac:dyDescent="0.2">
      <c r="A2416" t="s">
        <v>1127</v>
      </c>
      <c r="B2416" s="91">
        <v>13.75</v>
      </c>
    </row>
    <row r="2417" spans="1:2" x14ac:dyDescent="0.2">
      <c r="A2417" t="s">
        <v>1128</v>
      </c>
      <c r="B2417" s="91">
        <v>12.5</v>
      </c>
    </row>
    <row r="2418" spans="1:2" x14ac:dyDescent="0.2">
      <c r="A2418" t="s">
        <v>1128</v>
      </c>
      <c r="B2418" s="91">
        <v>21</v>
      </c>
    </row>
    <row r="2419" spans="1:2" x14ac:dyDescent="0.2">
      <c r="A2419" t="s">
        <v>1129</v>
      </c>
      <c r="B2419" s="91">
        <v>393</v>
      </c>
    </row>
    <row r="2420" spans="1:2" x14ac:dyDescent="0.2">
      <c r="A2420" t="s">
        <v>1130</v>
      </c>
      <c r="B2420" s="91">
        <v>26.25</v>
      </c>
    </row>
    <row r="2421" spans="1:2" x14ac:dyDescent="0.2">
      <c r="A2421" t="s">
        <v>1131</v>
      </c>
      <c r="B2421" s="91">
        <v>20.75</v>
      </c>
    </row>
    <row r="2422" spans="1:2" x14ac:dyDescent="0.2">
      <c r="A2422" t="s">
        <v>1131</v>
      </c>
      <c r="B2422" s="91">
        <v>14.75</v>
      </c>
    </row>
    <row r="2423" spans="1:2" x14ac:dyDescent="0.2">
      <c r="A2423" t="s">
        <v>1131</v>
      </c>
      <c r="B2423" s="91">
        <v>29.5</v>
      </c>
    </row>
    <row r="2424" spans="1:2" x14ac:dyDescent="0.2">
      <c r="A2424" t="s">
        <v>1132</v>
      </c>
      <c r="B2424" s="91">
        <v>262</v>
      </c>
    </row>
    <row r="2425" spans="1:2" x14ac:dyDescent="0.2">
      <c r="A2425" t="s">
        <v>1133</v>
      </c>
      <c r="B2425" s="91">
        <v>22.75</v>
      </c>
    </row>
    <row r="2426" spans="1:2" x14ac:dyDescent="0.2">
      <c r="A2426" t="s">
        <v>1134</v>
      </c>
      <c r="B2426" s="91">
        <v>190.5</v>
      </c>
    </row>
    <row r="2427" spans="1:2" x14ac:dyDescent="0.2">
      <c r="A2427" t="s">
        <v>1134</v>
      </c>
      <c r="B2427" s="91">
        <v>462</v>
      </c>
    </row>
    <row r="2428" spans="1:2" x14ac:dyDescent="0.2">
      <c r="A2428" t="s">
        <v>1134</v>
      </c>
      <c r="B2428" s="91">
        <v>295.5</v>
      </c>
    </row>
    <row r="2429" spans="1:2" x14ac:dyDescent="0.2">
      <c r="A2429" t="s">
        <v>1134</v>
      </c>
      <c r="B2429" s="91">
        <v>71</v>
      </c>
    </row>
    <row r="2430" spans="1:2" x14ac:dyDescent="0.2">
      <c r="A2430" t="s">
        <v>1134</v>
      </c>
      <c r="B2430" s="91">
        <v>77</v>
      </c>
    </row>
    <row r="2431" spans="1:2" x14ac:dyDescent="0.2">
      <c r="A2431" t="s">
        <v>1134</v>
      </c>
      <c r="B2431" s="91">
        <v>295</v>
      </c>
    </row>
    <row r="2432" spans="1:2" x14ac:dyDescent="0.2">
      <c r="A2432" t="s">
        <v>1134</v>
      </c>
      <c r="B2432" s="91">
        <v>232.5</v>
      </c>
    </row>
    <row r="2433" spans="1:2" x14ac:dyDescent="0.2">
      <c r="A2433" t="s">
        <v>1134</v>
      </c>
      <c r="B2433" s="91">
        <v>33.75</v>
      </c>
    </row>
    <row r="2434" spans="1:2" x14ac:dyDescent="0.2">
      <c r="A2434" t="s">
        <v>1134</v>
      </c>
      <c r="B2434" s="91">
        <v>63</v>
      </c>
    </row>
    <row r="2435" spans="1:2" x14ac:dyDescent="0.2">
      <c r="A2435" t="s">
        <v>1134</v>
      </c>
      <c r="B2435" s="91">
        <v>99</v>
      </c>
    </row>
    <row r="2436" spans="1:2" x14ac:dyDescent="0.2">
      <c r="A2436" t="s">
        <v>1134</v>
      </c>
      <c r="B2436" s="91">
        <v>52.75</v>
      </c>
    </row>
    <row r="2437" spans="1:2" x14ac:dyDescent="0.2">
      <c r="A2437" t="s">
        <v>1134</v>
      </c>
      <c r="B2437" s="91">
        <v>202.5</v>
      </c>
    </row>
    <row r="2438" spans="1:2" x14ac:dyDescent="0.2">
      <c r="A2438" t="s">
        <v>1134</v>
      </c>
      <c r="B2438" s="91">
        <v>29</v>
      </c>
    </row>
    <row r="2439" spans="1:2" x14ac:dyDescent="0.2">
      <c r="A2439" t="s">
        <v>1134</v>
      </c>
      <c r="B2439" s="91">
        <v>305.25</v>
      </c>
    </row>
    <row r="2440" spans="1:2" x14ac:dyDescent="0.2">
      <c r="A2440" t="s">
        <v>1134</v>
      </c>
      <c r="B2440" s="91">
        <v>71</v>
      </c>
    </row>
    <row r="2441" spans="1:2" x14ac:dyDescent="0.2">
      <c r="A2441" t="s">
        <v>1134</v>
      </c>
      <c r="B2441" s="91">
        <v>120</v>
      </c>
    </row>
    <row r="2442" spans="1:2" x14ac:dyDescent="0.2">
      <c r="A2442" t="s">
        <v>1134</v>
      </c>
      <c r="B2442" s="91">
        <v>594</v>
      </c>
    </row>
    <row r="2443" spans="1:2" x14ac:dyDescent="0.2">
      <c r="A2443" t="s">
        <v>1134</v>
      </c>
      <c r="B2443" s="91">
        <v>46.75</v>
      </c>
    </row>
    <row r="2444" spans="1:2" x14ac:dyDescent="0.2">
      <c r="A2444" t="s">
        <v>1134</v>
      </c>
      <c r="B2444" s="91">
        <v>27.5</v>
      </c>
    </row>
    <row r="2445" spans="1:2" x14ac:dyDescent="0.2">
      <c r="A2445" t="s">
        <v>1134</v>
      </c>
      <c r="B2445" s="91">
        <v>370</v>
      </c>
    </row>
    <row r="2446" spans="1:2" x14ac:dyDescent="0.2">
      <c r="A2446" t="s">
        <v>1134</v>
      </c>
      <c r="B2446" s="91">
        <v>99.25</v>
      </c>
    </row>
    <row r="2447" spans="1:2" x14ac:dyDescent="0.2">
      <c r="A2447" t="s">
        <v>1134</v>
      </c>
      <c r="B2447" s="91">
        <v>100.5</v>
      </c>
    </row>
    <row r="2448" spans="1:2" x14ac:dyDescent="0.2">
      <c r="A2448" t="s">
        <v>1134</v>
      </c>
      <c r="B2448" s="91">
        <v>405</v>
      </c>
    </row>
    <row r="2449" spans="1:2" x14ac:dyDescent="0.2">
      <c r="A2449" t="s">
        <v>1134</v>
      </c>
      <c r="B2449" s="91">
        <v>333.5</v>
      </c>
    </row>
    <row r="2450" spans="1:2" x14ac:dyDescent="0.2">
      <c r="A2450" t="s">
        <v>1134</v>
      </c>
      <c r="B2450" s="91">
        <v>153</v>
      </c>
    </row>
    <row r="2451" spans="1:2" x14ac:dyDescent="0.2">
      <c r="A2451" t="s">
        <v>1134</v>
      </c>
      <c r="B2451" s="91">
        <v>48.75</v>
      </c>
    </row>
    <row r="2452" spans="1:2" x14ac:dyDescent="0.2">
      <c r="A2452" t="s">
        <v>1134</v>
      </c>
      <c r="B2452" s="91">
        <v>171</v>
      </c>
    </row>
    <row r="2453" spans="1:2" x14ac:dyDescent="0.2">
      <c r="A2453" t="s">
        <v>1134</v>
      </c>
      <c r="B2453" s="91">
        <v>160</v>
      </c>
    </row>
    <row r="2454" spans="1:2" x14ac:dyDescent="0.2">
      <c r="A2454" t="s">
        <v>1134</v>
      </c>
      <c r="B2454" s="91">
        <v>44.5</v>
      </c>
    </row>
    <row r="2455" spans="1:2" x14ac:dyDescent="0.2">
      <c r="A2455" t="s">
        <v>1134</v>
      </c>
      <c r="B2455" s="91">
        <v>129.75</v>
      </c>
    </row>
    <row r="2456" spans="1:2" x14ac:dyDescent="0.2">
      <c r="A2456" t="s">
        <v>1134</v>
      </c>
      <c r="B2456" s="91">
        <v>123.75</v>
      </c>
    </row>
    <row r="2457" spans="1:2" x14ac:dyDescent="0.2">
      <c r="A2457" t="s">
        <v>1134</v>
      </c>
      <c r="B2457" s="91">
        <v>300</v>
      </c>
    </row>
    <row r="2458" spans="1:2" x14ac:dyDescent="0.2">
      <c r="A2458" t="s">
        <v>1134</v>
      </c>
      <c r="B2458" s="91">
        <v>2669</v>
      </c>
    </row>
    <row r="2459" spans="1:2" x14ac:dyDescent="0.2">
      <c r="A2459" t="s">
        <v>1134</v>
      </c>
      <c r="B2459" s="91">
        <v>104</v>
      </c>
    </row>
    <row r="2460" spans="1:2" x14ac:dyDescent="0.2">
      <c r="A2460" t="s">
        <v>1134</v>
      </c>
      <c r="B2460" s="91">
        <v>862.5</v>
      </c>
    </row>
    <row r="2461" spans="1:2" x14ac:dyDescent="0.2">
      <c r="A2461" t="s">
        <v>1134</v>
      </c>
      <c r="B2461" s="91">
        <v>43.75</v>
      </c>
    </row>
    <row r="2462" spans="1:2" x14ac:dyDescent="0.2">
      <c r="A2462" t="s">
        <v>1134</v>
      </c>
      <c r="B2462" s="91">
        <v>123.75</v>
      </c>
    </row>
    <row r="2463" spans="1:2" x14ac:dyDescent="0.2">
      <c r="A2463" t="s">
        <v>1134</v>
      </c>
      <c r="B2463" s="91">
        <v>18</v>
      </c>
    </row>
    <row r="2464" spans="1:2" x14ac:dyDescent="0.2">
      <c r="A2464" t="s">
        <v>1134</v>
      </c>
      <c r="B2464" s="91">
        <v>340</v>
      </c>
    </row>
    <row r="2465" spans="1:2" x14ac:dyDescent="0.2">
      <c r="A2465" t="s">
        <v>1134</v>
      </c>
      <c r="B2465" s="91">
        <v>1037.5</v>
      </c>
    </row>
    <row r="2466" spans="1:2" x14ac:dyDescent="0.2">
      <c r="A2466" t="s">
        <v>1134</v>
      </c>
      <c r="B2466" s="91">
        <v>277</v>
      </c>
    </row>
    <row r="2467" spans="1:2" x14ac:dyDescent="0.2">
      <c r="A2467" t="s">
        <v>1134</v>
      </c>
      <c r="B2467" s="91">
        <v>648</v>
      </c>
    </row>
    <row r="2468" spans="1:2" x14ac:dyDescent="0.2">
      <c r="A2468" t="s">
        <v>1134</v>
      </c>
      <c r="B2468" s="91">
        <v>648</v>
      </c>
    </row>
    <row r="2469" spans="1:2" x14ac:dyDescent="0.2">
      <c r="A2469" t="s">
        <v>1134</v>
      </c>
      <c r="B2469" s="91">
        <v>192</v>
      </c>
    </row>
    <row r="2470" spans="1:2" x14ac:dyDescent="0.2">
      <c r="A2470" t="s">
        <v>1134</v>
      </c>
      <c r="B2470" s="91">
        <v>310.5</v>
      </c>
    </row>
    <row r="2471" spans="1:2" x14ac:dyDescent="0.2">
      <c r="A2471" t="s">
        <v>1134</v>
      </c>
      <c r="B2471" s="91">
        <v>58.5</v>
      </c>
    </row>
    <row r="2472" spans="1:2" x14ac:dyDescent="0.2">
      <c r="A2472" t="s">
        <v>1134</v>
      </c>
      <c r="B2472" s="91">
        <v>59.5</v>
      </c>
    </row>
    <row r="2473" spans="1:2" x14ac:dyDescent="0.2">
      <c r="A2473" t="s">
        <v>1134</v>
      </c>
      <c r="B2473" s="91">
        <v>187.5</v>
      </c>
    </row>
    <row r="2474" spans="1:2" x14ac:dyDescent="0.2">
      <c r="A2474" t="s">
        <v>1134</v>
      </c>
      <c r="B2474" s="91">
        <v>1665</v>
      </c>
    </row>
    <row r="2475" spans="1:2" x14ac:dyDescent="0.2">
      <c r="A2475" t="s">
        <v>1134</v>
      </c>
      <c r="B2475" s="91">
        <v>768</v>
      </c>
    </row>
    <row r="2476" spans="1:2" x14ac:dyDescent="0.2">
      <c r="A2476" t="s">
        <v>1134</v>
      </c>
      <c r="B2476" s="91">
        <v>1552.5</v>
      </c>
    </row>
    <row r="2477" spans="1:2" x14ac:dyDescent="0.2">
      <c r="A2477" t="s">
        <v>1134</v>
      </c>
      <c r="B2477" s="91">
        <v>95.5</v>
      </c>
    </row>
    <row r="2478" spans="1:2" x14ac:dyDescent="0.2">
      <c r="A2478" t="s">
        <v>1134</v>
      </c>
      <c r="B2478" s="91">
        <v>257</v>
      </c>
    </row>
    <row r="2479" spans="1:2" x14ac:dyDescent="0.2">
      <c r="A2479" t="s">
        <v>1134</v>
      </c>
      <c r="B2479" s="91">
        <v>133.75</v>
      </c>
    </row>
    <row r="2480" spans="1:2" x14ac:dyDescent="0.2">
      <c r="A2480" t="s">
        <v>1134</v>
      </c>
      <c r="B2480" s="91">
        <v>696</v>
      </c>
    </row>
    <row r="2481" spans="1:2" x14ac:dyDescent="0.2">
      <c r="A2481" t="s">
        <v>1134</v>
      </c>
      <c r="B2481" s="91">
        <v>301.25</v>
      </c>
    </row>
    <row r="2482" spans="1:2" x14ac:dyDescent="0.2">
      <c r="A2482" t="s">
        <v>1134</v>
      </c>
      <c r="B2482" s="91">
        <v>338</v>
      </c>
    </row>
    <row r="2483" spans="1:2" x14ac:dyDescent="0.2">
      <c r="A2483" t="s">
        <v>1134</v>
      </c>
      <c r="B2483" s="91">
        <v>606.25</v>
      </c>
    </row>
    <row r="2484" spans="1:2" x14ac:dyDescent="0.2">
      <c r="A2484" t="s">
        <v>1134</v>
      </c>
      <c r="B2484" s="91">
        <v>405</v>
      </c>
    </row>
    <row r="2485" spans="1:2" x14ac:dyDescent="0.2">
      <c r="A2485" t="s">
        <v>1134</v>
      </c>
      <c r="B2485" s="91">
        <v>144</v>
      </c>
    </row>
    <row r="2486" spans="1:2" x14ac:dyDescent="0.2">
      <c r="A2486" t="s">
        <v>1134</v>
      </c>
      <c r="B2486" s="91">
        <v>1440</v>
      </c>
    </row>
    <row r="2487" spans="1:2" x14ac:dyDescent="0.2">
      <c r="A2487" t="s">
        <v>1134</v>
      </c>
      <c r="B2487" s="91">
        <v>37</v>
      </c>
    </row>
    <row r="2488" spans="1:2" x14ac:dyDescent="0.2">
      <c r="A2488" t="s">
        <v>1134</v>
      </c>
      <c r="B2488" s="91">
        <v>121</v>
      </c>
    </row>
    <row r="2489" spans="1:2" x14ac:dyDescent="0.2">
      <c r="A2489" t="s">
        <v>1134</v>
      </c>
      <c r="B2489" s="91">
        <v>1736.25</v>
      </c>
    </row>
    <row r="2490" spans="1:2" x14ac:dyDescent="0.2">
      <c r="A2490" t="s">
        <v>1134</v>
      </c>
      <c r="B2490" s="91">
        <v>26.75</v>
      </c>
    </row>
    <row r="2491" spans="1:2" x14ac:dyDescent="0.2">
      <c r="A2491" t="s">
        <v>1134</v>
      </c>
      <c r="B2491" s="91">
        <v>106.25</v>
      </c>
    </row>
    <row r="2492" spans="1:2" x14ac:dyDescent="0.2">
      <c r="A2492" t="s">
        <v>1134</v>
      </c>
      <c r="B2492" s="91">
        <v>180</v>
      </c>
    </row>
    <row r="2493" spans="1:2" x14ac:dyDescent="0.2">
      <c r="A2493" t="s">
        <v>1134</v>
      </c>
      <c r="B2493" s="91">
        <v>558</v>
      </c>
    </row>
    <row r="2494" spans="1:2" x14ac:dyDescent="0.2">
      <c r="A2494" t="s">
        <v>1134</v>
      </c>
      <c r="B2494" s="91">
        <v>43.5</v>
      </c>
    </row>
    <row r="2495" spans="1:2" x14ac:dyDescent="0.2">
      <c r="A2495" t="s">
        <v>1134</v>
      </c>
      <c r="B2495" s="91">
        <v>39.5</v>
      </c>
    </row>
    <row r="2496" spans="1:2" x14ac:dyDescent="0.2">
      <c r="A2496" t="s">
        <v>1134</v>
      </c>
      <c r="B2496" s="91">
        <v>653.75</v>
      </c>
    </row>
    <row r="2497" spans="1:2" x14ac:dyDescent="0.2">
      <c r="A2497" t="s">
        <v>1134</v>
      </c>
      <c r="B2497" s="91">
        <v>297</v>
      </c>
    </row>
    <row r="2498" spans="1:2" x14ac:dyDescent="0.2">
      <c r="A2498" t="s">
        <v>1134</v>
      </c>
      <c r="B2498" s="91">
        <v>1062.5</v>
      </c>
    </row>
    <row r="2499" spans="1:2" x14ac:dyDescent="0.2">
      <c r="A2499" t="s">
        <v>1134</v>
      </c>
      <c r="B2499" s="91">
        <v>138</v>
      </c>
    </row>
    <row r="2500" spans="1:2" x14ac:dyDescent="0.2">
      <c r="A2500" t="s">
        <v>1134</v>
      </c>
      <c r="B2500" s="91">
        <v>59.5</v>
      </c>
    </row>
    <row r="2501" spans="1:2" x14ac:dyDescent="0.2">
      <c r="A2501" t="s">
        <v>1134</v>
      </c>
      <c r="B2501" s="91">
        <v>595</v>
      </c>
    </row>
    <row r="2502" spans="1:2" x14ac:dyDescent="0.2">
      <c r="A2502" t="s">
        <v>1134</v>
      </c>
      <c r="B2502" s="91">
        <v>534.5</v>
      </c>
    </row>
    <row r="2503" spans="1:2" x14ac:dyDescent="0.2">
      <c r="A2503" t="s">
        <v>1134</v>
      </c>
      <c r="B2503" s="91">
        <v>74</v>
      </c>
    </row>
    <row r="2504" spans="1:2" x14ac:dyDescent="0.2">
      <c r="A2504" t="s">
        <v>1134</v>
      </c>
      <c r="B2504" s="91">
        <v>448.5</v>
      </c>
    </row>
    <row r="2505" spans="1:2" x14ac:dyDescent="0.2">
      <c r="A2505" t="s">
        <v>1134</v>
      </c>
      <c r="B2505" s="91">
        <v>2184</v>
      </c>
    </row>
    <row r="2506" spans="1:2" x14ac:dyDescent="0.2">
      <c r="A2506" t="s">
        <v>1134</v>
      </c>
      <c r="B2506" s="91">
        <v>383.25</v>
      </c>
    </row>
    <row r="2507" spans="1:2" x14ac:dyDescent="0.2">
      <c r="A2507" t="s">
        <v>1134</v>
      </c>
      <c r="B2507" s="91">
        <v>233.5</v>
      </c>
    </row>
    <row r="2508" spans="1:2" x14ac:dyDescent="0.2">
      <c r="A2508" t="s">
        <v>1134</v>
      </c>
      <c r="B2508" s="91">
        <v>693</v>
      </c>
    </row>
    <row r="2509" spans="1:2" x14ac:dyDescent="0.2">
      <c r="A2509" t="s">
        <v>1134</v>
      </c>
      <c r="B2509" s="91">
        <v>1457.5</v>
      </c>
    </row>
    <row r="2510" spans="1:2" x14ac:dyDescent="0.2">
      <c r="A2510" t="s">
        <v>1134</v>
      </c>
      <c r="B2510" s="91">
        <v>867</v>
      </c>
    </row>
    <row r="2511" spans="1:2" x14ac:dyDescent="0.2">
      <c r="A2511" t="s">
        <v>1134</v>
      </c>
      <c r="B2511" s="91">
        <v>1214.5</v>
      </c>
    </row>
    <row r="2512" spans="1:2" x14ac:dyDescent="0.2">
      <c r="A2512" t="s">
        <v>1134</v>
      </c>
      <c r="B2512" s="91">
        <v>-866.75</v>
      </c>
    </row>
    <row r="2513" spans="1:2" x14ac:dyDescent="0.2">
      <c r="A2513" t="s">
        <v>1134</v>
      </c>
      <c r="B2513" s="91">
        <v>1443.25</v>
      </c>
    </row>
    <row r="2514" spans="1:2" x14ac:dyDescent="0.2">
      <c r="A2514" t="s">
        <v>1135</v>
      </c>
      <c r="B2514" s="91">
        <v>852</v>
      </c>
    </row>
    <row r="2515" spans="1:2" x14ac:dyDescent="0.2">
      <c r="A2515" t="s">
        <v>1135</v>
      </c>
      <c r="B2515" s="91">
        <v>881.4</v>
      </c>
    </row>
    <row r="2516" spans="1:2" x14ac:dyDescent="0.2">
      <c r="A2516" t="s">
        <v>1136</v>
      </c>
      <c r="B2516" s="91">
        <v>8.25</v>
      </c>
    </row>
    <row r="2517" spans="1:2" x14ac:dyDescent="0.2">
      <c r="A2517" t="s">
        <v>1137</v>
      </c>
      <c r="B2517" s="91">
        <v>16</v>
      </c>
    </row>
    <row r="2518" spans="1:2" x14ac:dyDescent="0.2">
      <c r="A2518" t="s">
        <v>1137</v>
      </c>
      <c r="B2518" s="91">
        <v>8</v>
      </c>
    </row>
    <row r="2519" spans="1:2" x14ac:dyDescent="0.2">
      <c r="A2519" t="s">
        <v>1137</v>
      </c>
      <c r="B2519" s="91">
        <v>14.5</v>
      </c>
    </row>
    <row r="2520" spans="1:2" x14ac:dyDescent="0.2">
      <c r="A2520" t="s">
        <v>1138</v>
      </c>
      <c r="B2520" s="91">
        <v>14.5</v>
      </c>
    </row>
    <row r="2521" spans="1:2" x14ac:dyDescent="0.2">
      <c r="A2521" t="s">
        <v>1139</v>
      </c>
      <c r="B2521" s="91">
        <v>18.5</v>
      </c>
    </row>
    <row r="2522" spans="1:2" x14ac:dyDescent="0.2">
      <c r="A2522" t="s">
        <v>1139</v>
      </c>
      <c r="B2522" s="91">
        <v>144.75</v>
      </c>
    </row>
    <row r="2523" spans="1:2" x14ac:dyDescent="0.2">
      <c r="A2523" t="s">
        <v>1139</v>
      </c>
      <c r="B2523" s="91">
        <v>21</v>
      </c>
    </row>
    <row r="2524" spans="1:2" x14ac:dyDescent="0.2">
      <c r="A2524" t="s">
        <v>1140</v>
      </c>
      <c r="B2524" s="91">
        <v>810</v>
      </c>
    </row>
    <row r="2525" spans="1:2" x14ac:dyDescent="0.2">
      <c r="A2525" t="s">
        <v>1140</v>
      </c>
      <c r="B2525" s="91">
        <v>405</v>
      </c>
    </row>
    <row r="2526" spans="1:2" x14ac:dyDescent="0.2">
      <c r="A2526" t="s">
        <v>1140</v>
      </c>
      <c r="B2526" s="91">
        <v>201</v>
      </c>
    </row>
    <row r="2527" spans="1:2" x14ac:dyDescent="0.2">
      <c r="A2527" t="s">
        <v>1141</v>
      </c>
      <c r="B2527" s="91">
        <v>15</v>
      </c>
    </row>
    <row r="2528" spans="1:2" x14ac:dyDescent="0.2">
      <c r="A2528" t="s">
        <v>1141</v>
      </c>
      <c r="B2528" s="91">
        <v>26.25</v>
      </c>
    </row>
    <row r="2529" spans="1:2" x14ac:dyDescent="0.2">
      <c r="A2529" t="s">
        <v>1141</v>
      </c>
      <c r="B2529" s="91">
        <v>7.5</v>
      </c>
    </row>
    <row r="2530" spans="1:2" x14ac:dyDescent="0.2">
      <c r="A2530" t="s">
        <v>1141</v>
      </c>
      <c r="B2530" s="91">
        <v>8</v>
      </c>
    </row>
    <row r="2531" spans="1:2" x14ac:dyDescent="0.2">
      <c r="A2531" t="s">
        <v>1141</v>
      </c>
      <c r="B2531" s="91">
        <v>7.5</v>
      </c>
    </row>
    <row r="2532" spans="1:2" x14ac:dyDescent="0.2">
      <c r="A2532" t="s">
        <v>1141</v>
      </c>
      <c r="B2532" s="91">
        <v>10</v>
      </c>
    </row>
    <row r="2533" spans="1:2" x14ac:dyDescent="0.2">
      <c r="A2533" t="s">
        <v>1141</v>
      </c>
      <c r="B2533" s="91">
        <v>7</v>
      </c>
    </row>
    <row r="2534" spans="1:2" x14ac:dyDescent="0.2">
      <c r="A2534" t="s">
        <v>1141</v>
      </c>
      <c r="B2534" s="91">
        <v>12</v>
      </c>
    </row>
    <row r="2535" spans="1:2" x14ac:dyDescent="0.2">
      <c r="A2535" t="s">
        <v>1141</v>
      </c>
      <c r="B2535" s="91">
        <v>13.75</v>
      </c>
    </row>
    <row r="2536" spans="1:2" x14ac:dyDescent="0.2">
      <c r="A2536" t="s">
        <v>1142</v>
      </c>
      <c r="B2536" s="91">
        <v>33.75</v>
      </c>
    </row>
    <row r="2537" spans="1:2" x14ac:dyDescent="0.2">
      <c r="A2537" t="s">
        <v>1143</v>
      </c>
      <c r="B2537" s="91">
        <v>65.5</v>
      </c>
    </row>
    <row r="2538" spans="1:2" x14ac:dyDescent="0.2">
      <c r="A2538" t="s">
        <v>1143</v>
      </c>
      <c r="B2538" s="91">
        <v>170</v>
      </c>
    </row>
    <row r="2539" spans="1:2" x14ac:dyDescent="0.2">
      <c r="A2539" t="s">
        <v>1143</v>
      </c>
      <c r="B2539" s="91">
        <v>63</v>
      </c>
    </row>
    <row r="2540" spans="1:2" x14ac:dyDescent="0.2">
      <c r="A2540" t="s">
        <v>1143</v>
      </c>
      <c r="B2540" s="91">
        <v>35.5</v>
      </c>
    </row>
    <row r="2541" spans="1:2" x14ac:dyDescent="0.2">
      <c r="A2541" t="s">
        <v>1143</v>
      </c>
      <c r="B2541" s="91">
        <v>35</v>
      </c>
    </row>
    <row r="2542" spans="1:2" x14ac:dyDescent="0.2">
      <c r="A2542" t="s">
        <v>1143</v>
      </c>
      <c r="B2542" s="91">
        <v>67.25</v>
      </c>
    </row>
    <row r="2543" spans="1:2" x14ac:dyDescent="0.2">
      <c r="A2543" t="s">
        <v>1144</v>
      </c>
      <c r="B2543" s="91">
        <v>14.25</v>
      </c>
    </row>
    <row r="2544" spans="1:2" x14ac:dyDescent="0.2">
      <c r="A2544" t="s">
        <v>1145</v>
      </c>
      <c r="B2544" s="91">
        <v>261.5</v>
      </c>
    </row>
    <row r="2545" spans="1:2" x14ac:dyDescent="0.2">
      <c r="A2545" t="s">
        <v>1146</v>
      </c>
      <c r="B2545" s="91">
        <v>85</v>
      </c>
    </row>
    <row r="2546" spans="1:2" x14ac:dyDescent="0.2">
      <c r="A2546" t="s">
        <v>1147</v>
      </c>
      <c r="B2546" s="91">
        <v>10</v>
      </c>
    </row>
    <row r="2547" spans="1:2" x14ac:dyDescent="0.2">
      <c r="A2547" t="s">
        <v>1147</v>
      </c>
      <c r="B2547" s="91">
        <v>16</v>
      </c>
    </row>
    <row r="2548" spans="1:2" x14ac:dyDescent="0.2">
      <c r="A2548" t="s">
        <v>1147</v>
      </c>
      <c r="B2548" s="91">
        <v>16</v>
      </c>
    </row>
    <row r="2549" spans="1:2" x14ac:dyDescent="0.2">
      <c r="A2549" t="s">
        <v>1147</v>
      </c>
      <c r="B2549" s="91">
        <v>96</v>
      </c>
    </row>
    <row r="2550" spans="1:2" x14ac:dyDescent="0.2">
      <c r="A2550" t="s">
        <v>1148</v>
      </c>
      <c r="B2550" s="91">
        <v>420</v>
      </c>
    </row>
    <row r="2551" spans="1:2" x14ac:dyDescent="0.2">
      <c r="A2551" t="s">
        <v>1148</v>
      </c>
      <c r="B2551" s="91">
        <v>153.5</v>
      </c>
    </row>
    <row r="2552" spans="1:2" x14ac:dyDescent="0.2">
      <c r="A2552" t="s">
        <v>1148</v>
      </c>
      <c r="B2552" s="91">
        <v>216.75</v>
      </c>
    </row>
    <row r="2553" spans="1:2" x14ac:dyDescent="0.2">
      <c r="A2553" t="s">
        <v>1149</v>
      </c>
      <c r="B2553" s="91">
        <v>614</v>
      </c>
    </row>
    <row r="2554" spans="1:2" x14ac:dyDescent="0.2">
      <c r="A2554" t="s">
        <v>1149</v>
      </c>
      <c r="B2554" s="91">
        <v>634.5</v>
      </c>
    </row>
    <row r="2555" spans="1:2" x14ac:dyDescent="0.2">
      <c r="A2555" t="s">
        <v>1149</v>
      </c>
      <c r="B2555" s="91">
        <v>932.5</v>
      </c>
    </row>
    <row r="2556" spans="1:2" x14ac:dyDescent="0.2">
      <c r="A2556" t="s">
        <v>1149</v>
      </c>
      <c r="B2556" s="91">
        <v>46.75</v>
      </c>
    </row>
    <row r="2557" spans="1:2" x14ac:dyDescent="0.2">
      <c r="A2557" t="s">
        <v>1149</v>
      </c>
      <c r="B2557" s="91">
        <v>332</v>
      </c>
    </row>
    <row r="2558" spans="1:2" x14ac:dyDescent="0.2">
      <c r="A2558" t="s">
        <v>1149</v>
      </c>
      <c r="B2558" s="91">
        <v>134</v>
      </c>
    </row>
    <row r="2559" spans="1:2" x14ac:dyDescent="0.2">
      <c r="A2559" t="s">
        <v>1149</v>
      </c>
      <c r="B2559" s="91">
        <v>263.25</v>
      </c>
    </row>
    <row r="2560" spans="1:2" x14ac:dyDescent="0.2">
      <c r="A2560" t="s">
        <v>1149</v>
      </c>
      <c r="B2560" s="91">
        <v>213</v>
      </c>
    </row>
    <row r="2561" spans="1:2" x14ac:dyDescent="0.2">
      <c r="A2561" t="s">
        <v>1150</v>
      </c>
      <c r="B2561" s="91">
        <v>28</v>
      </c>
    </row>
    <row r="2562" spans="1:2" x14ac:dyDescent="0.2">
      <c r="A2562" t="s">
        <v>1151</v>
      </c>
      <c r="B2562" s="91">
        <v>16</v>
      </c>
    </row>
    <row r="2563" spans="1:2" x14ac:dyDescent="0.2">
      <c r="A2563" t="s">
        <v>1151</v>
      </c>
      <c r="B2563" s="91">
        <v>16</v>
      </c>
    </row>
    <row r="2564" spans="1:2" x14ac:dyDescent="0.2">
      <c r="A2564" t="s">
        <v>1151</v>
      </c>
      <c r="B2564" s="91">
        <v>15</v>
      </c>
    </row>
    <row r="2565" spans="1:2" x14ac:dyDescent="0.2">
      <c r="A2565" t="s">
        <v>1151</v>
      </c>
      <c r="B2565" s="91">
        <v>56</v>
      </c>
    </row>
    <row r="2566" spans="1:2" x14ac:dyDescent="0.2">
      <c r="A2566" t="s">
        <v>1151</v>
      </c>
      <c r="B2566" s="91">
        <v>6.75</v>
      </c>
    </row>
    <row r="2567" spans="1:2" x14ac:dyDescent="0.2">
      <c r="A2567" t="s">
        <v>1152</v>
      </c>
      <c r="B2567" s="91">
        <v>10.5</v>
      </c>
    </row>
    <row r="2568" spans="1:2" x14ac:dyDescent="0.2">
      <c r="A2568" t="s">
        <v>1153</v>
      </c>
      <c r="B2568" s="91">
        <v>43.75</v>
      </c>
    </row>
    <row r="2569" spans="1:2" x14ac:dyDescent="0.2">
      <c r="A2569" t="s">
        <v>1153</v>
      </c>
      <c r="B2569" s="91">
        <v>77.5</v>
      </c>
    </row>
    <row r="2570" spans="1:2" x14ac:dyDescent="0.2">
      <c r="A2570" t="s">
        <v>1154</v>
      </c>
      <c r="B2570" s="91">
        <v>37</v>
      </c>
    </row>
    <row r="2571" spans="1:2" x14ac:dyDescent="0.2">
      <c r="A2571" t="s">
        <v>1155</v>
      </c>
      <c r="B2571" s="91">
        <v>31.75</v>
      </c>
    </row>
    <row r="2572" spans="1:2" x14ac:dyDescent="0.2">
      <c r="A2572" t="s">
        <v>1156</v>
      </c>
      <c r="B2572" s="91">
        <v>25</v>
      </c>
    </row>
    <row r="2573" spans="1:2" x14ac:dyDescent="0.2">
      <c r="A2573" t="s">
        <v>1157</v>
      </c>
      <c r="B2573" s="91">
        <v>348</v>
      </c>
    </row>
    <row r="2574" spans="1:2" x14ac:dyDescent="0.2">
      <c r="A2574" t="s">
        <v>1157</v>
      </c>
      <c r="B2574" s="91">
        <v>165</v>
      </c>
    </row>
    <row r="2575" spans="1:2" x14ac:dyDescent="0.2">
      <c r="A2575" t="s">
        <v>1158</v>
      </c>
      <c r="B2575" s="91">
        <v>40</v>
      </c>
    </row>
    <row r="2576" spans="1:2" x14ac:dyDescent="0.2">
      <c r="A2576" t="s">
        <v>1159</v>
      </c>
      <c r="B2576" s="91">
        <v>14.25</v>
      </c>
    </row>
    <row r="2577" spans="1:2" x14ac:dyDescent="0.2">
      <c r="A2577" t="s">
        <v>1160</v>
      </c>
      <c r="B2577" s="91">
        <v>11.5</v>
      </c>
    </row>
    <row r="2578" spans="1:2" x14ac:dyDescent="0.2">
      <c r="A2578" t="s">
        <v>1161</v>
      </c>
      <c r="B2578" s="91">
        <v>33.5</v>
      </c>
    </row>
    <row r="2579" spans="1:2" x14ac:dyDescent="0.2">
      <c r="A2579" t="s">
        <v>1162</v>
      </c>
      <c r="B2579" s="91">
        <v>100.25</v>
      </c>
    </row>
    <row r="2580" spans="1:2" x14ac:dyDescent="0.2">
      <c r="A2580" t="s">
        <v>1162</v>
      </c>
      <c r="B2580" s="91">
        <v>87</v>
      </c>
    </row>
    <row r="2581" spans="1:2" x14ac:dyDescent="0.2">
      <c r="A2581" t="s">
        <v>1162</v>
      </c>
      <c r="B2581" s="91">
        <v>54</v>
      </c>
    </row>
    <row r="2582" spans="1:2" x14ac:dyDescent="0.2">
      <c r="A2582" t="s">
        <v>1163</v>
      </c>
      <c r="B2582" s="91">
        <v>66</v>
      </c>
    </row>
    <row r="2583" spans="1:2" x14ac:dyDescent="0.2">
      <c r="A2583" t="s">
        <v>1164</v>
      </c>
      <c r="B2583" s="91">
        <v>262</v>
      </c>
    </row>
    <row r="2584" spans="1:2" x14ac:dyDescent="0.2">
      <c r="A2584" t="s">
        <v>1165</v>
      </c>
      <c r="B2584" s="91">
        <v>15</v>
      </c>
    </row>
    <row r="2585" spans="1:2" x14ac:dyDescent="0.2">
      <c r="A2585" t="s">
        <v>1165</v>
      </c>
      <c r="B2585" s="91">
        <v>13</v>
      </c>
    </row>
    <row r="2586" spans="1:2" x14ac:dyDescent="0.2">
      <c r="A2586" t="s">
        <v>1166</v>
      </c>
      <c r="B2586" s="91">
        <v>87.75</v>
      </c>
    </row>
    <row r="2587" spans="1:2" x14ac:dyDescent="0.2">
      <c r="A2587" t="s">
        <v>1166</v>
      </c>
      <c r="B2587" s="91">
        <v>133.25</v>
      </c>
    </row>
    <row r="2588" spans="1:2" x14ac:dyDescent="0.2">
      <c r="A2588" t="s">
        <v>1166</v>
      </c>
      <c r="B2588" s="91">
        <v>59.5</v>
      </c>
    </row>
    <row r="2589" spans="1:2" x14ac:dyDescent="0.2">
      <c r="A2589" t="s">
        <v>1166</v>
      </c>
      <c r="B2589" s="91">
        <v>307</v>
      </c>
    </row>
    <row r="2590" spans="1:2" x14ac:dyDescent="0.2">
      <c r="A2590" t="s">
        <v>1166</v>
      </c>
      <c r="B2590" s="91">
        <v>21.5</v>
      </c>
    </row>
    <row r="2591" spans="1:2" x14ac:dyDescent="0.2">
      <c r="A2591" t="s">
        <v>1166</v>
      </c>
      <c r="B2591" s="91">
        <v>45.5</v>
      </c>
    </row>
    <row r="2592" spans="1:2" x14ac:dyDescent="0.2">
      <c r="A2592" t="s">
        <v>1166</v>
      </c>
      <c r="B2592" s="91">
        <v>167.75</v>
      </c>
    </row>
    <row r="2593" spans="1:2" x14ac:dyDescent="0.2">
      <c r="A2593" t="s">
        <v>1166</v>
      </c>
      <c r="B2593" s="91">
        <v>76.75</v>
      </c>
    </row>
    <row r="2594" spans="1:2" x14ac:dyDescent="0.2">
      <c r="A2594" t="s">
        <v>1166</v>
      </c>
      <c r="B2594" s="91">
        <v>7.5</v>
      </c>
    </row>
    <row r="2595" spans="1:2" x14ac:dyDescent="0.2">
      <c r="A2595" t="s">
        <v>1166</v>
      </c>
      <c r="B2595" s="91">
        <v>42</v>
      </c>
    </row>
    <row r="2596" spans="1:2" x14ac:dyDescent="0.2">
      <c r="A2596" t="s">
        <v>1167</v>
      </c>
      <c r="B2596" s="91">
        <v>36</v>
      </c>
    </row>
    <row r="2597" spans="1:2" x14ac:dyDescent="0.2">
      <c r="A2597" t="s">
        <v>1167</v>
      </c>
      <c r="B2597" s="91">
        <v>176</v>
      </c>
    </row>
    <row r="2598" spans="1:2" x14ac:dyDescent="0.2">
      <c r="A2598" t="s">
        <v>1167</v>
      </c>
      <c r="B2598" s="91">
        <v>21.5</v>
      </c>
    </row>
    <row r="2599" spans="1:2" x14ac:dyDescent="0.2">
      <c r="A2599" t="s">
        <v>1167</v>
      </c>
      <c r="B2599" s="91">
        <v>61.75</v>
      </c>
    </row>
    <row r="2600" spans="1:2" x14ac:dyDescent="0.2">
      <c r="A2600" t="s">
        <v>1167</v>
      </c>
      <c r="B2600" s="91">
        <v>42</v>
      </c>
    </row>
    <row r="2601" spans="1:2" x14ac:dyDescent="0.2">
      <c r="A2601" t="s">
        <v>1167</v>
      </c>
      <c r="B2601" s="91">
        <v>46.75</v>
      </c>
    </row>
    <row r="2602" spans="1:2" x14ac:dyDescent="0.2">
      <c r="A2602" t="s">
        <v>1167</v>
      </c>
      <c r="B2602" s="91">
        <v>76.75</v>
      </c>
    </row>
    <row r="2603" spans="1:2" x14ac:dyDescent="0.2">
      <c r="A2603" t="s">
        <v>1168</v>
      </c>
      <c r="B2603" s="91">
        <v>148.5</v>
      </c>
    </row>
    <row r="2604" spans="1:2" x14ac:dyDescent="0.2">
      <c r="A2604" t="s">
        <v>1168</v>
      </c>
      <c r="B2604" s="91">
        <v>240</v>
      </c>
    </row>
    <row r="2605" spans="1:2" x14ac:dyDescent="0.2">
      <c r="A2605" t="s">
        <v>1168</v>
      </c>
      <c r="B2605" s="91">
        <v>51.5</v>
      </c>
    </row>
    <row r="2606" spans="1:2" x14ac:dyDescent="0.2">
      <c r="A2606" t="s">
        <v>1169</v>
      </c>
      <c r="B2606" s="91">
        <v>17.25</v>
      </c>
    </row>
    <row r="2607" spans="1:2" x14ac:dyDescent="0.2">
      <c r="A2607" t="s">
        <v>1169</v>
      </c>
      <c r="B2607" s="91">
        <v>30.5</v>
      </c>
    </row>
    <row r="2608" spans="1:2" x14ac:dyDescent="0.2">
      <c r="A2608" t="s">
        <v>1170</v>
      </c>
      <c r="B2608" s="91">
        <v>59.5</v>
      </c>
    </row>
    <row r="2609" spans="1:2" x14ac:dyDescent="0.2">
      <c r="A2609" t="s">
        <v>1170</v>
      </c>
      <c r="B2609" s="91">
        <v>67.25</v>
      </c>
    </row>
    <row r="2610" spans="1:2" x14ac:dyDescent="0.2">
      <c r="A2610" t="s">
        <v>1170</v>
      </c>
      <c r="B2610" s="91">
        <v>53.5</v>
      </c>
    </row>
    <row r="2611" spans="1:2" x14ac:dyDescent="0.2">
      <c r="A2611" t="s">
        <v>1171</v>
      </c>
      <c r="B2611" s="91">
        <v>67</v>
      </c>
    </row>
    <row r="2612" spans="1:2" x14ac:dyDescent="0.2">
      <c r="A2612" t="s">
        <v>1171</v>
      </c>
      <c r="B2612" s="91">
        <v>153.5</v>
      </c>
    </row>
    <row r="2613" spans="1:2" x14ac:dyDescent="0.2">
      <c r="A2613" t="s">
        <v>1171</v>
      </c>
      <c r="B2613" s="91">
        <v>85</v>
      </c>
    </row>
    <row r="2614" spans="1:2" x14ac:dyDescent="0.2">
      <c r="A2614" t="s">
        <v>1171</v>
      </c>
      <c r="B2614" s="91">
        <v>63</v>
      </c>
    </row>
    <row r="2615" spans="1:2" x14ac:dyDescent="0.2">
      <c r="A2615" t="s">
        <v>1171</v>
      </c>
      <c r="B2615" s="91">
        <v>165</v>
      </c>
    </row>
    <row r="2616" spans="1:2" x14ac:dyDescent="0.2">
      <c r="A2616" t="s">
        <v>1172</v>
      </c>
      <c r="B2616" s="91">
        <v>30</v>
      </c>
    </row>
    <row r="2617" spans="1:2" x14ac:dyDescent="0.2">
      <c r="A2617" t="s">
        <v>1173</v>
      </c>
      <c r="B2617" s="91">
        <v>67.5</v>
      </c>
    </row>
    <row r="2618" spans="1:2" x14ac:dyDescent="0.2">
      <c r="A2618" t="s">
        <v>1174</v>
      </c>
      <c r="B2618" s="91">
        <v>212</v>
      </c>
    </row>
    <row r="2619" spans="1:2" x14ac:dyDescent="0.2">
      <c r="A2619" t="s">
        <v>1174</v>
      </c>
      <c r="B2619" s="91">
        <v>17.5</v>
      </c>
    </row>
    <row r="2620" spans="1:2" x14ac:dyDescent="0.2">
      <c r="A2620" t="s">
        <v>1174</v>
      </c>
      <c r="B2620" s="91">
        <v>30</v>
      </c>
    </row>
    <row r="2621" spans="1:2" x14ac:dyDescent="0.2">
      <c r="A2621" t="s">
        <v>1174</v>
      </c>
      <c r="B2621" s="91">
        <v>7.5</v>
      </c>
    </row>
    <row r="2622" spans="1:2" x14ac:dyDescent="0.2">
      <c r="A2622" t="s">
        <v>1174</v>
      </c>
      <c r="B2622" s="91">
        <v>15</v>
      </c>
    </row>
    <row r="2623" spans="1:2" x14ac:dyDescent="0.2">
      <c r="A2623" t="s">
        <v>1174</v>
      </c>
      <c r="B2623" s="91">
        <v>87</v>
      </c>
    </row>
    <row r="2624" spans="1:2" x14ac:dyDescent="0.2">
      <c r="A2624" t="s">
        <v>1174</v>
      </c>
      <c r="B2624" s="91">
        <v>120</v>
      </c>
    </row>
    <row r="2625" spans="1:2" x14ac:dyDescent="0.2">
      <c r="A2625" t="s">
        <v>1174</v>
      </c>
      <c r="B2625" s="91">
        <v>42.75</v>
      </c>
    </row>
    <row r="2626" spans="1:2" x14ac:dyDescent="0.2">
      <c r="A2626" t="s">
        <v>1174</v>
      </c>
      <c r="B2626" s="91">
        <v>71.25</v>
      </c>
    </row>
    <row r="2627" spans="1:2" x14ac:dyDescent="0.2">
      <c r="A2627" t="s">
        <v>1174</v>
      </c>
      <c r="B2627" s="91">
        <v>17.75</v>
      </c>
    </row>
    <row r="2628" spans="1:2" x14ac:dyDescent="0.2">
      <c r="A2628" t="s">
        <v>1174</v>
      </c>
      <c r="B2628" s="91">
        <v>15</v>
      </c>
    </row>
    <row r="2629" spans="1:2" x14ac:dyDescent="0.2">
      <c r="A2629" t="s">
        <v>1174</v>
      </c>
      <c r="B2629" s="91">
        <v>15.75</v>
      </c>
    </row>
    <row r="2630" spans="1:2" x14ac:dyDescent="0.2">
      <c r="A2630" t="s">
        <v>1174</v>
      </c>
      <c r="B2630" s="91">
        <v>150.75</v>
      </c>
    </row>
    <row r="2631" spans="1:2" x14ac:dyDescent="0.2">
      <c r="A2631" t="s">
        <v>1174</v>
      </c>
      <c r="B2631" s="91">
        <v>10.5</v>
      </c>
    </row>
    <row r="2632" spans="1:2" x14ac:dyDescent="0.2">
      <c r="A2632" t="s">
        <v>1174</v>
      </c>
      <c r="B2632" s="91">
        <v>10.5</v>
      </c>
    </row>
    <row r="2633" spans="1:2" x14ac:dyDescent="0.2">
      <c r="A2633" t="s">
        <v>1174</v>
      </c>
      <c r="B2633" s="91">
        <v>31.25</v>
      </c>
    </row>
    <row r="2634" spans="1:2" x14ac:dyDescent="0.2">
      <c r="A2634" t="s">
        <v>1174</v>
      </c>
      <c r="B2634" s="91">
        <v>52.61</v>
      </c>
    </row>
    <row r="2635" spans="1:2" x14ac:dyDescent="0.2">
      <c r="A2635" t="s">
        <v>1174</v>
      </c>
      <c r="B2635" s="91">
        <v>144.75</v>
      </c>
    </row>
    <row r="2636" spans="1:2" x14ac:dyDescent="0.2">
      <c r="A2636" t="s">
        <v>1174</v>
      </c>
      <c r="B2636" s="91">
        <v>1.5</v>
      </c>
    </row>
    <row r="2637" spans="1:2" x14ac:dyDescent="0.2">
      <c r="A2637" t="s">
        <v>1174</v>
      </c>
      <c r="B2637" s="91">
        <v>5</v>
      </c>
    </row>
    <row r="2638" spans="1:2" x14ac:dyDescent="0.2">
      <c r="A2638" t="s">
        <v>1174</v>
      </c>
      <c r="B2638" s="91">
        <v>6</v>
      </c>
    </row>
    <row r="2639" spans="1:2" x14ac:dyDescent="0.2">
      <c r="A2639" t="s">
        <v>1174</v>
      </c>
      <c r="B2639" s="91">
        <v>4</v>
      </c>
    </row>
    <row r="2640" spans="1:2" x14ac:dyDescent="0.2">
      <c r="A2640" t="s">
        <v>1174</v>
      </c>
      <c r="B2640" s="91">
        <v>2</v>
      </c>
    </row>
    <row r="2641" spans="1:2" x14ac:dyDescent="0.2">
      <c r="A2641" t="s">
        <v>1174</v>
      </c>
      <c r="B2641" s="91">
        <v>7</v>
      </c>
    </row>
    <row r="2642" spans="1:2" x14ac:dyDescent="0.2">
      <c r="A2642" t="s">
        <v>1174</v>
      </c>
      <c r="B2642" s="91">
        <v>23.5</v>
      </c>
    </row>
    <row r="2643" spans="1:2" x14ac:dyDescent="0.2">
      <c r="A2643" t="s">
        <v>1174</v>
      </c>
      <c r="B2643" s="91">
        <v>-130.02000000000001</v>
      </c>
    </row>
    <row r="2644" spans="1:2" x14ac:dyDescent="0.2">
      <c r="A2644" t="s">
        <v>1175</v>
      </c>
      <c r="B2644" s="91">
        <v>8</v>
      </c>
    </row>
    <row r="2645" spans="1:2" x14ac:dyDescent="0.2">
      <c r="A2645" t="s">
        <v>1176</v>
      </c>
      <c r="B2645" s="91">
        <v>20</v>
      </c>
    </row>
    <row r="2646" spans="1:2" x14ac:dyDescent="0.2">
      <c r="A2646" t="s">
        <v>1177</v>
      </c>
      <c r="B2646" s="91">
        <v>60</v>
      </c>
    </row>
    <row r="2647" spans="1:2" x14ac:dyDescent="0.2">
      <c r="A2647" t="s">
        <v>1177</v>
      </c>
      <c r="B2647" s="91">
        <v>39.5</v>
      </c>
    </row>
    <row r="2648" spans="1:2" x14ac:dyDescent="0.2">
      <c r="A2648" t="s">
        <v>1178</v>
      </c>
      <c r="B2648" s="91">
        <v>1826</v>
      </c>
    </row>
    <row r="2649" spans="1:2" x14ac:dyDescent="0.2">
      <c r="A2649" t="s">
        <v>1178</v>
      </c>
      <c r="B2649" s="91">
        <v>767.5</v>
      </c>
    </row>
    <row r="2650" spans="1:2" x14ac:dyDescent="0.2">
      <c r="A2650" t="s">
        <v>1178</v>
      </c>
      <c r="B2650" s="91">
        <v>467.5</v>
      </c>
    </row>
    <row r="2651" spans="1:2" x14ac:dyDescent="0.2">
      <c r="A2651" t="s">
        <v>1178</v>
      </c>
      <c r="B2651" s="91">
        <v>268</v>
      </c>
    </row>
    <row r="2652" spans="1:2" x14ac:dyDescent="0.2">
      <c r="A2652" t="s">
        <v>1178</v>
      </c>
      <c r="B2652" s="91">
        <v>1245</v>
      </c>
    </row>
    <row r="2653" spans="1:2" x14ac:dyDescent="0.2">
      <c r="A2653" t="s">
        <v>1178</v>
      </c>
      <c r="B2653" s="91">
        <v>829.5</v>
      </c>
    </row>
    <row r="2654" spans="1:2" x14ac:dyDescent="0.2">
      <c r="A2654" t="s">
        <v>1178</v>
      </c>
      <c r="B2654" s="91">
        <v>860.2</v>
      </c>
    </row>
    <row r="2655" spans="1:2" x14ac:dyDescent="0.2">
      <c r="A2655" t="s">
        <v>1178</v>
      </c>
      <c r="B2655" s="91">
        <v>5535</v>
      </c>
    </row>
    <row r="2656" spans="1:2" x14ac:dyDescent="0.2">
      <c r="A2656" t="s">
        <v>1178</v>
      </c>
      <c r="B2656" s="91">
        <v>3807</v>
      </c>
    </row>
    <row r="2657" spans="1:2" x14ac:dyDescent="0.2">
      <c r="A2657" t="s">
        <v>1178</v>
      </c>
      <c r="B2657" s="91">
        <v>713</v>
      </c>
    </row>
    <row r="2658" spans="1:2" x14ac:dyDescent="0.2">
      <c r="A2658" t="s">
        <v>1178</v>
      </c>
      <c r="B2658" s="91">
        <v>624</v>
      </c>
    </row>
    <row r="2659" spans="1:2" x14ac:dyDescent="0.2">
      <c r="A2659" t="s">
        <v>1178</v>
      </c>
      <c r="B2659" s="91">
        <v>292.10000000000002</v>
      </c>
    </row>
    <row r="2660" spans="1:2" x14ac:dyDescent="0.2">
      <c r="A2660" t="s">
        <v>1178</v>
      </c>
      <c r="B2660" s="91">
        <v>2985</v>
      </c>
    </row>
    <row r="2661" spans="1:2" x14ac:dyDescent="0.2">
      <c r="A2661" t="s">
        <v>1178</v>
      </c>
      <c r="B2661" s="91">
        <v>198</v>
      </c>
    </row>
    <row r="2662" spans="1:2" x14ac:dyDescent="0.2">
      <c r="A2662" t="s">
        <v>1178</v>
      </c>
      <c r="B2662" s="91">
        <v>1020</v>
      </c>
    </row>
    <row r="2663" spans="1:2" x14ac:dyDescent="0.2">
      <c r="A2663" t="s">
        <v>1178</v>
      </c>
      <c r="B2663" s="91">
        <v>1730</v>
      </c>
    </row>
    <row r="2664" spans="1:2" x14ac:dyDescent="0.2">
      <c r="A2664" t="s">
        <v>1178</v>
      </c>
      <c r="B2664" s="91">
        <v>573</v>
      </c>
    </row>
    <row r="2665" spans="1:2" x14ac:dyDescent="0.2">
      <c r="A2665" t="s">
        <v>1178</v>
      </c>
      <c r="B2665" s="91">
        <v>382</v>
      </c>
    </row>
    <row r="2666" spans="1:2" x14ac:dyDescent="0.2">
      <c r="A2666" t="s">
        <v>1178</v>
      </c>
      <c r="B2666" s="91">
        <v>108.68</v>
      </c>
    </row>
    <row r="2667" spans="1:2" x14ac:dyDescent="0.2">
      <c r="A2667" t="s">
        <v>1178</v>
      </c>
      <c r="B2667" s="91">
        <v>332</v>
      </c>
    </row>
    <row r="2668" spans="1:2" x14ac:dyDescent="0.2">
      <c r="A2668" t="s">
        <v>1179</v>
      </c>
      <c r="B2668" s="91">
        <v>17.5</v>
      </c>
    </row>
    <row r="2669" spans="1:2" x14ac:dyDescent="0.2">
      <c r="A2669" t="s">
        <v>1179</v>
      </c>
      <c r="B2669" s="91">
        <v>7.75</v>
      </c>
    </row>
    <row r="2670" spans="1:2" x14ac:dyDescent="0.2">
      <c r="A2670" t="s">
        <v>1179</v>
      </c>
      <c r="B2670" s="91">
        <v>17.5</v>
      </c>
    </row>
    <row r="2671" spans="1:2" x14ac:dyDescent="0.2">
      <c r="A2671" t="s">
        <v>1180</v>
      </c>
      <c r="B2671" s="91">
        <v>7.5</v>
      </c>
    </row>
    <row r="2672" spans="1:2" x14ac:dyDescent="0.2">
      <c r="A2672" t="s">
        <v>1181</v>
      </c>
      <c r="B2672" s="91">
        <v>100</v>
      </c>
    </row>
    <row r="2673" spans="1:2" x14ac:dyDescent="0.2">
      <c r="A2673" t="s">
        <v>1181</v>
      </c>
      <c r="B2673" s="91">
        <v>59.5</v>
      </c>
    </row>
    <row r="2674" spans="1:2" x14ac:dyDescent="0.2">
      <c r="A2674" t="s">
        <v>1182</v>
      </c>
      <c r="B2674" s="91">
        <v>528</v>
      </c>
    </row>
    <row r="2675" spans="1:2" x14ac:dyDescent="0.2">
      <c r="A2675" t="s">
        <v>1183</v>
      </c>
      <c r="B2675" s="91">
        <v>6.75</v>
      </c>
    </row>
    <row r="2676" spans="1:2" x14ac:dyDescent="0.2">
      <c r="A2676" t="s">
        <v>1184</v>
      </c>
      <c r="B2676" s="91">
        <v>13.5</v>
      </c>
    </row>
    <row r="2677" spans="1:2" x14ac:dyDescent="0.2">
      <c r="A2677" t="s">
        <v>1185</v>
      </c>
      <c r="B2677" s="91">
        <v>480</v>
      </c>
    </row>
    <row r="2678" spans="1:2" x14ac:dyDescent="0.2">
      <c r="A2678" t="s">
        <v>1186</v>
      </c>
      <c r="B2678" s="91">
        <v>12960</v>
      </c>
    </row>
    <row r="2679" spans="1:2" x14ac:dyDescent="0.2">
      <c r="A2679" t="s">
        <v>1186</v>
      </c>
      <c r="B2679" s="91">
        <v>5994</v>
      </c>
    </row>
    <row r="2680" spans="1:2" x14ac:dyDescent="0.2">
      <c r="A2680" t="s">
        <v>1186</v>
      </c>
      <c r="B2680" s="91">
        <v>46</v>
      </c>
    </row>
    <row r="2681" spans="1:2" x14ac:dyDescent="0.2">
      <c r="A2681" t="s">
        <v>1187</v>
      </c>
      <c r="B2681" s="91">
        <v>178</v>
      </c>
    </row>
    <row r="2682" spans="1:2" x14ac:dyDescent="0.2">
      <c r="A2682" t="s">
        <v>1188</v>
      </c>
      <c r="B2682" s="91">
        <v>36</v>
      </c>
    </row>
    <row r="2683" spans="1:2" x14ac:dyDescent="0.2">
      <c r="A2683" t="s">
        <v>1188</v>
      </c>
      <c r="B2683" s="91">
        <v>18.25</v>
      </c>
    </row>
    <row r="2684" spans="1:2" x14ac:dyDescent="0.2">
      <c r="A2684" t="s">
        <v>1188</v>
      </c>
      <c r="B2684" s="91">
        <v>79.5</v>
      </c>
    </row>
    <row r="2685" spans="1:2" x14ac:dyDescent="0.2">
      <c r="A2685" t="s">
        <v>1189</v>
      </c>
      <c r="B2685" s="91">
        <v>27.5</v>
      </c>
    </row>
    <row r="2686" spans="1:2" x14ac:dyDescent="0.2">
      <c r="A2686" t="s">
        <v>1189</v>
      </c>
      <c r="B2686" s="91">
        <v>22.5</v>
      </c>
    </row>
    <row r="2687" spans="1:2" x14ac:dyDescent="0.2">
      <c r="A2687" t="s">
        <v>1189</v>
      </c>
      <c r="B2687" s="91">
        <v>22.5</v>
      </c>
    </row>
    <row r="2688" spans="1:2" x14ac:dyDescent="0.2">
      <c r="A2688" t="s">
        <v>1190</v>
      </c>
      <c r="B2688" s="91">
        <v>190</v>
      </c>
    </row>
    <row r="2689" spans="1:2" x14ac:dyDescent="0.2">
      <c r="A2689" t="s">
        <v>1191</v>
      </c>
      <c r="B2689" s="91">
        <v>250</v>
      </c>
    </row>
    <row r="2690" spans="1:2" x14ac:dyDescent="0.2">
      <c r="A2690" t="s">
        <v>1191</v>
      </c>
      <c r="B2690" s="91">
        <v>450</v>
      </c>
    </row>
    <row r="2691" spans="1:2" x14ac:dyDescent="0.2">
      <c r="A2691" t="s">
        <v>1191</v>
      </c>
      <c r="B2691" s="91">
        <v>300</v>
      </c>
    </row>
    <row r="2692" spans="1:2" x14ac:dyDescent="0.2">
      <c r="A2692" t="s">
        <v>1191</v>
      </c>
      <c r="B2692" s="91">
        <v>132.5</v>
      </c>
    </row>
    <row r="2693" spans="1:2" x14ac:dyDescent="0.2">
      <c r="A2693" t="s">
        <v>1191</v>
      </c>
      <c r="B2693" s="91">
        <v>478.5</v>
      </c>
    </row>
    <row r="2694" spans="1:2" x14ac:dyDescent="0.2">
      <c r="A2694" t="s">
        <v>1192</v>
      </c>
      <c r="B2694" s="91">
        <v>26.5</v>
      </c>
    </row>
    <row r="2695" spans="1:2" x14ac:dyDescent="0.2">
      <c r="A2695" t="s">
        <v>1193</v>
      </c>
      <c r="B2695" s="91">
        <v>31</v>
      </c>
    </row>
    <row r="2696" spans="1:2" x14ac:dyDescent="0.2">
      <c r="A2696" t="s">
        <v>1194</v>
      </c>
      <c r="B2696" s="91">
        <v>27.25</v>
      </c>
    </row>
    <row r="2697" spans="1:2" x14ac:dyDescent="0.2">
      <c r="A2697" t="s">
        <v>32</v>
      </c>
      <c r="B2697" s="91">
        <v>20</v>
      </c>
    </row>
    <row r="2698" spans="1:2" x14ac:dyDescent="0.2">
      <c r="A2698" t="s">
        <v>32</v>
      </c>
      <c r="B2698" s="91">
        <v>67.5</v>
      </c>
    </row>
    <row r="2699" spans="1:2" x14ac:dyDescent="0.2">
      <c r="A2699" t="s">
        <v>32</v>
      </c>
      <c r="B2699" s="91">
        <v>13</v>
      </c>
    </row>
    <row r="2700" spans="1:2" x14ac:dyDescent="0.2">
      <c r="A2700" t="s">
        <v>32</v>
      </c>
      <c r="B2700" s="91">
        <v>43</v>
      </c>
    </row>
    <row r="2701" spans="1:2" x14ac:dyDescent="0.2">
      <c r="A2701" t="s">
        <v>32</v>
      </c>
      <c r="B2701" s="91">
        <v>15</v>
      </c>
    </row>
    <row r="2702" spans="1:2" x14ac:dyDescent="0.2">
      <c r="A2702" t="s">
        <v>1195</v>
      </c>
      <c r="B2702" s="91">
        <v>18.5</v>
      </c>
    </row>
    <row r="2703" spans="1:2" x14ac:dyDescent="0.2">
      <c r="A2703" t="s">
        <v>1195</v>
      </c>
      <c r="B2703" s="91">
        <v>16</v>
      </c>
    </row>
    <row r="2704" spans="1:2" x14ac:dyDescent="0.2">
      <c r="A2704" t="s">
        <v>1195</v>
      </c>
      <c r="B2704" s="91">
        <v>15</v>
      </c>
    </row>
    <row r="2705" spans="1:2" x14ac:dyDescent="0.2">
      <c r="A2705" t="s">
        <v>1195</v>
      </c>
      <c r="B2705" s="91">
        <v>28.75</v>
      </c>
    </row>
    <row r="2706" spans="1:2" x14ac:dyDescent="0.2">
      <c r="A2706" t="s">
        <v>1195</v>
      </c>
      <c r="B2706" s="91">
        <v>47.5</v>
      </c>
    </row>
    <row r="2707" spans="1:2" x14ac:dyDescent="0.2">
      <c r="A2707" t="s">
        <v>1195</v>
      </c>
      <c r="B2707" s="91">
        <v>10</v>
      </c>
    </row>
    <row r="2708" spans="1:2" x14ac:dyDescent="0.2">
      <c r="A2708" t="s">
        <v>1195</v>
      </c>
      <c r="B2708" s="91">
        <v>6.75</v>
      </c>
    </row>
    <row r="2709" spans="1:2" x14ac:dyDescent="0.2">
      <c r="A2709" t="s">
        <v>1196</v>
      </c>
      <c r="B2709" s="91">
        <v>37.5</v>
      </c>
    </row>
    <row r="2710" spans="1:2" x14ac:dyDescent="0.2">
      <c r="A2710" t="s">
        <v>1196</v>
      </c>
      <c r="B2710" s="91">
        <v>24.5</v>
      </c>
    </row>
    <row r="2711" spans="1:2" x14ac:dyDescent="0.2">
      <c r="A2711" t="s">
        <v>1197</v>
      </c>
      <c r="B2711" s="91">
        <v>6.75</v>
      </c>
    </row>
    <row r="2712" spans="1:2" x14ac:dyDescent="0.2">
      <c r="A2712" t="s">
        <v>1198</v>
      </c>
      <c r="B2712" s="91">
        <v>65.5</v>
      </c>
    </row>
    <row r="2713" spans="1:2" x14ac:dyDescent="0.2">
      <c r="A2713" t="s">
        <v>1198</v>
      </c>
      <c r="B2713" s="91">
        <v>6.75</v>
      </c>
    </row>
    <row r="2714" spans="1:2" x14ac:dyDescent="0.2">
      <c r="A2714" t="s">
        <v>1198</v>
      </c>
      <c r="B2714" s="91">
        <v>6.75</v>
      </c>
    </row>
    <row r="2715" spans="1:2" x14ac:dyDescent="0.2">
      <c r="A2715" t="s">
        <v>1199</v>
      </c>
      <c r="B2715" s="91">
        <v>91</v>
      </c>
    </row>
    <row r="2716" spans="1:2" x14ac:dyDescent="0.2">
      <c r="A2716" t="s">
        <v>1200</v>
      </c>
      <c r="B2716" s="91">
        <v>10</v>
      </c>
    </row>
    <row r="2717" spans="1:2" x14ac:dyDescent="0.2">
      <c r="A2717" t="s">
        <v>1201</v>
      </c>
      <c r="B2717" s="91">
        <v>7.5</v>
      </c>
    </row>
    <row r="2718" spans="1:2" x14ac:dyDescent="0.2">
      <c r="A2718" t="s">
        <v>1202</v>
      </c>
      <c r="B2718" s="91">
        <v>60</v>
      </c>
    </row>
    <row r="2719" spans="1:2" x14ac:dyDescent="0.2">
      <c r="A2719" t="s">
        <v>1203</v>
      </c>
      <c r="B2719" s="91">
        <v>10</v>
      </c>
    </row>
    <row r="2720" spans="1:2" x14ac:dyDescent="0.2">
      <c r="A2720" t="s">
        <v>1204</v>
      </c>
      <c r="B2720" s="91">
        <v>18</v>
      </c>
    </row>
    <row r="2721" spans="1:2" x14ac:dyDescent="0.2">
      <c r="A2721" t="s">
        <v>1205</v>
      </c>
      <c r="B2721" s="91">
        <v>39.75</v>
      </c>
    </row>
    <row r="2722" spans="1:2" x14ac:dyDescent="0.2">
      <c r="A2722" t="s">
        <v>1205</v>
      </c>
      <c r="B2722" s="91">
        <v>42.75</v>
      </c>
    </row>
    <row r="2723" spans="1:2" x14ac:dyDescent="0.2">
      <c r="A2723" t="s">
        <v>1206</v>
      </c>
      <c r="B2723" s="91">
        <v>178</v>
      </c>
    </row>
    <row r="2724" spans="1:2" x14ac:dyDescent="0.2">
      <c r="A2724" t="s">
        <v>1207</v>
      </c>
      <c r="B2724" s="91">
        <v>8</v>
      </c>
    </row>
    <row r="2725" spans="1:2" x14ac:dyDescent="0.2">
      <c r="A2725" t="s">
        <v>1207</v>
      </c>
      <c r="B2725" s="91">
        <v>9.75</v>
      </c>
    </row>
    <row r="2726" spans="1:2" x14ac:dyDescent="0.2">
      <c r="A2726" t="s">
        <v>1208</v>
      </c>
      <c r="B2726" s="91">
        <v>33.75</v>
      </c>
    </row>
    <row r="2727" spans="1:2" x14ac:dyDescent="0.2">
      <c r="A2727" t="s">
        <v>1209</v>
      </c>
      <c r="B2727" s="91">
        <v>120</v>
      </c>
    </row>
    <row r="2728" spans="1:2" x14ac:dyDescent="0.2">
      <c r="A2728" t="s">
        <v>1209</v>
      </c>
      <c r="B2728" s="91">
        <v>58</v>
      </c>
    </row>
    <row r="2729" spans="1:2" x14ac:dyDescent="0.2">
      <c r="A2729" t="s">
        <v>1210</v>
      </c>
      <c r="B2729" s="91">
        <v>108</v>
      </c>
    </row>
    <row r="2730" spans="1:2" x14ac:dyDescent="0.2">
      <c r="A2730" t="s">
        <v>1211</v>
      </c>
      <c r="B2730" s="91">
        <v>37.5</v>
      </c>
    </row>
    <row r="2731" spans="1:2" x14ac:dyDescent="0.2">
      <c r="A2731" t="s">
        <v>1211</v>
      </c>
      <c r="B2731" s="91">
        <v>76.75</v>
      </c>
    </row>
    <row r="2732" spans="1:2" x14ac:dyDescent="0.2">
      <c r="A2732" t="s">
        <v>1212</v>
      </c>
      <c r="B2732" s="91">
        <v>54</v>
      </c>
    </row>
    <row r="2733" spans="1:2" x14ac:dyDescent="0.2">
      <c r="A2733" t="s">
        <v>1212</v>
      </c>
      <c r="B2733" s="91">
        <v>51.5</v>
      </c>
    </row>
    <row r="2734" spans="1:2" x14ac:dyDescent="0.2">
      <c r="A2734" t="s">
        <v>1213</v>
      </c>
      <c r="B2734" s="91">
        <v>297</v>
      </c>
    </row>
    <row r="2735" spans="1:2" x14ac:dyDescent="0.2">
      <c r="A2735" t="s">
        <v>1213</v>
      </c>
      <c r="B2735" s="91">
        <v>321</v>
      </c>
    </row>
    <row r="2736" spans="1:2" x14ac:dyDescent="0.2">
      <c r="A2736" t="s">
        <v>1214</v>
      </c>
      <c r="B2736" s="91">
        <v>262</v>
      </c>
    </row>
    <row r="2737" spans="1:2" x14ac:dyDescent="0.2">
      <c r="A2737" t="s">
        <v>1215</v>
      </c>
      <c r="B2737" s="91">
        <v>21</v>
      </c>
    </row>
    <row r="2738" spans="1:2" x14ac:dyDescent="0.2">
      <c r="A2738" t="s">
        <v>1215</v>
      </c>
      <c r="B2738" s="91">
        <v>7.5</v>
      </c>
    </row>
    <row r="2739" spans="1:2" x14ac:dyDescent="0.2">
      <c r="A2739" t="s">
        <v>1216</v>
      </c>
      <c r="B2739" s="91">
        <v>10</v>
      </c>
    </row>
    <row r="2740" spans="1:2" x14ac:dyDescent="0.2">
      <c r="A2740" t="s">
        <v>1217</v>
      </c>
      <c r="B2740" s="91">
        <v>29.5</v>
      </c>
    </row>
    <row r="2741" spans="1:2" x14ac:dyDescent="0.2">
      <c r="A2741" t="s">
        <v>1218</v>
      </c>
      <c r="B2741" s="91">
        <v>14.75</v>
      </c>
    </row>
    <row r="2742" spans="1:2" x14ac:dyDescent="0.2">
      <c r="A2742" t="s">
        <v>1219</v>
      </c>
      <c r="B2742" s="91">
        <v>307</v>
      </c>
    </row>
    <row r="2743" spans="1:2" x14ac:dyDescent="0.2">
      <c r="A2743" t="s">
        <v>1220</v>
      </c>
      <c r="B2743" s="91">
        <v>15</v>
      </c>
    </row>
    <row r="2744" spans="1:2" x14ac:dyDescent="0.2">
      <c r="A2744" t="s">
        <v>1221</v>
      </c>
      <c r="B2744" s="91">
        <v>55.75</v>
      </c>
    </row>
    <row r="2745" spans="1:2" x14ac:dyDescent="0.2">
      <c r="A2745" t="s">
        <v>1222</v>
      </c>
      <c r="B2745" s="91">
        <v>21</v>
      </c>
    </row>
    <row r="2746" spans="1:2" x14ac:dyDescent="0.2">
      <c r="A2746" t="s">
        <v>1223</v>
      </c>
      <c r="B2746" s="91">
        <v>18</v>
      </c>
    </row>
    <row r="2747" spans="1:2" x14ac:dyDescent="0.2">
      <c r="A2747" t="s">
        <v>1224</v>
      </c>
      <c r="B2747" s="91">
        <v>13.75</v>
      </c>
    </row>
    <row r="2748" spans="1:2" x14ac:dyDescent="0.2">
      <c r="A2748" t="s">
        <v>1225</v>
      </c>
      <c r="B2748" s="91">
        <v>80</v>
      </c>
    </row>
    <row r="2749" spans="1:2" x14ac:dyDescent="0.2">
      <c r="A2749" t="s">
        <v>1225</v>
      </c>
      <c r="B2749" s="91">
        <v>80</v>
      </c>
    </row>
    <row r="2750" spans="1:2" x14ac:dyDescent="0.2">
      <c r="A2750" t="s">
        <v>1225</v>
      </c>
      <c r="B2750" s="91">
        <v>80</v>
      </c>
    </row>
    <row r="2751" spans="1:2" x14ac:dyDescent="0.2">
      <c r="A2751" t="s">
        <v>1225</v>
      </c>
      <c r="B2751" s="91">
        <v>69</v>
      </c>
    </row>
    <row r="2752" spans="1:2" x14ac:dyDescent="0.2">
      <c r="A2752" t="s">
        <v>1226</v>
      </c>
      <c r="B2752" s="91">
        <v>18.25</v>
      </c>
    </row>
    <row r="2753" spans="1:2" x14ac:dyDescent="0.2">
      <c r="A2753" t="s">
        <v>1226</v>
      </c>
      <c r="B2753" s="91">
        <v>12.25</v>
      </c>
    </row>
    <row r="2754" spans="1:2" x14ac:dyDescent="0.2">
      <c r="A2754" t="s">
        <v>1227</v>
      </c>
      <c r="B2754" s="91">
        <v>178</v>
      </c>
    </row>
    <row r="2755" spans="1:2" x14ac:dyDescent="0.2">
      <c r="A2755" t="s">
        <v>1228</v>
      </c>
      <c r="B2755" s="91">
        <v>45.5</v>
      </c>
    </row>
    <row r="2756" spans="1:2" x14ac:dyDescent="0.2">
      <c r="A2756" t="s">
        <v>1229</v>
      </c>
      <c r="B2756" s="91">
        <v>14.25</v>
      </c>
    </row>
    <row r="2757" spans="1:2" x14ac:dyDescent="0.2">
      <c r="A2757" t="s">
        <v>1230</v>
      </c>
      <c r="B2757" s="91">
        <v>67</v>
      </c>
    </row>
    <row r="2758" spans="1:2" x14ac:dyDescent="0.2">
      <c r="A2758" t="s">
        <v>1231</v>
      </c>
      <c r="B2758" s="91">
        <v>262</v>
      </c>
    </row>
    <row r="2759" spans="1:2" x14ac:dyDescent="0.2">
      <c r="A2759" t="s">
        <v>1231</v>
      </c>
      <c r="B2759" s="91">
        <v>190</v>
      </c>
    </row>
    <row r="2760" spans="1:2" x14ac:dyDescent="0.2">
      <c r="A2760" t="s">
        <v>1232</v>
      </c>
      <c r="B2760" s="91">
        <v>87.75</v>
      </c>
    </row>
    <row r="2761" spans="1:2" x14ac:dyDescent="0.2">
      <c r="A2761" t="s">
        <v>1232</v>
      </c>
      <c r="B2761" s="91">
        <v>72</v>
      </c>
    </row>
    <row r="2762" spans="1:2" x14ac:dyDescent="0.2">
      <c r="A2762" t="s">
        <v>1232</v>
      </c>
      <c r="B2762" s="91">
        <v>87</v>
      </c>
    </row>
    <row r="2763" spans="1:2" x14ac:dyDescent="0.2">
      <c r="A2763" t="s">
        <v>1232</v>
      </c>
      <c r="B2763" s="91">
        <v>16.75</v>
      </c>
    </row>
    <row r="2764" spans="1:2" x14ac:dyDescent="0.2">
      <c r="A2764" t="s">
        <v>1232</v>
      </c>
      <c r="B2764" s="91">
        <v>47.75</v>
      </c>
    </row>
    <row r="2765" spans="1:2" x14ac:dyDescent="0.2">
      <c r="A2765" t="s">
        <v>1232</v>
      </c>
      <c r="B2765" s="91">
        <v>43.5</v>
      </c>
    </row>
    <row r="2766" spans="1:2" x14ac:dyDescent="0.2">
      <c r="A2766" t="s">
        <v>1232</v>
      </c>
      <c r="B2766" s="91">
        <v>41.25</v>
      </c>
    </row>
    <row r="2767" spans="1:2" x14ac:dyDescent="0.2">
      <c r="A2767" t="s">
        <v>1233</v>
      </c>
      <c r="B2767" s="91">
        <v>14.25</v>
      </c>
    </row>
    <row r="2768" spans="1:2" x14ac:dyDescent="0.2">
      <c r="A2768" t="s">
        <v>1234</v>
      </c>
      <c r="B2768" s="91">
        <v>67.5</v>
      </c>
    </row>
    <row r="2769" spans="1:2" x14ac:dyDescent="0.2">
      <c r="A2769" t="s">
        <v>1235</v>
      </c>
      <c r="B2769" s="91">
        <v>39.75</v>
      </c>
    </row>
    <row r="2770" spans="1:2" x14ac:dyDescent="0.2">
      <c r="A2770" t="s">
        <v>1236</v>
      </c>
      <c r="B2770" s="91">
        <v>156</v>
      </c>
    </row>
    <row r="2771" spans="1:2" x14ac:dyDescent="0.2">
      <c r="A2771" t="s">
        <v>1237</v>
      </c>
      <c r="B2771" s="91">
        <v>14.75</v>
      </c>
    </row>
    <row r="2772" spans="1:2" x14ac:dyDescent="0.2">
      <c r="A2772" t="s">
        <v>1237</v>
      </c>
      <c r="B2772" s="91">
        <v>18</v>
      </c>
    </row>
    <row r="2773" spans="1:2" x14ac:dyDescent="0.2">
      <c r="A2773" t="s">
        <v>1237</v>
      </c>
      <c r="B2773" s="91">
        <v>7.5</v>
      </c>
    </row>
    <row r="2774" spans="1:2" x14ac:dyDescent="0.2">
      <c r="A2774" t="s">
        <v>1238</v>
      </c>
      <c r="B2774" s="91">
        <v>264</v>
      </c>
    </row>
    <row r="2775" spans="1:2" x14ac:dyDescent="0.2">
      <c r="A2775" t="s">
        <v>1239</v>
      </c>
      <c r="B2775" s="91">
        <v>53.25</v>
      </c>
    </row>
    <row r="2776" spans="1:2" x14ac:dyDescent="0.2">
      <c r="A2776" t="s">
        <v>1239</v>
      </c>
      <c r="B2776" s="91">
        <v>10.25</v>
      </c>
    </row>
    <row r="2777" spans="1:2" x14ac:dyDescent="0.2">
      <c r="A2777" t="s">
        <v>1240</v>
      </c>
      <c r="B2777" s="91">
        <v>29.5</v>
      </c>
    </row>
    <row r="2778" spans="1:2" x14ac:dyDescent="0.2">
      <c r="A2778" t="s">
        <v>1241</v>
      </c>
      <c r="B2778" s="91">
        <v>12.25</v>
      </c>
    </row>
    <row r="2779" spans="1:2" x14ac:dyDescent="0.2">
      <c r="A2779" t="s">
        <v>1241</v>
      </c>
      <c r="B2779" s="91">
        <v>14.75</v>
      </c>
    </row>
    <row r="2780" spans="1:2" x14ac:dyDescent="0.2">
      <c r="A2780" t="s">
        <v>1242</v>
      </c>
      <c r="B2780" s="91">
        <v>18</v>
      </c>
    </row>
    <row r="2781" spans="1:2" x14ac:dyDescent="0.2">
      <c r="A2781" t="s">
        <v>1242</v>
      </c>
      <c r="B2781" s="91">
        <v>11.5</v>
      </c>
    </row>
    <row r="2782" spans="1:2" x14ac:dyDescent="0.2">
      <c r="A2782" t="s">
        <v>1242</v>
      </c>
      <c r="B2782" s="91">
        <v>11.5</v>
      </c>
    </row>
    <row r="2783" spans="1:2" x14ac:dyDescent="0.2">
      <c r="A2783" t="s">
        <v>1243</v>
      </c>
      <c r="B2783" s="91">
        <v>307</v>
      </c>
    </row>
  </sheetData>
  <sortState xmlns:xlrd2="http://schemas.microsoft.com/office/spreadsheetml/2017/richdata2" ref="D2:E1213">
    <sortCondition descending="1" ref="E2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819"/>
  <sheetViews>
    <sheetView workbookViewId="0">
      <selection activeCell="L8" sqref="L8"/>
    </sheetView>
  </sheetViews>
  <sheetFormatPr defaultRowHeight="12.75" x14ac:dyDescent="0.2"/>
  <cols>
    <col min="1" max="1" width="17.85546875" customWidth="1"/>
  </cols>
  <sheetData>
    <row r="1" spans="1:1" x14ac:dyDescent="0.2">
      <c r="A1" s="91" t="s">
        <v>9</v>
      </c>
    </row>
    <row r="2" spans="1:1" x14ac:dyDescent="0.2">
      <c r="A2" s="91">
        <v>659.83</v>
      </c>
    </row>
    <row r="3" spans="1:1" x14ac:dyDescent="0.2">
      <c r="A3" s="91">
        <v>699.84</v>
      </c>
    </row>
    <row r="4" spans="1:1" x14ac:dyDescent="0.2">
      <c r="A4" s="91">
        <v>414.77</v>
      </c>
    </row>
    <row r="5" spans="1:1" x14ac:dyDescent="0.2">
      <c r="A5" s="91">
        <v>1329.72</v>
      </c>
    </row>
    <row r="6" spans="1:1" x14ac:dyDescent="0.2">
      <c r="A6" s="91">
        <v>189.96</v>
      </c>
    </row>
    <row r="7" spans="1:1" x14ac:dyDescent="0.2">
      <c r="A7" s="91">
        <v>569.88</v>
      </c>
    </row>
    <row r="8" spans="1:1" x14ac:dyDescent="0.2">
      <c r="A8" s="91">
        <v>708</v>
      </c>
    </row>
    <row r="9" spans="1:1" x14ac:dyDescent="0.2">
      <c r="A9" s="91">
        <v>4056</v>
      </c>
    </row>
    <row r="10" spans="1:1" x14ac:dyDescent="0.2">
      <c r="A10" s="91">
        <v>528</v>
      </c>
    </row>
    <row r="11" spans="1:1" x14ac:dyDescent="0.2">
      <c r="A11" s="91">
        <v>396</v>
      </c>
    </row>
    <row r="12" spans="1:1" x14ac:dyDescent="0.2">
      <c r="A12" s="91">
        <v>1189.72</v>
      </c>
    </row>
    <row r="13" spans="1:1" x14ac:dyDescent="0.2">
      <c r="A13" s="91">
        <v>849.8</v>
      </c>
    </row>
    <row r="14" spans="1:1" x14ac:dyDescent="0.2">
      <c r="A14" s="91">
        <v>6680.9599999999991</v>
      </c>
    </row>
    <row r="15" spans="1:1" x14ac:dyDescent="0.2">
      <c r="A15" s="91">
        <v>3969.7599999999998</v>
      </c>
    </row>
    <row r="16" spans="1:1" x14ac:dyDescent="0.2">
      <c r="A16" s="91">
        <v>759.84</v>
      </c>
    </row>
    <row r="17" spans="1:1" x14ac:dyDescent="0.2">
      <c r="A17" s="91">
        <v>379.92</v>
      </c>
    </row>
    <row r="18" spans="1:1" x14ac:dyDescent="0.2">
      <c r="A18" s="91">
        <v>2773</v>
      </c>
    </row>
    <row r="19" spans="1:1" x14ac:dyDescent="0.2">
      <c r="A19" s="91">
        <v>6500</v>
      </c>
    </row>
    <row r="20" spans="1:1" x14ac:dyDescent="0.2">
      <c r="A20" s="91">
        <v>650</v>
      </c>
    </row>
    <row r="21" spans="1:1" x14ac:dyDescent="0.2">
      <c r="A21" s="91">
        <v>1300</v>
      </c>
    </row>
    <row r="22" spans="1:1" x14ac:dyDescent="0.2">
      <c r="A22" s="91">
        <v>8158.08</v>
      </c>
    </row>
    <row r="23" spans="1:1" x14ac:dyDescent="0.2">
      <c r="A23" s="91">
        <v>509.88</v>
      </c>
    </row>
    <row r="24" spans="1:1" x14ac:dyDescent="0.2">
      <c r="A24" s="91">
        <v>339.92</v>
      </c>
    </row>
    <row r="25" spans="1:1" x14ac:dyDescent="0.2">
      <c r="A25" s="91">
        <v>13104.96</v>
      </c>
    </row>
    <row r="26" spans="1:1" x14ac:dyDescent="0.2">
      <c r="A26" s="91">
        <v>3759.2</v>
      </c>
    </row>
    <row r="27" spans="1:1" x14ac:dyDescent="0.2">
      <c r="A27" s="91">
        <v>3515</v>
      </c>
    </row>
    <row r="28" spans="1:1" x14ac:dyDescent="0.2">
      <c r="A28" s="91">
        <v>703</v>
      </c>
    </row>
    <row r="29" spans="1:1" x14ac:dyDescent="0.2">
      <c r="A29" s="91">
        <v>703</v>
      </c>
    </row>
    <row r="30" spans="1:1" x14ac:dyDescent="0.2">
      <c r="A30" s="91">
        <v>185.95999999999998</v>
      </c>
    </row>
    <row r="31" spans="1:1" x14ac:dyDescent="0.2">
      <c r="A31" s="91">
        <v>240</v>
      </c>
    </row>
    <row r="32" spans="1:1" x14ac:dyDescent="0.2">
      <c r="A32" s="91">
        <v>2990</v>
      </c>
    </row>
    <row r="33" spans="1:1" x14ac:dyDescent="0.2">
      <c r="A33" s="91">
        <v>11897.2</v>
      </c>
    </row>
    <row r="34" spans="1:1" x14ac:dyDescent="0.2">
      <c r="A34" s="91">
        <v>5948.6</v>
      </c>
    </row>
    <row r="35" spans="1:1" x14ac:dyDescent="0.2">
      <c r="A35" s="91">
        <v>3399.2</v>
      </c>
    </row>
    <row r="36" spans="1:1" x14ac:dyDescent="0.2">
      <c r="A36" s="91">
        <v>16722.399999999998</v>
      </c>
    </row>
    <row r="37" spans="1:1" x14ac:dyDescent="0.2">
      <c r="A37" s="91">
        <v>2569.6</v>
      </c>
    </row>
    <row r="38" spans="1:1" x14ac:dyDescent="0.2">
      <c r="A38" s="91">
        <v>9981.8799999999992</v>
      </c>
    </row>
    <row r="39" spans="1:1" x14ac:dyDescent="0.2">
      <c r="A39" s="91">
        <v>1889.6</v>
      </c>
    </row>
    <row r="40" spans="1:1" x14ac:dyDescent="0.2">
      <c r="A40" s="91">
        <v>939.8</v>
      </c>
    </row>
    <row r="41" spans="1:1" x14ac:dyDescent="0.2">
      <c r="A41" s="91">
        <v>3525.72</v>
      </c>
    </row>
    <row r="42" spans="1:1" x14ac:dyDescent="0.2">
      <c r="A42" s="91">
        <v>590</v>
      </c>
    </row>
    <row r="43" spans="1:1" x14ac:dyDescent="0.2">
      <c r="A43" s="91">
        <v>923.92</v>
      </c>
    </row>
    <row r="44" spans="1:1" x14ac:dyDescent="0.2">
      <c r="A44" s="91">
        <v>132</v>
      </c>
    </row>
    <row r="45" spans="1:1" x14ac:dyDescent="0.2">
      <c r="A45" s="91">
        <v>2974.32</v>
      </c>
    </row>
    <row r="46" spans="1:1" x14ac:dyDescent="0.2">
      <c r="A46" s="91">
        <v>437.4</v>
      </c>
    </row>
    <row r="47" spans="1:1" x14ac:dyDescent="0.2">
      <c r="A47" s="91">
        <v>524.88</v>
      </c>
    </row>
    <row r="48" spans="1:1" x14ac:dyDescent="0.2">
      <c r="A48" s="91">
        <v>5370.1799999999994</v>
      </c>
    </row>
    <row r="49" spans="1:1" x14ac:dyDescent="0.2">
      <c r="A49" s="91">
        <v>654.9</v>
      </c>
    </row>
    <row r="50" spans="1:1" x14ac:dyDescent="0.2">
      <c r="A50" s="91">
        <v>2849.4</v>
      </c>
    </row>
    <row r="51" spans="1:1" x14ac:dyDescent="0.2">
      <c r="A51" s="91">
        <v>379.92</v>
      </c>
    </row>
    <row r="52" spans="1:1" x14ac:dyDescent="0.2">
      <c r="A52" s="91">
        <v>189.96</v>
      </c>
    </row>
    <row r="53" spans="1:1" x14ac:dyDescent="0.2">
      <c r="A53" s="91">
        <v>6136</v>
      </c>
    </row>
    <row r="54" spans="1:1" x14ac:dyDescent="0.2">
      <c r="A54" s="91">
        <v>885</v>
      </c>
    </row>
    <row r="55" spans="1:1" x14ac:dyDescent="0.2">
      <c r="A55" s="91">
        <v>1475</v>
      </c>
    </row>
    <row r="56" spans="1:1" x14ac:dyDescent="0.2">
      <c r="A56" s="91">
        <v>225.12</v>
      </c>
    </row>
    <row r="57" spans="1:1" x14ac:dyDescent="0.2">
      <c r="A57" s="91">
        <v>720</v>
      </c>
    </row>
    <row r="58" spans="1:1" x14ac:dyDescent="0.2">
      <c r="A58" s="91">
        <v>1301</v>
      </c>
    </row>
    <row r="59" spans="1:1" x14ac:dyDescent="0.2">
      <c r="A59" s="91">
        <v>524.88</v>
      </c>
    </row>
    <row r="60" spans="1:1" x14ac:dyDescent="0.2">
      <c r="A60" s="91">
        <v>349.92</v>
      </c>
    </row>
    <row r="61" spans="1:1" x14ac:dyDescent="0.2">
      <c r="A61" s="91">
        <v>1047.8399999999999</v>
      </c>
    </row>
    <row r="62" spans="1:1" x14ac:dyDescent="0.2">
      <c r="A62" s="91">
        <v>4139.12</v>
      </c>
    </row>
    <row r="63" spans="1:1" x14ac:dyDescent="0.2">
      <c r="A63" s="91">
        <v>4926</v>
      </c>
    </row>
    <row r="64" spans="1:1" x14ac:dyDescent="0.2">
      <c r="A64" s="91">
        <v>1406</v>
      </c>
    </row>
    <row r="65" spans="1:1" x14ac:dyDescent="0.2">
      <c r="A65" s="91">
        <v>1406</v>
      </c>
    </row>
    <row r="66" spans="1:1" x14ac:dyDescent="0.2">
      <c r="A66" s="91">
        <v>440.24</v>
      </c>
    </row>
    <row r="67" spans="1:1" x14ac:dyDescent="0.2">
      <c r="A67" s="91">
        <v>372</v>
      </c>
    </row>
    <row r="68" spans="1:1" x14ac:dyDescent="0.2">
      <c r="A68" s="91">
        <v>13000</v>
      </c>
    </row>
    <row r="69" spans="1:1" x14ac:dyDescent="0.2">
      <c r="A69" s="91">
        <v>1172</v>
      </c>
    </row>
    <row r="70" spans="1:1" x14ac:dyDescent="0.2">
      <c r="A70" s="91">
        <v>3900</v>
      </c>
    </row>
    <row r="71" spans="1:1" x14ac:dyDescent="0.2">
      <c r="A71" s="91">
        <v>699.84</v>
      </c>
    </row>
    <row r="72" spans="1:1" x14ac:dyDescent="0.2">
      <c r="A72" s="91">
        <v>1833.7199999999998</v>
      </c>
    </row>
    <row r="73" spans="1:1" x14ac:dyDescent="0.2">
      <c r="A73" s="91">
        <v>19175.920000000002</v>
      </c>
    </row>
    <row r="74" spans="1:1" x14ac:dyDescent="0.2">
      <c r="A74" s="91">
        <v>4699</v>
      </c>
    </row>
    <row r="75" spans="1:1" x14ac:dyDescent="0.2">
      <c r="A75" s="91">
        <v>2819.4</v>
      </c>
    </row>
    <row r="76" spans="1:1" x14ac:dyDescent="0.2">
      <c r="A76" s="91">
        <v>14060</v>
      </c>
    </row>
    <row r="77" spans="1:1" x14ac:dyDescent="0.2">
      <c r="A77" s="91">
        <v>2109</v>
      </c>
    </row>
    <row r="78" spans="1:1" x14ac:dyDescent="0.2">
      <c r="A78" s="91">
        <v>3515</v>
      </c>
    </row>
    <row r="79" spans="1:1" x14ac:dyDescent="0.2">
      <c r="A79" s="91">
        <v>711.12</v>
      </c>
    </row>
    <row r="80" spans="1:1" x14ac:dyDescent="0.2">
      <c r="A80" s="91">
        <v>131.18</v>
      </c>
    </row>
    <row r="81" spans="1:1" x14ac:dyDescent="0.2">
      <c r="A81" s="91">
        <v>132</v>
      </c>
    </row>
    <row r="82" spans="1:1" x14ac:dyDescent="0.2">
      <c r="A82" s="91">
        <v>1049.76</v>
      </c>
    </row>
    <row r="83" spans="1:1" x14ac:dyDescent="0.2">
      <c r="A83" s="91">
        <v>1178.82</v>
      </c>
    </row>
    <row r="84" spans="1:1" x14ac:dyDescent="0.2">
      <c r="A84" s="91">
        <v>3039.36</v>
      </c>
    </row>
    <row r="85" spans="1:1" x14ac:dyDescent="0.2">
      <c r="A85" s="91">
        <v>379.92</v>
      </c>
    </row>
    <row r="86" spans="1:1" x14ac:dyDescent="0.2">
      <c r="A86" s="91">
        <v>189.96</v>
      </c>
    </row>
    <row r="87" spans="1:1" x14ac:dyDescent="0.2">
      <c r="A87" s="91">
        <v>1416</v>
      </c>
    </row>
    <row r="88" spans="1:1" x14ac:dyDescent="0.2">
      <c r="A88" s="91">
        <v>590</v>
      </c>
    </row>
    <row r="89" spans="1:1" x14ac:dyDescent="0.2">
      <c r="A89" s="91">
        <v>236</v>
      </c>
    </row>
    <row r="90" spans="1:1" x14ac:dyDescent="0.2">
      <c r="A90" s="91">
        <v>2600</v>
      </c>
    </row>
    <row r="91" spans="1:1" x14ac:dyDescent="0.2">
      <c r="A91" s="91">
        <v>520</v>
      </c>
    </row>
    <row r="92" spans="1:1" x14ac:dyDescent="0.2">
      <c r="A92" s="91">
        <v>849.8</v>
      </c>
    </row>
    <row r="93" spans="1:1" x14ac:dyDescent="0.2">
      <c r="A93" s="91">
        <v>20565.16</v>
      </c>
    </row>
    <row r="94" spans="1:1" x14ac:dyDescent="0.2">
      <c r="A94" s="91">
        <v>4418.96</v>
      </c>
    </row>
    <row r="95" spans="1:1" x14ac:dyDescent="0.2">
      <c r="A95" s="91">
        <v>3399.2</v>
      </c>
    </row>
    <row r="96" spans="1:1" x14ac:dyDescent="0.2">
      <c r="A96" s="91">
        <v>19785.919999999998</v>
      </c>
    </row>
    <row r="97" spans="1:1" x14ac:dyDescent="0.2">
      <c r="A97" s="91">
        <v>2569.6</v>
      </c>
    </row>
    <row r="98" spans="1:1" x14ac:dyDescent="0.2">
      <c r="A98" s="91">
        <v>8834.1200000000008</v>
      </c>
    </row>
    <row r="99" spans="1:1" x14ac:dyDescent="0.2">
      <c r="A99" s="91">
        <v>939.8</v>
      </c>
    </row>
    <row r="100" spans="1:1" x14ac:dyDescent="0.2">
      <c r="A100" s="91">
        <v>189.96</v>
      </c>
    </row>
    <row r="101" spans="1:1" x14ac:dyDescent="0.2">
      <c r="A101" s="91">
        <v>1406.36</v>
      </c>
    </row>
    <row r="102" spans="1:1" x14ac:dyDescent="0.2">
      <c r="A102" s="91">
        <v>708</v>
      </c>
    </row>
    <row r="103" spans="1:1" x14ac:dyDescent="0.2">
      <c r="A103" s="91">
        <v>225.12</v>
      </c>
    </row>
    <row r="104" spans="1:1" x14ac:dyDescent="0.2">
      <c r="A104" s="91">
        <v>2224</v>
      </c>
    </row>
    <row r="105" spans="1:1" x14ac:dyDescent="0.2">
      <c r="A105" s="91">
        <v>2108</v>
      </c>
    </row>
    <row r="106" spans="1:1" x14ac:dyDescent="0.2">
      <c r="A106" s="91">
        <v>6103.6</v>
      </c>
    </row>
    <row r="107" spans="1:1" x14ac:dyDescent="0.2">
      <c r="A107" s="91">
        <v>1657.1200000000001</v>
      </c>
    </row>
    <row r="108" spans="1:1" x14ac:dyDescent="0.2">
      <c r="A108" s="91">
        <v>1724.6</v>
      </c>
    </row>
    <row r="109" spans="1:1" x14ac:dyDescent="0.2">
      <c r="A109" s="91">
        <v>6911.94</v>
      </c>
    </row>
    <row r="110" spans="1:1" x14ac:dyDescent="0.2">
      <c r="A110" s="91">
        <v>775.87999999999988</v>
      </c>
    </row>
    <row r="111" spans="1:1" x14ac:dyDescent="0.2">
      <c r="A111" s="91">
        <v>4744</v>
      </c>
    </row>
    <row r="112" spans="1:1" x14ac:dyDescent="0.2">
      <c r="A112" s="91">
        <v>569.88</v>
      </c>
    </row>
    <row r="113" spans="1:1" x14ac:dyDescent="0.2">
      <c r="A113" s="91">
        <v>379.92</v>
      </c>
    </row>
    <row r="114" spans="1:1" x14ac:dyDescent="0.2">
      <c r="A114" s="91">
        <v>6474.44</v>
      </c>
    </row>
    <row r="115" spans="1:1" x14ac:dyDescent="0.2">
      <c r="A115" s="91">
        <v>413</v>
      </c>
    </row>
    <row r="116" spans="1:1" x14ac:dyDescent="0.2">
      <c r="A116" s="91">
        <v>354</v>
      </c>
    </row>
    <row r="117" spans="1:1" x14ac:dyDescent="0.2">
      <c r="A117" s="91">
        <v>69</v>
      </c>
    </row>
    <row r="118" spans="1:1" x14ac:dyDescent="0.2">
      <c r="A118" s="91">
        <v>88</v>
      </c>
    </row>
    <row r="119" spans="1:1" x14ac:dyDescent="0.2">
      <c r="A119" s="91">
        <v>652.5</v>
      </c>
    </row>
    <row r="120" spans="1:1" x14ac:dyDescent="0.2">
      <c r="A120" s="91">
        <v>225.12</v>
      </c>
    </row>
    <row r="121" spans="1:1" x14ac:dyDescent="0.2">
      <c r="A121" s="91">
        <v>1979.18</v>
      </c>
    </row>
    <row r="122" spans="1:1" x14ac:dyDescent="0.2">
      <c r="A122" s="91">
        <v>792</v>
      </c>
    </row>
    <row r="123" spans="1:1" x14ac:dyDescent="0.2">
      <c r="A123" s="91">
        <v>792</v>
      </c>
    </row>
    <row r="124" spans="1:1" x14ac:dyDescent="0.2">
      <c r="A124" s="91">
        <v>2536.92</v>
      </c>
    </row>
    <row r="125" spans="1:1" x14ac:dyDescent="0.2">
      <c r="A125" s="91">
        <v>262.44</v>
      </c>
    </row>
    <row r="126" spans="1:1" x14ac:dyDescent="0.2">
      <c r="A126" s="91">
        <v>262.44</v>
      </c>
    </row>
    <row r="127" spans="1:1" x14ac:dyDescent="0.2">
      <c r="A127" s="91">
        <v>5632.1399999999994</v>
      </c>
    </row>
    <row r="128" spans="1:1" x14ac:dyDescent="0.2">
      <c r="A128" s="91">
        <v>916.8599999999999</v>
      </c>
    </row>
    <row r="129" spans="1:1" x14ac:dyDescent="0.2">
      <c r="A129" s="91">
        <v>4749</v>
      </c>
    </row>
    <row r="130" spans="1:1" x14ac:dyDescent="0.2">
      <c r="A130" s="91">
        <v>1519.68</v>
      </c>
    </row>
    <row r="131" spans="1:1" x14ac:dyDescent="0.2">
      <c r="A131" s="91">
        <v>1519.68</v>
      </c>
    </row>
    <row r="132" spans="1:1" x14ac:dyDescent="0.2">
      <c r="A132" s="91">
        <v>4956</v>
      </c>
    </row>
    <row r="133" spans="1:1" x14ac:dyDescent="0.2">
      <c r="A133" s="91">
        <v>826</v>
      </c>
    </row>
    <row r="134" spans="1:1" x14ac:dyDescent="0.2">
      <c r="A134" s="91">
        <v>1711</v>
      </c>
    </row>
    <row r="135" spans="1:1" x14ac:dyDescent="0.2">
      <c r="A135" s="91">
        <v>217.5</v>
      </c>
    </row>
    <row r="136" spans="1:1" x14ac:dyDescent="0.2">
      <c r="A136" s="91">
        <v>225.12</v>
      </c>
    </row>
    <row r="137" spans="1:1" x14ac:dyDescent="0.2">
      <c r="A137" s="91">
        <v>191.04</v>
      </c>
    </row>
    <row r="138" spans="1:1" x14ac:dyDescent="0.2">
      <c r="A138" s="91">
        <v>480</v>
      </c>
    </row>
    <row r="139" spans="1:1" x14ac:dyDescent="0.2">
      <c r="A139" s="91">
        <v>528</v>
      </c>
    </row>
    <row r="140" spans="1:1" x14ac:dyDescent="0.2">
      <c r="A140" s="91">
        <v>132</v>
      </c>
    </row>
    <row r="141" spans="1:1" x14ac:dyDescent="0.2">
      <c r="A141" s="91">
        <v>130.97999999999999</v>
      </c>
    </row>
    <row r="142" spans="1:1" x14ac:dyDescent="0.2">
      <c r="A142" s="91">
        <v>130.97999999999999</v>
      </c>
    </row>
    <row r="143" spans="1:1" x14ac:dyDescent="0.2">
      <c r="A143" s="91">
        <v>3399.28</v>
      </c>
    </row>
    <row r="144" spans="1:1" x14ac:dyDescent="0.2">
      <c r="A144" s="91">
        <v>1889.6</v>
      </c>
    </row>
    <row r="145" spans="1:1" x14ac:dyDescent="0.2">
      <c r="A145" s="91">
        <v>1701.16</v>
      </c>
    </row>
    <row r="146" spans="1:1" x14ac:dyDescent="0.2">
      <c r="A146" s="91">
        <v>1580</v>
      </c>
    </row>
    <row r="147" spans="1:1" x14ac:dyDescent="0.2">
      <c r="A147" s="91">
        <v>1320</v>
      </c>
    </row>
    <row r="148" spans="1:1" x14ac:dyDescent="0.2">
      <c r="A148" s="91">
        <v>2476</v>
      </c>
    </row>
    <row r="149" spans="1:1" x14ac:dyDescent="0.2">
      <c r="A149" s="91">
        <v>2476</v>
      </c>
    </row>
    <row r="150" spans="1:1" x14ac:dyDescent="0.2">
      <c r="A150" s="91">
        <v>2039.52</v>
      </c>
    </row>
    <row r="151" spans="1:1" x14ac:dyDescent="0.2">
      <c r="A151" s="91">
        <v>339.92</v>
      </c>
    </row>
    <row r="152" spans="1:1" x14ac:dyDescent="0.2">
      <c r="A152" s="91">
        <v>2831.56</v>
      </c>
    </row>
    <row r="153" spans="1:1" x14ac:dyDescent="0.2">
      <c r="A153" s="91">
        <v>513.91999999999996</v>
      </c>
    </row>
    <row r="154" spans="1:1" x14ac:dyDescent="0.2">
      <c r="A154" s="91">
        <v>6024.72</v>
      </c>
    </row>
    <row r="155" spans="1:1" x14ac:dyDescent="0.2">
      <c r="A155" s="91">
        <v>1135.76</v>
      </c>
    </row>
    <row r="156" spans="1:1" x14ac:dyDescent="0.2">
      <c r="A156" s="91">
        <v>1887.6</v>
      </c>
    </row>
    <row r="157" spans="1:1" x14ac:dyDescent="0.2">
      <c r="A157" s="91">
        <v>7035</v>
      </c>
    </row>
    <row r="158" spans="1:1" x14ac:dyDescent="0.2">
      <c r="A158" s="91">
        <v>1406</v>
      </c>
    </row>
    <row r="159" spans="1:1" x14ac:dyDescent="0.2">
      <c r="A159" s="91">
        <v>1406</v>
      </c>
    </row>
    <row r="160" spans="1:1" x14ac:dyDescent="0.2">
      <c r="A160" s="91">
        <v>1648</v>
      </c>
    </row>
    <row r="161" spans="1:1" x14ac:dyDescent="0.2">
      <c r="A161" s="91">
        <v>2600</v>
      </c>
    </row>
    <row r="162" spans="1:1" x14ac:dyDescent="0.2">
      <c r="A162" s="91">
        <v>3250</v>
      </c>
    </row>
    <row r="163" spans="1:1" x14ac:dyDescent="0.2">
      <c r="A163" s="91">
        <v>26343.8</v>
      </c>
    </row>
    <row r="164" spans="1:1" x14ac:dyDescent="0.2">
      <c r="A164" s="91">
        <v>4249</v>
      </c>
    </row>
    <row r="165" spans="1:1" x14ac:dyDescent="0.2">
      <c r="A165" s="91">
        <v>3229.2400000000002</v>
      </c>
    </row>
    <row r="166" spans="1:1" x14ac:dyDescent="0.2">
      <c r="A166" s="91">
        <v>28265.599999999999</v>
      </c>
    </row>
    <row r="167" spans="1:1" x14ac:dyDescent="0.2">
      <c r="A167" s="91">
        <v>1541.7599999999998</v>
      </c>
    </row>
    <row r="168" spans="1:1" x14ac:dyDescent="0.2">
      <c r="A168" s="91">
        <v>2569.6</v>
      </c>
    </row>
    <row r="169" spans="1:1" x14ac:dyDescent="0.2">
      <c r="A169" s="91">
        <v>9398</v>
      </c>
    </row>
    <row r="170" spans="1:1" x14ac:dyDescent="0.2">
      <c r="A170" s="91">
        <v>939.8</v>
      </c>
    </row>
    <row r="171" spans="1:1" x14ac:dyDescent="0.2">
      <c r="A171" s="91">
        <v>3520.08</v>
      </c>
    </row>
    <row r="172" spans="1:1" x14ac:dyDescent="0.2">
      <c r="A172" s="91">
        <v>708</v>
      </c>
    </row>
    <row r="173" spans="1:1" x14ac:dyDescent="0.2">
      <c r="A173" s="91">
        <v>225.12</v>
      </c>
    </row>
    <row r="174" spans="1:1" x14ac:dyDescent="0.2">
      <c r="A174" s="91">
        <v>1452</v>
      </c>
    </row>
    <row r="175" spans="1:1" x14ac:dyDescent="0.2">
      <c r="A175" s="91">
        <v>924</v>
      </c>
    </row>
    <row r="176" spans="1:1" x14ac:dyDescent="0.2">
      <c r="A176" s="91">
        <v>5507.24</v>
      </c>
    </row>
    <row r="177" spans="1:1" x14ac:dyDescent="0.2">
      <c r="A177" s="91">
        <v>1399.68</v>
      </c>
    </row>
    <row r="178" spans="1:1" x14ac:dyDescent="0.2">
      <c r="A178" s="91">
        <v>1047.68</v>
      </c>
    </row>
    <row r="179" spans="1:1" x14ac:dyDescent="0.2">
      <c r="A179" s="91">
        <v>5239.2</v>
      </c>
    </row>
    <row r="180" spans="1:1" x14ac:dyDescent="0.2">
      <c r="A180" s="91">
        <v>392.93999999999994</v>
      </c>
    </row>
    <row r="181" spans="1:1" x14ac:dyDescent="0.2">
      <c r="A181" s="91">
        <v>523.91999999999996</v>
      </c>
    </row>
    <row r="182" spans="1:1" x14ac:dyDescent="0.2">
      <c r="A182" s="91">
        <v>5128.92</v>
      </c>
    </row>
    <row r="183" spans="1:1" x14ac:dyDescent="0.2">
      <c r="A183" s="91">
        <v>569.88</v>
      </c>
    </row>
    <row r="184" spans="1:1" x14ac:dyDescent="0.2">
      <c r="A184" s="91">
        <v>1519.68</v>
      </c>
    </row>
    <row r="185" spans="1:1" x14ac:dyDescent="0.2">
      <c r="A185" s="91">
        <v>5723</v>
      </c>
    </row>
    <row r="186" spans="1:1" x14ac:dyDescent="0.2">
      <c r="A186" s="91">
        <v>1121</v>
      </c>
    </row>
    <row r="187" spans="1:1" x14ac:dyDescent="0.2">
      <c r="A187" s="91">
        <v>236</v>
      </c>
    </row>
    <row r="188" spans="1:1" x14ac:dyDescent="0.2">
      <c r="A188" s="91">
        <v>176</v>
      </c>
    </row>
    <row r="189" spans="1:1" x14ac:dyDescent="0.2">
      <c r="A189" s="91">
        <v>264</v>
      </c>
    </row>
    <row r="190" spans="1:1" x14ac:dyDescent="0.2">
      <c r="A190" s="91">
        <v>652.5</v>
      </c>
    </row>
    <row r="191" spans="1:1" x14ac:dyDescent="0.2">
      <c r="A191" s="91">
        <v>675.36</v>
      </c>
    </row>
    <row r="192" spans="1:1" x14ac:dyDescent="0.2">
      <c r="A192" s="91">
        <v>1920</v>
      </c>
    </row>
    <row r="193" spans="1:1" x14ac:dyDescent="0.2">
      <c r="A193" s="91">
        <v>2375.1999999999998</v>
      </c>
    </row>
    <row r="194" spans="1:1" x14ac:dyDescent="0.2">
      <c r="A194" s="91">
        <v>1188</v>
      </c>
    </row>
    <row r="195" spans="1:1" x14ac:dyDescent="0.2">
      <c r="A195" s="91">
        <v>528</v>
      </c>
    </row>
    <row r="196" spans="1:1" x14ac:dyDescent="0.2">
      <c r="A196" s="91">
        <v>2012.04</v>
      </c>
    </row>
    <row r="197" spans="1:1" x14ac:dyDescent="0.2">
      <c r="A197" s="91">
        <v>1049.76</v>
      </c>
    </row>
    <row r="198" spans="1:1" x14ac:dyDescent="0.2">
      <c r="A198" s="91">
        <v>437.4</v>
      </c>
    </row>
    <row r="199" spans="1:1" x14ac:dyDescent="0.2">
      <c r="A199" s="91">
        <v>3798.4199999999996</v>
      </c>
    </row>
    <row r="200" spans="1:1" x14ac:dyDescent="0.2">
      <c r="A200" s="91">
        <v>654.9</v>
      </c>
    </row>
    <row r="201" spans="1:1" x14ac:dyDescent="0.2">
      <c r="A201" s="91">
        <v>261.95999999999998</v>
      </c>
    </row>
    <row r="202" spans="1:1" x14ac:dyDescent="0.2">
      <c r="A202" s="91">
        <v>6268.68</v>
      </c>
    </row>
    <row r="203" spans="1:1" x14ac:dyDescent="0.2">
      <c r="A203" s="91">
        <v>949.8</v>
      </c>
    </row>
    <row r="204" spans="1:1" x14ac:dyDescent="0.2">
      <c r="A204" s="91">
        <v>759.84</v>
      </c>
    </row>
    <row r="205" spans="1:1" x14ac:dyDescent="0.2">
      <c r="A205" s="91">
        <v>4602</v>
      </c>
    </row>
    <row r="206" spans="1:1" x14ac:dyDescent="0.2">
      <c r="A206" s="91">
        <v>1947</v>
      </c>
    </row>
    <row r="207" spans="1:1" x14ac:dyDescent="0.2">
      <c r="A207" s="91">
        <v>649</v>
      </c>
    </row>
    <row r="208" spans="1:1" x14ac:dyDescent="0.2">
      <c r="A208" s="91">
        <v>263.52</v>
      </c>
    </row>
    <row r="209" spans="1:1" x14ac:dyDescent="0.2">
      <c r="A209" s="91">
        <v>524.88</v>
      </c>
    </row>
    <row r="210" spans="1:1" x14ac:dyDescent="0.2">
      <c r="A210" s="91">
        <v>174.96</v>
      </c>
    </row>
    <row r="211" spans="1:1" x14ac:dyDescent="0.2">
      <c r="A211" s="91">
        <v>174.96</v>
      </c>
    </row>
    <row r="212" spans="1:1" x14ac:dyDescent="0.2">
      <c r="A212" s="91">
        <v>523.91999999999996</v>
      </c>
    </row>
    <row r="213" spans="1:1" x14ac:dyDescent="0.2">
      <c r="A213" s="91">
        <v>379.92</v>
      </c>
    </row>
    <row r="214" spans="1:1" x14ac:dyDescent="0.2">
      <c r="A214" s="91">
        <v>379.92</v>
      </c>
    </row>
    <row r="215" spans="1:1" x14ac:dyDescent="0.2">
      <c r="A215" s="91">
        <v>379.92</v>
      </c>
    </row>
    <row r="216" spans="1:1" x14ac:dyDescent="0.2">
      <c r="A216" s="91">
        <v>708</v>
      </c>
    </row>
    <row r="217" spans="1:1" x14ac:dyDescent="0.2">
      <c r="A217" s="91">
        <v>708</v>
      </c>
    </row>
    <row r="218" spans="1:1" x14ac:dyDescent="0.2">
      <c r="A218" s="91">
        <v>240</v>
      </c>
    </row>
    <row r="219" spans="1:1" x14ac:dyDescent="0.2">
      <c r="A219" s="91">
        <v>3165</v>
      </c>
    </row>
    <row r="220" spans="1:1" x14ac:dyDescent="0.2">
      <c r="A220" s="91">
        <v>1056</v>
      </c>
    </row>
    <row r="221" spans="1:1" x14ac:dyDescent="0.2">
      <c r="A221" s="91">
        <v>660</v>
      </c>
    </row>
    <row r="222" spans="1:1" x14ac:dyDescent="0.2">
      <c r="A222" s="91">
        <v>349.92</v>
      </c>
    </row>
    <row r="223" spans="1:1" x14ac:dyDescent="0.2">
      <c r="A223" s="91">
        <v>4723.92</v>
      </c>
    </row>
    <row r="224" spans="1:1" x14ac:dyDescent="0.2">
      <c r="A224" s="91">
        <v>1137.24</v>
      </c>
    </row>
    <row r="225" spans="1:1" x14ac:dyDescent="0.2">
      <c r="A225" s="91">
        <v>962.28</v>
      </c>
    </row>
    <row r="226" spans="1:1" x14ac:dyDescent="0.2">
      <c r="A226" s="91">
        <v>8770.66</v>
      </c>
    </row>
    <row r="227" spans="1:1" x14ac:dyDescent="0.2">
      <c r="A227" s="91">
        <v>130.97999999999999</v>
      </c>
    </row>
    <row r="228" spans="1:1" x14ac:dyDescent="0.2">
      <c r="A228" s="91">
        <v>6833.56</v>
      </c>
    </row>
    <row r="229" spans="1:1" x14ac:dyDescent="0.2">
      <c r="A229" s="91">
        <v>1139.76</v>
      </c>
    </row>
    <row r="230" spans="1:1" x14ac:dyDescent="0.2">
      <c r="A230" s="91">
        <v>759.84</v>
      </c>
    </row>
    <row r="231" spans="1:1" x14ac:dyDescent="0.2">
      <c r="A231" s="91">
        <v>6547</v>
      </c>
    </row>
    <row r="232" spans="1:1" x14ac:dyDescent="0.2">
      <c r="A232" s="91">
        <v>472</v>
      </c>
    </row>
    <row r="233" spans="1:1" x14ac:dyDescent="0.2">
      <c r="A233" s="91">
        <v>295</v>
      </c>
    </row>
    <row r="234" spans="1:1" x14ac:dyDescent="0.2">
      <c r="A234" s="91">
        <v>176</v>
      </c>
    </row>
    <row r="235" spans="1:1" x14ac:dyDescent="0.2">
      <c r="A235" s="91">
        <v>176</v>
      </c>
    </row>
    <row r="236" spans="1:1" x14ac:dyDescent="0.2">
      <c r="A236" s="91">
        <v>435</v>
      </c>
    </row>
    <row r="237" spans="1:1" x14ac:dyDescent="0.2">
      <c r="A237" s="91">
        <v>225.12</v>
      </c>
    </row>
    <row r="238" spans="1:1" x14ac:dyDescent="0.2">
      <c r="A238" s="91">
        <v>191.04</v>
      </c>
    </row>
    <row r="239" spans="1:1" x14ac:dyDescent="0.2">
      <c r="A239" s="91">
        <v>2347.6799999999998</v>
      </c>
    </row>
    <row r="240" spans="1:1" x14ac:dyDescent="0.2">
      <c r="A240" s="91">
        <v>3900</v>
      </c>
    </row>
    <row r="241" spans="1:1" x14ac:dyDescent="0.2">
      <c r="A241" s="91">
        <v>520</v>
      </c>
    </row>
    <row r="242" spans="1:1" x14ac:dyDescent="0.2">
      <c r="A242" s="91">
        <v>1300</v>
      </c>
    </row>
    <row r="243" spans="1:1" x14ac:dyDescent="0.2">
      <c r="A243" s="91">
        <v>1300</v>
      </c>
    </row>
    <row r="244" spans="1:1" x14ac:dyDescent="0.2">
      <c r="A244" s="91">
        <v>339.92</v>
      </c>
    </row>
    <row r="245" spans="1:1" x14ac:dyDescent="0.2">
      <c r="A245" s="91">
        <v>22944.6</v>
      </c>
    </row>
    <row r="246" spans="1:1" x14ac:dyDescent="0.2">
      <c r="A246" s="91">
        <v>4079.04</v>
      </c>
    </row>
    <row r="247" spans="1:1" x14ac:dyDescent="0.2">
      <c r="A247" s="91">
        <v>3569.16</v>
      </c>
    </row>
    <row r="248" spans="1:1" x14ac:dyDescent="0.2">
      <c r="A248" s="91">
        <v>21327.679999999997</v>
      </c>
    </row>
    <row r="249" spans="1:1" x14ac:dyDescent="0.2">
      <c r="A249" s="91">
        <v>256.95999999999998</v>
      </c>
    </row>
    <row r="250" spans="1:1" x14ac:dyDescent="0.2">
      <c r="A250" s="91">
        <v>513.91999999999996</v>
      </c>
    </row>
    <row r="251" spans="1:1" x14ac:dyDescent="0.2">
      <c r="A251" s="91">
        <v>17579.599999999999</v>
      </c>
    </row>
    <row r="252" spans="1:1" x14ac:dyDescent="0.2">
      <c r="A252" s="91">
        <v>1216.4000000000001</v>
      </c>
    </row>
    <row r="253" spans="1:1" x14ac:dyDescent="0.2">
      <c r="A253" s="91">
        <v>939.8</v>
      </c>
    </row>
    <row r="254" spans="1:1" x14ac:dyDescent="0.2">
      <c r="A254" s="91">
        <v>1127.76</v>
      </c>
    </row>
    <row r="255" spans="1:1" x14ac:dyDescent="0.2">
      <c r="A255" s="91">
        <v>11951</v>
      </c>
    </row>
    <row r="256" spans="1:1" x14ac:dyDescent="0.2">
      <c r="A256" s="91">
        <v>703</v>
      </c>
    </row>
    <row r="257" spans="1:1" x14ac:dyDescent="0.2">
      <c r="A257" s="91">
        <v>703</v>
      </c>
    </row>
    <row r="258" spans="1:1" x14ac:dyDescent="0.2">
      <c r="A258" s="91">
        <v>2337.5</v>
      </c>
    </row>
    <row r="259" spans="1:1" x14ac:dyDescent="0.2">
      <c r="A259" s="91">
        <v>660.36</v>
      </c>
    </row>
    <row r="260" spans="1:1" x14ac:dyDescent="0.2">
      <c r="A260" s="91">
        <v>744.16</v>
      </c>
    </row>
    <row r="261" spans="1:1" x14ac:dyDescent="0.2">
      <c r="A261" s="91">
        <v>233.14</v>
      </c>
    </row>
    <row r="262" spans="1:1" x14ac:dyDescent="0.2">
      <c r="A262" s="91">
        <v>1980</v>
      </c>
    </row>
    <row r="263" spans="1:1" x14ac:dyDescent="0.2">
      <c r="A263" s="91">
        <v>1710</v>
      </c>
    </row>
    <row r="264" spans="1:1" x14ac:dyDescent="0.2">
      <c r="A264" s="91">
        <v>1056</v>
      </c>
    </row>
    <row r="265" spans="1:1" x14ac:dyDescent="0.2">
      <c r="A265" s="91">
        <v>6373.52</v>
      </c>
    </row>
    <row r="266" spans="1:1" x14ac:dyDescent="0.2">
      <c r="A266" s="91">
        <v>2311.96</v>
      </c>
    </row>
    <row r="267" spans="1:1" x14ac:dyDescent="0.2">
      <c r="A267" s="91">
        <v>262.44</v>
      </c>
    </row>
    <row r="268" spans="1:1" x14ac:dyDescent="0.2">
      <c r="A268" s="91">
        <v>8181.74</v>
      </c>
    </row>
    <row r="269" spans="1:1" x14ac:dyDescent="0.2">
      <c r="A269" s="91">
        <v>1037.8399999999999</v>
      </c>
    </row>
    <row r="270" spans="1:1" x14ac:dyDescent="0.2">
      <c r="A270" s="91">
        <v>1299.8</v>
      </c>
    </row>
    <row r="271" spans="1:1" x14ac:dyDescent="0.2">
      <c r="A271" s="91">
        <v>8542.2000000000007</v>
      </c>
    </row>
    <row r="272" spans="1:1" x14ac:dyDescent="0.2">
      <c r="A272" s="91">
        <v>2089.56</v>
      </c>
    </row>
    <row r="273" spans="1:1" x14ac:dyDescent="0.2">
      <c r="A273" s="91">
        <v>1899.6</v>
      </c>
    </row>
    <row r="274" spans="1:1" x14ac:dyDescent="0.2">
      <c r="A274" s="91">
        <v>2537</v>
      </c>
    </row>
    <row r="275" spans="1:1" x14ac:dyDescent="0.2">
      <c r="A275" s="91">
        <v>59</v>
      </c>
    </row>
    <row r="276" spans="1:1" x14ac:dyDescent="0.2">
      <c r="A276" s="91">
        <v>118</v>
      </c>
    </row>
    <row r="277" spans="1:1" x14ac:dyDescent="0.2">
      <c r="A277" s="91">
        <v>345</v>
      </c>
    </row>
    <row r="278" spans="1:1" x14ac:dyDescent="0.2">
      <c r="A278" s="91">
        <v>483</v>
      </c>
    </row>
    <row r="279" spans="1:1" x14ac:dyDescent="0.2">
      <c r="A279" s="91">
        <v>176</v>
      </c>
    </row>
    <row r="280" spans="1:1" x14ac:dyDescent="0.2">
      <c r="A280" s="91">
        <v>176</v>
      </c>
    </row>
    <row r="281" spans="1:1" x14ac:dyDescent="0.2">
      <c r="A281" s="91">
        <v>1087.5</v>
      </c>
    </row>
    <row r="282" spans="1:1" x14ac:dyDescent="0.2">
      <c r="A282" s="91">
        <v>225.12</v>
      </c>
    </row>
    <row r="283" spans="1:1" x14ac:dyDescent="0.2">
      <c r="A283" s="91">
        <v>191.04</v>
      </c>
    </row>
    <row r="284" spans="1:1" x14ac:dyDescent="0.2">
      <c r="A284" s="91">
        <v>1433.68</v>
      </c>
    </row>
    <row r="285" spans="1:1" x14ac:dyDescent="0.2">
      <c r="A285" s="91">
        <v>264</v>
      </c>
    </row>
    <row r="286" spans="1:1" x14ac:dyDescent="0.2">
      <c r="A286" s="91">
        <v>132</v>
      </c>
    </row>
    <row r="287" spans="1:1" x14ac:dyDescent="0.2">
      <c r="A287" s="91">
        <v>9113.5</v>
      </c>
    </row>
    <row r="288" spans="1:1" x14ac:dyDescent="0.2">
      <c r="A288" s="91">
        <v>87.48</v>
      </c>
    </row>
    <row r="289" spans="1:1" x14ac:dyDescent="0.2">
      <c r="A289" s="91">
        <v>87.48</v>
      </c>
    </row>
    <row r="290" spans="1:1" x14ac:dyDescent="0.2">
      <c r="A290" s="91">
        <v>392.93999999999994</v>
      </c>
    </row>
    <row r="291" spans="1:1" x14ac:dyDescent="0.2">
      <c r="A291" s="91">
        <v>1139.76</v>
      </c>
    </row>
    <row r="292" spans="1:1" x14ac:dyDescent="0.2">
      <c r="A292" s="91">
        <v>189.96</v>
      </c>
    </row>
    <row r="293" spans="1:1" x14ac:dyDescent="0.2">
      <c r="A293" s="91">
        <v>189.96</v>
      </c>
    </row>
    <row r="294" spans="1:1" x14ac:dyDescent="0.2">
      <c r="A294" s="91">
        <v>379.92</v>
      </c>
    </row>
    <row r="295" spans="1:1" x14ac:dyDescent="0.2">
      <c r="A295" s="91">
        <v>1888</v>
      </c>
    </row>
    <row r="296" spans="1:1" x14ac:dyDescent="0.2">
      <c r="A296" s="91">
        <v>177</v>
      </c>
    </row>
    <row r="297" spans="1:1" x14ac:dyDescent="0.2">
      <c r="A297" s="91">
        <v>885</v>
      </c>
    </row>
    <row r="298" spans="1:1" x14ac:dyDescent="0.2">
      <c r="A298" s="91">
        <v>6500</v>
      </c>
    </row>
    <row r="299" spans="1:1" x14ac:dyDescent="0.2">
      <c r="A299" s="91">
        <v>2600</v>
      </c>
    </row>
    <row r="300" spans="1:1" x14ac:dyDescent="0.2">
      <c r="A300" s="91">
        <v>2274.48</v>
      </c>
    </row>
    <row r="301" spans="1:1" x14ac:dyDescent="0.2">
      <c r="A301" s="91">
        <v>174.96</v>
      </c>
    </row>
    <row r="302" spans="1:1" x14ac:dyDescent="0.2">
      <c r="A302" s="91">
        <v>174.96</v>
      </c>
    </row>
    <row r="303" spans="1:1" x14ac:dyDescent="0.2">
      <c r="A303" s="91">
        <v>261.95999999999998</v>
      </c>
    </row>
    <row r="304" spans="1:1" x14ac:dyDescent="0.2">
      <c r="A304" s="91">
        <v>5096.92</v>
      </c>
    </row>
    <row r="305" spans="1:1" x14ac:dyDescent="0.2">
      <c r="A305" s="91">
        <v>189.96</v>
      </c>
    </row>
    <row r="306" spans="1:1" x14ac:dyDescent="0.2">
      <c r="A306" s="91">
        <v>189.96</v>
      </c>
    </row>
    <row r="307" spans="1:1" x14ac:dyDescent="0.2">
      <c r="A307" s="91">
        <v>708</v>
      </c>
    </row>
    <row r="308" spans="1:1" x14ac:dyDescent="0.2">
      <c r="A308" s="91">
        <v>708</v>
      </c>
    </row>
    <row r="309" spans="1:1" x14ac:dyDescent="0.2">
      <c r="A309" s="91">
        <v>2351.8000000000002</v>
      </c>
    </row>
    <row r="310" spans="1:1" x14ac:dyDescent="0.2">
      <c r="A310" s="91">
        <v>294</v>
      </c>
    </row>
    <row r="311" spans="1:1" x14ac:dyDescent="0.2">
      <c r="A311" s="91">
        <v>2771.32</v>
      </c>
    </row>
    <row r="312" spans="1:1" x14ac:dyDescent="0.2">
      <c r="A312" s="91">
        <v>528</v>
      </c>
    </row>
    <row r="313" spans="1:1" x14ac:dyDescent="0.2">
      <c r="A313" s="91">
        <v>264</v>
      </c>
    </row>
    <row r="314" spans="1:1" x14ac:dyDescent="0.2">
      <c r="A314" s="91">
        <v>349.92</v>
      </c>
    </row>
    <row r="315" spans="1:1" x14ac:dyDescent="0.2">
      <c r="A315" s="91">
        <v>6211.08</v>
      </c>
    </row>
    <row r="316" spans="1:1" x14ac:dyDescent="0.2">
      <c r="A316" s="91">
        <v>874.8</v>
      </c>
    </row>
    <row r="317" spans="1:1" x14ac:dyDescent="0.2">
      <c r="A317" s="91">
        <v>874.8</v>
      </c>
    </row>
    <row r="318" spans="1:1" x14ac:dyDescent="0.2">
      <c r="A318" s="91">
        <v>11526.24</v>
      </c>
    </row>
    <row r="319" spans="1:1" x14ac:dyDescent="0.2">
      <c r="A319" s="91">
        <v>392.93999999999994</v>
      </c>
    </row>
    <row r="320" spans="1:1" x14ac:dyDescent="0.2">
      <c r="A320" s="91">
        <v>261.95999999999998</v>
      </c>
    </row>
    <row r="321" spans="1:1" x14ac:dyDescent="0.2">
      <c r="A321" s="91">
        <v>3989.16</v>
      </c>
    </row>
    <row r="322" spans="1:1" x14ac:dyDescent="0.2">
      <c r="A322" s="91">
        <v>1899.6</v>
      </c>
    </row>
    <row r="323" spans="1:1" x14ac:dyDescent="0.2">
      <c r="A323" s="91">
        <v>759.84</v>
      </c>
    </row>
    <row r="324" spans="1:1" x14ac:dyDescent="0.2">
      <c r="A324" s="91">
        <v>1329.72</v>
      </c>
    </row>
    <row r="325" spans="1:1" x14ac:dyDescent="0.2">
      <c r="A325" s="91">
        <v>3658</v>
      </c>
    </row>
    <row r="326" spans="1:1" x14ac:dyDescent="0.2">
      <c r="A326" s="91">
        <v>413</v>
      </c>
    </row>
    <row r="327" spans="1:1" x14ac:dyDescent="0.2">
      <c r="A327" s="91">
        <v>531</v>
      </c>
    </row>
    <row r="328" spans="1:1" x14ac:dyDescent="0.2">
      <c r="A328" s="91">
        <v>69</v>
      </c>
    </row>
    <row r="329" spans="1:1" x14ac:dyDescent="0.2">
      <c r="A329" s="91">
        <v>69</v>
      </c>
    </row>
    <row r="330" spans="1:1" x14ac:dyDescent="0.2">
      <c r="A330" s="91">
        <v>176</v>
      </c>
    </row>
    <row r="331" spans="1:1" x14ac:dyDescent="0.2">
      <c r="A331" s="91">
        <v>217.5</v>
      </c>
    </row>
    <row r="332" spans="1:1" x14ac:dyDescent="0.2">
      <c r="A332" s="91">
        <v>225.12</v>
      </c>
    </row>
    <row r="333" spans="1:1" x14ac:dyDescent="0.2">
      <c r="A333" s="91">
        <v>7150</v>
      </c>
    </row>
    <row r="334" spans="1:1" x14ac:dyDescent="0.2">
      <c r="A334" s="91">
        <v>1300</v>
      </c>
    </row>
    <row r="335" spans="1:1" x14ac:dyDescent="0.2">
      <c r="A335" s="91">
        <v>1300</v>
      </c>
    </row>
    <row r="336" spans="1:1" x14ac:dyDescent="0.2">
      <c r="A336" s="91">
        <v>18185.72</v>
      </c>
    </row>
    <row r="337" spans="1:1" x14ac:dyDescent="0.2">
      <c r="A337" s="91">
        <v>1699.6</v>
      </c>
    </row>
    <row r="338" spans="1:1" x14ac:dyDescent="0.2">
      <c r="A338" s="91">
        <v>2549.4</v>
      </c>
    </row>
    <row r="339" spans="1:1" x14ac:dyDescent="0.2">
      <c r="A339" s="91">
        <v>18244.16</v>
      </c>
    </row>
    <row r="340" spans="1:1" x14ac:dyDescent="0.2">
      <c r="A340" s="91">
        <v>3597.4399999999996</v>
      </c>
    </row>
    <row r="341" spans="1:1" x14ac:dyDescent="0.2">
      <c r="A341" s="91">
        <v>3854.3999999999996</v>
      </c>
    </row>
    <row r="342" spans="1:1" x14ac:dyDescent="0.2">
      <c r="A342" s="91">
        <v>23495</v>
      </c>
    </row>
    <row r="343" spans="1:1" x14ac:dyDescent="0.2">
      <c r="A343" s="91">
        <v>7142.4800000000005</v>
      </c>
    </row>
    <row r="344" spans="1:1" x14ac:dyDescent="0.2">
      <c r="A344" s="91">
        <v>4135.12</v>
      </c>
    </row>
    <row r="345" spans="1:1" x14ac:dyDescent="0.2">
      <c r="A345" s="91">
        <v>13357</v>
      </c>
    </row>
    <row r="346" spans="1:1" x14ac:dyDescent="0.2">
      <c r="A346" s="91">
        <v>2812</v>
      </c>
    </row>
    <row r="347" spans="1:1" x14ac:dyDescent="0.2">
      <c r="A347" s="91">
        <v>1406</v>
      </c>
    </row>
    <row r="348" spans="1:1" x14ac:dyDescent="0.2">
      <c r="A348" s="91">
        <v>2812</v>
      </c>
    </row>
    <row r="349" spans="1:1" x14ac:dyDescent="0.2">
      <c r="A349" s="91">
        <v>639.44000000000005</v>
      </c>
    </row>
    <row r="350" spans="1:1" x14ac:dyDescent="0.2">
      <c r="A350" s="91">
        <v>450.24</v>
      </c>
    </row>
    <row r="351" spans="1:1" x14ac:dyDescent="0.2">
      <c r="A351" s="91">
        <v>1452</v>
      </c>
    </row>
    <row r="352" spans="1:1" x14ac:dyDescent="0.2">
      <c r="A352" s="91">
        <v>528</v>
      </c>
    </row>
    <row r="353" spans="1:1" x14ac:dyDescent="0.2">
      <c r="A353" s="91">
        <v>264</v>
      </c>
    </row>
    <row r="354" spans="1:1" x14ac:dyDescent="0.2">
      <c r="A354" s="91">
        <v>174.96</v>
      </c>
    </row>
    <row r="355" spans="1:1" x14ac:dyDescent="0.2">
      <c r="A355" s="91">
        <v>9760.24</v>
      </c>
    </row>
    <row r="356" spans="1:1" x14ac:dyDescent="0.2">
      <c r="A356" s="91">
        <v>1312.2</v>
      </c>
    </row>
    <row r="357" spans="1:1" x14ac:dyDescent="0.2">
      <c r="A357" s="91">
        <v>1549.64</v>
      </c>
    </row>
    <row r="358" spans="1:1" x14ac:dyDescent="0.2">
      <c r="A358" s="91">
        <v>10141.439999999999</v>
      </c>
    </row>
    <row r="359" spans="1:1" x14ac:dyDescent="0.2">
      <c r="A359" s="91">
        <v>1037.8399999999999</v>
      </c>
    </row>
    <row r="360" spans="1:1" x14ac:dyDescent="0.2">
      <c r="A360" s="91">
        <v>1299.8</v>
      </c>
    </row>
    <row r="361" spans="1:1" x14ac:dyDescent="0.2">
      <c r="A361" s="91">
        <v>8158.38</v>
      </c>
    </row>
    <row r="362" spans="1:1" x14ac:dyDescent="0.2">
      <c r="A362" s="91">
        <v>1709.64</v>
      </c>
    </row>
    <row r="363" spans="1:1" x14ac:dyDescent="0.2">
      <c r="A363" s="91">
        <v>949.8</v>
      </c>
    </row>
    <row r="364" spans="1:1" x14ac:dyDescent="0.2">
      <c r="A364" s="91">
        <v>5664</v>
      </c>
    </row>
    <row r="365" spans="1:1" x14ac:dyDescent="0.2">
      <c r="A365" s="91">
        <v>354</v>
      </c>
    </row>
    <row r="366" spans="1:1" x14ac:dyDescent="0.2">
      <c r="A366" s="91">
        <v>1062</v>
      </c>
    </row>
    <row r="367" spans="1:1" x14ac:dyDescent="0.2">
      <c r="A367" s="91">
        <v>217.5</v>
      </c>
    </row>
    <row r="368" spans="1:1" x14ac:dyDescent="0.2">
      <c r="A368" s="91">
        <v>900.48</v>
      </c>
    </row>
    <row r="369" spans="1:1" x14ac:dyDescent="0.2">
      <c r="A369" s="91">
        <v>382.08</v>
      </c>
    </row>
    <row r="370" spans="1:1" x14ac:dyDescent="0.2">
      <c r="A370" s="91">
        <v>480</v>
      </c>
    </row>
    <row r="371" spans="1:1" x14ac:dyDescent="0.2">
      <c r="A371" s="91">
        <v>2659.04</v>
      </c>
    </row>
    <row r="372" spans="1:1" x14ac:dyDescent="0.2">
      <c r="A372" s="91">
        <v>189.96</v>
      </c>
    </row>
    <row r="373" spans="1:1" x14ac:dyDescent="0.2">
      <c r="A373" s="91">
        <v>2124</v>
      </c>
    </row>
    <row r="374" spans="1:1" x14ac:dyDescent="0.2">
      <c r="A374" s="91">
        <v>2065</v>
      </c>
    </row>
    <row r="375" spans="1:1" x14ac:dyDescent="0.2">
      <c r="A375" s="91">
        <v>2006</v>
      </c>
    </row>
    <row r="376" spans="1:1" x14ac:dyDescent="0.2">
      <c r="A376" s="91">
        <v>207</v>
      </c>
    </row>
    <row r="377" spans="1:1" x14ac:dyDescent="0.2">
      <c r="A377" s="91">
        <v>88</v>
      </c>
    </row>
    <row r="378" spans="1:1" x14ac:dyDescent="0.2">
      <c r="A378" s="91">
        <v>147</v>
      </c>
    </row>
    <row r="379" spans="1:1" x14ac:dyDescent="0.2">
      <c r="A379" s="91">
        <v>1834</v>
      </c>
    </row>
    <row r="380" spans="1:1" x14ac:dyDescent="0.2">
      <c r="A380" s="91">
        <v>1178</v>
      </c>
    </row>
    <row r="381" spans="1:1" x14ac:dyDescent="0.2">
      <c r="A381" s="91">
        <v>1052</v>
      </c>
    </row>
    <row r="382" spans="1:1" x14ac:dyDescent="0.2">
      <c r="A382" s="91">
        <v>4138.04</v>
      </c>
    </row>
    <row r="383" spans="1:1" x14ac:dyDescent="0.2">
      <c r="A383" s="91">
        <v>1718.6</v>
      </c>
    </row>
    <row r="384" spans="1:1" x14ac:dyDescent="0.2">
      <c r="A384" s="91">
        <v>437.4</v>
      </c>
    </row>
    <row r="385" spans="1:1" x14ac:dyDescent="0.2">
      <c r="A385" s="91">
        <v>5320.1799999999994</v>
      </c>
    </row>
    <row r="386" spans="1:1" x14ac:dyDescent="0.2">
      <c r="A386" s="91">
        <v>392.93999999999994</v>
      </c>
    </row>
    <row r="387" spans="1:1" x14ac:dyDescent="0.2">
      <c r="A387" s="91">
        <v>9647.9600000000009</v>
      </c>
    </row>
    <row r="388" spans="1:1" x14ac:dyDescent="0.2">
      <c r="A388" s="91">
        <v>1129.76</v>
      </c>
    </row>
    <row r="389" spans="1:1" x14ac:dyDescent="0.2">
      <c r="A389" s="91">
        <v>1699.64</v>
      </c>
    </row>
    <row r="390" spans="1:1" x14ac:dyDescent="0.2">
      <c r="A390" s="91">
        <v>7351.44</v>
      </c>
    </row>
    <row r="391" spans="1:1" x14ac:dyDescent="0.2">
      <c r="A391" s="91">
        <v>1121</v>
      </c>
    </row>
    <row r="392" spans="1:1" x14ac:dyDescent="0.2">
      <c r="A392" s="91">
        <v>1121</v>
      </c>
    </row>
    <row r="393" spans="1:1" x14ac:dyDescent="0.2">
      <c r="A393" s="91">
        <v>138</v>
      </c>
    </row>
    <row r="394" spans="1:1" x14ac:dyDescent="0.2">
      <c r="A394" s="91">
        <v>138</v>
      </c>
    </row>
    <row r="395" spans="1:1" x14ac:dyDescent="0.2">
      <c r="A395" s="91">
        <v>435</v>
      </c>
    </row>
    <row r="396" spans="1:1" x14ac:dyDescent="0.2">
      <c r="A396" s="91">
        <v>191.04</v>
      </c>
    </row>
    <row r="397" spans="1:1" x14ac:dyDescent="0.2">
      <c r="A397" s="91">
        <v>88</v>
      </c>
    </row>
    <row r="398" spans="1:1" x14ac:dyDescent="0.2">
      <c r="A398" s="91">
        <v>8190</v>
      </c>
    </row>
    <row r="399" spans="1:1" x14ac:dyDescent="0.2">
      <c r="A399" s="91">
        <v>21245</v>
      </c>
    </row>
    <row r="400" spans="1:1" x14ac:dyDescent="0.2">
      <c r="A400" s="91">
        <v>4249</v>
      </c>
    </row>
    <row r="401" spans="1:1" x14ac:dyDescent="0.2">
      <c r="A401" s="91">
        <v>5098.8</v>
      </c>
    </row>
    <row r="402" spans="1:1" x14ac:dyDescent="0.2">
      <c r="A402" s="91">
        <v>31092.159999999996</v>
      </c>
    </row>
    <row r="403" spans="1:1" x14ac:dyDescent="0.2">
      <c r="A403" s="91">
        <v>5139.2</v>
      </c>
    </row>
    <row r="404" spans="1:1" x14ac:dyDescent="0.2">
      <c r="A404" s="91">
        <v>5653.12</v>
      </c>
    </row>
    <row r="405" spans="1:1" x14ac:dyDescent="0.2">
      <c r="A405" s="91">
        <v>8087.92</v>
      </c>
    </row>
    <row r="406" spans="1:1" x14ac:dyDescent="0.2">
      <c r="A406" s="91">
        <v>949.8</v>
      </c>
    </row>
    <row r="407" spans="1:1" x14ac:dyDescent="0.2">
      <c r="A407" s="91">
        <v>3960</v>
      </c>
    </row>
    <row r="408" spans="1:1" x14ac:dyDescent="0.2">
      <c r="A408" s="91">
        <v>2376</v>
      </c>
    </row>
    <row r="409" spans="1:1" x14ac:dyDescent="0.2">
      <c r="A409" s="91">
        <v>2244</v>
      </c>
    </row>
    <row r="410" spans="1:1" x14ac:dyDescent="0.2">
      <c r="A410" s="91">
        <v>2536.92</v>
      </c>
    </row>
    <row r="411" spans="1:1" x14ac:dyDescent="0.2">
      <c r="A411" s="91">
        <v>612.36</v>
      </c>
    </row>
    <row r="412" spans="1:1" x14ac:dyDescent="0.2">
      <c r="A412" s="91">
        <v>1224.72</v>
      </c>
    </row>
    <row r="413" spans="1:1" x14ac:dyDescent="0.2">
      <c r="A413" s="91">
        <v>7989.78</v>
      </c>
    </row>
    <row r="414" spans="1:1" x14ac:dyDescent="0.2">
      <c r="A414" s="91">
        <v>1047.8399999999999</v>
      </c>
    </row>
    <row r="415" spans="1:1" x14ac:dyDescent="0.2">
      <c r="A415" s="91">
        <v>392.93999999999994</v>
      </c>
    </row>
    <row r="416" spans="1:1" x14ac:dyDescent="0.2">
      <c r="A416" s="91">
        <v>9498</v>
      </c>
    </row>
    <row r="417" spans="1:1" x14ac:dyDescent="0.2">
      <c r="A417" s="91">
        <v>1709.64</v>
      </c>
    </row>
    <row r="418" spans="1:1" x14ac:dyDescent="0.2">
      <c r="A418" s="91">
        <v>2849.4</v>
      </c>
    </row>
    <row r="419" spans="1:1" x14ac:dyDescent="0.2">
      <c r="A419" s="91">
        <v>6195</v>
      </c>
    </row>
    <row r="420" spans="1:1" x14ac:dyDescent="0.2">
      <c r="A420" s="91">
        <v>1829</v>
      </c>
    </row>
    <row r="421" spans="1:1" x14ac:dyDescent="0.2">
      <c r="A421" s="91">
        <v>1062</v>
      </c>
    </row>
    <row r="422" spans="1:1" x14ac:dyDescent="0.2">
      <c r="A422" s="91">
        <v>69</v>
      </c>
    </row>
    <row r="423" spans="1:1" x14ac:dyDescent="0.2">
      <c r="A423" s="91">
        <v>69</v>
      </c>
    </row>
    <row r="424" spans="1:1" x14ac:dyDescent="0.2">
      <c r="A424" s="91">
        <v>435</v>
      </c>
    </row>
    <row r="425" spans="1:1" x14ac:dyDescent="0.2">
      <c r="A425" s="91">
        <v>675.36</v>
      </c>
    </row>
    <row r="426" spans="1:1" x14ac:dyDescent="0.2">
      <c r="A426" s="91">
        <v>191.04</v>
      </c>
    </row>
    <row r="427" spans="1:1" x14ac:dyDescent="0.2">
      <c r="A427" s="91">
        <v>1438</v>
      </c>
    </row>
    <row r="428" spans="1:1" x14ac:dyDescent="0.2">
      <c r="A428" s="91">
        <v>1583.92</v>
      </c>
    </row>
    <row r="429" spans="1:1" x14ac:dyDescent="0.2">
      <c r="A429" s="91">
        <v>1056</v>
      </c>
    </row>
    <row r="430" spans="1:1" x14ac:dyDescent="0.2">
      <c r="A430" s="91">
        <v>660</v>
      </c>
    </row>
    <row r="431" spans="1:1" x14ac:dyDescent="0.2">
      <c r="A431" s="91">
        <v>4024.08</v>
      </c>
    </row>
    <row r="432" spans="1:1" x14ac:dyDescent="0.2">
      <c r="A432" s="91">
        <v>1312.2</v>
      </c>
    </row>
    <row r="433" spans="1:1" x14ac:dyDescent="0.2">
      <c r="A433" s="91">
        <v>699.84</v>
      </c>
    </row>
    <row r="434" spans="1:1" x14ac:dyDescent="0.2">
      <c r="A434" s="91">
        <v>4715.28</v>
      </c>
    </row>
    <row r="435" spans="1:1" x14ac:dyDescent="0.2">
      <c r="A435" s="91">
        <v>1178.82</v>
      </c>
    </row>
    <row r="436" spans="1:1" x14ac:dyDescent="0.2">
      <c r="A436" s="91">
        <v>1178.82</v>
      </c>
    </row>
    <row r="437" spans="1:1" x14ac:dyDescent="0.2">
      <c r="A437" s="91">
        <v>3799.2</v>
      </c>
    </row>
    <row r="438" spans="1:1" x14ac:dyDescent="0.2">
      <c r="A438" s="91">
        <v>2537</v>
      </c>
    </row>
    <row r="439" spans="1:1" x14ac:dyDescent="0.2">
      <c r="A439" s="91">
        <v>569.88</v>
      </c>
    </row>
    <row r="440" spans="1:1" x14ac:dyDescent="0.2">
      <c r="A440" s="91">
        <v>759.84</v>
      </c>
    </row>
    <row r="441" spans="1:1" x14ac:dyDescent="0.2">
      <c r="A441" s="91">
        <v>472</v>
      </c>
    </row>
    <row r="442" spans="1:1" x14ac:dyDescent="0.2">
      <c r="A442" s="91">
        <v>236</v>
      </c>
    </row>
    <row r="443" spans="1:1" x14ac:dyDescent="0.2">
      <c r="A443" s="91">
        <v>69</v>
      </c>
    </row>
    <row r="444" spans="1:1" x14ac:dyDescent="0.2">
      <c r="A444" s="91">
        <v>225.12</v>
      </c>
    </row>
    <row r="445" spans="1:1" x14ac:dyDescent="0.2">
      <c r="A445" s="91">
        <v>2640</v>
      </c>
    </row>
    <row r="446" spans="1:1" x14ac:dyDescent="0.2">
      <c r="A446" s="91">
        <v>1048.96</v>
      </c>
    </row>
    <row r="447" spans="1:1" x14ac:dyDescent="0.2">
      <c r="A447" s="91">
        <v>174.96</v>
      </c>
    </row>
    <row r="448" spans="1:1" x14ac:dyDescent="0.2">
      <c r="A448" s="91">
        <v>174.96</v>
      </c>
    </row>
    <row r="449" spans="1:1" x14ac:dyDescent="0.2">
      <c r="A449" s="91">
        <v>1833.7199999999998</v>
      </c>
    </row>
    <row r="450" spans="1:1" x14ac:dyDescent="0.2">
      <c r="A450" s="91">
        <v>949.8</v>
      </c>
    </row>
    <row r="451" spans="1:1" x14ac:dyDescent="0.2">
      <c r="A451" s="91">
        <v>949.8</v>
      </c>
    </row>
    <row r="452" spans="1:1" x14ac:dyDescent="0.2">
      <c r="A452" s="91">
        <v>949.8</v>
      </c>
    </row>
    <row r="453" spans="1:1" x14ac:dyDescent="0.2">
      <c r="A453" s="91">
        <v>1452</v>
      </c>
    </row>
    <row r="454" spans="1:1" x14ac:dyDescent="0.2">
      <c r="A454" s="91">
        <v>792</v>
      </c>
    </row>
    <row r="455" spans="1:1" x14ac:dyDescent="0.2">
      <c r="A455" s="91">
        <v>528</v>
      </c>
    </row>
    <row r="456" spans="1:1" x14ac:dyDescent="0.2">
      <c r="A456" s="91">
        <v>339.92</v>
      </c>
    </row>
    <row r="457" spans="1:1" x14ac:dyDescent="0.2">
      <c r="A457" s="91">
        <v>5811.16</v>
      </c>
    </row>
    <row r="458" spans="1:1" x14ac:dyDescent="0.2">
      <c r="A458" s="91">
        <v>1574.64</v>
      </c>
    </row>
    <row r="459" spans="1:1" x14ac:dyDescent="0.2">
      <c r="A459" s="91">
        <v>952.28</v>
      </c>
    </row>
    <row r="460" spans="1:1" x14ac:dyDescent="0.2">
      <c r="A460" s="91">
        <v>4060.3799999999997</v>
      </c>
    </row>
    <row r="461" spans="1:1" x14ac:dyDescent="0.2">
      <c r="A461" s="91">
        <v>261.95999999999998</v>
      </c>
    </row>
    <row r="462" spans="1:1" x14ac:dyDescent="0.2">
      <c r="A462" s="91">
        <v>392.93999999999994</v>
      </c>
    </row>
    <row r="463" spans="1:1" x14ac:dyDescent="0.2">
      <c r="A463" s="91">
        <v>6638.6</v>
      </c>
    </row>
    <row r="464" spans="1:1" x14ac:dyDescent="0.2">
      <c r="A464" s="91">
        <v>1519.68</v>
      </c>
    </row>
    <row r="465" spans="1:1" x14ac:dyDescent="0.2">
      <c r="A465" s="91">
        <v>759.84</v>
      </c>
    </row>
    <row r="466" spans="1:1" x14ac:dyDescent="0.2">
      <c r="A466" s="91">
        <v>3653.44</v>
      </c>
    </row>
    <row r="467" spans="1:1" x14ac:dyDescent="0.2">
      <c r="A467" s="91">
        <v>649</v>
      </c>
    </row>
    <row r="468" spans="1:1" x14ac:dyDescent="0.2">
      <c r="A468" s="91">
        <v>1121</v>
      </c>
    </row>
    <row r="469" spans="1:1" x14ac:dyDescent="0.2">
      <c r="A469" s="91">
        <v>225.12</v>
      </c>
    </row>
    <row r="470" spans="1:1" x14ac:dyDescent="0.2">
      <c r="A470" s="91">
        <v>191.04</v>
      </c>
    </row>
    <row r="471" spans="1:1" x14ac:dyDescent="0.2">
      <c r="A471" s="91">
        <v>2600</v>
      </c>
    </row>
    <row r="472" spans="1:1" x14ac:dyDescent="0.2">
      <c r="A472" s="91">
        <v>1300</v>
      </c>
    </row>
    <row r="473" spans="1:1" x14ac:dyDescent="0.2">
      <c r="A473" s="91">
        <v>1560</v>
      </c>
    </row>
    <row r="474" spans="1:1" x14ac:dyDescent="0.2">
      <c r="A474" s="91">
        <v>8498</v>
      </c>
    </row>
    <row r="475" spans="1:1" x14ac:dyDescent="0.2">
      <c r="A475" s="91">
        <v>2549.4</v>
      </c>
    </row>
    <row r="476" spans="1:1" x14ac:dyDescent="0.2">
      <c r="A476" s="91">
        <v>15417.599999999999</v>
      </c>
    </row>
    <row r="477" spans="1:1" x14ac:dyDescent="0.2">
      <c r="A477" s="91">
        <v>1798.7199999999998</v>
      </c>
    </row>
    <row r="478" spans="1:1" x14ac:dyDescent="0.2">
      <c r="A478" s="91">
        <v>770.87999999999988</v>
      </c>
    </row>
    <row r="479" spans="1:1" x14ac:dyDescent="0.2">
      <c r="A479" s="91">
        <v>9398</v>
      </c>
    </row>
    <row r="480" spans="1:1" x14ac:dyDescent="0.2">
      <c r="A480" s="91">
        <v>3759.2</v>
      </c>
    </row>
    <row r="481" spans="1:1" x14ac:dyDescent="0.2">
      <c r="A481" s="91">
        <v>2819.4</v>
      </c>
    </row>
    <row r="482" spans="1:1" x14ac:dyDescent="0.2">
      <c r="A482" s="91">
        <v>21793</v>
      </c>
    </row>
    <row r="483" spans="1:1" x14ac:dyDescent="0.2">
      <c r="A483" s="91">
        <v>4218</v>
      </c>
    </row>
    <row r="484" spans="1:1" x14ac:dyDescent="0.2">
      <c r="A484" s="91">
        <v>4221.68</v>
      </c>
    </row>
    <row r="485" spans="1:1" x14ac:dyDescent="0.2">
      <c r="A485" s="91">
        <v>552</v>
      </c>
    </row>
    <row r="486" spans="1:1" x14ac:dyDescent="0.2">
      <c r="A486" s="91">
        <v>552</v>
      </c>
    </row>
    <row r="487" spans="1:1" x14ac:dyDescent="0.2">
      <c r="A487" s="91">
        <v>440.00000000000006</v>
      </c>
    </row>
    <row r="488" spans="1:1" x14ac:dyDescent="0.2">
      <c r="A488" s="91">
        <v>440.00000000000006</v>
      </c>
    </row>
    <row r="489" spans="1:1" x14ac:dyDescent="0.2">
      <c r="A489" s="91">
        <v>225.12</v>
      </c>
    </row>
    <row r="490" spans="1:1" x14ac:dyDescent="0.2">
      <c r="A490" s="91">
        <v>3959.24</v>
      </c>
    </row>
    <row r="491" spans="1:1" x14ac:dyDescent="0.2">
      <c r="A491" s="91">
        <v>1848</v>
      </c>
    </row>
    <row r="492" spans="1:1" x14ac:dyDescent="0.2">
      <c r="A492" s="91">
        <v>1188</v>
      </c>
    </row>
    <row r="493" spans="1:1" x14ac:dyDescent="0.2">
      <c r="A493" s="91">
        <v>4024.08</v>
      </c>
    </row>
    <row r="494" spans="1:1" x14ac:dyDescent="0.2">
      <c r="A494" s="91">
        <v>962.28</v>
      </c>
    </row>
    <row r="495" spans="1:1" x14ac:dyDescent="0.2">
      <c r="A495" s="91">
        <v>612.36</v>
      </c>
    </row>
    <row r="496" spans="1:1" x14ac:dyDescent="0.2">
      <c r="A496" s="91">
        <v>6679.98</v>
      </c>
    </row>
    <row r="497" spans="1:1" x14ac:dyDescent="0.2">
      <c r="A497" s="91">
        <v>1047.8399999999999</v>
      </c>
    </row>
    <row r="498" spans="1:1" x14ac:dyDescent="0.2">
      <c r="A498" s="91">
        <v>654.9</v>
      </c>
    </row>
    <row r="499" spans="1:1" x14ac:dyDescent="0.2">
      <c r="A499" s="91">
        <v>9498</v>
      </c>
    </row>
    <row r="500" spans="1:1" x14ac:dyDescent="0.2">
      <c r="A500" s="91">
        <v>1899.6</v>
      </c>
    </row>
    <row r="501" spans="1:1" x14ac:dyDescent="0.2">
      <c r="A501" s="91">
        <v>2659.44</v>
      </c>
    </row>
    <row r="502" spans="1:1" x14ac:dyDescent="0.2">
      <c r="A502" s="91">
        <v>10797</v>
      </c>
    </row>
    <row r="503" spans="1:1" x14ac:dyDescent="0.2">
      <c r="A503" s="91">
        <v>1475</v>
      </c>
    </row>
    <row r="504" spans="1:1" x14ac:dyDescent="0.2">
      <c r="A504" s="91">
        <v>1534</v>
      </c>
    </row>
    <row r="505" spans="1:1" x14ac:dyDescent="0.2">
      <c r="A505" s="91">
        <v>138</v>
      </c>
    </row>
    <row r="506" spans="1:1" x14ac:dyDescent="0.2">
      <c r="A506" s="91">
        <v>69</v>
      </c>
    </row>
    <row r="507" spans="1:1" x14ac:dyDescent="0.2">
      <c r="A507" s="91">
        <v>88</v>
      </c>
    </row>
    <row r="508" spans="1:1" x14ac:dyDescent="0.2">
      <c r="A508" s="91">
        <v>870</v>
      </c>
    </row>
    <row r="509" spans="1:1" x14ac:dyDescent="0.2">
      <c r="A509" s="91">
        <v>450.24</v>
      </c>
    </row>
    <row r="510" spans="1:1" x14ac:dyDescent="0.2">
      <c r="A510" s="91">
        <v>191.04</v>
      </c>
    </row>
    <row r="511" spans="1:1" x14ac:dyDescent="0.2">
      <c r="A511" s="91">
        <v>960</v>
      </c>
    </row>
    <row r="512" spans="1:1" x14ac:dyDescent="0.2">
      <c r="A512" s="91">
        <v>186</v>
      </c>
    </row>
    <row r="513" spans="1:1" x14ac:dyDescent="0.2">
      <c r="A513" s="91">
        <v>147</v>
      </c>
    </row>
    <row r="514" spans="1:1" x14ac:dyDescent="0.2">
      <c r="A514" s="91">
        <v>1319.36</v>
      </c>
    </row>
    <row r="515" spans="1:1" x14ac:dyDescent="0.2">
      <c r="A515" s="91">
        <v>264</v>
      </c>
    </row>
    <row r="516" spans="1:1" x14ac:dyDescent="0.2">
      <c r="A516" s="91">
        <v>132</v>
      </c>
    </row>
    <row r="517" spans="1:1" x14ac:dyDescent="0.2">
      <c r="A517" s="91">
        <v>1049.76</v>
      </c>
    </row>
    <row r="518" spans="1:1" x14ac:dyDescent="0.2">
      <c r="A518" s="91">
        <v>174.96</v>
      </c>
    </row>
    <row r="519" spans="1:1" x14ac:dyDescent="0.2">
      <c r="A519" s="91">
        <v>524.88</v>
      </c>
    </row>
    <row r="520" spans="1:1" x14ac:dyDescent="0.2">
      <c r="A520" s="91">
        <v>1964.6999999999998</v>
      </c>
    </row>
    <row r="521" spans="1:1" x14ac:dyDescent="0.2">
      <c r="A521" s="91">
        <v>130.97999999999999</v>
      </c>
    </row>
    <row r="522" spans="1:1" x14ac:dyDescent="0.2">
      <c r="A522" s="91">
        <v>1899.6</v>
      </c>
    </row>
    <row r="523" spans="1:1" x14ac:dyDescent="0.2">
      <c r="A523" s="91">
        <v>569.88</v>
      </c>
    </row>
    <row r="524" spans="1:1" x14ac:dyDescent="0.2">
      <c r="A524" s="91">
        <v>569.88</v>
      </c>
    </row>
    <row r="525" spans="1:1" x14ac:dyDescent="0.2">
      <c r="A525" s="91">
        <v>531</v>
      </c>
    </row>
    <row r="526" spans="1:1" x14ac:dyDescent="0.2">
      <c r="A526" s="91">
        <v>472</v>
      </c>
    </row>
    <row r="527" spans="1:1" x14ac:dyDescent="0.2">
      <c r="A527" s="91">
        <v>649</v>
      </c>
    </row>
    <row r="528" spans="1:1" x14ac:dyDescent="0.2">
      <c r="A528" s="91">
        <v>480</v>
      </c>
    </row>
    <row r="529" spans="1:1" x14ac:dyDescent="0.2">
      <c r="A529" s="91">
        <v>132</v>
      </c>
    </row>
    <row r="530" spans="1:1" x14ac:dyDescent="0.2">
      <c r="A530" s="91">
        <v>132</v>
      </c>
    </row>
    <row r="531" spans="1:1" x14ac:dyDescent="0.2">
      <c r="A531" s="91">
        <v>524.17999999999995</v>
      </c>
    </row>
    <row r="532" spans="1:1" x14ac:dyDescent="0.2">
      <c r="A532" s="91">
        <v>392.93999999999994</v>
      </c>
    </row>
    <row r="533" spans="1:1" x14ac:dyDescent="0.2">
      <c r="A533" s="91">
        <v>379.92</v>
      </c>
    </row>
    <row r="534" spans="1:1" x14ac:dyDescent="0.2">
      <c r="A534" s="91">
        <v>189.96</v>
      </c>
    </row>
    <row r="535" spans="1:1" x14ac:dyDescent="0.2">
      <c r="A535" s="91">
        <v>10400</v>
      </c>
    </row>
    <row r="536" spans="1:1" x14ac:dyDescent="0.2">
      <c r="A536" s="91">
        <v>4810</v>
      </c>
    </row>
    <row r="537" spans="1:1" x14ac:dyDescent="0.2">
      <c r="A537" s="91">
        <v>390</v>
      </c>
    </row>
    <row r="538" spans="1:1" x14ac:dyDescent="0.2">
      <c r="A538" s="91">
        <v>18015.759999999998</v>
      </c>
    </row>
    <row r="539" spans="1:1" x14ac:dyDescent="0.2">
      <c r="A539" s="91">
        <v>6118.56</v>
      </c>
    </row>
    <row r="540" spans="1:1" x14ac:dyDescent="0.2">
      <c r="A540" s="91">
        <v>4928.84</v>
      </c>
    </row>
    <row r="541" spans="1:1" x14ac:dyDescent="0.2">
      <c r="A541" s="91">
        <v>22869.439999999999</v>
      </c>
    </row>
    <row r="542" spans="1:1" x14ac:dyDescent="0.2">
      <c r="A542" s="91">
        <v>2826.56</v>
      </c>
    </row>
    <row r="543" spans="1:1" x14ac:dyDescent="0.2">
      <c r="A543" s="91">
        <v>2055.6799999999998</v>
      </c>
    </row>
    <row r="544" spans="1:1" x14ac:dyDescent="0.2">
      <c r="A544" s="91">
        <v>19735.8</v>
      </c>
    </row>
    <row r="545" spans="1:1" x14ac:dyDescent="0.2">
      <c r="A545" s="91">
        <v>1315.72</v>
      </c>
    </row>
    <row r="546" spans="1:1" x14ac:dyDescent="0.2">
      <c r="A546" s="91">
        <v>1503.68</v>
      </c>
    </row>
    <row r="547" spans="1:1" x14ac:dyDescent="0.2">
      <c r="A547" s="91">
        <v>2109.92</v>
      </c>
    </row>
    <row r="548" spans="1:1" x14ac:dyDescent="0.2">
      <c r="A548" s="91">
        <v>708</v>
      </c>
    </row>
    <row r="549" spans="1:1" x14ac:dyDescent="0.2">
      <c r="A549" s="91">
        <v>191.04</v>
      </c>
    </row>
    <row r="550" spans="1:1" x14ac:dyDescent="0.2">
      <c r="A550" s="91">
        <v>240</v>
      </c>
    </row>
    <row r="551" spans="1:1" x14ac:dyDescent="0.2">
      <c r="A551" s="91">
        <v>131.28</v>
      </c>
    </row>
    <row r="552" spans="1:1" x14ac:dyDescent="0.2">
      <c r="A552" s="91">
        <v>357.21</v>
      </c>
    </row>
    <row r="553" spans="1:1" x14ac:dyDescent="0.2">
      <c r="A553" s="91">
        <v>676.7299999999999</v>
      </c>
    </row>
    <row r="554" spans="1:1" x14ac:dyDescent="0.2">
      <c r="A554" s="91">
        <v>130.97999999999999</v>
      </c>
    </row>
    <row r="555" spans="1:1" x14ac:dyDescent="0.2">
      <c r="A555" s="91">
        <v>759.84</v>
      </c>
    </row>
    <row r="556" spans="1:1" x14ac:dyDescent="0.2">
      <c r="A556" s="91">
        <v>189.96</v>
      </c>
    </row>
    <row r="557" spans="1:1" x14ac:dyDescent="0.2">
      <c r="A557" s="91">
        <v>826</v>
      </c>
    </row>
    <row r="558" spans="1:1" x14ac:dyDescent="0.2">
      <c r="A558" s="91">
        <v>118</v>
      </c>
    </row>
    <row r="559" spans="1:1" x14ac:dyDescent="0.2">
      <c r="A559" s="91">
        <v>264</v>
      </c>
    </row>
    <row r="560" spans="1:1" x14ac:dyDescent="0.2">
      <c r="A560" s="91">
        <v>5698.8</v>
      </c>
    </row>
    <row r="561" spans="1:1" x14ac:dyDescent="0.2">
      <c r="A561" s="91">
        <v>5638.8</v>
      </c>
    </row>
    <row r="562" spans="1:1" x14ac:dyDescent="0.2">
      <c r="A562" s="91">
        <v>3759.2</v>
      </c>
    </row>
    <row r="563" spans="1:1" x14ac:dyDescent="0.2">
      <c r="A563" s="91">
        <v>7738</v>
      </c>
    </row>
    <row r="564" spans="1:1" x14ac:dyDescent="0.2">
      <c r="A564" s="91">
        <v>2109</v>
      </c>
    </row>
    <row r="565" spans="1:1" x14ac:dyDescent="0.2">
      <c r="A565" s="91">
        <v>2820.2</v>
      </c>
    </row>
    <row r="566" spans="1:1" x14ac:dyDescent="0.2">
      <c r="A566" s="91">
        <v>1760.0000000000002</v>
      </c>
    </row>
    <row r="567" spans="1:1" x14ac:dyDescent="0.2">
      <c r="A567" s="91">
        <v>3910</v>
      </c>
    </row>
    <row r="568" spans="1:1" x14ac:dyDescent="0.2">
      <c r="A568" s="91">
        <v>396</v>
      </c>
    </row>
    <row r="569" spans="1:1" x14ac:dyDescent="0.2">
      <c r="A569" s="91">
        <v>396</v>
      </c>
    </row>
    <row r="570" spans="1:1" x14ac:dyDescent="0.2">
      <c r="A570" s="91">
        <v>87.48</v>
      </c>
    </row>
    <row r="571" spans="1:1" x14ac:dyDescent="0.2">
      <c r="A571" s="91">
        <v>8223.08</v>
      </c>
    </row>
    <row r="572" spans="1:1" x14ac:dyDescent="0.2">
      <c r="A572" s="91">
        <v>612.36</v>
      </c>
    </row>
    <row r="573" spans="1:1" x14ac:dyDescent="0.2">
      <c r="A573" s="91">
        <v>437.4</v>
      </c>
    </row>
    <row r="574" spans="1:1" x14ac:dyDescent="0.2">
      <c r="A574" s="91">
        <v>6492.9999999999991</v>
      </c>
    </row>
    <row r="575" spans="1:1" x14ac:dyDescent="0.2">
      <c r="A575" s="91">
        <v>770.87999999999988</v>
      </c>
    </row>
    <row r="576" spans="1:1" x14ac:dyDescent="0.2">
      <c r="A576" s="91">
        <v>261.95999999999998</v>
      </c>
    </row>
    <row r="577" spans="1:1" x14ac:dyDescent="0.2">
      <c r="A577" s="91">
        <v>5288.88</v>
      </c>
    </row>
    <row r="578" spans="1:1" x14ac:dyDescent="0.2">
      <c r="A578" s="91">
        <v>1323.72</v>
      </c>
    </row>
    <row r="579" spans="1:1" x14ac:dyDescent="0.2">
      <c r="A579" s="91">
        <v>569.88</v>
      </c>
    </row>
    <row r="580" spans="1:1" x14ac:dyDescent="0.2">
      <c r="A580" s="91">
        <v>5226.3599999999997</v>
      </c>
    </row>
    <row r="581" spans="1:1" x14ac:dyDescent="0.2">
      <c r="A581" s="91">
        <v>59</v>
      </c>
    </row>
    <row r="582" spans="1:1" x14ac:dyDescent="0.2">
      <c r="A582" s="91">
        <v>59</v>
      </c>
    </row>
    <row r="583" spans="1:1" x14ac:dyDescent="0.2">
      <c r="A583" s="91">
        <v>8450</v>
      </c>
    </row>
    <row r="584" spans="1:1" x14ac:dyDescent="0.2">
      <c r="A584" s="91">
        <v>1300</v>
      </c>
    </row>
    <row r="585" spans="1:1" x14ac:dyDescent="0.2">
      <c r="A585" s="91">
        <v>520</v>
      </c>
    </row>
    <row r="586" spans="1:1" x14ac:dyDescent="0.2">
      <c r="A586" s="91">
        <v>23794.400000000001</v>
      </c>
    </row>
    <row r="587" spans="1:1" x14ac:dyDescent="0.2">
      <c r="A587" s="91">
        <v>10367.56</v>
      </c>
    </row>
    <row r="588" spans="1:1" x14ac:dyDescent="0.2">
      <c r="A588" s="91">
        <v>4249</v>
      </c>
    </row>
    <row r="589" spans="1:1" x14ac:dyDescent="0.2">
      <c r="A589" s="91">
        <v>23640.32</v>
      </c>
    </row>
    <row r="590" spans="1:1" x14ac:dyDescent="0.2">
      <c r="A590" s="91">
        <v>1798.7199999999998</v>
      </c>
    </row>
    <row r="591" spans="1:1" x14ac:dyDescent="0.2">
      <c r="A591" s="91">
        <v>1284.8</v>
      </c>
    </row>
    <row r="592" spans="1:1" x14ac:dyDescent="0.2">
      <c r="A592" s="91">
        <v>8458.2000000000007</v>
      </c>
    </row>
    <row r="593" spans="1:1" x14ac:dyDescent="0.2">
      <c r="A593" s="91">
        <v>939.8</v>
      </c>
    </row>
    <row r="594" spans="1:1" x14ac:dyDescent="0.2">
      <c r="A594" s="91">
        <v>5624</v>
      </c>
    </row>
    <row r="595" spans="1:1" x14ac:dyDescent="0.2">
      <c r="A595" s="91">
        <v>1406</v>
      </c>
    </row>
    <row r="596" spans="1:1" x14ac:dyDescent="0.2">
      <c r="A596" s="91">
        <v>1406</v>
      </c>
    </row>
    <row r="597" spans="1:1" x14ac:dyDescent="0.2">
      <c r="A597" s="91">
        <v>850</v>
      </c>
    </row>
    <row r="598" spans="1:1" x14ac:dyDescent="0.2">
      <c r="A598" s="91">
        <v>219.20000000000002</v>
      </c>
    </row>
    <row r="599" spans="1:1" x14ac:dyDescent="0.2">
      <c r="A599" s="91">
        <v>480</v>
      </c>
    </row>
    <row r="600" spans="1:1" x14ac:dyDescent="0.2">
      <c r="A600" s="91">
        <v>1714</v>
      </c>
    </row>
    <row r="601" spans="1:1" x14ac:dyDescent="0.2">
      <c r="A601" s="91">
        <v>922</v>
      </c>
    </row>
    <row r="602" spans="1:1" x14ac:dyDescent="0.2">
      <c r="A602" s="91">
        <v>922</v>
      </c>
    </row>
    <row r="603" spans="1:1" x14ac:dyDescent="0.2">
      <c r="A603" s="91">
        <v>174.96</v>
      </c>
    </row>
    <row r="604" spans="1:1" x14ac:dyDescent="0.2">
      <c r="A604" s="91">
        <v>4111.5600000000004</v>
      </c>
    </row>
    <row r="605" spans="1:1" x14ac:dyDescent="0.2">
      <c r="A605" s="91">
        <v>962.28</v>
      </c>
    </row>
    <row r="606" spans="1:1" x14ac:dyDescent="0.2">
      <c r="A606" s="91">
        <v>349.92</v>
      </c>
    </row>
    <row r="607" spans="1:1" x14ac:dyDescent="0.2">
      <c r="A607" s="91">
        <v>4846.2599999999993</v>
      </c>
    </row>
    <row r="608" spans="1:1" x14ac:dyDescent="0.2">
      <c r="A608" s="91">
        <v>1047.8399999999999</v>
      </c>
    </row>
    <row r="609" spans="1:1" x14ac:dyDescent="0.2">
      <c r="A609" s="91">
        <v>1178.82</v>
      </c>
    </row>
    <row r="610" spans="1:1" x14ac:dyDescent="0.2">
      <c r="A610" s="91">
        <v>7022.52</v>
      </c>
    </row>
    <row r="611" spans="1:1" x14ac:dyDescent="0.2">
      <c r="A611" s="91">
        <v>1138.76</v>
      </c>
    </row>
    <row r="612" spans="1:1" x14ac:dyDescent="0.2">
      <c r="A612" s="91">
        <v>947.57999999999993</v>
      </c>
    </row>
    <row r="613" spans="1:1" x14ac:dyDescent="0.2">
      <c r="A613" s="91">
        <v>5310</v>
      </c>
    </row>
    <row r="614" spans="1:1" x14ac:dyDescent="0.2">
      <c r="A614" s="91">
        <v>354</v>
      </c>
    </row>
    <row r="615" spans="1:1" x14ac:dyDescent="0.2">
      <c r="A615" s="91">
        <v>354</v>
      </c>
    </row>
    <row r="616" spans="1:1" x14ac:dyDescent="0.2">
      <c r="A616" s="91">
        <v>88</v>
      </c>
    </row>
    <row r="617" spans="1:1" x14ac:dyDescent="0.2">
      <c r="A617" s="91">
        <v>88</v>
      </c>
    </row>
    <row r="618" spans="1:1" x14ac:dyDescent="0.2">
      <c r="A618" s="91">
        <v>217.5</v>
      </c>
    </row>
    <row r="619" spans="1:1" x14ac:dyDescent="0.2">
      <c r="A619" s="91">
        <v>5760</v>
      </c>
    </row>
    <row r="620" spans="1:1" x14ac:dyDescent="0.2">
      <c r="A620" s="91">
        <v>3959.28</v>
      </c>
    </row>
    <row r="621" spans="1:1" x14ac:dyDescent="0.2">
      <c r="A621" s="91">
        <v>1320</v>
      </c>
    </row>
    <row r="622" spans="1:1" x14ac:dyDescent="0.2">
      <c r="A622" s="91">
        <v>1320</v>
      </c>
    </row>
    <row r="623" spans="1:1" x14ac:dyDescent="0.2">
      <c r="A623" s="91">
        <v>2012.04</v>
      </c>
    </row>
    <row r="624" spans="1:1" x14ac:dyDescent="0.2">
      <c r="A624" s="91">
        <v>787.32</v>
      </c>
    </row>
    <row r="625" spans="1:1" x14ac:dyDescent="0.2">
      <c r="A625" s="91">
        <v>962.28</v>
      </c>
    </row>
    <row r="626" spans="1:1" x14ac:dyDescent="0.2">
      <c r="A626" s="91">
        <v>6679.98</v>
      </c>
    </row>
    <row r="627" spans="1:1" x14ac:dyDescent="0.2">
      <c r="A627" s="91">
        <v>654.9</v>
      </c>
    </row>
    <row r="628" spans="1:1" x14ac:dyDescent="0.2">
      <c r="A628" s="91">
        <v>261.95999999999998</v>
      </c>
    </row>
    <row r="629" spans="1:1" x14ac:dyDescent="0.2">
      <c r="A629" s="91">
        <v>9118.08</v>
      </c>
    </row>
    <row r="630" spans="1:1" x14ac:dyDescent="0.2">
      <c r="A630" s="91">
        <v>2089.56</v>
      </c>
    </row>
    <row r="631" spans="1:1" x14ac:dyDescent="0.2">
      <c r="A631" s="91">
        <v>1899.6</v>
      </c>
    </row>
    <row r="632" spans="1:1" x14ac:dyDescent="0.2">
      <c r="A632" s="91">
        <v>3422</v>
      </c>
    </row>
    <row r="633" spans="1:1" x14ac:dyDescent="0.2">
      <c r="A633" s="91">
        <v>767</v>
      </c>
    </row>
    <row r="634" spans="1:1" x14ac:dyDescent="0.2">
      <c r="A634" s="91">
        <v>531</v>
      </c>
    </row>
    <row r="635" spans="1:1" x14ac:dyDescent="0.2">
      <c r="A635" s="91">
        <v>176</v>
      </c>
    </row>
    <row r="636" spans="1:1" x14ac:dyDescent="0.2">
      <c r="A636" s="91">
        <v>176</v>
      </c>
    </row>
    <row r="637" spans="1:1" x14ac:dyDescent="0.2">
      <c r="A637" s="91">
        <v>132</v>
      </c>
    </row>
    <row r="638" spans="1:1" x14ac:dyDescent="0.2">
      <c r="A638" s="91">
        <v>524.88</v>
      </c>
    </row>
    <row r="639" spans="1:1" x14ac:dyDescent="0.2">
      <c r="A639" s="91">
        <v>3574.16</v>
      </c>
    </row>
    <row r="640" spans="1:1" x14ac:dyDescent="0.2">
      <c r="A640" s="91">
        <v>14157.8</v>
      </c>
    </row>
    <row r="641" spans="1:1" x14ac:dyDescent="0.2">
      <c r="A641" s="91">
        <v>189.96</v>
      </c>
    </row>
    <row r="642" spans="1:1" x14ac:dyDescent="0.2">
      <c r="A642" s="91">
        <v>1524</v>
      </c>
    </row>
    <row r="643" spans="1:1" x14ac:dyDescent="0.2">
      <c r="A643" s="91">
        <v>59</v>
      </c>
    </row>
    <row r="644" spans="1:1" x14ac:dyDescent="0.2">
      <c r="A644" s="91">
        <v>706.2</v>
      </c>
    </row>
    <row r="645" spans="1:1" x14ac:dyDescent="0.2">
      <c r="A645" s="91">
        <v>1300</v>
      </c>
    </row>
    <row r="646" spans="1:1" x14ac:dyDescent="0.2">
      <c r="A646" s="91">
        <v>174.96</v>
      </c>
    </row>
    <row r="647" spans="1:1" x14ac:dyDescent="0.2">
      <c r="A647" s="91">
        <v>174.96</v>
      </c>
    </row>
    <row r="648" spans="1:1" x14ac:dyDescent="0.2">
      <c r="A648" s="91">
        <v>174.96</v>
      </c>
    </row>
    <row r="649" spans="1:1" x14ac:dyDescent="0.2">
      <c r="A649" s="91">
        <v>1284.8</v>
      </c>
    </row>
    <row r="650" spans="1:1" x14ac:dyDescent="0.2">
      <c r="A650" s="91">
        <v>14121</v>
      </c>
    </row>
    <row r="651" spans="1:1" x14ac:dyDescent="0.2">
      <c r="A651" s="91">
        <v>569.88</v>
      </c>
    </row>
    <row r="652" spans="1:1" x14ac:dyDescent="0.2">
      <c r="A652" s="91">
        <v>379.92</v>
      </c>
    </row>
    <row r="653" spans="1:1" x14ac:dyDescent="0.2">
      <c r="A653" s="91">
        <v>1878</v>
      </c>
    </row>
    <row r="654" spans="1:1" x14ac:dyDescent="0.2">
      <c r="A654" s="91">
        <v>118</v>
      </c>
    </row>
    <row r="655" spans="1:1" x14ac:dyDescent="0.2">
      <c r="A655" s="91">
        <v>118</v>
      </c>
    </row>
    <row r="656" spans="1:1" x14ac:dyDescent="0.2">
      <c r="A656" s="91">
        <v>828</v>
      </c>
    </row>
    <row r="657" spans="1:1" x14ac:dyDescent="0.2">
      <c r="A657" s="91">
        <v>552</v>
      </c>
    </row>
    <row r="658" spans="1:1" x14ac:dyDescent="0.2">
      <c r="A658" s="91">
        <v>225.12</v>
      </c>
    </row>
    <row r="659" spans="1:1" x14ac:dyDescent="0.2">
      <c r="A659" s="91">
        <v>382.08</v>
      </c>
    </row>
    <row r="660" spans="1:1" x14ac:dyDescent="0.2">
      <c r="A660" s="91">
        <v>473.32</v>
      </c>
    </row>
    <row r="661" spans="1:1" x14ac:dyDescent="0.2">
      <c r="A661" s="91">
        <v>735</v>
      </c>
    </row>
    <row r="662" spans="1:1" x14ac:dyDescent="0.2">
      <c r="A662" s="91">
        <v>2376</v>
      </c>
    </row>
    <row r="663" spans="1:1" x14ac:dyDescent="0.2">
      <c r="A663" s="91">
        <v>1056</v>
      </c>
    </row>
    <row r="664" spans="1:1" x14ac:dyDescent="0.2">
      <c r="A664" s="91">
        <v>396</v>
      </c>
    </row>
    <row r="665" spans="1:1" x14ac:dyDescent="0.2">
      <c r="A665" s="91">
        <v>174.96</v>
      </c>
    </row>
    <row r="666" spans="1:1" x14ac:dyDescent="0.2">
      <c r="A666" s="91">
        <v>4896.32</v>
      </c>
    </row>
    <row r="667" spans="1:1" x14ac:dyDescent="0.2">
      <c r="A667" s="91">
        <v>787.32</v>
      </c>
    </row>
    <row r="668" spans="1:1" x14ac:dyDescent="0.2">
      <c r="A668" s="91">
        <v>524.88</v>
      </c>
    </row>
    <row r="669" spans="1:1" x14ac:dyDescent="0.2">
      <c r="A669" s="91">
        <v>5108.2199999999993</v>
      </c>
    </row>
    <row r="670" spans="1:1" x14ac:dyDescent="0.2">
      <c r="A670" s="91">
        <v>130.97999999999999</v>
      </c>
    </row>
    <row r="671" spans="1:1" x14ac:dyDescent="0.2">
      <c r="A671" s="91">
        <v>5128.92</v>
      </c>
    </row>
    <row r="672" spans="1:1" x14ac:dyDescent="0.2">
      <c r="A672" s="91">
        <v>1709.64</v>
      </c>
    </row>
    <row r="673" spans="1:1" x14ac:dyDescent="0.2">
      <c r="A673" s="91">
        <v>2279.52</v>
      </c>
    </row>
    <row r="674" spans="1:1" x14ac:dyDescent="0.2">
      <c r="A674" s="91">
        <v>5428</v>
      </c>
    </row>
    <row r="675" spans="1:1" x14ac:dyDescent="0.2">
      <c r="A675" s="91">
        <v>177</v>
      </c>
    </row>
    <row r="676" spans="1:1" x14ac:dyDescent="0.2">
      <c r="A676" s="91">
        <v>885</v>
      </c>
    </row>
    <row r="677" spans="1:1" x14ac:dyDescent="0.2">
      <c r="A677" s="91">
        <v>176</v>
      </c>
    </row>
    <row r="678" spans="1:1" x14ac:dyDescent="0.2">
      <c r="A678" s="91">
        <v>435</v>
      </c>
    </row>
    <row r="679" spans="1:1" x14ac:dyDescent="0.2">
      <c r="A679" s="91">
        <v>450.24</v>
      </c>
    </row>
    <row r="680" spans="1:1" x14ac:dyDescent="0.2">
      <c r="A680" s="91">
        <v>4290</v>
      </c>
    </row>
    <row r="681" spans="1:1" x14ac:dyDescent="0.2">
      <c r="A681" s="91">
        <v>19545.400000000001</v>
      </c>
    </row>
    <row r="682" spans="1:1" x14ac:dyDescent="0.2">
      <c r="A682" s="91">
        <v>3909.08</v>
      </c>
    </row>
    <row r="683" spans="1:1" x14ac:dyDescent="0.2">
      <c r="A683" s="91">
        <v>4758.88</v>
      </c>
    </row>
    <row r="684" spans="1:1" x14ac:dyDescent="0.2">
      <c r="A684" s="91">
        <v>26980.799999999999</v>
      </c>
    </row>
    <row r="685" spans="1:1" x14ac:dyDescent="0.2">
      <c r="A685" s="91">
        <v>256.95999999999998</v>
      </c>
    </row>
    <row r="686" spans="1:1" x14ac:dyDescent="0.2">
      <c r="A686" s="91">
        <v>770.87999999999988</v>
      </c>
    </row>
    <row r="687" spans="1:1" x14ac:dyDescent="0.2">
      <c r="A687" s="91">
        <v>17856.2</v>
      </c>
    </row>
    <row r="688" spans="1:1" x14ac:dyDescent="0.2">
      <c r="A688" s="91">
        <v>5638.8</v>
      </c>
    </row>
    <row r="689" spans="1:1" x14ac:dyDescent="0.2">
      <c r="A689" s="91">
        <v>4699</v>
      </c>
    </row>
    <row r="690" spans="1:1" x14ac:dyDescent="0.2">
      <c r="A690" s="91">
        <v>1406</v>
      </c>
    </row>
    <row r="691" spans="1:1" x14ac:dyDescent="0.2">
      <c r="A691" s="91">
        <v>2367</v>
      </c>
    </row>
    <row r="692" spans="1:1" x14ac:dyDescent="0.2">
      <c r="A692" s="91">
        <v>1716</v>
      </c>
    </row>
    <row r="693" spans="1:1" x14ac:dyDescent="0.2">
      <c r="A693" s="91">
        <v>918</v>
      </c>
    </row>
    <row r="694" spans="1:1" x14ac:dyDescent="0.2">
      <c r="A694" s="91">
        <v>264</v>
      </c>
    </row>
    <row r="695" spans="1:1" x14ac:dyDescent="0.2">
      <c r="A695" s="91">
        <v>174.96</v>
      </c>
    </row>
    <row r="696" spans="1:1" x14ac:dyDescent="0.2">
      <c r="A696" s="91">
        <v>4561.4399999999996</v>
      </c>
    </row>
    <row r="697" spans="1:1" x14ac:dyDescent="0.2">
      <c r="A697" s="91">
        <v>612.36</v>
      </c>
    </row>
    <row r="698" spans="1:1" x14ac:dyDescent="0.2">
      <c r="A698" s="91">
        <v>612.36</v>
      </c>
    </row>
    <row r="699" spans="1:1" x14ac:dyDescent="0.2">
      <c r="A699" s="91">
        <v>5572.1399999999994</v>
      </c>
    </row>
    <row r="700" spans="1:1" x14ac:dyDescent="0.2">
      <c r="A700" s="91">
        <v>778.51999999999987</v>
      </c>
    </row>
    <row r="701" spans="1:1" x14ac:dyDescent="0.2">
      <c r="A701" s="91">
        <v>130.97999999999999</v>
      </c>
    </row>
    <row r="702" spans="1:1" x14ac:dyDescent="0.2">
      <c r="A702" s="91">
        <v>7788.36</v>
      </c>
    </row>
    <row r="703" spans="1:1" x14ac:dyDescent="0.2">
      <c r="A703" s="91">
        <v>1519.68</v>
      </c>
    </row>
    <row r="704" spans="1:1" x14ac:dyDescent="0.2">
      <c r="A704" s="91">
        <v>949.8</v>
      </c>
    </row>
    <row r="705" spans="1:1" x14ac:dyDescent="0.2">
      <c r="A705" s="91">
        <v>4366</v>
      </c>
    </row>
    <row r="706" spans="1:1" x14ac:dyDescent="0.2">
      <c r="A706" s="91">
        <v>1003</v>
      </c>
    </row>
    <row r="707" spans="1:1" x14ac:dyDescent="0.2">
      <c r="A707" s="91">
        <v>1416</v>
      </c>
    </row>
    <row r="708" spans="1:1" x14ac:dyDescent="0.2">
      <c r="A708" s="91">
        <v>88</v>
      </c>
    </row>
    <row r="709" spans="1:1" x14ac:dyDescent="0.2">
      <c r="A709" s="91">
        <v>435</v>
      </c>
    </row>
    <row r="710" spans="1:1" x14ac:dyDescent="0.2">
      <c r="A710" s="91">
        <v>675.36</v>
      </c>
    </row>
    <row r="711" spans="1:1" x14ac:dyDescent="0.2">
      <c r="A711" s="91">
        <v>191.04</v>
      </c>
    </row>
    <row r="712" spans="1:1" x14ac:dyDescent="0.2">
      <c r="A712" s="91">
        <v>4800</v>
      </c>
    </row>
    <row r="713" spans="1:1" x14ac:dyDescent="0.2">
      <c r="A713" s="91">
        <v>186</v>
      </c>
    </row>
    <row r="714" spans="1:1" x14ac:dyDescent="0.2">
      <c r="A714" s="91">
        <v>1320</v>
      </c>
    </row>
    <row r="715" spans="1:1" x14ac:dyDescent="0.2">
      <c r="A715" s="91">
        <v>132</v>
      </c>
    </row>
    <row r="716" spans="1:1" x14ac:dyDescent="0.2">
      <c r="A716" s="91">
        <v>264</v>
      </c>
    </row>
    <row r="717" spans="1:1" x14ac:dyDescent="0.2">
      <c r="A717" s="91">
        <v>5723.68</v>
      </c>
    </row>
    <row r="718" spans="1:1" x14ac:dyDescent="0.2">
      <c r="A718" s="91">
        <v>1467.16</v>
      </c>
    </row>
    <row r="719" spans="1:1" x14ac:dyDescent="0.2">
      <c r="A719" s="91">
        <v>874.8</v>
      </c>
    </row>
    <row r="720" spans="1:1" x14ac:dyDescent="0.2">
      <c r="A720" s="91">
        <v>3506.4599999999996</v>
      </c>
    </row>
    <row r="721" spans="1:1" x14ac:dyDescent="0.2">
      <c r="A721" s="91">
        <v>644.9</v>
      </c>
    </row>
    <row r="722" spans="1:1" x14ac:dyDescent="0.2">
      <c r="A722" s="91">
        <v>775.87999999999988</v>
      </c>
    </row>
    <row r="723" spans="1:1" x14ac:dyDescent="0.2">
      <c r="A723" s="91">
        <v>1899.6</v>
      </c>
    </row>
    <row r="724" spans="1:1" x14ac:dyDescent="0.2">
      <c r="A724" s="91">
        <v>379.92</v>
      </c>
    </row>
    <row r="725" spans="1:1" x14ac:dyDescent="0.2">
      <c r="A725" s="91">
        <v>1139.76</v>
      </c>
    </row>
    <row r="726" spans="1:1" x14ac:dyDescent="0.2">
      <c r="A726" s="91">
        <v>2003.34</v>
      </c>
    </row>
    <row r="727" spans="1:1" x14ac:dyDescent="0.2">
      <c r="A727" s="91">
        <v>944</v>
      </c>
    </row>
    <row r="728" spans="1:1" x14ac:dyDescent="0.2">
      <c r="A728" s="91">
        <v>59</v>
      </c>
    </row>
    <row r="729" spans="1:1" x14ac:dyDescent="0.2">
      <c r="A729" s="91">
        <v>69</v>
      </c>
    </row>
    <row r="730" spans="1:1" x14ac:dyDescent="0.2">
      <c r="A730" s="91">
        <v>217.5</v>
      </c>
    </row>
    <row r="731" spans="1:1" x14ac:dyDescent="0.2">
      <c r="A731" s="91">
        <v>396</v>
      </c>
    </row>
    <row r="732" spans="1:1" x14ac:dyDescent="0.2">
      <c r="A732" s="91">
        <v>264</v>
      </c>
    </row>
    <row r="733" spans="1:1" x14ac:dyDescent="0.2">
      <c r="A733" s="91">
        <v>173.58</v>
      </c>
    </row>
    <row r="734" spans="1:1" x14ac:dyDescent="0.2">
      <c r="A734" s="91">
        <v>2619.6</v>
      </c>
    </row>
    <row r="735" spans="1:1" x14ac:dyDescent="0.2">
      <c r="A735" s="91">
        <v>759.84</v>
      </c>
    </row>
    <row r="736" spans="1:1" x14ac:dyDescent="0.2">
      <c r="A736" s="91">
        <v>189.96</v>
      </c>
    </row>
    <row r="737" spans="1:1" x14ac:dyDescent="0.2">
      <c r="A737" s="91">
        <v>569.88</v>
      </c>
    </row>
    <row r="738" spans="1:1" x14ac:dyDescent="0.2">
      <c r="A738" s="91">
        <v>118</v>
      </c>
    </row>
    <row r="739" spans="1:1" x14ac:dyDescent="0.2">
      <c r="A739" s="91">
        <v>217.5</v>
      </c>
    </row>
    <row r="740" spans="1:1" x14ac:dyDescent="0.2">
      <c r="A740" s="91">
        <v>1125.6000000000001</v>
      </c>
    </row>
    <row r="741" spans="1:1" x14ac:dyDescent="0.2">
      <c r="A741" s="91">
        <v>191.04</v>
      </c>
    </row>
    <row r="742" spans="1:1" x14ac:dyDescent="0.2">
      <c r="A742" s="91">
        <v>240</v>
      </c>
    </row>
    <row r="743" spans="1:1" x14ac:dyDescent="0.2">
      <c r="A743" s="91">
        <v>5484</v>
      </c>
    </row>
    <row r="744" spans="1:1" x14ac:dyDescent="0.2">
      <c r="A744" s="91">
        <v>264</v>
      </c>
    </row>
    <row r="745" spans="1:1" x14ac:dyDescent="0.2">
      <c r="A745" s="91">
        <v>132</v>
      </c>
    </row>
    <row r="746" spans="1:1" x14ac:dyDescent="0.2">
      <c r="A746" s="91">
        <v>4936.3599999999997</v>
      </c>
    </row>
    <row r="747" spans="1:1" x14ac:dyDescent="0.2">
      <c r="A747" s="91">
        <v>942.28</v>
      </c>
    </row>
    <row r="748" spans="1:1" x14ac:dyDescent="0.2">
      <c r="A748" s="91">
        <v>777.32</v>
      </c>
    </row>
    <row r="749" spans="1:1" x14ac:dyDescent="0.2">
      <c r="A749" s="91">
        <v>5098.2199999999993</v>
      </c>
    </row>
    <row r="750" spans="1:1" x14ac:dyDescent="0.2">
      <c r="A750" s="91">
        <v>130.97999999999999</v>
      </c>
    </row>
    <row r="751" spans="1:1" x14ac:dyDescent="0.2">
      <c r="A751" s="91">
        <v>518.91999999999996</v>
      </c>
    </row>
    <row r="752" spans="1:1" x14ac:dyDescent="0.2">
      <c r="A752" s="91">
        <v>13767.08</v>
      </c>
    </row>
    <row r="753" spans="1:1" x14ac:dyDescent="0.2">
      <c r="A753" s="91">
        <v>1325.72</v>
      </c>
    </row>
    <row r="754" spans="1:1" x14ac:dyDescent="0.2">
      <c r="A754" s="91">
        <v>759.84</v>
      </c>
    </row>
    <row r="755" spans="1:1" x14ac:dyDescent="0.2">
      <c r="A755" s="91">
        <v>3873.66</v>
      </c>
    </row>
    <row r="756" spans="1:1" x14ac:dyDescent="0.2">
      <c r="A756" s="91">
        <v>472</v>
      </c>
    </row>
    <row r="757" spans="1:1" x14ac:dyDescent="0.2">
      <c r="A757" s="91">
        <v>354</v>
      </c>
    </row>
    <row r="758" spans="1:1" x14ac:dyDescent="0.2">
      <c r="A758" s="91">
        <v>88</v>
      </c>
    </row>
    <row r="759" spans="1:1" x14ac:dyDescent="0.2">
      <c r="A759" s="91">
        <v>217.5</v>
      </c>
    </row>
    <row r="760" spans="1:1" x14ac:dyDescent="0.2">
      <c r="A760" s="91">
        <v>225.12</v>
      </c>
    </row>
    <row r="761" spans="1:1" x14ac:dyDescent="0.2">
      <c r="A761" s="91">
        <v>186</v>
      </c>
    </row>
    <row r="762" spans="1:1" x14ac:dyDescent="0.2">
      <c r="A762" s="91">
        <v>147</v>
      </c>
    </row>
    <row r="763" spans="1:1" x14ac:dyDescent="0.2">
      <c r="A763" s="91">
        <v>13000</v>
      </c>
    </row>
    <row r="764" spans="1:1" x14ac:dyDescent="0.2">
      <c r="A764" s="91">
        <v>4160</v>
      </c>
    </row>
    <row r="765" spans="1:1" x14ac:dyDescent="0.2">
      <c r="A765" s="91">
        <v>4030</v>
      </c>
    </row>
    <row r="766" spans="1:1" x14ac:dyDescent="0.2">
      <c r="A766" s="91">
        <v>509.88</v>
      </c>
    </row>
    <row r="767" spans="1:1" x14ac:dyDescent="0.2">
      <c r="A767" s="91">
        <v>13086.92</v>
      </c>
    </row>
    <row r="768" spans="1:1" x14ac:dyDescent="0.2">
      <c r="A768" s="91">
        <v>4758.88</v>
      </c>
    </row>
    <row r="769" spans="1:1" x14ac:dyDescent="0.2">
      <c r="A769" s="91">
        <v>4758.88</v>
      </c>
    </row>
    <row r="770" spans="1:1" x14ac:dyDescent="0.2">
      <c r="A770" s="91">
        <v>20299.84</v>
      </c>
    </row>
    <row r="771" spans="1:1" x14ac:dyDescent="0.2">
      <c r="A771" s="91">
        <v>2055.6799999999998</v>
      </c>
    </row>
    <row r="772" spans="1:1" x14ac:dyDescent="0.2">
      <c r="A772" s="91">
        <v>2055.6799999999998</v>
      </c>
    </row>
    <row r="773" spans="1:1" x14ac:dyDescent="0.2">
      <c r="A773" s="91">
        <v>25374.6</v>
      </c>
    </row>
    <row r="774" spans="1:1" x14ac:dyDescent="0.2">
      <c r="A774" s="91">
        <v>2819.4</v>
      </c>
    </row>
    <row r="775" spans="1:1" x14ac:dyDescent="0.2">
      <c r="A775" s="91">
        <v>8270.24</v>
      </c>
    </row>
    <row r="776" spans="1:1" x14ac:dyDescent="0.2">
      <c r="A776" s="91">
        <v>11248</v>
      </c>
    </row>
    <row r="777" spans="1:1" x14ac:dyDescent="0.2">
      <c r="A777" s="91">
        <v>2109</v>
      </c>
    </row>
    <row r="778" spans="1:1" x14ac:dyDescent="0.2">
      <c r="A778" s="91">
        <v>4218</v>
      </c>
    </row>
    <row r="779" spans="1:1" x14ac:dyDescent="0.2">
      <c r="A779" s="91">
        <v>440.24</v>
      </c>
    </row>
    <row r="780" spans="1:1" x14ac:dyDescent="0.2">
      <c r="A780" s="91">
        <v>3541.76</v>
      </c>
    </row>
    <row r="781" spans="1:1" x14ac:dyDescent="0.2">
      <c r="A781" s="91">
        <v>3940</v>
      </c>
    </row>
    <row r="782" spans="1:1" x14ac:dyDescent="0.2">
      <c r="A782" s="91">
        <v>1706</v>
      </c>
    </row>
    <row r="783" spans="1:1" x14ac:dyDescent="0.2">
      <c r="A783" s="91">
        <v>1056</v>
      </c>
    </row>
    <row r="784" spans="1:1" x14ac:dyDescent="0.2">
      <c r="A784" s="91">
        <v>173.96</v>
      </c>
    </row>
    <row r="785" spans="1:1" x14ac:dyDescent="0.2">
      <c r="A785" s="91">
        <v>5856.16</v>
      </c>
    </row>
    <row r="786" spans="1:1" x14ac:dyDescent="0.2">
      <c r="A786" s="91">
        <v>2011.04</v>
      </c>
    </row>
    <row r="787" spans="1:1" x14ac:dyDescent="0.2">
      <c r="A787" s="91">
        <v>1398.68</v>
      </c>
    </row>
    <row r="788" spans="1:1" x14ac:dyDescent="0.2">
      <c r="A788" s="91">
        <v>5890.0999999999995</v>
      </c>
    </row>
    <row r="789" spans="1:1" x14ac:dyDescent="0.2">
      <c r="A789" s="91">
        <v>780.87999999999988</v>
      </c>
    </row>
    <row r="790" spans="1:1" x14ac:dyDescent="0.2">
      <c r="A790" s="91">
        <v>1162.82</v>
      </c>
    </row>
    <row r="791" spans="1:1" x14ac:dyDescent="0.2">
      <c r="A791" s="91">
        <v>9118.08</v>
      </c>
    </row>
    <row r="792" spans="1:1" x14ac:dyDescent="0.2">
      <c r="A792" s="91">
        <v>2849.4</v>
      </c>
    </row>
    <row r="793" spans="1:1" x14ac:dyDescent="0.2">
      <c r="A793" s="91">
        <v>1899.6</v>
      </c>
    </row>
    <row r="794" spans="1:1" x14ac:dyDescent="0.2">
      <c r="A794" s="91">
        <v>8490</v>
      </c>
    </row>
    <row r="795" spans="1:1" x14ac:dyDescent="0.2">
      <c r="A795" s="91">
        <v>2182</v>
      </c>
    </row>
    <row r="796" spans="1:1" x14ac:dyDescent="0.2">
      <c r="A796" s="91">
        <v>2478</v>
      </c>
    </row>
    <row r="797" spans="1:1" x14ac:dyDescent="0.2">
      <c r="A797" s="91">
        <v>1522.5</v>
      </c>
    </row>
    <row r="798" spans="1:1" x14ac:dyDescent="0.2">
      <c r="A798" s="91">
        <v>2017.6200000000001</v>
      </c>
    </row>
    <row r="799" spans="1:1" x14ac:dyDescent="0.2">
      <c r="A799" s="91">
        <v>764.16</v>
      </c>
    </row>
    <row r="800" spans="1:1" x14ac:dyDescent="0.2">
      <c r="A800" s="91">
        <v>480</v>
      </c>
    </row>
    <row r="801" spans="1:1" x14ac:dyDescent="0.2">
      <c r="A801" s="91">
        <v>186</v>
      </c>
    </row>
    <row r="802" spans="1:1" x14ac:dyDescent="0.2">
      <c r="A802" s="91">
        <v>147</v>
      </c>
    </row>
    <row r="803" spans="1:1" x14ac:dyDescent="0.2">
      <c r="A803" s="91">
        <v>264</v>
      </c>
    </row>
    <row r="804" spans="1:1" x14ac:dyDescent="0.2">
      <c r="A804" s="91">
        <v>132</v>
      </c>
    </row>
    <row r="805" spans="1:1" x14ac:dyDescent="0.2">
      <c r="A805" s="91">
        <v>524.36</v>
      </c>
    </row>
    <row r="806" spans="1:1" x14ac:dyDescent="0.2">
      <c r="A806" s="91">
        <v>523.91999999999996</v>
      </c>
    </row>
    <row r="807" spans="1:1" x14ac:dyDescent="0.2">
      <c r="A807" s="91">
        <v>759.84</v>
      </c>
    </row>
    <row r="808" spans="1:1" x14ac:dyDescent="0.2">
      <c r="A808" s="91">
        <v>189.96</v>
      </c>
    </row>
    <row r="809" spans="1:1" x14ac:dyDescent="0.2">
      <c r="A809" s="91">
        <v>379.92</v>
      </c>
    </row>
    <row r="810" spans="1:1" x14ac:dyDescent="0.2">
      <c r="A810" s="91">
        <v>3900</v>
      </c>
    </row>
    <row r="811" spans="1:1" x14ac:dyDescent="0.2">
      <c r="A811" s="91">
        <v>264</v>
      </c>
    </row>
    <row r="812" spans="1:1" x14ac:dyDescent="0.2">
      <c r="A812" s="91">
        <v>132</v>
      </c>
    </row>
    <row r="813" spans="1:1" x14ac:dyDescent="0.2">
      <c r="A813" s="91">
        <v>264</v>
      </c>
    </row>
    <row r="814" spans="1:1" x14ac:dyDescent="0.2">
      <c r="A814" s="91">
        <v>174.96</v>
      </c>
    </row>
    <row r="815" spans="1:1" x14ac:dyDescent="0.2">
      <c r="A815" s="91">
        <v>5686.2</v>
      </c>
    </row>
    <row r="816" spans="1:1" x14ac:dyDescent="0.2">
      <c r="A816" s="91">
        <v>612.36</v>
      </c>
    </row>
    <row r="817" spans="1:1" x14ac:dyDescent="0.2">
      <c r="A817" s="91">
        <v>874.8</v>
      </c>
    </row>
    <row r="818" spans="1:1" x14ac:dyDescent="0.2">
      <c r="A818" s="91">
        <v>9854.48</v>
      </c>
    </row>
    <row r="819" spans="1:1" x14ac:dyDescent="0.2">
      <c r="A819" s="91">
        <v>649.9</v>
      </c>
    </row>
    <row r="820" spans="1:1" x14ac:dyDescent="0.2">
      <c r="A820" s="91">
        <v>518.91999999999996</v>
      </c>
    </row>
    <row r="821" spans="1:1" x14ac:dyDescent="0.2">
      <c r="A821" s="91">
        <v>9468.7800000000007</v>
      </c>
    </row>
    <row r="822" spans="1:1" x14ac:dyDescent="0.2">
      <c r="A822" s="91">
        <v>1139.76</v>
      </c>
    </row>
    <row r="823" spans="1:1" x14ac:dyDescent="0.2">
      <c r="A823" s="91">
        <v>759.84</v>
      </c>
    </row>
    <row r="824" spans="1:1" x14ac:dyDescent="0.2">
      <c r="A824" s="91">
        <v>2478</v>
      </c>
    </row>
    <row r="825" spans="1:1" x14ac:dyDescent="0.2">
      <c r="A825" s="91">
        <v>177</v>
      </c>
    </row>
    <row r="826" spans="1:1" x14ac:dyDescent="0.2">
      <c r="A826" s="91">
        <v>176</v>
      </c>
    </row>
    <row r="827" spans="1:1" x14ac:dyDescent="0.2">
      <c r="A827" s="91">
        <v>13000</v>
      </c>
    </row>
    <row r="828" spans="1:1" x14ac:dyDescent="0.2">
      <c r="A828" s="91">
        <v>6500</v>
      </c>
    </row>
    <row r="829" spans="1:1" x14ac:dyDescent="0.2">
      <c r="A829" s="91">
        <v>11897.2</v>
      </c>
    </row>
    <row r="830" spans="1:1" x14ac:dyDescent="0.2">
      <c r="A830" s="91">
        <v>3399.2</v>
      </c>
    </row>
    <row r="831" spans="1:1" x14ac:dyDescent="0.2">
      <c r="A831" s="91">
        <v>3399.2</v>
      </c>
    </row>
    <row r="832" spans="1:1" x14ac:dyDescent="0.2">
      <c r="A832" s="91">
        <v>15417.599999999999</v>
      </c>
    </row>
    <row r="833" spans="1:1" x14ac:dyDescent="0.2">
      <c r="A833" s="91">
        <v>2569.6</v>
      </c>
    </row>
    <row r="834" spans="1:1" x14ac:dyDescent="0.2">
      <c r="A834" s="91">
        <v>2569.6</v>
      </c>
    </row>
    <row r="835" spans="1:1" x14ac:dyDescent="0.2">
      <c r="A835" s="91">
        <v>41351.199999999997</v>
      </c>
    </row>
    <row r="836" spans="1:1" x14ac:dyDescent="0.2">
      <c r="A836" s="91">
        <v>7518.4</v>
      </c>
    </row>
    <row r="837" spans="1:1" x14ac:dyDescent="0.2">
      <c r="A837" s="91">
        <v>4135.12</v>
      </c>
    </row>
    <row r="838" spans="1:1" x14ac:dyDescent="0.2">
      <c r="A838" s="91">
        <v>1406</v>
      </c>
    </row>
    <row r="839" spans="1:1" x14ac:dyDescent="0.2">
      <c r="A839" s="91">
        <v>440.24</v>
      </c>
    </row>
    <row r="840" spans="1:1" x14ac:dyDescent="0.2">
      <c r="A840" s="91">
        <v>1193.6400000000001</v>
      </c>
    </row>
    <row r="841" spans="1:1" x14ac:dyDescent="0.2">
      <c r="A841" s="91">
        <v>2639.56</v>
      </c>
    </row>
    <row r="842" spans="1:1" x14ac:dyDescent="0.2">
      <c r="A842" s="91">
        <v>1188</v>
      </c>
    </row>
    <row r="843" spans="1:1" x14ac:dyDescent="0.2">
      <c r="A843" s="91">
        <v>1188</v>
      </c>
    </row>
    <row r="844" spans="1:1" x14ac:dyDescent="0.2">
      <c r="A844" s="91">
        <v>3499.2</v>
      </c>
    </row>
    <row r="845" spans="1:1" x14ac:dyDescent="0.2">
      <c r="A845" s="91">
        <v>874.8</v>
      </c>
    </row>
    <row r="846" spans="1:1" x14ac:dyDescent="0.2">
      <c r="A846" s="91">
        <v>437.4</v>
      </c>
    </row>
    <row r="847" spans="1:1" x14ac:dyDescent="0.2">
      <c r="A847" s="91">
        <v>6287.0399999999991</v>
      </c>
    </row>
    <row r="848" spans="1:1" x14ac:dyDescent="0.2">
      <c r="A848" s="91">
        <v>392.93999999999994</v>
      </c>
    </row>
    <row r="849" spans="1:1" x14ac:dyDescent="0.2">
      <c r="A849" s="91">
        <v>9308.0400000000009</v>
      </c>
    </row>
    <row r="850" spans="1:1" x14ac:dyDescent="0.2">
      <c r="A850" s="91">
        <v>949.8</v>
      </c>
    </row>
    <row r="851" spans="1:1" x14ac:dyDescent="0.2">
      <c r="A851" s="91">
        <v>1709.64</v>
      </c>
    </row>
    <row r="852" spans="1:1" x14ac:dyDescent="0.2">
      <c r="A852" s="91">
        <v>6785</v>
      </c>
    </row>
    <row r="853" spans="1:1" x14ac:dyDescent="0.2">
      <c r="A853" s="91">
        <v>826</v>
      </c>
    </row>
    <row r="854" spans="1:1" x14ac:dyDescent="0.2">
      <c r="A854" s="91">
        <v>826</v>
      </c>
    </row>
    <row r="855" spans="1:1" x14ac:dyDescent="0.2">
      <c r="A855" s="91">
        <v>88</v>
      </c>
    </row>
    <row r="856" spans="1:1" x14ac:dyDescent="0.2">
      <c r="A856" s="91">
        <v>88</v>
      </c>
    </row>
    <row r="857" spans="1:1" x14ac:dyDescent="0.2">
      <c r="A857" s="91">
        <v>652.5</v>
      </c>
    </row>
    <row r="858" spans="1:1" x14ac:dyDescent="0.2">
      <c r="A858" s="91">
        <v>382.08</v>
      </c>
    </row>
    <row r="859" spans="1:1" x14ac:dyDescent="0.2">
      <c r="A859" s="91">
        <v>720</v>
      </c>
    </row>
    <row r="860" spans="1:1" x14ac:dyDescent="0.2">
      <c r="A860" s="91">
        <v>1432</v>
      </c>
    </row>
    <row r="861" spans="1:1" x14ac:dyDescent="0.2">
      <c r="A861" s="91">
        <v>650</v>
      </c>
    </row>
    <row r="862" spans="1:1" x14ac:dyDescent="0.2">
      <c r="A862" s="91">
        <v>524.88</v>
      </c>
    </row>
    <row r="863" spans="1:1" x14ac:dyDescent="0.2">
      <c r="A863" s="91">
        <v>262.44</v>
      </c>
    </row>
    <row r="864" spans="1:1" x14ac:dyDescent="0.2">
      <c r="A864" s="91">
        <v>87.48</v>
      </c>
    </row>
    <row r="865" spans="1:1" x14ac:dyDescent="0.2">
      <c r="A865" s="91">
        <v>1556.7599999999998</v>
      </c>
    </row>
    <row r="866" spans="1:1" x14ac:dyDescent="0.2">
      <c r="A866" s="91">
        <v>3589.2400000000002</v>
      </c>
    </row>
    <row r="867" spans="1:1" x14ac:dyDescent="0.2">
      <c r="A867" s="91">
        <v>1129.76</v>
      </c>
    </row>
    <row r="868" spans="1:1" x14ac:dyDescent="0.2">
      <c r="A868" s="91">
        <v>2817</v>
      </c>
    </row>
    <row r="869" spans="1:1" x14ac:dyDescent="0.2">
      <c r="A869" s="91">
        <v>1406</v>
      </c>
    </row>
    <row r="870" spans="1:1" x14ac:dyDescent="0.2">
      <c r="A870" s="91">
        <v>637.5</v>
      </c>
    </row>
    <row r="871" spans="1:1" x14ac:dyDescent="0.2">
      <c r="A871" s="91">
        <v>440.24</v>
      </c>
    </row>
    <row r="872" spans="1:1" x14ac:dyDescent="0.2">
      <c r="A872" s="91">
        <v>466.7</v>
      </c>
    </row>
    <row r="873" spans="1:1" x14ac:dyDescent="0.2">
      <c r="A873" s="91">
        <v>1452</v>
      </c>
    </row>
    <row r="874" spans="1:1" x14ac:dyDescent="0.2">
      <c r="A874" s="91">
        <v>132</v>
      </c>
    </row>
    <row r="875" spans="1:1" x14ac:dyDescent="0.2">
      <c r="A875" s="91">
        <v>1063.81</v>
      </c>
    </row>
    <row r="876" spans="1:1" x14ac:dyDescent="0.2">
      <c r="A876" s="91">
        <v>87.48</v>
      </c>
    </row>
    <row r="877" spans="1:1" x14ac:dyDescent="0.2">
      <c r="A877" s="91">
        <v>262.44</v>
      </c>
    </row>
    <row r="878" spans="1:1" x14ac:dyDescent="0.2">
      <c r="A878" s="91">
        <v>1418.9499999999998</v>
      </c>
    </row>
    <row r="879" spans="1:1" x14ac:dyDescent="0.2">
      <c r="A879" s="91">
        <v>261.95999999999998</v>
      </c>
    </row>
    <row r="880" spans="1:1" x14ac:dyDescent="0.2">
      <c r="A880" s="91">
        <v>523.91999999999996</v>
      </c>
    </row>
    <row r="881" spans="1:1" x14ac:dyDescent="0.2">
      <c r="A881" s="91">
        <v>1519.68</v>
      </c>
    </row>
    <row r="882" spans="1:1" x14ac:dyDescent="0.2">
      <c r="A882" s="91">
        <v>569.88</v>
      </c>
    </row>
    <row r="883" spans="1:1" x14ac:dyDescent="0.2">
      <c r="A883" s="91">
        <v>569.88</v>
      </c>
    </row>
    <row r="884" spans="1:1" x14ac:dyDescent="0.2">
      <c r="A884" s="91">
        <v>1888</v>
      </c>
    </row>
    <row r="885" spans="1:1" x14ac:dyDescent="0.2">
      <c r="A885" s="91">
        <v>1711</v>
      </c>
    </row>
    <row r="886" spans="1:1" x14ac:dyDescent="0.2">
      <c r="A886" s="91">
        <v>1711</v>
      </c>
    </row>
    <row r="887" spans="1:1" x14ac:dyDescent="0.2">
      <c r="A887" s="91">
        <v>88</v>
      </c>
    </row>
    <row r="888" spans="1:1" x14ac:dyDescent="0.2">
      <c r="A888" s="91">
        <v>10400</v>
      </c>
    </row>
    <row r="889" spans="1:1" x14ac:dyDescent="0.2">
      <c r="A889" s="91">
        <v>650</v>
      </c>
    </row>
    <row r="890" spans="1:1" x14ac:dyDescent="0.2">
      <c r="A890" s="91">
        <v>650</v>
      </c>
    </row>
    <row r="891" spans="1:1" x14ac:dyDescent="0.2">
      <c r="A891" s="91">
        <v>17856.2</v>
      </c>
    </row>
    <row r="892" spans="1:1" x14ac:dyDescent="0.2">
      <c r="A892" s="91">
        <v>1503.68</v>
      </c>
    </row>
    <row r="893" spans="1:1" x14ac:dyDescent="0.2">
      <c r="A893" s="91">
        <v>375.92</v>
      </c>
    </row>
    <row r="894" spans="1:1" x14ac:dyDescent="0.2">
      <c r="A894" s="91">
        <v>7030</v>
      </c>
    </row>
    <row r="895" spans="1:1" x14ac:dyDescent="0.2">
      <c r="A895" s="91">
        <v>3519.2</v>
      </c>
    </row>
    <row r="896" spans="1:1" x14ac:dyDescent="0.2">
      <c r="A896" s="91">
        <v>509.88</v>
      </c>
    </row>
    <row r="897" spans="1:1" x14ac:dyDescent="0.2">
      <c r="A897" s="91">
        <v>7021.36</v>
      </c>
    </row>
    <row r="898" spans="1:1" x14ac:dyDescent="0.2">
      <c r="A898" s="91">
        <v>1699.6</v>
      </c>
    </row>
    <row r="899" spans="1:1" x14ac:dyDescent="0.2">
      <c r="A899" s="91">
        <v>1699.6</v>
      </c>
    </row>
    <row r="900" spans="1:1" x14ac:dyDescent="0.2">
      <c r="A900" s="91">
        <v>4902.24</v>
      </c>
    </row>
    <row r="901" spans="1:1" x14ac:dyDescent="0.2">
      <c r="A901" s="91">
        <v>949.8</v>
      </c>
    </row>
    <row r="902" spans="1:1" x14ac:dyDescent="0.2">
      <c r="A902" s="91">
        <v>379.92</v>
      </c>
    </row>
    <row r="903" spans="1:1" x14ac:dyDescent="0.2">
      <c r="A903" s="91">
        <v>2645</v>
      </c>
    </row>
    <row r="904" spans="1:1" x14ac:dyDescent="0.2">
      <c r="A904" s="91">
        <v>531</v>
      </c>
    </row>
    <row r="905" spans="1:1" x14ac:dyDescent="0.2">
      <c r="A905" s="91">
        <v>704.1</v>
      </c>
    </row>
    <row r="906" spans="1:1" x14ac:dyDescent="0.2">
      <c r="A906" s="91">
        <v>217.5</v>
      </c>
    </row>
    <row r="907" spans="1:1" x14ac:dyDescent="0.2">
      <c r="A907" s="91">
        <v>2600</v>
      </c>
    </row>
    <row r="908" spans="1:1" x14ac:dyDescent="0.2">
      <c r="A908" s="91">
        <v>19545.400000000001</v>
      </c>
    </row>
    <row r="909" spans="1:1" x14ac:dyDescent="0.2">
      <c r="A909" s="91">
        <v>3399.2</v>
      </c>
    </row>
    <row r="910" spans="1:1" x14ac:dyDescent="0.2">
      <c r="A910" s="91">
        <v>3399.2</v>
      </c>
    </row>
    <row r="911" spans="1:1" x14ac:dyDescent="0.2">
      <c r="A911" s="91">
        <v>30835.199999999997</v>
      </c>
    </row>
    <row r="912" spans="1:1" x14ac:dyDescent="0.2">
      <c r="A912" s="91">
        <v>1798.7199999999998</v>
      </c>
    </row>
    <row r="913" spans="1:1" x14ac:dyDescent="0.2">
      <c r="A913" s="91">
        <v>27254.2</v>
      </c>
    </row>
    <row r="914" spans="1:1" x14ac:dyDescent="0.2">
      <c r="A914" s="91">
        <v>4699</v>
      </c>
    </row>
    <row r="915" spans="1:1" x14ac:dyDescent="0.2">
      <c r="A915" s="91">
        <v>4699</v>
      </c>
    </row>
    <row r="916" spans="1:1" x14ac:dyDescent="0.2">
      <c r="A916" s="91">
        <v>425</v>
      </c>
    </row>
    <row r="917" spans="1:1" x14ac:dyDescent="0.2">
      <c r="A917" s="91">
        <v>436.08</v>
      </c>
    </row>
    <row r="918" spans="1:1" x14ac:dyDescent="0.2">
      <c r="A918" s="91">
        <v>960</v>
      </c>
    </row>
    <row r="919" spans="1:1" x14ac:dyDescent="0.2">
      <c r="A919" s="91">
        <v>260</v>
      </c>
    </row>
    <row r="920" spans="1:1" x14ac:dyDescent="0.2">
      <c r="A920" s="91">
        <v>349.92</v>
      </c>
    </row>
    <row r="921" spans="1:1" x14ac:dyDescent="0.2">
      <c r="A921" s="91">
        <v>1294.8</v>
      </c>
    </row>
    <row r="922" spans="1:1" x14ac:dyDescent="0.2">
      <c r="A922" s="91">
        <v>5828.76</v>
      </c>
    </row>
    <row r="923" spans="1:1" x14ac:dyDescent="0.2">
      <c r="A923" s="91">
        <v>187.96</v>
      </c>
    </row>
    <row r="924" spans="1:1" x14ac:dyDescent="0.2">
      <c r="A924" s="91">
        <v>375.92</v>
      </c>
    </row>
    <row r="925" spans="1:1" x14ac:dyDescent="0.2">
      <c r="A925" s="91">
        <v>2114</v>
      </c>
    </row>
    <row r="926" spans="1:1" x14ac:dyDescent="0.2">
      <c r="A926" s="91">
        <v>349</v>
      </c>
    </row>
    <row r="927" spans="1:1" x14ac:dyDescent="0.2">
      <c r="A927" s="91">
        <v>472</v>
      </c>
    </row>
    <row r="928" spans="1:1" x14ac:dyDescent="0.2">
      <c r="A928" s="91">
        <v>471.64</v>
      </c>
    </row>
    <row r="929" spans="1:1" x14ac:dyDescent="0.2">
      <c r="A929" s="91">
        <v>1040</v>
      </c>
    </row>
    <row r="930" spans="1:1" x14ac:dyDescent="0.2">
      <c r="A930" s="91">
        <v>849.8</v>
      </c>
    </row>
    <row r="931" spans="1:1" x14ac:dyDescent="0.2">
      <c r="A931" s="91">
        <v>24814.16</v>
      </c>
    </row>
    <row r="932" spans="1:1" x14ac:dyDescent="0.2">
      <c r="A932" s="91">
        <v>4758.88</v>
      </c>
    </row>
    <row r="933" spans="1:1" x14ac:dyDescent="0.2">
      <c r="A933" s="91">
        <v>2039.52</v>
      </c>
    </row>
    <row r="934" spans="1:1" x14ac:dyDescent="0.2">
      <c r="A934" s="91">
        <v>24668.159999999996</v>
      </c>
    </row>
    <row r="935" spans="1:1" x14ac:dyDescent="0.2">
      <c r="A935" s="91">
        <v>3083.5199999999995</v>
      </c>
    </row>
    <row r="936" spans="1:1" x14ac:dyDescent="0.2">
      <c r="A936" s="91">
        <v>770.87999999999988</v>
      </c>
    </row>
    <row r="937" spans="1:1" x14ac:dyDescent="0.2">
      <c r="A937" s="91">
        <v>7330.44</v>
      </c>
    </row>
    <row r="938" spans="1:1" x14ac:dyDescent="0.2">
      <c r="A938" s="91">
        <v>187.96</v>
      </c>
    </row>
    <row r="939" spans="1:1" x14ac:dyDescent="0.2">
      <c r="A939" s="91">
        <v>2109</v>
      </c>
    </row>
    <row r="940" spans="1:1" x14ac:dyDescent="0.2">
      <c r="A940" s="91">
        <v>703</v>
      </c>
    </row>
    <row r="941" spans="1:1" x14ac:dyDescent="0.2">
      <c r="A941" s="91">
        <v>1063.68</v>
      </c>
    </row>
    <row r="942" spans="1:1" x14ac:dyDescent="0.2">
      <c r="A942" s="91">
        <v>240</v>
      </c>
    </row>
    <row r="943" spans="1:1" x14ac:dyDescent="0.2">
      <c r="A943" s="91">
        <v>1188</v>
      </c>
    </row>
    <row r="944" spans="1:1" x14ac:dyDescent="0.2">
      <c r="A944" s="91">
        <v>131.13999999999999</v>
      </c>
    </row>
    <row r="945" spans="1:1" x14ac:dyDescent="0.2">
      <c r="A945" s="91">
        <v>7260.84</v>
      </c>
    </row>
    <row r="946" spans="1:1" x14ac:dyDescent="0.2">
      <c r="A946" s="91">
        <v>1924.56</v>
      </c>
    </row>
    <row r="947" spans="1:1" x14ac:dyDescent="0.2">
      <c r="A947" s="91">
        <v>1487.16</v>
      </c>
    </row>
    <row r="948" spans="1:1" x14ac:dyDescent="0.2">
      <c r="A948" s="91">
        <v>7989.78</v>
      </c>
    </row>
    <row r="949" spans="1:1" x14ac:dyDescent="0.2">
      <c r="A949" s="91">
        <v>392.93999999999994</v>
      </c>
    </row>
    <row r="950" spans="1:1" x14ac:dyDescent="0.2">
      <c r="A950" s="91">
        <v>392.93999999999994</v>
      </c>
    </row>
    <row r="951" spans="1:1" x14ac:dyDescent="0.2">
      <c r="A951" s="91">
        <v>5508.84</v>
      </c>
    </row>
    <row r="952" spans="1:1" x14ac:dyDescent="0.2">
      <c r="A952" s="91">
        <v>569.88</v>
      </c>
    </row>
    <row r="953" spans="1:1" x14ac:dyDescent="0.2">
      <c r="A953" s="91">
        <v>569.88</v>
      </c>
    </row>
    <row r="954" spans="1:1" x14ac:dyDescent="0.2">
      <c r="A954" s="91">
        <v>4425</v>
      </c>
    </row>
    <row r="955" spans="1:1" x14ac:dyDescent="0.2">
      <c r="A955" s="91">
        <v>177</v>
      </c>
    </row>
    <row r="956" spans="1:1" x14ac:dyDescent="0.2">
      <c r="A956" s="91">
        <v>1003</v>
      </c>
    </row>
    <row r="957" spans="1:1" x14ac:dyDescent="0.2">
      <c r="A957" s="91">
        <v>191.04</v>
      </c>
    </row>
    <row r="958" spans="1:1" x14ac:dyDescent="0.2">
      <c r="A958" s="91">
        <v>1680</v>
      </c>
    </row>
    <row r="959" spans="1:1" x14ac:dyDescent="0.2">
      <c r="A959" s="91">
        <v>132</v>
      </c>
    </row>
    <row r="960" spans="1:1" x14ac:dyDescent="0.2">
      <c r="A960" s="91">
        <v>3486.68</v>
      </c>
    </row>
    <row r="961" spans="1:1" x14ac:dyDescent="0.2">
      <c r="A961" s="91">
        <v>849.8</v>
      </c>
    </row>
    <row r="962" spans="1:1" x14ac:dyDescent="0.2">
      <c r="A962" s="91">
        <v>937.28</v>
      </c>
    </row>
    <row r="963" spans="1:1" x14ac:dyDescent="0.2">
      <c r="A963" s="91">
        <v>6814.3399999999992</v>
      </c>
    </row>
    <row r="964" spans="1:1" x14ac:dyDescent="0.2">
      <c r="A964" s="91">
        <v>130.97999999999999</v>
      </c>
    </row>
    <row r="965" spans="1:1" x14ac:dyDescent="0.2">
      <c r="A965" s="91">
        <v>189.96</v>
      </c>
    </row>
    <row r="966" spans="1:1" x14ac:dyDescent="0.2">
      <c r="A966" s="91">
        <v>189.96</v>
      </c>
    </row>
    <row r="967" spans="1:1" x14ac:dyDescent="0.2">
      <c r="A967" s="91">
        <v>16250</v>
      </c>
    </row>
    <row r="968" spans="1:1" x14ac:dyDescent="0.2">
      <c r="A968" s="91">
        <v>4550</v>
      </c>
    </row>
    <row r="969" spans="1:1" x14ac:dyDescent="0.2">
      <c r="A969" s="91">
        <v>3900</v>
      </c>
    </row>
    <row r="970" spans="1:1" x14ac:dyDescent="0.2">
      <c r="A970" s="91">
        <v>23495</v>
      </c>
    </row>
    <row r="971" spans="1:1" x14ac:dyDescent="0.2">
      <c r="A971" s="91">
        <v>4699</v>
      </c>
    </row>
    <row r="972" spans="1:1" x14ac:dyDescent="0.2">
      <c r="A972" s="91">
        <v>4699</v>
      </c>
    </row>
    <row r="973" spans="1:1" x14ac:dyDescent="0.2">
      <c r="A973" s="91">
        <v>7030</v>
      </c>
    </row>
    <row r="974" spans="1:1" x14ac:dyDescent="0.2">
      <c r="A974" s="91">
        <v>1406</v>
      </c>
    </row>
    <row r="975" spans="1:1" x14ac:dyDescent="0.2">
      <c r="A975" s="91">
        <v>1406</v>
      </c>
    </row>
    <row r="976" spans="1:1" x14ac:dyDescent="0.2">
      <c r="A976" s="91">
        <v>947</v>
      </c>
    </row>
    <row r="977" spans="1:1" x14ac:dyDescent="0.2">
      <c r="A977" s="91">
        <v>3900</v>
      </c>
    </row>
    <row r="978" spans="1:1" x14ac:dyDescent="0.2">
      <c r="A978" s="91">
        <v>1300</v>
      </c>
    </row>
    <row r="979" spans="1:1" x14ac:dyDescent="0.2">
      <c r="A979" s="91">
        <v>21245</v>
      </c>
    </row>
    <row r="980" spans="1:1" x14ac:dyDescent="0.2">
      <c r="A980" s="91">
        <v>4249</v>
      </c>
    </row>
    <row r="981" spans="1:1" x14ac:dyDescent="0.2">
      <c r="A981" s="91">
        <v>3399.2</v>
      </c>
    </row>
    <row r="982" spans="1:1" x14ac:dyDescent="0.2">
      <c r="A982" s="91">
        <v>12847.999999999998</v>
      </c>
    </row>
    <row r="983" spans="1:1" x14ac:dyDescent="0.2">
      <c r="A983" s="91">
        <v>1541.7599999999998</v>
      </c>
    </row>
    <row r="984" spans="1:1" x14ac:dyDescent="0.2">
      <c r="A984" s="91">
        <v>1541.7599999999998</v>
      </c>
    </row>
    <row r="985" spans="1:1" x14ac:dyDescent="0.2">
      <c r="A985" s="91">
        <v>4886.96</v>
      </c>
    </row>
    <row r="986" spans="1:1" x14ac:dyDescent="0.2">
      <c r="A986" s="91">
        <v>939.8</v>
      </c>
    </row>
    <row r="987" spans="1:1" x14ac:dyDescent="0.2">
      <c r="A987" s="91">
        <v>4218.5200000000004</v>
      </c>
    </row>
    <row r="988" spans="1:1" x14ac:dyDescent="0.2">
      <c r="A988" s="91">
        <v>708</v>
      </c>
    </row>
    <row r="989" spans="1:1" x14ac:dyDescent="0.2">
      <c r="A989" s="91">
        <v>240</v>
      </c>
    </row>
    <row r="990" spans="1:1" x14ac:dyDescent="0.2">
      <c r="A990" s="91">
        <v>3828</v>
      </c>
    </row>
    <row r="991" spans="1:1" x14ac:dyDescent="0.2">
      <c r="A991" s="91">
        <v>1848</v>
      </c>
    </row>
    <row r="992" spans="1:1" x14ac:dyDescent="0.2">
      <c r="A992" s="91">
        <v>1188</v>
      </c>
    </row>
    <row r="993" spans="1:1" x14ac:dyDescent="0.2">
      <c r="A993" s="91">
        <v>2886.84</v>
      </c>
    </row>
    <row r="994" spans="1:1" x14ac:dyDescent="0.2">
      <c r="A994" s="91">
        <v>437.4</v>
      </c>
    </row>
    <row r="995" spans="1:1" x14ac:dyDescent="0.2">
      <c r="A995" s="91">
        <v>349.92</v>
      </c>
    </row>
    <row r="996" spans="1:1" x14ac:dyDescent="0.2">
      <c r="A996" s="91">
        <v>5758.12</v>
      </c>
    </row>
    <row r="997" spans="1:1" x14ac:dyDescent="0.2">
      <c r="A997" s="91">
        <v>785.87999999999988</v>
      </c>
    </row>
    <row r="998" spans="1:1" x14ac:dyDescent="0.2">
      <c r="A998" s="91">
        <v>5888.76</v>
      </c>
    </row>
    <row r="999" spans="1:1" x14ac:dyDescent="0.2">
      <c r="A999" s="91">
        <v>2849.4</v>
      </c>
    </row>
    <row r="1000" spans="1:1" x14ac:dyDescent="0.2">
      <c r="A1000" s="91">
        <v>1709.64</v>
      </c>
    </row>
    <row r="1001" spans="1:1" x14ac:dyDescent="0.2">
      <c r="A1001" s="91">
        <v>2065</v>
      </c>
    </row>
    <row r="1002" spans="1:1" x14ac:dyDescent="0.2">
      <c r="A1002" s="91">
        <v>1239</v>
      </c>
    </row>
    <row r="1003" spans="1:1" x14ac:dyDescent="0.2">
      <c r="A1003" s="91">
        <v>1593</v>
      </c>
    </row>
    <row r="1004" spans="1:1" x14ac:dyDescent="0.2">
      <c r="A1004" s="91">
        <v>207</v>
      </c>
    </row>
    <row r="1005" spans="1:1" x14ac:dyDescent="0.2">
      <c r="A1005" s="91">
        <v>69</v>
      </c>
    </row>
    <row r="1006" spans="1:1" x14ac:dyDescent="0.2">
      <c r="A1006" s="91">
        <v>88</v>
      </c>
    </row>
    <row r="1007" spans="1:1" x14ac:dyDescent="0.2">
      <c r="A1007" s="91">
        <v>88</v>
      </c>
    </row>
    <row r="1008" spans="1:1" x14ac:dyDescent="0.2">
      <c r="A1008" s="91">
        <v>435</v>
      </c>
    </row>
    <row r="1009" spans="1:1" x14ac:dyDescent="0.2">
      <c r="A1009" s="91">
        <v>191.04</v>
      </c>
    </row>
    <row r="1010" spans="1:1" x14ac:dyDescent="0.2">
      <c r="A1010" s="91">
        <v>960</v>
      </c>
    </row>
    <row r="1011" spans="1:1" x14ac:dyDescent="0.2">
      <c r="A1011" s="91">
        <v>147</v>
      </c>
    </row>
    <row r="1012" spans="1:1" x14ac:dyDescent="0.2">
      <c r="A1012" s="91">
        <v>3250</v>
      </c>
    </row>
    <row r="1013" spans="1:1" x14ac:dyDescent="0.2">
      <c r="A1013" s="91">
        <v>650</v>
      </c>
    </row>
    <row r="1014" spans="1:1" x14ac:dyDescent="0.2">
      <c r="A1014" s="91">
        <v>22094.799999999999</v>
      </c>
    </row>
    <row r="1015" spans="1:1" x14ac:dyDescent="0.2">
      <c r="A1015" s="91">
        <v>2379.44</v>
      </c>
    </row>
    <row r="1016" spans="1:1" x14ac:dyDescent="0.2">
      <c r="A1016" s="91">
        <v>2209.48</v>
      </c>
    </row>
    <row r="1017" spans="1:1" x14ac:dyDescent="0.2">
      <c r="A1017" s="91">
        <v>13875.839999999998</v>
      </c>
    </row>
    <row r="1018" spans="1:1" x14ac:dyDescent="0.2">
      <c r="A1018" s="91">
        <v>1027.8399999999999</v>
      </c>
    </row>
    <row r="1019" spans="1:1" x14ac:dyDescent="0.2">
      <c r="A1019" s="91">
        <v>513.91999999999996</v>
      </c>
    </row>
    <row r="1020" spans="1:1" x14ac:dyDescent="0.2">
      <c r="A1020" s="91">
        <v>21615.4</v>
      </c>
    </row>
    <row r="1021" spans="1:1" x14ac:dyDescent="0.2">
      <c r="A1021" s="91">
        <v>737.08</v>
      </c>
    </row>
    <row r="1022" spans="1:1" x14ac:dyDescent="0.2">
      <c r="A1022" s="91">
        <v>4218</v>
      </c>
    </row>
    <row r="1023" spans="1:1" x14ac:dyDescent="0.2">
      <c r="A1023" s="91">
        <v>706.12</v>
      </c>
    </row>
    <row r="1024" spans="1:1" x14ac:dyDescent="0.2">
      <c r="A1024" s="91">
        <v>276</v>
      </c>
    </row>
    <row r="1025" spans="1:1" x14ac:dyDescent="0.2">
      <c r="A1025" s="91">
        <v>616</v>
      </c>
    </row>
    <row r="1026" spans="1:1" x14ac:dyDescent="0.2">
      <c r="A1026" s="91">
        <v>440.00000000000006</v>
      </c>
    </row>
    <row r="1027" spans="1:1" x14ac:dyDescent="0.2">
      <c r="A1027" s="91">
        <v>382.08</v>
      </c>
    </row>
    <row r="1028" spans="1:1" x14ac:dyDescent="0.2">
      <c r="A1028" s="91">
        <v>930</v>
      </c>
    </row>
    <row r="1029" spans="1:1" x14ac:dyDescent="0.2">
      <c r="A1029" s="91">
        <v>396</v>
      </c>
    </row>
    <row r="1030" spans="1:1" x14ac:dyDescent="0.2">
      <c r="A1030" s="91">
        <v>87</v>
      </c>
    </row>
    <row r="1031" spans="1:1" x14ac:dyDescent="0.2">
      <c r="A1031" s="91">
        <v>87.48</v>
      </c>
    </row>
    <row r="1032" spans="1:1" x14ac:dyDescent="0.2">
      <c r="A1032" s="91">
        <v>1571.7599999999998</v>
      </c>
    </row>
    <row r="1033" spans="1:1" x14ac:dyDescent="0.2">
      <c r="A1033" s="91">
        <v>379.92</v>
      </c>
    </row>
    <row r="1034" spans="1:1" x14ac:dyDescent="0.2">
      <c r="A1034" s="91">
        <v>569.88</v>
      </c>
    </row>
    <row r="1035" spans="1:1" x14ac:dyDescent="0.2">
      <c r="A1035" s="91">
        <v>189.96</v>
      </c>
    </row>
    <row r="1036" spans="1:1" x14ac:dyDescent="0.2">
      <c r="A1036" s="91">
        <v>177</v>
      </c>
    </row>
    <row r="1037" spans="1:1" x14ac:dyDescent="0.2">
      <c r="A1037" s="91">
        <v>177</v>
      </c>
    </row>
    <row r="1038" spans="1:1" x14ac:dyDescent="0.2">
      <c r="A1038" s="91">
        <v>4140</v>
      </c>
    </row>
    <row r="1039" spans="1:1" x14ac:dyDescent="0.2">
      <c r="A1039" s="91">
        <v>88</v>
      </c>
    </row>
    <row r="1040" spans="1:1" x14ac:dyDescent="0.2">
      <c r="A1040" s="91">
        <v>88</v>
      </c>
    </row>
    <row r="1041" spans="1:1" x14ac:dyDescent="0.2">
      <c r="A1041" s="91">
        <v>2205</v>
      </c>
    </row>
    <row r="1042" spans="1:1" x14ac:dyDescent="0.2">
      <c r="A1042" s="91">
        <v>1452</v>
      </c>
    </row>
    <row r="1043" spans="1:1" x14ac:dyDescent="0.2">
      <c r="A1043" s="91">
        <v>792</v>
      </c>
    </row>
    <row r="1044" spans="1:1" x14ac:dyDescent="0.2">
      <c r="A1044" s="91">
        <v>132</v>
      </c>
    </row>
    <row r="1045" spans="1:1" x14ac:dyDescent="0.2">
      <c r="A1045" s="91">
        <v>698.88</v>
      </c>
    </row>
    <row r="1046" spans="1:1" x14ac:dyDescent="0.2">
      <c r="A1046" s="91">
        <v>174.96</v>
      </c>
    </row>
    <row r="1047" spans="1:1" x14ac:dyDescent="0.2">
      <c r="A1047" s="91">
        <v>174.96</v>
      </c>
    </row>
    <row r="1048" spans="1:1" x14ac:dyDescent="0.2">
      <c r="A1048" s="91">
        <v>3039.36</v>
      </c>
    </row>
    <row r="1049" spans="1:1" x14ac:dyDescent="0.2">
      <c r="A1049" s="91">
        <v>379.92</v>
      </c>
    </row>
    <row r="1050" spans="1:1" x14ac:dyDescent="0.2">
      <c r="A1050" s="91">
        <v>379.92</v>
      </c>
    </row>
    <row r="1051" spans="1:1" x14ac:dyDescent="0.2">
      <c r="A1051" s="91">
        <v>552</v>
      </c>
    </row>
    <row r="1052" spans="1:1" x14ac:dyDescent="0.2">
      <c r="A1052" s="91">
        <v>552</v>
      </c>
    </row>
    <row r="1053" spans="1:1" x14ac:dyDescent="0.2">
      <c r="A1053" s="91">
        <v>792</v>
      </c>
    </row>
    <row r="1054" spans="1:1" x14ac:dyDescent="0.2">
      <c r="A1054" s="91">
        <v>264</v>
      </c>
    </row>
    <row r="1055" spans="1:1" x14ac:dyDescent="0.2">
      <c r="A1055" s="91">
        <v>132</v>
      </c>
    </row>
    <row r="1056" spans="1:1" x14ac:dyDescent="0.2">
      <c r="A1056" s="91">
        <v>174.96</v>
      </c>
    </row>
    <row r="1057" spans="1:1" x14ac:dyDescent="0.2">
      <c r="A1057" s="91">
        <v>1034.76</v>
      </c>
    </row>
    <row r="1058" spans="1:1" x14ac:dyDescent="0.2">
      <c r="A1058" s="91">
        <v>1566.7599999999998</v>
      </c>
    </row>
    <row r="1059" spans="1:1" x14ac:dyDescent="0.2">
      <c r="A1059" s="91">
        <v>130.97999999999999</v>
      </c>
    </row>
    <row r="1060" spans="1:1" x14ac:dyDescent="0.2">
      <c r="A1060" s="91">
        <v>130.97999999999999</v>
      </c>
    </row>
    <row r="1061" spans="1:1" x14ac:dyDescent="0.2">
      <c r="A1061" s="91">
        <v>3399.28</v>
      </c>
    </row>
    <row r="1062" spans="1:1" x14ac:dyDescent="0.2">
      <c r="A1062" s="91">
        <v>939.8</v>
      </c>
    </row>
    <row r="1063" spans="1:1" x14ac:dyDescent="0.2">
      <c r="A1063" s="91">
        <v>939.8</v>
      </c>
    </row>
    <row r="1064" spans="1:1" x14ac:dyDescent="0.2">
      <c r="A1064" s="91">
        <v>3348</v>
      </c>
    </row>
    <row r="1065" spans="1:1" x14ac:dyDescent="0.2">
      <c r="A1065" s="91">
        <v>59</v>
      </c>
    </row>
    <row r="1066" spans="1:1" x14ac:dyDescent="0.2">
      <c r="A1066" s="91">
        <v>176</v>
      </c>
    </row>
    <row r="1067" spans="1:1" x14ac:dyDescent="0.2">
      <c r="A1067" s="91">
        <v>3526.68</v>
      </c>
    </row>
    <row r="1068" spans="1:1" x14ac:dyDescent="0.2">
      <c r="A1068" s="91">
        <v>1716</v>
      </c>
    </row>
    <row r="1069" spans="1:1" x14ac:dyDescent="0.2">
      <c r="A1069" s="91">
        <v>924</v>
      </c>
    </row>
    <row r="1070" spans="1:1" x14ac:dyDescent="0.2">
      <c r="A1070" s="91">
        <v>528</v>
      </c>
    </row>
    <row r="1071" spans="1:1" x14ac:dyDescent="0.2">
      <c r="A1071" s="91">
        <v>262.27999999999997</v>
      </c>
    </row>
    <row r="1072" spans="1:1" x14ac:dyDescent="0.2">
      <c r="A1072" s="91">
        <v>2274.48</v>
      </c>
    </row>
    <row r="1073" spans="1:1" x14ac:dyDescent="0.2">
      <c r="A1073" s="91">
        <v>699.84</v>
      </c>
    </row>
    <row r="1074" spans="1:1" x14ac:dyDescent="0.2">
      <c r="A1074" s="91">
        <v>262.44</v>
      </c>
    </row>
    <row r="1075" spans="1:1" x14ac:dyDescent="0.2">
      <c r="A1075" s="91">
        <v>3536.4599999999996</v>
      </c>
    </row>
    <row r="1076" spans="1:1" x14ac:dyDescent="0.2">
      <c r="A1076" s="91">
        <v>392.93999999999994</v>
      </c>
    </row>
    <row r="1077" spans="1:1" x14ac:dyDescent="0.2">
      <c r="A1077" s="91">
        <v>261.95999999999998</v>
      </c>
    </row>
    <row r="1078" spans="1:1" x14ac:dyDescent="0.2">
      <c r="A1078" s="91">
        <v>4938.96</v>
      </c>
    </row>
    <row r="1079" spans="1:1" x14ac:dyDescent="0.2">
      <c r="A1079" s="91">
        <v>1709.64</v>
      </c>
    </row>
    <row r="1080" spans="1:1" x14ac:dyDescent="0.2">
      <c r="A1080" s="91">
        <v>759.84</v>
      </c>
    </row>
    <row r="1081" spans="1:1" x14ac:dyDescent="0.2">
      <c r="A1081" s="91">
        <v>3186</v>
      </c>
    </row>
    <row r="1082" spans="1:1" x14ac:dyDescent="0.2">
      <c r="A1082" s="91">
        <v>354</v>
      </c>
    </row>
    <row r="1083" spans="1:1" x14ac:dyDescent="0.2">
      <c r="A1083" s="91">
        <v>708</v>
      </c>
    </row>
    <row r="1084" spans="1:1" x14ac:dyDescent="0.2">
      <c r="A1084" s="91">
        <v>88</v>
      </c>
    </row>
    <row r="1085" spans="1:1" x14ac:dyDescent="0.2">
      <c r="A1085" s="91">
        <v>88</v>
      </c>
    </row>
    <row r="1086" spans="1:1" x14ac:dyDescent="0.2">
      <c r="A1086" s="91">
        <v>435</v>
      </c>
    </row>
    <row r="1087" spans="1:1" x14ac:dyDescent="0.2">
      <c r="A1087" s="91">
        <v>225.12</v>
      </c>
    </row>
    <row r="1088" spans="1:1" x14ac:dyDescent="0.2">
      <c r="A1088" s="91">
        <v>191.04</v>
      </c>
    </row>
    <row r="1089" spans="1:1" x14ac:dyDescent="0.2">
      <c r="A1089" s="91">
        <v>6500</v>
      </c>
    </row>
    <row r="1090" spans="1:1" x14ac:dyDescent="0.2">
      <c r="A1090" s="91">
        <v>2080</v>
      </c>
    </row>
    <row r="1091" spans="1:1" x14ac:dyDescent="0.2">
      <c r="A1091" s="91">
        <v>780</v>
      </c>
    </row>
    <row r="1092" spans="1:1" x14ac:dyDescent="0.2">
      <c r="A1092" s="91">
        <v>21245</v>
      </c>
    </row>
    <row r="1093" spans="1:1" x14ac:dyDescent="0.2">
      <c r="A1093" s="91">
        <v>6798.4</v>
      </c>
    </row>
    <row r="1094" spans="1:1" x14ac:dyDescent="0.2">
      <c r="A1094" s="91">
        <v>849.8</v>
      </c>
    </row>
    <row r="1095" spans="1:1" x14ac:dyDescent="0.2">
      <c r="A1095" s="91">
        <v>19785.919999999998</v>
      </c>
    </row>
    <row r="1096" spans="1:1" x14ac:dyDescent="0.2">
      <c r="A1096" s="91">
        <v>2055.6799999999998</v>
      </c>
    </row>
    <row r="1097" spans="1:1" x14ac:dyDescent="0.2">
      <c r="A1097" s="91">
        <v>33832.800000000003</v>
      </c>
    </row>
    <row r="1098" spans="1:1" x14ac:dyDescent="0.2">
      <c r="A1098" s="91">
        <v>8458.2000000000007</v>
      </c>
    </row>
    <row r="1099" spans="1:1" x14ac:dyDescent="0.2">
      <c r="A1099" s="91">
        <v>939.8</v>
      </c>
    </row>
    <row r="1100" spans="1:1" x14ac:dyDescent="0.2">
      <c r="A1100" s="91">
        <v>18278</v>
      </c>
    </row>
    <row r="1101" spans="1:1" x14ac:dyDescent="0.2">
      <c r="A1101" s="91">
        <v>1406</v>
      </c>
    </row>
    <row r="1102" spans="1:1" x14ac:dyDescent="0.2">
      <c r="A1102" s="91">
        <v>2109</v>
      </c>
    </row>
    <row r="1103" spans="1:1" x14ac:dyDescent="0.2">
      <c r="A1103" s="91">
        <v>425</v>
      </c>
    </row>
    <row r="1104" spans="1:1" x14ac:dyDescent="0.2">
      <c r="A1104" s="91">
        <v>2366.4</v>
      </c>
    </row>
    <row r="1105" spans="1:1" x14ac:dyDescent="0.2">
      <c r="A1105" s="91">
        <v>924</v>
      </c>
    </row>
    <row r="1106" spans="1:1" x14ac:dyDescent="0.2">
      <c r="A1106" s="91">
        <v>132</v>
      </c>
    </row>
    <row r="1107" spans="1:1" x14ac:dyDescent="0.2">
      <c r="A1107" s="91">
        <v>132</v>
      </c>
    </row>
    <row r="1108" spans="1:1" x14ac:dyDescent="0.2">
      <c r="A1108" s="91">
        <v>5423.38</v>
      </c>
    </row>
    <row r="1109" spans="1:1" x14ac:dyDescent="0.2">
      <c r="A1109" s="91">
        <v>1049.76</v>
      </c>
    </row>
    <row r="1110" spans="1:1" x14ac:dyDescent="0.2">
      <c r="A1110" s="91">
        <v>699.84</v>
      </c>
    </row>
    <row r="1111" spans="1:1" x14ac:dyDescent="0.2">
      <c r="A1111" s="91">
        <v>4846.2599999999993</v>
      </c>
    </row>
    <row r="1112" spans="1:1" x14ac:dyDescent="0.2">
      <c r="A1112" s="91">
        <v>1178.82</v>
      </c>
    </row>
    <row r="1113" spans="1:1" x14ac:dyDescent="0.2">
      <c r="A1113" s="91">
        <v>654.9</v>
      </c>
    </row>
    <row r="1114" spans="1:1" x14ac:dyDescent="0.2">
      <c r="A1114" s="91">
        <v>7788.36</v>
      </c>
    </row>
    <row r="1115" spans="1:1" x14ac:dyDescent="0.2">
      <c r="A1115" s="91">
        <v>1519.68</v>
      </c>
    </row>
    <row r="1116" spans="1:1" x14ac:dyDescent="0.2">
      <c r="A1116" s="91">
        <v>1329.72</v>
      </c>
    </row>
    <row r="1117" spans="1:1" x14ac:dyDescent="0.2">
      <c r="A1117" s="91">
        <v>5900</v>
      </c>
    </row>
    <row r="1118" spans="1:1" x14ac:dyDescent="0.2">
      <c r="A1118" s="91">
        <v>944</v>
      </c>
    </row>
    <row r="1119" spans="1:1" x14ac:dyDescent="0.2">
      <c r="A1119" s="91">
        <v>236</v>
      </c>
    </row>
    <row r="1120" spans="1:1" x14ac:dyDescent="0.2">
      <c r="A1120" s="91">
        <v>69</v>
      </c>
    </row>
    <row r="1121" spans="1:1" x14ac:dyDescent="0.2">
      <c r="A1121" s="91">
        <v>264</v>
      </c>
    </row>
    <row r="1122" spans="1:1" x14ac:dyDescent="0.2">
      <c r="A1122" s="91">
        <v>264</v>
      </c>
    </row>
    <row r="1123" spans="1:1" x14ac:dyDescent="0.2">
      <c r="A1123" s="91">
        <v>435</v>
      </c>
    </row>
    <row r="1124" spans="1:1" x14ac:dyDescent="0.2">
      <c r="A1124" s="91">
        <v>2251.2000000000003</v>
      </c>
    </row>
    <row r="1125" spans="1:1" x14ac:dyDescent="0.2">
      <c r="A1125" s="91">
        <v>382.08</v>
      </c>
    </row>
    <row r="1126" spans="1:1" x14ac:dyDescent="0.2">
      <c r="A1126" s="91">
        <v>132</v>
      </c>
    </row>
    <row r="1127" spans="1:1" x14ac:dyDescent="0.2">
      <c r="A1127" s="91">
        <v>132</v>
      </c>
    </row>
    <row r="1128" spans="1:1" x14ac:dyDescent="0.2">
      <c r="A1128" s="91">
        <v>612.36</v>
      </c>
    </row>
    <row r="1129" spans="1:1" x14ac:dyDescent="0.2">
      <c r="A1129" s="91">
        <v>262.44</v>
      </c>
    </row>
    <row r="1130" spans="1:1" x14ac:dyDescent="0.2">
      <c r="A1130" s="91">
        <v>174.96</v>
      </c>
    </row>
    <row r="1131" spans="1:1" x14ac:dyDescent="0.2">
      <c r="A1131" s="91">
        <v>6813.4</v>
      </c>
    </row>
    <row r="1132" spans="1:1" x14ac:dyDescent="0.2">
      <c r="A1132" s="91">
        <v>4179.12</v>
      </c>
    </row>
    <row r="1133" spans="1:1" x14ac:dyDescent="0.2">
      <c r="A1133" s="91">
        <v>189.96</v>
      </c>
    </row>
    <row r="1134" spans="1:1" x14ac:dyDescent="0.2">
      <c r="A1134" s="91">
        <v>379.92</v>
      </c>
    </row>
    <row r="1135" spans="1:1" x14ac:dyDescent="0.2">
      <c r="A1135" s="91">
        <v>1350.72</v>
      </c>
    </row>
    <row r="1136" spans="1:1" x14ac:dyDescent="0.2">
      <c r="A1136" s="91">
        <v>573.12</v>
      </c>
    </row>
    <row r="1137" spans="1:1" x14ac:dyDescent="0.2">
      <c r="A1137" s="91">
        <v>264</v>
      </c>
    </row>
    <row r="1138" spans="1:1" x14ac:dyDescent="0.2">
      <c r="A1138" s="91">
        <v>174.04000000000002</v>
      </c>
    </row>
    <row r="1139" spans="1:1" x14ac:dyDescent="0.2">
      <c r="A1139" s="91">
        <v>261.95999999999998</v>
      </c>
    </row>
    <row r="1140" spans="1:1" x14ac:dyDescent="0.2">
      <c r="A1140" s="91">
        <v>914</v>
      </c>
    </row>
    <row r="1141" spans="1:1" x14ac:dyDescent="0.2">
      <c r="A1141" s="91">
        <v>5038.84</v>
      </c>
    </row>
    <row r="1142" spans="1:1" x14ac:dyDescent="0.2">
      <c r="A1142" s="91">
        <v>1302.2</v>
      </c>
    </row>
    <row r="1143" spans="1:1" x14ac:dyDescent="0.2">
      <c r="A1143" s="91">
        <v>432.4</v>
      </c>
    </row>
    <row r="1144" spans="1:1" x14ac:dyDescent="0.2">
      <c r="A1144" s="91">
        <v>1702.7399999999998</v>
      </c>
    </row>
    <row r="1145" spans="1:1" x14ac:dyDescent="0.2">
      <c r="A1145" s="91">
        <v>4549.04</v>
      </c>
    </row>
    <row r="1146" spans="1:1" x14ac:dyDescent="0.2">
      <c r="A1146" s="91">
        <v>189.96</v>
      </c>
    </row>
    <row r="1147" spans="1:1" x14ac:dyDescent="0.2">
      <c r="A1147" s="91">
        <v>379.92</v>
      </c>
    </row>
    <row r="1148" spans="1:1" x14ac:dyDescent="0.2">
      <c r="A1148" s="91">
        <v>2937.74</v>
      </c>
    </row>
    <row r="1149" spans="1:1" x14ac:dyDescent="0.2">
      <c r="A1149" s="91">
        <v>118</v>
      </c>
    </row>
    <row r="1150" spans="1:1" x14ac:dyDescent="0.2">
      <c r="A1150" s="91">
        <v>59</v>
      </c>
    </row>
    <row r="1151" spans="1:1" x14ac:dyDescent="0.2">
      <c r="A1151" s="91">
        <v>225.12</v>
      </c>
    </row>
    <row r="1152" spans="1:1" x14ac:dyDescent="0.2">
      <c r="A1152" s="91">
        <v>191.04</v>
      </c>
    </row>
    <row r="1153" spans="1:1" x14ac:dyDescent="0.2">
      <c r="A1153" s="91">
        <v>7800</v>
      </c>
    </row>
    <row r="1154" spans="1:1" x14ac:dyDescent="0.2">
      <c r="A1154" s="91">
        <v>3900</v>
      </c>
    </row>
    <row r="1155" spans="1:1" x14ac:dyDescent="0.2">
      <c r="A1155" s="91">
        <v>1300</v>
      </c>
    </row>
    <row r="1156" spans="1:1" x14ac:dyDescent="0.2">
      <c r="A1156" s="91">
        <v>1189.72</v>
      </c>
    </row>
    <row r="1157" spans="1:1" x14ac:dyDescent="0.2">
      <c r="A1157" s="91">
        <v>18015.759999999998</v>
      </c>
    </row>
    <row r="1158" spans="1:1" x14ac:dyDescent="0.2">
      <c r="A1158" s="91">
        <v>509.88</v>
      </c>
    </row>
    <row r="1159" spans="1:1" x14ac:dyDescent="0.2">
      <c r="A1159" s="91">
        <v>339.92</v>
      </c>
    </row>
    <row r="1160" spans="1:1" x14ac:dyDescent="0.2">
      <c r="A1160" s="91">
        <v>19785.919999999998</v>
      </c>
    </row>
    <row r="1161" spans="1:1" x14ac:dyDescent="0.2">
      <c r="A1161" s="91">
        <v>18796</v>
      </c>
    </row>
    <row r="1162" spans="1:1" x14ac:dyDescent="0.2">
      <c r="A1162" s="91">
        <v>1879.6</v>
      </c>
    </row>
    <row r="1163" spans="1:1" x14ac:dyDescent="0.2">
      <c r="A1163" s="91">
        <v>1879.6</v>
      </c>
    </row>
    <row r="1164" spans="1:1" x14ac:dyDescent="0.2">
      <c r="A1164" s="91">
        <v>3685.4</v>
      </c>
    </row>
    <row r="1165" spans="1:1" x14ac:dyDescent="0.2">
      <c r="A1165" s="91">
        <v>3685.4</v>
      </c>
    </row>
    <row r="1166" spans="1:1" x14ac:dyDescent="0.2">
      <c r="A1166" s="91">
        <v>637.5</v>
      </c>
    </row>
    <row r="1167" spans="1:1" x14ac:dyDescent="0.2">
      <c r="A1167" s="91">
        <v>1100.6000000000001</v>
      </c>
    </row>
    <row r="1168" spans="1:1" x14ac:dyDescent="0.2">
      <c r="A1168" s="91">
        <v>558.12</v>
      </c>
    </row>
    <row r="1169" spans="1:1" x14ac:dyDescent="0.2">
      <c r="A1169" s="91">
        <v>2591.58</v>
      </c>
    </row>
    <row r="1170" spans="1:1" x14ac:dyDescent="0.2">
      <c r="A1170" s="91">
        <v>1847.38</v>
      </c>
    </row>
    <row r="1171" spans="1:1" x14ac:dyDescent="0.2">
      <c r="A1171" s="91">
        <v>660</v>
      </c>
    </row>
    <row r="1172" spans="1:1" x14ac:dyDescent="0.2">
      <c r="A1172" s="91">
        <v>132</v>
      </c>
    </row>
    <row r="1173" spans="1:1" x14ac:dyDescent="0.2">
      <c r="A1173" s="91">
        <v>3061.8</v>
      </c>
    </row>
    <row r="1174" spans="1:1" x14ac:dyDescent="0.2">
      <c r="A1174" s="91">
        <v>1399.68</v>
      </c>
    </row>
    <row r="1175" spans="1:1" x14ac:dyDescent="0.2">
      <c r="A1175" s="91">
        <v>962.28</v>
      </c>
    </row>
    <row r="1176" spans="1:1" x14ac:dyDescent="0.2">
      <c r="A1176" s="91">
        <v>4191.3599999999997</v>
      </c>
    </row>
    <row r="1177" spans="1:1" x14ac:dyDescent="0.2">
      <c r="A1177" s="91">
        <v>261.95999999999998</v>
      </c>
    </row>
    <row r="1178" spans="1:1" x14ac:dyDescent="0.2">
      <c r="A1178" s="91">
        <v>130.97999999999999</v>
      </c>
    </row>
    <row r="1179" spans="1:1" x14ac:dyDescent="0.2">
      <c r="A1179" s="91">
        <v>10067.879999999999</v>
      </c>
    </row>
    <row r="1180" spans="1:1" x14ac:dyDescent="0.2">
      <c r="A1180" s="91">
        <v>1329.72</v>
      </c>
    </row>
    <row r="1181" spans="1:1" x14ac:dyDescent="0.2">
      <c r="A1181" s="91">
        <v>1329.72</v>
      </c>
    </row>
    <row r="1182" spans="1:1" x14ac:dyDescent="0.2">
      <c r="A1182" s="91">
        <v>10502</v>
      </c>
    </row>
    <row r="1183" spans="1:1" x14ac:dyDescent="0.2">
      <c r="A1183" s="91">
        <v>708</v>
      </c>
    </row>
    <row r="1184" spans="1:1" x14ac:dyDescent="0.2">
      <c r="A1184" s="91">
        <v>1475</v>
      </c>
    </row>
    <row r="1185" spans="1:1" x14ac:dyDescent="0.2">
      <c r="A1185" s="91">
        <v>88</v>
      </c>
    </row>
    <row r="1186" spans="1:1" x14ac:dyDescent="0.2">
      <c r="A1186" s="91">
        <v>435</v>
      </c>
    </row>
    <row r="1187" spans="1:1" x14ac:dyDescent="0.2">
      <c r="A1187" s="91">
        <v>450.24</v>
      </c>
    </row>
    <row r="1188" spans="1:1" x14ac:dyDescent="0.2">
      <c r="A1188" s="91">
        <v>720</v>
      </c>
    </row>
    <row r="1189" spans="1:1" x14ac:dyDescent="0.2">
      <c r="A1189" s="91">
        <v>1300</v>
      </c>
    </row>
    <row r="1190" spans="1:1" x14ac:dyDescent="0.2">
      <c r="A1190" s="91">
        <v>780</v>
      </c>
    </row>
    <row r="1191" spans="1:1" x14ac:dyDescent="0.2">
      <c r="A1191" s="91">
        <v>780</v>
      </c>
    </row>
    <row r="1192" spans="1:1" x14ac:dyDescent="0.2">
      <c r="A1192" s="91">
        <v>4254</v>
      </c>
    </row>
    <row r="1193" spans="1:1" x14ac:dyDescent="0.2">
      <c r="A1193" s="91">
        <v>2039.52</v>
      </c>
    </row>
    <row r="1194" spans="1:1" x14ac:dyDescent="0.2">
      <c r="A1194" s="91">
        <v>5789.0999999999995</v>
      </c>
    </row>
    <row r="1195" spans="1:1" x14ac:dyDescent="0.2">
      <c r="A1195" s="91">
        <v>130.97999999999999</v>
      </c>
    </row>
    <row r="1196" spans="1:1" x14ac:dyDescent="0.2">
      <c r="A1196" s="91">
        <v>1879.6</v>
      </c>
    </row>
    <row r="1197" spans="1:1" x14ac:dyDescent="0.2">
      <c r="A1197" s="91">
        <v>939.8</v>
      </c>
    </row>
    <row r="1198" spans="1:1" x14ac:dyDescent="0.2">
      <c r="A1198" s="91">
        <v>939.8</v>
      </c>
    </row>
    <row r="1199" spans="1:1" x14ac:dyDescent="0.2">
      <c r="A1199" s="91">
        <v>737.08</v>
      </c>
    </row>
    <row r="1200" spans="1:1" x14ac:dyDescent="0.2">
      <c r="A1200" s="91">
        <v>1474.16</v>
      </c>
    </row>
    <row r="1201" spans="1:1" x14ac:dyDescent="0.2">
      <c r="A1201" s="91">
        <v>1406</v>
      </c>
    </row>
    <row r="1202" spans="1:1" x14ac:dyDescent="0.2">
      <c r="A1202" s="91">
        <v>705.96</v>
      </c>
    </row>
    <row r="1203" spans="1:1" x14ac:dyDescent="0.2">
      <c r="A1203" s="91">
        <v>924</v>
      </c>
    </row>
    <row r="1204" spans="1:1" x14ac:dyDescent="0.2">
      <c r="A1204" s="91">
        <v>132</v>
      </c>
    </row>
    <row r="1205" spans="1:1" x14ac:dyDescent="0.2">
      <c r="A1205" s="91">
        <v>261.95999999999998</v>
      </c>
    </row>
    <row r="1206" spans="1:1" x14ac:dyDescent="0.2">
      <c r="A1206" s="91">
        <v>3039.36</v>
      </c>
    </row>
    <row r="1207" spans="1:1" x14ac:dyDescent="0.2">
      <c r="A1207" s="91">
        <v>759.84</v>
      </c>
    </row>
    <row r="1208" spans="1:1" x14ac:dyDescent="0.2">
      <c r="A1208" s="91">
        <v>759.84</v>
      </c>
    </row>
    <row r="1209" spans="1:1" x14ac:dyDescent="0.2">
      <c r="A1209" s="91">
        <v>649</v>
      </c>
    </row>
    <row r="1210" spans="1:1" x14ac:dyDescent="0.2">
      <c r="A1210" s="91">
        <v>763</v>
      </c>
    </row>
    <row r="1211" spans="1:1" x14ac:dyDescent="0.2">
      <c r="A1211" s="91">
        <v>236</v>
      </c>
    </row>
    <row r="1212" spans="1:1" x14ac:dyDescent="0.2">
      <c r="A1212" s="91">
        <v>792</v>
      </c>
    </row>
    <row r="1213" spans="1:1" x14ac:dyDescent="0.2">
      <c r="A1213" s="91">
        <v>4498.96</v>
      </c>
    </row>
    <row r="1214" spans="1:1" x14ac:dyDescent="0.2">
      <c r="A1214" s="91">
        <v>952.28</v>
      </c>
    </row>
    <row r="1215" spans="1:1" x14ac:dyDescent="0.2">
      <c r="A1215" s="91">
        <v>952.28</v>
      </c>
    </row>
    <row r="1216" spans="1:1" x14ac:dyDescent="0.2">
      <c r="A1216" s="91">
        <v>5698.12</v>
      </c>
    </row>
    <row r="1217" spans="1:1" x14ac:dyDescent="0.2">
      <c r="A1217" s="91">
        <v>174.64</v>
      </c>
    </row>
    <row r="1218" spans="1:1" x14ac:dyDescent="0.2">
      <c r="A1218" s="91">
        <v>130.97999999999999</v>
      </c>
    </row>
    <row r="1219" spans="1:1" x14ac:dyDescent="0.2">
      <c r="A1219" s="91">
        <v>4179.12</v>
      </c>
    </row>
    <row r="1220" spans="1:1" x14ac:dyDescent="0.2">
      <c r="A1220" s="91">
        <v>759.84</v>
      </c>
    </row>
    <row r="1221" spans="1:1" x14ac:dyDescent="0.2">
      <c r="A1221" s="91">
        <v>1139.76</v>
      </c>
    </row>
    <row r="1222" spans="1:1" x14ac:dyDescent="0.2">
      <c r="A1222" s="91">
        <v>4531.3999999999996</v>
      </c>
    </row>
    <row r="1223" spans="1:1" x14ac:dyDescent="0.2">
      <c r="A1223" s="91">
        <v>354</v>
      </c>
    </row>
    <row r="1224" spans="1:1" x14ac:dyDescent="0.2">
      <c r="A1224" s="91">
        <v>88</v>
      </c>
    </row>
    <row r="1225" spans="1:1" x14ac:dyDescent="0.2">
      <c r="A1225" s="91">
        <v>217.5</v>
      </c>
    </row>
    <row r="1226" spans="1:1" x14ac:dyDescent="0.2">
      <c r="A1226" s="91">
        <v>225.12</v>
      </c>
    </row>
    <row r="1227" spans="1:1" x14ac:dyDescent="0.2">
      <c r="A1227" s="91">
        <v>390</v>
      </c>
    </row>
    <row r="1228" spans="1:1" x14ac:dyDescent="0.2">
      <c r="A1228" s="91">
        <v>1690</v>
      </c>
    </row>
    <row r="1229" spans="1:1" x14ac:dyDescent="0.2">
      <c r="A1229" s="91">
        <v>1690</v>
      </c>
    </row>
    <row r="1230" spans="1:1" x14ac:dyDescent="0.2">
      <c r="A1230" s="91">
        <v>27023.64</v>
      </c>
    </row>
    <row r="1231" spans="1:1" x14ac:dyDescent="0.2">
      <c r="A1231" s="91">
        <v>4249</v>
      </c>
    </row>
    <row r="1232" spans="1:1" x14ac:dyDescent="0.2">
      <c r="A1232" s="91">
        <v>3399.2</v>
      </c>
    </row>
    <row r="1233" spans="1:1" x14ac:dyDescent="0.2">
      <c r="A1233" s="91">
        <v>30578.239999999998</v>
      </c>
    </row>
    <row r="1234" spans="1:1" x14ac:dyDescent="0.2">
      <c r="A1234" s="91">
        <v>5139.2</v>
      </c>
    </row>
    <row r="1235" spans="1:1" x14ac:dyDescent="0.2">
      <c r="A1235" s="91">
        <v>3759.2</v>
      </c>
    </row>
    <row r="1236" spans="1:1" x14ac:dyDescent="0.2">
      <c r="A1236" s="91">
        <v>1503.68</v>
      </c>
    </row>
    <row r="1237" spans="1:1" x14ac:dyDescent="0.2">
      <c r="A1237" s="91">
        <v>1503.68</v>
      </c>
    </row>
    <row r="1238" spans="1:1" x14ac:dyDescent="0.2">
      <c r="A1238" s="91">
        <v>7030</v>
      </c>
    </row>
    <row r="1239" spans="1:1" x14ac:dyDescent="0.2">
      <c r="A1239" s="91">
        <v>2109</v>
      </c>
    </row>
    <row r="1240" spans="1:1" x14ac:dyDescent="0.2">
      <c r="A1240" s="91">
        <v>2109</v>
      </c>
    </row>
    <row r="1241" spans="1:1" x14ac:dyDescent="0.2">
      <c r="A1241" s="91">
        <v>7065.16</v>
      </c>
    </row>
    <row r="1242" spans="1:1" x14ac:dyDescent="0.2">
      <c r="A1242" s="91">
        <v>1980</v>
      </c>
    </row>
    <row r="1243" spans="1:1" x14ac:dyDescent="0.2">
      <c r="A1243" s="91">
        <v>660</v>
      </c>
    </row>
    <row r="1244" spans="1:1" x14ac:dyDescent="0.2">
      <c r="A1244" s="91">
        <v>660</v>
      </c>
    </row>
    <row r="1245" spans="1:1" x14ac:dyDescent="0.2">
      <c r="A1245" s="91">
        <v>3148.96</v>
      </c>
    </row>
    <row r="1246" spans="1:1" x14ac:dyDescent="0.2">
      <c r="A1246" s="91">
        <v>874.8</v>
      </c>
    </row>
    <row r="1247" spans="1:1" x14ac:dyDescent="0.2">
      <c r="A1247" s="91">
        <v>349.92</v>
      </c>
    </row>
    <row r="1248" spans="1:1" x14ac:dyDescent="0.2">
      <c r="A1248" s="91">
        <v>3929.3999999999996</v>
      </c>
    </row>
    <row r="1249" spans="1:1" x14ac:dyDescent="0.2">
      <c r="A1249" s="91">
        <v>392.93999999999994</v>
      </c>
    </row>
    <row r="1250" spans="1:1" x14ac:dyDescent="0.2">
      <c r="A1250" s="91">
        <v>392.93999999999994</v>
      </c>
    </row>
    <row r="1251" spans="1:1" x14ac:dyDescent="0.2">
      <c r="A1251" s="91">
        <v>7028.52</v>
      </c>
    </row>
    <row r="1252" spans="1:1" x14ac:dyDescent="0.2">
      <c r="A1252" s="91">
        <v>1329.72</v>
      </c>
    </row>
    <row r="1253" spans="1:1" x14ac:dyDescent="0.2">
      <c r="A1253" s="91">
        <v>949.8</v>
      </c>
    </row>
    <row r="1254" spans="1:1" x14ac:dyDescent="0.2">
      <c r="A1254" s="91">
        <v>7257</v>
      </c>
    </row>
    <row r="1255" spans="1:1" x14ac:dyDescent="0.2">
      <c r="A1255" s="91">
        <v>2478</v>
      </c>
    </row>
    <row r="1256" spans="1:1" x14ac:dyDescent="0.2">
      <c r="A1256" s="91">
        <v>1593</v>
      </c>
    </row>
    <row r="1257" spans="1:1" x14ac:dyDescent="0.2">
      <c r="A1257" s="91">
        <v>69</v>
      </c>
    </row>
    <row r="1258" spans="1:1" x14ac:dyDescent="0.2">
      <c r="A1258" s="91">
        <v>870</v>
      </c>
    </row>
    <row r="1259" spans="1:1" x14ac:dyDescent="0.2">
      <c r="A1259" s="91">
        <v>1200</v>
      </c>
    </row>
    <row r="1260" spans="1:1" x14ac:dyDescent="0.2">
      <c r="A1260" s="91">
        <v>3544</v>
      </c>
    </row>
    <row r="1261" spans="1:1" x14ac:dyDescent="0.2">
      <c r="A1261" s="91">
        <v>1056</v>
      </c>
    </row>
    <row r="1262" spans="1:1" x14ac:dyDescent="0.2">
      <c r="A1262" s="91">
        <v>528</v>
      </c>
    </row>
    <row r="1263" spans="1:1" x14ac:dyDescent="0.2">
      <c r="A1263" s="91">
        <v>10297.6</v>
      </c>
    </row>
    <row r="1264" spans="1:1" x14ac:dyDescent="0.2">
      <c r="A1264" s="91">
        <v>3249.2400000000002</v>
      </c>
    </row>
    <row r="1265" spans="1:1" x14ac:dyDescent="0.2">
      <c r="A1265" s="91">
        <v>1874.56</v>
      </c>
    </row>
    <row r="1266" spans="1:1" x14ac:dyDescent="0.2">
      <c r="A1266" s="91">
        <v>12641.039999999999</v>
      </c>
    </row>
    <row r="1267" spans="1:1" x14ac:dyDescent="0.2">
      <c r="A1267" s="91">
        <v>3093.5199999999995</v>
      </c>
    </row>
    <row r="1268" spans="1:1" x14ac:dyDescent="0.2">
      <c r="A1268" s="91">
        <v>392.93999999999994</v>
      </c>
    </row>
    <row r="1269" spans="1:1" x14ac:dyDescent="0.2">
      <c r="A1269" s="91">
        <v>8720.7000000000007</v>
      </c>
    </row>
    <row r="1270" spans="1:1" x14ac:dyDescent="0.2">
      <c r="A1270" s="91">
        <v>2469.48</v>
      </c>
    </row>
    <row r="1271" spans="1:1" x14ac:dyDescent="0.2">
      <c r="A1271" s="91">
        <v>379.92</v>
      </c>
    </row>
    <row r="1272" spans="1:1" x14ac:dyDescent="0.2">
      <c r="A1272" s="91">
        <v>6962</v>
      </c>
    </row>
    <row r="1273" spans="1:1" x14ac:dyDescent="0.2">
      <c r="A1273" s="91">
        <v>1416</v>
      </c>
    </row>
    <row r="1274" spans="1:1" x14ac:dyDescent="0.2">
      <c r="A1274" s="91">
        <v>1239</v>
      </c>
    </row>
    <row r="1275" spans="1:1" x14ac:dyDescent="0.2">
      <c r="A1275" s="91">
        <v>708</v>
      </c>
    </row>
    <row r="1276" spans="1:1" x14ac:dyDescent="0.2">
      <c r="A1276" s="91">
        <v>69</v>
      </c>
    </row>
    <row r="1277" spans="1:1" x14ac:dyDescent="0.2">
      <c r="A1277" s="91">
        <v>1200</v>
      </c>
    </row>
    <row r="1278" spans="1:1" x14ac:dyDescent="0.2">
      <c r="A1278" s="91">
        <v>132</v>
      </c>
    </row>
    <row r="1279" spans="1:1" x14ac:dyDescent="0.2">
      <c r="A1279" s="91">
        <v>132</v>
      </c>
    </row>
    <row r="1280" spans="1:1" x14ac:dyDescent="0.2">
      <c r="A1280" s="91">
        <v>174.96</v>
      </c>
    </row>
    <row r="1281" spans="1:1" x14ac:dyDescent="0.2">
      <c r="A1281" s="91">
        <v>437.4</v>
      </c>
    </row>
    <row r="1282" spans="1:1" x14ac:dyDescent="0.2">
      <c r="A1282" s="91">
        <v>174.96</v>
      </c>
    </row>
    <row r="1283" spans="1:1" x14ac:dyDescent="0.2">
      <c r="A1283" s="91">
        <v>262.44</v>
      </c>
    </row>
    <row r="1284" spans="1:1" x14ac:dyDescent="0.2">
      <c r="A1284" s="91">
        <v>5794.0999999999995</v>
      </c>
    </row>
    <row r="1285" spans="1:1" x14ac:dyDescent="0.2">
      <c r="A1285" s="91">
        <v>7351.2199999999993</v>
      </c>
    </row>
    <row r="1286" spans="1:1" x14ac:dyDescent="0.2">
      <c r="A1286" s="91">
        <v>189.96</v>
      </c>
    </row>
    <row r="1287" spans="1:1" x14ac:dyDescent="0.2">
      <c r="A1287" s="91">
        <v>189.96</v>
      </c>
    </row>
    <row r="1288" spans="1:1" x14ac:dyDescent="0.2">
      <c r="A1288" s="91">
        <v>240</v>
      </c>
    </row>
    <row r="1289" spans="1:1" x14ac:dyDescent="0.2">
      <c r="A1289" s="91">
        <v>15600</v>
      </c>
    </row>
    <row r="1290" spans="1:1" x14ac:dyDescent="0.2">
      <c r="A1290" s="91">
        <v>3900</v>
      </c>
    </row>
    <row r="1291" spans="1:1" x14ac:dyDescent="0.2">
      <c r="A1291" s="91">
        <v>17856.2</v>
      </c>
    </row>
    <row r="1292" spans="1:1" x14ac:dyDescent="0.2">
      <c r="A1292" s="91">
        <v>5638.8</v>
      </c>
    </row>
    <row r="1293" spans="1:1" x14ac:dyDescent="0.2">
      <c r="A1293" s="91">
        <v>8436</v>
      </c>
    </row>
    <row r="1294" spans="1:1" x14ac:dyDescent="0.2">
      <c r="A1294" s="91">
        <v>2812</v>
      </c>
    </row>
    <row r="1295" spans="1:1" x14ac:dyDescent="0.2">
      <c r="A1295" s="91">
        <v>2109</v>
      </c>
    </row>
    <row r="1296" spans="1:1" x14ac:dyDescent="0.2">
      <c r="A1296" s="91">
        <v>710</v>
      </c>
    </row>
    <row r="1297" spans="1:1" x14ac:dyDescent="0.2">
      <c r="A1297" s="91">
        <v>4577</v>
      </c>
    </row>
    <row r="1298" spans="1:1" x14ac:dyDescent="0.2">
      <c r="A1298" s="91">
        <v>650</v>
      </c>
    </row>
    <row r="1299" spans="1:1" x14ac:dyDescent="0.2">
      <c r="A1299" s="91">
        <v>1699</v>
      </c>
    </row>
    <row r="1300" spans="1:1" x14ac:dyDescent="0.2">
      <c r="A1300" s="91">
        <v>917</v>
      </c>
    </row>
    <row r="1301" spans="1:1" x14ac:dyDescent="0.2">
      <c r="A1301" s="91">
        <v>4459.4800000000005</v>
      </c>
    </row>
    <row r="1302" spans="1:1" x14ac:dyDescent="0.2">
      <c r="A1302" s="91">
        <v>1223.72</v>
      </c>
    </row>
    <row r="1303" spans="1:1" x14ac:dyDescent="0.2">
      <c r="A1303" s="91">
        <v>437.4</v>
      </c>
    </row>
    <row r="1304" spans="1:1" x14ac:dyDescent="0.2">
      <c r="A1304" s="91">
        <v>10211.439999999999</v>
      </c>
    </row>
    <row r="1305" spans="1:1" x14ac:dyDescent="0.2">
      <c r="A1305" s="91">
        <v>654.9</v>
      </c>
    </row>
    <row r="1306" spans="1:1" x14ac:dyDescent="0.2">
      <c r="A1306" s="91">
        <v>654.9</v>
      </c>
    </row>
    <row r="1307" spans="1:1" x14ac:dyDescent="0.2">
      <c r="A1307" s="91">
        <v>4749</v>
      </c>
    </row>
    <row r="1308" spans="1:1" x14ac:dyDescent="0.2">
      <c r="A1308" s="91">
        <v>759.84</v>
      </c>
    </row>
    <row r="1309" spans="1:1" x14ac:dyDescent="0.2">
      <c r="A1309" s="91">
        <v>1329.72</v>
      </c>
    </row>
    <row r="1310" spans="1:1" x14ac:dyDescent="0.2">
      <c r="A1310" s="91">
        <v>8418</v>
      </c>
    </row>
    <row r="1311" spans="1:1" x14ac:dyDescent="0.2">
      <c r="A1311" s="91">
        <v>2354</v>
      </c>
    </row>
    <row r="1312" spans="1:1" x14ac:dyDescent="0.2">
      <c r="A1312" s="91">
        <v>1295.74</v>
      </c>
    </row>
    <row r="1313" spans="1:1" x14ac:dyDescent="0.2">
      <c r="A1313" s="91">
        <v>217.5</v>
      </c>
    </row>
    <row r="1314" spans="1:1" x14ac:dyDescent="0.2">
      <c r="A1314" s="91">
        <v>675.36</v>
      </c>
    </row>
    <row r="1315" spans="1:1" x14ac:dyDescent="0.2">
      <c r="A1315" s="91">
        <v>147</v>
      </c>
    </row>
    <row r="1316" spans="1:1" x14ac:dyDescent="0.2">
      <c r="A1316" s="91">
        <v>186</v>
      </c>
    </row>
    <row r="1317" spans="1:1" x14ac:dyDescent="0.2">
      <c r="A1317" s="91">
        <v>2080</v>
      </c>
    </row>
    <row r="1318" spans="1:1" x14ac:dyDescent="0.2">
      <c r="A1318" s="91">
        <v>780</v>
      </c>
    </row>
    <row r="1319" spans="1:1" x14ac:dyDescent="0.2">
      <c r="A1319" s="91">
        <v>520</v>
      </c>
    </row>
    <row r="1320" spans="1:1" x14ac:dyDescent="0.2">
      <c r="A1320" s="91">
        <v>849.8</v>
      </c>
    </row>
    <row r="1321" spans="1:1" x14ac:dyDescent="0.2">
      <c r="A1321" s="91">
        <v>30082.920000000002</v>
      </c>
    </row>
    <row r="1322" spans="1:1" x14ac:dyDescent="0.2">
      <c r="A1322" s="91">
        <v>5438.72</v>
      </c>
    </row>
    <row r="1323" spans="1:1" x14ac:dyDescent="0.2">
      <c r="A1323" s="91">
        <v>5268.76</v>
      </c>
    </row>
    <row r="1324" spans="1:1" x14ac:dyDescent="0.2">
      <c r="A1324" s="91">
        <v>34175.68</v>
      </c>
    </row>
    <row r="1325" spans="1:1" x14ac:dyDescent="0.2">
      <c r="A1325" s="91">
        <v>5396.16</v>
      </c>
    </row>
    <row r="1326" spans="1:1" x14ac:dyDescent="0.2">
      <c r="A1326" s="91">
        <v>4882.24</v>
      </c>
    </row>
    <row r="1327" spans="1:1" x14ac:dyDescent="0.2">
      <c r="A1327" s="91">
        <v>7894.32</v>
      </c>
    </row>
    <row r="1328" spans="1:1" x14ac:dyDescent="0.2">
      <c r="A1328" s="91">
        <v>939.8</v>
      </c>
    </row>
    <row r="1329" spans="1:1" x14ac:dyDescent="0.2">
      <c r="A1329" s="91">
        <v>5624</v>
      </c>
    </row>
    <row r="1330" spans="1:1" x14ac:dyDescent="0.2">
      <c r="A1330" s="91">
        <v>2812</v>
      </c>
    </row>
    <row r="1331" spans="1:1" x14ac:dyDescent="0.2">
      <c r="A1331" s="91">
        <v>218.6</v>
      </c>
    </row>
    <row r="1332" spans="1:1" x14ac:dyDescent="0.2">
      <c r="A1332" s="91">
        <v>960</v>
      </c>
    </row>
    <row r="1333" spans="1:1" x14ac:dyDescent="0.2">
      <c r="A1333" s="91">
        <v>132</v>
      </c>
    </row>
    <row r="1334" spans="1:1" x14ac:dyDescent="0.2">
      <c r="A1334" s="91">
        <v>132</v>
      </c>
    </row>
    <row r="1335" spans="1:1" x14ac:dyDescent="0.2">
      <c r="A1335" s="91">
        <v>2273.86</v>
      </c>
    </row>
    <row r="1336" spans="1:1" x14ac:dyDescent="0.2">
      <c r="A1336" s="91">
        <v>1049.76</v>
      </c>
    </row>
    <row r="1337" spans="1:1" x14ac:dyDescent="0.2">
      <c r="A1337" s="91">
        <v>174.96</v>
      </c>
    </row>
    <row r="1338" spans="1:1" x14ac:dyDescent="0.2">
      <c r="A1338" s="91">
        <v>1702.7399999999998</v>
      </c>
    </row>
    <row r="1339" spans="1:1" x14ac:dyDescent="0.2">
      <c r="A1339" s="91">
        <v>261.95999999999998</v>
      </c>
    </row>
    <row r="1340" spans="1:1" x14ac:dyDescent="0.2">
      <c r="A1340" s="91">
        <v>1329.72</v>
      </c>
    </row>
    <row r="1341" spans="1:1" x14ac:dyDescent="0.2">
      <c r="A1341" s="91">
        <v>708</v>
      </c>
    </row>
    <row r="1342" spans="1:1" x14ac:dyDescent="0.2">
      <c r="A1342" s="91">
        <v>118</v>
      </c>
    </row>
    <row r="1343" spans="1:1" x14ac:dyDescent="0.2">
      <c r="A1343" s="91">
        <v>118</v>
      </c>
    </row>
    <row r="1344" spans="1:1" x14ac:dyDescent="0.2">
      <c r="A1344" s="91">
        <v>88</v>
      </c>
    </row>
    <row r="1345" spans="1:1" x14ac:dyDescent="0.2">
      <c r="A1345" s="91">
        <v>88</v>
      </c>
    </row>
    <row r="1346" spans="1:1" x14ac:dyDescent="0.2">
      <c r="A1346" s="91">
        <v>3696</v>
      </c>
    </row>
    <row r="1347" spans="1:1" x14ac:dyDescent="0.2">
      <c r="A1347" s="91">
        <v>1584</v>
      </c>
    </row>
    <row r="1348" spans="1:1" x14ac:dyDescent="0.2">
      <c r="A1348" s="91">
        <v>1320</v>
      </c>
    </row>
    <row r="1349" spans="1:1" x14ac:dyDescent="0.2">
      <c r="A1349" s="91">
        <v>4374</v>
      </c>
    </row>
    <row r="1350" spans="1:1" x14ac:dyDescent="0.2">
      <c r="A1350" s="91">
        <v>524.43999999999994</v>
      </c>
    </row>
    <row r="1351" spans="1:1" x14ac:dyDescent="0.2">
      <c r="A1351" s="91">
        <v>349.92</v>
      </c>
    </row>
    <row r="1352" spans="1:1" x14ac:dyDescent="0.2">
      <c r="A1352" s="91">
        <v>6156.0599999999995</v>
      </c>
    </row>
    <row r="1353" spans="1:1" x14ac:dyDescent="0.2">
      <c r="A1353" s="91">
        <v>916.8599999999999</v>
      </c>
    </row>
    <row r="1354" spans="1:1" x14ac:dyDescent="0.2">
      <c r="A1354" s="91">
        <v>1047.8399999999999</v>
      </c>
    </row>
    <row r="1355" spans="1:1" x14ac:dyDescent="0.2">
      <c r="A1355" s="91">
        <v>6648.6</v>
      </c>
    </row>
    <row r="1356" spans="1:1" x14ac:dyDescent="0.2">
      <c r="A1356" s="91">
        <v>2279.52</v>
      </c>
    </row>
    <row r="1357" spans="1:1" x14ac:dyDescent="0.2">
      <c r="A1357" s="91">
        <v>1709.64</v>
      </c>
    </row>
    <row r="1358" spans="1:1" x14ac:dyDescent="0.2">
      <c r="A1358" s="91">
        <v>3186</v>
      </c>
    </row>
    <row r="1359" spans="1:1" x14ac:dyDescent="0.2">
      <c r="A1359" s="91">
        <v>1534</v>
      </c>
    </row>
    <row r="1360" spans="1:1" x14ac:dyDescent="0.2">
      <c r="A1360" s="91">
        <v>1475</v>
      </c>
    </row>
    <row r="1361" spans="1:1" x14ac:dyDescent="0.2">
      <c r="A1361" s="91">
        <v>225.12</v>
      </c>
    </row>
    <row r="1362" spans="1:1" x14ac:dyDescent="0.2">
      <c r="A1362" s="91">
        <v>720</v>
      </c>
    </row>
    <row r="1363" spans="1:1" x14ac:dyDescent="0.2">
      <c r="A1363" s="91">
        <v>3300</v>
      </c>
    </row>
    <row r="1364" spans="1:1" x14ac:dyDescent="0.2">
      <c r="A1364" s="91">
        <v>132</v>
      </c>
    </row>
    <row r="1365" spans="1:1" x14ac:dyDescent="0.2">
      <c r="A1365" s="91">
        <v>1312.2</v>
      </c>
    </row>
    <row r="1366" spans="1:1" x14ac:dyDescent="0.2">
      <c r="A1366" s="91">
        <v>349.92</v>
      </c>
    </row>
    <row r="1367" spans="1:1" x14ac:dyDescent="0.2">
      <c r="A1367" s="91">
        <v>174.96</v>
      </c>
    </row>
    <row r="1368" spans="1:1" x14ac:dyDescent="0.2">
      <c r="A1368" s="91">
        <v>392.93999999999994</v>
      </c>
    </row>
    <row r="1369" spans="1:1" x14ac:dyDescent="0.2">
      <c r="A1369" s="91">
        <v>1709.64</v>
      </c>
    </row>
    <row r="1370" spans="1:1" x14ac:dyDescent="0.2">
      <c r="A1370" s="91">
        <v>379.92</v>
      </c>
    </row>
    <row r="1371" spans="1:1" x14ac:dyDescent="0.2">
      <c r="A1371" s="91">
        <v>189.96</v>
      </c>
    </row>
    <row r="1372" spans="1:1" x14ac:dyDescent="0.2">
      <c r="A1372" s="91">
        <v>885</v>
      </c>
    </row>
    <row r="1373" spans="1:1" x14ac:dyDescent="0.2">
      <c r="A1373" s="91">
        <v>177</v>
      </c>
    </row>
    <row r="1374" spans="1:1" x14ac:dyDescent="0.2">
      <c r="A1374" s="91">
        <v>79.460000000000008</v>
      </c>
    </row>
    <row r="1375" spans="1:1" x14ac:dyDescent="0.2">
      <c r="A1375" s="91">
        <v>924</v>
      </c>
    </row>
    <row r="1376" spans="1:1" x14ac:dyDescent="0.2">
      <c r="A1376" s="91">
        <v>264</v>
      </c>
    </row>
    <row r="1377" spans="1:1" x14ac:dyDescent="0.2">
      <c r="A1377" s="91">
        <v>264</v>
      </c>
    </row>
    <row r="1378" spans="1:1" x14ac:dyDescent="0.2">
      <c r="A1378" s="91">
        <v>1049.76</v>
      </c>
    </row>
    <row r="1379" spans="1:1" x14ac:dyDescent="0.2">
      <c r="A1379" s="91">
        <v>437.4</v>
      </c>
    </row>
    <row r="1380" spans="1:1" x14ac:dyDescent="0.2">
      <c r="A1380" s="91">
        <v>174.96</v>
      </c>
    </row>
    <row r="1381" spans="1:1" x14ac:dyDescent="0.2">
      <c r="A1381" s="91">
        <v>1571.7599999999998</v>
      </c>
    </row>
    <row r="1382" spans="1:1" x14ac:dyDescent="0.2">
      <c r="A1382" s="91">
        <v>4179.12</v>
      </c>
    </row>
    <row r="1383" spans="1:1" x14ac:dyDescent="0.2">
      <c r="A1383" s="91">
        <v>569.88</v>
      </c>
    </row>
    <row r="1384" spans="1:1" x14ac:dyDescent="0.2">
      <c r="A1384" s="91">
        <v>379.92</v>
      </c>
    </row>
    <row r="1385" spans="1:1" x14ac:dyDescent="0.2">
      <c r="A1385" s="91">
        <v>5646.2</v>
      </c>
    </row>
    <row r="1386" spans="1:1" x14ac:dyDescent="0.2">
      <c r="A1386" s="91">
        <v>708</v>
      </c>
    </row>
    <row r="1387" spans="1:1" x14ac:dyDescent="0.2">
      <c r="A1387" s="91">
        <v>708</v>
      </c>
    </row>
    <row r="1388" spans="1:1" x14ac:dyDescent="0.2">
      <c r="A1388" s="91">
        <v>9100</v>
      </c>
    </row>
    <row r="1389" spans="1:1" x14ac:dyDescent="0.2">
      <c r="A1389" s="91">
        <v>2600</v>
      </c>
    </row>
    <row r="1390" spans="1:1" x14ac:dyDescent="0.2">
      <c r="A1390" s="91">
        <v>15296.4</v>
      </c>
    </row>
    <row r="1391" spans="1:1" x14ac:dyDescent="0.2">
      <c r="A1391" s="91">
        <v>7648.2</v>
      </c>
    </row>
    <row r="1392" spans="1:1" x14ac:dyDescent="0.2">
      <c r="A1392" s="91">
        <v>1019.76</v>
      </c>
    </row>
    <row r="1393" spans="1:1" x14ac:dyDescent="0.2">
      <c r="A1393" s="91">
        <v>26980.799999999999</v>
      </c>
    </row>
    <row r="1394" spans="1:1" x14ac:dyDescent="0.2">
      <c r="A1394" s="91">
        <v>513.91999999999996</v>
      </c>
    </row>
    <row r="1395" spans="1:1" x14ac:dyDescent="0.2">
      <c r="A1395" s="91">
        <v>513.91999999999996</v>
      </c>
    </row>
    <row r="1396" spans="1:1" x14ac:dyDescent="0.2">
      <c r="A1396" s="91">
        <v>3759.2</v>
      </c>
    </row>
    <row r="1397" spans="1:1" x14ac:dyDescent="0.2">
      <c r="A1397" s="91">
        <v>1406</v>
      </c>
    </row>
    <row r="1398" spans="1:1" x14ac:dyDescent="0.2">
      <c r="A1398" s="91">
        <v>703</v>
      </c>
    </row>
    <row r="1399" spans="1:1" x14ac:dyDescent="0.2">
      <c r="A1399" s="91">
        <v>212.5</v>
      </c>
    </row>
    <row r="1400" spans="1:1" x14ac:dyDescent="0.2">
      <c r="A1400" s="91">
        <v>880.48</v>
      </c>
    </row>
    <row r="1401" spans="1:1" x14ac:dyDescent="0.2">
      <c r="A1401" s="91">
        <v>713.82</v>
      </c>
    </row>
    <row r="1402" spans="1:1" x14ac:dyDescent="0.2">
      <c r="A1402" s="91">
        <v>2772</v>
      </c>
    </row>
    <row r="1403" spans="1:1" x14ac:dyDescent="0.2">
      <c r="A1403" s="91">
        <v>1320</v>
      </c>
    </row>
    <row r="1404" spans="1:1" x14ac:dyDescent="0.2">
      <c r="A1404" s="91">
        <v>1056</v>
      </c>
    </row>
    <row r="1405" spans="1:1" x14ac:dyDescent="0.2">
      <c r="A1405" s="91">
        <v>3149.28</v>
      </c>
    </row>
    <row r="1406" spans="1:1" x14ac:dyDescent="0.2">
      <c r="A1406" s="91">
        <v>2919.32</v>
      </c>
    </row>
    <row r="1407" spans="1:1" x14ac:dyDescent="0.2">
      <c r="A1407" s="91">
        <v>524.88</v>
      </c>
    </row>
    <row r="1408" spans="1:1" x14ac:dyDescent="0.2">
      <c r="A1408" s="91">
        <v>4453.32</v>
      </c>
    </row>
    <row r="1409" spans="1:1" x14ac:dyDescent="0.2">
      <c r="A1409" s="91">
        <v>1309.8</v>
      </c>
    </row>
    <row r="1410" spans="1:1" x14ac:dyDescent="0.2">
      <c r="A1410" s="91">
        <v>916.8599999999999</v>
      </c>
    </row>
    <row r="1411" spans="1:1" x14ac:dyDescent="0.2">
      <c r="A1411" s="91">
        <v>5698.8</v>
      </c>
    </row>
    <row r="1412" spans="1:1" x14ac:dyDescent="0.2">
      <c r="A1412" s="91">
        <v>2089.56</v>
      </c>
    </row>
    <row r="1413" spans="1:1" x14ac:dyDescent="0.2">
      <c r="A1413" s="91">
        <v>3035.36</v>
      </c>
    </row>
    <row r="1414" spans="1:1" x14ac:dyDescent="0.2">
      <c r="A1414" s="91">
        <v>5776.58</v>
      </c>
    </row>
    <row r="1415" spans="1:1" x14ac:dyDescent="0.2">
      <c r="A1415" s="91">
        <v>826</v>
      </c>
    </row>
    <row r="1416" spans="1:1" x14ac:dyDescent="0.2">
      <c r="A1416" s="91">
        <v>1888</v>
      </c>
    </row>
    <row r="1417" spans="1:1" x14ac:dyDescent="0.2">
      <c r="A1417" s="91">
        <v>354</v>
      </c>
    </row>
    <row r="1418" spans="1:1" x14ac:dyDescent="0.2">
      <c r="A1418" s="91">
        <v>176</v>
      </c>
    </row>
    <row r="1419" spans="1:1" x14ac:dyDescent="0.2">
      <c r="A1419" s="91">
        <v>176</v>
      </c>
    </row>
    <row r="1420" spans="1:1" x14ac:dyDescent="0.2">
      <c r="A1420" s="91">
        <v>450.24</v>
      </c>
    </row>
    <row r="1421" spans="1:1" x14ac:dyDescent="0.2">
      <c r="A1421" s="91">
        <v>720</v>
      </c>
    </row>
    <row r="1422" spans="1:1" x14ac:dyDescent="0.2">
      <c r="A1422" s="91">
        <v>3036</v>
      </c>
    </row>
    <row r="1423" spans="1:1" x14ac:dyDescent="0.2">
      <c r="A1423" s="91">
        <v>1980</v>
      </c>
    </row>
    <row r="1424" spans="1:1" x14ac:dyDescent="0.2">
      <c r="A1424" s="91">
        <v>1320</v>
      </c>
    </row>
    <row r="1425" spans="1:1" x14ac:dyDescent="0.2">
      <c r="A1425" s="91">
        <v>4198.4799999999996</v>
      </c>
    </row>
    <row r="1426" spans="1:1" x14ac:dyDescent="0.2">
      <c r="A1426" s="91">
        <v>1574.64</v>
      </c>
    </row>
    <row r="1427" spans="1:1" x14ac:dyDescent="0.2">
      <c r="A1427" s="91">
        <v>1399.68</v>
      </c>
    </row>
    <row r="1428" spans="1:1" x14ac:dyDescent="0.2">
      <c r="A1428" s="91">
        <v>6679.98</v>
      </c>
    </row>
    <row r="1429" spans="1:1" x14ac:dyDescent="0.2">
      <c r="A1429" s="91">
        <v>130.97999999999999</v>
      </c>
    </row>
    <row r="1430" spans="1:1" x14ac:dyDescent="0.2">
      <c r="A1430" s="91">
        <v>3419.28</v>
      </c>
    </row>
    <row r="1431" spans="1:1" x14ac:dyDescent="0.2">
      <c r="A1431" s="91">
        <v>759.84</v>
      </c>
    </row>
    <row r="1432" spans="1:1" x14ac:dyDescent="0.2">
      <c r="A1432" s="91">
        <v>189.96</v>
      </c>
    </row>
    <row r="1433" spans="1:1" x14ac:dyDescent="0.2">
      <c r="A1433" s="91">
        <v>5015</v>
      </c>
    </row>
    <row r="1434" spans="1:1" x14ac:dyDescent="0.2">
      <c r="A1434" s="91">
        <v>1770</v>
      </c>
    </row>
    <row r="1435" spans="1:1" x14ac:dyDescent="0.2">
      <c r="A1435" s="91">
        <v>354</v>
      </c>
    </row>
    <row r="1436" spans="1:1" x14ac:dyDescent="0.2">
      <c r="A1436" s="91">
        <v>69</v>
      </c>
    </row>
    <row r="1437" spans="1:1" x14ac:dyDescent="0.2">
      <c r="A1437" s="91">
        <v>69</v>
      </c>
    </row>
    <row r="1438" spans="1:1" x14ac:dyDescent="0.2">
      <c r="A1438" s="91">
        <v>264</v>
      </c>
    </row>
    <row r="1439" spans="1:1" x14ac:dyDescent="0.2">
      <c r="A1439" s="91">
        <v>264</v>
      </c>
    </row>
    <row r="1440" spans="1:1" x14ac:dyDescent="0.2">
      <c r="A1440" s="91">
        <v>176</v>
      </c>
    </row>
    <row r="1441" spans="1:1" x14ac:dyDescent="0.2">
      <c r="A1441" s="91">
        <v>435</v>
      </c>
    </row>
    <row r="1442" spans="1:1" x14ac:dyDescent="0.2">
      <c r="A1442" s="91">
        <v>225.12</v>
      </c>
    </row>
    <row r="1443" spans="1:1" x14ac:dyDescent="0.2">
      <c r="A1443" s="91">
        <v>191.04</v>
      </c>
    </row>
    <row r="1444" spans="1:1" x14ac:dyDescent="0.2">
      <c r="A1444" s="91">
        <v>1200</v>
      </c>
    </row>
    <row r="1445" spans="1:1" x14ac:dyDescent="0.2">
      <c r="A1445" s="91">
        <v>87.48</v>
      </c>
    </row>
    <row r="1446" spans="1:1" x14ac:dyDescent="0.2">
      <c r="A1446" s="91">
        <v>87.48</v>
      </c>
    </row>
    <row r="1447" spans="1:1" x14ac:dyDescent="0.2">
      <c r="A1447" s="91">
        <v>13513.58</v>
      </c>
    </row>
    <row r="1448" spans="1:1" x14ac:dyDescent="0.2">
      <c r="A1448" s="91">
        <v>189.96</v>
      </c>
    </row>
    <row r="1449" spans="1:1" x14ac:dyDescent="0.2">
      <c r="A1449" s="91">
        <v>217.5</v>
      </c>
    </row>
    <row r="1450" spans="1:1" x14ac:dyDescent="0.2">
      <c r="A1450" s="91">
        <v>3900</v>
      </c>
    </row>
    <row r="1451" spans="1:1" x14ac:dyDescent="0.2">
      <c r="A1451" s="91">
        <v>2340</v>
      </c>
    </row>
    <row r="1452" spans="1:1" x14ac:dyDescent="0.2">
      <c r="A1452" s="91">
        <v>874.8</v>
      </c>
    </row>
    <row r="1453" spans="1:1" x14ac:dyDescent="0.2">
      <c r="A1453" s="91">
        <v>174.96</v>
      </c>
    </row>
    <row r="1454" spans="1:1" x14ac:dyDescent="0.2">
      <c r="A1454" s="91">
        <v>174.96</v>
      </c>
    </row>
    <row r="1455" spans="1:1" x14ac:dyDescent="0.2">
      <c r="A1455" s="91">
        <v>523.91999999999996</v>
      </c>
    </row>
    <row r="1456" spans="1:1" x14ac:dyDescent="0.2">
      <c r="A1456" s="91">
        <v>28194</v>
      </c>
    </row>
    <row r="1457" spans="1:1" x14ac:dyDescent="0.2">
      <c r="A1457" s="91">
        <v>3759.2</v>
      </c>
    </row>
    <row r="1458" spans="1:1" x14ac:dyDescent="0.2">
      <c r="A1458" s="91">
        <v>3759.2</v>
      </c>
    </row>
    <row r="1459" spans="1:1" x14ac:dyDescent="0.2">
      <c r="A1459" s="91">
        <v>3515</v>
      </c>
    </row>
    <row r="1460" spans="1:1" x14ac:dyDescent="0.2">
      <c r="A1460" s="91">
        <v>703</v>
      </c>
    </row>
    <row r="1461" spans="1:1" x14ac:dyDescent="0.2">
      <c r="A1461" s="91">
        <v>1406</v>
      </c>
    </row>
    <row r="1462" spans="1:1" x14ac:dyDescent="0.2">
      <c r="A1462" s="91">
        <v>477.96</v>
      </c>
    </row>
    <row r="1463" spans="1:1" x14ac:dyDescent="0.2">
      <c r="A1463" s="91">
        <v>396</v>
      </c>
    </row>
    <row r="1464" spans="1:1" x14ac:dyDescent="0.2">
      <c r="A1464" s="91">
        <v>528</v>
      </c>
    </row>
    <row r="1465" spans="1:1" x14ac:dyDescent="0.2">
      <c r="A1465" s="91">
        <v>396</v>
      </c>
    </row>
    <row r="1466" spans="1:1" x14ac:dyDescent="0.2">
      <c r="A1466" s="91">
        <v>2011.8</v>
      </c>
    </row>
    <row r="1467" spans="1:1" x14ac:dyDescent="0.2">
      <c r="A1467" s="91">
        <v>612.36</v>
      </c>
    </row>
    <row r="1468" spans="1:1" x14ac:dyDescent="0.2">
      <c r="A1468" s="91">
        <v>262.44</v>
      </c>
    </row>
    <row r="1469" spans="1:1" x14ac:dyDescent="0.2">
      <c r="A1469" s="91">
        <v>7727.82</v>
      </c>
    </row>
    <row r="1470" spans="1:1" x14ac:dyDescent="0.2">
      <c r="A1470" s="91">
        <v>654.9</v>
      </c>
    </row>
    <row r="1471" spans="1:1" x14ac:dyDescent="0.2">
      <c r="A1471" s="91">
        <v>523.91999999999996</v>
      </c>
    </row>
    <row r="1472" spans="1:1" x14ac:dyDescent="0.2">
      <c r="A1472" s="91">
        <v>3989.16</v>
      </c>
    </row>
    <row r="1473" spans="1:1" x14ac:dyDescent="0.2">
      <c r="A1473" s="91">
        <v>1329.72</v>
      </c>
    </row>
    <row r="1474" spans="1:1" x14ac:dyDescent="0.2">
      <c r="A1474" s="91">
        <v>569.88</v>
      </c>
    </row>
    <row r="1475" spans="1:1" x14ac:dyDescent="0.2">
      <c r="A1475" s="91">
        <v>2065</v>
      </c>
    </row>
    <row r="1476" spans="1:1" x14ac:dyDescent="0.2">
      <c r="A1476" s="91">
        <v>944</v>
      </c>
    </row>
    <row r="1477" spans="1:1" x14ac:dyDescent="0.2">
      <c r="A1477" s="91">
        <v>944</v>
      </c>
    </row>
    <row r="1478" spans="1:1" x14ac:dyDescent="0.2">
      <c r="A1478" s="91">
        <v>69</v>
      </c>
    </row>
    <row r="1479" spans="1:1" x14ac:dyDescent="0.2">
      <c r="A1479" s="91">
        <v>88</v>
      </c>
    </row>
    <row r="1480" spans="1:1" x14ac:dyDescent="0.2">
      <c r="A1480" s="91">
        <v>260</v>
      </c>
    </row>
    <row r="1481" spans="1:1" x14ac:dyDescent="0.2">
      <c r="A1481" s="91">
        <v>30592.799999999999</v>
      </c>
    </row>
    <row r="1482" spans="1:1" x14ac:dyDescent="0.2">
      <c r="A1482" s="91">
        <v>7478.24</v>
      </c>
    </row>
    <row r="1483" spans="1:1" x14ac:dyDescent="0.2">
      <c r="A1483" s="91">
        <v>3399.2</v>
      </c>
    </row>
    <row r="1484" spans="1:1" x14ac:dyDescent="0.2">
      <c r="A1484" s="91">
        <v>23126.399999999998</v>
      </c>
    </row>
    <row r="1485" spans="1:1" x14ac:dyDescent="0.2">
      <c r="A1485" s="91">
        <v>770.87999999999988</v>
      </c>
    </row>
    <row r="1486" spans="1:1" x14ac:dyDescent="0.2">
      <c r="A1486" s="91">
        <v>513.91999999999996</v>
      </c>
    </row>
    <row r="1487" spans="1:1" x14ac:dyDescent="0.2">
      <c r="A1487" s="91">
        <v>4135.12</v>
      </c>
    </row>
    <row r="1488" spans="1:1" x14ac:dyDescent="0.2">
      <c r="A1488" s="91">
        <v>3759.2</v>
      </c>
    </row>
    <row r="1489" spans="1:1" x14ac:dyDescent="0.2">
      <c r="A1489" s="91">
        <v>1406</v>
      </c>
    </row>
    <row r="1490" spans="1:1" x14ac:dyDescent="0.2">
      <c r="A1490" s="91">
        <v>1406</v>
      </c>
    </row>
    <row r="1491" spans="1:1" x14ac:dyDescent="0.2">
      <c r="A1491" s="91">
        <v>425</v>
      </c>
    </row>
    <row r="1492" spans="1:1" x14ac:dyDescent="0.2">
      <c r="A1492" s="91">
        <v>717.24</v>
      </c>
    </row>
    <row r="1493" spans="1:1" x14ac:dyDescent="0.2">
      <c r="A1493" s="91">
        <v>4356</v>
      </c>
    </row>
    <row r="1494" spans="1:1" x14ac:dyDescent="0.2">
      <c r="A1494" s="91">
        <v>1716</v>
      </c>
    </row>
    <row r="1495" spans="1:1" x14ac:dyDescent="0.2">
      <c r="A1495" s="91">
        <v>924</v>
      </c>
    </row>
    <row r="1496" spans="1:1" x14ac:dyDescent="0.2">
      <c r="A1496" s="91">
        <v>3147.52</v>
      </c>
    </row>
    <row r="1497" spans="1:1" x14ac:dyDescent="0.2">
      <c r="A1497" s="91">
        <v>962.28</v>
      </c>
    </row>
    <row r="1498" spans="1:1" x14ac:dyDescent="0.2">
      <c r="A1498" s="91">
        <v>612.36</v>
      </c>
    </row>
    <row r="1499" spans="1:1" x14ac:dyDescent="0.2">
      <c r="A1499" s="91">
        <v>4584.2999999999993</v>
      </c>
    </row>
    <row r="1500" spans="1:1" x14ac:dyDescent="0.2">
      <c r="A1500" s="91">
        <v>654.9</v>
      </c>
    </row>
    <row r="1501" spans="1:1" x14ac:dyDescent="0.2">
      <c r="A1501" s="91">
        <v>523.91999999999996</v>
      </c>
    </row>
    <row r="1502" spans="1:1" x14ac:dyDescent="0.2">
      <c r="A1502" s="91">
        <v>8358.24</v>
      </c>
    </row>
    <row r="1503" spans="1:1" x14ac:dyDescent="0.2">
      <c r="A1503" s="91">
        <v>2089.56</v>
      </c>
    </row>
    <row r="1504" spans="1:1" x14ac:dyDescent="0.2">
      <c r="A1504" s="91">
        <v>2089.56</v>
      </c>
    </row>
    <row r="1505" spans="1:1" x14ac:dyDescent="0.2">
      <c r="A1505" s="91">
        <v>4543</v>
      </c>
    </row>
    <row r="1506" spans="1:1" x14ac:dyDescent="0.2">
      <c r="A1506" s="91">
        <v>767</v>
      </c>
    </row>
    <row r="1507" spans="1:1" x14ac:dyDescent="0.2">
      <c r="A1507" s="91">
        <v>708</v>
      </c>
    </row>
    <row r="1508" spans="1:1" x14ac:dyDescent="0.2">
      <c r="A1508" s="91">
        <v>88</v>
      </c>
    </row>
    <row r="1509" spans="1:1" x14ac:dyDescent="0.2">
      <c r="A1509" s="91">
        <v>675.36</v>
      </c>
    </row>
    <row r="1510" spans="1:1" x14ac:dyDescent="0.2">
      <c r="A1510" s="91">
        <v>240</v>
      </c>
    </row>
    <row r="1511" spans="1:1" x14ac:dyDescent="0.2">
      <c r="A1511" s="91">
        <v>528</v>
      </c>
    </row>
    <row r="1512" spans="1:1" x14ac:dyDescent="0.2">
      <c r="A1512" s="91">
        <v>792</v>
      </c>
    </row>
    <row r="1513" spans="1:1" x14ac:dyDescent="0.2">
      <c r="A1513" s="91">
        <v>660</v>
      </c>
    </row>
    <row r="1514" spans="1:1" x14ac:dyDescent="0.2">
      <c r="A1514" s="91">
        <v>2424.44</v>
      </c>
    </row>
    <row r="1515" spans="1:1" x14ac:dyDescent="0.2">
      <c r="A1515" s="91">
        <v>519.88</v>
      </c>
    </row>
    <row r="1516" spans="1:1" x14ac:dyDescent="0.2">
      <c r="A1516" s="91">
        <v>514.88</v>
      </c>
    </row>
    <row r="1517" spans="1:1" x14ac:dyDescent="0.2">
      <c r="A1517" s="91">
        <v>1833.7199999999998</v>
      </c>
    </row>
    <row r="1518" spans="1:1" x14ac:dyDescent="0.2">
      <c r="A1518" s="91">
        <v>1027.8399999999999</v>
      </c>
    </row>
    <row r="1519" spans="1:1" x14ac:dyDescent="0.2">
      <c r="A1519" s="91">
        <v>1029.3599999999999</v>
      </c>
    </row>
    <row r="1520" spans="1:1" x14ac:dyDescent="0.2">
      <c r="A1520" s="91">
        <v>1709.64</v>
      </c>
    </row>
    <row r="1521" spans="1:1" x14ac:dyDescent="0.2">
      <c r="A1521" s="91">
        <v>189.96</v>
      </c>
    </row>
    <row r="1522" spans="1:1" x14ac:dyDescent="0.2">
      <c r="A1522" s="91">
        <v>742.08</v>
      </c>
    </row>
    <row r="1523" spans="1:1" x14ac:dyDescent="0.2">
      <c r="A1523" s="91">
        <v>742.08</v>
      </c>
    </row>
    <row r="1524" spans="1:1" x14ac:dyDescent="0.2">
      <c r="A1524" s="91">
        <v>2655</v>
      </c>
    </row>
    <row r="1525" spans="1:1" x14ac:dyDescent="0.2">
      <c r="A1525" s="91">
        <v>826</v>
      </c>
    </row>
    <row r="1526" spans="1:1" x14ac:dyDescent="0.2">
      <c r="A1526" s="91">
        <v>472</v>
      </c>
    </row>
    <row r="1527" spans="1:1" x14ac:dyDescent="0.2">
      <c r="A1527" s="91">
        <v>225.12</v>
      </c>
    </row>
    <row r="1528" spans="1:1" x14ac:dyDescent="0.2">
      <c r="A1528" s="91">
        <v>480</v>
      </c>
    </row>
    <row r="1529" spans="1:1" x14ac:dyDescent="0.2">
      <c r="A1529" s="91">
        <v>924</v>
      </c>
    </row>
    <row r="1530" spans="1:1" x14ac:dyDescent="0.2">
      <c r="A1530" s="91">
        <v>349.21000000000004</v>
      </c>
    </row>
    <row r="1531" spans="1:1" x14ac:dyDescent="0.2">
      <c r="A1531" s="91">
        <v>51.03</v>
      </c>
    </row>
    <row r="1532" spans="1:1" x14ac:dyDescent="0.2">
      <c r="A1532" s="91">
        <v>174.96</v>
      </c>
    </row>
    <row r="1533" spans="1:1" x14ac:dyDescent="0.2">
      <c r="A1533" s="91">
        <v>785.87999999999988</v>
      </c>
    </row>
    <row r="1534" spans="1:1" x14ac:dyDescent="0.2">
      <c r="A1534" s="91">
        <v>379.92</v>
      </c>
    </row>
    <row r="1535" spans="1:1" x14ac:dyDescent="0.2">
      <c r="A1535" s="91">
        <v>59</v>
      </c>
    </row>
    <row r="1536" spans="1:1" x14ac:dyDescent="0.2">
      <c r="A1536" s="91">
        <v>118</v>
      </c>
    </row>
    <row r="1537" spans="1:1" x14ac:dyDescent="0.2">
      <c r="A1537" s="91">
        <v>2214.48</v>
      </c>
    </row>
    <row r="1538" spans="1:1" x14ac:dyDescent="0.2">
      <c r="A1538" s="91">
        <v>684.84</v>
      </c>
    </row>
    <row r="1539" spans="1:1" x14ac:dyDescent="0.2">
      <c r="A1539" s="91">
        <v>4111.3599999999997</v>
      </c>
    </row>
    <row r="1540" spans="1:1" x14ac:dyDescent="0.2">
      <c r="A1540" s="91">
        <v>770.87999999999988</v>
      </c>
    </row>
    <row r="1541" spans="1:1" x14ac:dyDescent="0.2">
      <c r="A1541" s="91">
        <v>4898.96</v>
      </c>
    </row>
    <row r="1542" spans="1:1" x14ac:dyDescent="0.2">
      <c r="A1542" s="91">
        <v>379.92</v>
      </c>
    </row>
    <row r="1543" spans="1:1" x14ac:dyDescent="0.2">
      <c r="A1543" s="91">
        <v>759.84</v>
      </c>
    </row>
    <row r="1544" spans="1:1" x14ac:dyDescent="0.2">
      <c r="A1544" s="91">
        <v>2114</v>
      </c>
    </row>
    <row r="1545" spans="1:1" x14ac:dyDescent="0.2">
      <c r="A1545" s="91">
        <v>703</v>
      </c>
    </row>
    <row r="1546" spans="1:1" x14ac:dyDescent="0.2">
      <c r="A1546" s="91">
        <v>379.71999999999997</v>
      </c>
    </row>
    <row r="1547" spans="1:1" x14ac:dyDescent="0.2">
      <c r="A1547" s="91">
        <v>920</v>
      </c>
    </row>
    <row r="1548" spans="1:1" x14ac:dyDescent="0.2">
      <c r="A1548" s="91">
        <v>9797.7199999999993</v>
      </c>
    </row>
    <row r="1549" spans="1:1" x14ac:dyDescent="0.2">
      <c r="A1549" s="91">
        <v>1117.24</v>
      </c>
    </row>
    <row r="1550" spans="1:1" x14ac:dyDescent="0.2">
      <c r="A1550" s="91">
        <v>1302.2</v>
      </c>
    </row>
    <row r="1551" spans="1:1" x14ac:dyDescent="0.2">
      <c r="A1551" s="91">
        <v>6624.98</v>
      </c>
    </row>
    <row r="1552" spans="1:1" x14ac:dyDescent="0.2">
      <c r="A1552" s="91">
        <v>644.9</v>
      </c>
    </row>
    <row r="1553" spans="1:1" x14ac:dyDescent="0.2">
      <c r="A1553" s="91">
        <v>648.54</v>
      </c>
    </row>
    <row r="1554" spans="1:1" x14ac:dyDescent="0.2">
      <c r="A1554" s="91">
        <v>5128.92</v>
      </c>
    </row>
    <row r="1555" spans="1:1" x14ac:dyDescent="0.2">
      <c r="A1555" s="91">
        <v>4956</v>
      </c>
    </row>
    <row r="1556" spans="1:1" x14ac:dyDescent="0.2">
      <c r="A1556" s="91">
        <v>69</v>
      </c>
    </row>
    <row r="1557" spans="1:1" x14ac:dyDescent="0.2">
      <c r="A1557" s="91">
        <v>88</v>
      </c>
    </row>
    <row r="1558" spans="1:1" x14ac:dyDescent="0.2">
      <c r="A1558" s="91">
        <v>217.5</v>
      </c>
    </row>
    <row r="1559" spans="1:1" x14ac:dyDescent="0.2">
      <c r="A1559" s="91">
        <v>960</v>
      </c>
    </row>
    <row r="1560" spans="1:1" x14ac:dyDescent="0.2">
      <c r="A1560" s="91">
        <v>7280</v>
      </c>
    </row>
    <row r="1561" spans="1:1" x14ac:dyDescent="0.2">
      <c r="A1561" s="91">
        <v>19545.400000000001</v>
      </c>
    </row>
    <row r="1562" spans="1:1" x14ac:dyDescent="0.2">
      <c r="A1562" s="91">
        <v>7648.2</v>
      </c>
    </row>
    <row r="1563" spans="1:1" x14ac:dyDescent="0.2">
      <c r="A1563" s="91">
        <v>18244.16</v>
      </c>
    </row>
    <row r="1564" spans="1:1" x14ac:dyDescent="0.2">
      <c r="A1564" s="91">
        <v>4111.3599999999997</v>
      </c>
    </row>
    <row r="1565" spans="1:1" x14ac:dyDescent="0.2">
      <c r="A1565" s="91">
        <v>4111.3599999999997</v>
      </c>
    </row>
    <row r="1566" spans="1:1" x14ac:dyDescent="0.2">
      <c r="A1566" s="91">
        <v>30073.599999999999</v>
      </c>
    </row>
    <row r="1567" spans="1:1" x14ac:dyDescent="0.2">
      <c r="A1567" s="91">
        <v>9398</v>
      </c>
    </row>
    <row r="1568" spans="1:1" x14ac:dyDescent="0.2">
      <c r="A1568" s="91">
        <v>7518.4</v>
      </c>
    </row>
    <row r="1569" spans="1:1" x14ac:dyDescent="0.2">
      <c r="A1569" s="91">
        <v>14060</v>
      </c>
    </row>
    <row r="1570" spans="1:1" x14ac:dyDescent="0.2">
      <c r="A1570" s="91">
        <v>4218</v>
      </c>
    </row>
    <row r="1571" spans="1:1" x14ac:dyDescent="0.2">
      <c r="A1571" s="91">
        <v>4218</v>
      </c>
    </row>
    <row r="1572" spans="1:1" x14ac:dyDescent="0.2">
      <c r="A1572" s="91">
        <v>880.00000000000011</v>
      </c>
    </row>
    <row r="1573" spans="1:1" x14ac:dyDescent="0.2">
      <c r="A1573" s="91">
        <v>880.00000000000011</v>
      </c>
    </row>
    <row r="1574" spans="1:1" x14ac:dyDescent="0.2">
      <c r="A1574" s="91">
        <v>425</v>
      </c>
    </row>
    <row r="1575" spans="1:1" x14ac:dyDescent="0.2">
      <c r="A1575" s="91">
        <v>440.24</v>
      </c>
    </row>
    <row r="1576" spans="1:1" x14ac:dyDescent="0.2">
      <c r="A1576" s="91">
        <v>186.04</v>
      </c>
    </row>
    <row r="1577" spans="1:1" x14ac:dyDescent="0.2">
      <c r="A1577" s="91">
        <v>4717.24</v>
      </c>
    </row>
    <row r="1578" spans="1:1" x14ac:dyDescent="0.2">
      <c r="A1578" s="91">
        <v>1470</v>
      </c>
    </row>
    <row r="1579" spans="1:1" x14ac:dyDescent="0.2">
      <c r="A1579" s="91">
        <v>2244</v>
      </c>
    </row>
    <row r="1580" spans="1:1" x14ac:dyDescent="0.2">
      <c r="A1580" s="91">
        <v>528</v>
      </c>
    </row>
    <row r="1581" spans="1:1" x14ac:dyDescent="0.2">
      <c r="A1581" s="91">
        <v>264</v>
      </c>
    </row>
    <row r="1582" spans="1:1" x14ac:dyDescent="0.2">
      <c r="A1582" s="91">
        <v>4108.5600000000004</v>
      </c>
    </row>
    <row r="1583" spans="1:1" x14ac:dyDescent="0.2">
      <c r="A1583" s="91">
        <v>1048.76</v>
      </c>
    </row>
    <row r="1584" spans="1:1" x14ac:dyDescent="0.2">
      <c r="A1584" s="91">
        <v>1135.24</v>
      </c>
    </row>
    <row r="1585" spans="1:1" x14ac:dyDescent="0.2">
      <c r="A1585" s="91">
        <v>257.95999999999998</v>
      </c>
    </row>
    <row r="1586" spans="1:1" x14ac:dyDescent="0.2">
      <c r="A1586" s="91">
        <v>260.58</v>
      </c>
    </row>
    <row r="1587" spans="1:1" x14ac:dyDescent="0.2">
      <c r="A1587" s="91">
        <v>8168.28</v>
      </c>
    </row>
    <row r="1588" spans="1:1" x14ac:dyDescent="0.2">
      <c r="A1588" s="91">
        <v>1329.72</v>
      </c>
    </row>
    <row r="1589" spans="1:1" x14ac:dyDescent="0.2">
      <c r="A1589" s="91">
        <v>949.8</v>
      </c>
    </row>
    <row r="1590" spans="1:1" x14ac:dyDescent="0.2">
      <c r="A1590" s="91">
        <v>742.08</v>
      </c>
    </row>
    <row r="1591" spans="1:1" x14ac:dyDescent="0.2">
      <c r="A1591" s="91">
        <v>742.08</v>
      </c>
    </row>
    <row r="1592" spans="1:1" x14ac:dyDescent="0.2">
      <c r="A1592" s="91">
        <v>1484.16</v>
      </c>
    </row>
    <row r="1593" spans="1:1" x14ac:dyDescent="0.2">
      <c r="A1593" s="91">
        <v>2226.2400000000002</v>
      </c>
    </row>
    <row r="1594" spans="1:1" x14ac:dyDescent="0.2">
      <c r="A1594" s="91">
        <v>5900</v>
      </c>
    </row>
    <row r="1595" spans="1:1" x14ac:dyDescent="0.2">
      <c r="A1595" s="91">
        <v>590</v>
      </c>
    </row>
    <row r="1596" spans="1:1" x14ac:dyDescent="0.2">
      <c r="A1596" s="91">
        <v>59</v>
      </c>
    </row>
    <row r="1597" spans="1:1" x14ac:dyDescent="0.2">
      <c r="A1597" s="91">
        <v>435</v>
      </c>
    </row>
    <row r="1598" spans="1:1" x14ac:dyDescent="0.2">
      <c r="A1598" s="91">
        <v>225.12</v>
      </c>
    </row>
    <row r="1599" spans="1:1" x14ac:dyDescent="0.2">
      <c r="A1599" s="91">
        <v>191.04</v>
      </c>
    </row>
    <row r="1600" spans="1:1" x14ac:dyDescent="0.2">
      <c r="A1600" s="91">
        <v>2400</v>
      </c>
    </row>
    <row r="1601" spans="1:1" x14ac:dyDescent="0.2">
      <c r="A1601" s="91">
        <v>4060.3799999999997</v>
      </c>
    </row>
    <row r="1602" spans="1:1" x14ac:dyDescent="0.2">
      <c r="A1602" s="91">
        <v>2640</v>
      </c>
    </row>
    <row r="1603" spans="1:1" x14ac:dyDescent="0.2">
      <c r="A1603" s="91">
        <v>1056</v>
      </c>
    </row>
    <row r="1604" spans="1:1" x14ac:dyDescent="0.2">
      <c r="A1604" s="91">
        <v>528</v>
      </c>
    </row>
    <row r="1605" spans="1:1" x14ac:dyDescent="0.2">
      <c r="A1605" s="91">
        <v>2798.84</v>
      </c>
    </row>
    <row r="1606" spans="1:1" x14ac:dyDescent="0.2">
      <c r="A1606" s="91">
        <v>874.8</v>
      </c>
    </row>
    <row r="1607" spans="1:1" x14ac:dyDescent="0.2">
      <c r="A1607" s="91">
        <v>1049.76</v>
      </c>
    </row>
    <row r="1608" spans="1:1" x14ac:dyDescent="0.2">
      <c r="A1608" s="91">
        <v>7989.78</v>
      </c>
    </row>
    <row r="1609" spans="1:1" x14ac:dyDescent="0.2">
      <c r="A1609" s="91">
        <v>523.91999999999996</v>
      </c>
    </row>
    <row r="1610" spans="1:1" x14ac:dyDescent="0.2">
      <c r="A1610" s="91">
        <v>1309.8</v>
      </c>
    </row>
    <row r="1611" spans="1:1" x14ac:dyDescent="0.2">
      <c r="A1611" s="91">
        <v>4749</v>
      </c>
    </row>
    <row r="1612" spans="1:1" x14ac:dyDescent="0.2">
      <c r="A1612" s="91">
        <v>1899.6</v>
      </c>
    </row>
    <row r="1613" spans="1:1" x14ac:dyDescent="0.2">
      <c r="A1613" s="91">
        <v>1139.76</v>
      </c>
    </row>
    <row r="1614" spans="1:1" x14ac:dyDescent="0.2">
      <c r="A1614" s="91">
        <v>4838</v>
      </c>
    </row>
    <row r="1615" spans="1:1" x14ac:dyDescent="0.2">
      <c r="A1615" s="91">
        <v>649</v>
      </c>
    </row>
    <row r="1616" spans="1:1" x14ac:dyDescent="0.2">
      <c r="A1616" s="91">
        <v>767</v>
      </c>
    </row>
    <row r="1617" spans="1:1" x14ac:dyDescent="0.2">
      <c r="A1617" s="91">
        <v>176</v>
      </c>
    </row>
    <row r="1618" spans="1:1" x14ac:dyDescent="0.2">
      <c r="A1618" s="91">
        <v>176</v>
      </c>
    </row>
    <row r="1619" spans="1:1" x14ac:dyDescent="0.2">
      <c r="A1619" s="91">
        <v>652.5</v>
      </c>
    </row>
    <row r="1620" spans="1:1" x14ac:dyDescent="0.2">
      <c r="A1620" s="91">
        <v>450.24</v>
      </c>
    </row>
    <row r="1621" spans="1:1" x14ac:dyDescent="0.2">
      <c r="A1621" s="91">
        <v>1440</v>
      </c>
    </row>
    <row r="1622" spans="1:1" x14ac:dyDescent="0.2">
      <c r="A1622" s="91">
        <v>176</v>
      </c>
    </row>
    <row r="1623" spans="1:1" x14ac:dyDescent="0.2">
      <c r="A1623" s="91">
        <v>2732</v>
      </c>
    </row>
    <row r="1624" spans="1:1" x14ac:dyDescent="0.2">
      <c r="A1624" s="91">
        <v>1300</v>
      </c>
    </row>
    <row r="1625" spans="1:1" x14ac:dyDescent="0.2">
      <c r="A1625" s="91">
        <v>349.92</v>
      </c>
    </row>
    <row r="1626" spans="1:1" x14ac:dyDescent="0.2">
      <c r="A1626" s="91">
        <v>12465.06</v>
      </c>
    </row>
    <row r="1627" spans="1:1" x14ac:dyDescent="0.2">
      <c r="A1627" s="91">
        <v>130.97999999999999</v>
      </c>
    </row>
    <row r="1628" spans="1:1" x14ac:dyDescent="0.2">
      <c r="A1628" s="91">
        <v>569.88</v>
      </c>
    </row>
    <row r="1629" spans="1:1" x14ac:dyDescent="0.2">
      <c r="A1629" s="91">
        <v>1129.76</v>
      </c>
    </row>
    <row r="1630" spans="1:1" x14ac:dyDescent="0.2">
      <c r="A1630" s="91">
        <v>1879.6</v>
      </c>
    </row>
    <row r="1631" spans="1:1" x14ac:dyDescent="0.2">
      <c r="A1631" s="91">
        <v>1882.8</v>
      </c>
    </row>
    <row r="1632" spans="1:1" x14ac:dyDescent="0.2">
      <c r="A1632" s="91">
        <v>552</v>
      </c>
    </row>
    <row r="1633" spans="1:1" x14ac:dyDescent="0.2">
      <c r="A1633" s="91">
        <v>240</v>
      </c>
    </row>
    <row r="1634" spans="1:1" x14ac:dyDescent="0.2">
      <c r="A1634" s="91">
        <v>3900</v>
      </c>
    </row>
    <row r="1635" spans="1:1" x14ac:dyDescent="0.2">
      <c r="A1635" s="91">
        <v>3900</v>
      </c>
    </row>
    <row r="1636" spans="1:1" x14ac:dyDescent="0.2">
      <c r="A1636" s="91">
        <v>1300</v>
      </c>
    </row>
    <row r="1637" spans="1:1" x14ac:dyDescent="0.2">
      <c r="A1637" s="91">
        <v>9398</v>
      </c>
    </row>
    <row r="1638" spans="1:1" x14ac:dyDescent="0.2">
      <c r="A1638" s="91">
        <v>3759.2</v>
      </c>
    </row>
    <row r="1639" spans="1:1" x14ac:dyDescent="0.2">
      <c r="A1639" s="91">
        <v>3685.4</v>
      </c>
    </row>
    <row r="1640" spans="1:1" x14ac:dyDescent="0.2">
      <c r="A1640" s="91">
        <v>2211.2400000000002</v>
      </c>
    </row>
    <row r="1641" spans="1:1" x14ac:dyDescent="0.2">
      <c r="A1641" s="91">
        <v>3685.4</v>
      </c>
    </row>
    <row r="1642" spans="1:1" x14ac:dyDescent="0.2">
      <c r="A1642" s="91">
        <v>3685.4</v>
      </c>
    </row>
    <row r="1643" spans="1:1" x14ac:dyDescent="0.2">
      <c r="A1643" s="91">
        <v>1406</v>
      </c>
    </row>
    <row r="1644" spans="1:1" x14ac:dyDescent="0.2">
      <c r="A1644" s="91">
        <v>1406</v>
      </c>
    </row>
    <row r="1645" spans="1:1" x14ac:dyDescent="0.2">
      <c r="A1645" s="91">
        <v>1176.3599999999999</v>
      </c>
    </row>
    <row r="1646" spans="1:1" x14ac:dyDescent="0.2">
      <c r="A1646" s="91">
        <v>1452</v>
      </c>
    </row>
    <row r="1647" spans="1:1" x14ac:dyDescent="0.2">
      <c r="A1647" s="91">
        <v>132</v>
      </c>
    </row>
    <row r="1648" spans="1:1" x14ac:dyDescent="0.2">
      <c r="A1648" s="91">
        <v>264</v>
      </c>
    </row>
    <row r="1649" spans="1:1" x14ac:dyDescent="0.2">
      <c r="A1649" s="91">
        <v>524.88</v>
      </c>
    </row>
    <row r="1650" spans="1:1" x14ac:dyDescent="0.2">
      <c r="A1650" s="91">
        <v>7328.32</v>
      </c>
    </row>
    <row r="1651" spans="1:1" x14ac:dyDescent="0.2">
      <c r="A1651" s="91">
        <v>174.96</v>
      </c>
    </row>
    <row r="1652" spans="1:1" x14ac:dyDescent="0.2">
      <c r="A1652" s="91">
        <v>1564.64</v>
      </c>
    </row>
    <row r="1653" spans="1:1" x14ac:dyDescent="0.2">
      <c r="A1653" s="91">
        <v>4191.3599999999997</v>
      </c>
    </row>
    <row r="1654" spans="1:1" x14ac:dyDescent="0.2">
      <c r="A1654" s="91">
        <v>130.97999999999999</v>
      </c>
    </row>
    <row r="1655" spans="1:1" x14ac:dyDescent="0.2">
      <c r="A1655" s="91">
        <v>523.91999999999996</v>
      </c>
    </row>
    <row r="1656" spans="1:1" x14ac:dyDescent="0.2">
      <c r="A1656" s="91">
        <v>5318.88</v>
      </c>
    </row>
    <row r="1657" spans="1:1" x14ac:dyDescent="0.2">
      <c r="A1657" s="91">
        <v>1323.72</v>
      </c>
    </row>
    <row r="1658" spans="1:1" x14ac:dyDescent="0.2">
      <c r="A1658" s="91">
        <v>565.88</v>
      </c>
    </row>
    <row r="1659" spans="1:1" x14ac:dyDescent="0.2">
      <c r="A1659" s="91">
        <v>3894</v>
      </c>
    </row>
    <row r="1660" spans="1:1" x14ac:dyDescent="0.2">
      <c r="A1660" s="91">
        <v>177</v>
      </c>
    </row>
    <row r="1661" spans="1:1" x14ac:dyDescent="0.2">
      <c r="A1661" s="91">
        <v>177</v>
      </c>
    </row>
    <row r="1662" spans="1:1" x14ac:dyDescent="0.2">
      <c r="A1662" s="91">
        <v>1390.92</v>
      </c>
    </row>
    <row r="1663" spans="1:1" x14ac:dyDescent="0.2">
      <c r="A1663" s="91">
        <v>176</v>
      </c>
    </row>
    <row r="1664" spans="1:1" x14ac:dyDescent="0.2">
      <c r="A1664" s="91">
        <v>105.60000000000001</v>
      </c>
    </row>
    <row r="1665" spans="1:1" x14ac:dyDescent="0.2">
      <c r="A1665" s="91">
        <v>217.5</v>
      </c>
    </row>
    <row r="1666" spans="1:1" x14ac:dyDescent="0.2">
      <c r="A1666" s="91">
        <v>675.36</v>
      </c>
    </row>
    <row r="1667" spans="1:1" x14ac:dyDescent="0.2">
      <c r="A1667" s="91">
        <v>382.08</v>
      </c>
    </row>
    <row r="1668" spans="1:1" x14ac:dyDescent="0.2">
      <c r="A1668" s="91">
        <v>14300</v>
      </c>
    </row>
    <row r="1669" spans="1:1" x14ac:dyDescent="0.2">
      <c r="A1669" s="91">
        <v>8060</v>
      </c>
    </row>
    <row r="1670" spans="1:1" x14ac:dyDescent="0.2">
      <c r="A1670" s="91">
        <v>6110</v>
      </c>
    </row>
    <row r="1671" spans="1:1" x14ac:dyDescent="0.2">
      <c r="A1671" s="91">
        <v>14446.6</v>
      </c>
    </row>
    <row r="1672" spans="1:1" x14ac:dyDescent="0.2">
      <c r="A1672" s="91">
        <v>1359.68</v>
      </c>
    </row>
    <row r="1673" spans="1:1" x14ac:dyDescent="0.2">
      <c r="A1673" s="91">
        <v>19528.96</v>
      </c>
    </row>
    <row r="1674" spans="1:1" x14ac:dyDescent="0.2">
      <c r="A1674" s="91">
        <v>2569.6</v>
      </c>
    </row>
    <row r="1675" spans="1:1" x14ac:dyDescent="0.2">
      <c r="A1675" s="91">
        <v>40035.480000000003</v>
      </c>
    </row>
    <row r="1676" spans="1:1" x14ac:dyDescent="0.2">
      <c r="A1676" s="91">
        <v>3759.2</v>
      </c>
    </row>
    <row r="1677" spans="1:1" x14ac:dyDescent="0.2">
      <c r="A1677" s="91">
        <v>7894.32</v>
      </c>
    </row>
    <row r="1678" spans="1:1" x14ac:dyDescent="0.2">
      <c r="A1678" s="91">
        <v>18278</v>
      </c>
    </row>
    <row r="1679" spans="1:1" x14ac:dyDescent="0.2">
      <c r="A1679" s="91">
        <v>4218</v>
      </c>
    </row>
    <row r="1680" spans="1:1" x14ac:dyDescent="0.2">
      <c r="A1680" s="91">
        <v>4218</v>
      </c>
    </row>
    <row r="1681" spans="1:1" x14ac:dyDescent="0.2">
      <c r="A1681" s="91">
        <v>3515</v>
      </c>
    </row>
    <row r="1682" spans="1:1" x14ac:dyDescent="0.2">
      <c r="A1682" s="91">
        <v>425</v>
      </c>
    </row>
    <row r="1683" spans="1:1" x14ac:dyDescent="0.2">
      <c r="A1683" s="91">
        <v>660.36</v>
      </c>
    </row>
    <row r="1684" spans="1:1" x14ac:dyDescent="0.2">
      <c r="A1684" s="91">
        <v>1488.32</v>
      </c>
    </row>
    <row r="1685" spans="1:1" x14ac:dyDescent="0.2">
      <c r="A1685" s="91">
        <v>2599.48</v>
      </c>
    </row>
    <row r="1686" spans="1:1" x14ac:dyDescent="0.2">
      <c r="A1686" s="91">
        <v>3564</v>
      </c>
    </row>
    <row r="1687" spans="1:1" x14ac:dyDescent="0.2">
      <c r="A1687" s="91">
        <v>1320</v>
      </c>
    </row>
    <row r="1688" spans="1:1" x14ac:dyDescent="0.2">
      <c r="A1688" s="91">
        <v>1320</v>
      </c>
    </row>
    <row r="1689" spans="1:1" x14ac:dyDescent="0.2">
      <c r="A1689" s="91">
        <v>1452</v>
      </c>
    </row>
    <row r="1690" spans="1:1" x14ac:dyDescent="0.2">
      <c r="A1690" s="91">
        <v>2624.4</v>
      </c>
    </row>
    <row r="1691" spans="1:1" x14ac:dyDescent="0.2">
      <c r="A1691" s="91">
        <v>436.65999999999997</v>
      </c>
    </row>
    <row r="1692" spans="1:1" x14ac:dyDescent="0.2">
      <c r="A1692" s="91">
        <v>1049.76</v>
      </c>
    </row>
    <row r="1693" spans="1:1" x14ac:dyDescent="0.2">
      <c r="A1693" s="91">
        <v>4060.3799999999997</v>
      </c>
    </row>
    <row r="1694" spans="1:1" x14ac:dyDescent="0.2">
      <c r="A1694" s="91">
        <v>392.93999999999994</v>
      </c>
    </row>
    <row r="1695" spans="1:1" x14ac:dyDescent="0.2">
      <c r="A1695" s="91">
        <v>916.8599999999999</v>
      </c>
    </row>
    <row r="1696" spans="1:1" x14ac:dyDescent="0.2">
      <c r="A1696" s="91">
        <v>12917.28</v>
      </c>
    </row>
    <row r="1697" spans="1:1" x14ac:dyDescent="0.2">
      <c r="A1697" s="91">
        <v>1519.68</v>
      </c>
    </row>
    <row r="1698" spans="1:1" x14ac:dyDescent="0.2">
      <c r="A1698" s="91">
        <v>2849.4</v>
      </c>
    </row>
    <row r="1699" spans="1:1" x14ac:dyDescent="0.2">
      <c r="A1699" s="91">
        <v>10384</v>
      </c>
    </row>
    <row r="1700" spans="1:1" x14ac:dyDescent="0.2">
      <c r="A1700" s="91">
        <v>2183</v>
      </c>
    </row>
    <row r="1701" spans="1:1" x14ac:dyDescent="0.2">
      <c r="A1701" s="91">
        <v>2124</v>
      </c>
    </row>
    <row r="1702" spans="1:1" x14ac:dyDescent="0.2">
      <c r="A1702" s="91">
        <v>88</v>
      </c>
    </row>
    <row r="1703" spans="1:1" x14ac:dyDescent="0.2">
      <c r="A1703" s="91">
        <v>176</v>
      </c>
    </row>
    <row r="1704" spans="1:1" x14ac:dyDescent="0.2">
      <c r="A1704" s="91">
        <v>176</v>
      </c>
    </row>
    <row r="1705" spans="1:1" x14ac:dyDescent="0.2">
      <c r="A1705" s="91">
        <v>870</v>
      </c>
    </row>
    <row r="1706" spans="1:1" x14ac:dyDescent="0.2">
      <c r="A1706" s="91">
        <v>1125.6000000000001</v>
      </c>
    </row>
    <row r="1707" spans="1:1" x14ac:dyDescent="0.2">
      <c r="A1707" s="91">
        <v>191.04</v>
      </c>
    </row>
    <row r="1708" spans="1:1" x14ac:dyDescent="0.2">
      <c r="A1708" s="91">
        <v>1200</v>
      </c>
    </row>
    <row r="1709" spans="1:1" x14ac:dyDescent="0.2">
      <c r="A1709" s="91">
        <v>2112</v>
      </c>
    </row>
    <row r="1710" spans="1:1" x14ac:dyDescent="0.2">
      <c r="A1710" s="91">
        <v>1848</v>
      </c>
    </row>
    <row r="1711" spans="1:1" x14ac:dyDescent="0.2">
      <c r="A1711" s="91">
        <v>528</v>
      </c>
    </row>
    <row r="1712" spans="1:1" x14ac:dyDescent="0.2">
      <c r="A1712" s="91">
        <v>2886.2200000000003</v>
      </c>
    </row>
    <row r="1713" spans="1:1" x14ac:dyDescent="0.2">
      <c r="A1713" s="91">
        <v>612.36</v>
      </c>
    </row>
    <row r="1714" spans="1:1" x14ac:dyDescent="0.2">
      <c r="A1714" s="91">
        <v>437.4</v>
      </c>
    </row>
    <row r="1715" spans="1:1" x14ac:dyDescent="0.2">
      <c r="A1715" s="91">
        <v>2488.62</v>
      </c>
    </row>
    <row r="1716" spans="1:1" x14ac:dyDescent="0.2">
      <c r="A1716" s="91">
        <v>523.91999999999996</v>
      </c>
    </row>
    <row r="1717" spans="1:1" x14ac:dyDescent="0.2">
      <c r="A1717" s="91">
        <v>523.91999999999996</v>
      </c>
    </row>
    <row r="1718" spans="1:1" x14ac:dyDescent="0.2">
      <c r="A1718" s="91">
        <v>5128.92</v>
      </c>
    </row>
    <row r="1719" spans="1:1" x14ac:dyDescent="0.2">
      <c r="A1719" s="91">
        <v>1709.64</v>
      </c>
    </row>
    <row r="1720" spans="1:1" x14ac:dyDescent="0.2">
      <c r="A1720" s="91">
        <v>759.84</v>
      </c>
    </row>
    <row r="1721" spans="1:1" x14ac:dyDescent="0.2">
      <c r="A1721" s="91">
        <v>4484</v>
      </c>
    </row>
    <row r="1722" spans="1:1" x14ac:dyDescent="0.2">
      <c r="A1722" s="91">
        <v>590</v>
      </c>
    </row>
    <row r="1723" spans="1:1" x14ac:dyDescent="0.2">
      <c r="A1723" s="91">
        <v>354</v>
      </c>
    </row>
    <row r="1724" spans="1:1" x14ac:dyDescent="0.2">
      <c r="A1724" s="91">
        <v>1416</v>
      </c>
    </row>
    <row r="1725" spans="1:1" x14ac:dyDescent="0.2">
      <c r="A1725" s="91">
        <v>138</v>
      </c>
    </row>
    <row r="1726" spans="1:1" x14ac:dyDescent="0.2">
      <c r="A1726" s="91">
        <v>225.12</v>
      </c>
    </row>
    <row r="1727" spans="1:1" x14ac:dyDescent="0.2">
      <c r="A1727" s="91">
        <v>191.04</v>
      </c>
    </row>
    <row r="1728" spans="1:1" x14ac:dyDescent="0.2">
      <c r="A1728" s="91">
        <v>3600</v>
      </c>
    </row>
    <row r="1729" spans="1:1" x14ac:dyDescent="0.2">
      <c r="A1729" s="91">
        <v>3128</v>
      </c>
    </row>
    <row r="1730" spans="1:1" x14ac:dyDescent="0.2">
      <c r="A1730" s="91">
        <v>1564</v>
      </c>
    </row>
    <row r="1731" spans="1:1" x14ac:dyDescent="0.2">
      <c r="A1731" s="91">
        <v>1564</v>
      </c>
    </row>
    <row r="1732" spans="1:1" x14ac:dyDescent="0.2">
      <c r="A1732" s="91">
        <v>729</v>
      </c>
    </row>
    <row r="1733" spans="1:1" x14ac:dyDescent="0.2">
      <c r="A1733" s="91">
        <v>87.48</v>
      </c>
    </row>
    <row r="1734" spans="1:1" x14ac:dyDescent="0.2">
      <c r="A1734" s="91">
        <v>1420.78</v>
      </c>
    </row>
    <row r="1735" spans="1:1" x14ac:dyDescent="0.2">
      <c r="A1735" s="91">
        <v>2469.48</v>
      </c>
    </row>
    <row r="1736" spans="1:1" x14ac:dyDescent="0.2">
      <c r="A1736" s="91">
        <v>569.88</v>
      </c>
    </row>
    <row r="1737" spans="1:1" x14ac:dyDescent="0.2">
      <c r="A1737" s="91">
        <v>3590</v>
      </c>
    </row>
    <row r="1738" spans="1:1" x14ac:dyDescent="0.2">
      <c r="A1738" s="91">
        <v>59</v>
      </c>
    </row>
    <row r="1739" spans="1:1" x14ac:dyDescent="0.2">
      <c r="A1739" s="91">
        <v>704.38</v>
      </c>
    </row>
    <row r="1740" spans="1:1" x14ac:dyDescent="0.2">
      <c r="A1740" s="91">
        <v>88</v>
      </c>
    </row>
    <row r="1741" spans="1:1" x14ac:dyDescent="0.2">
      <c r="A1741" s="91">
        <v>160</v>
      </c>
    </row>
    <row r="1742" spans="1:1" x14ac:dyDescent="0.2">
      <c r="A1742" s="91">
        <v>1320</v>
      </c>
    </row>
    <row r="1743" spans="1:1" x14ac:dyDescent="0.2">
      <c r="A1743" s="91">
        <v>396</v>
      </c>
    </row>
    <row r="1744" spans="1:1" x14ac:dyDescent="0.2">
      <c r="A1744" s="91">
        <v>396</v>
      </c>
    </row>
    <row r="1745" spans="1:1" x14ac:dyDescent="0.2">
      <c r="A1745" s="91">
        <v>611.80000000000007</v>
      </c>
    </row>
    <row r="1746" spans="1:1" x14ac:dyDescent="0.2">
      <c r="A1746" s="91">
        <v>87.48</v>
      </c>
    </row>
    <row r="1747" spans="1:1" x14ac:dyDescent="0.2">
      <c r="A1747" s="91">
        <v>785.87999999999988</v>
      </c>
    </row>
    <row r="1748" spans="1:1" x14ac:dyDescent="0.2">
      <c r="A1748" s="91">
        <v>569.88</v>
      </c>
    </row>
    <row r="1749" spans="1:1" x14ac:dyDescent="0.2">
      <c r="A1749" s="91">
        <v>189.96</v>
      </c>
    </row>
    <row r="1750" spans="1:1" x14ac:dyDescent="0.2">
      <c r="A1750" s="91">
        <v>531</v>
      </c>
    </row>
    <row r="1751" spans="1:1" x14ac:dyDescent="0.2">
      <c r="A1751" s="91">
        <v>472</v>
      </c>
    </row>
    <row r="1752" spans="1:1" x14ac:dyDescent="0.2">
      <c r="A1752" s="91">
        <v>472</v>
      </c>
    </row>
    <row r="1753" spans="1:1" x14ac:dyDescent="0.2">
      <c r="A1753" s="91">
        <v>2884</v>
      </c>
    </row>
    <row r="1754" spans="1:1" x14ac:dyDescent="0.2">
      <c r="A1754" s="91">
        <v>1300</v>
      </c>
    </row>
    <row r="1755" spans="1:1" x14ac:dyDescent="0.2">
      <c r="A1755" s="91">
        <v>3900</v>
      </c>
    </row>
    <row r="1756" spans="1:1" x14ac:dyDescent="0.2">
      <c r="A1756" s="91">
        <v>169.96</v>
      </c>
    </row>
    <row r="1757" spans="1:1" x14ac:dyDescent="0.2">
      <c r="A1757" s="91">
        <v>9593.76</v>
      </c>
    </row>
    <row r="1758" spans="1:1" x14ac:dyDescent="0.2">
      <c r="A1758" s="91">
        <v>1893.56</v>
      </c>
    </row>
    <row r="1759" spans="1:1" x14ac:dyDescent="0.2">
      <c r="A1759" s="91">
        <v>7148.9</v>
      </c>
    </row>
    <row r="1760" spans="1:1" x14ac:dyDescent="0.2">
      <c r="A1760" s="91">
        <v>644.9</v>
      </c>
    </row>
    <row r="1761" spans="1:1" x14ac:dyDescent="0.2">
      <c r="A1761" s="91">
        <v>644.9</v>
      </c>
    </row>
    <row r="1762" spans="1:1" x14ac:dyDescent="0.2">
      <c r="A1762" s="91">
        <v>3975.16</v>
      </c>
    </row>
    <row r="1763" spans="1:1" x14ac:dyDescent="0.2">
      <c r="A1763" s="91">
        <v>379.92</v>
      </c>
    </row>
    <row r="1764" spans="1:1" x14ac:dyDescent="0.2">
      <c r="A1764" s="91">
        <v>1317.72</v>
      </c>
    </row>
    <row r="1765" spans="1:1" x14ac:dyDescent="0.2">
      <c r="A1765" s="91">
        <v>1474.16</v>
      </c>
    </row>
    <row r="1766" spans="1:1" x14ac:dyDescent="0.2">
      <c r="A1766" s="91">
        <v>4046</v>
      </c>
    </row>
    <row r="1767" spans="1:1" x14ac:dyDescent="0.2">
      <c r="A1767" s="91">
        <v>1583</v>
      </c>
    </row>
    <row r="1768" spans="1:1" x14ac:dyDescent="0.2">
      <c r="A1768" s="91">
        <v>2286</v>
      </c>
    </row>
    <row r="1769" spans="1:1" x14ac:dyDescent="0.2">
      <c r="A1769" s="91">
        <v>1406</v>
      </c>
    </row>
    <row r="1770" spans="1:1" x14ac:dyDescent="0.2">
      <c r="A1770" s="91">
        <v>1056</v>
      </c>
    </row>
    <row r="1771" spans="1:1" x14ac:dyDescent="0.2">
      <c r="A1771" s="91">
        <v>220.02</v>
      </c>
    </row>
    <row r="1772" spans="1:1" x14ac:dyDescent="0.2">
      <c r="A1772" s="91">
        <v>191.04</v>
      </c>
    </row>
    <row r="1773" spans="1:1" x14ac:dyDescent="0.2">
      <c r="A1773" s="91">
        <v>480</v>
      </c>
    </row>
    <row r="1774" spans="1:1" x14ac:dyDescent="0.2">
      <c r="A1774" s="91">
        <v>3640</v>
      </c>
    </row>
    <row r="1775" spans="1:1" x14ac:dyDescent="0.2">
      <c r="A1775" s="91">
        <v>1300</v>
      </c>
    </row>
    <row r="1776" spans="1:1" x14ac:dyDescent="0.2">
      <c r="A1776" s="91">
        <v>390</v>
      </c>
    </row>
    <row r="1777" spans="1:1" x14ac:dyDescent="0.2">
      <c r="A1777" s="91">
        <v>1699.6</v>
      </c>
    </row>
    <row r="1778" spans="1:1" x14ac:dyDescent="0.2">
      <c r="A1778" s="91">
        <v>24029.360000000001</v>
      </c>
    </row>
    <row r="1779" spans="1:1" x14ac:dyDescent="0.2">
      <c r="A1779" s="91">
        <v>3399.2</v>
      </c>
    </row>
    <row r="1780" spans="1:1" x14ac:dyDescent="0.2">
      <c r="A1780" s="91">
        <v>774.8</v>
      </c>
    </row>
    <row r="1781" spans="1:1" x14ac:dyDescent="0.2">
      <c r="A1781" s="91">
        <v>349.92</v>
      </c>
    </row>
    <row r="1782" spans="1:1" x14ac:dyDescent="0.2">
      <c r="A1782" s="91">
        <v>35203.519999999997</v>
      </c>
    </row>
    <row r="1783" spans="1:1" x14ac:dyDescent="0.2">
      <c r="A1783" s="91">
        <v>4625.28</v>
      </c>
    </row>
    <row r="1784" spans="1:1" x14ac:dyDescent="0.2">
      <c r="A1784" s="91">
        <v>2055.6799999999998</v>
      </c>
    </row>
    <row r="1785" spans="1:1" x14ac:dyDescent="0.2">
      <c r="A1785" s="91">
        <v>5639.92</v>
      </c>
    </row>
    <row r="1786" spans="1:1" x14ac:dyDescent="0.2">
      <c r="A1786" s="91">
        <v>949.8</v>
      </c>
    </row>
    <row r="1787" spans="1:1" x14ac:dyDescent="0.2">
      <c r="A1787" s="91">
        <v>379.92</v>
      </c>
    </row>
    <row r="1788" spans="1:1" x14ac:dyDescent="0.2">
      <c r="A1788" s="91">
        <v>1320</v>
      </c>
    </row>
    <row r="1789" spans="1:1" x14ac:dyDescent="0.2">
      <c r="A1789" s="91">
        <v>1188</v>
      </c>
    </row>
    <row r="1790" spans="1:1" x14ac:dyDescent="0.2">
      <c r="A1790" s="91">
        <v>792</v>
      </c>
    </row>
    <row r="1791" spans="1:1" x14ac:dyDescent="0.2">
      <c r="A1791" s="91">
        <v>3148.48</v>
      </c>
    </row>
    <row r="1792" spans="1:1" x14ac:dyDescent="0.2">
      <c r="A1792" s="91">
        <v>1224.72</v>
      </c>
    </row>
    <row r="1793" spans="1:1" x14ac:dyDescent="0.2">
      <c r="A1793" s="91">
        <v>4846.2599999999993</v>
      </c>
    </row>
    <row r="1794" spans="1:1" x14ac:dyDescent="0.2">
      <c r="A1794" s="91">
        <v>654.9</v>
      </c>
    </row>
    <row r="1795" spans="1:1" x14ac:dyDescent="0.2">
      <c r="A1795" s="91">
        <v>654.9</v>
      </c>
    </row>
    <row r="1796" spans="1:1" x14ac:dyDescent="0.2">
      <c r="A1796" s="91">
        <v>6078.72</v>
      </c>
    </row>
    <row r="1797" spans="1:1" x14ac:dyDescent="0.2">
      <c r="A1797" s="91">
        <v>1329.72</v>
      </c>
    </row>
    <row r="1798" spans="1:1" x14ac:dyDescent="0.2">
      <c r="A1798" s="91">
        <v>1139.76</v>
      </c>
    </row>
    <row r="1799" spans="1:1" x14ac:dyDescent="0.2">
      <c r="A1799" s="91">
        <v>5428</v>
      </c>
    </row>
    <row r="1800" spans="1:1" x14ac:dyDescent="0.2">
      <c r="A1800" s="91">
        <v>885</v>
      </c>
    </row>
    <row r="1801" spans="1:1" x14ac:dyDescent="0.2">
      <c r="A1801" s="91">
        <v>1475</v>
      </c>
    </row>
    <row r="1802" spans="1:1" x14ac:dyDescent="0.2">
      <c r="A1802" s="91">
        <v>217.5</v>
      </c>
    </row>
    <row r="1803" spans="1:1" x14ac:dyDescent="0.2">
      <c r="A1803" s="91">
        <v>191.04</v>
      </c>
    </row>
    <row r="1804" spans="1:1" x14ac:dyDescent="0.2">
      <c r="A1804" s="91">
        <v>1200</v>
      </c>
    </row>
    <row r="1805" spans="1:1" x14ac:dyDescent="0.2">
      <c r="A1805" s="91">
        <v>1452</v>
      </c>
    </row>
    <row r="1806" spans="1:1" x14ac:dyDescent="0.2">
      <c r="A1806" s="91">
        <v>528</v>
      </c>
    </row>
    <row r="1807" spans="1:1" x14ac:dyDescent="0.2">
      <c r="A1807" s="91">
        <v>528</v>
      </c>
    </row>
    <row r="1808" spans="1:1" x14ac:dyDescent="0.2">
      <c r="A1808" s="91">
        <v>4941.3599999999997</v>
      </c>
    </row>
    <row r="1809" spans="1:1" x14ac:dyDescent="0.2">
      <c r="A1809" s="91">
        <v>437.4</v>
      </c>
    </row>
    <row r="1810" spans="1:1" x14ac:dyDescent="0.2">
      <c r="A1810" s="91">
        <v>3632.4399999999996</v>
      </c>
    </row>
    <row r="1811" spans="1:1" x14ac:dyDescent="0.2">
      <c r="A1811" s="91">
        <v>513.91999999999996</v>
      </c>
    </row>
    <row r="1812" spans="1:1" x14ac:dyDescent="0.2">
      <c r="A1812" s="91">
        <v>256.95999999999998</v>
      </c>
    </row>
    <row r="1813" spans="1:1" x14ac:dyDescent="0.2">
      <c r="A1813" s="91">
        <v>1705.64</v>
      </c>
    </row>
    <row r="1814" spans="1:1" x14ac:dyDescent="0.2">
      <c r="A1814" s="91">
        <v>1709.64</v>
      </c>
    </row>
    <row r="1815" spans="1:1" x14ac:dyDescent="0.2">
      <c r="A1815" s="91">
        <v>189.96</v>
      </c>
    </row>
    <row r="1816" spans="1:1" x14ac:dyDescent="0.2">
      <c r="A1816" s="91">
        <v>189.96</v>
      </c>
    </row>
    <row r="1817" spans="1:1" x14ac:dyDescent="0.2">
      <c r="A1817" s="91">
        <v>5897.72</v>
      </c>
    </row>
    <row r="1818" spans="1:1" x14ac:dyDescent="0.2">
      <c r="A1818" s="91">
        <v>1180</v>
      </c>
    </row>
    <row r="1819" spans="1:1" x14ac:dyDescent="0.2">
      <c r="A1819" s="91">
        <v>1180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79"/>
  <sheetViews>
    <sheetView showGridLines="0" zoomScale="87" zoomScaleNormal="87" workbookViewId="0">
      <pane ySplit="5" topLeftCell="A6" activePane="bottomLeft" state="frozen"/>
      <selection pane="bottomLeft" activeCell="A3" sqref="A3"/>
    </sheetView>
  </sheetViews>
  <sheetFormatPr defaultColWidth="9.140625" defaultRowHeight="15" x14ac:dyDescent="0.25"/>
  <cols>
    <col min="1" max="1" width="11.28515625" style="34" bestFit="1" customWidth="1"/>
    <col min="2" max="2" width="23" style="4" customWidth="1"/>
    <col min="3" max="3" width="21.85546875" style="4" hidden="1" customWidth="1"/>
    <col min="4" max="4" width="17" style="4" customWidth="1"/>
    <col min="5" max="5" width="35.7109375" style="1" customWidth="1"/>
    <col min="6" max="6" width="9" style="4" customWidth="1"/>
    <col min="7" max="7" width="8.42578125" style="4" customWidth="1"/>
    <col min="8" max="8" width="15.42578125" style="16" customWidth="1"/>
    <col min="9" max="9" width="18.28515625" style="16" customWidth="1"/>
    <col min="10" max="10" width="14.7109375" style="2" customWidth="1"/>
    <col min="11" max="11" width="15.140625" style="2" customWidth="1"/>
    <col min="12" max="12" width="15.7109375" style="2" customWidth="1"/>
    <col min="13" max="16384" width="9.140625" style="1"/>
  </cols>
  <sheetData>
    <row r="1" spans="1:13" x14ac:dyDescent="0.25">
      <c r="A1" s="29" t="s">
        <v>1</v>
      </c>
    </row>
    <row r="2" spans="1:13" ht="15.75" thickBot="1" x14ac:dyDescent="0.3">
      <c r="A2" s="29" t="s">
        <v>15</v>
      </c>
    </row>
    <row r="3" spans="1:13" ht="16.5" thickBot="1" x14ac:dyDescent="0.3">
      <c r="A3" s="23" t="e">
        <f>+#REF!</f>
        <v>#REF!</v>
      </c>
      <c r="F3" s="51">
        <f>+F879</f>
        <v>0</v>
      </c>
      <c r="I3" s="52">
        <f>+I879</f>
        <v>0</v>
      </c>
      <c r="J3" s="53">
        <f>+J879</f>
        <v>0</v>
      </c>
      <c r="K3" s="53">
        <f>+K879</f>
        <v>0</v>
      </c>
      <c r="L3" s="28">
        <f>+I3+J3-K3</f>
        <v>0</v>
      </c>
      <c r="M3" s="3">
        <f>L3-L879</f>
        <v>0</v>
      </c>
    </row>
    <row r="4" spans="1:13" ht="15.75" thickBot="1" x14ac:dyDescent="0.3">
      <c r="A4" s="29"/>
    </row>
    <row r="5" spans="1:13" s="8" customFormat="1" ht="45" customHeight="1" thickBot="1" x14ac:dyDescent="0.3">
      <c r="A5" s="39" t="s">
        <v>2</v>
      </c>
      <c r="B5" s="40" t="s">
        <v>7</v>
      </c>
      <c r="C5" s="41" t="s">
        <v>13</v>
      </c>
      <c r="D5" s="42" t="s">
        <v>12</v>
      </c>
      <c r="E5" s="43" t="s">
        <v>4</v>
      </c>
      <c r="F5" s="43" t="s">
        <v>3</v>
      </c>
      <c r="G5" s="43" t="s">
        <v>6</v>
      </c>
      <c r="H5" s="44" t="s">
        <v>5</v>
      </c>
      <c r="I5" s="48" t="s">
        <v>10</v>
      </c>
      <c r="J5" s="45" t="s">
        <v>11</v>
      </c>
      <c r="K5" s="46" t="s">
        <v>8</v>
      </c>
      <c r="L5" s="47" t="s">
        <v>9</v>
      </c>
    </row>
    <row r="6" spans="1:13" x14ac:dyDescent="0.25">
      <c r="A6" s="30"/>
      <c r="B6" s="20"/>
      <c r="C6" s="20"/>
      <c r="D6" s="24"/>
      <c r="E6" s="25"/>
      <c r="F6" s="24"/>
      <c r="G6" s="24"/>
      <c r="H6" s="26"/>
      <c r="I6" s="49">
        <f>F6*H6</f>
        <v>0</v>
      </c>
      <c r="J6" s="13"/>
      <c r="K6" s="27"/>
      <c r="L6" s="5">
        <f>+I6+J6-K6</f>
        <v>0</v>
      </c>
    </row>
    <row r="7" spans="1:13" x14ac:dyDescent="0.25">
      <c r="A7" s="30"/>
      <c r="B7" s="20"/>
      <c r="C7" s="20"/>
      <c r="D7" s="6"/>
      <c r="E7" s="14"/>
      <c r="F7" s="6"/>
      <c r="G7" s="6"/>
      <c r="H7" s="17"/>
      <c r="I7" s="49">
        <f t="shared" ref="I7:I70" si="0">F7*H7</f>
        <v>0</v>
      </c>
      <c r="J7" s="13"/>
      <c r="K7" s="7"/>
      <c r="L7" s="5">
        <f t="shared" ref="L7:L70" si="1">+I7+J7-K7</f>
        <v>0</v>
      </c>
    </row>
    <row r="8" spans="1:13" x14ac:dyDescent="0.25">
      <c r="A8" s="30"/>
      <c r="B8" s="20"/>
      <c r="C8" s="20"/>
      <c r="D8" s="6"/>
      <c r="E8" s="14"/>
      <c r="F8" s="6"/>
      <c r="G8" s="6"/>
      <c r="H8" s="17"/>
      <c r="I8" s="49">
        <f t="shared" si="0"/>
        <v>0</v>
      </c>
      <c r="J8" s="13"/>
      <c r="K8" s="7"/>
      <c r="L8" s="5">
        <f t="shared" si="1"/>
        <v>0</v>
      </c>
    </row>
    <row r="9" spans="1:13" x14ac:dyDescent="0.25">
      <c r="A9" s="30"/>
      <c r="B9" s="20"/>
      <c r="C9" s="20"/>
      <c r="D9" s="6"/>
      <c r="E9" s="14"/>
      <c r="F9" s="6"/>
      <c r="G9" s="6"/>
      <c r="H9" s="17"/>
      <c r="I9" s="49">
        <f t="shared" si="0"/>
        <v>0</v>
      </c>
      <c r="J9" s="13"/>
      <c r="K9" s="7"/>
      <c r="L9" s="5">
        <f t="shared" si="1"/>
        <v>0</v>
      </c>
    </row>
    <row r="10" spans="1:13" x14ac:dyDescent="0.25">
      <c r="A10" s="30"/>
      <c r="B10" s="20"/>
      <c r="C10" s="20"/>
      <c r="D10" s="6"/>
      <c r="E10" s="14"/>
      <c r="F10" s="6"/>
      <c r="G10" s="6"/>
      <c r="H10" s="17"/>
      <c r="I10" s="49">
        <f t="shared" si="0"/>
        <v>0</v>
      </c>
      <c r="J10" s="13"/>
      <c r="K10" s="7"/>
      <c r="L10" s="5">
        <f t="shared" si="1"/>
        <v>0</v>
      </c>
    </row>
    <row r="11" spans="1:13" x14ac:dyDescent="0.25">
      <c r="A11" s="30"/>
      <c r="B11" s="20"/>
      <c r="C11" s="20"/>
      <c r="D11" s="6"/>
      <c r="E11" s="14"/>
      <c r="F11" s="6"/>
      <c r="G11" s="6"/>
      <c r="H11" s="17"/>
      <c r="I11" s="49">
        <f t="shared" si="0"/>
        <v>0</v>
      </c>
      <c r="J11" s="13"/>
      <c r="K11" s="7"/>
      <c r="L11" s="5">
        <f t="shared" si="1"/>
        <v>0</v>
      </c>
    </row>
    <row r="12" spans="1:13" x14ac:dyDescent="0.25">
      <c r="A12" s="30"/>
      <c r="B12" s="20"/>
      <c r="C12" s="20"/>
      <c r="D12" s="6"/>
      <c r="E12" s="14"/>
      <c r="F12" s="6"/>
      <c r="G12" s="6"/>
      <c r="H12" s="17"/>
      <c r="I12" s="49">
        <f t="shared" si="0"/>
        <v>0</v>
      </c>
      <c r="J12" s="13"/>
      <c r="K12" s="7"/>
      <c r="L12" s="5">
        <f t="shared" si="1"/>
        <v>0</v>
      </c>
    </row>
    <row r="13" spans="1:13" x14ac:dyDescent="0.25">
      <c r="A13" s="30"/>
      <c r="B13" s="20"/>
      <c r="C13" s="20"/>
      <c r="D13" s="6"/>
      <c r="E13" s="14"/>
      <c r="F13" s="6"/>
      <c r="G13" s="6"/>
      <c r="H13" s="17"/>
      <c r="I13" s="49">
        <f t="shared" si="0"/>
        <v>0</v>
      </c>
      <c r="J13" s="13"/>
      <c r="K13" s="7"/>
      <c r="L13" s="5">
        <f t="shared" si="1"/>
        <v>0</v>
      </c>
    </row>
    <row r="14" spans="1:13" x14ac:dyDescent="0.25">
      <c r="A14" s="30"/>
      <c r="B14" s="20"/>
      <c r="C14" s="20"/>
      <c r="D14" s="6"/>
      <c r="E14" s="14"/>
      <c r="F14" s="6"/>
      <c r="G14" s="6"/>
      <c r="H14" s="17"/>
      <c r="I14" s="49">
        <f t="shared" si="0"/>
        <v>0</v>
      </c>
      <c r="J14" s="13"/>
      <c r="K14" s="7"/>
      <c r="L14" s="5">
        <f t="shared" si="1"/>
        <v>0</v>
      </c>
    </row>
    <row r="15" spans="1:13" x14ac:dyDescent="0.25">
      <c r="A15" s="30"/>
      <c r="B15" s="20"/>
      <c r="C15" s="20"/>
      <c r="D15" s="6"/>
      <c r="E15" s="14"/>
      <c r="F15" s="6"/>
      <c r="G15" s="6"/>
      <c r="H15" s="17"/>
      <c r="I15" s="49">
        <f t="shared" si="0"/>
        <v>0</v>
      </c>
      <c r="J15" s="13"/>
      <c r="K15" s="7"/>
      <c r="L15" s="5">
        <f t="shared" si="1"/>
        <v>0</v>
      </c>
    </row>
    <row r="16" spans="1:13" x14ac:dyDescent="0.25">
      <c r="A16" s="30"/>
      <c r="B16" s="20"/>
      <c r="C16" s="20"/>
      <c r="D16" s="6"/>
      <c r="E16" s="14"/>
      <c r="F16" s="6"/>
      <c r="G16" s="6"/>
      <c r="H16" s="17"/>
      <c r="I16" s="49">
        <f t="shared" si="0"/>
        <v>0</v>
      </c>
      <c r="J16" s="13"/>
      <c r="K16" s="7"/>
      <c r="L16" s="5">
        <f t="shared" si="1"/>
        <v>0</v>
      </c>
    </row>
    <row r="17" spans="1:12" x14ac:dyDescent="0.25">
      <c r="A17" s="30"/>
      <c r="B17" s="20"/>
      <c r="C17" s="20"/>
      <c r="D17" s="6"/>
      <c r="E17" s="14"/>
      <c r="F17" s="6"/>
      <c r="G17" s="6"/>
      <c r="H17" s="17"/>
      <c r="I17" s="49">
        <f t="shared" si="0"/>
        <v>0</v>
      </c>
      <c r="J17" s="13"/>
      <c r="K17" s="7"/>
      <c r="L17" s="5">
        <f t="shared" si="1"/>
        <v>0</v>
      </c>
    </row>
    <row r="18" spans="1:12" x14ac:dyDescent="0.25">
      <c r="A18" s="30"/>
      <c r="B18" s="20"/>
      <c r="C18" s="20"/>
      <c r="D18" s="6"/>
      <c r="E18" s="14"/>
      <c r="F18" s="6"/>
      <c r="G18" s="6"/>
      <c r="H18" s="17"/>
      <c r="I18" s="49">
        <f t="shared" si="0"/>
        <v>0</v>
      </c>
      <c r="J18" s="13"/>
      <c r="K18" s="7"/>
      <c r="L18" s="5">
        <f t="shared" si="1"/>
        <v>0</v>
      </c>
    </row>
    <row r="19" spans="1:12" x14ac:dyDescent="0.25">
      <c r="A19" s="30"/>
      <c r="B19" s="20"/>
      <c r="C19" s="20"/>
      <c r="D19" s="6"/>
      <c r="E19" s="14"/>
      <c r="F19" s="6"/>
      <c r="G19" s="6"/>
      <c r="H19" s="17"/>
      <c r="I19" s="49">
        <f t="shared" si="0"/>
        <v>0</v>
      </c>
      <c r="J19" s="13"/>
      <c r="K19" s="7"/>
      <c r="L19" s="5">
        <f t="shared" si="1"/>
        <v>0</v>
      </c>
    </row>
    <row r="20" spans="1:12" x14ac:dyDescent="0.25">
      <c r="A20" s="30"/>
      <c r="B20" s="20"/>
      <c r="C20" s="20"/>
      <c r="D20" s="6"/>
      <c r="E20" s="14"/>
      <c r="F20" s="6"/>
      <c r="G20" s="6"/>
      <c r="H20" s="17"/>
      <c r="I20" s="49">
        <f t="shared" si="0"/>
        <v>0</v>
      </c>
      <c r="J20" s="13"/>
      <c r="K20" s="7"/>
      <c r="L20" s="5">
        <f t="shared" si="1"/>
        <v>0</v>
      </c>
    </row>
    <row r="21" spans="1:12" x14ac:dyDescent="0.25">
      <c r="A21" s="30"/>
      <c r="B21" s="20"/>
      <c r="C21" s="20"/>
      <c r="D21" s="6"/>
      <c r="E21" s="14"/>
      <c r="F21" s="6"/>
      <c r="G21" s="6"/>
      <c r="H21" s="17"/>
      <c r="I21" s="49">
        <f t="shared" si="0"/>
        <v>0</v>
      </c>
      <c r="J21" s="13"/>
      <c r="K21" s="7"/>
      <c r="L21" s="5">
        <f t="shared" si="1"/>
        <v>0</v>
      </c>
    </row>
    <row r="22" spans="1:12" x14ac:dyDescent="0.25">
      <c r="A22" s="30"/>
      <c r="B22" s="20"/>
      <c r="C22" s="20"/>
      <c r="D22" s="6"/>
      <c r="E22" s="14"/>
      <c r="F22" s="6"/>
      <c r="G22" s="6"/>
      <c r="H22" s="17"/>
      <c r="I22" s="49">
        <f t="shared" si="0"/>
        <v>0</v>
      </c>
      <c r="J22" s="13"/>
      <c r="K22" s="7"/>
      <c r="L22" s="5">
        <f t="shared" si="1"/>
        <v>0</v>
      </c>
    </row>
    <row r="23" spans="1:12" x14ac:dyDescent="0.25">
      <c r="A23" s="30"/>
      <c r="B23" s="20"/>
      <c r="C23" s="20"/>
      <c r="D23" s="6"/>
      <c r="E23" s="14"/>
      <c r="F23" s="6"/>
      <c r="G23" s="6"/>
      <c r="H23" s="17"/>
      <c r="I23" s="49">
        <f t="shared" si="0"/>
        <v>0</v>
      </c>
      <c r="J23" s="13"/>
      <c r="K23" s="7"/>
      <c r="L23" s="5">
        <f t="shared" si="1"/>
        <v>0</v>
      </c>
    </row>
    <row r="24" spans="1:12" x14ac:dyDescent="0.25">
      <c r="A24" s="30"/>
      <c r="B24" s="20"/>
      <c r="C24" s="20"/>
      <c r="D24" s="6"/>
      <c r="E24" s="14"/>
      <c r="F24" s="6"/>
      <c r="G24" s="6"/>
      <c r="H24" s="17"/>
      <c r="I24" s="49">
        <f t="shared" si="0"/>
        <v>0</v>
      </c>
      <c r="J24" s="13"/>
      <c r="K24" s="7"/>
      <c r="L24" s="5">
        <f t="shared" si="1"/>
        <v>0</v>
      </c>
    </row>
    <row r="25" spans="1:12" x14ac:dyDescent="0.25">
      <c r="A25" s="30"/>
      <c r="B25" s="20"/>
      <c r="C25" s="20"/>
      <c r="D25" s="6"/>
      <c r="E25" s="14"/>
      <c r="F25" s="6"/>
      <c r="G25" s="6"/>
      <c r="H25" s="17"/>
      <c r="I25" s="49">
        <f t="shared" si="0"/>
        <v>0</v>
      </c>
      <c r="J25" s="13"/>
      <c r="K25" s="7"/>
      <c r="L25" s="5">
        <f t="shared" si="1"/>
        <v>0</v>
      </c>
    </row>
    <row r="26" spans="1:12" x14ac:dyDescent="0.25">
      <c r="A26" s="30"/>
      <c r="B26" s="20"/>
      <c r="C26" s="20"/>
      <c r="D26" s="6"/>
      <c r="E26" s="14"/>
      <c r="F26" s="6"/>
      <c r="G26" s="6"/>
      <c r="H26" s="17"/>
      <c r="I26" s="49">
        <f t="shared" si="0"/>
        <v>0</v>
      </c>
      <c r="J26" s="13"/>
      <c r="K26" s="7"/>
      <c r="L26" s="5">
        <f t="shared" si="1"/>
        <v>0</v>
      </c>
    </row>
    <row r="27" spans="1:12" x14ac:dyDescent="0.25">
      <c r="A27" s="30"/>
      <c r="B27" s="20"/>
      <c r="C27" s="20"/>
      <c r="D27" s="6"/>
      <c r="E27" s="14"/>
      <c r="F27" s="6"/>
      <c r="G27" s="6"/>
      <c r="H27" s="17"/>
      <c r="I27" s="49">
        <f t="shared" si="0"/>
        <v>0</v>
      </c>
      <c r="J27" s="13"/>
      <c r="K27" s="7"/>
      <c r="L27" s="5">
        <f t="shared" si="1"/>
        <v>0</v>
      </c>
    </row>
    <row r="28" spans="1:12" x14ac:dyDescent="0.25">
      <c r="A28" s="30"/>
      <c r="B28" s="20"/>
      <c r="C28" s="20"/>
      <c r="D28" s="6"/>
      <c r="E28" s="14"/>
      <c r="F28" s="6"/>
      <c r="G28" s="6"/>
      <c r="H28" s="17"/>
      <c r="I28" s="49">
        <f t="shared" si="0"/>
        <v>0</v>
      </c>
      <c r="J28" s="13"/>
      <c r="K28" s="7"/>
      <c r="L28" s="5">
        <f t="shared" si="1"/>
        <v>0</v>
      </c>
    </row>
    <row r="29" spans="1:12" x14ac:dyDescent="0.25">
      <c r="A29" s="30"/>
      <c r="B29" s="20"/>
      <c r="C29" s="20"/>
      <c r="D29" s="6"/>
      <c r="E29" s="14"/>
      <c r="F29" s="6"/>
      <c r="G29" s="6"/>
      <c r="H29" s="17"/>
      <c r="I29" s="49">
        <f t="shared" si="0"/>
        <v>0</v>
      </c>
      <c r="J29" s="13"/>
      <c r="K29" s="7"/>
      <c r="L29" s="5">
        <f t="shared" si="1"/>
        <v>0</v>
      </c>
    </row>
    <row r="30" spans="1:12" x14ac:dyDescent="0.25">
      <c r="A30" s="30"/>
      <c r="B30" s="20"/>
      <c r="C30" s="20"/>
      <c r="D30" s="6"/>
      <c r="E30" s="14"/>
      <c r="F30" s="6"/>
      <c r="G30" s="6"/>
      <c r="H30" s="17"/>
      <c r="I30" s="49">
        <f t="shared" si="0"/>
        <v>0</v>
      </c>
      <c r="J30" s="13"/>
      <c r="K30" s="7"/>
      <c r="L30" s="5">
        <f t="shared" si="1"/>
        <v>0</v>
      </c>
    </row>
    <row r="31" spans="1:12" x14ac:dyDescent="0.25">
      <c r="A31" s="30"/>
      <c r="B31" s="20"/>
      <c r="C31" s="20"/>
      <c r="D31" s="6"/>
      <c r="E31" s="14"/>
      <c r="F31" s="6"/>
      <c r="G31" s="6"/>
      <c r="H31" s="17"/>
      <c r="I31" s="49">
        <f t="shared" si="0"/>
        <v>0</v>
      </c>
      <c r="J31" s="13"/>
      <c r="K31" s="7"/>
      <c r="L31" s="5">
        <f t="shared" si="1"/>
        <v>0</v>
      </c>
    </row>
    <row r="32" spans="1:12" x14ac:dyDescent="0.25">
      <c r="A32" s="30"/>
      <c r="B32" s="20"/>
      <c r="C32" s="20"/>
      <c r="D32" s="6"/>
      <c r="E32" s="14"/>
      <c r="F32" s="6"/>
      <c r="G32" s="6"/>
      <c r="H32" s="17"/>
      <c r="I32" s="49">
        <f t="shared" si="0"/>
        <v>0</v>
      </c>
      <c r="J32" s="13"/>
      <c r="K32" s="7"/>
      <c r="L32" s="5">
        <f t="shared" si="1"/>
        <v>0</v>
      </c>
    </row>
    <row r="33" spans="1:12" x14ac:dyDescent="0.25">
      <c r="A33" s="30"/>
      <c r="B33" s="20"/>
      <c r="C33" s="20"/>
      <c r="D33" s="6"/>
      <c r="E33" s="14"/>
      <c r="F33" s="6"/>
      <c r="G33" s="6"/>
      <c r="H33" s="17"/>
      <c r="I33" s="49">
        <f t="shared" si="0"/>
        <v>0</v>
      </c>
      <c r="J33" s="13"/>
      <c r="K33" s="7"/>
      <c r="L33" s="5">
        <f t="shared" si="1"/>
        <v>0</v>
      </c>
    </row>
    <row r="34" spans="1:12" x14ac:dyDescent="0.25">
      <c r="A34" s="30"/>
      <c r="B34" s="20"/>
      <c r="C34" s="20"/>
      <c r="D34" s="6"/>
      <c r="E34" s="14"/>
      <c r="F34" s="6"/>
      <c r="G34" s="6"/>
      <c r="H34" s="17"/>
      <c r="I34" s="49">
        <f t="shared" si="0"/>
        <v>0</v>
      </c>
      <c r="J34" s="13"/>
      <c r="K34" s="7"/>
      <c r="L34" s="5">
        <f t="shared" si="1"/>
        <v>0</v>
      </c>
    </row>
    <row r="35" spans="1:12" x14ac:dyDescent="0.25">
      <c r="A35" s="30"/>
      <c r="B35" s="20"/>
      <c r="C35" s="21"/>
      <c r="D35" s="6"/>
      <c r="E35" s="14"/>
      <c r="F35" s="6"/>
      <c r="G35" s="6"/>
      <c r="H35" s="17"/>
      <c r="I35" s="49">
        <f t="shared" si="0"/>
        <v>0</v>
      </c>
      <c r="J35" s="13"/>
      <c r="K35" s="7"/>
      <c r="L35" s="5">
        <f t="shared" si="1"/>
        <v>0</v>
      </c>
    </row>
    <row r="36" spans="1:12" x14ac:dyDescent="0.25">
      <c r="A36" s="30"/>
      <c r="B36" s="20"/>
      <c r="C36" s="21"/>
      <c r="D36" s="6"/>
      <c r="E36" s="14"/>
      <c r="F36" s="6"/>
      <c r="G36" s="6"/>
      <c r="H36" s="17"/>
      <c r="I36" s="49">
        <f t="shared" si="0"/>
        <v>0</v>
      </c>
      <c r="J36" s="13"/>
      <c r="K36" s="7"/>
      <c r="L36" s="5">
        <f t="shared" si="1"/>
        <v>0</v>
      </c>
    </row>
    <row r="37" spans="1:12" x14ac:dyDescent="0.25">
      <c r="A37" s="30"/>
      <c r="B37" s="20"/>
      <c r="C37" s="21"/>
      <c r="D37" s="6"/>
      <c r="E37" s="14"/>
      <c r="F37" s="6"/>
      <c r="G37" s="6"/>
      <c r="H37" s="17"/>
      <c r="I37" s="49">
        <f t="shared" si="0"/>
        <v>0</v>
      </c>
      <c r="J37" s="13"/>
      <c r="K37" s="7"/>
      <c r="L37" s="5">
        <f t="shared" si="1"/>
        <v>0</v>
      </c>
    </row>
    <row r="38" spans="1:12" x14ac:dyDescent="0.25">
      <c r="A38" s="30"/>
      <c r="B38" s="20"/>
      <c r="C38" s="21"/>
      <c r="D38" s="6"/>
      <c r="E38" s="14"/>
      <c r="F38" s="6"/>
      <c r="G38" s="6"/>
      <c r="H38" s="17"/>
      <c r="I38" s="49">
        <f t="shared" si="0"/>
        <v>0</v>
      </c>
      <c r="J38" s="13"/>
      <c r="K38" s="7"/>
      <c r="L38" s="5">
        <f t="shared" si="1"/>
        <v>0</v>
      </c>
    </row>
    <row r="39" spans="1:12" x14ac:dyDescent="0.25">
      <c r="A39" s="30"/>
      <c r="B39" s="20"/>
      <c r="C39" s="21"/>
      <c r="D39" s="6"/>
      <c r="E39" s="14"/>
      <c r="F39" s="6"/>
      <c r="G39" s="6"/>
      <c r="H39" s="17"/>
      <c r="I39" s="49">
        <f t="shared" si="0"/>
        <v>0</v>
      </c>
      <c r="J39" s="13"/>
      <c r="K39" s="7"/>
      <c r="L39" s="5">
        <f t="shared" si="1"/>
        <v>0</v>
      </c>
    </row>
    <row r="40" spans="1:12" x14ac:dyDescent="0.25">
      <c r="A40" s="30"/>
      <c r="B40" s="20"/>
      <c r="C40" s="21"/>
      <c r="D40" s="6"/>
      <c r="E40" s="14"/>
      <c r="F40" s="6"/>
      <c r="G40" s="6"/>
      <c r="H40" s="17"/>
      <c r="I40" s="49">
        <f t="shared" si="0"/>
        <v>0</v>
      </c>
      <c r="J40" s="13"/>
      <c r="K40" s="7"/>
      <c r="L40" s="5">
        <f t="shared" si="1"/>
        <v>0</v>
      </c>
    </row>
    <row r="41" spans="1:12" x14ac:dyDescent="0.25">
      <c r="A41" s="30"/>
      <c r="B41" s="20"/>
      <c r="C41" s="21"/>
      <c r="D41" s="6"/>
      <c r="E41" s="14"/>
      <c r="F41" s="6"/>
      <c r="G41" s="6"/>
      <c r="H41" s="17"/>
      <c r="I41" s="49">
        <f t="shared" si="0"/>
        <v>0</v>
      </c>
      <c r="J41" s="13"/>
      <c r="K41" s="7"/>
      <c r="L41" s="5">
        <f t="shared" si="1"/>
        <v>0</v>
      </c>
    </row>
    <row r="42" spans="1:12" x14ac:dyDescent="0.25">
      <c r="A42" s="30"/>
      <c r="B42" s="20"/>
      <c r="C42" s="21"/>
      <c r="D42" s="6"/>
      <c r="E42" s="14"/>
      <c r="F42" s="6"/>
      <c r="G42" s="6"/>
      <c r="H42" s="17"/>
      <c r="I42" s="49">
        <f t="shared" si="0"/>
        <v>0</v>
      </c>
      <c r="J42" s="13"/>
      <c r="K42" s="7"/>
      <c r="L42" s="5">
        <f t="shared" si="1"/>
        <v>0</v>
      </c>
    </row>
    <row r="43" spans="1:12" x14ac:dyDescent="0.25">
      <c r="A43" s="30"/>
      <c r="B43" s="20"/>
      <c r="C43" s="21"/>
      <c r="D43" s="6"/>
      <c r="E43" s="14"/>
      <c r="F43" s="6"/>
      <c r="G43" s="6"/>
      <c r="H43" s="17"/>
      <c r="I43" s="49">
        <f t="shared" si="0"/>
        <v>0</v>
      </c>
      <c r="J43" s="13"/>
      <c r="K43" s="7"/>
      <c r="L43" s="5">
        <f t="shared" si="1"/>
        <v>0</v>
      </c>
    </row>
    <row r="44" spans="1:12" x14ac:dyDescent="0.25">
      <c r="A44" s="30"/>
      <c r="B44" s="20"/>
      <c r="C44" s="21"/>
      <c r="D44" s="6"/>
      <c r="E44" s="14"/>
      <c r="F44" s="6"/>
      <c r="G44" s="6"/>
      <c r="H44" s="17"/>
      <c r="I44" s="49">
        <f t="shared" si="0"/>
        <v>0</v>
      </c>
      <c r="J44" s="13"/>
      <c r="K44" s="7"/>
      <c r="L44" s="5">
        <f t="shared" si="1"/>
        <v>0</v>
      </c>
    </row>
    <row r="45" spans="1:12" x14ac:dyDescent="0.25">
      <c r="A45" s="30"/>
      <c r="B45" s="20"/>
      <c r="C45" s="21"/>
      <c r="D45" s="6"/>
      <c r="E45" s="14"/>
      <c r="F45" s="6"/>
      <c r="G45" s="6"/>
      <c r="H45" s="17"/>
      <c r="I45" s="49">
        <f t="shared" si="0"/>
        <v>0</v>
      </c>
      <c r="J45" s="13"/>
      <c r="K45" s="7"/>
      <c r="L45" s="5">
        <f t="shared" si="1"/>
        <v>0</v>
      </c>
    </row>
    <row r="46" spans="1:12" x14ac:dyDescent="0.25">
      <c r="A46" s="30"/>
      <c r="B46" s="20"/>
      <c r="C46" s="21"/>
      <c r="D46" s="6"/>
      <c r="E46" s="14"/>
      <c r="F46" s="6"/>
      <c r="G46" s="6"/>
      <c r="H46" s="17"/>
      <c r="I46" s="49">
        <f t="shared" si="0"/>
        <v>0</v>
      </c>
      <c r="J46" s="13"/>
      <c r="K46" s="7"/>
      <c r="L46" s="5">
        <f t="shared" si="1"/>
        <v>0</v>
      </c>
    </row>
    <row r="47" spans="1:12" x14ac:dyDescent="0.25">
      <c r="A47" s="30"/>
      <c r="B47" s="20"/>
      <c r="C47" s="21"/>
      <c r="D47" s="6"/>
      <c r="E47" s="14"/>
      <c r="F47" s="6"/>
      <c r="G47" s="6"/>
      <c r="H47" s="17"/>
      <c r="I47" s="49">
        <f t="shared" si="0"/>
        <v>0</v>
      </c>
      <c r="J47" s="13"/>
      <c r="K47" s="7"/>
      <c r="L47" s="5">
        <f t="shared" si="1"/>
        <v>0</v>
      </c>
    </row>
    <row r="48" spans="1:12" x14ac:dyDescent="0.25">
      <c r="A48" s="31"/>
      <c r="B48" s="21"/>
      <c r="C48" s="21"/>
      <c r="D48" s="6"/>
      <c r="E48" s="14"/>
      <c r="F48" s="6"/>
      <c r="G48" s="6"/>
      <c r="H48" s="17"/>
      <c r="I48" s="49">
        <f t="shared" si="0"/>
        <v>0</v>
      </c>
      <c r="J48" s="13"/>
      <c r="K48" s="7"/>
      <c r="L48" s="5">
        <f t="shared" si="1"/>
        <v>0</v>
      </c>
    </row>
    <row r="49" spans="1:12" x14ac:dyDescent="0.25">
      <c r="A49" s="31"/>
      <c r="B49" s="21"/>
      <c r="C49" s="21"/>
      <c r="D49" s="6"/>
      <c r="E49" s="14"/>
      <c r="F49" s="6"/>
      <c r="G49" s="6"/>
      <c r="H49" s="17"/>
      <c r="I49" s="49">
        <f t="shared" si="0"/>
        <v>0</v>
      </c>
      <c r="J49" s="13"/>
      <c r="K49" s="7"/>
      <c r="L49" s="5">
        <f t="shared" si="1"/>
        <v>0</v>
      </c>
    </row>
    <row r="50" spans="1:12" x14ac:dyDescent="0.25">
      <c r="A50" s="31"/>
      <c r="B50" s="21"/>
      <c r="C50" s="21"/>
      <c r="D50" s="6"/>
      <c r="E50" s="14"/>
      <c r="F50" s="6"/>
      <c r="G50" s="6"/>
      <c r="H50" s="17"/>
      <c r="I50" s="49">
        <f t="shared" si="0"/>
        <v>0</v>
      </c>
      <c r="J50" s="13"/>
      <c r="K50" s="7"/>
      <c r="L50" s="5">
        <f t="shared" si="1"/>
        <v>0</v>
      </c>
    </row>
    <row r="51" spans="1:12" x14ac:dyDescent="0.25">
      <c r="A51" s="31"/>
      <c r="B51" s="21"/>
      <c r="C51" s="21"/>
      <c r="D51" s="6"/>
      <c r="E51" s="14"/>
      <c r="F51" s="6"/>
      <c r="G51" s="6"/>
      <c r="H51" s="17"/>
      <c r="I51" s="49">
        <f t="shared" si="0"/>
        <v>0</v>
      </c>
      <c r="J51" s="13"/>
      <c r="K51" s="7"/>
      <c r="L51" s="5">
        <f t="shared" si="1"/>
        <v>0</v>
      </c>
    </row>
    <row r="52" spans="1:12" x14ac:dyDescent="0.25">
      <c r="A52" s="31"/>
      <c r="B52" s="21"/>
      <c r="C52" s="21"/>
      <c r="D52" s="6"/>
      <c r="E52" s="14"/>
      <c r="F52" s="6"/>
      <c r="G52" s="6"/>
      <c r="H52" s="17"/>
      <c r="I52" s="49">
        <f t="shared" si="0"/>
        <v>0</v>
      </c>
      <c r="J52" s="13"/>
      <c r="K52" s="7"/>
      <c r="L52" s="5">
        <f t="shared" si="1"/>
        <v>0</v>
      </c>
    </row>
    <row r="53" spans="1:12" x14ac:dyDescent="0.25">
      <c r="A53" s="31"/>
      <c r="B53" s="21"/>
      <c r="C53" s="21"/>
      <c r="D53" s="6"/>
      <c r="E53" s="14"/>
      <c r="F53" s="6"/>
      <c r="G53" s="6"/>
      <c r="H53" s="17"/>
      <c r="I53" s="49">
        <f t="shared" si="0"/>
        <v>0</v>
      </c>
      <c r="J53" s="13"/>
      <c r="K53" s="7"/>
      <c r="L53" s="5">
        <f t="shared" si="1"/>
        <v>0</v>
      </c>
    </row>
    <row r="54" spans="1:12" x14ac:dyDescent="0.25">
      <c r="A54" s="31"/>
      <c r="B54" s="21"/>
      <c r="C54" s="21"/>
      <c r="D54" s="6"/>
      <c r="E54" s="14"/>
      <c r="F54" s="6"/>
      <c r="G54" s="6"/>
      <c r="H54" s="17"/>
      <c r="I54" s="49">
        <f t="shared" si="0"/>
        <v>0</v>
      </c>
      <c r="J54" s="13"/>
      <c r="K54" s="7"/>
      <c r="L54" s="5">
        <f t="shared" si="1"/>
        <v>0</v>
      </c>
    </row>
    <row r="55" spans="1:12" x14ac:dyDescent="0.25">
      <c r="A55" s="31"/>
      <c r="B55" s="21"/>
      <c r="C55" s="21"/>
      <c r="D55" s="6"/>
      <c r="E55" s="14"/>
      <c r="F55" s="6"/>
      <c r="G55" s="6"/>
      <c r="H55" s="17"/>
      <c r="I55" s="49">
        <f t="shared" si="0"/>
        <v>0</v>
      </c>
      <c r="J55" s="13"/>
      <c r="K55" s="7"/>
      <c r="L55" s="5">
        <f t="shared" si="1"/>
        <v>0</v>
      </c>
    </row>
    <row r="56" spans="1:12" x14ac:dyDescent="0.25">
      <c r="A56" s="31"/>
      <c r="B56" s="21"/>
      <c r="C56" s="21"/>
      <c r="D56" s="6"/>
      <c r="E56" s="14"/>
      <c r="F56" s="6"/>
      <c r="G56" s="6"/>
      <c r="H56" s="17"/>
      <c r="I56" s="49">
        <f t="shared" si="0"/>
        <v>0</v>
      </c>
      <c r="J56" s="13"/>
      <c r="K56" s="7"/>
      <c r="L56" s="5">
        <f t="shared" si="1"/>
        <v>0</v>
      </c>
    </row>
    <row r="57" spans="1:12" x14ac:dyDescent="0.25">
      <c r="A57" s="31"/>
      <c r="B57" s="21"/>
      <c r="C57" s="21"/>
      <c r="D57" s="6"/>
      <c r="E57" s="14"/>
      <c r="F57" s="6"/>
      <c r="G57" s="6"/>
      <c r="H57" s="17"/>
      <c r="I57" s="49">
        <f t="shared" si="0"/>
        <v>0</v>
      </c>
      <c r="J57" s="13"/>
      <c r="K57" s="7"/>
      <c r="L57" s="5">
        <f t="shared" si="1"/>
        <v>0</v>
      </c>
    </row>
    <row r="58" spans="1:12" x14ac:dyDescent="0.25">
      <c r="A58" s="31"/>
      <c r="B58" s="21"/>
      <c r="C58" s="21"/>
      <c r="D58" s="6"/>
      <c r="E58" s="14"/>
      <c r="F58" s="6"/>
      <c r="G58" s="6"/>
      <c r="H58" s="17"/>
      <c r="I58" s="49">
        <f t="shared" si="0"/>
        <v>0</v>
      </c>
      <c r="J58" s="13"/>
      <c r="K58" s="7"/>
      <c r="L58" s="5">
        <f t="shared" si="1"/>
        <v>0</v>
      </c>
    </row>
    <row r="59" spans="1:12" x14ac:dyDescent="0.25">
      <c r="A59" s="31"/>
      <c r="B59" s="21"/>
      <c r="C59" s="21"/>
      <c r="D59" s="6"/>
      <c r="E59" s="14"/>
      <c r="F59" s="6"/>
      <c r="G59" s="6"/>
      <c r="H59" s="17"/>
      <c r="I59" s="49">
        <f t="shared" si="0"/>
        <v>0</v>
      </c>
      <c r="J59" s="13"/>
      <c r="K59" s="7"/>
      <c r="L59" s="5">
        <f t="shared" si="1"/>
        <v>0</v>
      </c>
    </row>
    <row r="60" spans="1:12" x14ac:dyDescent="0.25">
      <c r="A60" s="31"/>
      <c r="B60" s="21"/>
      <c r="C60" s="21"/>
      <c r="D60" s="6"/>
      <c r="E60" s="14"/>
      <c r="F60" s="6"/>
      <c r="G60" s="6"/>
      <c r="H60" s="17"/>
      <c r="I60" s="49">
        <f t="shared" si="0"/>
        <v>0</v>
      </c>
      <c r="J60" s="13"/>
      <c r="K60" s="7"/>
      <c r="L60" s="5">
        <f t="shared" si="1"/>
        <v>0</v>
      </c>
    </row>
    <row r="61" spans="1:12" x14ac:dyDescent="0.25">
      <c r="A61" s="31"/>
      <c r="B61" s="21"/>
      <c r="C61" s="21"/>
      <c r="D61" s="6"/>
      <c r="E61" s="14"/>
      <c r="F61" s="6"/>
      <c r="G61" s="6"/>
      <c r="H61" s="17"/>
      <c r="I61" s="49">
        <f t="shared" si="0"/>
        <v>0</v>
      </c>
      <c r="J61" s="13"/>
      <c r="K61" s="7"/>
      <c r="L61" s="5">
        <f t="shared" si="1"/>
        <v>0</v>
      </c>
    </row>
    <row r="62" spans="1:12" x14ac:dyDescent="0.25">
      <c r="A62" s="31"/>
      <c r="B62" s="21"/>
      <c r="C62" s="21"/>
      <c r="D62" s="6"/>
      <c r="E62" s="14"/>
      <c r="F62" s="6"/>
      <c r="G62" s="6"/>
      <c r="H62" s="17"/>
      <c r="I62" s="49">
        <f t="shared" si="0"/>
        <v>0</v>
      </c>
      <c r="J62" s="13"/>
      <c r="K62" s="7"/>
      <c r="L62" s="5">
        <f t="shared" si="1"/>
        <v>0</v>
      </c>
    </row>
    <row r="63" spans="1:12" x14ac:dyDescent="0.25">
      <c r="A63" s="31"/>
      <c r="B63" s="21"/>
      <c r="C63" s="21"/>
      <c r="D63" s="6"/>
      <c r="E63" s="14"/>
      <c r="F63" s="6"/>
      <c r="G63" s="6"/>
      <c r="H63" s="17"/>
      <c r="I63" s="49">
        <f t="shared" si="0"/>
        <v>0</v>
      </c>
      <c r="J63" s="13"/>
      <c r="K63" s="7"/>
      <c r="L63" s="5">
        <f t="shared" si="1"/>
        <v>0</v>
      </c>
    </row>
    <row r="64" spans="1:12" x14ac:dyDescent="0.25">
      <c r="A64" s="31"/>
      <c r="B64" s="21"/>
      <c r="C64" s="21"/>
      <c r="D64" s="6"/>
      <c r="E64" s="14"/>
      <c r="F64" s="6"/>
      <c r="G64" s="6"/>
      <c r="H64" s="17"/>
      <c r="I64" s="49">
        <f t="shared" si="0"/>
        <v>0</v>
      </c>
      <c r="J64" s="13"/>
      <c r="K64" s="7"/>
      <c r="L64" s="5">
        <f t="shared" si="1"/>
        <v>0</v>
      </c>
    </row>
    <row r="65" spans="1:12" x14ac:dyDescent="0.25">
      <c r="A65" s="31"/>
      <c r="B65" s="21"/>
      <c r="C65" s="21"/>
      <c r="D65" s="6"/>
      <c r="E65" s="14"/>
      <c r="F65" s="6"/>
      <c r="G65" s="6"/>
      <c r="H65" s="17"/>
      <c r="I65" s="49">
        <f t="shared" si="0"/>
        <v>0</v>
      </c>
      <c r="J65" s="13"/>
      <c r="K65" s="7"/>
      <c r="L65" s="5">
        <f t="shared" si="1"/>
        <v>0</v>
      </c>
    </row>
    <row r="66" spans="1:12" x14ac:dyDescent="0.25">
      <c r="A66" s="31"/>
      <c r="B66" s="21"/>
      <c r="C66" s="21"/>
      <c r="D66" s="6"/>
      <c r="E66" s="14"/>
      <c r="F66" s="6"/>
      <c r="G66" s="6"/>
      <c r="H66" s="17"/>
      <c r="I66" s="49">
        <f t="shared" si="0"/>
        <v>0</v>
      </c>
      <c r="J66" s="13"/>
      <c r="K66" s="7"/>
      <c r="L66" s="5">
        <f t="shared" si="1"/>
        <v>0</v>
      </c>
    </row>
    <row r="67" spans="1:12" x14ac:dyDescent="0.25">
      <c r="A67" s="31"/>
      <c r="B67" s="21"/>
      <c r="C67" s="21"/>
      <c r="D67" s="6"/>
      <c r="E67" s="14"/>
      <c r="F67" s="6"/>
      <c r="G67" s="6"/>
      <c r="H67" s="17"/>
      <c r="I67" s="49">
        <f t="shared" si="0"/>
        <v>0</v>
      </c>
      <c r="J67" s="13"/>
      <c r="K67" s="7"/>
      <c r="L67" s="5">
        <f t="shared" si="1"/>
        <v>0</v>
      </c>
    </row>
    <row r="68" spans="1:12" x14ac:dyDescent="0.25">
      <c r="A68" s="31"/>
      <c r="B68" s="21"/>
      <c r="C68" s="21"/>
      <c r="D68" s="6"/>
      <c r="E68" s="14"/>
      <c r="F68" s="6"/>
      <c r="G68" s="6"/>
      <c r="H68" s="17"/>
      <c r="I68" s="49">
        <f t="shared" si="0"/>
        <v>0</v>
      </c>
      <c r="J68" s="13"/>
      <c r="K68" s="7"/>
      <c r="L68" s="5">
        <f t="shared" si="1"/>
        <v>0</v>
      </c>
    </row>
    <row r="69" spans="1:12" x14ac:dyDescent="0.25">
      <c r="A69" s="31"/>
      <c r="B69" s="21"/>
      <c r="C69" s="21"/>
      <c r="D69" s="6"/>
      <c r="E69" s="14"/>
      <c r="F69" s="6"/>
      <c r="G69" s="6"/>
      <c r="H69" s="17"/>
      <c r="I69" s="49">
        <f t="shared" si="0"/>
        <v>0</v>
      </c>
      <c r="J69" s="13"/>
      <c r="K69" s="7"/>
      <c r="L69" s="5">
        <f t="shared" si="1"/>
        <v>0</v>
      </c>
    </row>
    <row r="70" spans="1:12" x14ac:dyDescent="0.25">
      <c r="A70" s="31"/>
      <c r="B70" s="21"/>
      <c r="C70" s="21"/>
      <c r="D70" s="6"/>
      <c r="E70" s="14"/>
      <c r="F70" s="6"/>
      <c r="G70" s="6"/>
      <c r="H70" s="17"/>
      <c r="I70" s="49">
        <f t="shared" si="0"/>
        <v>0</v>
      </c>
      <c r="J70" s="13"/>
      <c r="K70" s="7"/>
      <c r="L70" s="5">
        <f t="shared" si="1"/>
        <v>0</v>
      </c>
    </row>
    <row r="71" spans="1:12" x14ac:dyDescent="0.25">
      <c r="A71" s="31"/>
      <c r="B71" s="21"/>
      <c r="C71" s="21"/>
      <c r="D71" s="6"/>
      <c r="E71" s="14"/>
      <c r="F71" s="6"/>
      <c r="G71" s="6"/>
      <c r="H71" s="17"/>
      <c r="I71" s="49">
        <f t="shared" ref="I71:I134" si="2">F71*H71</f>
        <v>0</v>
      </c>
      <c r="J71" s="13"/>
      <c r="K71" s="7"/>
      <c r="L71" s="5">
        <f t="shared" ref="L71:L134" si="3">+I71+J71-K71</f>
        <v>0</v>
      </c>
    </row>
    <row r="72" spans="1:12" x14ac:dyDescent="0.25">
      <c r="A72" s="31"/>
      <c r="B72" s="21"/>
      <c r="C72" s="21"/>
      <c r="D72" s="6"/>
      <c r="E72" s="14"/>
      <c r="F72" s="6"/>
      <c r="G72" s="6"/>
      <c r="H72" s="17"/>
      <c r="I72" s="49">
        <f t="shared" si="2"/>
        <v>0</v>
      </c>
      <c r="J72" s="13"/>
      <c r="K72" s="7"/>
      <c r="L72" s="5">
        <f t="shared" si="3"/>
        <v>0</v>
      </c>
    </row>
    <row r="73" spans="1:12" x14ac:dyDescent="0.25">
      <c r="A73" s="31"/>
      <c r="B73" s="21"/>
      <c r="C73" s="21"/>
      <c r="D73" s="6"/>
      <c r="E73" s="14"/>
      <c r="F73" s="6"/>
      <c r="G73" s="6"/>
      <c r="H73" s="17"/>
      <c r="I73" s="49">
        <f t="shared" si="2"/>
        <v>0</v>
      </c>
      <c r="J73" s="13"/>
      <c r="K73" s="7"/>
      <c r="L73" s="5">
        <f t="shared" si="3"/>
        <v>0</v>
      </c>
    </row>
    <row r="74" spans="1:12" x14ac:dyDescent="0.25">
      <c r="A74" s="31"/>
      <c r="B74" s="21"/>
      <c r="C74" s="21"/>
      <c r="D74" s="6"/>
      <c r="E74" s="14"/>
      <c r="F74" s="6"/>
      <c r="G74" s="6"/>
      <c r="H74" s="17"/>
      <c r="I74" s="49">
        <f t="shared" si="2"/>
        <v>0</v>
      </c>
      <c r="J74" s="13"/>
      <c r="K74" s="7"/>
      <c r="L74" s="5">
        <f t="shared" si="3"/>
        <v>0</v>
      </c>
    </row>
    <row r="75" spans="1:12" x14ac:dyDescent="0.25">
      <c r="A75" s="31"/>
      <c r="B75" s="21"/>
      <c r="C75" s="21"/>
      <c r="D75" s="6"/>
      <c r="E75" s="14"/>
      <c r="F75" s="6"/>
      <c r="G75" s="6"/>
      <c r="H75" s="17"/>
      <c r="I75" s="49">
        <f t="shared" si="2"/>
        <v>0</v>
      </c>
      <c r="J75" s="13"/>
      <c r="K75" s="7"/>
      <c r="L75" s="5">
        <f t="shared" si="3"/>
        <v>0</v>
      </c>
    </row>
    <row r="76" spans="1:12" x14ac:dyDescent="0.25">
      <c r="A76" s="31"/>
      <c r="B76" s="21"/>
      <c r="C76" s="21"/>
      <c r="D76" s="6"/>
      <c r="E76" s="14"/>
      <c r="F76" s="6"/>
      <c r="G76" s="6"/>
      <c r="H76" s="17"/>
      <c r="I76" s="49">
        <f t="shared" si="2"/>
        <v>0</v>
      </c>
      <c r="J76" s="13"/>
      <c r="K76" s="7"/>
      <c r="L76" s="5">
        <f t="shared" si="3"/>
        <v>0</v>
      </c>
    </row>
    <row r="77" spans="1:12" x14ac:dyDescent="0.25">
      <c r="A77" s="31"/>
      <c r="B77" s="21"/>
      <c r="C77" s="21"/>
      <c r="D77" s="6"/>
      <c r="E77" s="14"/>
      <c r="F77" s="6"/>
      <c r="G77" s="6"/>
      <c r="H77" s="17"/>
      <c r="I77" s="49">
        <f t="shared" si="2"/>
        <v>0</v>
      </c>
      <c r="J77" s="13"/>
      <c r="K77" s="7"/>
      <c r="L77" s="5">
        <f t="shared" si="3"/>
        <v>0</v>
      </c>
    </row>
    <row r="78" spans="1:12" x14ac:dyDescent="0.25">
      <c r="A78" s="31"/>
      <c r="B78" s="21"/>
      <c r="C78" s="21"/>
      <c r="D78" s="6"/>
      <c r="E78" s="14"/>
      <c r="F78" s="6"/>
      <c r="G78" s="6"/>
      <c r="H78" s="17"/>
      <c r="I78" s="49">
        <f t="shared" si="2"/>
        <v>0</v>
      </c>
      <c r="J78" s="13"/>
      <c r="K78" s="7"/>
      <c r="L78" s="5">
        <f t="shared" si="3"/>
        <v>0</v>
      </c>
    </row>
    <row r="79" spans="1:12" x14ac:dyDescent="0.25">
      <c r="A79" s="31"/>
      <c r="B79" s="21"/>
      <c r="C79" s="21"/>
      <c r="D79" s="6"/>
      <c r="E79" s="14"/>
      <c r="F79" s="6"/>
      <c r="G79" s="6"/>
      <c r="H79" s="17"/>
      <c r="I79" s="49">
        <f t="shared" si="2"/>
        <v>0</v>
      </c>
      <c r="J79" s="13"/>
      <c r="K79" s="7"/>
      <c r="L79" s="5">
        <f t="shared" si="3"/>
        <v>0</v>
      </c>
    </row>
    <row r="80" spans="1:12" x14ac:dyDescent="0.25">
      <c r="A80" s="31"/>
      <c r="B80" s="21"/>
      <c r="C80" s="21"/>
      <c r="D80" s="6"/>
      <c r="E80" s="14"/>
      <c r="F80" s="6"/>
      <c r="G80" s="6"/>
      <c r="H80" s="17"/>
      <c r="I80" s="49">
        <f t="shared" si="2"/>
        <v>0</v>
      </c>
      <c r="J80" s="13"/>
      <c r="K80" s="7"/>
      <c r="L80" s="5">
        <f t="shared" si="3"/>
        <v>0</v>
      </c>
    </row>
    <row r="81" spans="1:12" x14ac:dyDescent="0.25">
      <c r="A81" s="31"/>
      <c r="B81" s="21"/>
      <c r="C81" s="21"/>
      <c r="D81" s="6"/>
      <c r="E81" s="14"/>
      <c r="F81" s="6"/>
      <c r="G81" s="6"/>
      <c r="H81" s="17"/>
      <c r="I81" s="49">
        <f t="shared" si="2"/>
        <v>0</v>
      </c>
      <c r="J81" s="13"/>
      <c r="K81" s="7"/>
      <c r="L81" s="5">
        <f t="shared" si="3"/>
        <v>0</v>
      </c>
    </row>
    <row r="82" spans="1:12" x14ac:dyDescent="0.25">
      <c r="A82" s="31"/>
      <c r="B82" s="21"/>
      <c r="C82" s="21"/>
      <c r="D82" s="6"/>
      <c r="E82" s="14"/>
      <c r="F82" s="6"/>
      <c r="G82" s="6"/>
      <c r="H82" s="17"/>
      <c r="I82" s="49">
        <f t="shared" si="2"/>
        <v>0</v>
      </c>
      <c r="J82" s="13"/>
      <c r="K82" s="7"/>
      <c r="L82" s="5">
        <f t="shared" si="3"/>
        <v>0</v>
      </c>
    </row>
    <row r="83" spans="1:12" x14ac:dyDescent="0.25">
      <c r="A83" s="31"/>
      <c r="B83" s="21"/>
      <c r="C83" s="21"/>
      <c r="D83" s="6"/>
      <c r="E83" s="14"/>
      <c r="F83" s="6"/>
      <c r="G83" s="6"/>
      <c r="H83" s="17"/>
      <c r="I83" s="49">
        <f t="shared" si="2"/>
        <v>0</v>
      </c>
      <c r="J83" s="13"/>
      <c r="K83" s="7"/>
      <c r="L83" s="5">
        <f t="shared" si="3"/>
        <v>0</v>
      </c>
    </row>
    <row r="84" spans="1:12" x14ac:dyDescent="0.25">
      <c r="A84" s="31"/>
      <c r="B84" s="21"/>
      <c r="C84" s="21"/>
      <c r="D84" s="6"/>
      <c r="E84" s="14"/>
      <c r="F84" s="6"/>
      <c r="G84" s="6"/>
      <c r="H84" s="17"/>
      <c r="I84" s="49">
        <f t="shared" si="2"/>
        <v>0</v>
      </c>
      <c r="J84" s="13"/>
      <c r="K84" s="7"/>
      <c r="L84" s="5">
        <f t="shared" si="3"/>
        <v>0</v>
      </c>
    </row>
    <row r="85" spans="1:12" x14ac:dyDescent="0.25">
      <c r="A85" s="31"/>
      <c r="B85" s="21"/>
      <c r="C85" s="21"/>
      <c r="D85" s="6"/>
      <c r="E85" s="14"/>
      <c r="F85" s="6"/>
      <c r="G85" s="6"/>
      <c r="H85" s="17"/>
      <c r="I85" s="49">
        <f t="shared" si="2"/>
        <v>0</v>
      </c>
      <c r="J85" s="13"/>
      <c r="K85" s="7"/>
      <c r="L85" s="5">
        <f t="shared" si="3"/>
        <v>0</v>
      </c>
    </row>
    <row r="86" spans="1:12" x14ac:dyDescent="0.25">
      <c r="A86" s="31"/>
      <c r="B86" s="21"/>
      <c r="C86" s="21"/>
      <c r="D86" s="6"/>
      <c r="E86" s="14"/>
      <c r="F86" s="6"/>
      <c r="G86" s="6"/>
      <c r="H86" s="17"/>
      <c r="I86" s="49">
        <f t="shared" si="2"/>
        <v>0</v>
      </c>
      <c r="J86" s="13"/>
      <c r="K86" s="7"/>
      <c r="L86" s="5">
        <f t="shared" si="3"/>
        <v>0</v>
      </c>
    </row>
    <row r="87" spans="1:12" x14ac:dyDescent="0.25">
      <c r="A87" s="31"/>
      <c r="B87" s="21"/>
      <c r="C87" s="21"/>
      <c r="D87" s="6"/>
      <c r="E87" s="14"/>
      <c r="F87" s="6"/>
      <c r="G87" s="6"/>
      <c r="H87" s="17"/>
      <c r="I87" s="49">
        <f t="shared" si="2"/>
        <v>0</v>
      </c>
      <c r="J87" s="13"/>
      <c r="K87" s="7"/>
      <c r="L87" s="5">
        <f t="shared" si="3"/>
        <v>0</v>
      </c>
    </row>
    <row r="88" spans="1:12" x14ac:dyDescent="0.25">
      <c r="A88" s="31"/>
      <c r="B88" s="21"/>
      <c r="C88" s="21"/>
      <c r="D88" s="6"/>
      <c r="E88" s="14"/>
      <c r="F88" s="6"/>
      <c r="G88" s="6"/>
      <c r="H88" s="17"/>
      <c r="I88" s="49">
        <f t="shared" si="2"/>
        <v>0</v>
      </c>
      <c r="J88" s="13"/>
      <c r="K88" s="7"/>
      <c r="L88" s="5">
        <f t="shared" si="3"/>
        <v>0</v>
      </c>
    </row>
    <row r="89" spans="1:12" x14ac:dyDescent="0.25">
      <c r="A89" s="31"/>
      <c r="B89" s="21"/>
      <c r="C89" s="21"/>
      <c r="D89" s="6"/>
      <c r="E89" s="14"/>
      <c r="F89" s="6"/>
      <c r="G89" s="6"/>
      <c r="H89" s="17"/>
      <c r="I89" s="49">
        <f t="shared" si="2"/>
        <v>0</v>
      </c>
      <c r="J89" s="13"/>
      <c r="K89" s="7"/>
      <c r="L89" s="5">
        <f t="shared" si="3"/>
        <v>0</v>
      </c>
    </row>
    <row r="90" spans="1:12" x14ac:dyDescent="0.25">
      <c r="A90" s="31"/>
      <c r="B90" s="21"/>
      <c r="C90" s="21"/>
      <c r="D90" s="6"/>
      <c r="E90" s="14"/>
      <c r="F90" s="6"/>
      <c r="G90" s="6"/>
      <c r="H90" s="17"/>
      <c r="I90" s="49">
        <f t="shared" si="2"/>
        <v>0</v>
      </c>
      <c r="J90" s="13"/>
      <c r="K90" s="7"/>
      <c r="L90" s="5">
        <f t="shared" si="3"/>
        <v>0</v>
      </c>
    </row>
    <row r="91" spans="1:12" x14ac:dyDescent="0.25">
      <c r="A91" s="31"/>
      <c r="B91" s="21"/>
      <c r="C91" s="21"/>
      <c r="D91" s="6"/>
      <c r="E91" s="14"/>
      <c r="F91" s="6"/>
      <c r="G91" s="6"/>
      <c r="H91" s="17"/>
      <c r="I91" s="49">
        <f t="shared" si="2"/>
        <v>0</v>
      </c>
      <c r="J91" s="13"/>
      <c r="K91" s="7"/>
      <c r="L91" s="5">
        <f t="shared" si="3"/>
        <v>0</v>
      </c>
    </row>
    <row r="92" spans="1:12" x14ac:dyDescent="0.25">
      <c r="A92" s="31"/>
      <c r="B92" s="21"/>
      <c r="C92" s="21"/>
      <c r="D92" s="6"/>
      <c r="E92" s="14"/>
      <c r="F92" s="6"/>
      <c r="G92" s="6"/>
      <c r="H92" s="17"/>
      <c r="I92" s="49">
        <f t="shared" si="2"/>
        <v>0</v>
      </c>
      <c r="J92" s="13"/>
      <c r="K92" s="7"/>
      <c r="L92" s="5">
        <f t="shared" si="3"/>
        <v>0</v>
      </c>
    </row>
    <row r="93" spans="1:12" x14ac:dyDescent="0.25">
      <c r="A93" s="31"/>
      <c r="B93" s="21"/>
      <c r="C93" s="21"/>
      <c r="D93" s="6"/>
      <c r="E93" s="14"/>
      <c r="F93" s="6"/>
      <c r="G93" s="6"/>
      <c r="H93" s="17"/>
      <c r="I93" s="49">
        <f t="shared" si="2"/>
        <v>0</v>
      </c>
      <c r="J93" s="13"/>
      <c r="K93" s="7"/>
      <c r="L93" s="5">
        <f t="shared" si="3"/>
        <v>0</v>
      </c>
    </row>
    <row r="94" spans="1:12" x14ac:dyDescent="0.25">
      <c r="A94" s="31"/>
      <c r="B94" s="21"/>
      <c r="C94" s="21"/>
      <c r="D94" s="6"/>
      <c r="E94" s="14"/>
      <c r="F94" s="6"/>
      <c r="G94" s="6"/>
      <c r="H94" s="17"/>
      <c r="I94" s="49">
        <f t="shared" si="2"/>
        <v>0</v>
      </c>
      <c r="J94" s="13"/>
      <c r="K94" s="7"/>
      <c r="L94" s="5">
        <f t="shared" si="3"/>
        <v>0</v>
      </c>
    </row>
    <row r="95" spans="1:12" x14ac:dyDescent="0.25">
      <c r="A95" s="31"/>
      <c r="B95" s="21"/>
      <c r="C95" s="21"/>
      <c r="D95" s="6"/>
      <c r="E95" s="14"/>
      <c r="F95" s="6"/>
      <c r="G95" s="6"/>
      <c r="H95" s="17"/>
      <c r="I95" s="49">
        <f t="shared" si="2"/>
        <v>0</v>
      </c>
      <c r="J95" s="13"/>
      <c r="K95" s="7"/>
      <c r="L95" s="5">
        <f t="shared" si="3"/>
        <v>0</v>
      </c>
    </row>
    <row r="96" spans="1:12" x14ac:dyDescent="0.25">
      <c r="A96" s="31"/>
      <c r="B96" s="21"/>
      <c r="C96" s="21"/>
      <c r="D96" s="6"/>
      <c r="E96" s="14"/>
      <c r="F96" s="6"/>
      <c r="G96" s="6"/>
      <c r="H96" s="17"/>
      <c r="I96" s="49">
        <f t="shared" si="2"/>
        <v>0</v>
      </c>
      <c r="J96" s="13"/>
      <c r="K96" s="7"/>
      <c r="L96" s="5">
        <f t="shared" si="3"/>
        <v>0</v>
      </c>
    </row>
    <row r="97" spans="1:12" x14ac:dyDescent="0.25">
      <c r="A97" s="31"/>
      <c r="B97" s="21"/>
      <c r="C97" s="21"/>
      <c r="D97" s="6"/>
      <c r="E97" s="14"/>
      <c r="F97" s="6"/>
      <c r="G97" s="6"/>
      <c r="H97" s="17"/>
      <c r="I97" s="49">
        <f t="shared" si="2"/>
        <v>0</v>
      </c>
      <c r="J97" s="13"/>
      <c r="K97" s="7"/>
      <c r="L97" s="5">
        <f t="shared" si="3"/>
        <v>0</v>
      </c>
    </row>
    <row r="98" spans="1:12" x14ac:dyDescent="0.25">
      <c r="A98" s="31"/>
      <c r="B98" s="21"/>
      <c r="C98" s="21"/>
      <c r="D98" s="6"/>
      <c r="E98" s="14"/>
      <c r="F98" s="6"/>
      <c r="G98" s="6"/>
      <c r="H98" s="17"/>
      <c r="I98" s="49">
        <f t="shared" si="2"/>
        <v>0</v>
      </c>
      <c r="J98" s="13"/>
      <c r="K98" s="7"/>
      <c r="L98" s="5">
        <f t="shared" si="3"/>
        <v>0</v>
      </c>
    </row>
    <row r="99" spans="1:12" x14ac:dyDescent="0.25">
      <c r="A99" s="31"/>
      <c r="B99" s="21"/>
      <c r="C99" s="21"/>
      <c r="D99" s="6"/>
      <c r="E99" s="14"/>
      <c r="F99" s="6"/>
      <c r="G99" s="6"/>
      <c r="H99" s="17"/>
      <c r="I99" s="49">
        <f t="shared" si="2"/>
        <v>0</v>
      </c>
      <c r="J99" s="13"/>
      <c r="K99" s="7"/>
      <c r="L99" s="5">
        <f t="shared" si="3"/>
        <v>0</v>
      </c>
    </row>
    <row r="100" spans="1:12" x14ac:dyDescent="0.25">
      <c r="A100" s="31"/>
      <c r="B100" s="21"/>
      <c r="C100" s="21"/>
      <c r="D100" s="6"/>
      <c r="E100" s="14"/>
      <c r="F100" s="6"/>
      <c r="G100" s="6"/>
      <c r="H100" s="17"/>
      <c r="I100" s="49">
        <f t="shared" si="2"/>
        <v>0</v>
      </c>
      <c r="J100" s="13"/>
      <c r="K100" s="7"/>
      <c r="L100" s="5">
        <f t="shared" si="3"/>
        <v>0</v>
      </c>
    </row>
    <row r="101" spans="1:12" x14ac:dyDescent="0.25">
      <c r="A101" s="31"/>
      <c r="B101" s="21"/>
      <c r="C101" s="21"/>
      <c r="D101" s="6"/>
      <c r="E101" s="14"/>
      <c r="F101" s="6"/>
      <c r="G101" s="6"/>
      <c r="H101" s="17"/>
      <c r="I101" s="49">
        <f t="shared" si="2"/>
        <v>0</v>
      </c>
      <c r="J101" s="13"/>
      <c r="K101" s="7"/>
      <c r="L101" s="5">
        <f t="shared" si="3"/>
        <v>0</v>
      </c>
    </row>
    <row r="102" spans="1:12" x14ac:dyDescent="0.25">
      <c r="A102" s="31"/>
      <c r="B102" s="21"/>
      <c r="C102" s="21"/>
      <c r="D102" s="6"/>
      <c r="E102" s="14"/>
      <c r="F102" s="6"/>
      <c r="G102" s="6"/>
      <c r="H102" s="17"/>
      <c r="I102" s="49">
        <f t="shared" si="2"/>
        <v>0</v>
      </c>
      <c r="J102" s="13"/>
      <c r="K102" s="7"/>
      <c r="L102" s="5">
        <f t="shared" si="3"/>
        <v>0</v>
      </c>
    </row>
    <row r="103" spans="1:12" x14ac:dyDescent="0.25">
      <c r="A103" s="31"/>
      <c r="B103" s="21"/>
      <c r="C103" s="21"/>
      <c r="D103" s="6"/>
      <c r="E103" s="14"/>
      <c r="F103" s="6"/>
      <c r="G103" s="6"/>
      <c r="H103" s="17"/>
      <c r="I103" s="49">
        <f t="shared" si="2"/>
        <v>0</v>
      </c>
      <c r="J103" s="13"/>
      <c r="K103" s="7"/>
      <c r="L103" s="5">
        <f t="shared" si="3"/>
        <v>0</v>
      </c>
    </row>
    <row r="104" spans="1:12" x14ac:dyDescent="0.25">
      <c r="A104" s="31"/>
      <c r="B104" s="21"/>
      <c r="C104" s="21"/>
      <c r="D104" s="6"/>
      <c r="E104" s="14"/>
      <c r="F104" s="6"/>
      <c r="G104" s="6"/>
      <c r="H104" s="17"/>
      <c r="I104" s="49">
        <f t="shared" si="2"/>
        <v>0</v>
      </c>
      <c r="J104" s="13"/>
      <c r="K104" s="7"/>
      <c r="L104" s="5">
        <f t="shared" si="3"/>
        <v>0</v>
      </c>
    </row>
    <row r="105" spans="1:12" x14ac:dyDescent="0.25">
      <c r="A105" s="31"/>
      <c r="B105" s="21"/>
      <c r="C105" s="21"/>
      <c r="D105" s="6"/>
      <c r="E105" s="14"/>
      <c r="F105" s="6"/>
      <c r="G105" s="6"/>
      <c r="H105" s="17"/>
      <c r="I105" s="49">
        <f t="shared" si="2"/>
        <v>0</v>
      </c>
      <c r="J105" s="13"/>
      <c r="K105" s="7"/>
      <c r="L105" s="5">
        <f t="shared" si="3"/>
        <v>0</v>
      </c>
    </row>
    <row r="106" spans="1:12" x14ac:dyDescent="0.25">
      <c r="A106" s="31"/>
      <c r="B106" s="21"/>
      <c r="C106" s="21"/>
      <c r="D106" s="6"/>
      <c r="E106" s="14"/>
      <c r="F106" s="6"/>
      <c r="G106" s="6"/>
      <c r="H106" s="17"/>
      <c r="I106" s="49">
        <f t="shared" si="2"/>
        <v>0</v>
      </c>
      <c r="J106" s="13"/>
      <c r="K106" s="7"/>
      <c r="L106" s="5">
        <f t="shared" si="3"/>
        <v>0</v>
      </c>
    </row>
    <row r="107" spans="1:12" x14ac:dyDescent="0.25">
      <c r="A107" s="31"/>
      <c r="B107" s="21"/>
      <c r="C107" s="21"/>
      <c r="D107" s="6"/>
      <c r="E107" s="14"/>
      <c r="F107" s="6"/>
      <c r="G107" s="6"/>
      <c r="H107" s="17"/>
      <c r="I107" s="49">
        <f t="shared" si="2"/>
        <v>0</v>
      </c>
      <c r="J107" s="13"/>
      <c r="K107" s="7"/>
      <c r="L107" s="5">
        <f t="shared" si="3"/>
        <v>0</v>
      </c>
    </row>
    <row r="108" spans="1:12" x14ac:dyDescent="0.25">
      <c r="A108" s="31"/>
      <c r="B108" s="21"/>
      <c r="C108" s="21"/>
      <c r="D108" s="6"/>
      <c r="E108" s="14"/>
      <c r="F108" s="6"/>
      <c r="G108" s="6"/>
      <c r="H108" s="17"/>
      <c r="I108" s="49">
        <f t="shared" si="2"/>
        <v>0</v>
      </c>
      <c r="J108" s="13"/>
      <c r="K108" s="7"/>
      <c r="L108" s="5">
        <f t="shared" si="3"/>
        <v>0</v>
      </c>
    </row>
    <row r="109" spans="1:12" x14ac:dyDescent="0.25">
      <c r="A109" s="31"/>
      <c r="B109" s="21"/>
      <c r="C109" s="21"/>
      <c r="D109" s="6"/>
      <c r="E109" s="14"/>
      <c r="F109" s="6"/>
      <c r="G109" s="6"/>
      <c r="H109" s="17"/>
      <c r="I109" s="49">
        <f t="shared" si="2"/>
        <v>0</v>
      </c>
      <c r="J109" s="13"/>
      <c r="K109" s="7"/>
      <c r="L109" s="5">
        <f t="shared" si="3"/>
        <v>0</v>
      </c>
    </row>
    <row r="110" spans="1:12" x14ac:dyDescent="0.25">
      <c r="A110" s="31"/>
      <c r="B110" s="21"/>
      <c r="C110" s="21"/>
      <c r="D110" s="6"/>
      <c r="E110" s="14"/>
      <c r="F110" s="6"/>
      <c r="G110" s="6"/>
      <c r="H110" s="17"/>
      <c r="I110" s="49">
        <f t="shared" si="2"/>
        <v>0</v>
      </c>
      <c r="J110" s="13"/>
      <c r="K110" s="7"/>
      <c r="L110" s="5">
        <f t="shared" si="3"/>
        <v>0</v>
      </c>
    </row>
    <row r="111" spans="1:12" x14ac:dyDescent="0.25">
      <c r="A111" s="31"/>
      <c r="B111" s="21"/>
      <c r="C111" s="21"/>
      <c r="D111" s="6"/>
      <c r="E111" s="14"/>
      <c r="F111" s="6"/>
      <c r="G111" s="6"/>
      <c r="H111" s="17"/>
      <c r="I111" s="49">
        <f t="shared" si="2"/>
        <v>0</v>
      </c>
      <c r="J111" s="13"/>
      <c r="K111" s="7"/>
      <c r="L111" s="5">
        <f t="shared" si="3"/>
        <v>0</v>
      </c>
    </row>
    <row r="112" spans="1:12" x14ac:dyDescent="0.25">
      <c r="A112" s="31"/>
      <c r="B112" s="21"/>
      <c r="C112" s="21"/>
      <c r="D112" s="6"/>
      <c r="E112" s="14"/>
      <c r="F112" s="6"/>
      <c r="G112" s="6"/>
      <c r="H112" s="17"/>
      <c r="I112" s="49">
        <f t="shared" si="2"/>
        <v>0</v>
      </c>
      <c r="J112" s="13"/>
      <c r="K112" s="7"/>
      <c r="L112" s="5">
        <f t="shared" si="3"/>
        <v>0</v>
      </c>
    </row>
    <row r="113" spans="1:12" x14ac:dyDescent="0.25">
      <c r="A113" s="31"/>
      <c r="B113" s="21"/>
      <c r="C113" s="21"/>
      <c r="D113" s="6"/>
      <c r="E113" s="14"/>
      <c r="F113" s="6"/>
      <c r="G113" s="6"/>
      <c r="H113" s="17"/>
      <c r="I113" s="49">
        <f t="shared" si="2"/>
        <v>0</v>
      </c>
      <c r="J113" s="13"/>
      <c r="K113" s="7"/>
      <c r="L113" s="5">
        <f t="shared" si="3"/>
        <v>0</v>
      </c>
    </row>
    <row r="114" spans="1:12" x14ac:dyDescent="0.25">
      <c r="A114" s="31"/>
      <c r="B114" s="21"/>
      <c r="C114" s="21"/>
      <c r="D114" s="6"/>
      <c r="E114" s="14"/>
      <c r="F114" s="6"/>
      <c r="G114" s="6"/>
      <c r="H114" s="17"/>
      <c r="I114" s="49">
        <f t="shared" si="2"/>
        <v>0</v>
      </c>
      <c r="J114" s="13"/>
      <c r="K114" s="7"/>
      <c r="L114" s="5">
        <f t="shared" si="3"/>
        <v>0</v>
      </c>
    </row>
    <row r="115" spans="1:12" x14ac:dyDescent="0.25">
      <c r="A115" s="31"/>
      <c r="B115" s="21"/>
      <c r="C115" s="21"/>
      <c r="D115" s="6"/>
      <c r="E115" s="14"/>
      <c r="F115" s="6"/>
      <c r="G115" s="6"/>
      <c r="H115" s="17"/>
      <c r="I115" s="49">
        <f t="shared" si="2"/>
        <v>0</v>
      </c>
      <c r="J115" s="13"/>
      <c r="K115" s="7"/>
      <c r="L115" s="5">
        <f t="shared" si="3"/>
        <v>0</v>
      </c>
    </row>
    <row r="116" spans="1:12" x14ac:dyDescent="0.25">
      <c r="A116" s="31"/>
      <c r="B116" s="21"/>
      <c r="C116" s="21"/>
      <c r="D116" s="6"/>
      <c r="E116" s="14"/>
      <c r="F116" s="6"/>
      <c r="G116" s="6"/>
      <c r="H116" s="17"/>
      <c r="I116" s="49">
        <f t="shared" si="2"/>
        <v>0</v>
      </c>
      <c r="J116" s="13"/>
      <c r="K116" s="7"/>
      <c r="L116" s="5">
        <f t="shared" si="3"/>
        <v>0</v>
      </c>
    </row>
    <row r="117" spans="1:12" x14ac:dyDescent="0.25">
      <c r="A117" s="31"/>
      <c r="B117" s="21"/>
      <c r="C117" s="21"/>
      <c r="D117" s="6"/>
      <c r="E117" s="14"/>
      <c r="F117" s="6"/>
      <c r="G117" s="6"/>
      <c r="H117" s="17"/>
      <c r="I117" s="49">
        <f t="shared" si="2"/>
        <v>0</v>
      </c>
      <c r="J117" s="13"/>
      <c r="K117" s="7"/>
      <c r="L117" s="5">
        <f t="shared" si="3"/>
        <v>0</v>
      </c>
    </row>
    <row r="118" spans="1:12" x14ac:dyDescent="0.25">
      <c r="A118" s="31"/>
      <c r="B118" s="21"/>
      <c r="C118" s="21"/>
      <c r="D118" s="6"/>
      <c r="E118" s="14"/>
      <c r="F118" s="6"/>
      <c r="G118" s="6"/>
      <c r="H118" s="17"/>
      <c r="I118" s="49">
        <f t="shared" si="2"/>
        <v>0</v>
      </c>
      <c r="J118" s="13"/>
      <c r="K118" s="7"/>
      <c r="L118" s="5">
        <f t="shared" si="3"/>
        <v>0</v>
      </c>
    </row>
    <row r="119" spans="1:12" x14ac:dyDescent="0.25">
      <c r="A119" s="31"/>
      <c r="B119" s="21"/>
      <c r="C119" s="21"/>
      <c r="D119" s="6"/>
      <c r="E119" s="14"/>
      <c r="F119" s="6"/>
      <c r="G119" s="6"/>
      <c r="H119" s="17"/>
      <c r="I119" s="49">
        <f t="shared" si="2"/>
        <v>0</v>
      </c>
      <c r="J119" s="13"/>
      <c r="K119" s="7"/>
      <c r="L119" s="5">
        <f t="shared" si="3"/>
        <v>0</v>
      </c>
    </row>
    <row r="120" spans="1:12" x14ac:dyDescent="0.25">
      <c r="A120" s="31"/>
      <c r="B120" s="21"/>
      <c r="C120" s="21"/>
      <c r="D120" s="6"/>
      <c r="E120" s="14"/>
      <c r="F120" s="6"/>
      <c r="G120" s="6"/>
      <c r="H120" s="17"/>
      <c r="I120" s="49">
        <f t="shared" si="2"/>
        <v>0</v>
      </c>
      <c r="J120" s="13"/>
      <c r="K120" s="7"/>
      <c r="L120" s="5">
        <f t="shared" si="3"/>
        <v>0</v>
      </c>
    </row>
    <row r="121" spans="1:12" x14ac:dyDescent="0.25">
      <c r="A121" s="31"/>
      <c r="B121" s="21"/>
      <c r="C121" s="21"/>
      <c r="D121" s="6"/>
      <c r="E121" s="14"/>
      <c r="F121" s="6"/>
      <c r="G121" s="6"/>
      <c r="H121" s="17"/>
      <c r="I121" s="49">
        <f t="shared" si="2"/>
        <v>0</v>
      </c>
      <c r="J121" s="13"/>
      <c r="K121" s="7"/>
      <c r="L121" s="5">
        <f t="shared" si="3"/>
        <v>0</v>
      </c>
    </row>
    <row r="122" spans="1:12" x14ac:dyDescent="0.25">
      <c r="A122" s="31"/>
      <c r="B122" s="21"/>
      <c r="C122" s="21"/>
      <c r="D122" s="6"/>
      <c r="E122" s="14"/>
      <c r="F122" s="6"/>
      <c r="G122" s="6"/>
      <c r="H122" s="17"/>
      <c r="I122" s="49">
        <f t="shared" si="2"/>
        <v>0</v>
      </c>
      <c r="J122" s="13"/>
      <c r="K122" s="7"/>
      <c r="L122" s="5">
        <f t="shared" si="3"/>
        <v>0</v>
      </c>
    </row>
    <row r="123" spans="1:12" x14ac:dyDescent="0.25">
      <c r="A123" s="31"/>
      <c r="B123" s="21"/>
      <c r="C123" s="21"/>
      <c r="D123" s="6"/>
      <c r="E123" s="14"/>
      <c r="F123" s="6"/>
      <c r="G123" s="6"/>
      <c r="H123" s="17"/>
      <c r="I123" s="49">
        <f t="shared" si="2"/>
        <v>0</v>
      </c>
      <c r="J123" s="13"/>
      <c r="K123" s="7"/>
      <c r="L123" s="5">
        <f t="shared" si="3"/>
        <v>0</v>
      </c>
    </row>
    <row r="124" spans="1:12" x14ac:dyDescent="0.25">
      <c r="A124" s="31"/>
      <c r="B124" s="21"/>
      <c r="C124" s="21"/>
      <c r="D124" s="6"/>
      <c r="E124" s="14"/>
      <c r="F124" s="6"/>
      <c r="G124" s="6"/>
      <c r="H124" s="17"/>
      <c r="I124" s="49">
        <f t="shared" si="2"/>
        <v>0</v>
      </c>
      <c r="J124" s="13"/>
      <c r="K124" s="7"/>
      <c r="L124" s="5">
        <f t="shared" si="3"/>
        <v>0</v>
      </c>
    </row>
    <row r="125" spans="1:12" x14ac:dyDescent="0.25">
      <c r="A125" s="31"/>
      <c r="B125" s="21"/>
      <c r="C125" s="21"/>
      <c r="D125" s="6"/>
      <c r="E125" s="14"/>
      <c r="F125" s="6"/>
      <c r="G125" s="6"/>
      <c r="H125" s="17"/>
      <c r="I125" s="49">
        <f t="shared" si="2"/>
        <v>0</v>
      </c>
      <c r="J125" s="13"/>
      <c r="K125" s="7"/>
      <c r="L125" s="5">
        <f t="shared" si="3"/>
        <v>0</v>
      </c>
    </row>
    <row r="126" spans="1:12" x14ac:dyDescent="0.25">
      <c r="A126" s="31"/>
      <c r="B126" s="21"/>
      <c r="C126" s="21"/>
      <c r="D126" s="6"/>
      <c r="E126" s="14"/>
      <c r="F126" s="6"/>
      <c r="G126" s="6"/>
      <c r="H126" s="17"/>
      <c r="I126" s="49">
        <f t="shared" si="2"/>
        <v>0</v>
      </c>
      <c r="J126" s="13"/>
      <c r="K126" s="7"/>
      <c r="L126" s="5">
        <f t="shared" si="3"/>
        <v>0</v>
      </c>
    </row>
    <row r="127" spans="1:12" x14ac:dyDescent="0.25">
      <c r="A127" s="31"/>
      <c r="B127" s="21"/>
      <c r="C127" s="21"/>
      <c r="D127" s="6"/>
      <c r="E127" s="14"/>
      <c r="F127" s="6"/>
      <c r="G127" s="6"/>
      <c r="H127" s="17"/>
      <c r="I127" s="49">
        <f t="shared" si="2"/>
        <v>0</v>
      </c>
      <c r="J127" s="13"/>
      <c r="K127" s="7"/>
      <c r="L127" s="5">
        <f t="shared" si="3"/>
        <v>0</v>
      </c>
    </row>
    <row r="128" spans="1:12" x14ac:dyDescent="0.25">
      <c r="A128" s="31"/>
      <c r="B128" s="21"/>
      <c r="C128" s="21"/>
      <c r="D128" s="6"/>
      <c r="E128" s="14"/>
      <c r="F128" s="6"/>
      <c r="G128" s="6"/>
      <c r="H128" s="17"/>
      <c r="I128" s="49">
        <f t="shared" si="2"/>
        <v>0</v>
      </c>
      <c r="J128" s="13"/>
      <c r="K128" s="7"/>
      <c r="L128" s="5">
        <f t="shared" si="3"/>
        <v>0</v>
      </c>
    </row>
    <row r="129" spans="1:12" x14ac:dyDescent="0.25">
      <c r="A129" s="31"/>
      <c r="B129" s="21"/>
      <c r="C129" s="21"/>
      <c r="D129" s="6"/>
      <c r="E129" s="14"/>
      <c r="F129" s="6"/>
      <c r="G129" s="6"/>
      <c r="H129" s="17"/>
      <c r="I129" s="49">
        <f t="shared" si="2"/>
        <v>0</v>
      </c>
      <c r="J129" s="13"/>
      <c r="K129" s="7"/>
      <c r="L129" s="5">
        <f t="shared" si="3"/>
        <v>0</v>
      </c>
    </row>
    <row r="130" spans="1:12" x14ac:dyDescent="0.25">
      <c r="A130" s="31"/>
      <c r="B130" s="21"/>
      <c r="C130" s="21"/>
      <c r="D130" s="6"/>
      <c r="E130" s="14"/>
      <c r="F130" s="6"/>
      <c r="G130" s="6"/>
      <c r="H130" s="17"/>
      <c r="I130" s="49">
        <f t="shared" si="2"/>
        <v>0</v>
      </c>
      <c r="J130" s="13"/>
      <c r="K130" s="7"/>
      <c r="L130" s="5">
        <f t="shared" si="3"/>
        <v>0</v>
      </c>
    </row>
    <row r="131" spans="1:12" x14ac:dyDescent="0.25">
      <c r="A131" s="31"/>
      <c r="B131" s="21"/>
      <c r="C131" s="21"/>
      <c r="D131" s="6"/>
      <c r="E131" s="14"/>
      <c r="F131" s="6"/>
      <c r="G131" s="6"/>
      <c r="H131" s="17"/>
      <c r="I131" s="49">
        <f t="shared" si="2"/>
        <v>0</v>
      </c>
      <c r="J131" s="13"/>
      <c r="K131" s="7"/>
      <c r="L131" s="5">
        <f t="shared" si="3"/>
        <v>0</v>
      </c>
    </row>
    <row r="132" spans="1:12" x14ac:dyDescent="0.25">
      <c r="A132" s="31"/>
      <c r="B132" s="21"/>
      <c r="C132" s="21"/>
      <c r="D132" s="6"/>
      <c r="E132" s="14"/>
      <c r="F132" s="6"/>
      <c r="G132" s="6"/>
      <c r="H132" s="17"/>
      <c r="I132" s="49">
        <f t="shared" si="2"/>
        <v>0</v>
      </c>
      <c r="J132" s="13"/>
      <c r="K132" s="7"/>
      <c r="L132" s="5">
        <f t="shared" si="3"/>
        <v>0</v>
      </c>
    </row>
    <row r="133" spans="1:12" x14ac:dyDescent="0.25">
      <c r="A133" s="31"/>
      <c r="B133" s="21"/>
      <c r="C133" s="21"/>
      <c r="D133" s="6"/>
      <c r="E133" s="14"/>
      <c r="F133" s="6"/>
      <c r="G133" s="6"/>
      <c r="H133" s="17"/>
      <c r="I133" s="49">
        <f t="shared" si="2"/>
        <v>0</v>
      </c>
      <c r="J133" s="13"/>
      <c r="K133" s="7"/>
      <c r="L133" s="5">
        <f t="shared" si="3"/>
        <v>0</v>
      </c>
    </row>
    <row r="134" spans="1:12" x14ac:dyDescent="0.25">
      <c r="A134" s="31"/>
      <c r="B134" s="21"/>
      <c r="C134" s="21"/>
      <c r="D134" s="6"/>
      <c r="E134" s="14"/>
      <c r="F134" s="6"/>
      <c r="G134" s="6"/>
      <c r="H134" s="17"/>
      <c r="I134" s="49">
        <f t="shared" si="2"/>
        <v>0</v>
      </c>
      <c r="J134" s="13"/>
      <c r="K134" s="7"/>
      <c r="L134" s="5">
        <f t="shared" si="3"/>
        <v>0</v>
      </c>
    </row>
    <row r="135" spans="1:12" x14ac:dyDescent="0.25">
      <c r="A135" s="31"/>
      <c r="B135" s="21"/>
      <c r="C135" s="21"/>
      <c r="D135" s="6"/>
      <c r="E135" s="14"/>
      <c r="F135" s="6"/>
      <c r="G135" s="6"/>
      <c r="H135" s="17"/>
      <c r="I135" s="49">
        <f t="shared" ref="I135:I198" si="4">F135*H135</f>
        <v>0</v>
      </c>
      <c r="J135" s="13"/>
      <c r="K135" s="7"/>
      <c r="L135" s="5">
        <f t="shared" ref="L135:L198" si="5">+I135+J135-K135</f>
        <v>0</v>
      </c>
    </row>
    <row r="136" spans="1:12" x14ac:dyDescent="0.25">
      <c r="A136" s="31"/>
      <c r="B136" s="21"/>
      <c r="C136" s="21"/>
      <c r="D136" s="6"/>
      <c r="E136" s="14"/>
      <c r="F136" s="6"/>
      <c r="G136" s="6"/>
      <c r="H136" s="17"/>
      <c r="I136" s="49">
        <f t="shared" si="4"/>
        <v>0</v>
      </c>
      <c r="J136" s="13"/>
      <c r="K136" s="7"/>
      <c r="L136" s="5">
        <f t="shared" si="5"/>
        <v>0</v>
      </c>
    </row>
    <row r="137" spans="1:12" x14ac:dyDescent="0.25">
      <c r="A137" s="31"/>
      <c r="B137" s="21"/>
      <c r="C137" s="21"/>
      <c r="D137" s="6"/>
      <c r="E137" s="14"/>
      <c r="F137" s="6"/>
      <c r="G137" s="6"/>
      <c r="H137" s="17"/>
      <c r="I137" s="49">
        <f t="shared" si="4"/>
        <v>0</v>
      </c>
      <c r="J137" s="13"/>
      <c r="K137" s="7"/>
      <c r="L137" s="5">
        <f t="shared" si="5"/>
        <v>0</v>
      </c>
    </row>
    <row r="138" spans="1:12" x14ac:dyDescent="0.25">
      <c r="A138" s="31"/>
      <c r="B138" s="21"/>
      <c r="C138" s="21"/>
      <c r="D138" s="6"/>
      <c r="E138" s="14"/>
      <c r="F138" s="6"/>
      <c r="G138" s="6"/>
      <c r="H138" s="17"/>
      <c r="I138" s="49">
        <f t="shared" si="4"/>
        <v>0</v>
      </c>
      <c r="J138" s="13"/>
      <c r="K138" s="7"/>
      <c r="L138" s="5">
        <f t="shared" si="5"/>
        <v>0</v>
      </c>
    </row>
    <row r="139" spans="1:12" x14ac:dyDescent="0.25">
      <c r="A139" s="31"/>
      <c r="B139" s="21"/>
      <c r="C139" s="21"/>
      <c r="D139" s="6"/>
      <c r="E139" s="14"/>
      <c r="F139" s="6"/>
      <c r="G139" s="6"/>
      <c r="H139" s="17"/>
      <c r="I139" s="49">
        <f t="shared" si="4"/>
        <v>0</v>
      </c>
      <c r="J139" s="13"/>
      <c r="K139" s="7"/>
      <c r="L139" s="5">
        <f t="shared" si="5"/>
        <v>0</v>
      </c>
    </row>
    <row r="140" spans="1:12" x14ac:dyDescent="0.25">
      <c r="A140" s="31"/>
      <c r="B140" s="21"/>
      <c r="C140" s="21"/>
      <c r="D140" s="6"/>
      <c r="E140" s="14"/>
      <c r="F140" s="6"/>
      <c r="G140" s="6"/>
      <c r="H140" s="17"/>
      <c r="I140" s="49">
        <f t="shared" si="4"/>
        <v>0</v>
      </c>
      <c r="J140" s="13"/>
      <c r="K140" s="7"/>
      <c r="L140" s="5">
        <f t="shared" si="5"/>
        <v>0</v>
      </c>
    </row>
    <row r="141" spans="1:12" x14ac:dyDescent="0.25">
      <c r="A141" s="31"/>
      <c r="B141" s="21"/>
      <c r="C141" s="21"/>
      <c r="D141" s="6"/>
      <c r="E141" s="14"/>
      <c r="F141" s="6"/>
      <c r="G141" s="6"/>
      <c r="H141" s="17"/>
      <c r="I141" s="49">
        <f t="shared" si="4"/>
        <v>0</v>
      </c>
      <c r="J141" s="13"/>
      <c r="K141" s="7"/>
      <c r="L141" s="5">
        <f t="shared" si="5"/>
        <v>0</v>
      </c>
    </row>
    <row r="142" spans="1:12" x14ac:dyDescent="0.25">
      <c r="A142" s="31"/>
      <c r="B142" s="21"/>
      <c r="C142" s="21"/>
      <c r="D142" s="6"/>
      <c r="E142" s="14"/>
      <c r="F142" s="6"/>
      <c r="G142" s="6"/>
      <c r="H142" s="17"/>
      <c r="I142" s="49">
        <f t="shared" si="4"/>
        <v>0</v>
      </c>
      <c r="J142" s="13"/>
      <c r="K142" s="7"/>
      <c r="L142" s="5">
        <f t="shared" si="5"/>
        <v>0</v>
      </c>
    </row>
    <row r="143" spans="1:12" x14ac:dyDescent="0.25">
      <c r="A143" s="31"/>
      <c r="B143" s="21"/>
      <c r="C143" s="21"/>
      <c r="D143" s="6"/>
      <c r="E143" s="14"/>
      <c r="F143" s="6"/>
      <c r="G143" s="6"/>
      <c r="H143" s="17"/>
      <c r="I143" s="49">
        <f t="shared" si="4"/>
        <v>0</v>
      </c>
      <c r="J143" s="13"/>
      <c r="K143" s="7"/>
      <c r="L143" s="5">
        <f t="shared" si="5"/>
        <v>0</v>
      </c>
    </row>
    <row r="144" spans="1:12" x14ac:dyDescent="0.25">
      <c r="A144" s="31"/>
      <c r="B144" s="21"/>
      <c r="C144" s="21"/>
      <c r="D144" s="6"/>
      <c r="E144" s="14"/>
      <c r="F144" s="6"/>
      <c r="G144" s="6"/>
      <c r="H144" s="17"/>
      <c r="I144" s="49">
        <f t="shared" si="4"/>
        <v>0</v>
      </c>
      <c r="J144" s="13"/>
      <c r="K144" s="7"/>
      <c r="L144" s="5">
        <f t="shared" si="5"/>
        <v>0</v>
      </c>
    </row>
    <row r="145" spans="1:12" x14ac:dyDescent="0.25">
      <c r="A145" s="31"/>
      <c r="B145" s="21"/>
      <c r="C145" s="21"/>
      <c r="D145" s="6"/>
      <c r="E145" s="14"/>
      <c r="F145" s="6"/>
      <c r="G145" s="6"/>
      <c r="H145" s="17"/>
      <c r="I145" s="49">
        <f t="shared" si="4"/>
        <v>0</v>
      </c>
      <c r="J145" s="13"/>
      <c r="K145" s="7"/>
      <c r="L145" s="5">
        <f t="shared" si="5"/>
        <v>0</v>
      </c>
    </row>
    <row r="146" spans="1:12" x14ac:dyDescent="0.25">
      <c r="A146" s="31"/>
      <c r="B146" s="21"/>
      <c r="C146" s="21"/>
      <c r="D146" s="6"/>
      <c r="E146" s="14"/>
      <c r="F146" s="6"/>
      <c r="G146" s="6"/>
      <c r="H146" s="17"/>
      <c r="I146" s="49">
        <f t="shared" si="4"/>
        <v>0</v>
      </c>
      <c r="J146" s="13"/>
      <c r="K146" s="7"/>
      <c r="L146" s="5">
        <f t="shared" si="5"/>
        <v>0</v>
      </c>
    </row>
    <row r="147" spans="1:12" x14ac:dyDescent="0.25">
      <c r="A147" s="31"/>
      <c r="B147" s="21"/>
      <c r="C147" s="21"/>
      <c r="D147" s="6"/>
      <c r="E147" s="14"/>
      <c r="F147" s="6"/>
      <c r="G147" s="6"/>
      <c r="H147" s="17"/>
      <c r="I147" s="49">
        <f t="shared" si="4"/>
        <v>0</v>
      </c>
      <c r="J147" s="13"/>
      <c r="K147" s="7"/>
      <c r="L147" s="5">
        <f t="shared" si="5"/>
        <v>0</v>
      </c>
    </row>
    <row r="148" spans="1:12" x14ac:dyDescent="0.25">
      <c r="A148" s="31"/>
      <c r="B148" s="21"/>
      <c r="C148" s="21"/>
      <c r="D148" s="6"/>
      <c r="E148" s="14"/>
      <c r="F148" s="6"/>
      <c r="G148" s="6"/>
      <c r="H148" s="17"/>
      <c r="I148" s="49">
        <f t="shared" si="4"/>
        <v>0</v>
      </c>
      <c r="J148" s="13"/>
      <c r="K148" s="7"/>
      <c r="L148" s="5">
        <f t="shared" si="5"/>
        <v>0</v>
      </c>
    </row>
    <row r="149" spans="1:12" x14ac:dyDescent="0.25">
      <c r="A149" s="31"/>
      <c r="B149" s="21"/>
      <c r="C149" s="21"/>
      <c r="D149" s="6"/>
      <c r="E149" s="14"/>
      <c r="F149" s="6"/>
      <c r="G149" s="6"/>
      <c r="H149" s="17"/>
      <c r="I149" s="49">
        <f t="shared" si="4"/>
        <v>0</v>
      </c>
      <c r="J149" s="13"/>
      <c r="K149" s="7"/>
      <c r="L149" s="5">
        <f t="shared" si="5"/>
        <v>0</v>
      </c>
    </row>
    <row r="150" spans="1:12" x14ac:dyDescent="0.25">
      <c r="A150" s="31"/>
      <c r="B150" s="21"/>
      <c r="C150" s="21"/>
      <c r="D150" s="6"/>
      <c r="E150" s="14"/>
      <c r="F150" s="6"/>
      <c r="G150" s="6"/>
      <c r="H150" s="17"/>
      <c r="I150" s="49">
        <f t="shared" si="4"/>
        <v>0</v>
      </c>
      <c r="J150" s="13"/>
      <c r="K150" s="7"/>
      <c r="L150" s="5">
        <f t="shared" si="5"/>
        <v>0</v>
      </c>
    </row>
    <row r="151" spans="1:12" x14ac:dyDescent="0.25">
      <c r="A151" s="31"/>
      <c r="B151" s="21"/>
      <c r="C151" s="21"/>
      <c r="D151" s="6"/>
      <c r="E151" s="14"/>
      <c r="F151" s="6"/>
      <c r="G151" s="6"/>
      <c r="H151" s="17"/>
      <c r="I151" s="49">
        <f t="shared" si="4"/>
        <v>0</v>
      </c>
      <c r="J151" s="13"/>
      <c r="K151" s="7"/>
      <c r="L151" s="5">
        <f t="shared" si="5"/>
        <v>0</v>
      </c>
    </row>
    <row r="152" spans="1:12" x14ac:dyDescent="0.25">
      <c r="A152" s="31"/>
      <c r="B152" s="21"/>
      <c r="C152" s="21"/>
      <c r="D152" s="6"/>
      <c r="E152" s="14"/>
      <c r="F152" s="6"/>
      <c r="G152" s="6"/>
      <c r="H152" s="17"/>
      <c r="I152" s="49">
        <f t="shared" si="4"/>
        <v>0</v>
      </c>
      <c r="J152" s="13"/>
      <c r="K152" s="7"/>
      <c r="L152" s="5">
        <f t="shared" si="5"/>
        <v>0</v>
      </c>
    </row>
    <row r="153" spans="1:12" x14ac:dyDescent="0.25">
      <c r="A153" s="31"/>
      <c r="B153" s="21"/>
      <c r="C153" s="21"/>
      <c r="D153" s="6"/>
      <c r="E153" s="14"/>
      <c r="F153" s="6"/>
      <c r="G153" s="6"/>
      <c r="H153" s="17"/>
      <c r="I153" s="49">
        <f t="shared" si="4"/>
        <v>0</v>
      </c>
      <c r="J153" s="13"/>
      <c r="K153" s="7"/>
      <c r="L153" s="5">
        <f t="shared" si="5"/>
        <v>0</v>
      </c>
    </row>
    <row r="154" spans="1:12" x14ac:dyDescent="0.25">
      <c r="A154" s="31"/>
      <c r="B154" s="21"/>
      <c r="C154" s="21"/>
      <c r="D154" s="6"/>
      <c r="E154" s="14"/>
      <c r="F154" s="6"/>
      <c r="G154" s="6"/>
      <c r="H154" s="17"/>
      <c r="I154" s="49">
        <f t="shared" si="4"/>
        <v>0</v>
      </c>
      <c r="J154" s="13"/>
      <c r="K154" s="7"/>
      <c r="L154" s="5">
        <f t="shared" si="5"/>
        <v>0</v>
      </c>
    </row>
    <row r="155" spans="1:12" x14ac:dyDescent="0.25">
      <c r="A155" s="31"/>
      <c r="B155" s="21"/>
      <c r="C155" s="21"/>
      <c r="D155" s="6"/>
      <c r="E155" s="14"/>
      <c r="F155" s="6"/>
      <c r="G155" s="6"/>
      <c r="H155" s="17"/>
      <c r="I155" s="49">
        <f t="shared" si="4"/>
        <v>0</v>
      </c>
      <c r="J155" s="13"/>
      <c r="K155" s="7"/>
      <c r="L155" s="5">
        <f t="shared" si="5"/>
        <v>0</v>
      </c>
    </row>
    <row r="156" spans="1:12" x14ac:dyDescent="0.25">
      <c r="A156" s="31"/>
      <c r="B156" s="21"/>
      <c r="C156" s="21"/>
      <c r="D156" s="6"/>
      <c r="E156" s="14"/>
      <c r="F156" s="6"/>
      <c r="G156" s="6"/>
      <c r="H156" s="17"/>
      <c r="I156" s="49">
        <f t="shared" si="4"/>
        <v>0</v>
      </c>
      <c r="J156" s="13"/>
      <c r="K156" s="7"/>
      <c r="L156" s="5">
        <f t="shared" si="5"/>
        <v>0</v>
      </c>
    </row>
    <row r="157" spans="1:12" x14ac:dyDescent="0.25">
      <c r="A157" s="31"/>
      <c r="B157" s="21"/>
      <c r="C157" s="21"/>
      <c r="D157" s="6"/>
      <c r="E157" s="14"/>
      <c r="F157" s="6"/>
      <c r="G157" s="6"/>
      <c r="H157" s="17"/>
      <c r="I157" s="49">
        <f t="shared" si="4"/>
        <v>0</v>
      </c>
      <c r="J157" s="13"/>
      <c r="K157" s="7"/>
      <c r="L157" s="5">
        <f t="shared" si="5"/>
        <v>0</v>
      </c>
    </row>
    <row r="158" spans="1:12" x14ac:dyDescent="0.25">
      <c r="A158" s="31"/>
      <c r="B158" s="21"/>
      <c r="C158" s="21"/>
      <c r="D158" s="6"/>
      <c r="E158" s="14"/>
      <c r="F158" s="6"/>
      <c r="G158" s="6"/>
      <c r="H158" s="17"/>
      <c r="I158" s="49">
        <f t="shared" si="4"/>
        <v>0</v>
      </c>
      <c r="J158" s="13"/>
      <c r="K158" s="7"/>
      <c r="L158" s="5">
        <f t="shared" si="5"/>
        <v>0</v>
      </c>
    </row>
    <row r="159" spans="1:12" x14ac:dyDescent="0.25">
      <c r="A159" s="31"/>
      <c r="B159" s="21"/>
      <c r="C159" s="21"/>
      <c r="D159" s="6"/>
      <c r="E159" s="14"/>
      <c r="F159" s="6"/>
      <c r="G159" s="6"/>
      <c r="H159" s="17"/>
      <c r="I159" s="49">
        <f t="shared" si="4"/>
        <v>0</v>
      </c>
      <c r="J159" s="13"/>
      <c r="K159" s="7"/>
      <c r="L159" s="5">
        <f t="shared" si="5"/>
        <v>0</v>
      </c>
    </row>
    <row r="160" spans="1:12" x14ac:dyDescent="0.25">
      <c r="A160" s="31"/>
      <c r="B160" s="21"/>
      <c r="C160" s="21"/>
      <c r="D160" s="6"/>
      <c r="E160" s="14"/>
      <c r="F160" s="6"/>
      <c r="G160" s="6"/>
      <c r="H160" s="17"/>
      <c r="I160" s="49">
        <f t="shared" si="4"/>
        <v>0</v>
      </c>
      <c r="J160" s="13"/>
      <c r="K160" s="7"/>
      <c r="L160" s="5">
        <f t="shared" si="5"/>
        <v>0</v>
      </c>
    </row>
    <row r="161" spans="1:12" x14ac:dyDescent="0.25">
      <c r="A161" s="31"/>
      <c r="B161" s="21"/>
      <c r="C161" s="21"/>
      <c r="D161" s="6"/>
      <c r="E161" s="14"/>
      <c r="F161" s="6"/>
      <c r="G161" s="6"/>
      <c r="H161" s="17"/>
      <c r="I161" s="49">
        <f t="shared" si="4"/>
        <v>0</v>
      </c>
      <c r="J161" s="13"/>
      <c r="K161" s="7"/>
      <c r="L161" s="5">
        <f t="shared" si="5"/>
        <v>0</v>
      </c>
    </row>
    <row r="162" spans="1:12" x14ac:dyDescent="0.25">
      <c r="A162" s="31"/>
      <c r="B162" s="21"/>
      <c r="C162" s="21"/>
      <c r="D162" s="6"/>
      <c r="E162" s="14"/>
      <c r="F162" s="6"/>
      <c r="G162" s="6"/>
      <c r="H162" s="17"/>
      <c r="I162" s="49">
        <f t="shared" si="4"/>
        <v>0</v>
      </c>
      <c r="J162" s="13"/>
      <c r="K162" s="7"/>
      <c r="L162" s="5">
        <f t="shared" si="5"/>
        <v>0</v>
      </c>
    </row>
    <row r="163" spans="1:12" x14ac:dyDescent="0.25">
      <c r="A163" s="31"/>
      <c r="B163" s="21"/>
      <c r="C163" s="21"/>
      <c r="D163" s="6"/>
      <c r="E163" s="14"/>
      <c r="F163" s="6"/>
      <c r="G163" s="6"/>
      <c r="H163" s="17"/>
      <c r="I163" s="49">
        <f t="shared" si="4"/>
        <v>0</v>
      </c>
      <c r="J163" s="13"/>
      <c r="K163" s="7"/>
      <c r="L163" s="5">
        <f t="shared" si="5"/>
        <v>0</v>
      </c>
    </row>
    <row r="164" spans="1:12" x14ac:dyDescent="0.25">
      <c r="A164" s="31"/>
      <c r="B164" s="21"/>
      <c r="C164" s="21"/>
      <c r="D164" s="6"/>
      <c r="E164" s="14"/>
      <c r="F164" s="6"/>
      <c r="G164" s="6"/>
      <c r="H164" s="17"/>
      <c r="I164" s="49">
        <f t="shared" si="4"/>
        <v>0</v>
      </c>
      <c r="J164" s="13"/>
      <c r="K164" s="7"/>
      <c r="L164" s="5">
        <f t="shared" si="5"/>
        <v>0</v>
      </c>
    </row>
    <row r="165" spans="1:12" x14ac:dyDescent="0.25">
      <c r="A165" s="31"/>
      <c r="B165" s="21"/>
      <c r="C165" s="21"/>
      <c r="D165" s="6"/>
      <c r="E165" s="14"/>
      <c r="F165" s="6"/>
      <c r="G165" s="6"/>
      <c r="H165" s="17"/>
      <c r="I165" s="49">
        <f t="shared" si="4"/>
        <v>0</v>
      </c>
      <c r="J165" s="13"/>
      <c r="K165" s="7"/>
      <c r="L165" s="5">
        <f t="shared" si="5"/>
        <v>0</v>
      </c>
    </row>
    <row r="166" spans="1:12" x14ac:dyDescent="0.25">
      <c r="A166" s="31"/>
      <c r="B166" s="21"/>
      <c r="C166" s="21"/>
      <c r="D166" s="6"/>
      <c r="E166" s="14"/>
      <c r="F166" s="6"/>
      <c r="G166" s="6"/>
      <c r="H166" s="17"/>
      <c r="I166" s="49">
        <f t="shared" si="4"/>
        <v>0</v>
      </c>
      <c r="J166" s="13"/>
      <c r="K166" s="7"/>
      <c r="L166" s="5">
        <f t="shared" si="5"/>
        <v>0</v>
      </c>
    </row>
    <row r="167" spans="1:12" x14ac:dyDescent="0.25">
      <c r="A167" s="31"/>
      <c r="B167" s="21"/>
      <c r="C167" s="21"/>
      <c r="D167" s="6"/>
      <c r="E167" s="14"/>
      <c r="F167" s="6"/>
      <c r="G167" s="6"/>
      <c r="H167" s="17"/>
      <c r="I167" s="49">
        <f t="shared" si="4"/>
        <v>0</v>
      </c>
      <c r="J167" s="13"/>
      <c r="K167" s="7"/>
      <c r="L167" s="5">
        <f t="shared" si="5"/>
        <v>0</v>
      </c>
    </row>
    <row r="168" spans="1:12" x14ac:dyDescent="0.25">
      <c r="A168" s="31"/>
      <c r="B168" s="21"/>
      <c r="C168" s="21"/>
      <c r="D168" s="6"/>
      <c r="E168" s="14"/>
      <c r="F168" s="6"/>
      <c r="G168" s="6"/>
      <c r="H168" s="17"/>
      <c r="I168" s="49">
        <f t="shared" si="4"/>
        <v>0</v>
      </c>
      <c r="J168" s="13"/>
      <c r="K168" s="7"/>
      <c r="L168" s="5">
        <f t="shared" si="5"/>
        <v>0</v>
      </c>
    </row>
    <row r="169" spans="1:12" x14ac:dyDescent="0.25">
      <c r="A169" s="31"/>
      <c r="B169" s="21"/>
      <c r="C169" s="21"/>
      <c r="D169" s="6"/>
      <c r="E169" s="14"/>
      <c r="F169" s="6"/>
      <c r="G169" s="6"/>
      <c r="H169" s="17"/>
      <c r="I169" s="49">
        <f t="shared" si="4"/>
        <v>0</v>
      </c>
      <c r="J169" s="13"/>
      <c r="K169" s="7"/>
      <c r="L169" s="5">
        <f t="shared" si="5"/>
        <v>0</v>
      </c>
    </row>
    <row r="170" spans="1:12" x14ac:dyDescent="0.25">
      <c r="A170" s="31"/>
      <c r="B170" s="21"/>
      <c r="C170" s="21"/>
      <c r="D170" s="6"/>
      <c r="E170" s="14"/>
      <c r="F170" s="6"/>
      <c r="G170" s="6"/>
      <c r="H170" s="17"/>
      <c r="I170" s="49">
        <f t="shared" si="4"/>
        <v>0</v>
      </c>
      <c r="J170" s="13"/>
      <c r="K170" s="7"/>
      <c r="L170" s="5">
        <f t="shared" si="5"/>
        <v>0</v>
      </c>
    </row>
    <row r="171" spans="1:12" x14ac:dyDescent="0.25">
      <c r="A171" s="31"/>
      <c r="B171" s="21"/>
      <c r="C171" s="21"/>
      <c r="D171" s="6"/>
      <c r="E171" s="14"/>
      <c r="F171" s="6"/>
      <c r="G171" s="6"/>
      <c r="H171" s="17"/>
      <c r="I171" s="49">
        <f t="shared" si="4"/>
        <v>0</v>
      </c>
      <c r="J171" s="13"/>
      <c r="K171" s="7"/>
      <c r="L171" s="5">
        <f t="shared" si="5"/>
        <v>0</v>
      </c>
    </row>
    <row r="172" spans="1:12" x14ac:dyDescent="0.25">
      <c r="A172" s="31"/>
      <c r="B172" s="21"/>
      <c r="C172" s="21"/>
      <c r="D172" s="6"/>
      <c r="E172" s="14"/>
      <c r="F172" s="6"/>
      <c r="G172" s="6"/>
      <c r="H172" s="17"/>
      <c r="I172" s="49">
        <f t="shared" si="4"/>
        <v>0</v>
      </c>
      <c r="J172" s="13"/>
      <c r="K172" s="7"/>
      <c r="L172" s="5">
        <f t="shared" si="5"/>
        <v>0</v>
      </c>
    </row>
    <row r="173" spans="1:12" x14ac:dyDescent="0.25">
      <c r="A173" s="31"/>
      <c r="B173" s="21"/>
      <c r="C173" s="21"/>
      <c r="D173" s="6"/>
      <c r="E173" s="14"/>
      <c r="F173" s="6"/>
      <c r="G173" s="6"/>
      <c r="H173" s="17"/>
      <c r="I173" s="49">
        <f t="shared" si="4"/>
        <v>0</v>
      </c>
      <c r="J173" s="13"/>
      <c r="K173" s="7"/>
      <c r="L173" s="5">
        <f t="shared" si="5"/>
        <v>0</v>
      </c>
    </row>
    <row r="174" spans="1:12" x14ac:dyDescent="0.25">
      <c r="A174" s="31"/>
      <c r="B174" s="21"/>
      <c r="C174" s="21"/>
      <c r="D174" s="6"/>
      <c r="E174" s="14"/>
      <c r="F174" s="6"/>
      <c r="G174" s="6"/>
      <c r="H174" s="17"/>
      <c r="I174" s="49">
        <f t="shared" si="4"/>
        <v>0</v>
      </c>
      <c r="J174" s="13"/>
      <c r="K174" s="7"/>
      <c r="L174" s="5">
        <f t="shared" si="5"/>
        <v>0</v>
      </c>
    </row>
    <row r="175" spans="1:12" x14ac:dyDescent="0.25">
      <c r="A175" s="31"/>
      <c r="B175" s="21"/>
      <c r="C175" s="21"/>
      <c r="D175" s="6"/>
      <c r="E175" s="14"/>
      <c r="F175" s="6"/>
      <c r="G175" s="6"/>
      <c r="H175" s="17"/>
      <c r="I175" s="49">
        <f t="shared" si="4"/>
        <v>0</v>
      </c>
      <c r="J175" s="13"/>
      <c r="K175" s="7"/>
      <c r="L175" s="5">
        <f t="shared" si="5"/>
        <v>0</v>
      </c>
    </row>
    <row r="176" spans="1:12" x14ac:dyDescent="0.25">
      <c r="A176" s="31"/>
      <c r="B176" s="21"/>
      <c r="C176" s="21"/>
      <c r="D176" s="6"/>
      <c r="E176" s="14"/>
      <c r="F176" s="6"/>
      <c r="G176" s="6"/>
      <c r="H176" s="17"/>
      <c r="I176" s="49">
        <f t="shared" si="4"/>
        <v>0</v>
      </c>
      <c r="J176" s="13"/>
      <c r="K176" s="7"/>
      <c r="L176" s="5">
        <f t="shared" si="5"/>
        <v>0</v>
      </c>
    </row>
    <row r="177" spans="1:12" x14ac:dyDescent="0.25">
      <c r="A177" s="31"/>
      <c r="B177" s="21"/>
      <c r="C177" s="21"/>
      <c r="D177" s="6"/>
      <c r="E177" s="14"/>
      <c r="F177" s="6"/>
      <c r="G177" s="6"/>
      <c r="H177" s="17"/>
      <c r="I177" s="49">
        <f t="shared" si="4"/>
        <v>0</v>
      </c>
      <c r="J177" s="13"/>
      <c r="K177" s="7"/>
      <c r="L177" s="5">
        <f t="shared" si="5"/>
        <v>0</v>
      </c>
    </row>
    <row r="178" spans="1:12" x14ac:dyDescent="0.25">
      <c r="A178" s="31"/>
      <c r="B178" s="21"/>
      <c r="C178" s="21"/>
      <c r="D178" s="6"/>
      <c r="E178" s="14"/>
      <c r="F178" s="6"/>
      <c r="G178" s="6"/>
      <c r="H178" s="17"/>
      <c r="I178" s="49">
        <f t="shared" si="4"/>
        <v>0</v>
      </c>
      <c r="J178" s="13"/>
      <c r="K178" s="7"/>
      <c r="L178" s="5">
        <f t="shared" si="5"/>
        <v>0</v>
      </c>
    </row>
    <row r="179" spans="1:12" x14ac:dyDescent="0.25">
      <c r="A179" s="31"/>
      <c r="B179" s="21"/>
      <c r="C179" s="21"/>
      <c r="D179" s="6"/>
      <c r="E179" s="14"/>
      <c r="F179" s="6"/>
      <c r="G179" s="6"/>
      <c r="H179" s="17"/>
      <c r="I179" s="49">
        <f t="shared" si="4"/>
        <v>0</v>
      </c>
      <c r="J179" s="13"/>
      <c r="K179" s="7"/>
      <c r="L179" s="5">
        <f t="shared" si="5"/>
        <v>0</v>
      </c>
    </row>
    <row r="180" spans="1:12" x14ac:dyDescent="0.25">
      <c r="A180" s="31"/>
      <c r="B180" s="21"/>
      <c r="C180" s="21"/>
      <c r="D180" s="6"/>
      <c r="E180" s="14"/>
      <c r="F180" s="6"/>
      <c r="G180" s="6"/>
      <c r="H180" s="17"/>
      <c r="I180" s="49">
        <f t="shared" si="4"/>
        <v>0</v>
      </c>
      <c r="J180" s="13"/>
      <c r="K180" s="7"/>
      <c r="L180" s="5">
        <f t="shared" si="5"/>
        <v>0</v>
      </c>
    </row>
    <row r="181" spans="1:12" x14ac:dyDescent="0.25">
      <c r="A181" s="31"/>
      <c r="B181" s="21"/>
      <c r="C181" s="21"/>
      <c r="D181" s="6"/>
      <c r="E181" s="14"/>
      <c r="F181" s="6"/>
      <c r="G181" s="6"/>
      <c r="H181" s="17"/>
      <c r="I181" s="49">
        <f t="shared" si="4"/>
        <v>0</v>
      </c>
      <c r="J181" s="13"/>
      <c r="K181" s="7"/>
      <c r="L181" s="5">
        <f t="shared" si="5"/>
        <v>0</v>
      </c>
    </row>
    <row r="182" spans="1:12" x14ac:dyDescent="0.25">
      <c r="A182" s="31"/>
      <c r="B182" s="21"/>
      <c r="C182" s="21"/>
      <c r="D182" s="6"/>
      <c r="E182" s="14"/>
      <c r="F182" s="6"/>
      <c r="G182" s="6"/>
      <c r="H182" s="17"/>
      <c r="I182" s="49">
        <f t="shared" si="4"/>
        <v>0</v>
      </c>
      <c r="J182" s="13"/>
      <c r="K182" s="7"/>
      <c r="L182" s="5">
        <f t="shared" si="5"/>
        <v>0</v>
      </c>
    </row>
    <row r="183" spans="1:12" x14ac:dyDescent="0.25">
      <c r="A183" s="31"/>
      <c r="B183" s="21"/>
      <c r="C183" s="21"/>
      <c r="D183" s="6"/>
      <c r="E183" s="14"/>
      <c r="F183" s="6"/>
      <c r="G183" s="6"/>
      <c r="H183" s="17"/>
      <c r="I183" s="49">
        <f t="shared" si="4"/>
        <v>0</v>
      </c>
      <c r="J183" s="13"/>
      <c r="K183" s="7"/>
      <c r="L183" s="5">
        <f t="shared" si="5"/>
        <v>0</v>
      </c>
    </row>
    <row r="184" spans="1:12" x14ac:dyDescent="0.25">
      <c r="A184" s="31"/>
      <c r="B184" s="21"/>
      <c r="C184" s="21"/>
      <c r="D184" s="6"/>
      <c r="E184" s="14"/>
      <c r="F184" s="6"/>
      <c r="G184" s="6"/>
      <c r="H184" s="17"/>
      <c r="I184" s="49">
        <f t="shared" si="4"/>
        <v>0</v>
      </c>
      <c r="J184" s="13"/>
      <c r="K184" s="7"/>
      <c r="L184" s="5">
        <f t="shared" si="5"/>
        <v>0</v>
      </c>
    </row>
    <row r="185" spans="1:12" x14ac:dyDescent="0.25">
      <c r="A185" s="31"/>
      <c r="B185" s="21"/>
      <c r="C185" s="21"/>
      <c r="D185" s="6"/>
      <c r="E185" s="14"/>
      <c r="F185" s="6"/>
      <c r="G185" s="6"/>
      <c r="H185" s="17"/>
      <c r="I185" s="49">
        <f t="shared" si="4"/>
        <v>0</v>
      </c>
      <c r="J185" s="13"/>
      <c r="K185" s="7"/>
      <c r="L185" s="5">
        <f t="shared" si="5"/>
        <v>0</v>
      </c>
    </row>
    <row r="186" spans="1:12" x14ac:dyDescent="0.25">
      <c r="A186" s="31"/>
      <c r="B186" s="21"/>
      <c r="C186" s="21"/>
      <c r="D186" s="6"/>
      <c r="E186" s="14"/>
      <c r="F186" s="6"/>
      <c r="G186" s="6"/>
      <c r="H186" s="17"/>
      <c r="I186" s="49">
        <f t="shared" si="4"/>
        <v>0</v>
      </c>
      <c r="J186" s="13"/>
      <c r="K186" s="7"/>
      <c r="L186" s="5">
        <f t="shared" si="5"/>
        <v>0</v>
      </c>
    </row>
    <row r="187" spans="1:12" x14ac:dyDescent="0.25">
      <c r="A187" s="31"/>
      <c r="B187" s="21"/>
      <c r="C187" s="21"/>
      <c r="D187" s="6"/>
      <c r="E187" s="14"/>
      <c r="F187" s="6"/>
      <c r="G187" s="6"/>
      <c r="H187" s="17"/>
      <c r="I187" s="49">
        <f t="shared" si="4"/>
        <v>0</v>
      </c>
      <c r="J187" s="13"/>
      <c r="K187" s="7"/>
      <c r="L187" s="5">
        <f t="shared" si="5"/>
        <v>0</v>
      </c>
    </row>
    <row r="188" spans="1:12" x14ac:dyDescent="0.25">
      <c r="A188" s="31"/>
      <c r="B188" s="21"/>
      <c r="C188" s="21"/>
      <c r="D188" s="6"/>
      <c r="E188" s="14"/>
      <c r="F188" s="6"/>
      <c r="G188" s="6"/>
      <c r="H188" s="17"/>
      <c r="I188" s="49">
        <f t="shared" si="4"/>
        <v>0</v>
      </c>
      <c r="J188" s="13"/>
      <c r="K188" s="7"/>
      <c r="L188" s="5">
        <f t="shared" si="5"/>
        <v>0</v>
      </c>
    </row>
    <row r="189" spans="1:12" x14ac:dyDescent="0.25">
      <c r="A189" s="31"/>
      <c r="B189" s="21"/>
      <c r="C189" s="21"/>
      <c r="D189" s="6"/>
      <c r="E189" s="14"/>
      <c r="F189" s="6"/>
      <c r="G189" s="6"/>
      <c r="H189" s="17"/>
      <c r="I189" s="49">
        <f t="shared" si="4"/>
        <v>0</v>
      </c>
      <c r="J189" s="13"/>
      <c r="K189" s="7"/>
      <c r="L189" s="5">
        <f t="shared" si="5"/>
        <v>0</v>
      </c>
    </row>
    <row r="190" spans="1:12" x14ac:dyDescent="0.25">
      <c r="A190" s="31"/>
      <c r="B190" s="21"/>
      <c r="C190" s="21"/>
      <c r="D190" s="6"/>
      <c r="E190" s="14"/>
      <c r="F190" s="6"/>
      <c r="G190" s="6"/>
      <c r="H190" s="17"/>
      <c r="I190" s="49">
        <f t="shared" si="4"/>
        <v>0</v>
      </c>
      <c r="J190" s="13"/>
      <c r="K190" s="7"/>
      <c r="L190" s="5">
        <f t="shared" si="5"/>
        <v>0</v>
      </c>
    </row>
    <row r="191" spans="1:12" x14ac:dyDescent="0.25">
      <c r="A191" s="31"/>
      <c r="B191" s="21"/>
      <c r="C191" s="21"/>
      <c r="D191" s="6"/>
      <c r="E191" s="14"/>
      <c r="F191" s="6"/>
      <c r="G191" s="6"/>
      <c r="H191" s="17"/>
      <c r="I191" s="49">
        <f t="shared" si="4"/>
        <v>0</v>
      </c>
      <c r="J191" s="13"/>
      <c r="K191" s="7"/>
      <c r="L191" s="5">
        <f t="shared" si="5"/>
        <v>0</v>
      </c>
    </row>
    <row r="192" spans="1:12" x14ac:dyDescent="0.25">
      <c r="A192" s="31"/>
      <c r="B192" s="21"/>
      <c r="C192" s="21"/>
      <c r="D192" s="6"/>
      <c r="E192" s="14"/>
      <c r="F192" s="6"/>
      <c r="G192" s="6"/>
      <c r="H192" s="17"/>
      <c r="I192" s="49">
        <f t="shared" si="4"/>
        <v>0</v>
      </c>
      <c r="J192" s="13"/>
      <c r="K192" s="7"/>
      <c r="L192" s="5">
        <f t="shared" si="5"/>
        <v>0</v>
      </c>
    </row>
    <row r="193" spans="1:12" x14ac:dyDescent="0.25">
      <c r="A193" s="31"/>
      <c r="B193" s="21"/>
      <c r="C193" s="21"/>
      <c r="D193" s="6"/>
      <c r="E193" s="14"/>
      <c r="F193" s="6"/>
      <c r="G193" s="6"/>
      <c r="H193" s="17"/>
      <c r="I193" s="49">
        <f t="shared" si="4"/>
        <v>0</v>
      </c>
      <c r="J193" s="13"/>
      <c r="K193" s="7"/>
      <c r="L193" s="5">
        <f t="shared" si="5"/>
        <v>0</v>
      </c>
    </row>
    <row r="194" spans="1:12" x14ac:dyDescent="0.25">
      <c r="A194" s="31"/>
      <c r="B194" s="21"/>
      <c r="C194" s="21"/>
      <c r="D194" s="6"/>
      <c r="E194" s="14"/>
      <c r="F194" s="6"/>
      <c r="G194" s="6"/>
      <c r="H194" s="17"/>
      <c r="I194" s="49">
        <f t="shared" si="4"/>
        <v>0</v>
      </c>
      <c r="J194" s="13"/>
      <c r="K194" s="7"/>
      <c r="L194" s="5">
        <f t="shared" si="5"/>
        <v>0</v>
      </c>
    </row>
    <row r="195" spans="1:12" x14ac:dyDescent="0.25">
      <c r="A195" s="31"/>
      <c r="B195" s="21"/>
      <c r="C195" s="21"/>
      <c r="D195" s="6"/>
      <c r="E195" s="14"/>
      <c r="F195" s="6"/>
      <c r="G195" s="6"/>
      <c r="H195" s="17"/>
      <c r="I195" s="49">
        <f t="shared" si="4"/>
        <v>0</v>
      </c>
      <c r="J195" s="13"/>
      <c r="K195" s="7"/>
      <c r="L195" s="5">
        <f t="shared" si="5"/>
        <v>0</v>
      </c>
    </row>
    <row r="196" spans="1:12" x14ac:dyDescent="0.25">
      <c r="A196" s="31"/>
      <c r="B196" s="21"/>
      <c r="C196" s="21"/>
      <c r="D196" s="6"/>
      <c r="E196" s="14"/>
      <c r="F196" s="6"/>
      <c r="G196" s="6"/>
      <c r="H196" s="17"/>
      <c r="I196" s="49">
        <f t="shared" si="4"/>
        <v>0</v>
      </c>
      <c r="J196" s="13"/>
      <c r="K196" s="7"/>
      <c r="L196" s="5">
        <f t="shared" si="5"/>
        <v>0</v>
      </c>
    </row>
    <row r="197" spans="1:12" x14ac:dyDescent="0.25">
      <c r="A197" s="31"/>
      <c r="B197" s="21"/>
      <c r="C197" s="21"/>
      <c r="D197" s="6"/>
      <c r="E197" s="14"/>
      <c r="F197" s="6"/>
      <c r="G197" s="6"/>
      <c r="H197" s="17"/>
      <c r="I197" s="49">
        <f t="shared" si="4"/>
        <v>0</v>
      </c>
      <c r="J197" s="13"/>
      <c r="K197" s="7"/>
      <c r="L197" s="5">
        <f t="shared" si="5"/>
        <v>0</v>
      </c>
    </row>
    <row r="198" spans="1:12" x14ac:dyDescent="0.25">
      <c r="A198" s="31"/>
      <c r="B198" s="21"/>
      <c r="C198" s="21"/>
      <c r="D198" s="6"/>
      <c r="E198" s="14"/>
      <c r="F198" s="6"/>
      <c r="G198" s="6"/>
      <c r="H198" s="17"/>
      <c r="I198" s="49">
        <f t="shared" si="4"/>
        <v>0</v>
      </c>
      <c r="J198" s="13"/>
      <c r="K198" s="7"/>
      <c r="L198" s="5">
        <f t="shared" si="5"/>
        <v>0</v>
      </c>
    </row>
    <row r="199" spans="1:12" x14ac:dyDescent="0.25">
      <c r="A199" s="31"/>
      <c r="B199" s="21"/>
      <c r="C199" s="21"/>
      <c r="D199" s="6"/>
      <c r="E199" s="14"/>
      <c r="F199" s="6"/>
      <c r="G199" s="6"/>
      <c r="H199" s="17"/>
      <c r="I199" s="49">
        <f t="shared" ref="I199:I262" si="6">F199*H199</f>
        <v>0</v>
      </c>
      <c r="J199" s="13"/>
      <c r="K199" s="7"/>
      <c r="L199" s="5">
        <f t="shared" ref="L199:L262" si="7">+I199+J199-K199</f>
        <v>0</v>
      </c>
    </row>
    <row r="200" spans="1:12" x14ac:dyDescent="0.25">
      <c r="A200" s="31"/>
      <c r="B200" s="21"/>
      <c r="C200" s="21"/>
      <c r="D200" s="6"/>
      <c r="E200" s="14"/>
      <c r="F200" s="6"/>
      <c r="G200" s="6"/>
      <c r="H200" s="17"/>
      <c r="I200" s="49">
        <f t="shared" si="6"/>
        <v>0</v>
      </c>
      <c r="J200" s="13"/>
      <c r="K200" s="7"/>
      <c r="L200" s="5">
        <f t="shared" si="7"/>
        <v>0</v>
      </c>
    </row>
    <row r="201" spans="1:12" x14ac:dyDescent="0.25">
      <c r="A201" s="31"/>
      <c r="B201" s="21"/>
      <c r="C201" s="21"/>
      <c r="D201" s="6"/>
      <c r="E201" s="14"/>
      <c r="F201" s="6"/>
      <c r="G201" s="6"/>
      <c r="H201" s="17"/>
      <c r="I201" s="49">
        <f t="shared" si="6"/>
        <v>0</v>
      </c>
      <c r="J201" s="13"/>
      <c r="K201" s="7"/>
      <c r="L201" s="5">
        <f t="shared" si="7"/>
        <v>0</v>
      </c>
    </row>
    <row r="202" spans="1:12" x14ac:dyDescent="0.25">
      <c r="A202" s="31"/>
      <c r="B202" s="21"/>
      <c r="C202" s="21"/>
      <c r="D202" s="6"/>
      <c r="E202" s="14"/>
      <c r="F202" s="6"/>
      <c r="G202" s="6"/>
      <c r="H202" s="17"/>
      <c r="I202" s="49">
        <f t="shared" si="6"/>
        <v>0</v>
      </c>
      <c r="J202" s="13"/>
      <c r="K202" s="7"/>
      <c r="L202" s="5">
        <f t="shared" si="7"/>
        <v>0</v>
      </c>
    </row>
    <row r="203" spans="1:12" x14ac:dyDescent="0.25">
      <c r="A203" s="31"/>
      <c r="B203" s="21"/>
      <c r="C203" s="21"/>
      <c r="D203" s="6"/>
      <c r="E203" s="14"/>
      <c r="F203" s="6"/>
      <c r="G203" s="6"/>
      <c r="H203" s="17"/>
      <c r="I203" s="49">
        <f t="shared" si="6"/>
        <v>0</v>
      </c>
      <c r="J203" s="13"/>
      <c r="K203" s="7"/>
      <c r="L203" s="5">
        <f t="shared" si="7"/>
        <v>0</v>
      </c>
    </row>
    <row r="204" spans="1:12" x14ac:dyDescent="0.25">
      <c r="A204" s="31"/>
      <c r="B204" s="21"/>
      <c r="C204" s="21"/>
      <c r="D204" s="6"/>
      <c r="E204" s="14"/>
      <c r="F204" s="6"/>
      <c r="G204" s="6"/>
      <c r="H204" s="17"/>
      <c r="I204" s="49">
        <f t="shared" si="6"/>
        <v>0</v>
      </c>
      <c r="J204" s="13"/>
      <c r="K204" s="7"/>
      <c r="L204" s="5">
        <f t="shared" si="7"/>
        <v>0</v>
      </c>
    </row>
    <row r="205" spans="1:12" x14ac:dyDescent="0.25">
      <c r="A205" s="31"/>
      <c r="B205" s="21"/>
      <c r="C205" s="21"/>
      <c r="D205" s="6"/>
      <c r="E205" s="14"/>
      <c r="F205" s="6"/>
      <c r="G205" s="6"/>
      <c r="H205" s="17"/>
      <c r="I205" s="49">
        <f t="shared" si="6"/>
        <v>0</v>
      </c>
      <c r="J205" s="13"/>
      <c r="K205" s="7"/>
      <c r="L205" s="5">
        <f t="shared" si="7"/>
        <v>0</v>
      </c>
    </row>
    <row r="206" spans="1:12" x14ac:dyDescent="0.25">
      <c r="A206" s="31"/>
      <c r="B206" s="21"/>
      <c r="C206" s="21"/>
      <c r="D206" s="6"/>
      <c r="E206" s="14"/>
      <c r="F206" s="6"/>
      <c r="G206" s="6"/>
      <c r="H206" s="17"/>
      <c r="I206" s="49">
        <f t="shared" si="6"/>
        <v>0</v>
      </c>
      <c r="J206" s="13"/>
      <c r="K206" s="7"/>
      <c r="L206" s="5">
        <f t="shared" si="7"/>
        <v>0</v>
      </c>
    </row>
    <row r="207" spans="1:12" x14ac:dyDescent="0.25">
      <c r="A207" s="31"/>
      <c r="B207" s="21"/>
      <c r="C207" s="21"/>
      <c r="D207" s="6"/>
      <c r="E207" s="14"/>
      <c r="F207" s="6"/>
      <c r="G207" s="6"/>
      <c r="H207" s="17"/>
      <c r="I207" s="49">
        <f t="shared" si="6"/>
        <v>0</v>
      </c>
      <c r="J207" s="13"/>
      <c r="K207" s="7"/>
      <c r="L207" s="5">
        <f t="shared" si="7"/>
        <v>0</v>
      </c>
    </row>
    <row r="208" spans="1:12" x14ac:dyDescent="0.25">
      <c r="A208" s="31"/>
      <c r="B208" s="21"/>
      <c r="C208" s="21"/>
      <c r="D208" s="6"/>
      <c r="E208" s="14"/>
      <c r="F208" s="6"/>
      <c r="G208" s="6"/>
      <c r="H208" s="17"/>
      <c r="I208" s="49">
        <f t="shared" si="6"/>
        <v>0</v>
      </c>
      <c r="J208" s="13"/>
      <c r="K208" s="7"/>
      <c r="L208" s="5">
        <f t="shared" si="7"/>
        <v>0</v>
      </c>
    </row>
    <row r="209" spans="1:12" x14ac:dyDescent="0.25">
      <c r="A209" s="31"/>
      <c r="B209" s="21"/>
      <c r="C209" s="21"/>
      <c r="D209" s="6"/>
      <c r="E209" s="14"/>
      <c r="F209" s="6"/>
      <c r="G209" s="6"/>
      <c r="H209" s="17"/>
      <c r="I209" s="49">
        <f t="shared" si="6"/>
        <v>0</v>
      </c>
      <c r="J209" s="13"/>
      <c r="K209" s="7"/>
      <c r="L209" s="5">
        <f t="shared" si="7"/>
        <v>0</v>
      </c>
    </row>
    <row r="210" spans="1:12" x14ac:dyDescent="0.25">
      <c r="A210" s="31"/>
      <c r="B210" s="21"/>
      <c r="C210" s="21"/>
      <c r="D210" s="6"/>
      <c r="E210" s="14"/>
      <c r="F210" s="6"/>
      <c r="G210" s="6"/>
      <c r="H210" s="17"/>
      <c r="I210" s="49">
        <f t="shared" si="6"/>
        <v>0</v>
      </c>
      <c r="J210" s="13"/>
      <c r="K210" s="7"/>
      <c r="L210" s="5">
        <f t="shared" si="7"/>
        <v>0</v>
      </c>
    </row>
    <row r="211" spans="1:12" x14ac:dyDescent="0.25">
      <c r="A211" s="31"/>
      <c r="B211" s="21"/>
      <c r="C211" s="21"/>
      <c r="D211" s="6"/>
      <c r="E211" s="14"/>
      <c r="F211" s="6"/>
      <c r="G211" s="6"/>
      <c r="H211" s="17"/>
      <c r="I211" s="49">
        <f t="shared" si="6"/>
        <v>0</v>
      </c>
      <c r="J211" s="13"/>
      <c r="K211" s="7"/>
      <c r="L211" s="5">
        <f t="shared" si="7"/>
        <v>0</v>
      </c>
    </row>
    <row r="212" spans="1:12" x14ac:dyDescent="0.25">
      <c r="A212" s="31"/>
      <c r="B212" s="21"/>
      <c r="C212" s="21"/>
      <c r="D212" s="6"/>
      <c r="E212" s="14"/>
      <c r="F212" s="6"/>
      <c r="G212" s="6"/>
      <c r="H212" s="17"/>
      <c r="I212" s="49">
        <f t="shared" si="6"/>
        <v>0</v>
      </c>
      <c r="J212" s="13"/>
      <c r="K212" s="7"/>
      <c r="L212" s="5">
        <f t="shared" si="7"/>
        <v>0</v>
      </c>
    </row>
    <row r="213" spans="1:12" x14ac:dyDescent="0.25">
      <c r="A213" s="31"/>
      <c r="B213" s="21"/>
      <c r="C213" s="21"/>
      <c r="D213" s="6"/>
      <c r="E213" s="14"/>
      <c r="F213" s="6"/>
      <c r="G213" s="6"/>
      <c r="H213" s="17"/>
      <c r="I213" s="49">
        <f t="shared" si="6"/>
        <v>0</v>
      </c>
      <c r="J213" s="13"/>
      <c r="K213" s="7"/>
      <c r="L213" s="5">
        <f t="shared" si="7"/>
        <v>0</v>
      </c>
    </row>
    <row r="214" spans="1:12" x14ac:dyDescent="0.25">
      <c r="A214" s="31"/>
      <c r="B214" s="21"/>
      <c r="C214" s="21"/>
      <c r="D214" s="6"/>
      <c r="E214" s="14"/>
      <c r="F214" s="6"/>
      <c r="G214" s="6"/>
      <c r="H214" s="17"/>
      <c r="I214" s="49">
        <f t="shared" si="6"/>
        <v>0</v>
      </c>
      <c r="J214" s="13"/>
      <c r="K214" s="7"/>
      <c r="L214" s="5">
        <f t="shared" si="7"/>
        <v>0</v>
      </c>
    </row>
    <row r="215" spans="1:12" x14ac:dyDescent="0.25">
      <c r="A215" s="31"/>
      <c r="B215" s="21"/>
      <c r="C215" s="21"/>
      <c r="D215" s="6"/>
      <c r="E215" s="14"/>
      <c r="F215" s="6"/>
      <c r="G215" s="6"/>
      <c r="H215" s="17"/>
      <c r="I215" s="49">
        <f t="shared" si="6"/>
        <v>0</v>
      </c>
      <c r="J215" s="13"/>
      <c r="K215" s="7"/>
      <c r="L215" s="5">
        <f t="shared" si="7"/>
        <v>0</v>
      </c>
    </row>
    <row r="216" spans="1:12" x14ac:dyDescent="0.25">
      <c r="A216" s="31"/>
      <c r="B216" s="21"/>
      <c r="C216" s="21"/>
      <c r="D216" s="6"/>
      <c r="E216" s="14"/>
      <c r="F216" s="6"/>
      <c r="G216" s="6"/>
      <c r="H216" s="17"/>
      <c r="I216" s="49">
        <f t="shared" si="6"/>
        <v>0</v>
      </c>
      <c r="J216" s="13"/>
      <c r="K216" s="7"/>
      <c r="L216" s="5">
        <f t="shared" si="7"/>
        <v>0</v>
      </c>
    </row>
    <row r="217" spans="1:12" x14ac:dyDescent="0.25">
      <c r="A217" s="31"/>
      <c r="B217" s="21"/>
      <c r="C217" s="21"/>
      <c r="D217" s="6"/>
      <c r="E217" s="14"/>
      <c r="F217" s="6"/>
      <c r="G217" s="6"/>
      <c r="H217" s="17"/>
      <c r="I217" s="49">
        <f t="shared" si="6"/>
        <v>0</v>
      </c>
      <c r="J217" s="13"/>
      <c r="K217" s="7"/>
      <c r="L217" s="5">
        <f t="shared" si="7"/>
        <v>0</v>
      </c>
    </row>
    <row r="218" spans="1:12" x14ac:dyDescent="0.25">
      <c r="A218" s="31"/>
      <c r="B218" s="21"/>
      <c r="C218" s="21"/>
      <c r="D218" s="6"/>
      <c r="E218" s="14"/>
      <c r="F218" s="6"/>
      <c r="G218" s="6"/>
      <c r="H218" s="17"/>
      <c r="I218" s="49">
        <f t="shared" si="6"/>
        <v>0</v>
      </c>
      <c r="J218" s="13"/>
      <c r="K218" s="7"/>
      <c r="L218" s="5">
        <f t="shared" si="7"/>
        <v>0</v>
      </c>
    </row>
    <row r="219" spans="1:12" ht="15.75" customHeight="1" x14ac:dyDescent="0.25">
      <c r="A219" s="31"/>
      <c r="B219" s="21"/>
      <c r="C219" s="21"/>
      <c r="D219" s="6"/>
      <c r="E219" s="14"/>
      <c r="F219" s="6"/>
      <c r="G219" s="6"/>
      <c r="H219" s="17"/>
      <c r="I219" s="49">
        <f t="shared" si="6"/>
        <v>0</v>
      </c>
      <c r="J219" s="13"/>
      <c r="K219" s="7"/>
      <c r="L219" s="5">
        <f t="shared" si="7"/>
        <v>0</v>
      </c>
    </row>
    <row r="220" spans="1:12" x14ac:dyDescent="0.25">
      <c r="A220" s="31"/>
      <c r="B220" s="21"/>
      <c r="C220" s="21"/>
      <c r="D220" s="6"/>
      <c r="E220" s="14"/>
      <c r="F220" s="6"/>
      <c r="G220" s="6"/>
      <c r="H220" s="17"/>
      <c r="I220" s="49">
        <f t="shared" si="6"/>
        <v>0</v>
      </c>
      <c r="J220" s="13"/>
      <c r="K220" s="7"/>
      <c r="L220" s="5">
        <f t="shared" si="7"/>
        <v>0</v>
      </c>
    </row>
    <row r="221" spans="1:12" x14ac:dyDescent="0.25">
      <c r="A221" s="31"/>
      <c r="B221" s="21"/>
      <c r="C221" s="21"/>
      <c r="D221" s="6"/>
      <c r="E221" s="14"/>
      <c r="F221" s="6"/>
      <c r="G221" s="6"/>
      <c r="H221" s="17"/>
      <c r="I221" s="49">
        <f t="shared" si="6"/>
        <v>0</v>
      </c>
      <c r="J221" s="13"/>
      <c r="K221" s="7"/>
      <c r="L221" s="5">
        <f t="shared" si="7"/>
        <v>0</v>
      </c>
    </row>
    <row r="222" spans="1:12" x14ac:dyDescent="0.25">
      <c r="A222" s="31"/>
      <c r="B222" s="21"/>
      <c r="C222" s="21"/>
      <c r="D222" s="6"/>
      <c r="E222" s="14"/>
      <c r="F222" s="6"/>
      <c r="G222" s="6"/>
      <c r="H222" s="17"/>
      <c r="I222" s="49">
        <f t="shared" si="6"/>
        <v>0</v>
      </c>
      <c r="J222" s="13"/>
      <c r="K222" s="7"/>
      <c r="L222" s="5">
        <f t="shared" si="7"/>
        <v>0</v>
      </c>
    </row>
    <row r="223" spans="1:12" x14ac:dyDescent="0.25">
      <c r="A223" s="31"/>
      <c r="B223" s="21"/>
      <c r="C223" s="21"/>
      <c r="D223" s="6"/>
      <c r="E223" s="14"/>
      <c r="F223" s="6"/>
      <c r="G223" s="6"/>
      <c r="H223" s="17"/>
      <c r="I223" s="49">
        <f t="shared" si="6"/>
        <v>0</v>
      </c>
      <c r="J223" s="13"/>
      <c r="K223" s="7"/>
      <c r="L223" s="5">
        <f t="shared" si="7"/>
        <v>0</v>
      </c>
    </row>
    <row r="224" spans="1:12" x14ac:dyDescent="0.25">
      <c r="A224" s="31"/>
      <c r="B224" s="21"/>
      <c r="C224" s="21"/>
      <c r="D224" s="6"/>
      <c r="E224" s="14"/>
      <c r="F224" s="6"/>
      <c r="G224" s="6"/>
      <c r="H224" s="17"/>
      <c r="I224" s="49">
        <f t="shared" si="6"/>
        <v>0</v>
      </c>
      <c r="J224" s="13"/>
      <c r="K224" s="7"/>
      <c r="L224" s="5">
        <f t="shared" si="7"/>
        <v>0</v>
      </c>
    </row>
    <row r="225" spans="1:12" x14ac:dyDescent="0.25">
      <c r="A225" s="31"/>
      <c r="B225" s="21"/>
      <c r="C225" s="21"/>
      <c r="D225" s="6"/>
      <c r="E225" s="14"/>
      <c r="F225" s="6"/>
      <c r="G225" s="6"/>
      <c r="H225" s="17"/>
      <c r="I225" s="49">
        <f t="shared" si="6"/>
        <v>0</v>
      </c>
      <c r="J225" s="13"/>
      <c r="K225" s="7"/>
      <c r="L225" s="5">
        <f t="shared" si="7"/>
        <v>0</v>
      </c>
    </row>
    <row r="226" spans="1:12" x14ac:dyDescent="0.25">
      <c r="A226" s="31"/>
      <c r="B226" s="21"/>
      <c r="C226" s="21"/>
      <c r="D226" s="6"/>
      <c r="E226" s="14"/>
      <c r="F226" s="6"/>
      <c r="G226" s="6"/>
      <c r="H226" s="17"/>
      <c r="I226" s="49">
        <f t="shared" si="6"/>
        <v>0</v>
      </c>
      <c r="J226" s="13"/>
      <c r="K226" s="7"/>
      <c r="L226" s="5">
        <f t="shared" si="7"/>
        <v>0</v>
      </c>
    </row>
    <row r="227" spans="1:12" x14ac:dyDescent="0.25">
      <c r="A227" s="31"/>
      <c r="B227" s="21"/>
      <c r="C227" s="21"/>
      <c r="D227" s="6"/>
      <c r="E227" s="14"/>
      <c r="F227" s="6"/>
      <c r="G227" s="6"/>
      <c r="H227" s="17"/>
      <c r="I227" s="49">
        <f t="shared" si="6"/>
        <v>0</v>
      </c>
      <c r="J227" s="13"/>
      <c r="K227" s="7"/>
      <c r="L227" s="5">
        <f t="shared" si="7"/>
        <v>0</v>
      </c>
    </row>
    <row r="228" spans="1:12" x14ac:dyDescent="0.25">
      <c r="A228" s="31"/>
      <c r="B228" s="21"/>
      <c r="C228" s="21"/>
      <c r="D228" s="6"/>
      <c r="E228" s="14"/>
      <c r="F228" s="6"/>
      <c r="G228" s="6"/>
      <c r="H228" s="17"/>
      <c r="I228" s="49">
        <f t="shared" si="6"/>
        <v>0</v>
      </c>
      <c r="J228" s="13"/>
      <c r="K228" s="7"/>
      <c r="L228" s="5">
        <f t="shared" si="7"/>
        <v>0</v>
      </c>
    </row>
    <row r="229" spans="1:12" x14ac:dyDescent="0.25">
      <c r="A229" s="31"/>
      <c r="B229" s="21"/>
      <c r="C229" s="21"/>
      <c r="D229" s="6"/>
      <c r="E229" s="14"/>
      <c r="F229" s="6"/>
      <c r="G229" s="6"/>
      <c r="H229" s="17"/>
      <c r="I229" s="49">
        <f t="shared" si="6"/>
        <v>0</v>
      </c>
      <c r="J229" s="13"/>
      <c r="K229" s="7"/>
      <c r="L229" s="5">
        <f t="shared" si="7"/>
        <v>0</v>
      </c>
    </row>
    <row r="230" spans="1:12" x14ac:dyDescent="0.25">
      <c r="A230" s="31"/>
      <c r="B230" s="21"/>
      <c r="C230" s="21"/>
      <c r="D230" s="6"/>
      <c r="E230" s="14"/>
      <c r="F230" s="6"/>
      <c r="G230" s="6"/>
      <c r="H230" s="17"/>
      <c r="I230" s="49">
        <f t="shared" si="6"/>
        <v>0</v>
      </c>
      <c r="J230" s="13"/>
      <c r="K230" s="7"/>
      <c r="L230" s="5">
        <f t="shared" si="7"/>
        <v>0</v>
      </c>
    </row>
    <row r="231" spans="1:12" x14ac:dyDescent="0.25">
      <c r="A231" s="31"/>
      <c r="B231" s="21"/>
      <c r="C231" s="21"/>
      <c r="D231" s="6"/>
      <c r="E231" s="14"/>
      <c r="F231" s="6"/>
      <c r="G231" s="6"/>
      <c r="H231" s="17"/>
      <c r="I231" s="49">
        <f t="shared" si="6"/>
        <v>0</v>
      </c>
      <c r="J231" s="13"/>
      <c r="K231" s="7"/>
      <c r="L231" s="5">
        <f t="shared" si="7"/>
        <v>0</v>
      </c>
    </row>
    <row r="232" spans="1:12" x14ac:dyDescent="0.25">
      <c r="A232" s="31"/>
      <c r="B232" s="21"/>
      <c r="C232" s="21"/>
      <c r="D232" s="6"/>
      <c r="E232" s="14"/>
      <c r="F232" s="6"/>
      <c r="G232" s="6"/>
      <c r="H232" s="17"/>
      <c r="I232" s="49">
        <f t="shared" si="6"/>
        <v>0</v>
      </c>
      <c r="J232" s="13"/>
      <c r="K232" s="7"/>
      <c r="L232" s="5">
        <f t="shared" si="7"/>
        <v>0</v>
      </c>
    </row>
    <row r="233" spans="1:12" x14ac:dyDescent="0.25">
      <c r="A233" s="31"/>
      <c r="B233" s="21"/>
      <c r="C233" s="21"/>
      <c r="D233" s="6"/>
      <c r="E233" s="14"/>
      <c r="F233" s="6"/>
      <c r="G233" s="6"/>
      <c r="H233" s="17"/>
      <c r="I233" s="49">
        <f t="shared" si="6"/>
        <v>0</v>
      </c>
      <c r="J233" s="13"/>
      <c r="K233" s="7"/>
      <c r="L233" s="5">
        <f t="shared" si="7"/>
        <v>0</v>
      </c>
    </row>
    <row r="234" spans="1:12" x14ac:dyDescent="0.25">
      <c r="A234" s="31"/>
      <c r="B234" s="21"/>
      <c r="C234" s="21"/>
      <c r="D234" s="6"/>
      <c r="E234" s="14"/>
      <c r="F234" s="6"/>
      <c r="G234" s="6"/>
      <c r="H234" s="17"/>
      <c r="I234" s="49">
        <f t="shared" si="6"/>
        <v>0</v>
      </c>
      <c r="J234" s="13"/>
      <c r="K234" s="7"/>
      <c r="L234" s="5">
        <f t="shared" si="7"/>
        <v>0</v>
      </c>
    </row>
    <row r="235" spans="1:12" x14ac:dyDescent="0.25">
      <c r="A235" s="31"/>
      <c r="B235" s="21"/>
      <c r="C235" s="21"/>
      <c r="D235" s="6"/>
      <c r="E235" s="14"/>
      <c r="F235" s="6"/>
      <c r="G235" s="6"/>
      <c r="H235" s="17"/>
      <c r="I235" s="49">
        <f t="shared" si="6"/>
        <v>0</v>
      </c>
      <c r="J235" s="13"/>
      <c r="K235" s="7"/>
      <c r="L235" s="5">
        <f t="shared" si="7"/>
        <v>0</v>
      </c>
    </row>
    <row r="236" spans="1:12" x14ac:dyDescent="0.25">
      <c r="A236" s="31"/>
      <c r="B236" s="21"/>
      <c r="C236" s="21"/>
      <c r="D236" s="6"/>
      <c r="E236" s="14"/>
      <c r="F236" s="6"/>
      <c r="G236" s="6"/>
      <c r="H236" s="17"/>
      <c r="I236" s="49">
        <f t="shared" si="6"/>
        <v>0</v>
      </c>
      <c r="J236" s="13"/>
      <c r="K236" s="7"/>
      <c r="L236" s="5">
        <f t="shared" si="7"/>
        <v>0</v>
      </c>
    </row>
    <row r="237" spans="1:12" x14ac:dyDescent="0.25">
      <c r="A237" s="31"/>
      <c r="B237" s="21"/>
      <c r="C237" s="21"/>
      <c r="D237" s="6"/>
      <c r="E237" s="14"/>
      <c r="F237" s="6"/>
      <c r="G237" s="6"/>
      <c r="H237" s="17"/>
      <c r="I237" s="49">
        <f t="shared" si="6"/>
        <v>0</v>
      </c>
      <c r="J237" s="13"/>
      <c r="K237" s="7"/>
      <c r="L237" s="5">
        <f t="shared" si="7"/>
        <v>0</v>
      </c>
    </row>
    <row r="238" spans="1:12" x14ac:dyDescent="0.25">
      <c r="A238" s="31"/>
      <c r="B238" s="21"/>
      <c r="C238" s="21"/>
      <c r="D238" s="6"/>
      <c r="E238" s="14"/>
      <c r="F238" s="6"/>
      <c r="G238" s="6"/>
      <c r="H238" s="17"/>
      <c r="I238" s="49">
        <f t="shared" si="6"/>
        <v>0</v>
      </c>
      <c r="J238" s="13"/>
      <c r="K238" s="7"/>
      <c r="L238" s="5">
        <f t="shared" si="7"/>
        <v>0</v>
      </c>
    </row>
    <row r="239" spans="1:12" x14ac:dyDescent="0.25">
      <c r="A239" s="31"/>
      <c r="B239" s="21"/>
      <c r="C239" s="21"/>
      <c r="D239" s="6"/>
      <c r="E239" s="14"/>
      <c r="F239" s="6"/>
      <c r="G239" s="6"/>
      <c r="H239" s="17"/>
      <c r="I239" s="49">
        <f t="shared" si="6"/>
        <v>0</v>
      </c>
      <c r="J239" s="13"/>
      <c r="K239" s="7"/>
      <c r="L239" s="5">
        <f t="shared" si="7"/>
        <v>0</v>
      </c>
    </row>
    <row r="240" spans="1:12" x14ac:dyDescent="0.25">
      <c r="A240" s="31"/>
      <c r="B240" s="21"/>
      <c r="C240" s="21"/>
      <c r="D240" s="6"/>
      <c r="E240" s="14"/>
      <c r="F240" s="6"/>
      <c r="G240" s="6"/>
      <c r="H240" s="17"/>
      <c r="I240" s="49">
        <f t="shared" si="6"/>
        <v>0</v>
      </c>
      <c r="J240" s="13"/>
      <c r="K240" s="7"/>
      <c r="L240" s="5">
        <f t="shared" si="7"/>
        <v>0</v>
      </c>
    </row>
    <row r="241" spans="1:12" x14ac:dyDescent="0.25">
      <c r="A241" s="31"/>
      <c r="B241" s="21"/>
      <c r="C241" s="21"/>
      <c r="D241" s="6"/>
      <c r="E241" s="14"/>
      <c r="F241" s="6"/>
      <c r="G241" s="6"/>
      <c r="H241" s="17"/>
      <c r="I241" s="49">
        <f t="shared" si="6"/>
        <v>0</v>
      </c>
      <c r="J241" s="13"/>
      <c r="K241" s="7"/>
      <c r="L241" s="5">
        <f t="shared" si="7"/>
        <v>0</v>
      </c>
    </row>
    <row r="242" spans="1:12" x14ac:dyDescent="0.25">
      <c r="A242" s="31"/>
      <c r="B242" s="21"/>
      <c r="C242" s="21"/>
      <c r="D242" s="6"/>
      <c r="E242" s="14"/>
      <c r="F242" s="6"/>
      <c r="G242" s="6"/>
      <c r="H242" s="17"/>
      <c r="I242" s="49">
        <f t="shared" si="6"/>
        <v>0</v>
      </c>
      <c r="J242" s="13"/>
      <c r="K242" s="7"/>
      <c r="L242" s="5">
        <f t="shared" si="7"/>
        <v>0</v>
      </c>
    </row>
    <row r="243" spans="1:12" x14ac:dyDescent="0.25">
      <c r="A243" s="31"/>
      <c r="B243" s="21"/>
      <c r="C243" s="21"/>
      <c r="D243" s="6"/>
      <c r="E243" s="14"/>
      <c r="F243" s="6"/>
      <c r="G243" s="6"/>
      <c r="H243" s="17"/>
      <c r="I243" s="49">
        <f t="shared" si="6"/>
        <v>0</v>
      </c>
      <c r="J243" s="13"/>
      <c r="K243" s="7"/>
      <c r="L243" s="5">
        <f t="shared" si="7"/>
        <v>0</v>
      </c>
    </row>
    <row r="244" spans="1:12" x14ac:dyDescent="0.25">
      <c r="A244" s="31"/>
      <c r="B244" s="21"/>
      <c r="C244" s="21"/>
      <c r="D244" s="6"/>
      <c r="E244" s="14"/>
      <c r="F244" s="6"/>
      <c r="G244" s="6"/>
      <c r="H244" s="17"/>
      <c r="I244" s="49">
        <f t="shared" si="6"/>
        <v>0</v>
      </c>
      <c r="J244" s="13"/>
      <c r="K244" s="7"/>
      <c r="L244" s="5">
        <f t="shared" si="7"/>
        <v>0</v>
      </c>
    </row>
    <row r="245" spans="1:12" x14ac:dyDescent="0.25">
      <c r="A245" s="31"/>
      <c r="B245" s="21"/>
      <c r="C245" s="21"/>
      <c r="D245" s="6"/>
      <c r="E245" s="14"/>
      <c r="F245" s="6"/>
      <c r="G245" s="6"/>
      <c r="H245" s="17"/>
      <c r="I245" s="49">
        <f t="shared" si="6"/>
        <v>0</v>
      </c>
      <c r="J245" s="13"/>
      <c r="K245" s="7"/>
      <c r="L245" s="5">
        <f t="shared" si="7"/>
        <v>0</v>
      </c>
    </row>
    <row r="246" spans="1:12" x14ac:dyDescent="0.25">
      <c r="A246" s="31"/>
      <c r="B246" s="21"/>
      <c r="C246" s="21"/>
      <c r="D246" s="6"/>
      <c r="E246" s="14"/>
      <c r="F246" s="6"/>
      <c r="G246" s="6"/>
      <c r="H246" s="17"/>
      <c r="I246" s="49">
        <f t="shared" si="6"/>
        <v>0</v>
      </c>
      <c r="J246" s="13"/>
      <c r="K246" s="7"/>
      <c r="L246" s="5">
        <f t="shared" si="7"/>
        <v>0</v>
      </c>
    </row>
    <row r="247" spans="1:12" x14ac:dyDescent="0.25">
      <c r="A247" s="31"/>
      <c r="B247" s="21"/>
      <c r="C247" s="21"/>
      <c r="D247" s="6"/>
      <c r="E247" s="14"/>
      <c r="F247" s="6"/>
      <c r="G247" s="6"/>
      <c r="H247" s="17"/>
      <c r="I247" s="49">
        <f t="shared" si="6"/>
        <v>0</v>
      </c>
      <c r="J247" s="13"/>
      <c r="K247" s="7"/>
      <c r="L247" s="5">
        <f t="shared" si="7"/>
        <v>0</v>
      </c>
    </row>
    <row r="248" spans="1:12" x14ac:dyDescent="0.25">
      <c r="A248" s="31"/>
      <c r="B248" s="21"/>
      <c r="C248" s="21"/>
      <c r="D248" s="6"/>
      <c r="E248" s="14"/>
      <c r="F248" s="6"/>
      <c r="G248" s="6"/>
      <c r="H248" s="17"/>
      <c r="I248" s="49">
        <f t="shared" si="6"/>
        <v>0</v>
      </c>
      <c r="J248" s="13"/>
      <c r="K248" s="7"/>
      <c r="L248" s="5">
        <f t="shared" si="7"/>
        <v>0</v>
      </c>
    </row>
    <row r="249" spans="1:12" x14ac:dyDescent="0.25">
      <c r="A249" s="31"/>
      <c r="B249" s="21"/>
      <c r="C249" s="21"/>
      <c r="D249" s="6"/>
      <c r="E249" s="14"/>
      <c r="F249" s="6"/>
      <c r="G249" s="6"/>
      <c r="H249" s="17"/>
      <c r="I249" s="49">
        <f t="shared" si="6"/>
        <v>0</v>
      </c>
      <c r="J249" s="13"/>
      <c r="K249" s="7"/>
      <c r="L249" s="5">
        <f t="shared" si="7"/>
        <v>0</v>
      </c>
    </row>
    <row r="250" spans="1:12" x14ac:dyDescent="0.25">
      <c r="A250" s="31"/>
      <c r="B250" s="21"/>
      <c r="C250" s="21"/>
      <c r="D250" s="6"/>
      <c r="E250" s="14"/>
      <c r="F250" s="6"/>
      <c r="G250" s="6"/>
      <c r="H250" s="17"/>
      <c r="I250" s="49">
        <f t="shared" si="6"/>
        <v>0</v>
      </c>
      <c r="J250" s="13"/>
      <c r="K250" s="7"/>
      <c r="L250" s="5">
        <f t="shared" si="7"/>
        <v>0</v>
      </c>
    </row>
    <row r="251" spans="1:12" x14ac:dyDescent="0.25">
      <c r="A251" s="31"/>
      <c r="B251" s="21"/>
      <c r="C251" s="21"/>
      <c r="D251" s="6"/>
      <c r="E251" s="14"/>
      <c r="F251" s="6"/>
      <c r="G251" s="6"/>
      <c r="H251" s="17"/>
      <c r="I251" s="49">
        <f t="shared" si="6"/>
        <v>0</v>
      </c>
      <c r="J251" s="13"/>
      <c r="K251" s="7"/>
      <c r="L251" s="5">
        <f t="shared" si="7"/>
        <v>0</v>
      </c>
    </row>
    <row r="252" spans="1:12" x14ac:dyDescent="0.25">
      <c r="A252" s="31"/>
      <c r="B252" s="21"/>
      <c r="C252" s="21"/>
      <c r="D252" s="6"/>
      <c r="E252" s="14"/>
      <c r="F252" s="6"/>
      <c r="G252" s="6"/>
      <c r="H252" s="17"/>
      <c r="I252" s="49">
        <f t="shared" si="6"/>
        <v>0</v>
      </c>
      <c r="J252" s="13"/>
      <c r="K252" s="7"/>
      <c r="L252" s="5">
        <f t="shared" si="7"/>
        <v>0</v>
      </c>
    </row>
    <row r="253" spans="1:12" x14ac:dyDescent="0.25">
      <c r="A253" s="31"/>
      <c r="B253" s="21"/>
      <c r="C253" s="21"/>
      <c r="D253" s="6"/>
      <c r="E253" s="14"/>
      <c r="F253" s="6"/>
      <c r="G253" s="6"/>
      <c r="H253" s="17"/>
      <c r="I253" s="49">
        <f t="shared" si="6"/>
        <v>0</v>
      </c>
      <c r="J253" s="13"/>
      <c r="K253" s="7"/>
      <c r="L253" s="5">
        <f t="shared" si="7"/>
        <v>0</v>
      </c>
    </row>
    <row r="254" spans="1:12" x14ac:dyDescent="0.25">
      <c r="A254" s="31"/>
      <c r="B254" s="21"/>
      <c r="C254" s="21"/>
      <c r="D254" s="6"/>
      <c r="E254" s="14"/>
      <c r="F254" s="6"/>
      <c r="G254" s="6"/>
      <c r="H254" s="17"/>
      <c r="I254" s="49">
        <f t="shared" si="6"/>
        <v>0</v>
      </c>
      <c r="J254" s="13"/>
      <c r="K254" s="7"/>
      <c r="L254" s="5">
        <f t="shared" si="7"/>
        <v>0</v>
      </c>
    </row>
    <row r="255" spans="1:12" x14ac:dyDescent="0.25">
      <c r="A255" s="31"/>
      <c r="B255" s="21"/>
      <c r="C255" s="21"/>
      <c r="D255" s="6"/>
      <c r="E255" s="14"/>
      <c r="F255" s="6"/>
      <c r="G255" s="6"/>
      <c r="H255" s="17"/>
      <c r="I255" s="49">
        <f t="shared" si="6"/>
        <v>0</v>
      </c>
      <c r="J255" s="13"/>
      <c r="K255" s="7"/>
      <c r="L255" s="5">
        <f t="shared" si="7"/>
        <v>0</v>
      </c>
    </row>
    <row r="256" spans="1:12" x14ac:dyDescent="0.25">
      <c r="A256" s="31"/>
      <c r="B256" s="21"/>
      <c r="C256" s="21"/>
      <c r="D256" s="6"/>
      <c r="E256" s="14"/>
      <c r="F256" s="6"/>
      <c r="G256" s="6"/>
      <c r="H256" s="17"/>
      <c r="I256" s="49">
        <f t="shared" si="6"/>
        <v>0</v>
      </c>
      <c r="J256" s="13"/>
      <c r="K256" s="7"/>
      <c r="L256" s="5">
        <f t="shared" si="7"/>
        <v>0</v>
      </c>
    </row>
    <row r="257" spans="1:12" x14ac:dyDescent="0.25">
      <c r="A257" s="31"/>
      <c r="B257" s="21"/>
      <c r="C257" s="21"/>
      <c r="D257" s="6"/>
      <c r="E257" s="14"/>
      <c r="F257" s="6"/>
      <c r="G257" s="6"/>
      <c r="H257" s="17"/>
      <c r="I257" s="49">
        <f t="shared" si="6"/>
        <v>0</v>
      </c>
      <c r="J257" s="13"/>
      <c r="K257" s="7"/>
      <c r="L257" s="5">
        <f t="shared" si="7"/>
        <v>0</v>
      </c>
    </row>
    <row r="258" spans="1:12" x14ac:dyDescent="0.25">
      <c r="A258" s="31"/>
      <c r="B258" s="21"/>
      <c r="C258" s="21"/>
      <c r="D258" s="6"/>
      <c r="E258" s="14"/>
      <c r="F258" s="6"/>
      <c r="G258" s="6"/>
      <c r="H258" s="17"/>
      <c r="I258" s="49">
        <f t="shared" si="6"/>
        <v>0</v>
      </c>
      <c r="J258" s="13"/>
      <c r="K258" s="7"/>
      <c r="L258" s="5">
        <f t="shared" si="7"/>
        <v>0</v>
      </c>
    </row>
    <row r="259" spans="1:12" x14ac:dyDescent="0.25">
      <c r="A259" s="31"/>
      <c r="B259" s="21"/>
      <c r="C259" s="21"/>
      <c r="D259" s="6"/>
      <c r="E259" s="14"/>
      <c r="F259" s="6"/>
      <c r="G259" s="6"/>
      <c r="H259" s="17"/>
      <c r="I259" s="49">
        <f t="shared" si="6"/>
        <v>0</v>
      </c>
      <c r="J259" s="13"/>
      <c r="K259" s="7"/>
      <c r="L259" s="5">
        <f t="shared" si="7"/>
        <v>0</v>
      </c>
    </row>
    <row r="260" spans="1:12" x14ac:dyDescent="0.25">
      <c r="A260" s="31"/>
      <c r="B260" s="21"/>
      <c r="C260" s="21"/>
      <c r="D260" s="6"/>
      <c r="E260" s="14"/>
      <c r="F260" s="6"/>
      <c r="G260" s="6"/>
      <c r="H260" s="17"/>
      <c r="I260" s="49">
        <f t="shared" si="6"/>
        <v>0</v>
      </c>
      <c r="J260" s="13"/>
      <c r="K260" s="7"/>
      <c r="L260" s="5">
        <f t="shared" si="7"/>
        <v>0</v>
      </c>
    </row>
    <row r="261" spans="1:12" x14ac:dyDescent="0.25">
      <c r="A261" s="31"/>
      <c r="B261" s="21"/>
      <c r="C261" s="21"/>
      <c r="D261" s="6"/>
      <c r="E261" s="14"/>
      <c r="F261" s="6"/>
      <c r="G261" s="6"/>
      <c r="H261" s="17"/>
      <c r="I261" s="49">
        <f t="shared" si="6"/>
        <v>0</v>
      </c>
      <c r="J261" s="13"/>
      <c r="K261" s="7"/>
      <c r="L261" s="5">
        <f t="shared" si="7"/>
        <v>0</v>
      </c>
    </row>
    <row r="262" spans="1:12" x14ac:dyDescent="0.25">
      <c r="A262" s="31"/>
      <c r="B262" s="21"/>
      <c r="C262" s="21"/>
      <c r="D262" s="6"/>
      <c r="E262" s="14"/>
      <c r="F262" s="6"/>
      <c r="G262" s="6"/>
      <c r="H262" s="17"/>
      <c r="I262" s="49">
        <f t="shared" si="6"/>
        <v>0</v>
      </c>
      <c r="J262" s="13"/>
      <c r="K262" s="7"/>
      <c r="L262" s="5">
        <f t="shared" si="7"/>
        <v>0</v>
      </c>
    </row>
    <row r="263" spans="1:12" x14ac:dyDescent="0.25">
      <c r="A263" s="31"/>
      <c r="B263" s="21"/>
      <c r="C263" s="21"/>
      <c r="D263" s="6"/>
      <c r="E263" s="14"/>
      <c r="F263" s="6"/>
      <c r="G263" s="6"/>
      <c r="H263" s="17"/>
      <c r="I263" s="49">
        <f t="shared" ref="I263:I326" si="8">F263*H263</f>
        <v>0</v>
      </c>
      <c r="J263" s="13"/>
      <c r="K263" s="7"/>
      <c r="L263" s="5">
        <f t="shared" ref="L263:L326" si="9">+I263+J263-K263</f>
        <v>0</v>
      </c>
    </row>
    <row r="264" spans="1:12" x14ac:dyDescent="0.25">
      <c r="A264" s="31"/>
      <c r="B264" s="21"/>
      <c r="C264" s="21"/>
      <c r="D264" s="6"/>
      <c r="E264" s="14"/>
      <c r="F264" s="6"/>
      <c r="G264" s="6"/>
      <c r="H264" s="17"/>
      <c r="I264" s="49">
        <f t="shared" si="8"/>
        <v>0</v>
      </c>
      <c r="J264" s="13"/>
      <c r="K264" s="7"/>
      <c r="L264" s="5">
        <f t="shared" si="9"/>
        <v>0</v>
      </c>
    </row>
    <row r="265" spans="1:12" x14ac:dyDescent="0.25">
      <c r="A265" s="31"/>
      <c r="B265" s="21"/>
      <c r="C265" s="21"/>
      <c r="D265" s="6"/>
      <c r="E265" s="14"/>
      <c r="F265" s="6"/>
      <c r="G265" s="6"/>
      <c r="H265" s="17"/>
      <c r="I265" s="49">
        <f t="shared" si="8"/>
        <v>0</v>
      </c>
      <c r="J265" s="13"/>
      <c r="K265" s="7"/>
      <c r="L265" s="5">
        <f t="shared" si="9"/>
        <v>0</v>
      </c>
    </row>
    <row r="266" spans="1:12" x14ac:dyDescent="0.25">
      <c r="A266" s="31"/>
      <c r="B266" s="21"/>
      <c r="C266" s="21"/>
      <c r="D266" s="6"/>
      <c r="E266" s="14"/>
      <c r="F266" s="6"/>
      <c r="G266" s="6"/>
      <c r="H266" s="17"/>
      <c r="I266" s="49">
        <f t="shared" si="8"/>
        <v>0</v>
      </c>
      <c r="J266" s="13"/>
      <c r="K266" s="7"/>
      <c r="L266" s="5">
        <f t="shared" si="9"/>
        <v>0</v>
      </c>
    </row>
    <row r="267" spans="1:12" x14ac:dyDescent="0.25">
      <c r="A267" s="31"/>
      <c r="B267" s="21"/>
      <c r="C267" s="21"/>
      <c r="D267" s="6"/>
      <c r="E267" s="14"/>
      <c r="F267" s="6"/>
      <c r="G267" s="6"/>
      <c r="H267" s="17"/>
      <c r="I267" s="49">
        <f t="shared" si="8"/>
        <v>0</v>
      </c>
      <c r="J267" s="13"/>
      <c r="K267" s="7"/>
      <c r="L267" s="5">
        <f t="shared" si="9"/>
        <v>0</v>
      </c>
    </row>
    <row r="268" spans="1:12" x14ac:dyDescent="0.25">
      <c r="A268" s="32"/>
      <c r="B268" s="21"/>
      <c r="C268" s="21"/>
      <c r="D268" s="6"/>
      <c r="E268" s="14"/>
      <c r="F268" s="6"/>
      <c r="G268" s="6"/>
      <c r="H268" s="17"/>
      <c r="I268" s="49">
        <f t="shared" si="8"/>
        <v>0</v>
      </c>
      <c r="J268" s="13"/>
      <c r="K268" s="7"/>
      <c r="L268" s="5">
        <f t="shared" si="9"/>
        <v>0</v>
      </c>
    </row>
    <row r="269" spans="1:12" x14ac:dyDescent="0.25">
      <c r="A269" s="32"/>
      <c r="B269" s="21"/>
      <c r="C269" s="21"/>
      <c r="D269" s="6"/>
      <c r="E269" s="14"/>
      <c r="F269" s="6"/>
      <c r="G269" s="6"/>
      <c r="H269" s="17"/>
      <c r="I269" s="49">
        <f t="shared" si="8"/>
        <v>0</v>
      </c>
      <c r="J269" s="13"/>
      <c r="K269" s="7"/>
      <c r="L269" s="5">
        <f t="shared" si="9"/>
        <v>0</v>
      </c>
    </row>
    <row r="270" spans="1:12" x14ac:dyDescent="0.25">
      <c r="A270" s="32"/>
      <c r="B270" s="21"/>
      <c r="C270" s="21"/>
      <c r="D270" s="6"/>
      <c r="E270" s="14"/>
      <c r="F270" s="6"/>
      <c r="G270" s="6"/>
      <c r="H270" s="17"/>
      <c r="I270" s="49">
        <f t="shared" si="8"/>
        <v>0</v>
      </c>
      <c r="J270" s="13"/>
      <c r="K270" s="7"/>
      <c r="L270" s="5">
        <f t="shared" si="9"/>
        <v>0</v>
      </c>
    </row>
    <row r="271" spans="1:12" x14ac:dyDescent="0.25">
      <c r="A271" s="31"/>
      <c r="B271" s="21"/>
      <c r="C271" s="21"/>
      <c r="D271" s="6"/>
      <c r="E271" s="14"/>
      <c r="F271" s="6"/>
      <c r="G271" s="6"/>
      <c r="H271" s="17"/>
      <c r="I271" s="49">
        <f t="shared" si="8"/>
        <v>0</v>
      </c>
      <c r="J271" s="13"/>
      <c r="K271" s="7"/>
      <c r="L271" s="5">
        <f t="shared" si="9"/>
        <v>0</v>
      </c>
    </row>
    <row r="272" spans="1:12" x14ac:dyDescent="0.25">
      <c r="A272" s="31"/>
      <c r="B272" s="21"/>
      <c r="C272" s="21"/>
      <c r="D272" s="6"/>
      <c r="E272" s="14"/>
      <c r="F272" s="6"/>
      <c r="G272" s="6"/>
      <c r="H272" s="17"/>
      <c r="I272" s="49">
        <f t="shared" si="8"/>
        <v>0</v>
      </c>
      <c r="J272" s="13"/>
      <c r="K272" s="7"/>
      <c r="L272" s="5">
        <f t="shared" si="9"/>
        <v>0</v>
      </c>
    </row>
    <row r="273" spans="1:12" x14ac:dyDescent="0.25">
      <c r="A273" s="31"/>
      <c r="B273" s="21"/>
      <c r="C273" s="21"/>
      <c r="D273" s="6"/>
      <c r="E273" s="14"/>
      <c r="F273" s="6"/>
      <c r="G273" s="6"/>
      <c r="H273" s="17"/>
      <c r="I273" s="49">
        <f t="shared" si="8"/>
        <v>0</v>
      </c>
      <c r="J273" s="13"/>
      <c r="K273" s="7"/>
      <c r="L273" s="5">
        <f t="shared" si="9"/>
        <v>0</v>
      </c>
    </row>
    <row r="274" spans="1:12" x14ac:dyDescent="0.25">
      <c r="A274" s="31"/>
      <c r="B274" s="21"/>
      <c r="C274" s="21"/>
      <c r="D274" s="6"/>
      <c r="E274" s="14"/>
      <c r="F274" s="6"/>
      <c r="G274" s="6"/>
      <c r="H274" s="17"/>
      <c r="I274" s="49">
        <f t="shared" si="8"/>
        <v>0</v>
      </c>
      <c r="J274" s="13"/>
      <c r="K274" s="7"/>
      <c r="L274" s="5">
        <f t="shared" si="9"/>
        <v>0</v>
      </c>
    </row>
    <row r="275" spans="1:12" x14ac:dyDescent="0.25">
      <c r="A275" s="31"/>
      <c r="B275" s="21"/>
      <c r="C275" s="21"/>
      <c r="D275" s="6"/>
      <c r="E275" s="14"/>
      <c r="F275" s="6"/>
      <c r="G275" s="6"/>
      <c r="H275" s="17"/>
      <c r="I275" s="49">
        <f t="shared" si="8"/>
        <v>0</v>
      </c>
      <c r="J275" s="13"/>
      <c r="K275" s="7"/>
      <c r="L275" s="5">
        <f t="shared" si="9"/>
        <v>0</v>
      </c>
    </row>
    <row r="276" spans="1:12" x14ac:dyDescent="0.25">
      <c r="A276" s="31"/>
      <c r="B276" s="21"/>
      <c r="C276" s="21"/>
      <c r="D276" s="6"/>
      <c r="E276" s="14"/>
      <c r="F276" s="6"/>
      <c r="G276" s="6"/>
      <c r="H276" s="17"/>
      <c r="I276" s="49">
        <f t="shared" si="8"/>
        <v>0</v>
      </c>
      <c r="J276" s="13"/>
      <c r="K276" s="7"/>
      <c r="L276" s="5">
        <f t="shared" si="9"/>
        <v>0</v>
      </c>
    </row>
    <row r="277" spans="1:12" x14ac:dyDescent="0.25">
      <c r="A277" s="31"/>
      <c r="B277" s="21"/>
      <c r="C277" s="21"/>
      <c r="D277" s="6"/>
      <c r="E277" s="14"/>
      <c r="F277" s="6"/>
      <c r="G277" s="6"/>
      <c r="H277" s="17"/>
      <c r="I277" s="49">
        <f t="shared" si="8"/>
        <v>0</v>
      </c>
      <c r="J277" s="13"/>
      <c r="K277" s="7"/>
      <c r="L277" s="5">
        <f t="shared" si="9"/>
        <v>0</v>
      </c>
    </row>
    <row r="278" spans="1:12" x14ac:dyDescent="0.25">
      <c r="A278" s="31"/>
      <c r="B278" s="21"/>
      <c r="C278" s="21"/>
      <c r="D278" s="6"/>
      <c r="E278" s="14"/>
      <c r="F278" s="6"/>
      <c r="G278" s="6"/>
      <c r="H278" s="17"/>
      <c r="I278" s="49">
        <f t="shared" si="8"/>
        <v>0</v>
      </c>
      <c r="J278" s="13"/>
      <c r="K278" s="7"/>
      <c r="L278" s="5">
        <f t="shared" si="9"/>
        <v>0</v>
      </c>
    </row>
    <row r="279" spans="1:12" x14ac:dyDescent="0.25">
      <c r="A279" s="31"/>
      <c r="B279" s="21"/>
      <c r="C279" s="21"/>
      <c r="D279" s="6"/>
      <c r="E279" s="14"/>
      <c r="F279" s="6"/>
      <c r="G279" s="6"/>
      <c r="H279" s="17"/>
      <c r="I279" s="49">
        <f t="shared" si="8"/>
        <v>0</v>
      </c>
      <c r="J279" s="13"/>
      <c r="K279" s="7"/>
      <c r="L279" s="5">
        <f t="shared" si="9"/>
        <v>0</v>
      </c>
    </row>
    <row r="280" spans="1:12" x14ac:dyDescent="0.25">
      <c r="A280" s="31"/>
      <c r="B280" s="21"/>
      <c r="C280" s="21"/>
      <c r="D280" s="6"/>
      <c r="E280" s="14"/>
      <c r="F280" s="6"/>
      <c r="G280" s="6"/>
      <c r="H280" s="17"/>
      <c r="I280" s="49">
        <f t="shared" si="8"/>
        <v>0</v>
      </c>
      <c r="J280" s="13"/>
      <c r="K280" s="7"/>
      <c r="L280" s="5">
        <f t="shared" si="9"/>
        <v>0</v>
      </c>
    </row>
    <row r="281" spans="1:12" x14ac:dyDescent="0.25">
      <c r="A281" s="31"/>
      <c r="B281" s="21"/>
      <c r="C281" s="21"/>
      <c r="D281" s="6"/>
      <c r="E281" s="14"/>
      <c r="F281" s="6"/>
      <c r="G281" s="6"/>
      <c r="H281" s="17"/>
      <c r="I281" s="49">
        <f t="shared" si="8"/>
        <v>0</v>
      </c>
      <c r="J281" s="13"/>
      <c r="K281" s="7"/>
      <c r="L281" s="5">
        <f t="shared" si="9"/>
        <v>0</v>
      </c>
    </row>
    <row r="282" spans="1:12" x14ac:dyDescent="0.25">
      <c r="A282" s="31"/>
      <c r="B282" s="21"/>
      <c r="C282" s="21"/>
      <c r="D282" s="6"/>
      <c r="E282" s="14"/>
      <c r="F282" s="6"/>
      <c r="G282" s="6"/>
      <c r="H282" s="17"/>
      <c r="I282" s="49">
        <f t="shared" si="8"/>
        <v>0</v>
      </c>
      <c r="J282" s="13"/>
      <c r="K282" s="7"/>
      <c r="L282" s="5">
        <f t="shared" si="9"/>
        <v>0</v>
      </c>
    </row>
    <row r="283" spans="1:12" x14ac:dyDescent="0.25">
      <c r="A283" s="31"/>
      <c r="B283" s="21"/>
      <c r="C283" s="21"/>
      <c r="D283" s="6"/>
      <c r="E283" s="14"/>
      <c r="F283" s="6"/>
      <c r="G283" s="6"/>
      <c r="H283" s="17"/>
      <c r="I283" s="49">
        <f t="shared" si="8"/>
        <v>0</v>
      </c>
      <c r="J283" s="13"/>
      <c r="K283" s="7"/>
      <c r="L283" s="5">
        <f t="shared" si="9"/>
        <v>0</v>
      </c>
    </row>
    <row r="284" spans="1:12" x14ac:dyDescent="0.25">
      <c r="A284" s="31"/>
      <c r="B284" s="21"/>
      <c r="C284" s="21"/>
      <c r="D284" s="6"/>
      <c r="E284" s="14"/>
      <c r="F284" s="6"/>
      <c r="G284" s="6"/>
      <c r="H284" s="17"/>
      <c r="I284" s="49">
        <f t="shared" si="8"/>
        <v>0</v>
      </c>
      <c r="J284" s="13"/>
      <c r="K284" s="7"/>
      <c r="L284" s="5">
        <f t="shared" si="9"/>
        <v>0</v>
      </c>
    </row>
    <row r="285" spans="1:12" x14ac:dyDescent="0.25">
      <c r="A285" s="31"/>
      <c r="B285" s="21"/>
      <c r="C285" s="21"/>
      <c r="D285" s="6"/>
      <c r="E285" s="14"/>
      <c r="F285" s="6"/>
      <c r="G285" s="6"/>
      <c r="H285" s="17"/>
      <c r="I285" s="49">
        <f t="shared" si="8"/>
        <v>0</v>
      </c>
      <c r="J285" s="13"/>
      <c r="K285" s="7"/>
      <c r="L285" s="5">
        <f t="shared" si="9"/>
        <v>0</v>
      </c>
    </row>
    <row r="286" spans="1:12" x14ac:dyDescent="0.25">
      <c r="A286" s="31"/>
      <c r="B286" s="21"/>
      <c r="C286" s="21"/>
      <c r="D286" s="6"/>
      <c r="E286" s="14"/>
      <c r="F286" s="6"/>
      <c r="G286" s="6"/>
      <c r="H286" s="17"/>
      <c r="I286" s="49">
        <f t="shared" si="8"/>
        <v>0</v>
      </c>
      <c r="J286" s="13"/>
      <c r="K286" s="7"/>
      <c r="L286" s="5">
        <f t="shared" si="9"/>
        <v>0</v>
      </c>
    </row>
    <row r="287" spans="1:12" x14ac:dyDescent="0.25">
      <c r="A287" s="31"/>
      <c r="B287" s="21"/>
      <c r="C287" s="21"/>
      <c r="D287" s="6"/>
      <c r="E287" s="14"/>
      <c r="F287" s="6"/>
      <c r="G287" s="6"/>
      <c r="H287" s="17"/>
      <c r="I287" s="49">
        <f t="shared" si="8"/>
        <v>0</v>
      </c>
      <c r="J287" s="13"/>
      <c r="K287" s="7"/>
      <c r="L287" s="5">
        <f t="shared" si="9"/>
        <v>0</v>
      </c>
    </row>
    <row r="288" spans="1:12" x14ac:dyDescent="0.25">
      <c r="A288" s="31"/>
      <c r="B288" s="21"/>
      <c r="C288" s="21"/>
      <c r="D288" s="6"/>
      <c r="E288" s="14"/>
      <c r="F288" s="6"/>
      <c r="G288" s="6"/>
      <c r="H288" s="17"/>
      <c r="I288" s="49">
        <f t="shared" si="8"/>
        <v>0</v>
      </c>
      <c r="J288" s="13"/>
      <c r="K288" s="7"/>
      <c r="L288" s="5">
        <f t="shared" si="9"/>
        <v>0</v>
      </c>
    </row>
    <row r="289" spans="1:12" x14ac:dyDescent="0.25">
      <c r="A289" s="31"/>
      <c r="B289" s="21"/>
      <c r="C289" s="21"/>
      <c r="D289" s="6"/>
      <c r="E289" s="14"/>
      <c r="F289" s="6"/>
      <c r="G289" s="6"/>
      <c r="H289" s="17"/>
      <c r="I289" s="49">
        <f t="shared" si="8"/>
        <v>0</v>
      </c>
      <c r="J289" s="13"/>
      <c r="K289" s="7"/>
      <c r="L289" s="5">
        <f t="shared" si="9"/>
        <v>0</v>
      </c>
    </row>
    <row r="290" spans="1:12" x14ac:dyDescent="0.25">
      <c r="A290" s="31"/>
      <c r="B290" s="21"/>
      <c r="C290" s="21"/>
      <c r="D290" s="6"/>
      <c r="E290" s="14"/>
      <c r="F290" s="6"/>
      <c r="G290" s="6"/>
      <c r="H290" s="17"/>
      <c r="I290" s="49">
        <f t="shared" si="8"/>
        <v>0</v>
      </c>
      <c r="J290" s="13"/>
      <c r="K290" s="7"/>
      <c r="L290" s="5">
        <f t="shared" si="9"/>
        <v>0</v>
      </c>
    </row>
    <row r="291" spans="1:12" x14ac:dyDescent="0.25">
      <c r="A291" s="31"/>
      <c r="B291" s="21"/>
      <c r="C291" s="21"/>
      <c r="D291" s="6"/>
      <c r="E291" s="14"/>
      <c r="F291" s="6"/>
      <c r="G291" s="6"/>
      <c r="H291" s="17"/>
      <c r="I291" s="49">
        <f t="shared" si="8"/>
        <v>0</v>
      </c>
      <c r="J291" s="13"/>
      <c r="K291" s="7"/>
      <c r="L291" s="5">
        <f t="shared" si="9"/>
        <v>0</v>
      </c>
    </row>
    <row r="292" spans="1:12" x14ac:dyDescent="0.25">
      <c r="A292" s="31"/>
      <c r="B292" s="21"/>
      <c r="C292" s="21"/>
      <c r="D292" s="6"/>
      <c r="E292" s="14"/>
      <c r="F292" s="6"/>
      <c r="G292" s="6"/>
      <c r="H292" s="17"/>
      <c r="I292" s="49">
        <f t="shared" si="8"/>
        <v>0</v>
      </c>
      <c r="J292" s="13"/>
      <c r="K292" s="7"/>
      <c r="L292" s="5">
        <f t="shared" si="9"/>
        <v>0</v>
      </c>
    </row>
    <row r="293" spans="1:12" x14ac:dyDescent="0.25">
      <c r="A293" s="31"/>
      <c r="B293" s="21"/>
      <c r="C293" s="21"/>
      <c r="D293" s="6"/>
      <c r="E293" s="14"/>
      <c r="F293" s="6"/>
      <c r="G293" s="6"/>
      <c r="H293" s="17"/>
      <c r="I293" s="49">
        <f t="shared" si="8"/>
        <v>0</v>
      </c>
      <c r="J293" s="13"/>
      <c r="K293" s="7"/>
      <c r="L293" s="5">
        <f t="shared" si="9"/>
        <v>0</v>
      </c>
    </row>
    <row r="294" spans="1:12" x14ac:dyDescent="0.25">
      <c r="A294" s="31"/>
      <c r="B294" s="21"/>
      <c r="C294" s="21"/>
      <c r="D294" s="6"/>
      <c r="E294" s="14"/>
      <c r="F294" s="6"/>
      <c r="G294" s="6"/>
      <c r="H294" s="17"/>
      <c r="I294" s="49">
        <f t="shared" si="8"/>
        <v>0</v>
      </c>
      <c r="J294" s="13"/>
      <c r="K294" s="7"/>
      <c r="L294" s="5">
        <f t="shared" si="9"/>
        <v>0</v>
      </c>
    </row>
    <row r="295" spans="1:12" x14ac:dyDescent="0.25">
      <c r="A295" s="31"/>
      <c r="B295" s="21"/>
      <c r="C295" s="21"/>
      <c r="D295" s="6"/>
      <c r="E295" s="14"/>
      <c r="F295" s="6"/>
      <c r="G295" s="6"/>
      <c r="H295" s="17"/>
      <c r="I295" s="49">
        <f t="shared" si="8"/>
        <v>0</v>
      </c>
      <c r="J295" s="13"/>
      <c r="K295" s="7"/>
      <c r="L295" s="5">
        <f t="shared" si="9"/>
        <v>0</v>
      </c>
    </row>
    <row r="296" spans="1:12" x14ac:dyDescent="0.25">
      <c r="A296" s="31"/>
      <c r="B296" s="21"/>
      <c r="C296" s="21"/>
      <c r="D296" s="6"/>
      <c r="E296" s="14"/>
      <c r="F296" s="6"/>
      <c r="G296" s="6"/>
      <c r="H296" s="17"/>
      <c r="I296" s="49">
        <f t="shared" si="8"/>
        <v>0</v>
      </c>
      <c r="J296" s="13"/>
      <c r="K296" s="7"/>
      <c r="L296" s="5">
        <f t="shared" si="9"/>
        <v>0</v>
      </c>
    </row>
    <row r="297" spans="1:12" x14ac:dyDescent="0.25">
      <c r="A297" s="31"/>
      <c r="B297" s="21"/>
      <c r="C297" s="21"/>
      <c r="D297" s="6"/>
      <c r="E297" s="14"/>
      <c r="F297" s="6"/>
      <c r="G297" s="6"/>
      <c r="H297" s="17"/>
      <c r="I297" s="49">
        <f t="shared" si="8"/>
        <v>0</v>
      </c>
      <c r="J297" s="13"/>
      <c r="K297" s="7"/>
      <c r="L297" s="5">
        <f t="shared" si="9"/>
        <v>0</v>
      </c>
    </row>
    <row r="298" spans="1:12" x14ac:dyDescent="0.25">
      <c r="A298" s="31"/>
      <c r="B298" s="21"/>
      <c r="C298" s="21"/>
      <c r="D298" s="6"/>
      <c r="E298" s="14"/>
      <c r="F298" s="6"/>
      <c r="G298" s="6"/>
      <c r="H298" s="17"/>
      <c r="I298" s="49">
        <f t="shared" si="8"/>
        <v>0</v>
      </c>
      <c r="J298" s="13"/>
      <c r="K298" s="7"/>
      <c r="L298" s="5">
        <f t="shared" si="9"/>
        <v>0</v>
      </c>
    </row>
    <row r="299" spans="1:12" x14ac:dyDescent="0.25">
      <c r="A299" s="31"/>
      <c r="B299" s="21"/>
      <c r="C299" s="21"/>
      <c r="D299" s="6"/>
      <c r="E299" s="14"/>
      <c r="F299" s="6"/>
      <c r="G299" s="6"/>
      <c r="H299" s="17"/>
      <c r="I299" s="49">
        <f t="shared" si="8"/>
        <v>0</v>
      </c>
      <c r="J299" s="13"/>
      <c r="K299" s="7"/>
      <c r="L299" s="5">
        <f t="shared" si="9"/>
        <v>0</v>
      </c>
    </row>
    <row r="300" spans="1:12" x14ac:dyDescent="0.25">
      <c r="A300" s="31"/>
      <c r="B300" s="21"/>
      <c r="C300" s="21"/>
      <c r="D300" s="6"/>
      <c r="E300" s="14"/>
      <c r="F300" s="6"/>
      <c r="G300" s="6"/>
      <c r="H300" s="17"/>
      <c r="I300" s="49">
        <f t="shared" si="8"/>
        <v>0</v>
      </c>
      <c r="J300" s="13"/>
      <c r="K300" s="7"/>
      <c r="L300" s="5">
        <f t="shared" si="9"/>
        <v>0</v>
      </c>
    </row>
    <row r="301" spans="1:12" x14ac:dyDescent="0.25">
      <c r="A301" s="31"/>
      <c r="B301" s="21"/>
      <c r="C301" s="21"/>
      <c r="D301" s="6"/>
      <c r="E301" s="14"/>
      <c r="F301" s="6"/>
      <c r="G301" s="6"/>
      <c r="H301" s="17"/>
      <c r="I301" s="49">
        <f t="shared" si="8"/>
        <v>0</v>
      </c>
      <c r="J301" s="13"/>
      <c r="K301" s="7"/>
      <c r="L301" s="5">
        <f t="shared" si="9"/>
        <v>0</v>
      </c>
    </row>
    <row r="302" spans="1:12" x14ac:dyDescent="0.25">
      <c r="A302" s="31"/>
      <c r="B302" s="21"/>
      <c r="C302" s="21"/>
      <c r="D302" s="6"/>
      <c r="E302" s="14"/>
      <c r="F302" s="6"/>
      <c r="G302" s="6"/>
      <c r="H302" s="17"/>
      <c r="I302" s="49">
        <f t="shared" si="8"/>
        <v>0</v>
      </c>
      <c r="J302" s="13"/>
      <c r="K302" s="7"/>
      <c r="L302" s="5">
        <f t="shared" si="9"/>
        <v>0</v>
      </c>
    </row>
    <row r="303" spans="1:12" x14ac:dyDescent="0.25">
      <c r="A303" s="31"/>
      <c r="B303" s="21"/>
      <c r="C303" s="21"/>
      <c r="D303" s="6"/>
      <c r="E303" s="14"/>
      <c r="F303" s="6"/>
      <c r="G303" s="6"/>
      <c r="H303" s="17"/>
      <c r="I303" s="49">
        <f t="shared" si="8"/>
        <v>0</v>
      </c>
      <c r="J303" s="13"/>
      <c r="K303" s="7"/>
      <c r="L303" s="5">
        <f t="shared" si="9"/>
        <v>0</v>
      </c>
    </row>
    <row r="304" spans="1:12" x14ac:dyDescent="0.25">
      <c r="A304" s="31"/>
      <c r="B304" s="21"/>
      <c r="C304" s="21"/>
      <c r="D304" s="6"/>
      <c r="E304" s="14"/>
      <c r="F304" s="6"/>
      <c r="G304" s="6"/>
      <c r="H304" s="17"/>
      <c r="I304" s="49">
        <f t="shared" si="8"/>
        <v>0</v>
      </c>
      <c r="J304" s="13"/>
      <c r="K304" s="7"/>
      <c r="L304" s="5">
        <f t="shared" si="9"/>
        <v>0</v>
      </c>
    </row>
    <row r="305" spans="1:12" x14ac:dyDescent="0.25">
      <c r="A305" s="31"/>
      <c r="B305" s="21"/>
      <c r="C305" s="21"/>
      <c r="D305" s="6"/>
      <c r="E305" s="14"/>
      <c r="F305" s="6"/>
      <c r="G305" s="6"/>
      <c r="H305" s="17"/>
      <c r="I305" s="49">
        <f t="shared" si="8"/>
        <v>0</v>
      </c>
      <c r="J305" s="13"/>
      <c r="K305" s="7"/>
      <c r="L305" s="5">
        <f t="shared" si="9"/>
        <v>0</v>
      </c>
    </row>
    <row r="306" spans="1:12" x14ac:dyDescent="0.25">
      <c r="A306" s="31"/>
      <c r="B306" s="21"/>
      <c r="C306" s="21"/>
      <c r="D306" s="6"/>
      <c r="E306" s="14"/>
      <c r="F306" s="6"/>
      <c r="G306" s="6"/>
      <c r="H306" s="17"/>
      <c r="I306" s="49">
        <f t="shared" si="8"/>
        <v>0</v>
      </c>
      <c r="J306" s="13"/>
      <c r="K306" s="7"/>
      <c r="L306" s="5">
        <f t="shared" si="9"/>
        <v>0</v>
      </c>
    </row>
    <row r="307" spans="1:12" x14ac:dyDescent="0.25">
      <c r="A307" s="31"/>
      <c r="B307" s="21"/>
      <c r="C307" s="21"/>
      <c r="D307" s="6"/>
      <c r="E307" s="14"/>
      <c r="F307" s="6"/>
      <c r="G307" s="6"/>
      <c r="H307" s="17"/>
      <c r="I307" s="49">
        <f t="shared" si="8"/>
        <v>0</v>
      </c>
      <c r="J307" s="13"/>
      <c r="K307" s="7"/>
      <c r="L307" s="5">
        <f t="shared" si="9"/>
        <v>0</v>
      </c>
    </row>
    <row r="308" spans="1:12" x14ac:dyDescent="0.25">
      <c r="A308" s="31"/>
      <c r="B308" s="21"/>
      <c r="C308" s="21"/>
      <c r="D308" s="6"/>
      <c r="E308" s="14"/>
      <c r="F308" s="6"/>
      <c r="G308" s="6"/>
      <c r="H308" s="17"/>
      <c r="I308" s="49">
        <f t="shared" si="8"/>
        <v>0</v>
      </c>
      <c r="J308" s="13"/>
      <c r="K308" s="7"/>
      <c r="L308" s="5">
        <f t="shared" si="9"/>
        <v>0</v>
      </c>
    </row>
    <row r="309" spans="1:12" x14ac:dyDescent="0.25">
      <c r="A309" s="31"/>
      <c r="B309" s="21"/>
      <c r="C309" s="21"/>
      <c r="D309" s="6"/>
      <c r="E309" s="14"/>
      <c r="F309" s="6"/>
      <c r="G309" s="6"/>
      <c r="H309" s="17"/>
      <c r="I309" s="49">
        <f t="shared" si="8"/>
        <v>0</v>
      </c>
      <c r="J309" s="13"/>
      <c r="K309" s="7"/>
      <c r="L309" s="5">
        <f t="shared" si="9"/>
        <v>0</v>
      </c>
    </row>
    <row r="310" spans="1:12" x14ac:dyDescent="0.25">
      <c r="A310" s="31"/>
      <c r="B310" s="21"/>
      <c r="C310" s="21"/>
      <c r="D310" s="6"/>
      <c r="E310" s="14"/>
      <c r="F310" s="6"/>
      <c r="G310" s="6"/>
      <c r="H310" s="17"/>
      <c r="I310" s="49">
        <f t="shared" si="8"/>
        <v>0</v>
      </c>
      <c r="J310" s="13"/>
      <c r="K310" s="7"/>
      <c r="L310" s="5">
        <f t="shared" si="9"/>
        <v>0</v>
      </c>
    </row>
    <row r="311" spans="1:12" x14ac:dyDescent="0.25">
      <c r="A311" s="31"/>
      <c r="B311" s="21"/>
      <c r="C311" s="21"/>
      <c r="D311" s="6"/>
      <c r="E311" s="14"/>
      <c r="F311" s="6"/>
      <c r="G311" s="6"/>
      <c r="H311" s="17"/>
      <c r="I311" s="49">
        <f t="shared" si="8"/>
        <v>0</v>
      </c>
      <c r="J311" s="13"/>
      <c r="K311" s="7"/>
      <c r="L311" s="5">
        <f t="shared" si="9"/>
        <v>0</v>
      </c>
    </row>
    <row r="312" spans="1:12" x14ac:dyDescent="0.25">
      <c r="A312" s="31"/>
      <c r="B312" s="21"/>
      <c r="C312" s="21"/>
      <c r="D312" s="6"/>
      <c r="E312" s="14"/>
      <c r="F312" s="6"/>
      <c r="G312" s="6"/>
      <c r="H312" s="17"/>
      <c r="I312" s="49">
        <f t="shared" si="8"/>
        <v>0</v>
      </c>
      <c r="J312" s="13"/>
      <c r="K312" s="7"/>
      <c r="L312" s="5">
        <f t="shared" si="9"/>
        <v>0</v>
      </c>
    </row>
    <row r="313" spans="1:12" x14ac:dyDescent="0.25">
      <c r="A313" s="31"/>
      <c r="B313" s="21"/>
      <c r="C313" s="21"/>
      <c r="D313" s="6"/>
      <c r="E313" s="14"/>
      <c r="F313" s="6"/>
      <c r="G313" s="6"/>
      <c r="H313" s="17"/>
      <c r="I313" s="49">
        <f t="shared" si="8"/>
        <v>0</v>
      </c>
      <c r="J313" s="13"/>
      <c r="K313" s="7"/>
      <c r="L313" s="5">
        <f t="shared" si="9"/>
        <v>0</v>
      </c>
    </row>
    <row r="314" spans="1:12" x14ac:dyDescent="0.25">
      <c r="A314" s="31"/>
      <c r="B314" s="21"/>
      <c r="C314" s="21"/>
      <c r="D314" s="6"/>
      <c r="E314" s="14"/>
      <c r="F314" s="6"/>
      <c r="G314" s="6"/>
      <c r="H314" s="17"/>
      <c r="I314" s="49">
        <f t="shared" si="8"/>
        <v>0</v>
      </c>
      <c r="J314" s="13"/>
      <c r="K314" s="7"/>
      <c r="L314" s="5">
        <f t="shared" si="9"/>
        <v>0</v>
      </c>
    </row>
    <row r="315" spans="1:12" x14ac:dyDescent="0.25">
      <c r="A315" s="31"/>
      <c r="B315" s="21"/>
      <c r="C315" s="21"/>
      <c r="D315" s="6"/>
      <c r="E315" s="14"/>
      <c r="F315" s="6"/>
      <c r="G315" s="6"/>
      <c r="H315" s="17"/>
      <c r="I315" s="49">
        <f t="shared" si="8"/>
        <v>0</v>
      </c>
      <c r="J315" s="13"/>
      <c r="K315" s="7"/>
      <c r="L315" s="5">
        <f t="shared" si="9"/>
        <v>0</v>
      </c>
    </row>
    <row r="316" spans="1:12" x14ac:dyDescent="0.25">
      <c r="A316" s="31"/>
      <c r="B316" s="21"/>
      <c r="C316" s="21"/>
      <c r="D316" s="6"/>
      <c r="E316" s="14"/>
      <c r="F316" s="6"/>
      <c r="G316" s="6"/>
      <c r="H316" s="17"/>
      <c r="I316" s="49">
        <f t="shared" si="8"/>
        <v>0</v>
      </c>
      <c r="J316" s="13"/>
      <c r="K316" s="7"/>
      <c r="L316" s="5">
        <f t="shared" si="9"/>
        <v>0</v>
      </c>
    </row>
    <row r="317" spans="1:12" x14ac:dyDescent="0.25">
      <c r="A317" s="32"/>
      <c r="B317" s="21"/>
      <c r="C317" s="21"/>
      <c r="D317" s="6"/>
      <c r="E317" s="14"/>
      <c r="F317" s="6"/>
      <c r="G317" s="6"/>
      <c r="H317" s="17"/>
      <c r="I317" s="49">
        <f t="shared" si="8"/>
        <v>0</v>
      </c>
      <c r="J317" s="13"/>
      <c r="K317" s="7"/>
      <c r="L317" s="5">
        <f t="shared" si="9"/>
        <v>0</v>
      </c>
    </row>
    <row r="318" spans="1:12" x14ac:dyDescent="0.25">
      <c r="A318" s="32"/>
      <c r="B318" s="21"/>
      <c r="C318" s="21"/>
      <c r="D318" s="6"/>
      <c r="E318" s="14"/>
      <c r="F318" s="6"/>
      <c r="G318" s="6"/>
      <c r="H318" s="17"/>
      <c r="I318" s="49">
        <f t="shared" si="8"/>
        <v>0</v>
      </c>
      <c r="J318" s="13"/>
      <c r="K318" s="7"/>
      <c r="L318" s="5">
        <f t="shared" si="9"/>
        <v>0</v>
      </c>
    </row>
    <row r="319" spans="1:12" x14ac:dyDescent="0.25">
      <c r="A319" s="32"/>
      <c r="B319" s="21"/>
      <c r="C319" s="21"/>
      <c r="D319" s="6"/>
      <c r="E319" s="14"/>
      <c r="F319" s="6"/>
      <c r="G319" s="6"/>
      <c r="H319" s="17"/>
      <c r="I319" s="49">
        <f t="shared" si="8"/>
        <v>0</v>
      </c>
      <c r="J319" s="13"/>
      <c r="K319" s="7"/>
      <c r="L319" s="5">
        <f t="shared" si="9"/>
        <v>0</v>
      </c>
    </row>
    <row r="320" spans="1:12" x14ac:dyDescent="0.25">
      <c r="A320" s="32"/>
      <c r="B320" s="21"/>
      <c r="C320" s="21"/>
      <c r="D320" s="6"/>
      <c r="E320" s="14"/>
      <c r="F320" s="6"/>
      <c r="G320" s="6"/>
      <c r="H320" s="17"/>
      <c r="I320" s="49">
        <f t="shared" si="8"/>
        <v>0</v>
      </c>
      <c r="J320" s="13"/>
      <c r="K320" s="7"/>
      <c r="L320" s="5">
        <f t="shared" si="9"/>
        <v>0</v>
      </c>
    </row>
    <row r="321" spans="1:12" x14ac:dyDescent="0.25">
      <c r="A321" s="32"/>
      <c r="B321" s="21"/>
      <c r="C321" s="21"/>
      <c r="D321" s="6"/>
      <c r="E321" s="14"/>
      <c r="F321" s="6"/>
      <c r="G321" s="6"/>
      <c r="H321" s="17"/>
      <c r="I321" s="49">
        <f t="shared" si="8"/>
        <v>0</v>
      </c>
      <c r="J321" s="13"/>
      <c r="K321" s="7"/>
      <c r="L321" s="5">
        <f t="shared" si="9"/>
        <v>0</v>
      </c>
    </row>
    <row r="322" spans="1:12" x14ac:dyDescent="0.25">
      <c r="A322" s="32"/>
      <c r="B322" s="21"/>
      <c r="C322" s="21"/>
      <c r="D322" s="6"/>
      <c r="E322" s="14"/>
      <c r="F322" s="6"/>
      <c r="G322" s="6"/>
      <c r="H322" s="17"/>
      <c r="I322" s="49">
        <f t="shared" si="8"/>
        <v>0</v>
      </c>
      <c r="J322" s="13"/>
      <c r="K322" s="7"/>
      <c r="L322" s="5">
        <f t="shared" si="9"/>
        <v>0</v>
      </c>
    </row>
    <row r="323" spans="1:12" x14ac:dyDescent="0.25">
      <c r="A323" s="32"/>
      <c r="B323" s="21"/>
      <c r="C323" s="21"/>
      <c r="D323" s="6"/>
      <c r="E323" s="14"/>
      <c r="F323" s="6"/>
      <c r="G323" s="6"/>
      <c r="H323" s="17"/>
      <c r="I323" s="49">
        <f t="shared" si="8"/>
        <v>0</v>
      </c>
      <c r="J323" s="13"/>
      <c r="K323" s="7"/>
      <c r="L323" s="5">
        <f t="shared" si="9"/>
        <v>0</v>
      </c>
    </row>
    <row r="324" spans="1:12" x14ac:dyDescent="0.25">
      <c r="A324" s="32"/>
      <c r="B324" s="21"/>
      <c r="C324" s="21"/>
      <c r="D324" s="6"/>
      <c r="E324" s="14"/>
      <c r="F324" s="6"/>
      <c r="G324" s="6"/>
      <c r="H324" s="17"/>
      <c r="I324" s="49">
        <f t="shared" si="8"/>
        <v>0</v>
      </c>
      <c r="J324" s="13"/>
      <c r="K324" s="7"/>
      <c r="L324" s="5">
        <f t="shared" si="9"/>
        <v>0</v>
      </c>
    </row>
    <row r="325" spans="1:12" x14ac:dyDescent="0.25">
      <c r="A325" s="32"/>
      <c r="B325" s="21"/>
      <c r="C325" s="21"/>
      <c r="D325" s="6"/>
      <c r="E325" s="14"/>
      <c r="F325" s="6"/>
      <c r="G325" s="6"/>
      <c r="H325" s="17"/>
      <c r="I325" s="49">
        <f t="shared" si="8"/>
        <v>0</v>
      </c>
      <c r="J325" s="13"/>
      <c r="K325" s="7"/>
      <c r="L325" s="5">
        <f t="shared" si="9"/>
        <v>0</v>
      </c>
    </row>
    <row r="326" spans="1:12" x14ac:dyDescent="0.25">
      <c r="A326" s="32"/>
      <c r="B326" s="21"/>
      <c r="C326" s="21"/>
      <c r="D326" s="6"/>
      <c r="E326" s="14"/>
      <c r="F326" s="6"/>
      <c r="G326" s="6"/>
      <c r="H326" s="17"/>
      <c r="I326" s="49">
        <f t="shared" si="8"/>
        <v>0</v>
      </c>
      <c r="J326" s="13"/>
      <c r="K326" s="7"/>
      <c r="L326" s="5">
        <f t="shared" si="9"/>
        <v>0</v>
      </c>
    </row>
    <row r="327" spans="1:12" x14ac:dyDescent="0.25">
      <c r="A327" s="32"/>
      <c r="B327" s="21"/>
      <c r="C327" s="21"/>
      <c r="D327" s="6"/>
      <c r="E327" s="14"/>
      <c r="F327" s="6"/>
      <c r="G327" s="6"/>
      <c r="H327" s="17"/>
      <c r="I327" s="49">
        <f t="shared" ref="I327:I390" si="10">F327*H327</f>
        <v>0</v>
      </c>
      <c r="J327" s="13"/>
      <c r="K327" s="7"/>
      <c r="L327" s="5">
        <f t="shared" ref="L327:L390" si="11">+I327+J327-K327</f>
        <v>0</v>
      </c>
    </row>
    <row r="328" spans="1:12" x14ac:dyDescent="0.25">
      <c r="A328" s="32"/>
      <c r="B328" s="21"/>
      <c r="C328" s="21"/>
      <c r="D328" s="6"/>
      <c r="E328" s="14"/>
      <c r="F328" s="6"/>
      <c r="G328" s="6"/>
      <c r="H328" s="17"/>
      <c r="I328" s="49">
        <f t="shared" si="10"/>
        <v>0</v>
      </c>
      <c r="J328" s="13"/>
      <c r="K328" s="7"/>
      <c r="L328" s="5">
        <f t="shared" si="11"/>
        <v>0</v>
      </c>
    </row>
    <row r="329" spans="1:12" x14ac:dyDescent="0.25">
      <c r="A329" s="32"/>
      <c r="B329" s="21"/>
      <c r="C329" s="21"/>
      <c r="D329" s="6"/>
      <c r="E329" s="14"/>
      <c r="F329" s="6"/>
      <c r="G329" s="6"/>
      <c r="H329" s="17"/>
      <c r="I329" s="49">
        <f t="shared" si="10"/>
        <v>0</v>
      </c>
      <c r="J329" s="13"/>
      <c r="K329" s="7"/>
      <c r="L329" s="5">
        <f t="shared" si="11"/>
        <v>0</v>
      </c>
    </row>
    <row r="330" spans="1:12" x14ac:dyDescent="0.25">
      <c r="A330" s="32"/>
      <c r="B330" s="21"/>
      <c r="C330" s="21"/>
      <c r="D330" s="6"/>
      <c r="E330" s="14"/>
      <c r="F330" s="6"/>
      <c r="G330" s="6"/>
      <c r="H330" s="17"/>
      <c r="I330" s="49">
        <f t="shared" si="10"/>
        <v>0</v>
      </c>
      <c r="J330" s="13"/>
      <c r="K330" s="7"/>
      <c r="L330" s="5">
        <f t="shared" si="11"/>
        <v>0</v>
      </c>
    </row>
    <row r="331" spans="1:12" x14ac:dyDescent="0.25">
      <c r="A331" s="32"/>
      <c r="B331" s="21"/>
      <c r="C331" s="21"/>
      <c r="D331" s="6"/>
      <c r="E331" s="14"/>
      <c r="F331" s="6"/>
      <c r="G331" s="6"/>
      <c r="H331" s="17"/>
      <c r="I331" s="49">
        <f t="shared" si="10"/>
        <v>0</v>
      </c>
      <c r="J331" s="13"/>
      <c r="K331" s="7"/>
      <c r="L331" s="5">
        <f t="shared" si="11"/>
        <v>0</v>
      </c>
    </row>
    <row r="332" spans="1:12" x14ac:dyDescent="0.25">
      <c r="A332" s="32"/>
      <c r="B332" s="21"/>
      <c r="C332" s="21"/>
      <c r="D332" s="6"/>
      <c r="E332" s="14"/>
      <c r="F332" s="6"/>
      <c r="G332" s="6"/>
      <c r="H332" s="17"/>
      <c r="I332" s="49">
        <f t="shared" si="10"/>
        <v>0</v>
      </c>
      <c r="J332" s="13"/>
      <c r="K332" s="7"/>
      <c r="L332" s="5">
        <f t="shared" si="11"/>
        <v>0</v>
      </c>
    </row>
    <row r="333" spans="1:12" x14ac:dyDescent="0.25">
      <c r="A333" s="32"/>
      <c r="B333" s="21"/>
      <c r="C333" s="21"/>
      <c r="D333" s="6"/>
      <c r="E333" s="14"/>
      <c r="F333" s="6"/>
      <c r="G333" s="6"/>
      <c r="H333" s="17"/>
      <c r="I333" s="49">
        <f t="shared" si="10"/>
        <v>0</v>
      </c>
      <c r="J333" s="13"/>
      <c r="K333" s="7"/>
      <c r="L333" s="5">
        <f t="shared" si="11"/>
        <v>0</v>
      </c>
    </row>
    <row r="334" spans="1:12" x14ac:dyDescent="0.25">
      <c r="A334" s="32"/>
      <c r="B334" s="21"/>
      <c r="C334" s="21"/>
      <c r="D334" s="6"/>
      <c r="E334" s="14"/>
      <c r="F334" s="6"/>
      <c r="G334" s="6"/>
      <c r="H334" s="17"/>
      <c r="I334" s="49">
        <f t="shared" si="10"/>
        <v>0</v>
      </c>
      <c r="J334" s="13"/>
      <c r="K334" s="7"/>
      <c r="L334" s="5">
        <f t="shared" si="11"/>
        <v>0</v>
      </c>
    </row>
    <row r="335" spans="1:12" x14ac:dyDescent="0.25">
      <c r="A335" s="32"/>
      <c r="B335" s="21"/>
      <c r="C335" s="21"/>
      <c r="D335" s="6"/>
      <c r="E335" s="14"/>
      <c r="F335" s="6"/>
      <c r="G335" s="6"/>
      <c r="H335" s="17"/>
      <c r="I335" s="49">
        <f t="shared" si="10"/>
        <v>0</v>
      </c>
      <c r="J335" s="13"/>
      <c r="K335" s="7"/>
      <c r="L335" s="5">
        <f t="shared" si="11"/>
        <v>0</v>
      </c>
    </row>
    <row r="336" spans="1:12" x14ac:dyDescent="0.25">
      <c r="A336" s="32"/>
      <c r="B336" s="21"/>
      <c r="C336" s="21"/>
      <c r="D336" s="6"/>
      <c r="E336" s="14"/>
      <c r="F336" s="6"/>
      <c r="G336" s="6"/>
      <c r="H336" s="17"/>
      <c r="I336" s="49">
        <f t="shared" si="10"/>
        <v>0</v>
      </c>
      <c r="J336" s="13"/>
      <c r="K336" s="7"/>
      <c r="L336" s="5">
        <f t="shared" si="11"/>
        <v>0</v>
      </c>
    </row>
    <row r="337" spans="1:12" x14ac:dyDescent="0.25">
      <c r="A337" s="31"/>
      <c r="B337" s="21"/>
      <c r="C337" s="21"/>
      <c r="D337" s="6"/>
      <c r="E337" s="14"/>
      <c r="F337" s="6"/>
      <c r="G337" s="6"/>
      <c r="H337" s="17"/>
      <c r="I337" s="49">
        <f t="shared" si="10"/>
        <v>0</v>
      </c>
      <c r="J337" s="13"/>
      <c r="K337" s="7"/>
      <c r="L337" s="5">
        <f t="shared" si="11"/>
        <v>0</v>
      </c>
    </row>
    <row r="338" spans="1:12" x14ac:dyDescent="0.25">
      <c r="A338" s="31"/>
      <c r="B338" s="21"/>
      <c r="C338" s="21"/>
      <c r="D338" s="6"/>
      <c r="E338" s="14"/>
      <c r="F338" s="6"/>
      <c r="G338" s="6"/>
      <c r="H338" s="17"/>
      <c r="I338" s="49">
        <f t="shared" si="10"/>
        <v>0</v>
      </c>
      <c r="J338" s="13"/>
      <c r="K338" s="7"/>
      <c r="L338" s="5">
        <f t="shared" si="11"/>
        <v>0</v>
      </c>
    </row>
    <row r="339" spans="1:12" x14ac:dyDescent="0.25">
      <c r="A339" s="31"/>
      <c r="B339" s="21"/>
      <c r="C339" s="21"/>
      <c r="D339" s="6"/>
      <c r="E339" s="14"/>
      <c r="F339" s="6"/>
      <c r="G339" s="6"/>
      <c r="H339" s="17"/>
      <c r="I339" s="49">
        <f t="shared" si="10"/>
        <v>0</v>
      </c>
      <c r="J339" s="13"/>
      <c r="K339" s="7"/>
      <c r="L339" s="5">
        <f t="shared" si="11"/>
        <v>0</v>
      </c>
    </row>
    <row r="340" spans="1:12" x14ac:dyDescent="0.25">
      <c r="A340" s="31"/>
      <c r="B340" s="21"/>
      <c r="C340" s="21"/>
      <c r="D340" s="6"/>
      <c r="E340" s="14"/>
      <c r="F340" s="6"/>
      <c r="G340" s="6"/>
      <c r="H340" s="17"/>
      <c r="I340" s="49">
        <f t="shared" si="10"/>
        <v>0</v>
      </c>
      <c r="J340" s="13"/>
      <c r="K340" s="7"/>
      <c r="L340" s="5">
        <f t="shared" si="11"/>
        <v>0</v>
      </c>
    </row>
    <row r="341" spans="1:12" x14ac:dyDescent="0.25">
      <c r="A341" s="31"/>
      <c r="B341" s="21"/>
      <c r="C341" s="21"/>
      <c r="D341" s="6"/>
      <c r="E341" s="14"/>
      <c r="F341" s="6"/>
      <c r="G341" s="6"/>
      <c r="H341" s="17"/>
      <c r="I341" s="49">
        <f t="shared" si="10"/>
        <v>0</v>
      </c>
      <c r="J341" s="13"/>
      <c r="K341" s="7"/>
      <c r="L341" s="5">
        <f t="shared" si="11"/>
        <v>0</v>
      </c>
    </row>
    <row r="342" spans="1:12" x14ac:dyDescent="0.25">
      <c r="A342" s="32"/>
      <c r="B342" s="21"/>
      <c r="C342" s="21"/>
      <c r="D342" s="6"/>
      <c r="E342" s="14"/>
      <c r="F342" s="6"/>
      <c r="G342" s="6"/>
      <c r="H342" s="17"/>
      <c r="I342" s="49">
        <f t="shared" si="10"/>
        <v>0</v>
      </c>
      <c r="J342" s="13"/>
      <c r="K342" s="7"/>
      <c r="L342" s="5">
        <f t="shared" si="11"/>
        <v>0</v>
      </c>
    </row>
    <row r="343" spans="1:12" x14ac:dyDescent="0.25">
      <c r="A343" s="32"/>
      <c r="B343" s="21"/>
      <c r="C343" s="21"/>
      <c r="D343" s="6"/>
      <c r="E343" s="14"/>
      <c r="F343" s="6"/>
      <c r="G343" s="6"/>
      <c r="H343" s="17"/>
      <c r="I343" s="49">
        <f t="shared" si="10"/>
        <v>0</v>
      </c>
      <c r="J343" s="13"/>
      <c r="K343" s="7"/>
      <c r="L343" s="5">
        <f t="shared" si="11"/>
        <v>0</v>
      </c>
    </row>
    <row r="344" spans="1:12" x14ac:dyDescent="0.25">
      <c r="A344" s="32"/>
      <c r="B344" s="21"/>
      <c r="C344" s="21"/>
      <c r="D344" s="6"/>
      <c r="E344" s="14"/>
      <c r="F344" s="6"/>
      <c r="G344" s="6"/>
      <c r="H344" s="17"/>
      <c r="I344" s="49">
        <f t="shared" si="10"/>
        <v>0</v>
      </c>
      <c r="J344" s="13"/>
      <c r="K344" s="7"/>
      <c r="L344" s="5">
        <f t="shared" si="11"/>
        <v>0</v>
      </c>
    </row>
    <row r="345" spans="1:12" x14ac:dyDescent="0.25">
      <c r="A345" s="32"/>
      <c r="B345" s="21"/>
      <c r="C345" s="21"/>
      <c r="D345" s="6"/>
      <c r="E345" s="14"/>
      <c r="F345" s="6"/>
      <c r="G345" s="6"/>
      <c r="H345" s="17"/>
      <c r="I345" s="49">
        <f t="shared" si="10"/>
        <v>0</v>
      </c>
      <c r="J345" s="13"/>
      <c r="K345" s="7"/>
      <c r="L345" s="5">
        <f t="shared" si="11"/>
        <v>0</v>
      </c>
    </row>
    <row r="346" spans="1:12" x14ac:dyDescent="0.25">
      <c r="A346" s="32"/>
      <c r="B346" s="21"/>
      <c r="C346" s="21"/>
      <c r="D346" s="6"/>
      <c r="E346" s="14"/>
      <c r="F346" s="6"/>
      <c r="G346" s="6"/>
      <c r="H346" s="17"/>
      <c r="I346" s="49">
        <f t="shared" si="10"/>
        <v>0</v>
      </c>
      <c r="J346" s="13"/>
      <c r="K346" s="7"/>
      <c r="L346" s="5">
        <f t="shared" si="11"/>
        <v>0</v>
      </c>
    </row>
    <row r="347" spans="1:12" x14ac:dyDescent="0.25">
      <c r="A347" s="32"/>
      <c r="B347" s="21"/>
      <c r="C347" s="21"/>
      <c r="D347" s="6"/>
      <c r="E347" s="14"/>
      <c r="F347" s="6"/>
      <c r="G347" s="6"/>
      <c r="H347" s="17"/>
      <c r="I347" s="49">
        <f t="shared" si="10"/>
        <v>0</v>
      </c>
      <c r="J347" s="13"/>
      <c r="K347" s="7"/>
      <c r="L347" s="5">
        <f t="shared" si="11"/>
        <v>0</v>
      </c>
    </row>
    <row r="348" spans="1:12" x14ac:dyDescent="0.25">
      <c r="A348" s="32"/>
      <c r="B348" s="21"/>
      <c r="C348" s="21"/>
      <c r="D348" s="6"/>
      <c r="E348" s="14"/>
      <c r="F348" s="6"/>
      <c r="G348" s="6"/>
      <c r="H348" s="17"/>
      <c r="I348" s="49">
        <f t="shared" si="10"/>
        <v>0</v>
      </c>
      <c r="J348" s="13"/>
      <c r="K348" s="7"/>
      <c r="L348" s="5">
        <f t="shared" si="11"/>
        <v>0</v>
      </c>
    </row>
    <row r="349" spans="1:12" x14ac:dyDescent="0.25">
      <c r="A349" s="32"/>
      <c r="B349" s="21"/>
      <c r="C349" s="21"/>
      <c r="D349" s="6"/>
      <c r="E349" s="14"/>
      <c r="F349" s="6"/>
      <c r="G349" s="6"/>
      <c r="H349" s="17"/>
      <c r="I349" s="49">
        <f t="shared" si="10"/>
        <v>0</v>
      </c>
      <c r="J349" s="13"/>
      <c r="K349" s="7"/>
      <c r="L349" s="5">
        <f t="shared" si="11"/>
        <v>0</v>
      </c>
    </row>
    <row r="350" spans="1:12" x14ac:dyDescent="0.25">
      <c r="A350" s="32"/>
      <c r="B350" s="21"/>
      <c r="C350" s="21"/>
      <c r="D350" s="6"/>
      <c r="E350" s="14"/>
      <c r="F350" s="6"/>
      <c r="G350" s="6"/>
      <c r="H350" s="17"/>
      <c r="I350" s="49">
        <f t="shared" si="10"/>
        <v>0</v>
      </c>
      <c r="J350" s="13"/>
      <c r="K350" s="7"/>
      <c r="L350" s="5">
        <f t="shared" si="11"/>
        <v>0</v>
      </c>
    </row>
    <row r="351" spans="1:12" x14ac:dyDescent="0.25">
      <c r="A351" s="32"/>
      <c r="B351" s="21"/>
      <c r="C351" s="21"/>
      <c r="D351" s="6"/>
      <c r="E351" s="14"/>
      <c r="F351" s="6"/>
      <c r="G351" s="6"/>
      <c r="H351" s="17"/>
      <c r="I351" s="49">
        <f t="shared" si="10"/>
        <v>0</v>
      </c>
      <c r="J351" s="13"/>
      <c r="K351" s="7"/>
      <c r="L351" s="5">
        <f t="shared" si="11"/>
        <v>0</v>
      </c>
    </row>
    <row r="352" spans="1:12" x14ac:dyDescent="0.25">
      <c r="A352" s="32"/>
      <c r="B352" s="21"/>
      <c r="C352" s="21"/>
      <c r="D352" s="6"/>
      <c r="E352" s="14"/>
      <c r="F352" s="6"/>
      <c r="G352" s="6"/>
      <c r="H352" s="17"/>
      <c r="I352" s="49">
        <f t="shared" si="10"/>
        <v>0</v>
      </c>
      <c r="J352" s="13"/>
      <c r="K352" s="7"/>
      <c r="L352" s="5">
        <f t="shared" si="11"/>
        <v>0</v>
      </c>
    </row>
    <row r="353" spans="1:12" x14ac:dyDescent="0.25">
      <c r="A353" s="31"/>
      <c r="B353" s="21"/>
      <c r="C353" s="21"/>
      <c r="D353" s="6"/>
      <c r="E353" s="14"/>
      <c r="F353" s="6"/>
      <c r="G353" s="6"/>
      <c r="H353" s="17"/>
      <c r="I353" s="49">
        <f t="shared" si="10"/>
        <v>0</v>
      </c>
      <c r="J353" s="13"/>
      <c r="K353" s="7"/>
      <c r="L353" s="5">
        <f t="shared" si="11"/>
        <v>0</v>
      </c>
    </row>
    <row r="354" spans="1:12" x14ac:dyDescent="0.25">
      <c r="A354" s="31"/>
      <c r="B354" s="21"/>
      <c r="C354" s="21"/>
      <c r="D354" s="6"/>
      <c r="E354" s="14"/>
      <c r="F354" s="6"/>
      <c r="G354" s="6"/>
      <c r="H354" s="17"/>
      <c r="I354" s="49">
        <f t="shared" si="10"/>
        <v>0</v>
      </c>
      <c r="J354" s="13"/>
      <c r="K354" s="7"/>
      <c r="L354" s="5">
        <f t="shared" si="11"/>
        <v>0</v>
      </c>
    </row>
    <row r="355" spans="1:12" x14ac:dyDescent="0.25">
      <c r="A355" s="31"/>
      <c r="B355" s="21"/>
      <c r="C355" s="21"/>
      <c r="D355" s="6"/>
      <c r="E355" s="14"/>
      <c r="F355" s="6"/>
      <c r="G355" s="6"/>
      <c r="H355" s="17"/>
      <c r="I355" s="49">
        <f t="shared" si="10"/>
        <v>0</v>
      </c>
      <c r="J355" s="13"/>
      <c r="K355" s="7"/>
      <c r="L355" s="5">
        <f t="shared" si="11"/>
        <v>0</v>
      </c>
    </row>
    <row r="356" spans="1:12" x14ac:dyDescent="0.25">
      <c r="A356" s="31"/>
      <c r="B356" s="21"/>
      <c r="C356" s="21"/>
      <c r="D356" s="6"/>
      <c r="E356" s="14"/>
      <c r="F356" s="6"/>
      <c r="G356" s="6"/>
      <c r="H356" s="17"/>
      <c r="I356" s="49">
        <f t="shared" si="10"/>
        <v>0</v>
      </c>
      <c r="J356" s="13"/>
      <c r="K356" s="7"/>
      <c r="L356" s="5">
        <f t="shared" si="11"/>
        <v>0</v>
      </c>
    </row>
    <row r="357" spans="1:12" x14ac:dyDescent="0.25">
      <c r="A357" s="31"/>
      <c r="B357" s="21"/>
      <c r="C357" s="21"/>
      <c r="D357" s="6"/>
      <c r="E357" s="14"/>
      <c r="F357" s="6"/>
      <c r="G357" s="6"/>
      <c r="H357" s="17"/>
      <c r="I357" s="49">
        <f t="shared" si="10"/>
        <v>0</v>
      </c>
      <c r="J357" s="13"/>
      <c r="K357" s="7"/>
      <c r="L357" s="5">
        <f t="shared" si="11"/>
        <v>0</v>
      </c>
    </row>
    <row r="358" spans="1:12" x14ac:dyDescent="0.25">
      <c r="A358" s="31"/>
      <c r="B358" s="21"/>
      <c r="C358" s="21"/>
      <c r="D358" s="6"/>
      <c r="E358" s="14"/>
      <c r="F358" s="6"/>
      <c r="G358" s="6"/>
      <c r="H358" s="17"/>
      <c r="I358" s="49">
        <f t="shared" si="10"/>
        <v>0</v>
      </c>
      <c r="J358" s="13"/>
      <c r="K358" s="7"/>
      <c r="L358" s="5">
        <f t="shared" si="11"/>
        <v>0</v>
      </c>
    </row>
    <row r="359" spans="1:12" x14ac:dyDescent="0.25">
      <c r="A359" s="31"/>
      <c r="B359" s="21"/>
      <c r="C359" s="21"/>
      <c r="D359" s="6"/>
      <c r="E359" s="14"/>
      <c r="F359" s="6"/>
      <c r="G359" s="6"/>
      <c r="H359" s="17"/>
      <c r="I359" s="49">
        <f t="shared" si="10"/>
        <v>0</v>
      </c>
      <c r="J359" s="13"/>
      <c r="K359" s="7"/>
      <c r="L359" s="5">
        <f t="shared" si="11"/>
        <v>0</v>
      </c>
    </row>
    <row r="360" spans="1:12" x14ac:dyDescent="0.25">
      <c r="A360" s="31"/>
      <c r="B360" s="21"/>
      <c r="C360" s="21"/>
      <c r="D360" s="6"/>
      <c r="E360" s="14"/>
      <c r="F360" s="6"/>
      <c r="G360" s="6"/>
      <c r="H360" s="17"/>
      <c r="I360" s="49">
        <f t="shared" si="10"/>
        <v>0</v>
      </c>
      <c r="J360" s="13"/>
      <c r="K360" s="7"/>
      <c r="L360" s="5">
        <f t="shared" si="11"/>
        <v>0</v>
      </c>
    </row>
    <row r="361" spans="1:12" x14ac:dyDescent="0.25">
      <c r="A361" s="31"/>
      <c r="B361" s="21"/>
      <c r="C361" s="21"/>
      <c r="D361" s="6"/>
      <c r="E361" s="14"/>
      <c r="F361" s="6"/>
      <c r="G361" s="6"/>
      <c r="H361" s="17"/>
      <c r="I361" s="49">
        <f t="shared" si="10"/>
        <v>0</v>
      </c>
      <c r="J361" s="13"/>
      <c r="K361" s="7"/>
      <c r="L361" s="5">
        <f t="shared" si="11"/>
        <v>0</v>
      </c>
    </row>
    <row r="362" spans="1:12" x14ac:dyDescent="0.25">
      <c r="A362" s="31"/>
      <c r="B362" s="21"/>
      <c r="C362" s="21"/>
      <c r="D362" s="6"/>
      <c r="E362" s="14"/>
      <c r="F362" s="6"/>
      <c r="G362" s="6"/>
      <c r="H362" s="17"/>
      <c r="I362" s="49">
        <f t="shared" si="10"/>
        <v>0</v>
      </c>
      <c r="J362" s="13"/>
      <c r="K362" s="7"/>
      <c r="L362" s="5">
        <f t="shared" si="11"/>
        <v>0</v>
      </c>
    </row>
    <row r="363" spans="1:12" x14ac:dyDescent="0.25">
      <c r="A363" s="31"/>
      <c r="B363" s="21"/>
      <c r="C363" s="21"/>
      <c r="D363" s="6"/>
      <c r="E363" s="14"/>
      <c r="F363" s="6"/>
      <c r="G363" s="6"/>
      <c r="H363" s="17"/>
      <c r="I363" s="49">
        <f t="shared" si="10"/>
        <v>0</v>
      </c>
      <c r="J363" s="13"/>
      <c r="K363" s="7"/>
      <c r="L363" s="5">
        <f t="shared" si="11"/>
        <v>0</v>
      </c>
    </row>
    <row r="364" spans="1:12" x14ac:dyDescent="0.25">
      <c r="A364" s="31"/>
      <c r="B364" s="21"/>
      <c r="C364" s="21"/>
      <c r="D364" s="6"/>
      <c r="E364" s="14"/>
      <c r="F364" s="6"/>
      <c r="G364" s="6"/>
      <c r="H364" s="17"/>
      <c r="I364" s="49">
        <f t="shared" si="10"/>
        <v>0</v>
      </c>
      <c r="J364" s="13"/>
      <c r="K364" s="7"/>
      <c r="L364" s="5">
        <f t="shared" si="11"/>
        <v>0</v>
      </c>
    </row>
    <row r="365" spans="1:12" x14ac:dyDescent="0.25">
      <c r="A365" s="31"/>
      <c r="B365" s="21"/>
      <c r="C365" s="21"/>
      <c r="D365" s="6"/>
      <c r="E365" s="14"/>
      <c r="F365" s="6"/>
      <c r="G365" s="6"/>
      <c r="H365" s="17"/>
      <c r="I365" s="49">
        <f t="shared" si="10"/>
        <v>0</v>
      </c>
      <c r="J365" s="13"/>
      <c r="K365" s="7"/>
      <c r="L365" s="5">
        <f t="shared" si="11"/>
        <v>0</v>
      </c>
    </row>
    <row r="366" spans="1:12" x14ac:dyDescent="0.25">
      <c r="A366" s="31"/>
      <c r="B366" s="21"/>
      <c r="C366" s="21"/>
      <c r="D366" s="6"/>
      <c r="E366" s="14"/>
      <c r="F366" s="6"/>
      <c r="G366" s="6"/>
      <c r="H366" s="17"/>
      <c r="I366" s="49">
        <f t="shared" si="10"/>
        <v>0</v>
      </c>
      <c r="J366" s="13"/>
      <c r="K366" s="7"/>
      <c r="L366" s="5">
        <f t="shared" si="11"/>
        <v>0</v>
      </c>
    </row>
    <row r="367" spans="1:12" x14ac:dyDescent="0.25">
      <c r="A367" s="31"/>
      <c r="B367" s="21"/>
      <c r="C367" s="21"/>
      <c r="D367" s="6"/>
      <c r="E367" s="14"/>
      <c r="F367" s="6"/>
      <c r="G367" s="6"/>
      <c r="H367" s="17"/>
      <c r="I367" s="49">
        <f t="shared" si="10"/>
        <v>0</v>
      </c>
      <c r="J367" s="13"/>
      <c r="K367" s="7"/>
      <c r="L367" s="5">
        <f t="shared" si="11"/>
        <v>0</v>
      </c>
    </row>
    <row r="368" spans="1:12" x14ac:dyDescent="0.25">
      <c r="A368" s="31"/>
      <c r="B368" s="21"/>
      <c r="C368" s="21"/>
      <c r="D368" s="6"/>
      <c r="E368" s="14"/>
      <c r="F368" s="6"/>
      <c r="G368" s="6"/>
      <c r="H368" s="17"/>
      <c r="I368" s="49">
        <f t="shared" si="10"/>
        <v>0</v>
      </c>
      <c r="J368" s="13"/>
      <c r="K368" s="7"/>
      <c r="L368" s="5">
        <f t="shared" si="11"/>
        <v>0</v>
      </c>
    </row>
    <row r="369" spans="1:12" x14ac:dyDescent="0.25">
      <c r="A369" s="31"/>
      <c r="B369" s="21"/>
      <c r="C369" s="21"/>
      <c r="D369" s="6"/>
      <c r="E369" s="14"/>
      <c r="F369" s="6"/>
      <c r="G369" s="6"/>
      <c r="H369" s="17"/>
      <c r="I369" s="49">
        <f t="shared" si="10"/>
        <v>0</v>
      </c>
      <c r="J369" s="13"/>
      <c r="K369" s="7"/>
      <c r="L369" s="5">
        <f t="shared" si="11"/>
        <v>0</v>
      </c>
    </row>
    <row r="370" spans="1:12" x14ac:dyDescent="0.25">
      <c r="A370" s="31"/>
      <c r="B370" s="21"/>
      <c r="C370" s="21"/>
      <c r="D370" s="6"/>
      <c r="E370" s="14"/>
      <c r="F370" s="6"/>
      <c r="G370" s="6"/>
      <c r="H370" s="17"/>
      <c r="I370" s="49">
        <f t="shared" si="10"/>
        <v>0</v>
      </c>
      <c r="J370" s="13"/>
      <c r="K370" s="7"/>
      <c r="L370" s="5">
        <f t="shared" si="11"/>
        <v>0</v>
      </c>
    </row>
    <row r="371" spans="1:12" x14ac:dyDescent="0.25">
      <c r="A371" s="31"/>
      <c r="B371" s="21"/>
      <c r="C371" s="21"/>
      <c r="D371" s="6"/>
      <c r="E371" s="14"/>
      <c r="F371" s="6"/>
      <c r="G371" s="6"/>
      <c r="H371" s="17"/>
      <c r="I371" s="49">
        <f t="shared" si="10"/>
        <v>0</v>
      </c>
      <c r="J371" s="13"/>
      <c r="K371" s="7"/>
      <c r="L371" s="5">
        <f t="shared" si="11"/>
        <v>0</v>
      </c>
    </row>
    <row r="372" spans="1:12" x14ac:dyDescent="0.25">
      <c r="A372" s="31"/>
      <c r="B372" s="21"/>
      <c r="C372" s="21"/>
      <c r="D372" s="6"/>
      <c r="E372" s="14"/>
      <c r="F372" s="6"/>
      <c r="G372" s="6"/>
      <c r="H372" s="17"/>
      <c r="I372" s="49">
        <f t="shared" si="10"/>
        <v>0</v>
      </c>
      <c r="J372" s="13"/>
      <c r="K372" s="7"/>
      <c r="L372" s="5">
        <f t="shared" si="11"/>
        <v>0</v>
      </c>
    </row>
    <row r="373" spans="1:12" x14ac:dyDescent="0.25">
      <c r="A373" s="31"/>
      <c r="B373" s="21"/>
      <c r="C373" s="21"/>
      <c r="D373" s="6"/>
      <c r="E373" s="14"/>
      <c r="F373" s="6"/>
      <c r="G373" s="6"/>
      <c r="H373" s="17"/>
      <c r="I373" s="49">
        <f t="shared" si="10"/>
        <v>0</v>
      </c>
      <c r="J373" s="13"/>
      <c r="K373" s="7"/>
      <c r="L373" s="5">
        <f t="shared" si="11"/>
        <v>0</v>
      </c>
    </row>
    <row r="374" spans="1:12" x14ac:dyDescent="0.25">
      <c r="A374" s="31"/>
      <c r="B374" s="21"/>
      <c r="C374" s="21"/>
      <c r="D374" s="6"/>
      <c r="E374" s="14"/>
      <c r="F374" s="6"/>
      <c r="G374" s="6"/>
      <c r="H374" s="17"/>
      <c r="I374" s="49">
        <f t="shared" si="10"/>
        <v>0</v>
      </c>
      <c r="J374" s="13"/>
      <c r="K374" s="7"/>
      <c r="L374" s="5">
        <f t="shared" si="11"/>
        <v>0</v>
      </c>
    </row>
    <row r="375" spans="1:12" x14ac:dyDescent="0.25">
      <c r="A375" s="31"/>
      <c r="B375" s="21"/>
      <c r="C375" s="21"/>
      <c r="D375" s="6"/>
      <c r="E375" s="14"/>
      <c r="F375" s="6"/>
      <c r="G375" s="6"/>
      <c r="H375" s="17"/>
      <c r="I375" s="49">
        <f t="shared" si="10"/>
        <v>0</v>
      </c>
      <c r="J375" s="13"/>
      <c r="K375" s="7"/>
      <c r="L375" s="5">
        <f t="shared" si="11"/>
        <v>0</v>
      </c>
    </row>
    <row r="376" spans="1:12" x14ac:dyDescent="0.25">
      <c r="A376" s="31"/>
      <c r="B376" s="21"/>
      <c r="C376" s="21"/>
      <c r="D376" s="6"/>
      <c r="E376" s="14"/>
      <c r="F376" s="6"/>
      <c r="G376" s="6"/>
      <c r="H376" s="17"/>
      <c r="I376" s="49">
        <f t="shared" si="10"/>
        <v>0</v>
      </c>
      <c r="J376" s="13"/>
      <c r="K376" s="7"/>
      <c r="L376" s="5">
        <f t="shared" si="11"/>
        <v>0</v>
      </c>
    </row>
    <row r="377" spans="1:12" x14ac:dyDescent="0.25">
      <c r="A377" s="31"/>
      <c r="B377" s="21"/>
      <c r="C377" s="21"/>
      <c r="D377" s="6"/>
      <c r="E377" s="14"/>
      <c r="F377" s="6"/>
      <c r="G377" s="6"/>
      <c r="H377" s="17"/>
      <c r="I377" s="49">
        <f t="shared" si="10"/>
        <v>0</v>
      </c>
      <c r="J377" s="13"/>
      <c r="K377" s="7"/>
      <c r="L377" s="5">
        <f t="shared" si="11"/>
        <v>0</v>
      </c>
    </row>
    <row r="378" spans="1:12" x14ac:dyDescent="0.25">
      <c r="A378" s="31"/>
      <c r="B378" s="21"/>
      <c r="C378" s="21"/>
      <c r="D378" s="6"/>
      <c r="E378" s="14"/>
      <c r="F378" s="6"/>
      <c r="G378" s="6"/>
      <c r="H378" s="17"/>
      <c r="I378" s="49">
        <f t="shared" si="10"/>
        <v>0</v>
      </c>
      <c r="J378" s="13"/>
      <c r="K378" s="7"/>
      <c r="L378" s="5">
        <f t="shared" si="11"/>
        <v>0</v>
      </c>
    </row>
    <row r="379" spans="1:12" x14ac:dyDescent="0.25">
      <c r="A379" s="31"/>
      <c r="B379" s="21"/>
      <c r="C379" s="21"/>
      <c r="D379" s="6"/>
      <c r="E379" s="14"/>
      <c r="F379" s="6"/>
      <c r="G379" s="6"/>
      <c r="H379" s="17"/>
      <c r="I379" s="49">
        <f t="shared" si="10"/>
        <v>0</v>
      </c>
      <c r="J379" s="13"/>
      <c r="K379" s="7"/>
      <c r="L379" s="5">
        <f t="shared" si="11"/>
        <v>0</v>
      </c>
    </row>
    <row r="380" spans="1:12" x14ac:dyDescent="0.25">
      <c r="A380" s="31"/>
      <c r="B380" s="21"/>
      <c r="C380" s="21"/>
      <c r="D380" s="6"/>
      <c r="E380" s="14"/>
      <c r="F380" s="6"/>
      <c r="G380" s="6"/>
      <c r="H380" s="17"/>
      <c r="I380" s="49">
        <f t="shared" si="10"/>
        <v>0</v>
      </c>
      <c r="J380" s="13"/>
      <c r="K380" s="7"/>
      <c r="L380" s="5">
        <f t="shared" si="11"/>
        <v>0</v>
      </c>
    </row>
    <row r="381" spans="1:12" x14ac:dyDescent="0.25">
      <c r="A381" s="31"/>
      <c r="B381" s="21"/>
      <c r="C381" s="21"/>
      <c r="D381" s="6"/>
      <c r="E381" s="14"/>
      <c r="F381" s="6"/>
      <c r="G381" s="6"/>
      <c r="H381" s="17"/>
      <c r="I381" s="49">
        <f t="shared" si="10"/>
        <v>0</v>
      </c>
      <c r="J381" s="13"/>
      <c r="K381" s="7"/>
      <c r="L381" s="5">
        <f t="shared" si="11"/>
        <v>0</v>
      </c>
    </row>
    <row r="382" spans="1:12" x14ac:dyDescent="0.25">
      <c r="A382" s="31"/>
      <c r="B382" s="21"/>
      <c r="C382" s="21"/>
      <c r="D382" s="6"/>
      <c r="E382" s="14"/>
      <c r="F382" s="6"/>
      <c r="G382" s="6"/>
      <c r="H382" s="17"/>
      <c r="I382" s="49">
        <f t="shared" si="10"/>
        <v>0</v>
      </c>
      <c r="J382" s="13"/>
      <c r="K382" s="7"/>
      <c r="L382" s="5">
        <f t="shared" si="11"/>
        <v>0</v>
      </c>
    </row>
    <row r="383" spans="1:12" x14ac:dyDescent="0.25">
      <c r="A383" s="31"/>
      <c r="B383" s="21"/>
      <c r="C383" s="21"/>
      <c r="D383" s="6"/>
      <c r="E383" s="14"/>
      <c r="F383" s="6"/>
      <c r="G383" s="6"/>
      <c r="H383" s="17"/>
      <c r="I383" s="49">
        <f t="shared" si="10"/>
        <v>0</v>
      </c>
      <c r="J383" s="13"/>
      <c r="K383" s="7"/>
      <c r="L383" s="5">
        <f t="shared" si="11"/>
        <v>0</v>
      </c>
    </row>
    <row r="384" spans="1:12" x14ac:dyDescent="0.25">
      <c r="A384" s="31"/>
      <c r="B384" s="21"/>
      <c r="C384" s="21"/>
      <c r="D384" s="6"/>
      <c r="E384" s="14"/>
      <c r="F384" s="6"/>
      <c r="G384" s="6"/>
      <c r="H384" s="17"/>
      <c r="I384" s="49">
        <f t="shared" si="10"/>
        <v>0</v>
      </c>
      <c r="J384" s="13"/>
      <c r="K384" s="7"/>
      <c r="L384" s="5">
        <f t="shared" si="11"/>
        <v>0</v>
      </c>
    </row>
    <row r="385" spans="1:12" x14ac:dyDescent="0.25">
      <c r="A385" s="31"/>
      <c r="B385" s="21"/>
      <c r="C385" s="21"/>
      <c r="D385" s="6"/>
      <c r="E385" s="14"/>
      <c r="F385" s="6"/>
      <c r="G385" s="6"/>
      <c r="H385" s="17"/>
      <c r="I385" s="49">
        <f t="shared" si="10"/>
        <v>0</v>
      </c>
      <c r="J385" s="13"/>
      <c r="K385" s="7"/>
      <c r="L385" s="5">
        <f t="shared" si="11"/>
        <v>0</v>
      </c>
    </row>
    <row r="386" spans="1:12" x14ac:dyDescent="0.25">
      <c r="A386" s="31"/>
      <c r="B386" s="21"/>
      <c r="C386" s="21"/>
      <c r="D386" s="6"/>
      <c r="E386" s="14"/>
      <c r="F386" s="6"/>
      <c r="G386" s="6"/>
      <c r="H386" s="17"/>
      <c r="I386" s="49">
        <f t="shared" si="10"/>
        <v>0</v>
      </c>
      <c r="J386" s="13"/>
      <c r="K386" s="7"/>
      <c r="L386" s="5">
        <f t="shared" si="11"/>
        <v>0</v>
      </c>
    </row>
    <row r="387" spans="1:12" x14ac:dyDescent="0.25">
      <c r="A387" s="31"/>
      <c r="B387" s="21"/>
      <c r="C387" s="21"/>
      <c r="D387" s="6"/>
      <c r="E387" s="14"/>
      <c r="F387" s="6"/>
      <c r="G387" s="6"/>
      <c r="H387" s="17"/>
      <c r="I387" s="49">
        <f t="shared" si="10"/>
        <v>0</v>
      </c>
      <c r="J387" s="13"/>
      <c r="K387" s="7"/>
      <c r="L387" s="5">
        <f t="shared" si="11"/>
        <v>0</v>
      </c>
    </row>
    <row r="388" spans="1:12" x14ac:dyDescent="0.25">
      <c r="A388" s="31"/>
      <c r="B388" s="21"/>
      <c r="C388" s="21"/>
      <c r="D388" s="6"/>
      <c r="E388" s="14"/>
      <c r="F388" s="6"/>
      <c r="G388" s="6"/>
      <c r="H388" s="17"/>
      <c r="I388" s="49">
        <f t="shared" si="10"/>
        <v>0</v>
      </c>
      <c r="J388" s="13"/>
      <c r="K388" s="7"/>
      <c r="L388" s="5">
        <f t="shared" si="11"/>
        <v>0</v>
      </c>
    </row>
    <row r="389" spans="1:12" x14ac:dyDescent="0.25">
      <c r="A389" s="31"/>
      <c r="B389" s="21"/>
      <c r="C389" s="21"/>
      <c r="D389" s="6"/>
      <c r="E389" s="14"/>
      <c r="F389" s="6"/>
      <c r="G389" s="6"/>
      <c r="H389" s="17"/>
      <c r="I389" s="49">
        <f t="shared" si="10"/>
        <v>0</v>
      </c>
      <c r="J389" s="13"/>
      <c r="K389" s="7"/>
      <c r="L389" s="5">
        <f t="shared" si="11"/>
        <v>0</v>
      </c>
    </row>
    <row r="390" spans="1:12" x14ac:dyDescent="0.25">
      <c r="A390" s="31"/>
      <c r="B390" s="21"/>
      <c r="C390" s="21"/>
      <c r="D390" s="6"/>
      <c r="E390" s="14"/>
      <c r="F390" s="6"/>
      <c r="G390" s="6"/>
      <c r="H390" s="17"/>
      <c r="I390" s="49">
        <f t="shared" si="10"/>
        <v>0</v>
      </c>
      <c r="J390" s="13"/>
      <c r="K390" s="7"/>
      <c r="L390" s="5">
        <f t="shared" si="11"/>
        <v>0</v>
      </c>
    </row>
    <row r="391" spans="1:12" x14ac:dyDescent="0.25">
      <c r="A391" s="31"/>
      <c r="B391" s="21"/>
      <c r="C391" s="21"/>
      <c r="D391" s="6"/>
      <c r="E391" s="14"/>
      <c r="F391" s="6"/>
      <c r="G391" s="6"/>
      <c r="H391" s="17"/>
      <c r="I391" s="49">
        <f t="shared" ref="I391:I454" si="12">F391*H391</f>
        <v>0</v>
      </c>
      <c r="J391" s="13"/>
      <c r="K391" s="7"/>
      <c r="L391" s="5">
        <f t="shared" ref="L391:L454" si="13">+I391+J391-K391</f>
        <v>0</v>
      </c>
    </row>
    <row r="392" spans="1:12" x14ac:dyDescent="0.25">
      <c r="A392" s="31"/>
      <c r="B392" s="21"/>
      <c r="C392" s="21"/>
      <c r="D392" s="6"/>
      <c r="E392" s="14"/>
      <c r="F392" s="6"/>
      <c r="G392" s="6"/>
      <c r="H392" s="17"/>
      <c r="I392" s="49">
        <f t="shared" si="12"/>
        <v>0</v>
      </c>
      <c r="J392" s="13"/>
      <c r="K392" s="7"/>
      <c r="L392" s="5">
        <f t="shared" si="13"/>
        <v>0</v>
      </c>
    </row>
    <row r="393" spans="1:12" x14ac:dyDescent="0.25">
      <c r="A393" s="31"/>
      <c r="B393" s="21"/>
      <c r="C393" s="21"/>
      <c r="D393" s="6"/>
      <c r="E393" s="14"/>
      <c r="F393" s="6"/>
      <c r="G393" s="6"/>
      <c r="H393" s="17"/>
      <c r="I393" s="49">
        <f t="shared" si="12"/>
        <v>0</v>
      </c>
      <c r="J393" s="13"/>
      <c r="K393" s="7"/>
      <c r="L393" s="5">
        <f t="shared" si="13"/>
        <v>0</v>
      </c>
    </row>
    <row r="394" spans="1:12" x14ac:dyDescent="0.25">
      <c r="A394" s="31"/>
      <c r="B394" s="21"/>
      <c r="C394" s="21"/>
      <c r="D394" s="6"/>
      <c r="E394" s="14"/>
      <c r="F394" s="6"/>
      <c r="G394" s="6"/>
      <c r="H394" s="17"/>
      <c r="I394" s="49">
        <f t="shared" si="12"/>
        <v>0</v>
      </c>
      <c r="J394" s="13"/>
      <c r="K394" s="7"/>
      <c r="L394" s="5">
        <f t="shared" si="13"/>
        <v>0</v>
      </c>
    </row>
    <row r="395" spans="1:12" x14ac:dyDescent="0.25">
      <c r="A395" s="31"/>
      <c r="B395" s="21"/>
      <c r="C395" s="21"/>
      <c r="D395" s="6"/>
      <c r="E395" s="14"/>
      <c r="F395" s="6"/>
      <c r="G395" s="6"/>
      <c r="H395" s="17"/>
      <c r="I395" s="49">
        <f t="shared" si="12"/>
        <v>0</v>
      </c>
      <c r="J395" s="13"/>
      <c r="K395" s="7"/>
      <c r="L395" s="5">
        <f t="shared" si="13"/>
        <v>0</v>
      </c>
    </row>
    <row r="396" spans="1:12" x14ac:dyDescent="0.25">
      <c r="A396" s="31"/>
      <c r="B396" s="21"/>
      <c r="C396" s="21"/>
      <c r="D396" s="6"/>
      <c r="E396" s="14"/>
      <c r="F396" s="6"/>
      <c r="G396" s="6"/>
      <c r="H396" s="17"/>
      <c r="I396" s="49">
        <f t="shared" si="12"/>
        <v>0</v>
      </c>
      <c r="J396" s="13"/>
      <c r="K396" s="7"/>
      <c r="L396" s="5">
        <f t="shared" si="13"/>
        <v>0</v>
      </c>
    </row>
    <row r="397" spans="1:12" x14ac:dyDescent="0.25">
      <c r="A397" s="31"/>
      <c r="B397" s="21"/>
      <c r="C397" s="21"/>
      <c r="D397" s="6"/>
      <c r="E397" s="14"/>
      <c r="F397" s="6"/>
      <c r="G397" s="6"/>
      <c r="H397" s="17"/>
      <c r="I397" s="49">
        <f t="shared" si="12"/>
        <v>0</v>
      </c>
      <c r="J397" s="13"/>
      <c r="K397" s="7"/>
      <c r="L397" s="5">
        <f t="shared" si="13"/>
        <v>0</v>
      </c>
    </row>
    <row r="398" spans="1:12" x14ac:dyDescent="0.25">
      <c r="A398" s="31"/>
      <c r="B398" s="21"/>
      <c r="C398" s="21"/>
      <c r="D398" s="6"/>
      <c r="E398" s="14"/>
      <c r="F398" s="6"/>
      <c r="G398" s="6"/>
      <c r="H398" s="17"/>
      <c r="I398" s="49">
        <f t="shared" si="12"/>
        <v>0</v>
      </c>
      <c r="J398" s="13"/>
      <c r="K398" s="7"/>
      <c r="L398" s="5">
        <f t="shared" si="13"/>
        <v>0</v>
      </c>
    </row>
    <row r="399" spans="1:12" x14ac:dyDescent="0.25">
      <c r="A399" s="31"/>
      <c r="B399" s="21"/>
      <c r="C399" s="21"/>
      <c r="D399" s="6"/>
      <c r="E399" s="14"/>
      <c r="F399" s="6"/>
      <c r="G399" s="6"/>
      <c r="H399" s="17"/>
      <c r="I399" s="49">
        <f t="shared" si="12"/>
        <v>0</v>
      </c>
      <c r="J399" s="13"/>
      <c r="K399" s="7"/>
      <c r="L399" s="5">
        <f t="shared" si="13"/>
        <v>0</v>
      </c>
    </row>
    <row r="400" spans="1:12" x14ac:dyDescent="0.25">
      <c r="A400" s="31"/>
      <c r="B400" s="21"/>
      <c r="C400" s="21"/>
      <c r="D400" s="6"/>
      <c r="E400" s="14"/>
      <c r="F400" s="6"/>
      <c r="G400" s="6"/>
      <c r="H400" s="17"/>
      <c r="I400" s="49">
        <f t="shared" si="12"/>
        <v>0</v>
      </c>
      <c r="J400" s="13"/>
      <c r="K400" s="7"/>
      <c r="L400" s="5">
        <f t="shared" si="13"/>
        <v>0</v>
      </c>
    </row>
    <row r="401" spans="1:12" x14ac:dyDescent="0.25">
      <c r="A401" s="31"/>
      <c r="B401" s="21"/>
      <c r="C401" s="21"/>
      <c r="D401" s="6"/>
      <c r="E401" s="14"/>
      <c r="F401" s="6"/>
      <c r="G401" s="6"/>
      <c r="H401" s="17"/>
      <c r="I401" s="49">
        <f t="shared" si="12"/>
        <v>0</v>
      </c>
      <c r="J401" s="13"/>
      <c r="K401" s="7"/>
      <c r="L401" s="5">
        <f t="shared" si="13"/>
        <v>0</v>
      </c>
    </row>
    <row r="402" spans="1:12" x14ac:dyDescent="0.25">
      <c r="A402" s="31"/>
      <c r="B402" s="21"/>
      <c r="C402" s="21"/>
      <c r="D402" s="6"/>
      <c r="E402" s="14"/>
      <c r="F402" s="6"/>
      <c r="G402" s="6"/>
      <c r="H402" s="17"/>
      <c r="I402" s="49">
        <f t="shared" si="12"/>
        <v>0</v>
      </c>
      <c r="J402" s="13"/>
      <c r="K402" s="7"/>
      <c r="L402" s="5">
        <f t="shared" si="13"/>
        <v>0</v>
      </c>
    </row>
    <row r="403" spans="1:12" x14ac:dyDescent="0.25">
      <c r="A403" s="31"/>
      <c r="B403" s="21"/>
      <c r="C403" s="21"/>
      <c r="D403" s="6"/>
      <c r="E403" s="14"/>
      <c r="F403" s="6"/>
      <c r="G403" s="6"/>
      <c r="H403" s="17"/>
      <c r="I403" s="49">
        <f t="shared" si="12"/>
        <v>0</v>
      </c>
      <c r="J403" s="13"/>
      <c r="K403" s="7"/>
      <c r="L403" s="5">
        <f t="shared" si="13"/>
        <v>0</v>
      </c>
    </row>
    <row r="404" spans="1:12" x14ac:dyDescent="0.25">
      <c r="A404" s="31"/>
      <c r="B404" s="21"/>
      <c r="C404" s="21"/>
      <c r="D404" s="6"/>
      <c r="E404" s="14"/>
      <c r="F404" s="6"/>
      <c r="G404" s="6"/>
      <c r="H404" s="17"/>
      <c r="I404" s="49">
        <f t="shared" si="12"/>
        <v>0</v>
      </c>
      <c r="J404" s="13"/>
      <c r="K404" s="7"/>
      <c r="L404" s="5">
        <f t="shared" si="13"/>
        <v>0</v>
      </c>
    </row>
    <row r="405" spans="1:12" x14ac:dyDescent="0.25">
      <c r="A405" s="31"/>
      <c r="B405" s="21"/>
      <c r="C405" s="21"/>
      <c r="D405" s="6"/>
      <c r="E405" s="14"/>
      <c r="F405" s="6"/>
      <c r="G405" s="6"/>
      <c r="H405" s="17"/>
      <c r="I405" s="49">
        <f t="shared" si="12"/>
        <v>0</v>
      </c>
      <c r="J405" s="13"/>
      <c r="K405" s="7"/>
      <c r="L405" s="5">
        <f t="shared" si="13"/>
        <v>0</v>
      </c>
    </row>
    <row r="406" spans="1:12" x14ac:dyDescent="0.25">
      <c r="A406" s="31"/>
      <c r="B406" s="21"/>
      <c r="C406" s="21"/>
      <c r="D406" s="6"/>
      <c r="E406" s="14"/>
      <c r="F406" s="6"/>
      <c r="G406" s="6"/>
      <c r="H406" s="17"/>
      <c r="I406" s="49">
        <f t="shared" si="12"/>
        <v>0</v>
      </c>
      <c r="J406" s="13"/>
      <c r="K406" s="7"/>
      <c r="L406" s="5">
        <f t="shared" si="13"/>
        <v>0</v>
      </c>
    </row>
    <row r="407" spans="1:12" x14ac:dyDescent="0.25">
      <c r="A407" s="31"/>
      <c r="B407" s="21"/>
      <c r="C407" s="21"/>
      <c r="D407" s="6"/>
      <c r="E407" s="14"/>
      <c r="F407" s="6"/>
      <c r="G407" s="6"/>
      <c r="H407" s="17"/>
      <c r="I407" s="49">
        <f t="shared" si="12"/>
        <v>0</v>
      </c>
      <c r="J407" s="13"/>
      <c r="K407" s="7"/>
      <c r="L407" s="5">
        <f t="shared" si="13"/>
        <v>0</v>
      </c>
    </row>
    <row r="408" spans="1:12" x14ac:dyDescent="0.25">
      <c r="A408" s="31"/>
      <c r="B408" s="21"/>
      <c r="C408" s="21"/>
      <c r="D408" s="6"/>
      <c r="E408" s="14"/>
      <c r="F408" s="6"/>
      <c r="G408" s="6"/>
      <c r="H408" s="17"/>
      <c r="I408" s="49">
        <f t="shared" si="12"/>
        <v>0</v>
      </c>
      <c r="J408" s="13"/>
      <c r="K408" s="7"/>
      <c r="L408" s="5">
        <f t="shared" si="13"/>
        <v>0</v>
      </c>
    </row>
    <row r="409" spans="1:12" x14ac:dyDescent="0.25">
      <c r="A409" s="31"/>
      <c r="B409" s="21"/>
      <c r="C409" s="21"/>
      <c r="D409" s="6"/>
      <c r="E409" s="14"/>
      <c r="F409" s="6"/>
      <c r="G409" s="6"/>
      <c r="H409" s="17"/>
      <c r="I409" s="49">
        <f t="shared" si="12"/>
        <v>0</v>
      </c>
      <c r="J409" s="13"/>
      <c r="K409" s="7"/>
      <c r="L409" s="5">
        <f t="shared" si="13"/>
        <v>0</v>
      </c>
    </row>
    <row r="410" spans="1:12" x14ac:dyDescent="0.25">
      <c r="A410" s="31"/>
      <c r="B410" s="21"/>
      <c r="C410" s="21"/>
      <c r="D410" s="6"/>
      <c r="E410" s="14"/>
      <c r="F410" s="6"/>
      <c r="G410" s="6"/>
      <c r="H410" s="17"/>
      <c r="I410" s="49">
        <f t="shared" si="12"/>
        <v>0</v>
      </c>
      <c r="J410" s="13"/>
      <c r="K410" s="7"/>
      <c r="L410" s="5">
        <f t="shared" si="13"/>
        <v>0</v>
      </c>
    </row>
    <row r="411" spans="1:12" x14ac:dyDescent="0.25">
      <c r="A411" s="31"/>
      <c r="B411" s="21"/>
      <c r="C411" s="21"/>
      <c r="D411" s="6"/>
      <c r="E411" s="14"/>
      <c r="F411" s="6"/>
      <c r="G411" s="6"/>
      <c r="H411" s="17"/>
      <c r="I411" s="49">
        <f t="shared" si="12"/>
        <v>0</v>
      </c>
      <c r="J411" s="13"/>
      <c r="K411" s="7"/>
      <c r="L411" s="5">
        <f t="shared" si="13"/>
        <v>0</v>
      </c>
    </row>
    <row r="412" spans="1:12" x14ac:dyDescent="0.25">
      <c r="A412" s="31"/>
      <c r="B412" s="21"/>
      <c r="C412" s="21"/>
      <c r="D412" s="6"/>
      <c r="E412" s="14"/>
      <c r="F412" s="6"/>
      <c r="G412" s="6"/>
      <c r="H412" s="17"/>
      <c r="I412" s="49">
        <f t="shared" si="12"/>
        <v>0</v>
      </c>
      <c r="J412" s="13"/>
      <c r="K412" s="7"/>
      <c r="L412" s="5">
        <f t="shared" si="13"/>
        <v>0</v>
      </c>
    </row>
    <row r="413" spans="1:12" x14ac:dyDescent="0.25">
      <c r="A413" s="31"/>
      <c r="B413" s="21"/>
      <c r="C413" s="21"/>
      <c r="D413" s="6"/>
      <c r="E413" s="14"/>
      <c r="F413" s="6"/>
      <c r="G413" s="6"/>
      <c r="H413" s="17"/>
      <c r="I413" s="49">
        <f t="shared" si="12"/>
        <v>0</v>
      </c>
      <c r="J413" s="13"/>
      <c r="K413" s="7"/>
      <c r="L413" s="5">
        <f t="shared" si="13"/>
        <v>0</v>
      </c>
    </row>
    <row r="414" spans="1:12" x14ac:dyDescent="0.25">
      <c r="A414" s="31"/>
      <c r="B414" s="21"/>
      <c r="C414" s="21"/>
      <c r="D414" s="6"/>
      <c r="E414" s="14"/>
      <c r="F414" s="6"/>
      <c r="G414" s="6"/>
      <c r="H414" s="17"/>
      <c r="I414" s="49">
        <f t="shared" si="12"/>
        <v>0</v>
      </c>
      <c r="J414" s="13"/>
      <c r="K414" s="7"/>
      <c r="L414" s="5">
        <f t="shared" si="13"/>
        <v>0</v>
      </c>
    </row>
    <row r="415" spans="1:12" x14ac:dyDescent="0.25">
      <c r="A415" s="31"/>
      <c r="B415" s="21"/>
      <c r="C415" s="21"/>
      <c r="D415" s="6"/>
      <c r="E415" s="14"/>
      <c r="F415" s="6"/>
      <c r="G415" s="6"/>
      <c r="H415" s="17"/>
      <c r="I415" s="49">
        <f t="shared" si="12"/>
        <v>0</v>
      </c>
      <c r="J415" s="13"/>
      <c r="K415" s="7"/>
      <c r="L415" s="5">
        <f t="shared" si="13"/>
        <v>0</v>
      </c>
    </row>
    <row r="416" spans="1:12" x14ac:dyDescent="0.25">
      <c r="A416" s="31"/>
      <c r="B416" s="21"/>
      <c r="C416" s="21"/>
      <c r="D416" s="6"/>
      <c r="E416" s="14"/>
      <c r="F416" s="6"/>
      <c r="G416" s="6"/>
      <c r="H416" s="17"/>
      <c r="I416" s="49">
        <f t="shared" si="12"/>
        <v>0</v>
      </c>
      <c r="J416" s="13"/>
      <c r="K416" s="7"/>
      <c r="L416" s="5">
        <f t="shared" si="13"/>
        <v>0</v>
      </c>
    </row>
    <row r="417" spans="1:12" x14ac:dyDescent="0.25">
      <c r="A417" s="31"/>
      <c r="B417" s="21"/>
      <c r="C417" s="21"/>
      <c r="D417" s="6"/>
      <c r="E417" s="14"/>
      <c r="F417" s="6"/>
      <c r="G417" s="6"/>
      <c r="H417" s="17"/>
      <c r="I417" s="49">
        <f t="shared" si="12"/>
        <v>0</v>
      </c>
      <c r="J417" s="13"/>
      <c r="K417" s="7"/>
      <c r="L417" s="5">
        <f t="shared" si="13"/>
        <v>0</v>
      </c>
    </row>
    <row r="418" spans="1:12" x14ac:dyDescent="0.25">
      <c r="A418" s="31"/>
      <c r="B418" s="21"/>
      <c r="C418" s="21"/>
      <c r="D418" s="6"/>
      <c r="E418" s="14"/>
      <c r="F418" s="6"/>
      <c r="G418" s="6"/>
      <c r="H418" s="17"/>
      <c r="I418" s="49">
        <f t="shared" si="12"/>
        <v>0</v>
      </c>
      <c r="J418" s="13"/>
      <c r="K418" s="7"/>
      <c r="L418" s="5">
        <f t="shared" si="13"/>
        <v>0</v>
      </c>
    </row>
    <row r="419" spans="1:12" x14ac:dyDescent="0.25">
      <c r="A419" s="31"/>
      <c r="B419" s="21"/>
      <c r="C419" s="21"/>
      <c r="D419" s="6"/>
      <c r="E419" s="14"/>
      <c r="F419" s="6"/>
      <c r="G419" s="6"/>
      <c r="H419" s="17"/>
      <c r="I419" s="49">
        <f t="shared" si="12"/>
        <v>0</v>
      </c>
      <c r="J419" s="13"/>
      <c r="K419" s="7"/>
      <c r="L419" s="5">
        <f t="shared" si="13"/>
        <v>0</v>
      </c>
    </row>
    <row r="420" spans="1:12" x14ac:dyDescent="0.25">
      <c r="A420" s="31"/>
      <c r="B420" s="21"/>
      <c r="C420" s="21"/>
      <c r="D420" s="6"/>
      <c r="E420" s="14"/>
      <c r="F420" s="6"/>
      <c r="G420" s="6"/>
      <c r="H420" s="17"/>
      <c r="I420" s="49">
        <f t="shared" si="12"/>
        <v>0</v>
      </c>
      <c r="J420" s="13"/>
      <c r="K420" s="7"/>
      <c r="L420" s="5">
        <f t="shared" si="13"/>
        <v>0</v>
      </c>
    </row>
    <row r="421" spans="1:12" x14ac:dyDescent="0.25">
      <c r="A421" s="31"/>
      <c r="B421" s="21"/>
      <c r="C421" s="21"/>
      <c r="D421" s="6"/>
      <c r="E421" s="14"/>
      <c r="F421" s="6"/>
      <c r="G421" s="6"/>
      <c r="H421" s="17"/>
      <c r="I421" s="49">
        <f t="shared" si="12"/>
        <v>0</v>
      </c>
      <c r="J421" s="13"/>
      <c r="K421" s="7"/>
      <c r="L421" s="5">
        <f t="shared" si="13"/>
        <v>0</v>
      </c>
    </row>
    <row r="422" spans="1:12" x14ac:dyDescent="0.25">
      <c r="A422" s="31"/>
      <c r="B422" s="21"/>
      <c r="C422" s="21"/>
      <c r="D422" s="6"/>
      <c r="E422" s="14"/>
      <c r="F422" s="6"/>
      <c r="G422" s="6"/>
      <c r="H422" s="17"/>
      <c r="I422" s="49">
        <f t="shared" si="12"/>
        <v>0</v>
      </c>
      <c r="J422" s="13"/>
      <c r="K422" s="7"/>
      <c r="L422" s="5">
        <f t="shared" si="13"/>
        <v>0</v>
      </c>
    </row>
    <row r="423" spans="1:12" x14ac:dyDescent="0.25">
      <c r="A423" s="31"/>
      <c r="B423" s="21"/>
      <c r="C423" s="21"/>
      <c r="D423" s="6"/>
      <c r="E423" s="14"/>
      <c r="F423" s="6"/>
      <c r="G423" s="6"/>
      <c r="H423" s="17"/>
      <c r="I423" s="49">
        <f t="shared" si="12"/>
        <v>0</v>
      </c>
      <c r="J423" s="13"/>
      <c r="K423" s="7"/>
      <c r="L423" s="5">
        <f t="shared" si="13"/>
        <v>0</v>
      </c>
    </row>
    <row r="424" spans="1:12" x14ac:dyDescent="0.25">
      <c r="A424" s="31"/>
      <c r="B424" s="21"/>
      <c r="C424" s="21"/>
      <c r="D424" s="6"/>
      <c r="E424" s="14"/>
      <c r="F424" s="6"/>
      <c r="G424" s="6"/>
      <c r="H424" s="17"/>
      <c r="I424" s="49">
        <f t="shared" si="12"/>
        <v>0</v>
      </c>
      <c r="J424" s="13"/>
      <c r="K424" s="7"/>
      <c r="L424" s="5">
        <f t="shared" si="13"/>
        <v>0</v>
      </c>
    </row>
    <row r="425" spans="1:12" x14ac:dyDescent="0.25">
      <c r="A425" s="31"/>
      <c r="B425" s="21"/>
      <c r="C425" s="21"/>
      <c r="D425" s="6"/>
      <c r="E425" s="14"/>
      <c r="F425" s="6"/>
      <c r="G425" s="6"/>
      <c r="H425" s="17"/>
      <c r="I425" s="49">
        <f t="shared" si="12"/>
        <v>0</v>
      </c>
      <c r="J425" s="13"/>
      <c r="K425" s="7"/>
      <c r="L425" s="5">
        <f t="shared" si="13"/>
        <v>0</v>
      </c>
    </row>
    <row r="426" spans="1:12" x14ac:dyDescent="0.25">
      <c r="A426" s="31"/>
      <c r="B426" s="21"/>
      <c r="C426" s="21"/>
      <c r="D426" s="6"/>
      <c r="E426" s="14"/>
      <c r="F426" s="6"/>
      <c r="G426" s="6"/>
      <c r="H426" s="17"/>
      <c r="I426" s="49">
        <f t="shared" si="12"/>
        <v>0</v>
      </c>
      <c r="J426" s="13"/>
      <c r="K426" s="7"/>
      <c r="L426" s="5">
        <f t="shared" si="13"/>
        <v>0</v>
      </c>
    </row>
    <row r="427" spans="1:12" x14ac:dyDescent="0.25">
      <c r="A427" s="31"/>
      <c r="B427" s="21"/>
      <c r="C427" s="21"/>
      <c r="D427" s="6"/>
      <c r="E427" s="14"/>
      <c r="F427" s="6"/>
      <c r="G427" s="6"/>
      <c r="H427" s="17"/>
      <c r="I427" s="49">
        <f t="shared" si="12"/>
        <v>0</v>
      </c>
      <c r="J427" s="13"/>
      <c r="K427" s="7"/>
      <c r="L427" s="5">
        <f t="shared" si="13"/>
        <v>0</v>
      </c>
    </row>
    <row r="428" spans="1:12" x14ac:dyDescent="0.25">
      <c r="A428" s="31"/>
      <c r="B428" s="21"/>
      <c r="C428" s="21"/>
      <c r="D428" s="6"/>
      <c r="E428" s="14"/>
      <c r="F428" s="6"/>
      <c r="G428" s="6"/>
      <c r="H428" s="17"/>
      <c r="I428" s="49">
        <f t="shared" si="12"/>
        <v>0</v>
      </c>
      <c r="J428" s="13"/>
      <c r="K428" s="7"/>
      <c r="L428" s="5">
        <f t="shared" si="13"/>
        <v>0</v>
      </c>
    </row>
    <row r="429" spans="1:12" x14ac:dyDescent="0.25">
      <c r="A429" s="31"/>
      <c r="B429" s="21"/>
      <c r="C429" s="21"/>
      <c r="D429" s="6"/>
      <c r="E429" s="14"/>
      <c r="F429" s="6"/>
      <c r="G429" s="6"/>
      <c r="H429" s="17"/>
      <c r="I429" s="49">
        <f t="shared" si="12"/>
        <v>0</v>
      </c>
      <c r="J429" s="13"/>
      <c r="K429" s="7"/>
      <c r="L429" s="5">
        <f t="shared" si="13"/>
        <v>0</v>
      </c>
    </row>
    <row r="430" spans="1:12" x14ac:dyDescent="0.25">
      <c r="A430" s="31"/>
      <c r="B430" s="21"/>
      <c r="C430" s="21"/>
      <c r="D430" s="6"/>
      <c r="E430" s="14"/>
      <c r="F430" s="6"/>
      <c r="G430" s="6"/>
      <c r="H430" s="17"/>
      <c r="I430" s="49">
        <f t="shared" si="12"/>
        <v>0</v>
      </c>
      <c r="J430" s="13"/>
      <c r="K430" s="7"/>
      <c r="L430" s="5">
        <f t="shared" si="13"/>
        <v>0</v>
      </c>
    </row>
    <row r="431" spans="1:12" x14ac:dyDescent="0.25">
      <c r="A431" s="31"/>
      <c r="B431" s="21"/>
      <c r="C431" s="21"/>
      <c r="D431" s="6"/>
      <c r="E431" s="14"/>
      <c r="F431" s="6"/>
      <c r="G431" s="6"/>
      <c r="H431" s="17"/>
      <c r="I431" s="49">
        <f t="shared" si="12"/>
        <v>0</v>
      </c>
      <c r="J431" s="13"/>
      <c r="K431" s="7"/>
      <c r="L431" s="5">
        <f t="shared" si="13"/>
        <v>0</v>
      </c>
    </row>
    <row r="432" spans="1:12" x14ac:dyDescent="0.25">
      <c r="A432" s="31"/>
      <c r="B432" s="21"/>
      <c r="C432" s="21"/>
      <c r="D432" s="6"/>
      <c r="E432" s="14"/>
      <c r="F432" s="6"/>
      <c r="G432" s="6"/>
      <c r="H432" s="17"/>
      <c r="I432" s="49">
        <f t="shared" si="12"/>
        <v>0</v>
      </c>
      <c r="J432" s="13"/>
      <c r="K432" s="7"/>
      <c r="L432" s="5">
        <f t="shared" si="13"/>
        <v>0</v>
      </c>
    </row>
    <row r="433" spans="1:12" x14ac:dyDescent="0.25">
      <c r="A433" s="31"/>
      <c r="B433" s="21"/>
      <c r="C433" s="21"/>
      <c r="D433" s="6"/>
      <c r="E433" s="14"/>
      <c r="F433" s="6"/>
      <c r="G433" s="6"/>
      <c r="H433" s="17"/>
      <c r="I433" s="49">
        <f t="shared" si="12"/>
        <v>0</v>
      </c>
      <c r="J433" s="13"/>
      <c r="K433" s="7"/>
      <c r="L433" s="5">
        <f t="shared" si="13"/>
        <v>0</v>
      </c>
    </row>
    <row r="434" spans="1:12" x14ac:dyDescent="0.25">
      <c r="A434" s="31"/>
      <c r="B434" s="21"/>
      <c r="C434" s="21"/>
      <c r="D434" s="6"/>
      <c r="E434" s="14"/>
      <c r="F434" s="6"/>
      <c r="G434" s="6"/>
      <c r="H434" s="17"/>
      <c r="I434" s="49">
        <f t="shared" si="12"/>
        <v>0</v>
      </c>
      <c r="J434" s="13"/>
      <c r="K434" s="7"/>
      <c r="L434" s="5">
        <f t="shared" si="13"/>
        <v>0</v>
      </c>
    </row>
    <row r="435" spans="1:12" x14ac:dyDescent="0.25">
      <c r="A435" s="31"/>
      <c r="B435" s="21"/>
      <c r="C435" s="21"/>
      <c r="D435" s="6"/>
      <c r="E435" s="14"/>
      <c r="F435" s="6"/>
      <c r="G435" s="6"/>
      <c r="H435" s="17"/>
      <c r="I435" s="49">
        <f t="shared" si="12"/>
        <v>0</v>
      </c>
      <c r="J435" s="13"/>
      <c r="K435" s="7"/>
      <c r="L435" s="5">
        <f t="shared" si="13"/>
        <v>0</v>
      </c>
    </row>
    <row r="436" spans="1:12" x14ac:dyDescent="0.25">
      <c r="A436" s="31"/>
      <c r="B436" s="21"/>
      <c r="C436" s="21"/>
      <c r="D436" s="6"/>
      <c r="E436" s="14"/>
      <c r="F436" s="6"/>
      <c r="G436" s="6"/>
      <c r="H436" s="17"/>
      <c r="I436" s="49">
        <f t="shared" si="12"/>
        <v>0</v>
      </c>
      <c r="J436" s="13"/>
      <c r="K436" s="7"/>
      <c r="L436" s="5">
        <f t="shared" si="13"/>
        <v>0</v>
      </c>
    </row>
    <row r="437" spans="1:12" x14ac:dyDescent="0.25">
      <c r="A437" s="31"/>
      <c r="B437" s="21"/>
      <c r="C437" s="21"/>
      <c r="D437" s="6"/>
      <c r="E437" s="14"/>
      <c r="F437" s="6"/>
      <c r="G437" s="6"/>
      <c r="H437" s="17"/>
      <c r="I437" s="49">
        <f t="shared" si="12"/>
        <v>0</v>
      </c>
      <c r="J437" s="13"/>
      <c r="K437" s="7"/>
      <c r="L437" s="5">
        <f t="shared" si="13"/>
        <v>0</v>
      </c>
    </row>
    <row r="438" spans="1:12" x14ac:dyDescent="0.25">
      <c r="A438" s="31"/>
      <c r="B438" s="21"/>
      <c r="C438" s="21"/>
      <c r="D438" s="6"/>
      <c r="E438" s="14"/>
      <c r="F438" s="6"/>
      <c r="G438" s="6"/>
      <c r="H438" s="17"/>
      <c r="I438" s="49">
        <f t="shared" si="12"/>
        <v>0</v>
      </c>
      <c r="J438" s="13"/>
      <c r="K438" s="7"/>
      <c r="L438" s="5">
        <f t="shared" si="13"/>
        <v>0</v>
      </c>
    </row>
    <row r="439" spans="1:12" x14ac:dyDescent="0.25">
      <c r="A439" s="31"/>
      <c r="B439" s="21"/>
      <c r="C439" s="21"/>
      <c r="D439" s="6"/>
      <c r="E439" s="14"/>
      <c r="F439" s="6"/>
      <c r="G439" s="6"/>
      <c r="H439" s="17"/>
      <c r="I439" s="49">
        <f t="shared" si="12"/>
        <v>0</v>
      </c>
      <c r="J439" s="13"/>
      <c r="K439" s="7"/>
      <c r="L439" s="5">
        <f t="shared" si="13"/>
        <v>0</v>
      </c>
    </row>
    <row r="440" spans="1:12" x14ac:dyDescent="0.25">
      <c r="A440" s="31"/>
      <c r="B440" s="21"/>
      <c r="C440" s="21"/>
      <c r="D440" s="6"/>
      <c r="E440" s="14"/>
      <c r="F440" s="6"/>
      <c r="G440" s="6"/>
      <c r="H440" s="17"/>
      <c r="I440" s="49">
        <f t="shared" si="12"/>
        <v>0</v>
      </c>
      <c r="J440" s="13"/>
      <c r="K440" s="7"/>
      <c r="L440" s="5">
        <f t="shared" si="13"/>
        <v>0</v>
      </c>
    </row>
    <row r="441" spans="1:12" x14ac:dyDescent="0.25">
      <c r="A441" s="31"/>
      <c r="B441" s="21"/>
      <c r="C441" s="21"/>
      <c r="D441" s="6"/>
      <c r="E441" s="14"/>
      <c r="F441" s="6"/>
      <c r="G441" s="6"/>
      <c r="H441" s="17"/>
      <c r="I441" s="49">
        <f t="shared" si="12"/>
        <v>0</v>
      </c>
      <c r="J441" s="13"/>
      <c r="K441" s="7"/>
      <c r="L441" s="5">
        <f t="shared" si="13"/>
        <v>0</v>
      </c>
    </row>
    <row r="442" spans="1:12" x14ac:dyDescent="0.25">
      <c r="A442" s="31"/>
      <c r="B442" s="21"/>
      <c r="C442" s="21"/>
      <c r="D442" s="6"/>
      <c r="E442" s="14"/>
      <c r="F442" s="6"/>
      <c r="G442" s="6"/>
      <c r="H442" s="17"/>
      <c r="I442" s="49">
        <f t="shared" si="12"/>
        <v>0</v>
      </c>
      <c r="J442" s="13"/>
      <c r="K442" s="7"/>
      <c r="L442" s="5">
        <f t="shared" si="13"/>
        <v>0</v>
      </c>
    </row>
    <row r="443" spans="1:12" x14ac:dyDescent="0.25">
      <c r="A443" s="31"/>
      <c r="B443" s="21"/>
      <c r="C443" s="21"/>
      <c r="D443" s="6"/>
      <c r="E443" s="14"/>
      <c r="F443" s="6"/>
      <c r="G443" s="6"/>
      <c r="H443" s="17"/>
      <c r="I443" s="49">
        <f t="shared" si="12"/>
        <v>0</v>
      </c>
      <c r="J443" s="13"/>
      <c r="K443" s="7"/>
      <c r="L443" s="5">
        <f t="shared" si="13"/>
        <v>0</v>
      </c>
    </row>
    <row r="444" spans="1:12" x14ac:dyDescent="0.25">
      <c r="A444" s="31"/>
      <c r="B444" s="21"/>
      <c r="C444" s="21"/>
      <c r="D444" s="6"/>
      <c r="E444" s="14"/>
      <c r="F444" s="6"/>
      <c r="G444" s="6"/>
      <c r="H444" s="17"/>
      <c r="I444" s="49">
        <f t="shared" si="12"/>
        <v>0</v>
      </c>
      <c r="J444" s="13"/>
      <c r="K444" s="7"/>
      <c r="L444" s="5">
        <f t="shared" si="13"/>
        <v>0</v>
      </c>
    </row>
    <row r="445" spans="1:12" x14ac:dyDescent="0.25">
      <c r="A445" s="31"/>
      <c r="B445" s="21"/>
      <c r="C445" s="21"/>
      <c r="D445" s="6"/>
      <c r="E445" s="14"/>
      <c r="F445" s="6"/>
      <c r="G445" s="6"/>
      <c r="H445" s="17"/>
      <c r="I445" s="49">
        <f t="shared" si="12"/>
        <v>0</v>
      </c>
      <c r="J445" s="13"/>
      <c r="K445" s="7"/>
      <c r="L445" s="5">
        <f t="shared" si="13"/>
        <v>0</v>
      </c>
    </row>
    <row r="446" spans="1:12" x14ac:dyDescent="0.25">
      <c r="A446" s="32"/>
      <c r="B446" s="21"/>
      <c r="C446" s="21"/>
      <c r="D446" s="6"/>
      <c r="E446" s="14"/>
      <c r="F446" s="6"/>
      <c r="G446" s="6"/>
      <c r="H446" s="17"/>
      <c r="I446" s="49">
        <f t="shared" si="12"/>
        <v>0</v>
      </c>
      <c r="J446" s="13"/>
      <c r="K446" s="7"/>
      <c r="L446" s="5">
        <f t="shared" si="13"/>
        <v>0</v>
      </c>
    </row>
    <row r="447" spans="1:12" x14ac:dyDescent="0.25">
      <c r="A447" s="32"/>
      <c r="B447" s="21"/>
      <c r="C447" s="21"/>
      <c r="D447" s="6"/>
      <c r="E447" s="14"/>
      <c r="F447" s="6"/>
      <c r="G447" s="6"/>
      <c r="H447" s="17"/>
      <c r="I447" s="49">
        <f t="shared" si="12"/>
        <v>0</v>
      </c>
      <c r="J447" s="13"/>
      <c r="K447" s="7"/>
      <c r="L447" s="5">
        <f t="shared" si="13"/>
        <v>0</v>
      </c>
    </row>
    <row r="448" spans="1:12" x14ac:dyDescent="0.25">
      <c r="A448" s="32"/>
      <c r="B448" s="21"/>
      <c r="C448" s="21"/>
      <c r="D448" s="6"/>
      <c r="E448" s="14"/>
      <c r="F448" s="6"/>
      <c r="G448" s="6"/>
      <c r="H448" s="17"/>
      <c r="I448" s="49">
        <f t="shared" si="12"/>
        <v>0</v>
      </c>
      <c r="J448" s="13"/>
      <c r="K448" s="7"/>
      <c r="L448" s="5">
        <f t="shared" si="13"/>
        <v>0</v>
      </c>
    </row>
    <row r="449" spans="1:12" x14ac:dyDescent="0.25">
      <c r="A449" s="32"/>
      <c r="B449" s="21"/>
      <c r="C449" s="21"/>
      <c r="D449" s="6"/>
      <c r="E449" s="14"/>
      <c r="F449" s="6"/>
      <c r="G449" s="6"/>
      <c r="H449" s="17"/>
      <c r="I449" s="49">
        <f t="shared" si="12"/>
        <v>0</v>
      </c>
      <c r="J449" s="13"/>
      <c r="K449" s="7"/>
      <c r="L449" s="5">
        <f t="shared" si="13"/>
        <v>0</v>
      </c>
    </row>
    <row r="450" spans="1:12" x14ac:dyDescent="0.25">
      <c r="A450" s="32"/>
      <c r="B450" s="21"/>
      <c r="C450" s="21"/>
      <c r="D450" s="6"/>
      <c r="E450" s="14"/>
      <c r="F450" s="6"/>
      <c r="G450" s="6"/>
      <c r="H450" s="17"/>
      <c r="I450" s="49">
        <f t="shared" si="12"/>
        <v>0</v>
      </c>
      <c r="J450" s="13"/>
      <c r="K450" s="7"/>
      <c r="L450" s="5">
        <f t="shared" si="13"/>
        <v>0</v>
      </c>
    </row>
    <row r="451" spans="1:12" x14ac:dyDescent="0.25">
      <c r="A451" s="32"/>
      <c r="B451" s="21"/>
      <c r="C451" s="21"/>
      <c r="D451" s="6"/>
      <c r="E451" s="14"/>
      <c r="F451" s="6"/>
      <c r="G451" s="6"/>
      <c r="H451" s="17"/>
      <c r="I451" s="49">
        <f t="shared" si="12"/>
        <v>0</v>
      </c>
      <c r="J451" s="13"/>
      <c r="K451" s="7"/>
      <c r="L451" s="5">
        <f t="shared" si="13"/>
        <v>0</v>
      </c>
    </row>
    <row r="452" spans="1:12" x14ac:dyDescent="0.25">
      <c r="A452" s="32"/>
      <c r="B452" s="21"/>
      <c r="C452" s="21"/>
      <c r="D452" s="6"/>
      <c r="E452" s="14"/>
      <c r="F452" s="6"/>
      <c r="G452" s="6"/>
      <c r="H452" s="17"/>
      <c r="I452" s="49">
        <f t="shared" si="12"/>
        <v>0</v>
      </c>
      <c r="J452" s="13"/>
      <c r="K452" s="7"/>
      <c r="L452" s="5">
        <f t="shared" si="13"/>
        <v>0</v>
      </c>
    </row>
    <row r="453" spans="1:12" x14ac:dyDescent="0.25">
      <c r="A453" s="32"/>
      <c r="B453" s="21"/>
      <c r="C453" s="21"/>
      <c r="D453" s="6"/>
      <c r="E453" s="14"/>
      <c r="F453" s="6"/>
      <c r="G453" s="6"/>
      <c r="H453" s="17"/>
      <c r="I453" s="49">
        <f t="shared" si="12"/>
        <v>0</v>
      </c>
      <c r="J453" s="13"/>
      <c r="K453" s="7"/>
      <c r="L453" s="5">
        <f t="shared" si="13"/>
        <v>0</v>
      </c>
    </row>
    <row r="454" spans="1:12" x14ac:dyDescent="0.25">
      <c r="A454" s="32"/>
      <c r="B454" s="21"/>
      <c r="C454" s="21"/>
      <c r="D454" s="6"/>
      <c r="E454" s="14"/>
      <c r="F454" s="6"/>
      <c r="G454" s="6"/>
      <c r="H454" s="17"/>
      <c r="I454" s="49">
        <f t="shared" si="12"/>
        <v>0</v>
      </c>
      <c r="J454" s="13"/>
      <c r="K454" s="7"/>
      <c r="L454" s="5">
        <f t="shared" si="13"/>
        <v>0</v>
      </c>
    </row>
    <row r="455" spans="1:12" x14ac:dyDescent="0.25">
      <c r="A455" s="32"/>
      <c r="B455" s="21"/>
      <c r="C455" s="21"/>
      <c r="D455" s="6"/>
      <c r="E455" s="14"/>
      <c r="F455" s="6"/>
      <c r="G455" s="6"/>
      <c r="H455" s="17"/>
      <c r="I455" s="49">
        <f t="shared" ref="I455:I518" si="14">F455*H455</f>
        <v>0</v>
      </c>
      <c r="J455" s="13"/>
      <c r="K455" s="7"/>
      <c r="L455" s="5">
        <f t="shared" ref="L455:L518" si="15">+I455+J455-K455</f>
        <v>0</v>
      </c>
    </row>
    <row r="456" spans="1:12" x14ac:dyDescent="0.25">
      <c r="A456" s="32"/>
      <c r="B456" s="21"/>
      <c r="C456" s="21"/>
      <c r="D456" s="6"/>
      <c r="E456" s="14"/>
      <c r="F456" s="6"/>
      <c r="G456" s="6"/>
      <c r="H456" s="17"/>
      <c r="I456" s="49">
        <f t="shared" si="14"/>
        <v>0</v>
      </c>
      <c r="J456" s="13"/>
      <c r="K456" s="7"/>
      <c r="L456" s="5">
        <f t="shared" si="15"/>
        <v>0</v>
      </c>
    </row>
    <row r="457" spans="1:12" x14ac:dyDescent="0.25">
      <c r="A457" s="32"/>
      <c r="B457" s="21"/>
      <c r="C457" s="21"/>
      <c r="D457" s="6"/>
      <c r="E457" s="14"/>
      <c r="F457" s="6"/>
      <c r="G457" s="6"/>
      <c r="H457" s="17"/>
      <c r="I457" s="49">
        <f t="shared" si="14"/>
        <v>0</v>
      </c>
      <c r="J457" s="13"/>
      <c r="K457" s="7"/>
      <c r="L457" s="5">
        <f t="shared" si="15"/>
        <v>0</v>
      </c>
    </row>
    <row r="458" spans="1:12" x14ac:dyDescent="0.25">
      <c r="A458" s="32"/>
      <c r="B458" s="21"/>
      <c r="C458" s="21"/>
      <c r="D458" s="6"/>
      <c r="E458" s="14"/>
      <c r="F458" s="6"/>
      <c r="G458" s="6"/>
      <c r="H458" s="17"/>
      <c r="I458" s="49">
        <f t="shared" si="14"/>
        <v>0</v>
      </c>
      <c r="J458" s="13"/>
      <c r="K458" s="7"/>
      <c r="L458" s="5">
        <f t="shared" si="15"/>
        <v>0</v>
      </c>
    </row>
    <row r="459" spans="1:12" x14ac:dyDescent="0.25">
      <c r="A459" s="32"/>
      <c r="B459" s="21"/>
      <c r="C459" s="21"/>
      <c r="D459" s="6"/>
      <c r="E459" s="14"/>
      <c r="F459" s="6"/>
      <c r="G459" s="6"/>
      <c r="H459" s="17"/>
      <c r="I459" s="49">
        <f t="shared" si="14"/>
        <v>0</v>
      </c>
      <c r="J459" s="13"/>
      <c r="K459" s="7"/>
      <c r="L459" s="5">
        <f t="shared" si="15"/>
        <v>0</v>
      </c>
    </row>
    <row r="460" spans="1:12" x14ac:dyDescent="0.25">
      <c r="A460" s="32"/>
      <c r="B460" s="21"/>
      <c r="C460" s="21"/>
      <c r="D460" s="6"/>
      <c r="E460" s="14"/>
      <c r="F460" s="6"/>
      <c r="G460" s="6"/>
      <c r="H460" s="17"/>
      <c r="I460" s="49">
        <f t="shared" si="14"/>
        <v>0</v>
      </c>
      <c r="J460" s="13"/>
      <c r="K460" s="7"/>
      <c r="L460" s="5">
        <f t="shared" si="15"/>
        <v>0</v>
      </c>
    </row>
    <row r="461" spans="1:12" x14ac:dyDescent="0.25">
      <c r="A461" s="32"/>
      <c r="B461" s="21"/>
      <c r="C461" s="21"/>
      <c r="D461" s="6"/>
      <c r="E461" s="14"/>
      <c r="F461" s="6"/>
      <c r="G461" s="6"/>
      <c r="H461" s="17"/>
      <c r="I461" s="49">
        <f t="shared" si="14"/>
        <v>0</v>
      </c>
      <c r="J461" s="13"/>
      <c r="K461" s="7"/>
      <c r="L461" s="5">
        <f t="shared" si="15"/>
        <v>0</v>
      </c>
    </row>
    <row r="462" spans="1:12" x14ac:dyDescent="0.25">
      <c r="A462" s="32"/>
      <c r="B462" s="21"/>
      <c r="C462" s="21"/>
      <c r="D462" s="6"/>
      <c r="E462" s="14"/>
      <c r="F462" s="6"/>
      <c r="G462" s="6"/>
      <c r="H462" s="17"/>
      <c r="I462" s="49">
        <f t="shared" si="14"/>
        <v>0</v>
      </c>
      <c r="J462" s="13"/>
      <c r="K462" s="7"/>
      <c r="L462" s="5">
        <f t="shared" si="15"/>
        <v>0</v>
      </c>
    </row>
    <row r="463" spans="1:12" x14ac:dyDescent="0.25">
      <c r="A463" s="32"/>
      <c r="B463" s="21"/>
      <c r="C463" s="21"/>
      <c r="D463" s="6"/>
      <c r="E463" s="14"/>
      <c r="F463" s="6"/>
      <c r="G463" s="6"/>
      <c r="H463" s="17"/>
      <c r="I463" s="49">
        <f t="shared" si="14"/>
        <v>0</v>
      </c>
      <c r="J463" s="13"/>
      <c r="K463" s="7"/>
      <c r="L463" s="5">
        <f t="shared" si="15"/>
        <v>0</v>
      </c>
    </row>
    <row r="464" spans="1:12" x14ac:dyDescent="0.25">
      <c r="A464" s="32"/>
      <c r="B464" s="21"/>
      <c r="C464" s="21"/>
      <c r="D464" s="6"/>
      <c r="E464" s="14"/>
      <c r="F464" s="6"/>
      <c r="G464" s="6"/>
      <c r="H464" s="17"/>
      <c r="I464" s="49">
        <f t="shared" si="14"/>
        <v>0</v>
      </c>
      <c r="J464" s="13"/>
      <c r="K464" s="7"/>
      <c r="L464" s="5">
        <f t="shared" si="15"/>
        <v>0</v>
      </c>
    </row>
    <row r="465" spans="1:12" x14ac:dyDescent="0.25">
      <c r="A465" s="32"/>
      <c r="B465" s="21"/>
      <c r="C465" s="21"/>
      <c r="D465" s="6"/>
      <c r="E465" s="14"/>
      <c r="F465" s="6"/>
      <c r="G465" s="6"/>
      <c r="H465" s="17"/>
      <c r="I465" s="49">
        <f t="shared" si="14"/>
        <v>0</v>
      </c>
      <c r="J465" s="13"/>
      <c r="K465" s="7"/>
      <c r="L465" s="5">
        <f t="shared" si="15"/>
        <v>0</v>
      </c>
    </row>
    <row r="466" spans="1:12" x14ac:dyDescent="0.25">
      <c r="A466" s="32"/>
      <c r="B466" s="21"/>
      <c r="C466" s="21"/>
      <c r="D466" s="6"/>
      <c r="E466" s="14"/>
      <c r="F466" s="6"/>
      <c r="G466" s="6"/>
      <c r="H466" s="17"/>
      <c r="I466" s="49">
        <f t="shared" si="14"/>
        <v>0</v>
      </c>
      <c r="J466" s="13"/>
      <c r="K466" s="7"/>
      <c r="L466" s="5">
        <f t="shared" si="15"/>
        <v>0</v>
      </c>
    </row>
    <row r="467" spans="1:12" x14ac:dyDescent="0.25">
      <c r="A467" s="31"/>
      <c r="B467" s="21"/>
      <c r="C467" s="21"/>
      <c r="D467" s="6"/>
      <c r="E467" s="14"/>
      <c r="F467" s="6"/>
      <c r="G467" s="6"/>
      <c r="H467" s="17"/>
      <c r="I467" s="49">
        <f t="shared" si="14"/>
        <v>0</v>
      </c>
      <c r="J467" s="13"/>
      <c r="K467" s="7"/>
      <c r="L467" s="5">
        <f t="shared" si="15"/>
        <v>0</v>
      </c>
    </row>
    <row r="468" spans="1:12" x14ac:dyDescent="0.25">
      <c r="A468" s="31"/>
      <c r="B468" s="21"/>
      <c r="C468" s="21"/>
      <c r="D468" s="6"/>
      <c r="E468" s="14"/>
      <c r="F468" s="6"/>
      <c r="G468" s="6"/>
      <c r="H468" s="17"/>
      <c r="I468" s="49">
        <f t="shared" si="14"/>
        <v>0</v>
      </c>
      <c r="J468" s="13"/>
      <c r="K468" s="7"/>
      <c r="L468" s="5">
        <f t="shared" si="15"/>
        <v>0</v>
      </c>
    </row>
    <row r="469" spans="1:12" x14ac:dyDescent="0.25">
      <c r="A469" s="31"/>
      <c r="B469" s="21"/>
      <c r="C469" s="21"/>
      <c r="D469" s="6"/>
      <c r="E469" s="14"/>
      <c r="F469" s="6"/>
      <c r="G469" s="6"/>
      <c r="H469" s="17"/>
      <c r="I469" s="49">
        <f t="shared" si="14"/>
        <v>0</v>
      </c>
      <c r="J469" s="13"/>
      <c r="K469" s="7"/>
      <c r="L469" s="5">
        <f t="shared" si="15"/>
        <v>0</v>
      </c>
    </row>
    <row r="470" spans="1:12" x14ac:dyDescent="0.25">
      <c r="A470" s="31"/>
      <c r="B470" s="21"/>
      <c r="C470" s="21"/>
      <c r="D470" s="6"/>
      <c r="E470" s="14"/>
      <c r="F470" s="6"/>
      <c r="G470" s="6"/>
      <c r="H470" s="17"/>
      <c r="I470" s="49">
        <f t="shared" si="14"/>
        <v>0</v>
      </c>
      <c r="J470" s="13"/>
      <c r="K470" s="7"/>
      <c r="L470" s="5">
        <f t="shared" si="15"/>
        <v>0</v>
      </c>
    </row>
    <row r="471" spans="1:12" x14ac:dyDescent="0.25">
      <c r="A471" s="31"/>
      <c r="B471" s="21"/>
      <c r="C471" s="21"/>
      <c r="D471" s="6"/>
      <c r="E471" s="14"/>
      <c r="F471" s="6"/>
      <c r="G471" s="6"/>
      <c r="H471" s="17"/>
      <c r="I471" s="49">
        <f t="shared" si="14"/>
        <v>0</v>
      </c>
      <c r="J471" s="13"/>
      <c r="K471" s="7"/>
      <c r="L471" s="5">
        <f t="shared" si="15"/>
        <v>0</v>
      </c>
    </row>
    <row r="472" spans="1:12" x14ac:dyDescent="0.25">
      <c r="A472" s="31"/>
      <c r="B472" s="21"/>
      <c r="C472" s="21"/>
      <c r="D472" s="6"/>
      <c r="E472" s="14"/>
      <c r="F472" s="6"/>
      <c r="G472" s="6"/>
      <c r="H472" s="17"/>
      <c r="I472" s="49">
        <f t="shared" si="14"/>
        <v>0</v>
      </c>
      <c r="J472" s="13"/>
      <c r="K472" s="7"/>
      <c r="L472" s="5">
        <f t="shared" si="15"/>
        <v>0</v>
      </c>
    </row>
    <row r="473" spans="1:12" x14ac:dyDescent="0.25">
      <c r="A473" s="31"/>
      <c r="B473" s="21"/>
      <c r="C473" s="21"/>
      <c r="D473" s="6"/>
      <c r="E473" s="14"/>
      <c r="F473" s="6"/>
      <c r="G473" s="6"/>
      <c r="H473" s="17"/>
      <c r="I473" s="49">
        <f t="shared" si="14"/>
        <v>0</v>
      </c>
      <c r="J473" s="13"/>
      <c r="K473" s="7"/>
      <c r="L473" s="5">
        <f t="shared" si="15"/>
        <v>0</v>
      </c>
    </row>
    <row r="474" spans="1:12" x14ac:dyDescent="0.25">
      <c r="A474" s="31"/>
      <c r="B474" s="21"/>
      <c r="C474" s="21"/>
      <c r="D474" s="6"/>
      <c r="E474" s="14"/>
      <c r="F474" s="6"/>
      <c r="G474" s="6"/>
      <c r="H474" s="17"/>
      <c r="I474" s="49">
        <f t="shared" si="14"/>
        <v>0</v>
      </c>
      <c r="J474" s="13"/>
      <c r="K474" s="7"/>
      <c r="L474" s="5">
        <f t="shared" si="15"/>
        <v>0</v>
      </c>
    </row>
    <row r="475" spans="1:12" x14ac:dyDescent="0.25">
      <c r="A475" s="31"/>
      <c r="B475" s="21"/>
      <c r="C475" s="21"/>
      <c r="D475" s="6"/>
      <c r="E475" s="14"/>
      <c r="F475" s="6"/>
      <c r="G475" s="6"/>
      <c r="H475" s="17"/>
      <c r="I475" s="49">
        <f t="shared" si="14"/>
        <v>0</v>
      </c>
      <c r="J475" s="13"/>
      <c r="K475" s="7"/>
      <c r="L475" s="5">
        <f t="shared" si="15"/>
        <v>0</v>
      </c>
    </row>
    <row r="476" spans="1:12" x14ac:dyDescent="0.25">
      <c r="A476" s="31"/>
      <c r="B476" s="21"/>
      <c r="C476" s="21"/>
      <c r="D476" s="6"/>
      <c r="E476" s="14"/>
      <c r="F476" s="6"/>
      <c r="G476" s="6"/>
      <c r="H476" s="17"/>
      <c r="I476" s="49">
        <f t="shared" si="14"/>
        <v>0</v>
      </c>
      <c r="J476" s="13"/>
      <c r="K476" s="7"/>
      <c r="L476" s="5">
        <f t="shared" si="15"/>
        <v>0</v>
      </c>
    </row>
    <row r="477" spans="1:12" x14ac:dyDescent="0.25">
      <c r="A477" s="31"/>
      <c r="B477" s="21"/>
      <c r="C477" s="21"/>
      <c r="D477" s="6"/>
      <c r="E477" s="14"/>
      <c r="F477" s="6"/>
      <c r="G477" s="6"/>
      <c r="H477" s="17"/>
      <c r="I477" s="49">
        <f t="shared" si="14"/>
        <v>0</v>
      </c>
      <c r="J477" s="13"/>
      <c r="K477" s="7"/>
      <c r="L477" s="5">
        <f t="shared" si="15"/>
        <v>0</v>
      </c>
    </row>
    <row r="478" spans="1:12" x14ac:dyDescent="0.25">
      <c r="A478" s="31"/>
      <c r="B478" s="21"/>
      <c r="C478" s="21"/>
      <c r="D478" s="6"/>
      <c r="E478" s="14"/>
      <c r="F478" s="6"/>
      <c r="G478" s="6"/>
      <c r="H478" s="17"/>
      <c r="I478" s="49">
        <f t="shared" si="14"/>
        <v>0</v>
      </c>
      <c r="J478" s="13"/>
      <c r="K478" s="7"/>
      <c r="L478" s="5">
        <f t="shared" si="15"/>
        <v>0</v>
      </c>
    </row>
    <row r="479" spans="1:12" x14ac:dyDescent="0.25">
      <c r="A479" s="31"/>
      <c r="B479" s="21"/>
      <c r="C479" s="21"/>
      <c r="D479" s="6"/>
      <c r="E479" s="14"/>
      <c r="F479" s="6"/>
      <c r="G479" s="6"/>
      <c r="H479" s="17"/>
      <c r="I479" s="49">
        <f t="shared" si="14"/>
        <v>0</v>
      </c>
      <c r="J479" s="13"/>
      <c r="K479" s="7"/>
      <c r="L479" s="5">
        <f t="shared" si="15"/>
        <v>0</v>
      </c>
    </row>
    <row r="480" spans="1:12" x14ac:dyDescent="0.25">
      <c r="A480" s="31"/>
      <c r="B480" s="21"/>
      <c r="C480" s="21"/>
      <c r="D480" s="6"/>
      <c r="E480" s="14"/>
      <c r="F480" s="6"/>
      <c r="G480" s="6"/>
      <c r="H480" s="17"/>
      <c r="I480" s="49">
        <f t="shared" si="14"/>
        <v>0</v>
      </c>
      <c r="J480" s="13"/>
      <c r="K480" s="7"/>
      <c r="L480" s="5">
        <f t="shared" si="15"/>
        <v>0</v>
      </c>
    </row>
    <row r="481" spans="1:12" x14ac:dyDescent="0.25">
      <c r="A481" s="31"/>
      <c r="B481" s="21"/>
      <c r="C481" s="21"/>
      <c r="D481" s="6"/>
      <c r="E481" s="14"/>
      <c r="F481" s="6"/>
      <c r="G481" s="6"/>
      <c r="H481" s="17"/>
      <c r="I481" s="49">
        <f t="shared" si="14"/>
        <v>0</v>
      </c>
      <c r="J481" s="13"/>
      <c r="K481" s="7"/>
      <c r="L481" s="5">
        <f t="shared" si="15"/>
        <v>0</v>
      </c>
    </row>
    <row r="482" spans="1:12" x14ac:dyDescent="0.25">
      <c r="A482" s="31"/>
      <c r="B482" s="21"/>
      <c r="C482" s="21"/>
      <c r="D482" s="6"/>
      <c r="E482" s="14"/>
      <c r="F482" s="6"/>
      <c r="G482" s="6"/>
      <c r="H482" s="17"/>
      <c r="I482" s="49">
        <f t="shared" si="14"/>
        <v>0</v>
      </c>
      <c r="J482" s="13"/>
      <c r="K482" s="7"/>
      <c r="L482" s="5">
        <f t="shared" si="15"/>
        <v>0</v>
      </c>
    </row>
    <row r="483" spans="1:12" x14ac:dyDescent="0.25">
      <c r="A483" s="31"/>
      <c r="B483" s="21"/>
      <c r="C483" s="21"/>
      <c r="D483" s="6"/>
      <c r="E483" s="14"/>
      <c r="F483" s="6"/>
      <c r="G483" s="6"/>
      <c r="H483" s="17"/>
      <c r="I483" s="49">
        <f t="shared" si="14"/>
        <v>0</v>
      </c>
      <c r="J483" s="13"/>
      <c r="K483" s="7"/>
      <c r="L483" s="5">
        <f t="shared" si="15"/>
        <v>0</v>
      </c>
    </row>
    <row r="484" spans="1:12" x14ac:dyDescent="0.25">
      <c r="A484" s="31"/>
      <c r="B484" s="21"/>
      <c r="C484" s="21"/>
      <c r="D484" s="6"/>
      <c r="E484" s="14"/>
      <c r="F484" s="6"/>
      <c r="G484" s="6"/>
      <c r="H484" s="17"/>
      <c r="I484" s="49">
        <f t="shared" si="14"/>
        <v>0</v>
      </c>
      <c r="J484" s="13"/>
      <c r="K484" s="7"/>
      <c r="L484" s="5">
        <f t="shared" si="15"/>
        <v>0</v>
      </c>
    </row>
    <row r="485" spans="1:12" x14ac:dyDescent="0.25">
      <c r="A485" s="31"/>
      <c r="B485" s="21"/>
      <c r="C485" s="21"/>
      <c r="D485" s="6"/>
      <c r="E485" s="14"/>
      <c r="F485" s="6"/>
      <c r="G485" s="6"/>
      <c r="H485" s="17"/>
      <c r="I485" s="49">
        <f t="shared" si="14"/>
        <v>0</v>
      </c>
      <c r="J485" s="13"/>
      <c r="K485" s="7"/>
      <c r="L485" s="5">
        <f t="shared" si="15"/>
        <v>0</v>
      </c>
    </row>
    <row r="486" spans="1:12" x14ac:dyDescent="0.25">
      <c r="A486" s="31"/>
      <c r="B486" s="21"/>
      <c r="C486" s="21"/>
      <c r="D486" s="6"/>
      <c r="E486" s="14"/>
      <c r="F486" s="6"/>
      <c r="G486" s="6"/>
      <c r="H486" s="17"/>
      <c r="I486" s="49">
        <f t="shared" si="14"/>
        <v>0</v>
      </c>
      <c r="J486" s="13"/>
      <c r="K486" s="7"/>
      <c r="L486" s="5">
        <f t="shared" si="15"/>
        <v>0</v>
      </c>
    </row>
    <row r="487" spans="1:12" x14ac:dyDescent="0.25">
      <c r="A487" s="31"/>
      <c r="B487" s="21"/>
      <c r="C487" s="21"/>
      <c r="D487" s="6"/>
      <c r="E487" s="14"/>
      <c r="F487" s="6"/>
      <c r="G487" s="6"/>
      <c r="H487" s="17"/>
      <c r="I487" s="49">
        <f t="shared" si="14"/>
        <v>0</v>
      </c>
      <c r="J487" s="13"/>
      <c r="K487" s="7"/>
      <c r="L487" s="5">
        <f t="shared" si="15"/>
        <v>0</v>
      </c>
    </row>
    <row r="488" spans="1:12" x14ac:dyDescent="0.25">
      <c r="A488" s="31"/>
      <c r="B488" s="21"/>
      <c r="C488" s="21"/>
      <c r="D488" s="6"/>
      <c r="E488" s="14"/>
      <c r="F488" s="6"/>
      <c r="G488" s="6"/>
      <c r="H488" s="17"/>
      <c r="I488" s="49">
        <f t="shared" si="14"/>
        <v>0</v>
      </c>
      <c r="J488" s="13"/>
      <c r="K488" s="7"/>
      <c r="L488" s="5">
        <f t="shared" si="15"/>
        <v>0</v>
      </c>
    </row>
    <row r="489" spans="1:12" x14ac:dyDescent="0.25">
      <c r="A489" s="31"/>
      <c r="B489" s="21"/>
      <c r="C489" s="21"/>
      <c r="D489" s="6"/>
      <c r="E489" s="14"/>
      <c r="F489" s="6"/>
      <c r="G489" s="6"/>
      <c r="H489" s="17"/>
      <c r="I489" s="49">
        <f t="shared" si="14"/>
        <v>0</v>
      </c>
      <c r="J489" s="13"/>
      <c r="K489" s="7"/>
      <c r="L489" s="5">
        <f t="shared" si="15"/>
        <v>0</v>
      </c>
    </row>
    <row r="490" spans="1:12" x14ac:dyDescent="0.25">
      <c r="A490" s="31"/>
      <c r="B490" s="21"/>
      <c r="C490" s="21"/>
      <c r="D490" s="6"/>
      <c r="E490" s="14"/>
      <c r="F490" s="6"/>
      <c r="G490" s="6"/>
      <c r="H490" s="17"/>
      <c r="I490" s="49">
        <f t="shared" si="14"/>
        <v>0</v>
      </c>
      <c r="J490" s="13"/>
      <c r="K490" s="7"/>
      <c r="L490" s="5">
        <f t="shared" si="15"/>
        <v>0</v>
      </c>
    </row>
    <row r="491" spans="1:12" x14ac:dyDescent="0.25">
      <c r="A491" s="31"/>
      <c r="B491" s="21"/>
      <c r="C491" s="21"/>
      <c r="D491" s="6"/>
      <c r="E491" s="14"/>
      <c r="F491" s="6"/>
      <c r="G491" s="6"/>
      <c r="H491" s="17"/>
      <c r="I491" s="49">
        <f t="shared" si="14"/>
        <v>0</v>
      </c>
      <c r="J491" s="13"/>
      <c r="K491" s="7"/>
      <c r="L491" s="5">
        <f t="shared" si="15"/>
        <v>0</v>
      </c>
    </row>
    <row r="492" spans="1:12" x14ac:dyDescent="0.25">
      <c r="A492" s="31"/>
      <c r="B492" s="21"/>
      <c r="C492" s="21"/>
      <c r="D492" s="6"/>
      <c r="E492" s="14"/>
      <c r="F492" s="6"/>
      <c r="G492" s="6"/>
      <c r="H492" s="17"/>
      <c r="I492" s="49">
        <f t="shared" si="14"/>
        <v>0</v>
      </c>
      <c r="J492" s="13"/>
      <c r="K492" s="7"/>
      <c r="L492" s="5">
        <f t="shared" si="15"/>
        <v>0</v>
      </c>
    </row>
    <row r="493" spans="1:12" x14ac:dyDescent="0.25">
      <c r="A493" s="31"/>
      <c r="B493" s="21"/>
      <c r="C493" s="21"/>
      <c r="D493" s="6"/>
      <c r="E493" s="14"/>
      <c r="F493" s="6"/>
      <c r="G493" s="6"/>
      <c r="H493" s="17"/>
      <c r="I493" s="49">
        <f t="shared" si="14"/>
        <v>0</v>
      </c>
      <c r="J493" s="13"/>
      <c r="K493" s="7"/>
      <c r="L493" s="5">
        <f t="shared" si="15"/>
        <v>0</v>
      </c>
    </row>
    <row r="494" spans="1:12" x14ac:dyDescent="0.25">
      <c r="A494" s="31"/>
      <c r="B494" s="21"/>
      <c r="C494" s="21"/>
      <c r="D494" s="6"/>
      <c r="E494" s="14"/>
      <c r="F494" s="6"/>
      <c r="G494" s="6"/>
      <c r="H494" s="17"/>
      <c r="I494" s="49">
        <f t="shared" si="14"/>
        <v>0</v>
      </c>
      <c r="J494" s="13"/>
      <c r="K494" s="7"/>
      <c r="L494" s="5">
        <f t="shared" si="15"/>
        <v>0</v>
      </c>
    </row>
    <row r="495" spans="1:12" x14ac:dyDescent="0.25">
      <c r="A495" s="31"/>
      <c r="B495" s="21"/>
      <c r="C495" s="21"/>
      <c r="D495" s="6"/>
      <c r="E495" s="14"/>
      <c r="F495" s="6"/>
      <c r="G495" s="6"/>
      <c r="H495" s="17"/>
      <c r="I495" s="49">
        <f t="shared" si="14"/>
        <v>0</v>
      </c>
      <c r="J495" s="13"/>
      <c r="K495" s="7"/>
      <c r="L495" s="5">
        <f t="shared" si="15"/>
        <v>0</v>
      </c>
    </row>
    <row r="496" spans="1:12" x14ac:dyDescent="0.25">
      <c r="A496" s="31"/>
      <c r="B496" s="21"/>
      <c r="C496" s="21"/>
      <c r="D496" s="6"/>
      <c r="E496" s="14"/>
      <c r="F496" s="6"/>
      <c r="G496" s="6"/>
      <c r="H496" s="17"/>
      <c r="I496" s="49">
        <f t="shared" si="14"/>
        <v>0</v>
      </c>
      <c r="J496" s="13"/>
      <c r="K496" s="7"/>
      <c r="L496" s="5">
        <f t="shared" si="15"/>
        <v>0</v>
      </c>
    </row>
    <row r="497" spans="1:12" x14ac:dyDescent="0.25">
      <c r="A497" s="31"/>
      <c r="B497" s="21"/>
      <c r="C497" s="21"/>
      <c r="D497" s="6"/>
      <c r="E497" s="14"/>
      <c r="F497" s="6"/>
      <c r="G497" s="6"/>
      <c r="H497" s="17"/>
      <c r="I497" s="49">
        <f t="shared" si="14"/>
        <v>0</v>
      </c>
      <c r="J497" s="13"/>
      <c r="K497" s="7"/>
      <c r="L497" s="5">
        <f t="shared" si="15"/>
        <v>0</v>
      </c>
    </row>
    <row r="498" spans="1:12" x14ac:dyDescent="0.25">
      <c r="A498" s="31"/>
      <c r="B498" s="21"/>
      <c r="C498" s="21"/>
      <c r="D498" s="6"/>
      <c r="E498" s="14"/>
      <c r="F498" s="6"/>
      <c r="G498" s="6"/>
      <c r="H498" s="17"/>
      <c r="I498" s="49">
        <f t="shared" si="14"/>
        <v>0</v>
      </c>
      <c r="J498" s="13"/>
      <c r="K498" s="7"/>
      <c r="L498" s="5">
        <f t="shared" si="15"/>
        <v>0</v>
      </c>
    </row>
    <row r="499" spans="1:12" x14ac:dyDescent="0.25">
      <c r="A499" s="31"/>
      <c r="B499" s="21"/>
      <c r="C499" s="21"/>
      <c r="D499" s="6"/>
      <c r="E499" s="14"/>
      <c r="F499" s="6"/>
      <c r="G499" s="6"/>
      <c r="H499" s="17"/>
      <c r="I499" s="49">
        <f t="shared" si="14"/>
        <v>0</v>
      </c>
      <c r="J499" s="13"/>
      <c r="K499" s="7"/>
      <c r="L499" s="5">
        <f t="shared" si="15"/>
        <v>0</v>
      </c>
    </row>
    <row r="500" spans="1:12" x14ac:dyDescent="0.25">
      <c r="A500" s="31"/>
      <c r="B500" s="21"/>
      <c r="C500" s="21"/>
      <c r="D500" s="6"/>
      <c r="E500" s="14"/>
      <c r="F500" s="6"/>
      <c r="G500" s="6"/>
      <c r="H500" s="17"/>
      <c r="I500" s="49">
        <f t="shared" si="14"/>
        <v>0</v>
      </c>
      <c r="J500" s="13"/>
      <c r="K500" s="7"/>
      <c r="L500" s="5">
        <f t="shared" si="15"/>
        <v>0</v>
      </c>
    </row>
    <row r="501" spans="1:12" x14ac:dyDescent="0.25">
      <c r="A501" s="31"/>
      <c r="B501" s="21"/>
      <c r="C501" s="21"/>
      <c r="D501" s="6"/>
      <c r="E501" s="14"/>
      <c r="F501" s="6"/>
      <c r="G501" s="6"/>
      <c r="H501" s="17"/>
      <c r="I501" s="49">
        <f t="shared" si="14"/>
        <v>0</v>
      </c>
      <c r="J501" s="13"/>
      <c r="K501" s="7"/>
      <c r="L501" s="5">
        <f t="shared" si="15"/>
        <v>0</v>
      </c>
    </row>
    <row r="502" spans="1:12" x14ac:dyDescent="0.25">
      <c r="A502" s="31"/>
      <c r="B502" s="21"/>
      <c r="C502" s="21"/>
      <c r="D502" s="6"/>
      <c r="E502" s="14"/>
      <c r="F502" s="6"/>
      <c r="G502" s="6"/>
      <c r="H502" s="17"/>
      <c r="I502" s="49">
        <f t="shared" si="14"/>
        <v>0</v>
      </c>
      <c r="J502" s="13"/>
      <c r="K502" s="7"/>
      <c r="L502" s="5">
        <f t="shared" si="15"/>
        <v>0</v>
      </c>
    </row>
    <row r="503" spans="1:12" x14ac:dyDescent="0.25">
      <c r="A503" s="31"/>
      <c r="B503" s="21"/>
      <c r="C503" s="21"/>
      <c r="D503" s="6"/>
      <c r="E503" s="14"/>
      <c r="F503" s="6"/>
      <c r="G503" s="6"/>
      <c r="H503" s="17"/>
      <c r="I503" s="49">
        <f t="shared" si="14"/>
        <v>0</v>
      </c>
      <c r="J503" s="13"/>
      <c r="K503" s="7"/>
      <c r="L503" s="5">
        <f t="shared" si="15"/>
        <v>0</v>
      </c>
    </row>
    <row r="504" spans="1:12" x14ac:dyDescent="0.25">
      <c r="A504" s="31"/>
      <c r="B504" s="21"/>
      <c r="C504" s="21"/>
      <c r="D504" s="6"/>
      <c r="E504" s="14"/>
      <c r="F504" s="6"/>
      <c r="G504" s="6"/>
      <c r="H504" s="17"/>
      <c r="I504" s="49">
        <f t="shared" si="14"/>
        <v>0</v>
      </c>
      <c r="J504" s="13"/>
      <c r="K504" s="7"/>
      <c r="L504" s="5">
        <f t="shared" si="15"/>
        <v>0</v>
      </c>
    </row>
    <row r="505" spans="1:12" x14ac:dyDescent="0.25">
      <c r="A505" s="31"/>
      <c r="B505" s="21"/>
      <c r="C505" s="21"/>
      <c r="D505" s="6"/>
      <c r="E505" s="14"/>
      <c r="F505" s="6"/>
      <c r="G505" s="6"/>
      <c r="H505" s="17"/>
      <c r="I505" s="49">
        <f t="shared" si="14"/>
        <v>0</v>
      </c>
      <c r="J505" s="13"/>
      <c r="K505" s="7"/>
      <c r="L505" s="5">
        <f t="shared" si="15"/>
        <v>0</v>
      </c>
    </row>
    <row r="506" spans="1:12" x14ac:dyDescent="0.25">
      <c r="A506" s="31"/>
      <c r="B506" s="21"/>
      <c r="C506" s="21"/>
      <c r="D506" s="6"/>
      <c r="E506" s="14"/>
      <c r="F506" s="6"/>
      <c r="G506" s="6"/>
      <c r="H506" s="17"/>
      <c r="I506" s="49">
        <f t="shared" si="14"/>
        <v>0</v>
      </c>
      <c r="J506" s="13"/>
      <c r="K506" s="7"/>
      <c r="L506" s="5">
        <f t="shared" si="15"/>
        <v>0</v>
      </c>
    </row>
    <row r="507" spans="1:12" x14ac:dyDescent="0.25">
      <c r="A507" s="31"/>
      <c r="B507" s="21"/>
      <c r="C507" s="21"/>
      <c r="D507" s="6"/>
      <c r="E507" s="14"/>
      <c r="F507" s="6"/>
      <c r="G507" s="6"/>
      <c r="H507" s="17"/>
      <c r="I507" s="49">
        <f t="shared" si="14"/>
        <v>0</v>
      </c>
      <c r="J507" s="13"/>
      <c r="K507" s="7"/>
      <c r="L507" s="5">
        <f t="shared" si="15"/>
        <v>0</v>
      </c>
    </row>
    <row r="508" spans="1:12" x14ac:dyDescent="0.25">
      <c r="A508" s="31"/>
      <c r="B508" s="21"/>
      <c r="C508" s="21"/>
      <c r="D508" s="6"/>
      <c r="E508" s="14"/>
      <c r="F508" s="6"/>
      <c r="G508" s="6"/>
      <c r="H508" s="17"/>
      <c r="I508" s="49">
        <f t="shared" si="14"/>
        <v>0</v>
      </c>
      <c r="J508" s="13"/>
      <c r="K508" s="7"/>
      <c r="L508" s="5">
        <f t="shared" si="15"/>
        <v>0</v>
      </c>
    </row>
    <row r="509" spans="1:12" x14ac:dyDescent="0.25">
      <c r="A509" s="31"/>
      <c r="B509" s="21"/>
      <c r="C509" s="21"/>
      <c r="D509" s="6"/>
      <c r="E509" s="14"/>
      <c r="F509" s="6"/>
      <c r="G509" s="6"/>
      <c r="H509" s="17"/>
      <c r="I509" s="49">
        <f t="shared" si="14"/>
        <v>0</v>
      </c>
      <c r="J509" s="13"/>
      <c r="K509" s="7"/>
      <c r="L509" s="5">
        <f t="shared" si="15"/>
        <v>0</v>
      </c>
    </row>
    <row r="510" spans="1:12" x14ac:dyDescent="0.25">
      <c r="A510" s="31"/>
      <c r="B510" s="21"/>
      <c r="C510" s="21"/>
      <c r="D510" s="6"/>
      <c r="E510" s="14"/>
      <c r="F510" s="6"/>
      <c r="G510" s="6"/>
      <c r="H510" s="17"/>
      <c r="I510" s="49">
        <f t="shared" si="14"/>
        <v>0</v>
      </c>
      <c r="J510" s="13"/>
      <c r="K510" s="7"/>
      <c r="L510" s="5">
        <f t="shared" si="15"/>
        <v>0</v>
      </c>
    </row>
    <row r="511" spans="1:12" x14ac:dyDescent="0.25">
      <c r="A511" s="31"/>
      <c r="B511" s="21"/>
      <c r="C511" s="21"/>
      <c r="D511" s="6"/>
      <c r="E511" s="14"/>
      <c r="F511" s="6"/>
      <c r="G511" s="6"/>
      <c r="H511" s="17"/>
      <c r="I511" s="49">
        <f t="shared" si="14"/>
        <v>0</v>
      </c>
      <c r="J511" s="13"/>
      <c r="K511" s="7"/>
      <c r="L511" s="5">
        <f t="shared" si="15"/>
        <v>0</v>
      </c>
    </row>
    <row r="512" spans="1:12" x14ac:dyDescent="0.25">
      <c r="A512" s="31"/>
      <c r="B512" s="21"/>
      <c r="C512" s="21"/>
      <c r="D512" s="6"/>
      <c r="E512" s="14"/>
      <c r="F512" s="6"/>
      <c r="G512" s="6"/>
      <c r="H512" s="17"/>
      <c r="I512" s="49">
        <f t="shared" si="14"/>
        <v>0</v>
      </c>
      <c r="J512" s="13"/>
      <c r="K512" s="7"/>
      <c r="L512" s="5">
        <f t="shared" si="15"/>
        <v>0</v>
      </c>
    </row>
    <row r="513" spans="1:12" x14ac:dyDescent="0.25">
      <c r="A513" s="31"/>
      <c r="B513" s="21"/>
      <c r="C513" s="21"/>
      <c r="D513" s="6"/>
      <c r="E513" s="14"/>
      <c r="F513" s="6"/>
      <c r="G513" s="6"/>
      <c r="H513" s="17"/>
      <c r="I513" s="49">
        <f t="shared" si="14"/>
        <v>0</v>
      </c>
      <c r="J513" s="13"/>
      <c r="K513" s="7"/>
      <c r="L513" s="5">
        <f t="shared" si="15"/>
        <v>0</v>
      </c>
    </row>
    <row r="514" spans="1:12" x14ac:dyDescent="0.25">
      <c r="A514" s="31"/>
      <c r="B514" s="21"/>
      <c r="C514" s="21"/>
      <c r="D514" s="6"/>
      <c r="E514" s="14"/>
      <c r="F514" s="6"/>
      <c r="G514" s="6"/>
      <c r="H514" s="17"/>
      <c r="I514" s="49">
        <f t="shared" si="14"/>
        <v>0</v>
      </c>
      <c r="J514" s="13"/>
      <c r="K514" s="7"/>
      <c r="L514" s="5">
        <f t="shared" si="15"/>
        <v>0</v>
      </c>
    </row>
    <row r="515" spans="1:12" x14ac:dyDescent="0.25">
      <c r="A515" s="31"/>
      <c r="B515" s="21"/>
      <c r="C515" s="21"/>
      <c r="D515" s="6"/>
      <c r="E515" s="14"/>
      <c r="F515" s="6"/>
      <c r="G515" s="6"/>
      <c r="H515" s="17"/>
      <c r="I515" s="49">
        <f t="shared" si="14"/>
        <v>0</v>
      </c>
      <c r="J515" s="13"/>
      <c r="K515" s="7"/>
      <c r="L515" s="5">
        <f t="shared" si="15"/>
        <v>0</v>
      </c>
    </row>
    <row r="516" spans="1:12" x14ac:dyDescent="0.25">
      <c r="A516" s="31"/>
      <c r="B516" s="21"/>
      <c r="C516" s="21"/>
      <c r="D516" s="6"/>
      <c r="E516" s="14"/>
      <c r="F516" s="6"/>
      <c r="G516" s="6"/>
      <c r="H516" s="17"/>
      <c r="I516" s="49">
        <f t="shared" si="14"/>
        <v>0</v>
      </c>
      <c r="J516" s="13"/>
      <c r="K516" s="7"/>
      <c r="L516" s="5">
        <f t="shared" si="15"/>
        <v>0</v>
      </c>
    </row>
    <row r="517" spans="1:12" x14ac:dyDescent="0.25">
      <c r="A517" s="31"/>
      <c r="B517" s="21"/>
      <c r="C517" s="21"/>
      <c r="D517" s="6"/>
      <c r="E517" s="14"/>
      <c r="F517" s="6"/>
      <c r="G517" s="6"/>
      <c r="H517" s="17"/>
      <c r="I517" s="49">
        <f t="shared" si="14"/>
        <v>0</v>
      </c>
      <c r="J517" s="13"/>
      <c r="K517" s="7"/>
      <c r="L517" s="5">
        <f t="shared" si="15"/>
        <v>0</v>
      </c>
    </row>
    <row r="518" spans="1:12" x14ac:dyDescent="0.25">
      <c r="A518" s="31"/>
      <c r="B518" s="21"/>
      <c r="C518" s="21"/>
      <c r="D518" s="6"/>
      <c r="E518" s="14"/>
      <c r="F518" s="6"/>
      <c r="G518" s="6"/>
      <c r="H518" s="17"/>
      <c r="I518" s="49">
        <f t="shared" si="14"/>
        <v>0</v>
      </c>
      <c r="J518" s="13"/>
      <c r="K518" s="7"/>
      <c r="L518" s="5">
        <f t="shared" si="15"/>
        <v>0</v>
      </c>
    </row>
    <row r="519" spans="1:12" x14ac:dyDescent="0.25">
      <c r="A519" s="31"/>
      <c r="B519" s="21"/>
      <c r="C519" s="21"/>
      <c r="D519" s="6"/>
      <c r="E519" s="14"/>
      <c r="F519" s="6"/>
      <c r="G519" s="6"/>
      <c r="H519" s="17"/>
      <c r="I519" s="49">
        <f t="shared" ref="I519:I582" si="16">F519*H519</f>
        <v>0</v>
      </c>
      <c r="J519" s="13"/>
      <c r="K519" s="7"/>
      <c r="L519" s="5">
        <f t="shared" ref="L519:L582" si="17">+I519+J519-K519</f>
        <v>0</v>
      </c>
    </row>
    <row r="520" spans="1:12" x14ac:dyDescent="0.25">
      <c r="A520" s="31"/>
      <c r="B520" s="21"/>
      <c r="C520" s="21"/>
      <c r="D520" s="6"/>
      <c r="E520" s="14"/>
      <c r="F520" s="6"/>
      <c r="G520" s="6"/>
      <c r="H520" s="17"/>
      <c r="I520" s="49">
        <f t="shared" si="16"/>
        <v>0</v>
      </c>
      <c r="J520" s="13"/>
      <c r="K520" s="7"/>
      <c r="L520" s="5">
        <f t="shared" si="17"/>
        <v>0</v>
      </c>
    </row>
    <row r="521" spans="1:12" x14ac:dyDescent="0.25">
      <c r="A521" s="31"/>
      <c r="B521" s="21"/>
      <c r="C521" s="21"/>
      <c r="D521" s="6"/>
      <c r="E521" s="14"/>
      <c r="F521" s="6"/>
      <c r="G521" s="6"/>
      <c r="H521" s="17"/>
      <c r="I521" s="49">
        <f t="shared" si="16"/>
        <v>0</v>
      </c>
      <c r="J521" s="13"/>
      <c r="K521" s="7"/>
      <c r="L521" s="5">
        <f t="shared" si="17"/>
        <v>0</v>
      </c>
    </row>
    <row r="522" spans="1:12" x14ac:dyDescent="0.25">
      <c r="A522" s="31"/>
      <c r="B522" s="21"/>
      <c r="C522" s="21"/>
      <c r="D522" s="6"/>
      <c r="E522" s="14"/>
      <c r="F522" s="6"/>
      <c r="G522" s="6"/>
      <c r="H522" s="17"/>
      <c r="I522" s="49">
        <f t="shared" si="16"/>
        <v>0</v>
      </c>
      <c r="J522" s="13"/>
      <c r="K522" s="7"/>
      <c r="L522" s="5">
        <f t="shared" si="17"/>
        <v>0</v>
      </c>
    </row>
    <row r="523" spans="1:12" x14ac:dyDescent="0.25">
      <c r="A523" s="31"/>
      <c r="B523" s="21"/>
      <c r="C523" s="21"/>
      <c r="D523" s="6"/>
      <c r="E523" s="14"/>
      <c r="F523" s="6"/>
      <c r="G523" s="6"/>
      <c r="H523" s="17"/>
      <c r="I523" s="49">
        <f t="shared" si="16"/>
        <v>0</v>
      </c>
      <c r="J523" s="13"/>
      <c r="K523" s="7"/>
      <c r="L523" s="5">
        <f t="shared" si="17"/>
        <v>0</v>
      </c>
    </row>
    <row r="524" spans="1:12" x14ac:dyDescent="0.25">
      <c r="A524" s="31"/>
      <c r="B524" s="21"/>
      <c r="C524" s="21"/>
      <c r="D524" s="6"/>
      <c r="E524" s="14"/>
      <c r="F524" s="6"/>
      <c r="G524" s="6"/>
      <c r="H524" s="17"/>
      <c r="I524" s="49">
        <f t="shared" si="16"/>
        <v>0</v>
      </c>
      <c r="J524" s="13"/>
      <c r="K524" s="7"/>
      <c r="L524" s="5">
        <f t="shared" si="17"/>
        <v>0</v>
      </c>
    </row>
    <row r="525" spans="1:12" x14ac:dyDescent="0.25">
      <c r="A525" s="31"/>
      <c r="B525" s="21"/>
      <c r="C525" s="21"/>
      <c r="D525" s="6"/>
      <c r="E525" s="14"/>
      <c r="F525" s="6"/>
      <c r="G525" s="6"/>
      <c r="H525" s="17"/>
      <c r="I525" s="49">
        <f t="shared" si="16"/>
        <v>0</v>
      </c>
      <c r="J525" s="13"/>
      <c r="K525" s="7"/>
      <c r="L525" s="5">
        <f t="shared" si="17"/>
        <v>0</v>
      </c>
    </row>
    <row r="526" spans="1:12" x14ac:dyDescent="0.25">
      <c r="A526" s="31"/>
      <c r="B526" s="21"/>
      <c r="C526" s="21"/>
      <c r="D526" s="6"/>
      <c r="E526" s="14"/>
      <c r="F526" s="6"/>
      <c r="G526" s="6"/>
      <c r="H526" s="17"/>
      <c r="I526" s="49">
        <f t="shared" si="16"/>
        <v>0</v>
      </c>
      <c r="J526" s="13"/>
      <c r="K526" s="7"/>
      <c r="L526" s="5">
        <f t="shared" si="17"/>
        <v>0</v>
      </c>
    </row>
    <row r="527" spans="1:12" x14ac:dyDescent="0.25">
      <c r="A527" s="31"/>
      <c r="B527" s="21"/>
      <c r="C527" s="21"/>
      <c r="D527" s="6"/>
      <c r="E527" s="14"/>
      <c r="F527" s="6"/>
      <c r="G527" s="6"/>
      <c r="H527" s="17"/>
      <c r="I527" s="49">
        <f t="shared" si="16"/>
        <v>0</v>
      </c>
      <c r="J527" s="13"/>
      <c r="K527" s="7"/>
      <c r="L527" s="5">
        <f t="shared" si="17"/>
        <v>0</v>
      </c>
    </row>
    <row r="528" spans="1:12" x14ac:dyDescent="0.25">
      <c r="A528" s="31"/>
      <c r="B528" s="21"/>
      <c r="C528" s="21"/>
      <c r="D528" s="6"/>
      <c r="E528" s="14"/>
      <c r="F528" s="6"/>
      <c r="G528" s="6"/>
      <c r="H528" s="17"/>
      <c r="I528" s="49">
        <f t="shared" si="16"/>
        <v>0</v>
      </c>
      <c r="J528" s="13"/>
      <c r="K528" s="7"/>
      <c r="L528" s="5">
        <f t="shared" si="17"/>
        <v>0</v>
      </c>
    </row>
    <row r="529" spans="1:12" x14ac:dyDescent="0.25">
      <c r="A529" s="31"/>
      <c r="B529" s="21"/>
      <c r="C529" s="21"/>
      <c r="D529" s="6"/>
      <c r="E529" s="14"/>
      <c r="F529" s="6"/>
      <c r="G529" s="6"/>
      <c r="H529" s="17"/>
      <c r="I529" s="49">
        <f t="shared" si="16"/>
        <v>0</v>
      </c>
      <c r="J529" s="13"/>
      <c r="K529" s="7"/>
      <c r="L529" s="5">
        <f t="shared" si="17"/>
        <v>0</v>
      </c>
    </row>
    <row r="530" spans="1:12" x14ac:dyDescent="0.25">
      <c r="A530" s="31"/>
      <c r="B530" s="21"/>
      <c r="C530" s="21"/>
      <c r="D530" s="6"/>
      <c r="E530" s="14"/>
      <c r="F530" s="6"/>
      <c r="G530" s="6"/>
      <c r="H530" s="17"/>
      <c r="I530" s="49">
        <f t="shared" si="16"/>
        <v>0</v>
      </c>
      <c r="J530" s="13"/>
      <c r="K530" s="7"/>
      <c r="L530" s="5">
        <f t="shared" si="17"/>
        <v>0</v>
      </c>
    </row>
    <row r="531" spans="1:12" x14ac:dyDescent="0.25">
      <c r="A531" s="31"/>
      <c r="B531" s="21"/>
      <c r="C531" s="21"/>
      <c r="D531" s="6"/>
      <c r="E531" s="14"/>
      <c r="F531" s="6"/>
      <c r="G531" s="6"/>
      <c r="H531" s="17"/>
      <c r="I531" s="49">
        <f t="shared" si="16"/>
        <v>0</v>
      </c>
      <c r="J531" s="13"/>
      <c r="K531" s="7"/>
      <c r="L531" s="5">
        <f t="shared" si="17"/>
        <v>0</v>
      </c>
    </row>
    <row r="532" spans="1:12" x14ac:dyDescent="0.25">
      <c r="A532" s="31"/>
      <c r="B532" s="21"/>
      <c r="C532" s="21"/>
      <c r="D532" s="6"/>
      <c r="E532" s="14"/>
      <c r="F532" s="6"/>
      <c r="G532" s="6"/>
      <c r="H532" s="17"/>
      <c r="I532" s="49">
        <f t="shared" si="16"/>
        <v>0</v>
      </c>
      <c r="J532" s="13"/>
      <c r="K532" s="7"/>
      <c r="L532" s="5">
        <f t="shared" si="17"/>
        <v>0</v>
      </c>
    </row>
    <row r="533" spans="1:12" x14ac:dyDescent="0.25">
      <c r="A533" s="31"/>
      <c r="B533" s="21"/>
      <c r="C533" s="21"/>
      <c r="D533" s="6"/>
      <c r="E533" s="14"/>
      <c r="F533" s="6"/>
      <c r="G533" s="6"/>
      <c r="H533" s="17"/>
      <c r="I533" s="49">
        <f t="shared" si="16"/>
        <v>0</v>
      </c>
      <c r="J533" s="13"/>
      <c r="K533" s="7"/>
      <c r="L533" s="5">
        <f t="shared" si="17"/>
        <v>0</v>
      </c>
    </row>
    <row r="534" spans="1:12" x14ac:dyDescent="0.25">
      <c r="A534" s="31"/>
      <c r="B534" s="21"/>
      <c r="C534" s="21"/>
      <c r="D534" s="6"/>
      <c r="E534" s="14"/>
      <c r="F534" s="6"/>
      <c r="G534" s="6"/>
      <c r="H534" s="17"/>
      <c r="I534" s="49">
        <f t="shared" si="16"/>
        <v>0</v>
      </c>
      <c r="J534" s="13"/>
      <c r="K534" s="7"/>
      <c r="L534" s="5">
        <f t="shared" si="17"/>
        <v>0</v>
      </c>
    </row>
    <row r="535" spans="1:12" x14ac:dyDescent="0.25">
      <c r="A535" s="31"/>
      <c r="B535" s="21"/>
      <c r="C535" s="21"/>
      <c r="D535" s="6"/>
      <c r="E535" s="14"/>
      <c r="F535" s="6"/>
      <c r="G535" s="6"/>
      <c r="H535" s="17"/>
      <c r="I535" s="49">
        <f t="shared" si="16"/>
        <v>0</v>
      </c>
      <c r="J535" s="13"/>
      <c r="K535" s="7"/>
      <c r="L535" s="5">
        <f t="shared" si="17"/>
        <v>0</v>
      </c>
    </row>
    <row r="536" spans="1:12" x14ac:dyDescent="0.25">
      <c r="A536" s="31"/>
      <c r="B536" s="21"/>
      <c r="C536" s="21"/>
      <c r="D536" s="6"/>
      <c r="E536" s="14"/>
      <c r="F536" s="6"/>
      <c r="G536" s="6"/>
      <c r="H536" s="17"/>
      <c r="I536" s="49">
        <f t="shared" si="16"/>
        <v>0</v>
      </c>
      <c r="J536" s="13"/>
      <c r="K536" s="7"/>
      <c r="L536" s="5">
        <f t="shared" si="17"/>
        <v>0</v>
      </c>
    </row>
    <row r="537" spans="1:12" x14ac:dyDescent="0.25">
      <c r="A537" s="31"/>
      <c r="B537" s="21"/>
      <c r="C537" s="21"/>
      <c r="D537" s="6"/>
      <c r="E537" s="14"/>
      <c r="F537" s="6"/>
      <c r="G537" s="6"/>
      <c r="H537" s="17"/>
      <c r="I537" s="49">
        <f t="shared" si="16"/>
        <v>0</v>
      </c>
      <c r="J537" s="13"/>
      <c r="K537" s="7"/>
      <c r="L537" s="5">
        <f t="shared" si="17"/>
        <v>0</v>
      </c>
    </row>
    <row r="538" spans="1:12" x14ac:dyDescent="0.25">
      <c r="A538" s="31"/>
      <c r="B538" s="21"/>
      <c r="C538" s="21"/>
      <c r="D538" s="6"/>
      <c r="E538" s="14"/>
      <c r="F538" s="6"/>
      <c r="G538" s="6"/>
      <c r="H538" s="17"/>
      <c r="I538" s="49">
        <f t="shared" si="16"/>
        <v>0</v>
      </c>
      <c r="J538" s="13"/>
      <c r="K538" s="7"/>
      <c r="L538" s="5">
        <f t="shared" si="17"/>
        <v>0</v>
      </c>
    </row>
    <row r="539" spans="1:12" x14ac:dyDescent="0.25">
      <c r="A539" s="31"/>
      <c r="B539" s="21"/>
      <c r="C539" s="21"/>
      <c r="D539" s="6"/>
      <c r="E539" s="14"/>
      <c r="F539" s="6"/>
      <c r="G539" s="6"/>
      <c r="H539" s="17"/>
      <c r="I539" s="49">
        <f t="shared" si="16"/>
        <v>0</v>
      </c>
      <c r="J539" s="13"/>
      <c r="K539" s="7"/>
      <c r="L539" s="5">
        <f t="shared" si="17"/>
        <v>0</v>
      </c>
    </row>
    <row r="540" spans="1:12" x14ac:dyDescent="0.25">
      <c r="A540" s="31"/>
      <c r="B540" s="21"/>
      <c r="C540" s="21"/>
      <c r="D540" s="6"/>
      <c r="E540" s="14"/>
      <c r="F540" s="6"/>
      <c r="G540" s="6"/>
      <c r="H540" s="17"/>
      <c r="I540" s="49">
        <f t="shared" si="16"/>
        <v>0</v>
      </c>
      <c r="J540" s="13"/>
      <c r="K540" s="7"/>
      <c r="L540" s="5">
        <f t="shared" si="17"/>
        <v>0</v>
      </c>
    </row>
    <row r="541" spans="1:12" x14ac:dyDescent="0.25">
      <c r="A541" s="31"/>
      <c r="B541" s="21"/>
      <c r="C541" s="21"/>
      <c r="D541" s="6"/>
      <c r="E541" s="14"/>
      <c r="F541" s="6"/>
      <c r="G541" s="6"/>
      <c r="H541" s="17"/>
      <c r="I541" s="49">
        <f t="shared" si="16"/>
        <v>0</v>
      </c>
      <c r="J541" s="13"/>
      <c r="K541" s="7"/>
      <c r="L541" s="5">
        <f t="shared" si="17"/>
        <v>0</v>
      </c>
    </row>
    <row r="542" spans="1:12" x14ac:dyDescent="0.25">
      <c r="A542" s="31"/>
      <c r="B542" s="21"/>
      <c r="C542" s="21"/>
      <c r="D542" s="6"/>
      <c r="E542" s="14"/>
      <c r="F542" s="6"/>
      <c r="G542" s="6"/>
      <c r="H542" s="17"/>
      <c r="I542" s="49">
        <f t="shared" si="16"/>
        <v>0</v>
      </c>
      <c r="J542" s="13"/>
      <c r="K542" s="7"/>
      <c r="L542" s="5">
        <f t="shared" si="17"/>
        <v>0</v>
      </c>
    </row>
    <row r="543" spans="1:12" x14ac:dyDescent="0.25">
      <c r="A543" s="31"/>
      <c r="B543" s="21"/>
      <c r="C543" s="21"/>
      <c r="D543" s="6"/>
      <c r="E543" s="14"/>
      <c r="F543" s="6"/>
      <c r="G543" s="6"/>
      <c r="H543" s="17"/>
      <c r="I543" s="49">
        <f t="shared" si="16"/>
        <v>0</v>
      </c>
      <c r="J543" s="13"/>
      <c r="K543" s="7"/>
      <c r="L543" s="5">
        <f t="shared" si="17"/>
        <v>0</v>
      </c>
    </row>
    <row r="544" spans="1:12" x14ac:dyDescent="0.25">
      <c r="A544" s="31"/>
      <c r="B544" s="21"/>
      <c r="C544" s="21"/>
      <c r="D544" s="6"/>
      <c r="E544" s="14"/>
      <c r="F544" s="6"/>
      <c r="G544" s="6"/>
      <c r="H544" s="17"/>
      <c r="I544" s="49">
        <f t="shared" si="16"/>
        <v>0</v>
      </c>
      <c r="J544" s="13"/>
      <c r="K544" s="7"/>
      <c r="L544" s="5">
        <f t="shared" si="17"/>
        <v>0</v>
      </c>
    </row>
    <row r="545" spans="1:12" x14ac:dyDescent="0.25">
      <c r="A545" s="31"/>
      <c r="B545" s="21"/>
      <c r="C545" s="21"/>
      <c r="D545" s="6"/>
      <c r="E545" s="14"/>
      <c r="F545" s="6"/>
      <c r="G545" s="6"/>
      <c r="H545" s="17"/>
      <c r="I545" s="49">
        <f t="shared" si="16"/>
        <v>0</v>
      </c>
      <c r="J545" s="13"/>
      <c r="K545" s="7"/>
      <c r="L545" s="5">
        <f t="shared" si="17"/>
        <v>0</v>
      </c>
    </row>
    <row r="546" spans="1:12" x14ac:dyDescent="0.25">
      <c r="A546" s="31"/>
      <c r="B546" s="21"/>
      <c r="C546" s="21"/>
      <c r="D546" s="6"/>
      <c r="E546" s="14"/>
      <c r="F546" s="6"/>
      <c r="G546" s="6"/>
      <c r="H546" s="17"/>
      <c r="I546" s="49">
        <f t="shared" si="16"/>
        <v>0</v>
      </c>
      <c r="J546" s="13"/>
      <c r="K546" s="7"/>
      <c r="L546" s="5">
        <f t="shared" si="17"/>
        <v>0</v>
      </c>
    </row>
    <row r="547" spans="1:12" x14ac:dyDescent="0.25">
      <c r="A547" s="31"/>
      <c r="B547" s="21"/>
      <c r="C547" s="21"/>
      <c r="D547" s="6"/>
      <c r="E547" s="14"/>
      <c r="F547" s="6"/>
      <c r="G547" s="6"/>
      <c r="H547" s="17"/>
      <c r="I547" s="49">
        <f t="shared" si="16"/>
        <v>0</v>
      </c>
      <c r="J547" s="13"/>
      <c r="K547" s="7"/>
      <c r="L547" s="5">
        <f t="shared" si="17"/>
        <v>0</v>
      </c>
    </row>
    <row r="548" spans="1:12" x14ac:dyDescent="0.25">
      <c r="A548" s="31"/>
      <c r="B548" s="21"/>
      <c r="C548" s="21"/>
      <c r="D548" s="6"/>
      <c r="E548" s="14"/>
      <c r="F548" s="6"/>
      <c r="G548" s="6"/>
      <c r="H548" s="17"/>
      <c r="I548" s="49">
        <f t="shared" si="16"/>
        <v>0</v>
      </c>
      <c r="J548" s="13"/>
      <c r="K548" s="7"/>
      <c r="L548" s="5">
        <f t="shared" si="17"/>
        <v>0</v>
      </c>
    </row>
    <row r="549" spans="1:12" x14ac:dyDescent="0.25">
      <c r="A549" s="31"/>
      <c r="B549" s="21"/>
      <c r="C549" s="21"/>
      <c r="D549" s="6"/>
      <c r="E549" s="14"/>
      <c r="F549" s="6"/>
      <c r="G549" s="6"/>
      <c r="H549" s="17"/>
      <c r="I549" s="49">
        <f t="shared" si="16"/>
        <v>0</v>
      </c>
      <c r="J549" s="13"/>
      <c r="K549" s="7"/>
      <c r="L549" s="5">
        <f t="shared" si="17"/>
        <v>0</v>
      </c>
    </row>
    <row r="550" spans="1:12" x14ac:dyDescent="0.25">
      <c r="A550" s="31"/>
      <c r="B550" s="21"/>
      <c r="C550" s="21"/>
      <c r="D550" s="6"/>
      <c r="E550" s="14"/>
      <c r="F550" s="6"/>
      <c r="G550" s="6"/>
      <c r="H550" s="17"/>
      <c r="I550" s="49">
        <f t="shared" si="16"/>
        <v>0</v>
      </c>
      <c r="J550" s="13"/>
      <c r="K550" s="7"/>
      <c r="L550" s="5">
        <f t="shared" si="17"/>
        <v>0</v>
      </c>
    </row>
    <row r="551" spans="1:12" x14ac:dyDescent="0.25">
      <c r="A551" s="31"/>
      <c r="B551" s="21"/>
      <c r="C551" s="21"/>
      <c r="D551" s="6"/>
      <c r="E551" s="14"/>
      <c r="F551" s="6"/>
      <c r="G551" s="6"/>
      <c r="H551" s="17"/>
      <c r="I551" s="49">
        <f t="shared" si="16"/>
        <v>0</v>
      </c>
      <c r="J551" s="13"/>
      <c r="K551" s="7"/>
      <c r="L551" s="5">
        <f t="shared" si="17"/>
        <v>0</v>
      </c>
    </row>
    <row r="552" spans="1:12" x14ac:dyDescent="0.25">
      <c r="A552" s="31"/>
      <c r="B552" s="21"/>
      <c r="C552" s="21"/>
      <c r="D552" s="6"/>
      <c r="E552" s="14"/>
      <c r="F552" s="6"/>
      <c r="G552" s="6"/>
      <c r="H552" s="17"/>
      <c r="I552" s="49">
        <f t="shared" si="16"/>
        <v>0</v>
      </c>
      <c r="J552" s="13"/>
      <c r="K552" s="7"/>
      <c r="L552" s="5">
        <f t="shared" si="17"/>
        <v>0</v>
      </c>
    </row>
    <row r="553" spans="1:12" x14ac:dyDescent="0.25">
      <c r="A553" s="31"/>
      <c r="B553" s="21"/>
      <c r="C553" s="21"/>
      <c r="D553" s="6"/>
      <c r="E553" s="14"/>
      <c r="F553" s="6"/>
      <c r="G553" s="6"/>
      <c r="H553" s="17"/>
      <c r="I553" s="49">
        <f t="shared" si="16"/>
        <v>0</v>
      </c>
      <c r="J553" s="13"/>
      <c r="K553" s="7"/>
      <c r="L553" s="5">
        <f t="shared" si="17"/>
        <v>0</v>
      </c>
    </row>
    <row r="554" spans="1:12" x14ac:dyDescent="0.25">
      <c r="A554" s="31"/>
      <c r="B554" s="21"/>
      <c r="C554" s="21"/>
      <c r="D554" s="6"/>
      <c r="E554" s="14"/>
      <c r="F554" s="6"/>
      <c r="G554" s="6"/>
      <c r="H554" s="17"/>
      <c r="I554" s="49">
        <f t="shared" si="16"/>
        <v>0</v>
      </c>
      <c r="J554" s="13"/>
      <c r="K554" s="7"/>
      <c r="L554" s="5">
        <f t="shared" si="17"/>
        <v>0</v>
      </c>
    </row>
    <row r="555" spans="1:12" x14ac:dyDescent="0.25">
      <c r="A555" s="31"/>
      <c r="B555" s="21"/>
      <c r="C555" s="21"/>
      <c r="D555" s="6"/>
      <c r="E555" s="14"/>
      <c r="F555" s="6"/>
      <c r="G555" s="6"/>
      <c r="H555" s="17"/>
      <c r="I555" s="49">
        <f t="shared" si="16"/>
        <v>0</v>
      </c>
      <c r="J555" s="13"/>
      <c r="K555" s="7"/>
      <c r="L555" s="5">
        <f t="shared" si="17"/>
        <v>0</v>
      </c>
    </row>
    <row r="556" spans="1:12" x14ac:dyDescent="0.25">
      <c r="A556" s="31"/>
      <c r="B556" s="21"/>
      <c r="C556" s="21"/>
      <c r="D556" s="6"/>
      <c r="E556" s="14"/>
      <c r="F556" s="6"/>
      <c r="G556" s="6"/>
      <c r="H556" s="17"/>
      <c r="I556" s="49">
        <f t="shared" si="16"/>
        <v>0</v>
      </c>
      <c r="J556" s="13"/>
      <c r="K556" s="7"/>
      <c r="L556" s="5">
        <f t="shared" si="17"/>
        <v>0</v>
      </c>
    </row>
    <row r="557" spans="1:12" x14ac:dyDescent="0.25">
      <c r="A557" s="31"/>
      <c r="B557" s="21"/>
      <c r="C557" s="21"/>
      <c r="D557" s="6"/>
      <c r="E557" s="14"/>
      <c r="F557" s="6"/>
      <c r="G557" s="6"/>
      <c r="H557" s="17"/>
      <c r="I557" s="49">
        <f t="shared" si="16"/>
        <v>0</v>
      </c>
      <c r="J557" s="13"/>
      <c r="K557" s="7"/>
      <c r="L557" s="5">
        <f t="shared" si="17"/>
        <v>0</v>
      </c>
    </row>
    <row r="558" spans="1:12" x14ac:dyDescent="0.25">
      <c r="A558" s="31"/>
      <c r="B558" s="21"/>
      <c r="C558" s="21"/>
      <c r="D558" s="6"/>
      <c r="E558" s="14"/>
      <c r="F558" s="6"/>
      <c r="G558" s="6"/>
      <c r="H558" s="17"/>
      <c r="I558" s="49">
        <f t="shared" si="16"/>
        <v>0</v>
      </c>
      <c r="J558" s="13"/>
      <c r="K558" s="7"/>
      <c r="L558" s="5">
        <f t="shared" si="17"/>
        <v>0</v>
      </c>
    </row>
    <row r="559" spans="1:12" x14ac:dyDescent="0.25">
      <c r="A559" s="31"/>
      <c r="B559" s="21"/>
      <c r="C559" s="21"/>
      <c r="D559" s="6"/>
      <c r="E559" s="14"/>
      <c r="F559" s="6"/>
      <c r="G559" s="6"/>
      <c r="H559" s="17"/>
      <c r="I559" s="49">
        <f t="shared" si="16"/>
        <v>0</v>
      </c>
      <c r="J559" s="13"/>
      <c r="K559" s="7"/>
      <c r="L559" s="5">
        <f t="shared" si="17"/>
        <v>0</v>
      </c>
    </row>
    <row r="560" spans="1:12" x14ac:dyDescent="0.25">
      <c r="A560" s="31"/>
      <c r="B560" s="21"/>
      <c r="C560" s="21"/>
      <c r="D560" s="6"/>
      <c r="E560" s="14"/>
      <c r="F560" s="6"/>
      <c r="G560" s="6"/>
      <c r="H560" s="17"/>
      <c r="I560" s="49">
        <f t="shared" si="16"/>
        <v>0</v>
      </c>
      <c r="J560" s="13"/>
      <c r="K560" s="7"/>
      <c r="L560" s="5">
        <f t="shared" si="17"/>
        <v>0</v>
      </c>
    </row>
    <row r="561" spans="1:12" x14ac:dyDescent="0.25">
      <c r="A561" s="31"/>
      <c r="B561" s="21"/>
      <c r="C561" s="21"/>
      <c r="D561" s="6"/>
      <c r="E561" s="14"/>
      <c r="F561" s="6"/>
      <c r="G561" s="6"/>
      <c r="H561" s="17"/>
      <c r="I561" s="49">
        <f t="shared" si="16"/>
        <v>0</v>
      </c>
      <c r="J561" s="13"/>
      <c r="K561" s="7"/>
      <c r="L561" s="5">
        <f t="shared" si="17"/>
        <v>0</v>
      </c>
    </row>
    <row r="562" spans="1:12" x14ac:dyDescent="0.25">
      <c r="A562" s="31"/>
      <c r="B562" s="21"/>
      <c r="C562" s="21"/>
      <c r="D562" s="6"/>
      <c r="E562" s="14"/>
      <c r="F562" s="6"/>
      <c r="G562" s="6"/>
      <c r="H562" s="17"/>
      <c r="I562" s="49">
        <f t="shared" si="16"/>
        <v>0</v>
      </c>
      <c r="J562" s="13"/>
      <c r="K562" s="7"/>
      <c r="L562" s="5">
        <f t="shared" si="17"/>
        <v>0</v>
      </c>
    </row>
    <row r="563" spans="1:12" x14ac:dyDescent="0.25">
      <c r="A563" s="31"/>
      <c r="B563" s="21"/>
      <c r="C563" s="21"/>
      <c r="D563" s="6"/>
      <c r="E563" s="14"/>
      <c r="F563" s="6"/>
      <c r="G563" s="6"/>
      <c r="H563" s="17"/>
      <c r="I563" s="49">
        <f t="shared" si="16"/>
        <v>0</v>
      </c>
      <c r="J563" s="13"/>
      <c r="K563" s="7"/>
      <c r="L563" s="5">
        <f t="shared" si="17"/>
        <v>0</v>
      </c>
    </row>
    <row r="564" spans="1:12" x14ac:dyDescent="0.25">
      <c r="A564" s="31"/>
      <c r="B564" s="21"/>
      <c r="C564" s="21"/>
      <c r="D564" s="6"/>
      <c r="E564" s="14"/>
      <c r="F564" s="6"/>
      <c r="G564" s="6"/>
      <c r="H564" s="17"/>
      <c r="I564" s="49">
        <f t="shared" si="16"/>
        <v>0</v>
      </c>
      <c r="J564" s="13"/>
      <c r="K564" s="7"/>
      <c r="L564" s="5">
        <f t="shared" si="17"/>
        <v>0</v>
      </c>
    </row>
    <row r="565" spans="1:12" x14ac:dyDescent="0.25">
      <c r="A565" s="31"/>
      <c r="B565" s="21"/>
      <c r="C565" s="21"/>
      <c r="D565" s="6"/>
      <c r="E565" s="14"/>
      <c r="F565" s="6"/>
      <c r="G565" s="6"/>
      <c r="H565" s="17"/>
      <c r="I565" s="49">
        <f t="shared" si="16"/>
        <v>0</v>
      </c>
      <c r="J565" s="13"/>
      <c r="K565" s="7"/>
      <c r="L565" s="5">
        <f t="shared" si="17"/>
        <v>0</v>
      </c>
    </row>
    <row r="566" spans="1:12" x14ac:dyDescent="0.25">
      <c r="A566" s="31"/>
      <c r="B566" s="21"/>
      <c r="C566" s="21"/>
      <c r="D566" s="6"/>
      <c r="E566" s="14"/>
      <c r="F566" s="6"/>
      <c r="G566" s="6"/>
      <c r="H566" s="17"/>
      <c r="I566" s="49">
        <f t="shared" si="16"/>
        <v>0</v>
      </c>
      <c r="J566" s="13"/>
      <c r="K566" s="7"/>
      <c r="L566" s="5">
        <f t="shared" si="17"/>
        <v>0</v>
      </c>
    </row>
    <row r="567" spans="1:12" x14ac:dyDescent="0.25">
      <c r="A567" s="31"/>
      <c r="B567" s="21"/>
      <c r="C567" s="21"/>
      <c r="D567" s="6"/>
      <c r="E567" s="14"/>
      <c r="F567" s="6"/>
      <c r="G567" s="6"/>
      <c r="H567" s="17"/>
      <c r="I567" s="49">
        <f t="shared" si="16"/>
        <v>0</v>
      </c>
      <c r="J567" s="13"/>
      <c r="K567" s="7"/>
      <c r="L567" s="5">
        <f t="shared" si="17"/>
        <v>0</v>
      </c>
    </row>
    <row r="568" spans="1:12" x14ac:dyDescent="0.25">
      <c r="A568" s="31"/>
      <c r="B568" s="21"/>
      <c r="C568" s="21"/>
      <c r="D568" s="6"/>
      <c r="E568" s="14"/>
      <c r="F568" s="6"/>
      <c r="G568" s="6"/>
      <c r="H568" s="17"/>
      <c r="I568" s="49">
        <f t="shared" si="16"/>
        <v>0</v>
      </c>
      <c r="J568" s="13"/>
      <c r="K568" s="7"/>
      <c r="L568" s="5">
        <f t="shared" si="17"/>
        <v>0</v>
      </c>
    </row>
    <row r="569" spans="1:12" x14ac:dyDescent="0.25">
      <c r="A569" s="31"/>
      <c r="B569" s="21"/>
      <c r="C569" s="21"/>
      <c r="D569" s="6"/>
      <c r="E569" s="14"/>
      <c r="F569" s="6"/>
      <c r="G569" s="6"/>
      <c r="H569" s="17"/>
      <c r="I569" s="49">
        <f t="shared" si="16"/>
        <v>0</v>
      </c>
      <c r="J569" s="13"/>
      <c r="K569" s="7"/>
      <c r="L569" s="5">
        <f t="shared" si="17"/>
        <v>0</v>
      </c>
    </row>
    <row r="570" spans="1:12" x14ac:dyDescent="0.25">
      <c r="A570" s="31"/>
      <c r="B570" s="21"/>
      <c r="C570" s="21"/>
      <c r="D570" s="6"/>
      <c r="E570" s="14"/>
      <c r="F570" s="6"/>
      <c r="G570" s="6"/>
      <c r="H570" s="17"/>
      <c r="I570" s="49">
        <f t="shared" si="16"/>
        <v>0</v>
      </c>
      <c r="J570" s="13"/>
      <c r="K570" s="7"/>
      <c r="L570" s="5">
        <f t="shared" si="17"/>
        <v>0</v>
      </c>
    </row>
    <row r="571" spans="1:12" x14ac:dyDescent="0.25">
      <c r="A571" s="31"/>
      <c r="B571" s="21"/>
      <c r="C571" s="21"/>
      <c r="D571" s="6"/>
      <c r="E571" s="14"/>
      <c r="F571" s="6"/>
      <c r="G571" s="6"/>
      <c r="H571" s="17"/>
      <c r="I571" s="49">
        <f t="shared" si="16"/>
        <v>0</v>
      </c>
      <c r="J571" s="13"/>
      <c r="K571" s="7"/>
      <c r="L571" s="5">
        <f t="shared" si="17"/>
        <v>0</v>
      </c>
    </row>
    <row r="572" spans="1:12" x14ac:dyDescent="0.25">
      <c r="A572" s="31"/>
      <c r="B572" s="21"/>
      <c r="C572" s="21"/>
      <c r="D572" s="6"/>
      <c r="E572" s="14"/>
      <c r="F572" s="6"/>
      <c r="G572" s="6"/>
      <c r="H572" s="17"/>
      <c r="I572" s="49">
        <f t="shared" si="16"/>
        <v>0</v>
      </c>
      <c r="J572" s="13"/>
      <c r="K572" s="7"/>
      <c r="L572" s="5">
        <f t="shared" si="17"/>
        <v>0</v>
      </c>
    </row>
    <row r="573" spans="1:12" x14ac:dyDescent="0.25">
      <c r="A573" s="31"/>
      <c r="B573" s="21"/>
      <c r="C573" s="21"/>
      <c r="D573" s="6"/>
      <c r="E573" s="14"/>
      <c r="F573" s="6"/>
      <c r="G573" s="6"/>
      <c r="H573" s="17"/>
      <c r="I573" s="49">
        <f t="shared" si="16"/>
        <v>0</v>
      </c>
      <c r="J573" s="13"/>
      <c r="K573" s="7"/>
      <c r="L573" s="5">
        <f t="shared" si="17"/>
        <v>0</v>
      </c>
    </row>
    <row r="574" spans="1:12" x14ac:dyDescent="0.25">
      <c r="A574" s="31"/>
      <c r="B574" s="21"/>
      <c r="C574" s="21"/>
      <c r="D574" s="6"/>
      <c r="E574" s="14"/>
      <c r="F574" s="6"/>
      <c r="G574" s="6"/>
      <c r="H574" s="17"/>
      <c r="I574" s="49">
        <f t="shared" si="16"/>
        <v>0</v>
      </c>
      <c r="J574" s="13"/>
      <c r="K574" s="7"/>
      <c r="L574" s="5">
        <f t="shared" si="17"/>
        <v>0</v>
      </c>
    </row>
    <row r="575" spans="1:12" x14ac:dyDescent="0.25">
      <c r="A575" s="31"/>
      <c r="B575" s="21"/>
      <c r="C575" s="21"/>
      <c r="D575" s="6"/>
      <c r="E575" s="14"/>
      <c r="F575" s="6"/>
      <c r="G575" s="6"/>
      <c r="H575" s="17"/>
      <c r="I575" s="49">
        <f t="shared" si="16"/>
        <v>0</v>
      </c>
      <c r="J575" s="13"/>
      <c r="K575" s="7"/>
      <c r="L575" s="5">
        <f t="shared" si="17"/>
        <v>0</v>
      </c>
    </row>
    <row r="576" spans="1:12" x14ac:dyDescent="0.25">
      <c r="A576" s="31"/>
      <c r="B576" s="21"/>
      <c r="C576" s="21"/>
      <c r="D576" s="6"/>
      <c r="E576" s="14"/>
      <c r="F576" s="6"/>
      <c r="G576" s="6"/>
      <c r="H576" s="17"/>
      <c r="I576" s="49">
        <f t="shared" si="16"/>
        <v>0</v>
      </c>
      <c r="J576" s="13"/>
      <c r="K576" s="7"/>
      <c r="L576" s="5">
        <f t="shared" si="17"/>
        <v>0</v>
      </c>
    </row>
    <row r="577" spans="1:12" x14ac:dyDescent="0.25">
      <c r="A577" s="31"/>
      <c r="B577" s="21"/>
      <c r="C577" s="21"/>
      <c r="D577" s="6"/>
      <c r="E577" s="14"/>
      <c r="F577" s="6"/>
      <c r="G577" s="6"/>
      <c r="H577" s="17"/>
      <c r="I577" s="49">
        <f t="shared" si="16"/>
        <v>0</v>
      </c>
      <c r="J577" s="13"/>
      <c r="K577" s="7"/>
      <c r="L577" s="5">
        <f t="shared" si="17"/>
        <v>0</v>
      </c>
    </row>
    <row r="578" spans="1:12" x14ac:dyDescent="0.25">
      <c r="A578" s="31"/>
      <c r="B578" s="21"/>
      <c r="C578" s="21"/>
      <c r="D578" s="6"/>
      <c r="E578" s="14"/>
      <c r="F578" s="6"/>
      <c r="G578" s="6"/>
      <c r="H578" s="17"/>
      <c r="I578" s="49">
        <f t="shared" si="16"/>
        <v>0</v>
      </c>
      <c r="J578" s="13"/>
      <c r="K578" s="7"/>
      <c r="L578" s="5">
        <f t="shared" si="17"/>
        <v>0</v>
      </c>
    </row>
    <row r="579" spans="1:12" x14ac:dyDescent="0.25">
      <c r="A579" s="31"/>
      <c r="B579" s="21"/>
      <c r="C579" s="21"/>
      <c r="D579" s="6"/>
      <c r="E579" s="14"/>
      <c r="F579" s="6"/>
      <c r="G579" s="6"/>
      <c r="H579" s="17"/>
      <c r="I579" s="49">
        <f t="shared" si="16"/>
        <v>0</v>
      </c>
      <c r="J579" s="13"/>
      <c r="K579" s="7"/>
      <c r="L579" s="5">
        <f t="shared" si="17"/>
        <v>0</v>
      </c>
    </row>
    <row r="580" spans="1:12" x14ac:dyDescent="0.25">
      <c r="A580" s="31"/>
      <c r="B580" s="21"/>
      <c r="C580" s="21"/>
      <c r="D580" s="6"/>
      <c r="E580" s="14"/>
      <c r="F580" s="6"/>
      <c r="G580" s="6"/>
      <c r="H580" s="17"/>
      <c r="I580" s="49">
        <f t="shared" si="16"/>
        <v>0</v>
      </c>
      <c r="J580" s="13"/>
      <c r="K580" s="7"/>
      <c r="L580" s="5">
        <f t="shared" si="17"/>
        <v>0</v>
      </c>
    </row>
    <row r="581" spans="1:12" x14ac:dyDescent="0.25">
      <c r="A581" s="31"/>
      <c r="B581" s="21"/>
      <c r="C581" s="21"/>
      <c r="D581" s="6"/>
      <c r="E581" s="14"/>
      <c r="F581" s="6"/>
      <c r="G581" s="6"/>
      <c r="H581" s="17"/>
      <c r="I581" s="49">
        <f t="shared" si="16"/>
        <v>0</v>
      </c>
      <c r="J581" s="13"/>
      <c r="K581" s="7"/>
      <c r="L581" s="5">
        <f t="shared" si="17"/>
        <v>0</v>
      </c>
    </row>
    <row r="582" spans="1:12" x14ac:dyDescent="0.25">
      <c r="A582" s="31"/>
      <c r="B582" s="21"/>
      <c r="C582" s="21"/>
      <c r="D582" s="6"/>
      <c r="E582" s="14"/>
      <c r="F582" s="6"/>
      <c r="G582" s="6"/>
      <c r="H582" s="17"/>
      <c r="I582" s="49">
        <f t="shared" si="16"/>
        <v>0</v>
      </c>
      <c r="J582" s="13"/>
      <c r="K582" s="7"/>
      <c r="L582" s="5">
        <f t="shared" si="17"/>
        <v>0</v>
      </c>
    </row>
    <row r="583" spans="1:12" x14ac:dyDescent="0.25">
      <c r="A583" s="31"/>
      <c r="B583" s="21"/>
      <c r="C583" s="21"/>
      <c r="D583" s="6"/>
      <c r="E583" s="14"/>
      <c r="F583" s="6"/>
      <c r="G583" s="6"/>
      <c r="H583" s="17"/>
      <c r="I583" s="49">
        <f t="shared" ref="I583:I646" si="18">F583*H583</f>
        <v>0</v>
      </c>
      <c r="J583" s="13"/>
      <c r="K583" s="7"/>
      <c r="L583" s="5">
        <f t="shared" ref="L583:L646" si="19">+I583+J583-K583</f>
        <v>0</v>
      </c>
    </row>
    <row r="584" spans="1:12" x14ac:dyDescent="0.25">
      <c r="A584" s="31"/>
      <c r="B584" s="21"/>
      <c r="C584" s="21"/>
      <c r="D584" s="6"/>
      <c r="E584" s="14"/>
      <c r="F584" s="6"/>
      <c r="G584" s="6"/>
      <c r="H584" s="17"/>
      <c r="I584" s="49">
        <f t="shared" si="18"/>
        <v>0</v>
      </c>
      <c r="J584" s="13"/>
      <c r="K584" s="7"/>
      <c r="L584" s="5">
        <f t="shared" si="19"/>
        <v>0</v>
      </c>
    </row>
    <row r="585" spans="1:12" x14ac:dyDescent="0.25">
      <c r="A585" s="31"/>
      <c r="B585" s="21"/>
      <c r="C585" s="21"/>
      <c r="D585" s="6"/>
      <c r="E585" s="14"/>
      <c r="F585" s="6"/>
      <c r="G585" s="6"/>
      <c r="H585" s="17"/>
      <c r="I585" s="49">
        <f t="shared" si="18"/>
        <v>0</v>
      </c>
      <c r="J585" s="13"/>
      <c r="K585" s="7"/>
      <c r="L585" s="5">
        <f t="shared" si="19"/>
        <v>0</v>
      </c>
    </row>
    <row r="586" spans="1:12" x14ac:dyDescent="0.25">
      <c r="A586" s="31"/>
      <c r="B586" s="21"/>
      <c r="C586" s="21"/>
      <c r="D586" s="6"/>
      <c r="E586" s="14"/>
      <c r="F586" s="6"/>
      <c r="G586" s="6"/>
      <c r="H586" s="17"/>
      <c r="I586" s="49">
        <f t="shared" si="18"/>
        <v>0</v>
      </c>
      <c r="J586" s="13"/>
      <c r="K586" s="7"/>
      <c r="L586" s="5">
        <f t="shared" si="19"/>
        <v>0</v>
      </c>
    </row>
    <row r="587" spans="1:12" x14ac:dyDescent="0.25">
      <c r="A587" s="31"/>
      <c r="B587" s="21"/>
      <c r="C587" s="21"/>
      <c r="D587" s="6"/>
      <c r="E587" s="14"/>
      <c r="F587" s="6"/>
      <c r="G587" s="6"/>
      <c r="H587" s="17"/>
      <c r="I587" s="49">
        <f t="shared" si="18"/>
        <v>0</v>
      </c>
      <c r="J587" s="13"/>
      <c r="K587" s="7"/>
      <c r="L587" s="5">
        <f t="shared" si="19"/>
        <v>0</v>
      </c>
    </row>
    <row r="588" spans="1:12" x14ac:dyDescent="0.25">
      <c r="A588" s="31"/>
      <c r="B588" s="21"/>
      <c r="C588" s="21"/>
      <c r="D588" s="6"/>
      <c r="E588" s="14"/>
      <c r="F588" s="6"/>
      <c r="G588" s="6"/>
      <c r="H588" s="17"/>
      <c r="I588" s="49">
        <f t="shared" si="18"/>
        <v>0</v>
      </c>
      <c r="J588" s="13"/>
      <c r="K588" s="7"/>
      <c r="L588" s="5">
        <f t="shared" si="19"/>
        <v>0</v>
      </c>
    </row>
    <row r="589" spans="1:12" x14ac:dyDescent="0.25">
      <c r="A589" s="31"/>
      <c r="B589" s="21"/>
      <c r="C589" s="21"/>
      <c r="D589" s="6"/>
      <c r="E589" s="14"/>
      <c r="F589" s="6"/>
      <c r="G589" s="6"/>
      <c r="H589" s="17"/>
      <c r="I589" s="49">
        <f t="shared" si="18"/>
        <v>0</v>
      </c>
      <c r="J589" s="13"/>
      <c r="K589" s="7"/>
      <c r="L589" s="5">
        <f t="shared" si="19"/>
        <v>0</v>
      </c>
    </row>
    <row r="590" spans="1:12" x14ac:dyDescent="0.25">
      <c r="A590" s="31"/>
      <c r="B590" s="21"/>
      <c r="C590" s="21"/>
      <c r="D590" s="6"/>
      <c r="E590" s="14"/>
      <c r="F590" s="6"/>
      <c r="G590" s="6"/>
      <c r="H590" s="17"/>
      <c r="I590" s="49">
        <f t="shared" si="18"/>
        <v>0</v>
      </c>
      <c r="J590" s="13"/>
      <c r="K590" s="7"/>
      <c r="L590" s="5">
        <f t="shared" si="19"/>
        <v>0</v>
      </c>
    </row>
    <row r="591" spans="1:12" x14ac:dyDescent="0.25">
      <c r="A591" s="31"/>
      <c r="B591" s="21"/>
      <c r="C591" s="21"/>
      <c r="D591" s="6"/>
      <c r="E591" s="14"/>
      <c r="F591" s="6"/>
      <c r="G591" s="6"/>
      <c r="H591" s="17"/>
      <c r="I591" s="49">
        <f t="shared" si="18"/>
        <v>0</v>
      </c>
      <c r="J591" s="13"/>
      <c r="K591" s="7"/>
      <c r="L591" s="5">
        <f t="shared" si="19"/>
        <v>0</v>
      </c>
    </row>
    <row r="592" spans="1:12" x14ac:dyDescent="0.25">
      <c r="A592" s="31"/>
      <c r="B592" s="21"/>
      <c r="C592" s="21"/>
      <c r="D592" s="6"/>
      <c r="E592" s="14"/>
      <c r="F592" s="6"/>
      <c r="G592" s="6"/>
      <c r="H592" s="17"/>
      <c r="I592" s="49">
        <f t="shared" si="18"/>
        <v>0</v>
      </c>
      <c r="J592" s="13"/>
      <c r="K592" s="7"/>
      <c r="L592" s="5">
        <f t="shared" si="19"/>
        <v>0</v>
      </c>
    </row>
    <row r="593" spans="1:12" x14ac:dyDescent="0.25">
      <c r="A593" s="31"/>
      <c r="B593" s="21"/>
      <c r="C593" s="21"/>
      <c r="D593" s="6"/>
      <c r="E593" s="14"/>
      <c r="F593" s="6"/>
      <c r="G593" s="6"/>
      <c r="H593" s="17"/>
      <c r="I593" s="49">
        <f t="shared" si="18"/>
        <v>0</v>
      </c>
      <c r="J593" s="13"/>
      <c r="K593" s="7"/>
      <c r="L593" s="5">
        <f t="shared" si="19"/>
        <v>0</v>
      </c>
    </row>
    <row r="594" spans="1:12" x14ac:dyDescent="0.25">
      <c r="A594" s="31"/>
      <c r="B594" s="21"/>
      <c r="C594" s="21"/>
      <c r="D594" s="6"/>
      <c r="E594" s="14"/>
      <c r="F594" s="6"/>
      <c r="G594" s="6"/>
      <c r="H594" s="17"/>
      <c r="I594" s="49">
        <f t="shared" si="18"/>
        <v>0</v>
      </c>
      <c r="J594" s="13"/>
      <c r="K594" s="7"/>
      <c r="L594" s="5">
        <f t="shared" si="19"/>
        <v>0</v>
      </c>
    </row>
    <row r="595" spans="1:12" x14ac:dyDescent="0.25">
      <c r="A595" s="31"/>
      <c r="B595" s="21"/>
      <c r="C595" s="21"/>
      <c r="D595" s="6"/>
      <c r="E595" s="14"/>
      <c r="F595" s="6"/>
      <c r="G595" s="6"/>
      <c r="H595" s="17"/>
      <c r="I595" s="49">
        <f t="shared" si="18"/>
        <v>0</v>
      </c>
      <c r="J595" s="13"/>
      <c r="K595" s="7"/>
      <c r="L595" s="5">
        <f t="shared" si="19"/>
        <v>0</v>
      </c>
    </row>
    <row r="596" spans="1:12" x14ac:dyDescent="0.25">
      <c r="A596" s="31"/>
      <c r="B596" s="21"/>
      <c r="C596" s="21"/>
      <c r="D596" s="6"/>
      <c r="E596" s="14"/>
      <c r="F596" s="6"/>
      <c r="G596" s="6"/>
      <c r="H596" s="17"/>
      <c r="I596" s="49">
        <f t="shared" si="18"/>
        <v>0</v>
      </c>
      <c r="J596" s="13"/>
      <c r="K596" s="7"/>
      <c r="L596" s="5">
        <f t="shared" si="19"/>
        <v>0</v>
      </c>
    </row>
    <row r="597" spans="1:12" x14ac:dyDescent="0.25">
      <c r="A597" s="31"/>
      <c r="B597" s="21"/>
      <c r="C597" s="21"/>
      <c r="D597" s="6"/>
      <c r="E597" s="14"/>
      <c r="F597" s="6"/>
      <c r="G597" s="6"/>
      <c r="H597" s="17"/>
      <c r="I597" s="49">
        <f t="shared" si="18"/>
        <v>0</v>
      </c>
      <c r="J597" s="13"/>
      <c r="K597" s="7"/>
      <c r="L597" s="5">
        <f t="shared" si="19"/>
        <v>0</v>
      </c>
    </row>
    <row r="598" spans="1:12" x14ac:dyDescent="0.25">
      <c r="A598" s="31"/>
      <c r="B598" s="21"/>
      <c r="C598" s="21"/>
      <c r="D598" s="6"/>
      <c r="E598" s="14"/>
      <c r="F598" s="6"/>
      <c r="G598" s="6"/>
      <c r="H598" s="17"/>
      <c r="I598" s="49">
        <f t="shared" si="18"/>
        <v>0</v>
      </c>
      <c r="J598" s="13"/>
      <c r="K598" s="7"/>
      <c r="L598" s="5">
        <f t="shared" si="19"/>
        <v>0</v>
      </c>
    </row>
    <row r="599" spans="1:12" x14ac:dyDescent="0.25">
      <c r="A599" s="31"/>
      <c r="B599" s="21"/>
      <c r="C599" s="21"/>
      <c r="D599" s="6"/>
      <c r="E599" s="14"/>
      <c r="F599" s="6"/>
      <c r="G599" s="6"/>
      <c r="H599" s="17"/>
      <c r="I599" s="49">
        <f t="shared" si="18"/>
        <v>0</v>
      </c>
      <c r="J599" s="13"/>
      <c r="K599" s="7"/>
      <c r="L599" s="5">
        <f t="shared" si="19"/>
        <v>0</v>
      </c>
    </row>
    <row r="600" spans="1:12" x14ac:dyDescent="0.25">
      <c r="A600" s="31"/>
      <c r="B600" s="21"/>
      <c r="C600" s="21"/>
      <c r="D600" s="6"/>
      <c r="E600" s="14"/>
      <c r="F600" s="6"/>
      <c r="G600" s="6"/>
      <c r="H600" s="17"/>
      <c r="I600" s="49">
        <f t="shared" si="18"/>
        <v>0</v>
      </c>
      <c r="J600" s="13"/>
      <c r="K600" s="7"/>
      <c r="L600" s="5">
        <f t="shared" si="19"/>
        <v>0</v>
      </c>
    </row>
    <row r="601" spans="1:12" x14ac:dyDescent="0.25">
      <c r="A601" s="31"/>
      <c r="B601" s="21"/>
      <c r="C601" s="21"/>
      <c r="D601" s="6"/>
      <c r="E601" s="14"/>
      <c r="F601" s="6"/>
      <c r="G601" s="6"/>
      <c r="H601" s="17"/>
      <c r="I601" s="49">
        <f t="shared" si="18"/>
        <v>0</v>
      </c>
      <c r="J601" s="13"/>
      <c r="K601" s="7"/>
      <c r="L601" s="5">
        <f t="shared" si="19"/>
        <v>0</v>
      </c>
    </row>
    <row r="602" spans="1:12" x14ac:dyDescent="0.25">
      <c r="A602" s="31"/>
      <c r="B602" s="21"/>
      <c r="C602" s="21"/>
      <c r="D602" s="6"/>
      <c r="E602" s="14"/>
      <c r="F602" s="6"/>
      <c r="G602" s="6"/>
      <c r="H602" s="17"/>
      <c r="I602" s="49">
        <f t="shared" si="18"/>
        <v>0</v>
      </c>
      <c r="J602" s="13"/>
      <c r="K602" s="7"/>
      <c r="L602" s="5">
        <f t="shared" si="19"/>
        <v>0</v>
      </c>
    </row>
    <row r="603" spans="1:12" x14ac:dyDescent="0.25">
      <c r="A603" s="31"/>
      <c r="B603" s="21"/>
      <c r="C603" s="21"/>
      <c r="D603" s="6"/>
      <c r="E603" s="14"/>
      <c r="F603" s="6"/>
      <c r="G603" s="6"/>
      <c r="H603" s="17"/>
      <c r="I603" s="49">
        <f t="shared" si="18"/>
        <v>0</v>
      </c>
      <c r="J603" s="13"/>
      <c r="K603" s="7"/>
      <c r="L603" s="5">
        <f t="shared" si="19"/>
        <v>0</v>
      </c>
    </row>
    <row r="604" spans="1:12" x14ac:dyDescent="0.25">
      <c r="A604" s="31"/>
      <c r="B604" s="21"/>
      <c r="C604" s="21"/>
      <c r="D604" s="6"/>
      <c r="E604" s="14"/>
      <c r="F604" s="6"/>
      <c r="G604" s="6"/>
      <c r="H604" s="17"/>
      <c r="I604" s="49">
        <f t="shared" si="18"/>
        <v>0</v>
      </c>
      <c r="J604" s="13"/>
      <c r="K604" s="7"/>
      <c r="L604" s="5">
        <f t="shared" si="19"/>
        <v>0</v>
      </c>
    </row>
    <row r="605" spans="1:12" x14ac:dyDescent="0.25">
      <c r="A605" s="31"/>
      <c r="B605" s="21"/>
      <c r="C605" s="21"/>
      <c r="D605" s="6"/>
      <c r="E605" s="14"/>
      <c r="F605" s="6"/>
      <c r="G605" s="6"/>
      <c r="H605" s="17"/>
      <c r="I605" s="49">
        <f t="shared" si="18"/>
        <v>0</v>
      </c>
      <c r="J605" s="13"/>
      <c r="K605" s="7"/>
      <c r="L605" s="5">
        <f t="shared" si="19"/>
        <v>0</v>
      </c>
    </row>
    <row r="606" spans="1:12" x14ac:dyDescent="0.25">
      <c r="A606" s="31"/>
      <c r="B606" s="21"/>
      <c r="C606" s="21"/>
      <c r="D606" s="6"/>
      <c r="E606" s="14"/>
      <c r="F606" s="6"/>
      <c r="G606" s="6"/>
      <c r="H606" s="17"/>
      <c r="I606" s="49">
        <f t="shared" si="18"/>
        <v>0</v>
      </c>
      <c r="J606" s="13"/>
      <c r="K606" s="7"/>
      <c r="L606" s="5">
        <f t="shared" si="19"/>
        <v>0</v>
      </c>
    </row>
    <row r="607" spans="1:12" x14ac:dyDescent="0.25">
      <c r="A607" s="31"/>
      <c r="B607" s="21"/>
      <c r="C607" s="21"/>
      <c r="D607" s="6"/>
      <c r="E607" s="14"/>
      <c r="F607" s="6"/>
      <c r="G607" s="6"/>
      <c r="H607" s="17"/>
      <c r="I607" s="49">
        <f t="shared" si="18"/>
        <v>0</v>
      </c>
      <c r="J607" s="13"/>
      <c r="K607" s="7"/>
      <c r="L607" s="5">
        <f t="shared" si="19"/>
        <v>0</v>
      </c>
    </row>
    <row r="608" spans="1:12" x14ac:dyDescent="0.25">
      <c r="A608" s="31"/>
      <c r="B608" s="21"/>
      <c r="C608" s="21"/>
      <c r="D608" s="6"/>
      <c r="E608" s="14"/>
      <c r="F608" s="6"/>
      <c r="G608" s="6"/>
      <c r="H608" s="17"/>
      <c r="I608" s="49">
        <f t="shared" si="18"/>
        <v>0</v>
      </c>
      <c r="J608" s="13"/>
      <c r="K608" s="7"/>
      <c r="L608" s="5">
        <f t="shared" si="19"/>
        <v>0</v>
      </c>
    </row>
    <row r="609" spans="1:12" x14ac:dyDescent="0.25">
      <c r="A609" s="31"/>
      <c r="B609" s="21"/>
      <c r="C609" s="21"/>
      <c r="D609" s="6"/>
      <c r="E609" s="14"/>
      <c r="F609" s="6"/>
      <c r="G609" s="6"/>
      <c r="H609" s="17"/>
      <c r="I609" s="49">
        <f t="shared" si="18"/>
        <v>0</v>
      </c>
      <c r="J609" s="13"/>
      <c r="K609" s="7"/>
      <c r="L609" s="5">
        <f t="shared" si="19"/>
        <v>0</v>
      </c>
    </row>
    <row r="610" spans="1:12" x14ac:dyDescent="0.25">
      <c r="A610" s="31"/>
      <c r="B610" s="21"/>
      <c r="C610" s="21"/>
      <c r="D610" s="6"/>
      <c r="E610" s="14"/>
      <c r="F610" s="6"/>
      <c r="G610" s="6"/>
      <c r="H610" s="17"/>
      <c r="I610" s="49">
        <f t="shared" si="18"/>
        <v>0</v>
      </c>
      <c r="J610" s="13"/>
      <c r="K610" s="7"/>
      <c r="L610" s="5">
        <f t="shared" si="19"/>
        <v>0</v>
      </c>
    </row>
    <row r="611" spans="1:12" x14ac:dyDescent="0.25">
      <c r="A611" s="31"/>
      <c r="B611" s="21"/>
      <c r="C611" s="21"/>
      <c r="D611" s="6"/>
      <c r="E611" s="14"/>
      <c r="F611" s="6"/>
      <c r="G611" s="6"/>
      <c r="H611" s="17"/>
      <c r="I611" s="49">
        <f t="shared" si="18"/>
        <v>0</v>
      </c>
      <c r="J611" s="13"/>
      <c r="K611" s="7"/>
      <c r="L611" s="5">
        <f t="shared" si="19"/>
        <v>0</v>
      </c>
    </row>
    <row r="612" spans="1:12" x14ac:dyDescent="0.25">
      <c r="A612" s="31"/>
      <c r="B612" s="21"/>
      <c r="C612" s="21"/>
      <c r="D612" s="6"/>
      <c r="E612" s="14"/>
      <c r="F612" s="6"/>
      <c r="G612" s="6"/>
      <c r="H612" s="17"/>
      <c r="I612" s="49">
        <f t="shared" si="18"/>
        <v>0</v>
      </c>
      <c r="J612" s="13"/>
      <c r="K612" s="7"/>
      <c r="L612" s="5">
        <f t="shared" si="19"/>
        <v>0</v>
      </c>
    </row>
    <row r="613" spans="1:12" x14ac:dyDescent="0.25">
      <c r="A613" s="31"/>
      <c r="B613" s="21"/>
      <c r="C613" s="21"/>
      <c r="D613" s="6"/>
      <c r="E613" s="14"/>
      <c r="F613" s="6"/>
      <c r="G613" s="6"/>
      <c r="H613" s="17"/>
      <c r="I613" s="49">
        <f t="shared" si="18"/>
        <v>0</v>
      </c>
      <c r="J613" s="13"/>
      <c r="K613" s="7"/>
      <c r="L613" s="5">
        <f t="shared" si="19"/>
        <v>0</v>
      </c>
    </row>
    <row r="614" spans="1:12" x14ac:dyDescent="0.25">
      <c r="A614" s="31"/>
      <c r="B614" s="21"/>
      <c r="C614" s="21"/>
      <c r="D614" s="6"/>
      <c r="E614" s="14"/>
      <c r="F614" s="6"/>
      <c r="G614" s="6"/>
      <c r="H614" s="17"/>
      <c r="I614" s="49">
        <f t="shared" si="18"/>
        <v>0</v>
      </c>
      <c r="J614" s="13"/>
      <c r="K614" s="7"/>
      <c r="L614" s="5">
        <f t="shared" si="19"/>
        <v>0</v>
      </c>
    </row>
    <row r="615" spans="1:12" x14ac:dyDescent="0.25">
      <c r="A615" s="31"/>
      <c r="B615" s="21"/>
      <c r="C615" s="21"/>
      <c r="D615" s="6"/>
      <c r="E615" s="14"/>
      <c r="F615" s="6"/>
      <c r="G615" s="6"/>
      <c r="H615" s="17"/>
      <c r="I615" s="49">
        <f t="shared" si="18"/>
        <v>0</v>
      </c>
      <c r="J615" s="13"/>
      <c r="K615" s="7"/>
      <c r="L615" s="5">
        <f t="shared" si="19"/>
        <v>0</v>
      </c>
    </row>
    <row r="616" spans="1:12" x14ac:dyDescent="0.25">
      <c r="A616" s="31"/>
      <c r="B616" s="21"/>
      <c r="C616" s="21"/>
      <c r="D616" s="6"/>
      <c r="E616" s="14"/>
      <c r="F616" s="6"/>
      <c r="G616" s="6"/>
      <c r="H616" s="17"/>
      <c r="I616" s="49">
        <f t="shared" si="18"/>
        <v>0</v>
      </c>
      <c r="J616" s="13"/>
      <c r="K616" s="7"/>
      <c r="L616" s="5">
        <f t="shared" si="19"/>
        <v>0</v>
      </c>
    </row>
    <row r="617" spans="1:12" x14ac:dyDescent="0.25">
      <c r="A617" s="31"/>
      <c r="B617" s="21"/>
      <c r="C617" s="21"/>
      <c r="D617" s="6"/>
      <c r="E617" s="14"/>
      <c r="F617" s="6"/>
      <c r="G617" s="6"/>
      <c r="H617" s="17"/>
      <c r="I617" s="49">
        <f t="shared" si="18"/>
        <v>0</v>
      </c>
      <c r="J617" s="13"/>
      <c r="K617" s="7"/>
      <c r="L617" s="5">
        <f t="shared" si="19"/>
        <v>0</v>
      </c>
    </row>
    <row r="618" spans="1:12" x14ac:dyDescent="0.25">
      <c r="A618" s="31"/>
      <c r="B618" s="21"/>
      <c r="C618" s="21"/>
      <c r="D618" s="6"/>
      <c r="E618" s="14"/>
      <c r="F618" s="6"/>
      <c r="G618" s="6"/>
      <c r="H618" s="17"/>
      <c r="I618" s="49">
        <f t="shared" si="18"/>
        <v>0</v>
      </c>
      <c r="J618" s="13"/>
      <c r="K618" s="7"/>
      <c r="L618" s="5">
        <f t="shared" si="19"/>
        <v>0</v>
      </c>
    </row>
    <row r="619" spans="1:12" x14ac:dyDescent="0.25">
      <c r="A619" s="31"/>
      <c r="B619" s="21"/>
      <c r="C619" s="21"/>
      <c r="D619" s="6"/>
      <c r="E619" s="14"/>
      <c r="F619" s="6"/>
      <c r="G619" s="6"/>
      <c r="H619" s="17"/>
      <c r="I619" s="49">
        <f t="shared" si="18"/>
        <v>0</v>
      </c>
      <c r="J619" s="13"/>
      <c r="K619" s="7"/>
      <c r="L619" s="5">
        <f t="shared" si="19"/>
        <v>0</v>
      </c>
    </row>
    <row r="620" spans="1:12" x14ac:dyDescent="0.25">
      <c r="A620" s="31"/>
      <c r="B620" s="21"/>
      <c r="C620" s="21"/>
      <c r="D620" s="6"/>
      <c r="E620" s="14"/>
      <c r="F620" s="6"/>
      <c r="G620" s="6"/>
      <c r="H620" s="17"/>
      <c r="I620" s="49">
        <f t="shared" si="18"/>
        <v>0</v>
      </c>
      <c r="J620" s="13"/>
      <c r="K620" s="7"/>
      <c r="L620" s="5">
        <f t="shared" si="19"/>
        <v>0</v>
      </c>
    </row>
    <row r="621" spans="1:12" x14ac:dyDescent="0.25">
      <c r="A621" s="31"/>
      <c r="B621" s="21"/>
      <c r="C621" s="21"/>
      <c r="D621" s="6"/>
      <c r="E621" s="14"/>
      <c r="F621" s="6"/>
      <c r="G621" s="6"/>
      <c r="H621" s="17"/>
      <c r="I621" s="49">
        <f t="shared" si="18"/>
        <v>0</v>
      </c>
      <c r="J621" s="13"/>
      <c r="K621" s="7"/>
      <c r="L621" s="5">
        <f t="shared" si="19"/>
        <v>0</v>
      </c>
    </row>
    <row r="622" spans="1:12" x14ac:dyDescent="0.25">
      <c r="A622" s="31"/>
      <c r="B622" s="21"/>
      <c r="C622" s="21"/>
      <c r="D622" s="6"/>
      <c r="E622" s="14"/>
      <c r="F622" s="6"/>
      <c r="G622" s="6"/>
      <c r="H622" s="17"/>
      <c r="I622" s="49">
        <f t="shared" si="18"/>
        <v>0</v>
      </c>
      <c r="J622" s="13"/>
      <c r="K622" s="7"/>
      <c r="L622" s="5">
        <f t="shared" si="19"/>
        <v>0</v>
      </c>
    </row>
    <row r="623" spans="1:12" x14ac:dyDescent="0.25">
      <c r="A623" s="31"/>
      <c r="B623" s="21"/>
      <c r="C623" s="21"/>
      <c r="D623" s="6"/>
      <c r="E623" s="14"/>
      <c r="F623" s="6"/>
      <c r="G623" s="6"/>
      <c r="H623" s="17"/>
      <c r="I623" s="49">
        <f t="shared" si="18"/>
        <v>0</v>
      </c>
      <c r="J623" s="13"/>
      <c r="K623" s="7"/>
      <c r="L623" s="5">
        <f t="shared" si="19"/>
        <v>0</v>
      </c>
    </row>
    <row r="624" spans="1:12" x14ac:dyDescent="0.25">
      <c r="A624" s="31"/>
      <c r="B624" s="21"/>
      <c r="C624" s="21"/>
      <c r="D624" s="6"/>
      <c r="E624" s="14"/>
      <c r="F624" s="6"/>
      <c r="G624" s="6"/>
      <c r="H624" s="17"/>
      <c r="I624" s="49">
        <f t="shared" si="18"/>
        <v>0</v>
      </c>
      <c r="J624" s="13"/>
      <c r="K624" s="7"/>
      <c r="L624" s="5">
        <f t="shared" si="19"/>
        <v>0</v>
      </c>
    </row>
    <row r="625" spans="1:12" x14ac:dyDescent="0.25">
      <c r="A625" s="31"/>
      <c r="B625" s="21"/>
      <c r="C625" s="21"/>
      <c r="D625" s="6"/>
      <c r="E625" s="14"/>
      <c r="F625" s="6"/>
      <c r="G625" s="6"/>
      <c r="H625" s="17"/>
      <c r="I625" s="49">
        <f t="shared" si="18"/>
        <v>0</v>
      </c>
      <c r="J625" s="13"/>
      <c r="K625" s="7"/>
      <c r="L625" s="5">
        <f t="shared" si="19"/>
        <v>0</v>
      </c>
    </row>
    <row r="626" spans="1:12" x14ac:dyDescent="0.25">
      <c r="A626" s="31"/>
      <c r="B626" s="21"/>
      <c r="C626" s="21"/>
      <c r="D626" s="6"/>
      <c r="E626" s="14"/>
      <c r="F626" s="6"/>
      <c r="G626" s="6"/>
      <c r="H626" s="17"/>
      <c r="I626" s="49">
        <f t="shared" si="18"/>
        <v>0</v>
      </c>
      <c r="J626" s="13"/>
      <c r="K626" s="7"/>
      <c r="L626" s="5">
        <f t="shared" si="19"/>
        <v>0</v>
      </c>
    </row>
    <row r="627" spans="1:12" x14ac:dyDescent="0.25">
      <c r="A627" s="31"/>
      <c r="B627" s="21"/>
      <c r="C627" s="21"/>
      <c r="D627" s="6"/>
      <c r="E627" s="14"/>
      <c r="F627" s="6"/>
      <c r="G627" s="6"/>
      <c r="H627" s="17"/>
      <c r="I627" s="49">
        <f t="shared" si="18"/>
        <v>0</v>
      </c>
      <c r="J627" s="13"/>
      <c r="K627" s="7"/>
      <c r="L627" s="5">
        <f t="shared" si="19"/>
        <v>0</v>
      </c>
    </row>
    <row r="628" spans="1:12" x14ac:dyDescent="0.25">
      <c r="A628" s="31"/>
      <c r="B628" s="21"/>
      <c r="C628" s="21"/>
      <c r="D628" s="6"/>
      <c r="E628" s="14"/>
      <c r="F628" s="6"/>
      <c r="G628" s="6"/>
      <c r="H628" s="17"/>
      <c r="I628" s="49">
        <f t="shared" si="18"/>
        <v>0</v>
      </c>
      <c r="J628" s="13"/>
      <c r="K628" s="7"/>
      <c r="L628" s="5">
        <f t="shared" si="19"/>
        <v>0</v>
      </c>
    </row>
    <row r="629" spans="1:12" x14ac:dyDescent="0.25">
      <c r="A629" s="31"/>
      <c r="B629" s="21"/>
      <c r="C629" s="21"/>
      <c r="D629" s="6"/>
      <c r="E629" s="14"/>
      <c r="F629" s="6"/>
      <c r="G629" s="6"/>
      <c r="H629" s="17"/>
      <c r="I629" s="49">
        <f t="shared" si="18"/>
        <v>0</v>
      </c>
      <c r="J629" s="13"/>
      <c r="K629" s="7"/>
      <c r="L629" s="5">
        <f t="shared" si="19"/>
        <v>0</v>
      </c>
    </row>
    <row r="630" spans="1:12" x14ac:dyDescent="0.25">
      <c r="A630" s="31"/>
      <c r="B630" s="21"/>
      <c r="C630" s="21"/>
      <c r="D630" s="6"/>
      <c r="E630" s="14"/>
      <c r="F630" s="6"/>
      <c r="G630" s="6"/>
      <c r="H630" s="17"/>
      <c r="I630" s="49">
        <f t="shared" si="18"/>
        <v>0</v>
      </c>
      <c r="J630" s="13"/>
      <c r="K630" s="7"/>
      <c r="L630" s="5">
        <f t="shared" si="19"/>
        <v>0</v>
      </c>
    </row>
    <row r="631" spans="1:12" x14ac:dyDescent="0.25">
      <c r="A631" s="31"/>
      <c r="B631" s="21"/>
      <c r="C631" s="21"/>
      <c r="D631" s="6"/>
      <c r="E631" s="14"/>
      <c r="F631" s="6"/>
      <c r="G631" s="6"/>
      <c r="H631" s="17"/>
      <c r="I631" s="49">
        <f t="shared" si="18"/>
        <v>0</v>
      </c>
      <c r="J631" s="13"/>
      <c r="K631" s="7"/>
      <c r="L631" s="5">
        <f t="shared" si="19"/>
        <v>0</v>
      </c>
    </row>
    <row r="632" spans="1:12" x14ac:dyDescent="0.25">
      <c r="A632" s="31"/>
      <c r="B632" s="21"/>
      <c r="C632" s="21"/>
      <c r="D632" s="6"/>
      <c r="E632" s="14"/>
      <c r="F632" s="6"/>
      <c r="G632" s="6"/>
      <c r="H632" s="17"/>
      <c r="I632" s="49">
        <f t="shared" si="18"/>
        <v>0</v>
      </c>
      <c r="J632" s="13"/>
      <c r="K632" s="7"/>
      <c r="L632" s="5">
        <f t="shared" si="19"/>
        <v>0</v>
      </c>
    </row>
    <row r="633" spans="1:12" x14ac:dyDescent="0.25">
      <c r="A633" s="32"/>
      <c r="B633" s="21"/>
      <c r="C633" s="21"/>
      <c r="D633" s="6"/>
      <c r="E633" s="14"/>
      <c r="F633" s="6"/>
      <c r="G633" s="6"/>
      <c r="H633" s="17"/>
      <c r="I633" s="49">
        <f t="shared" si="18"/>
        <v>0</v>
      </c>
      <c r="J633" s="13"/>
      <c r="K633" s="7"/>
      <c r="L633" s="5">
        <f t="shared" si="19"/>
        <v>0</v>
      </c>
    </row>
    <row r="634" spans="1:12" x14ac:dyDescent="0.25">
      <c r="A634" s="32"/>
      <c r="B634" s="21"/>
      <c r="C634" s="21"/>
      <c r="D634" s="6"/>
      <c r="E634" s="14"/>
      <c r="F634" s="6"/>
      <c r="G634" s="6"/>
      <c r="H634" s="17"/>
      <c r="I634" s="49">
        <f t="shared" si="18"/>
        <v>0</v>
      </c>
      <c r="J634" s="13"/>
      <c r="K634" s="7"/>
      <c r="L634" s="5">
        <f t="shared" si="19"/>
        <v>0</v>
      </c>
    </row>
    <row r="635" spans="1:12" x14ac:dyDescent="0.25">
      <c r="A635" s="32"/>
      <c r="B635" s="21"/>
      <c r="C635" s="21"/>
      <c r="D635" s="6"/>
      <c r="E635" s="14"/>
      <c r="F635" s="6"/>
      <c r="G635" s="6"/>
      <c r="H635" s="17"/>
      <c r="I635" s="49">
        <f t="shared" si="18"/>
        <v>0</v>
      </c>
      <c r="J635" s="13"/>
      <c r="K635" s="7"/>
      <c r="L635" s="5">
        <f t="shared" si="19"/>
        <v>0</v>
      </c>
    </row>
    <row r="636" spans="1:12" x14ac:dyDescent="0.25">
      <c r="A636" s="32"/>
      <c r="B636" s="21"/>
      <c r="C636" s="21"/>
      <c r="D636" s="6"/>
      <c r="E636" s="14"/>
      <c r="F636" s="6"/>
      <c r="G636" s="6"/>
      <c r="H636" s="17"/>
      <c r="I636" s="49">
        <f t="shared" si="18"/>
        <v>0</v>
      </c>
      <c r="J636" s="13"/>
      <c r="K636" s="7"/>
      <c r="L636" s="5">
        <f t="shared" si="19"/>
        <v>0</v>
      </c>
    </row>
    <row r="637" spans="1:12" x14ac:dyDescent="0.25">
      <c r="A637" s="32"/>
      <c r="B637" s="21"/>
      <c r="C637" s="21"/>
      <c r="D637" s="6"/>
      <c r="E637" s="14"/>
      <c r="F637" s="6"/>
      <c r="G637" s="6"/>
      <c r="H637" s="17"/>
      <c r="I637" s="49">
        <f t="shared" si="18"/>
        <v>0</v>
      </c>
      <c r="J637" s="13"/>
      <c r="K637" s="7"/>
      <c r="L637" s="5">
        <f t="shared" si="19"/>
        <v>0</v>
      </c>
    </row>
    <row r="638" spans="1:12" x14ac:dyDescent="0.25">
      <c r="A638" s="32"/>
      <c r="B638" s="21"/>
      <c r="C638" s="21"/>
      <c r="D638" s="6"/>
      <c r="E638" s="14"/>
      <c r="F638" s="6"/>
      <c r="G638" s="6"/>
      <c r="H638" s="17"/>
      <c r="I638" s="49">
        <f t="shared" si="18"/>
        <v>0</v>
      </c>
      <c r="J638" s="13"/>
      <c r="K638" s="7"/>
      <c r="L638" s="5">
        <f t="shared" si="19"/>
        <v>0</v>
      </c>
    </row>
    <row r="639" spans="1:12" x14ac:dyDescent="0.25">
      <c r="A639" s="32"/>
      <c r="B639" s="21"/>
      <c r="C639" s="21"/>
      <c r="D639" s="6"/>
      <c r="E639" s="14"/>
      <c r="F639" s="6"/>
      <c r="G639" s="6"/>
      <c r="H639" s="17"/>
      <c r="I639" s="49">
        <f t="shared" si="18"/>
        <v>0</v>
      </c>
      <c r="J639" s="13"/>
      <c r="K639" s="7"/>
      <c r="L639" s="5">
        <f t="shared" si="19"/>
        <v>0</v>
      </c>
    </row>
    <row r="640" spans="1:12" x14ac:dyDescent="0.25">
      <c r="A640" s="32"/>
      <c r="B640" s="21"/>
      <c r="C640" s="21"/>
      <c r="D640" s="6"/>
      <c r="E640" s="14"/>
      <c r="F640" s="6"/>
      <c r="G640" s="6"/>
      <c r="H640" s="17"/>
      <c r="I640" s="49">
        <f t="shared" si="18"/>
        <v>0</v>
      </c>
      <c r="J640" s="13"/>
      <c r="K640" s="7"/>
      <c r="L640" s="5">
        <f t="shared" si="19"/>
        <v>0</v>
      </c>
    </row>
    <row r="641" spans="1:12" x14ac:dyDescent="0.25">
      <c r="A641" s="32"/>
      <c r="B641" s="21"/>
      <c r="C641" s="21"/>
      <c r="D641" s="6"/>
      <c r="E641" s="14"/>
      <c r="F641" s="6"/>
      <c r="G641" s="6"/>
      <c r="H641" s="17"/>
      <c r="I641" s="49">
        <f t="shared" si="18"/>
        <v>0</v>
      </c>
      <c r="J641" s="13"/>
      <c r="K641" s="7"/>
      <c r="L641" s="5">
        <f t="shared" si="19"/>
        <v>0</v>
      </c>
    </row>
    <row r="642" spans="1:12" x14ac:dyDescent="0.25">
      <c r="A642" s="32"/>
      <c r="B642" s="21"/>
      <c r="C642" s="21"/>
      <c r="D642" s="6"/>
      <c r="E642" s="14"/>
      <c r="F642" s="6"/>
      <c r="G642" s="6"/>
      <c r="H642" s="17"/>
      <c r="I642" s="49">
        <f t="shared" si="18"/>
        <v>0</v>
      </c>
      <c r="J642" s="13"/>
      <c r="K642" s="7"/>
      <c r="L642" s="5">
        <f t="shared" si="19"/>
        <v>0</v>
      </c>
    </row>
    <row r="643" spans="1:12" x14ac:dyDescent="0.25">
      <c r="A643" s="32"/>
      <c r="B643" s="21"/>
      <c r="C643" s="21"/>
      <c r="D643" s="6"/>
      <c r="E643" s="14"/>
      <c r="F643" s="6"/>
      <c r="G643" s="6"/>
      <c r="H643" s="17"/>
      <c r="I643" s="49">
        <f t="shared" si="18"/>
        <v>0</v>
      </c>
      <c r="J643" s="13"/>
      <c r="K643" s="7"/>
      <c r="L643" s="5">
        <f t="shared" si="19"/>
        <v>0</v>
      </c>
    </row>
    <row r="644" spans="1:12" x14ac:dyDescent="0.25">
      <c r="A644" s="32"/>
      <c r="B644" s="21"/>
      <c r="C644" s="21"/>
      <c r="D644" s="6"/>
      <c r="E644" s="14"/>
      <c r="F644" s="6"/>
      <c r="G644" s="6"/>
      <c r="H644" s="17"/>
      <c r="I644" s="49">
        <f t="shared" si="18"/>
        <v>0</v>
      </c>
      <c r="J644" s="13"/>
      <c r="K644" s="7"/>
      <c r="L644" s="5">
        <f t="shared" si="19"/>
        <v>0</v>
      </c>
    </row>
    <row r="645" spans="1:12" x14ac:dyDescent="0.25">
      <c r="A645" s="32"/>
      <c r="B645" s="21"/>
      <c r="C645" s="21"/>
      <c r="D645" s="6"/>
      <c r="E645" s="14"/>
      <c r="F645" s="6"/>
      <c r="G645" s="6"/>
      <c r="H645" s="17"/>
      <c r="I645" s="49">
        <f t="shared" si="18"/>
        <v>0</v>
      </c>
      <c r="J645" s="13"/>
      <c r="K645" s="7"/>
      <c r="L645" s="5">
        <f t="shared" si="19"/>
        <v>0</v>
      </c>
    </row>
    <row r="646" spans="1:12" x14ac:dyDescent="0.25">
      <c r="A646" s="32"/>
      <c r="B646" s="21"/>
      <c r="C646" s="21"/>
      <c r="D646" s="6"/>
      <c r="E646" s="14"/>
      <c r="F646" s="6"/>
      <c r="G646" s="6"/>
      <c r="H646" s="17"/>
      <c r="I646" s="49">
        <f t="shared" si="18"/>
        <v>0</v>
      </c>
      <c r="J646" s="13"/>
      <c r="K646" s="7"/>
      <c r="L646" s="5">
        <f t="shared" si="19"/>
        <v>0</v>
      </c>
    </row>
    <row r="647" spans="1:12" x14ac:dyDescent="0.25">
      <c r="A647" s="32"/>
      <c r="B647" s="21"/>
      <c r="C647" s="21"/>
      <c r="D647" s="6"/>
      <c r="E647" s="14"/>
      <c r="F647" s="6"/>
      <c r="G647" s="6"/>
      <c r="H647" s="17"/>
      <c r="I647" s="49">
        <f t="shared" ref="I647:I710" si="20">F647*H647</f>
        <v>0</v>
      </c>
      <c r="J647" s="13"/>
      <c r="K647" s="7"/>
      <c r="L647" s="5">
        <f t="shared" ref="L647:L710" si="21">+I647+J647-K647</f>
        <v>0</v>
      </c>
    </row>
    <row r="648" spans="1:12" x14ac:dyDescent="0.25">
      <c r="A648" s="32"/>
      <c r="B648" s="21"/>
      <c r="C648" s="21"/>
      <c r="D648" s="6"/>
      <c r="E648" s="14"/>
      <c r="F648" s="6"/>
      <c r="G648" s="6"/>
      <c r="H648" s="17"/>
      <c r="I648" s="49">
        <f t="shared" si="20"/>
        <v>0</v>
      </c>
      <c r="J648" s="13"/>
      <c r="K648" s="7"/>
      <c r="L648" s="5">
        <f t="shared" si="21"/>
        <v>0</v>
      </c>
    </row>
    <row r="649" spans="1:12" x14ac:dyDescent="0.25">
      <c r="A649" s="32"/>
      <c r="B649" s="21"/>
      <c r="C649" s="21"/>
      <c r="D649" s="6"/>
      <c r="E649" s="14"/>
      <c r="F649" s="6"/>
      <c r="G649" s="6"/>
      <c r="H649" s="17"/>
      <c r="I649" s="49">
        <f t="shared" si="20"/>
        <v>0</v>
      </c>
      <c r="J649" s="13"/>
      <c r="K649" s="7"/>
      <c r="L649" s="5">
        <f t="shared" si="21"/>
        <v>0</v>
      </c>
    </row>
    <row r="650" spans="1:12" x14ac:dyDescent="0.25">
      <c r="A650" s="32"/>
      <c r="B650" s="21"/>
      <c r="C650" s="21"/>
      <c r="D650" s="6"/>
      <c r="E650" s="14"/>
      <c r="F650" s="6"/>
      <c r="G650" s="6"/>
      <c r="H650" s="17"/>
      <c r="I650" s="49">
        <f t="shared" si="20"/>
        <v>0</v>
      </c>
      <c r="J650" s="13"/>
      <c r="K650" s="7"/>
      <c r="L650" s="5">
        <f t="shared" si="21"/>
        <v>0</v>
      </c>
    </row>
    <row r="651" spans="1:12" x14ac:dyDescent="0.25">
      <c r="A651" s="32"/>
      <c r="B651" s="21"/>
      <c r="C651" s="21"/>
      <c r="D651" s="6"/>
      <c r="E651" s="14"/>
      <c r="F651" s="6"/>
      <c r="G651" s="6"/>
      <c r="H651" s="17"/>
      <c r="I651" s="49">
        <f t="shared" si="20"/>
        <v>0</v>
      </c>
      <c r="J651" s="13"/>
      <c r="K651" s="7"/>
      <c r="L651" s="5">
        <f t="shared" si="21"/>
        <v>0</v>
      </c>
    </row>
    <row r="652" spans="1:12" x14ac:dyDescent="0.25">
      <c r="A652" s="31"/>
      <c r="B652" s="21"/>
      <c r="C652" s="21"/>
      <c r="D652" s="6"/>
      <c r="E652" s="14"/>
      <c r="F652" s="6"/>
      <c r="G652" s="6"/>
      <c r="H652" s="17"/>
      <c r="I652" s="49">
        <f t="shared" si="20"/>
        <v>0</v>
      </c>
      <c r="J652" s="13"/>
      <c r="K652" s="7"/>
      <c r="L652" s="5">
        <f t="shared" si="21"/>
        <v>0</v>
      </c>
    </row>
    <row r="653" spans="1:12" x14ac:dyDescent="0.25">
      <c r="A653" s="31"/>
      <c r="B653" s="21"/>
      <c r="C653" s="21"/>
      <c r="D653" s="6"/>
      <c r="E653" s="14"/>
      <c r="F653" s="6"/>
      <c r="G653" s="6"/>
      <c r="H653" s="17"/>
      <c r="I653" s="49">
        <f t="shared" si="20"/>
        <v>0</v>
      </c>
      <c r="J653" s="13"/>
      <c r="K653" s="7"/>
      <c r="L653" s="5">
        <f t="shared" si="21"/>
        <v>0</v>
      </c>
    </row>
    <row r="654" spans="1:12" x14ac:dyDescent="0.25">
      <c r="A654" s="31"/>
      <c r="B654" s="21"/>
      <c r="C654" s="21"/>
      <c r="D654" s="6"/>
      <c r="E654" s="14"/>
      <c r="F654" s="6"/>
      <c r="G654" s="6"/>
      <c r="H654" s="17"/>
      <c r="I654" s="49">
        <f t="shared" si="20"/>
        <v>0</v>
      </c>
      <c r="J654" s="13"/>
      <c r="K654" s="7"/>
      <c r="L654" s="5">
        <f t="shared" si="21"/>
        <v>0</v>
      </c>
    </row>
    <row r="655" spans="1:12" x14ac:dyDescent="0.25">
      <c r="A655" s="31"/>
      <c r="B655" s="21"/>
      <c r="C655" s="21"/>
      <c r="D655" s="6"/>
      <c r="E655" s="14"/>
      <c r="F655" s="6"/>
      <c r="G655" s="6"/>
      <c r="H655" s="17"/>
      <c r="I655" s="49">
        <f t="shared" si="20"/>
        <v>0</v>
      </c>
      <c r="J655" s="13"/>
      <c r="K655" s="7"/>
      <c r="L655" s="5">
        <f t="shared" si="21"/>
        <v>0</v>
      </c>
    </row>
    <row r="656" spans="1:12" x14ac:dyDescent="0.25">
      <c r="A656" s="31"/>
      <c r="B656" s="21"/>
      <c r="C656" s="21"/>
      <c r="D656" s="6"/>
      <c r="E656" s="14"/>
      <c r="F656" s="6"/>
      <c r="G656" s="6"/>
      <c r="H656" s="17"/>
      <c r="I656" s="49">
        <f t="shared" si="20"/>
        <v>0</v>
      </c>
      <c r="J656" s="13"/>
      <c r="K656" s="7"/>
      <c r="L656" s="5">
        <f t="shared" si="21"/>
        <v>0</v>
      </c>
    </row>
    <row r="657" spans="1:12" x14ac:dyDescent="0.25">
      <c r="A657" s="32"/>
      <c r="B657" s="21"/>
      <c r="C657" s="21"/>
      <c r="D657" s="6"/>
      <c r="E657" s="14"/>
      <c r="F657" s="6"/>
      <c r="G657" s="6"/>
      <c r="H657" s="17"/>
      <c r="I657" s="49">
        <f t="shared" si="20"/>
        <v>0</v>
      </c>
      <c r="J657" s="13"/>
      <c r="K657" s="7"/>
      <c r="L657" s="5">
        <f t="shared" si="21"/>
        <v>0</v>
      </c>
    </row>
    <row r="658" spans="1:12" x14ac:dyDescent="0.25">
      <c r="A658" s="32"/>
      <c r="B658" s="21"/>
      <c r="C658" s="21"/>
      <c r="D658" s="6"/>
      <c r="E658" s="14"/>
      <c r="F658" s="6"/>
      <c r="G658" s="6"/>
      <c r="H658" s="17"/>
      <c r="I658" s="49">
        <f t="shared" si="20"/>
        <v>0</v>
      </c>
      <c r="J658" s="13"/>
      <c r="K658" s="7"/>
      <c r="L658" s="5">
        <f t="shared" si="21"/>
        <v>0</v>
      </c>
    </row>
    <row r="659" spans="1:12" x14ac:dyDescent="0.25">
      <c r="A659" s="32"/>
      <c r="B659" s="21"/>
      <c r="C659" s="21"/>
      <c r="D659" s="6"/>
      <c r="E659" s="14"/>
      <c r="F659" s="6"/>
      <c r="G659" s="6"/>
      <c r="H659" s="17"/>
      <c r="I659" s="49">
        <f t="shared" si="20"/>
        <v>0</v>
      </c>
      <c r="J659" s="13"/>
      <c r="K659" s="7"/>
      <c r="L659" s="5">
        <f t="shared" si="21"/>
        <v>0</v>
      </c>
    </row>
    <row r="660" spans="1:12" x14ac:dyDescent="0.25">
      <c r="A660" s="32"/>
      <c r="B660" s="21"/>
      <c r="C660" s="21"/>
      <c r="D660" s="6"/>
      <c r="E660" s="14"/>
      <c r="F660" s="6"/>
      <c r="G660" s="6"/>
      <c r="H660" s="17"/>
      <c r="I660" s="49">
        <f t="shared" si="20"/>
        <v>0</v>
      </c>
      <c r="J660" s="13"/>
      <c r="K660" s="7"/>
      <c r="L660" s="5">
        <f t="shared" si="21"/>
        <v>0</v>
      </c>
    </row>
    <row r="661" spans="1:12" x14ac:dyDescent="0.25">
      <c r="A661" s="32"/>
      <c r="B661" s="21"/>
      <c r="C661" s="21"/>
      <c r="D661" s="6"/>
      <c r="E661" s="14"/>
      <c r="F661" s="6"/>
      <c r="G661" s="6"/>
      <c r="H661" s="17"/>
      <c r="I661" s="49">
        <f t="shared" si="20"/>
        <v>0</v>
      </c>
      <c r="J661" s="13"/>
      <c r="K661" s="7"/>
      <c r="L661" s="5">
        <f t="shared" si="21"/>
        <v>0</v>
      </c>
    </row>
    <row r="662" spans="1:12" x14ac:dyDescent="0.25">
      <c r="A662" s="32"/>
      <c r="B662" s="21"/>
      <c r="C662" s="21"/>
      <c r="D662" s="6"/>
      <c r="E662" s="14"/>
      <c r="F662" s="6"/>
      <c r="G662" s="6"/>
      <c r="H662" s="17"/>
      <c r="I662" s="49">
        <f t="shared" si="20"/>
        <v>0</v>
      </c>
      <c r="J662" s="13"/>
      <c r="K662" s="7"/>
      <c r="L662" s="5">
        <f t="shared" si="21"/>
        <v>0</v>
      </c>
    </row>
    <row r="663" spans="1:12" x14ac:dyDescent="0.25">
      <c r="A663" s="32"/>
      <c r="B663" s="21"/>
      <c r="C663" s="21"/>
      <c r="D663" s="6"/>
      <c r="E663" s="14"/>
      <c r="F663" s="6"/>
      <c r="G663" s="6"/>
      <c r="H663" s="17"/>
      <c r="I663" s="49">
        <f t="shared" si="20"/>
        <v>0</v>
      </c>
      <c r="J663" s="13"/>
      <c r="K663" s="7"/>
      <c r="L663" s="5">
        <f t="shared" si="21"/>
        <v>0</v>
      </c>
    </row>
    <row r="664" spans="1:12" x14ac:dyDescent="0.25">
      <c r="A664" s="32"/>
      <c r="B664" s="21"/>
      <c r="C664" s="21"/>
      <c r="D664" s="6"/>
      <c r="E664" s="14"/>
      <c r="F664" s="6"/>
      <c r="G664" s="6"/>
      <c r="H664" s="17"/>
      <c r="I664" s="49">
        <f t="shared" si="20"/>
        <v>0</v>
      </c>
      <c r="J664" s="13"/>
      <c r="K664" s="7"/>
      <c r="L664" s="5">
        <f t="shared" si="21"/>
        <v>0</v>
      </c>
    </row>
    <row r="665" spans="1:12" x14ac:dyDescent="0.25">
      <c r="A665" s="32"/>
      <c r="B665" s="21"/>
      <c r="C665" s="21"/>
      <c r="D665" s="6"/>
      <c r="E665" s="14"/>
      <c r="F665" s="6"/>
      <c r="G665" s="6"/>
      <c r="H665" s="17"/>
      <c r="I665" s="49">
        <f t="shared" si="20"/>
        <v>0</v>
      </c>
      <c r="J665" s="13"/>
      <c r="K665" s="7"/>
      <c r="L665" s="5">
        <f t="shared" si="21"/>
        <v>0</v>
      </c>
    </row>
    <row r="666" spans="1:12" x14ac:dyDescent="0.25">
      <c r="A666" s="32"/>
      <c r="B666" s="21"/>
      <c r="C666" s="21"/>
      <c r="D666" s="6"/>
      <c r="E666" s="14"/>
      <c r="F666" s="6"/>
      <c r="G666" s="6"/>
      <c r="H666" s="17"/>
      <c r="I666" s="49">
        <f t="shared" si="20"/>
        <v>0</v>
      </c>
      <c r="J666" s="13"/>
      <c r="K666" s="7"/>
      <c r="L666" s="5">
        <f t="shared" si="21"/>
        <v>0</v>
      </c>
    </row>
    <row r="667" spans="1:12" x14ac:dyDescent="0.25">
      <c r="A667" s="32"/>
      <c r="B667" s="21"/>
      <c r="C667" s="21"/>
      <c r="D667" s="6"/>
      <c r="E667" s="14"/>
      <c r="F667" s="6"/>
      <c r="G667" s="6"/>
      <c r="H667" s="17"/>
      <c r="I667" s="49">
        <f t="shared" si="20"/>
        <v>0</v>
      </c>
      <c r="J667" s="13"/>
      <c r="K667" s="7"/>
      <c r="L667" s="5">
        <f t="shared" si="21"/>
        <v>0</v>
      </c>
    </row>
    <row r="668" spans="1:12" x14ac:dyDescent="0.25">
      <c r="A668" s="32"/>
      <c r="B668" s="21"/>
      <c r="C668" s="21"/>
      <c r="D668" s="6"/>
      <c r="E668" s="14"/>
      <c r="F668" s="6"/>
      <c r="G668" s="6"/>
      <c r="H668" s="17"/>
      <c r="I668" s="49">
        <f t="shared" si="20"/>
        <v>0</v>
      </c>
      <c r="J668" s="13"/>
      <c r="K668" s="7"/>
      <c r="L668" s="5">
        <f t="shared" si="21"/>
        <v>0</v>
      </c>
    </row>
    <row r="669" spans="1:12" x14ac:dyDescent="0.25">
      <c r="A669" s="32"/>
      <c r="B669" s="21"/>
      <c r="C669" s="21"/>
      <c r="D669" s="6"/>
      <c r="E669" s="14"/>
      <c r="F669" s="6"/>
      <c r="G669" s="6"/>
      <c r="H669" s="17"/>
      <c r="I669" s="49">
        <f t="shared" si="20"/>
        <v>0</v>
      </c>
      <c r="J669" s="13"/>
      <c r="K669" s="7"/>
      <c r="L669" s="5">
        <f t="shared" si="21"/>
        <v>0</v>
      </c>
    </row>
    <row r="670" spans="1:12" x14ac:dyDescent="0.25">
      <c r="A670" s="32"/>
      <c r="B670" s="21"/>
      <c r="C670" s="21"/>
      <c r="D670" s="6"/>
      <c r="E670" s="14"/>
      <c r="F670" s="6"/>
      <c r="G670" s="6"/>
      <c r="H670" s="17"/>
      <c r="I670" s="49">
        <f t="shared" si="20"/>
        <v>0</v>
      </c>
      <c r="J670" s="13"/>
      <c r="K670" s="7"/>
      <c r="L670" s="5">
        <f t="shared" si="21"/>
        <v>0</v>
      </c>
    </row>
    <row r="671" spans="1:12" x14ac:dyDescent="0.25">
      <c r="A671" s="32"/>
      <c r="B671" s="21"/>
      <c r="C671" s="21"/>
      <c r="D671" s="6"/>
      <c r="E671" s="14"/>
      <c r="F671" s="6"/>
      <c r="G671" s="6"/>
      <c r="H671" s="17"/>
      <c r="I671" s="49">
        <f t="shared" si="20"/>
        <v>0</v>
      </c>
      <c r="J671" s="13"/>
      <c r="K671" s="7"/>
      <c r="L671" s="5">
        <f t="shared" si="21"/>
        <v>0</v>
      </c>
    </row>
    <row r="672" spans="1:12" x14ac:dyDescent="0.25">
      <c r="A672" s="32"/>
      <c r="B672" s="21"/>
      <c r="C672" s="21"/>
      <c r="D672" s="6"/>
      <c r="E672" s="14"/>
      <c r="F672" s="6"/>
      <c r="G672" s="6"/>
      <c r="H672" s="17"/>
      <c r="I672" s="49">
        <f t="shared" si="20"/>
        <v>0</v>
      </c>
      <c r="J672" s="13"/>
      <c r="K672" s="7"/>
      <c r="L672" s="5">
        <f t="shared" si="21"/>
        <v>0</v>
      </c>
    </row>
    <row r="673" spans="1:12" x14ac:dyDescent="0.25">
      <c r="A673" s="32"/>
      <c r="B673" s="21"/>
      <c r="C673" s="21"/>
      <c r="D673" s="6"/>
      <c r="E673" s="14"/>
      <c r="F673" s="6"/>
      <c r="G673" s="6"/>
      <c r="H673" s="17"/>
      <c r="I673" s="49">
        <f t="shared" si="20"/>
        <v>0</v>
      </c>
      <c r="J673" s="13"/>
      <c r="K673" s="7"/>
      <c r="L673" s="5">
        <f t="shared" si="21"/>
        <v>0</v>
      </c>
    </row>
    <row r="674" spans="1:12" x14ac:dyDescent="0.25">
      <c r="A674" s="32"/>
      <c r="B674" s="21"/>
      <c r="C674" s="21"/>
      <c r="D674" s="6"/>
      <c r="E674" s="14"/>
      <c r="F674" s="6"/>
      <c r="G674" s="6"/>
      <c r="H674" s="17"/>
      <c r="I674" s="49">
        <f t="shared" si="20"/>
        <v>0</v>
      </c>
      <c r="J674" s="13"/>
      <c r="K674" s="7"/>
      <c r="L674" s="5">
        <f t="shared" si="21"/>
        <v>0</v>
      </c>
    </row>
    <row r="675" spans="1:12" x14ac:dyDescent="0.25">
      <c r="A675" s="32"/>
      <c r="B675" s="21"/>
      <c r="C675" s="21"/>
      <c r="D675" s="6"/>
      <c r="E675" s="14"/>
      <c r="F675" s="6"/>
      <c r="G675" s="6"/>
      <c r="H675" s="17"/>
      <c r="I675" s="49">
        <f t="shared" si="20"/>
        <v>0</v>
      </c>
      <c r="J675" s="13"/>
      <c r="K675" s="7"/>
      <c r="L675" s="5">
        <f t="shared" si="21"/>
        <v>0</v>
      </c>
    </row>
    <row r="676" spans="1:12" x14ac:dyDescent="0.25">
      <c r="A676" s="32"/>
      <c r="B676" s="21"/>
      <c r="C676" s="21"/>
      <c r="D676" s="6"/>
      <c r="E676" s="14"/>
      <c r="F676" s="6"/>
      <c r="G676" s="6"/>
      <c r="H676" s="17"/>
      <c r="I676" s="49">
        <f t="shared" si="20"/>
        <v>0</v>
      </c>
      <c r="J676" s="13"/>
      <c r="K676" s="7"/>
      <c r="L676" s="5">
        <f t="shared" si="21"/>
        <v>0</v>
      </c>
    </row>
    <row r="677" spans="1:12" x14ac:dyDescent="0.25">
      <c r="A677" s="32"/>
      <c r="B677" s="21"/>
      <c r="C677" s="21"/>
      <c r="D677" s="6"/>
      <c r="E677" s="14"/>
      <c r="F677" s="6"/>
      <c r="G677" s="6"/>
      <c r="H677" s="17"/>
      <c r="I677" s="49">
        <f t="shared" si="20"/>
        <v>0</v>
      </c>
      <c r="J677" s="13"/>
      <c r="K677" s="7"/>
      <c r="L677" s="5">
        <f t="shared" si="21"/>
        <v>0</v>
      </c>
    </row>
    <row r="678" spans="1:12" x14ac:dyDescent="0.25">
      <c r="A678" s="32"/>
      <c r="B678" s="21"/>
      <c r="C678" s="21"/>
      <c r="D678" s="6"/>
      <c r="E678" s="14"/>
      <c r="F678" s="6"/>
      <c r="G678" s="6"/>
      <c r="H678" s="17"/>
      <c r="I678" s="49">
        <f t="shared" si="20"/>
        <v>0</v>
      </c>
      <c r="J678" s="13"/>
      <c r="K678" s="7"/>
      <c r="L678" s="5">
        <f t="shared" si="21"/>
        <v>0</v>
      </c>
    </row>
    <row r="679" spans="1:12" x14ac:dyDescent="0.25">
      <c r="A679" s="32"/>
      <c r="B679" s="21"/>
      <c r="C679" s="21"/>
      <c r="D679" s="6"/>
      <c r="E679" s="14"/>
      <c r="F679" s="6"/>
      <c r="G679" s="6"/>
      <c r="H679" s="17"/>
      <c r="I679" s="49">
        <f t="shared" si="20"/>
        <v>0</v>
      </c>
      <c r="J679" s="13"/>
      <c r="K679" s="7"/>
      <c r="L679" s="5">
        <f t="shared" si="21"/>
        <v>0</v>
      </c>
    </row>
    <row r="680" spans="1:12" x14ac:dyDescent="0.25">
      <c r="A680" s="32"/>
      <c r="B680" s="21"/>
      <c r="C680" s="21"/>
      <c r="D680" s="6"/>
      <c r="E680" s="14"/>
      <c r="F680" s="6"/>
      <c r="G680" s="6"/>
      <c r="H680" s="17"/>
      <c r="I680" s="49">
        <f t="shared" si="20"/>
        <v>0</v>
      </c>
      <c r="J680" s="13"/>
      <c r="K680" s="7"/>
      <c r="L680" s="5">
        <f t="shared" si="21"/>
        <v>0</v>
      </c>
    </row>
    <row r="681" spans="1:12" x14ac:dyDescent="0.25">
      <c r="A681" s="32"/>
      <c r="B681" s="21"/>
      <c r="C681" s="21"/>
      <c r="D681" s="6"/>
      <c r="E681" s="14"/>
      <c r="F681" s="6"/>
      <c r="G681" s="6"/>
      <c r="H681" s="17"/>
      <c r="I681" s="49">
        <f t="shared" si="20"/>
        <v>0</v>
      </c>
      <c r="J681" s="13"/>
      <c r="K681" s="7"/>
      <c r="L681" s="5">
        <f t="shared" si="21"/>
        <v>0</v>
      </c>
    </row>
    <row r="682" spans="1:12" x14ac:dyDescent="0.25">
      <c r="A682" s="32"/>
      <c r="B682" s="21"/>
      <c r="C682" s="21"/>
      <c r="D682" s="6"/>
      <c r="E682" s="14"/>
      <c r="F682" s="6"/>
      <c r="G682" s="6"/>
      <c r="H682" s="17"/>
      <c r="I682" s="49">
        <f t="shared" si="20"/>
        <v>0</v>
      </c>
      <c r="J682" s="13"/>
      <c r="K682" s="7"/>
      <c r="L682" s="5">
        <f t="shared" si="21"/>
        <v>0</v>
      </c>
    </row>
    <row r="683" spans="1:12" x14ac:dyDescent="0.25">
      <c r="A683" s="32"/>
      <c r="B683" s="21"/>
      <c r="C683" s="21"/>
      <c r="D683" s="6"/>
      <c r="E683" s="14"/>
      <c r="F683" s="6"/>
      <c r="G683" s="6"/>
      <c r="H683" s="17"/>
      <c r="I683" s="49">
        <f t="shared" si="20"/>
        <v>0</v>
      </c>
      <c r="J683" s="13"/>
      <c r="K683" s="7"/>
      <c r="L683" s="5">
        <f t="shared" si="21"/>
        <v>0</v>
      </c>
    </row>
    <row r="684" spans="1:12" x14ac:dyDescent="0.25">
      <c r="A684" s="32"/>
      <c r="B684" s="21"/>
      <c r="C684" s="21"/>
      <c r="D684" s="6"/>
      <c r="E684" s="14"/>
      <c r="F684" s="6"/>
      <c r="G684" s="6"/>
      <c r="H684" s="17"/>
      <c r="I684" s="49">
        <f t="shared" si="20"/>
        <v>0</v>
      </c>
      <c r="J684" s="13"/>
      <c r="K684" s="7"/>
      <c r="L684" s="5">
        <f t="shared" si="21"/>
        <v>0</v>
      </c>
    </row>
    <row r="685" spans="1:12" x14ac:dyDescent="0.25">
      <c r="A685" s="32"/>
      <c r="B685" s="21"/>
      <c r="C685" s="21"/>
      <c r="D685" s="6"/>
      <c r="E685" s="14"/>
      <c r="F685" s="6"/>
      <c r="G685" s="6"/>
      <c r="H685" s="17"/>
      <c r="I685" s="49">
        <f t="shared" si="20"/>
        <v>0</v>
      </c>
      <c r="J685" s="13"/>
      <c r="K685" s="7"/>
      <c r="L685" s="5">
        <f t="shared" si="21"/>
        <v>0</v>
      </c>
    </row>
    <row r="686" spans="1:12" x14ac:dyDescent="0.25">
      <c r="A686" s="32"/>
      <c r="B686" s="21"/>
      <c r="C686" s="21"/>
      <c r="D686" s="6"/>
      <c r="E686" s="14"/>
      <c r="F686" s="6"/>
      <c r="G686" s="6"/>
      <c r="H686" s="17"/>
      <c r="I686" s="49">
        <f t="shared" si="20"/>
        <v>0</v>
      </c>
      <c r="J686" s="13"/>
      <c r="K686" s="7"/>
      <c r="L686" s="5">
        <f t="shared" si="21"/>
        <v>0</v>
      </c>
    </row>
    <row r="687" spans="1:12" x14ac:dyDescent="0.25">
      <c r="A687" s="32"/>
      <c r="B687" s="21"/>
      <c r="C687" s="21"/>
      <c r="D687" s="6"/>
      <c r="E687" s="14"/>
      <c r="F687" s="6"/>
      <c r="G687" s="6"/>
      <c r="H687" s="17"/>
      <c r="I687" s="49">
        <f t="shared" si="20"/>
        <v>0</v>
      </c>
      <c r="J687" s="13"/>
      <c r="K687" s="7"/>
      <c r="L687" s="5">
        <f t="shared" si="21"/>
        <v>0</v>
      </c>
    </row>
    <row r="688" spans="1:12" x14ac:dyDescent="0.25">
      <c r="A688" s="32"/>
      <c r="B688" s="21"/>
      <c r="C688" s="21"/>
      <c r="D688" s="6"/>
      <c r="E688" s="14"/>
      <c r="F688" s="6"/>
      <c r="G688" s="6"/>
      <c r="H688" s="17"/>
      <c r="I688" s="49">
        <f t="shared" si="20"/>
        <v>0</v>
      </c>
      <c r="J688" s="13"/>
      <c r="K688" s="7"/>
      <c r="L688" s="5">
        <f t="shared" si="21"/>
        <v>0</v>
      </c>
    </row>
    <row r="689" spans="1:12" x14ac:dyDescent="0.25">
      <c r="A689" s="32"/>
      <c r="B689" s="21"/>
      <c r="C689" s="21"/>
      <c r="D689" s="6"/>
      <c r="E689" s="14"/>
      <c r="F689" s="6"/>
      <c r="G689" s="6"/>
      <c r="H689" s="17"/>
      <c r="I689" s="49">
        <f t="shared" si="20"/>
        <v>0</v>
      </c>
      <c r="J689" s="13"/>
      <c r="K689" s="7"/>
      <c r="L689" s="5">
        <f t="shared" si="21"/>
        <v>0</v>
      </c>
    </row>
    <row r="690" spans="1:12" x14ac:dyDescent="0.25">
      <c r="A690" s="32"/>
      <c r="B690" s="21"/>
      <c r="C690" s="21"/>
      <c r="D690" s="6"/>
      <c r="E690" s="14"/>
      <c r="F690" s="6"/>
      <c r="G690" s="6"/>
      <c r="H690" s="17"/>
      <c r="I690" s="49">
        <f t="shared" si="20"/>
        <v>0</v>
      </c>
      <c r="J690" s="13"/>
      <c r="K690" s="7"/>
      <c r="L690" s="5">
        <f t="shared" si="21"/>
        <v>0</v>
      </c>
    </row>
    <row r="691" spans="1:12" x14ac:dyDescent="0.25">
      <c r="A691" s="32"/>
      <c r="B691" s="21"/>
      <c r="C691" s="21"/>
      <c r="D691" s="6"/>
      <c r="E691" s="14"/>
      <c r="F691" s="6"/>
      <c r="G691" s="6"/>
      <c r="H691" s="17"/>
      <c r="I691" s="49">
        <f t="shared" si="20"/>
        <v>0</v>
      </c>
      <c r="J691" s="13"/>
      <c r="K691" s="7"/>
      <c r="L691" s="5">
        <f t="shared" si="21"/>
        <v>0</v>
      </c>
    </row>
    <row r="692" spans="1:12" x14ac:dyDescent="0.25">
      <c r="A692" s="32"/>
      <c r="B692" s="21"/>
      <c r="C692" s="21"/>
      <c r="D692" s="6"/>
      <c r="E692" s="14"/>
      <c r="F692" s="6"/>
      <c r="G692" s="6"/>
      <c r="H692" s="17"/>
      <c r="I692" s="49">
        <f t="shared" si="20"/>
        <v>0</v>
      </c>
      <c r="J692" s="13"/>
      <c r="K692" s="7"/>
      <c r="L692" s="5">
        <f t="shared" si="21"/>
        <v>0</v>
      </c>
    </row>
    <row r="693" spans="1:12" x14ac:dyDescent="0.25">
      <c r="A693" s="32"/>
      <c r="B693" s="21"/>
      <c r="C693" s="21"/>
      <c r="D693" s="6"/>
      <c r="E693" s="14"/>
      <c r="F693" s="6"/>
      <c r="G693" s="6"/>
      <c r="H693" s="17"/>
      <c r="I693" s="49">
        <f t="shared" si="20"/>
        <v>0</v>
      </c>
      <c r="J693" s="13"/>
      <c r="K693" s="7"/>
      <c r="L693" s="5">
        <f t="shared" si="21"/>
        <v>0</v>
      </c>
    </row>
    <row r="694" spans="1:12" x14ac:dyDescent="0.25">
      <c r="A694" s="32"/>
      <c r="B694" s="21"/>
      <c r="C694" s="21"/>
      <c r="D694" s="6"/>
      <c r="E694" s="14"/>
      <c r="F694" s="6"/>
      <c r="G694" s="6"/>
      <c r="H694" s="17"/>
      <c r="I694" s="49">
        <f t="shared" si="20"/>
        <v>0</v>
      </c>
      <c r="J694" s="13"/>
      <c r="K694" s="7"/>
      <c r="L694" s="5">
        <f t="shared" si="21"/>
        <v>0</v>
      </c>
    </row>
    <row r="695" spans="1:12" x14ac:dyDescent="0.25">
      <c r="A695" s="32"/>
      <c r="B695" s="21"/>
      <c r="C695" s="21"/>
      <c r="D695" s="6"/>
      <c r="E695" s="14"/>
      <c r="F695" s="6"/>
      <c r="G695" s="6"/>
      <c r="H695" s="17"/>
      <c r="I695" s="49">
        <f t="shared" si="20"/>
        <v>0</v>
      </c>
      <c r="J695" s="13"/>
      <c r="K695" s="7"/>
      <c r="L695" s="5">
        <f t="shared" si="21"/>
        <v>0</v>
      </c>
    </row>
    <row r="696" spans="1:12" x14ac:dyDescent="0.25">
      <c r="A696" s="32"/>
      <c r="B696" s="21"/>
      <c r="C696" s="21"/>
      <c r="D696" s="6"/>
      <c r="E696" s="14"/>
      <c r="F696" s="6"/>
      <c r="G696" s="6"/>
      <c r="H696" s="17"/>
      <c r="I696" s="49">
        <f t="shared" si="20"/>
        <v>0</v>
      </c>
      <c r="J696" s="13"/>
      <c r="K696" s="7"/>
      <c r="L696" s="5">
        <f t="shared" si="21"/>
        <v>0</v>
      </c>
    </row>
    <row r="697" spans="1:12" x14ac:dyDescent="0.25">
      <c r="A697" s="32"/>
      <c r="B697" s="21"/>
      <c r="C697" s="21"/>
      <c r="D697" s="6"/>
      <c r="E697" s="14"/>
      <c r="F697" s="6"/>
      <c r="G697" s="6"/>
      <c r="H697" s="17"/>
      <c r="I697" s="49">
        <f t="shared" si="20"/>
        <v>0</v>
      </c>
      <c r="J697" s="13"/>
      <c r="K697" s="7"/>
      <c r="L697" s="5">
        <f t="shared" si="21"/>
        <v>0</v>
      </c>
    </row>
    <row r="698" spans="1:12" x14ac:dyDescent="0.25">
      <c r="A698" s="32"/>
      <c r="B698" s="21"/>
      <c r="C698" s="21"/>
      <c r="D698" s="6"/>
      <c r="E698" s="14"/>
      <c r="F698" s="6"/>
      <c r="G698" s="6"/>
      <c r="H698" s="17"/>
      <c r="I698" s="49">
        <f t="shared" si="20"/>
        <v>0</v>
      </c>
      <c r="J698" s="13"/>
      <c r="K698" s="7"/>
      <c r="L698" s="5">
        <f t="shared" si="21"/>
        <v>0</v>
      </c>
    </row>
    <row r="699" spans="1:12" x14ac:dyDescent="0.25">
      <c r="A699" s="32"/>
      <c r="B699" s="21"/>
      <c r="C699" s="21"/>
      <c r="D699" s="6"/>
      <c r="E699" s="14"/>
      <c r="F699" s="6"/>
      <c r="G699" s="6"/>
      <c r="H699" s="17"/>
      <c r="I699" s="49">
        <f t="shared" si="20"/>
        <v>0</v>
      </c>
      <c r="J699" s="13"/>
      <c r="K699" s="7"/>
      <c r="L699" s="5">
        <f t="shared" si="21"/>
        <v>0</v>
      </c>
    </row>
    <row r="700" spans="1:12" x14ac:dyDescent="0.25">
      <c r="A700" s="32"/>
      <c r="B700" s="21"/>
      <c r="C700" s="21"/>
      <c r="D700" s="6"/>
      <c r="E700" s="14"/>
      <c r="F700" s="6"/>
      <c r="G700" s="6"/>
      <c r="H700" s="17"/>
      <c r="I700" s="49">
        <f t="shared" si="20"/>
        <v>0</v>
      </c>
      <c r="J700" s="13"/>
      <c r="K700" s="7"/>
      <c r="L700" s="5">
        <f t="shared" si="21"/>
        <v>0</v>
      </c>
    </row>
    <row r="701" spans="1:12" x14ac:dyDescent="0.25">
      <c r="A701" s="32"/>
      <c r="B701" s="21"/>
      <c r="C701" s="21"/>
      <c r="D701" s="6"/>
      <c r="E701" s="14"/>
      <c r="F701" s="6"/>
      <c r="G701" s="6"/>
      <c r="H701" s="17"/>
      <c r="I701" s="49">
        <f t="shared" si="20"/>
        <v>0</v>
      </c>
      <c r="J701" s="13"/>
      <c r="K701" s="7"/>
      <c r="L701" s="5">
        <f t="shared" si="21"/>
        <v>0</v>
      </c>
    </row>
    <row r="702" spans="1:12" x14ac:dyDescent="0.25">
      <c r="A702" s="32"/>
      <c r="B702" s="21"/>
      <c r="C702" s="21"/>
      <c r="D702" s="6"/>
      <c r="E702" s="14"/>
      <c r="F702" s="6"/>
      <c r="G702" s="6"/>
      <c r="H702" s="17"/>
      <c r="I702" s="49">
        <f t="shared" si="20"/>
        <v>0</v>
      </c>
      <c r="J702" s="13"/>
      <c r="K702" s="7"/>
      <c r="L702" s="5">
        <f t="shared" si="21"/>
        <v>0</v>
      </c>
    </row>
    <row r="703" spans="1:12" x14ac:dyDescent="0.25">
      <c r="A703" s="32"/>
      <c r="B703" s="21"/>
      <c r="C703" s="21"/>
      <c r="D703" s="6"/>
      <c r="E703" s="14"/>
      <c r="F703" s="6"/>
      <c r="G703" s="6"/>
      <c r="H703" s="17"/>
      <c r="I703" s="49">
        <f t="shared" si="20"/>
        <v>0</v>
      </c>
      <c r="J703" s="13"/>
      <c r="K703" s="7"/>
      <c r="L703" s="5">
        <f t="shared" si="21"/>
        <v>0</v>
      </c>
    </row>
    <row r="704" spans="1:12" x14ac:dyDescent="0.25">
      <c r="A704" s="32"/>
      <c r="B704" s="21"/>
      <c r="C704" s="21"/>
      <c r="D704" s="6"/>
      <c r="E704" s="14"/>
      <c r="F704" s="6"/>
      <c r="G704" s="6"/>
      <c r="H704" s="17"/>
      <c r="I704" s="49">
        <f t="shared" si="20"/>
        <v>0</v>
      </c>
      <c r="J704" s="13"/>
      <c r="K704" s="7"/>
      <c r="L704" s="5">
        <f t="shared" si="21"/>
        <v>0</v>
      </c>
    </row>
    <row r="705" spans="1:12" x14ac:dyDescent="0.25">
      <c r="A705" s="32"/>
      <c r="B705" s="21"/>
      <c r="C705" s="21"/>
      <c r="D705" s="6"/>
      <c r="E705" s="14"/>
      <c r="F705" s="6"/>
      <c r="G705" s="6"/>
      <c r="H705" s="17"/>
      <c r="I705" s="49">
        <f t="shared" si="20"/>
        <v>0</v>
      </c>
      <c r="J705" s="13"/>
      <c r="K705" s="7"/>
      <c r="L705" s="5">
        <f t="shared" si="21"/>
        <v>0</v>
      </c>
    </row>
    <row r="706" spans="1:12" x14ac:dyDescent="0.25">
      <c r="A706" s="32"/>
      <c r="B706" s="21"/>
      <c r="C706" s="21"/>
      <c r="D706" s="6"/>
      <c r="E706" s="14"/>
      <c r="F706" s="6"/>
      <c r="G706" s="6"/>
      <c r="H706" s="17"/>
      <c r="I706" s="49">
        <f t="shared" si="20"/>
        <v>0</v>
      </c>
      <c r="J706" s="13"/>
      <c r="K706" s="7"/>
      <c r="L706" s="5">
        <f t="shared" si="21"/>
        <v>0</v>
      </c>
    </row>
    <row r="707" spans="1:12" x14ac:dyDescent="0.25">
      <c r="A707" s="32"/>
      <c r="B707" s="21"/>
      <c r="C707" s="21"/>
      <c r="D707" s="6"/>
      <c r="E707" s="14"/>
      <c r="F707" s="6"/>
      <c r="G707" s="6"/>
      <c r="H707" s="17"/>
      <c r="I707" s="49">
        <f t="shared" si="20"/>
        <v>0</v>
      </c>
      <c r="J707" s="13"/>
      <c r="K707" s="7"/>
      <c r="L707" s="5">
        <f t="shared" si="21"/>
        <v>0</v>
      </c>
    </row>
    <row r="708" spans="1:12" x14ac:dyDescent="0.25">
      <c r="A708" s="32"/>
      <c r="B708" s="21"/>
      <c r="C708" s="21"/>
      <c r="D708" s="6"/>
      <c r="E708" s="14"/>
      <c r="F708" s="6"/>
      <c r="G708" s="6"/>
      <c r="H708" s="17"/>
      <c r="I708" s="49">
        <f t="shared" si="20"/>
        <v>0</v>
      </c>
      <c r="J708" s="13"/>
      <c r="K708" s="7"/>
      <c r="L708" s="5">
        <f t="shared" si="21"/>
        <v>0</v>
      </c>
    </row>
    <row r="709" spans="1:12" x14ac:dyDescent="0.25">
      <c r="A709" s="32"/>
      <c r="B709" s="21"/>
      <c r="C709" s="21"/>
      <c r="D709" s="6"/>
      <c r="E709" s="14"/>
      <c r="F709" s="6"/>
      <c r="G709" s="6"/>
      <c r="H709" s="17"/>
      <c r="I709" s="49">
        <f t="shared" si="20"/>
        <v>0</v>
      </c>
      <c r="J709" s="13"/>
      <c r="K709" s="7"/>
      <c r="L709" s="5">
        <f t="shared" si="21"/>
        <v>0</v>
      </c>
    </row>
    <row r="710" spans="1:12" x14ac:dyDescent="0.25">
      <c r="A710" s="32"/>
      <c r="B710" s="21"/>
      <c r="C710" s="21"/>
      <c r="D710" s="6"/>
      <c r="E710" s="14"/>
      <c r="F710" s="6"/>
      <c r="G710" s="6"/>
      <c r="H710" s="17"/>
      <c r="I710" s="49">
        <f t="shared" si="20"/>
        <v>0</v>
      </c>
      <c r="J710" s="13"/>
      <c r="K710" s="7"/>
      <c r="L710" s="5">
        <f t="shared" si="21"/>
        <v>0</v>
      </c>
    </row>
    <row r="711" spans="1:12" x14ac:dyDescent="0.25">
      <c r="A711" s="32"/>
      <c r="B711" s="21"/>
      <c r="C711" s="21"/>
      <c r="D711" s="6"/>
      <c r="E711" s="14"/>
      <c r="F711" s="6"/>
      <c r="G711" s="6"/>
      <c r="H711" s="17"/>
      <c r="I711" s="49">
        <f t="shared" ref="I711:I774" si="22">F711*H711</f>
        <v>0</v>
      </c>
      <c r="J711" s="13"/>
      <c r="K711" s="7"/>
      <c r="L711" s="5">
        <f t="shared" ref="L711:L774" si="23">+I711+J711-K711</f>
        <v>0</v>
      </c>
    </row>
    <row r="712" spans="1:12" x14ac:dyDescent="0.25">
      <c r="A712" s="32"/>
      <c r="B712" s="21"/>
      <c r="C712" s="21"/>
      <c r="D712" s="6"/>
      <c r="E712" s="14"/>
      <c r="F712" s="6"/>
      <c r="G712" s="6"/>
      <c r="H712" s="17"/>
      <c r="I712" s="49">
        <f t="shared" si="22"/>
        <v>0</v>
      </c>
      <c r="J712" s="13"/>
      <c r="K712" s="7"/>
      <c r="L712" s="5">
        <f t="shared" si="23"/>
        <v>0</v>
      </c>
    </row>
    <row r="713" spans="1:12" x14ac:dyDescent="0.25">
      <c r="A713" s="32"/>
      <c r="B713" s="21"/>
      <c r="C713" s="21"/>
      <c r="D713" s="6"/>
      <c r="E713" s="14"/>
      <c r="F713" s="6"/>
      <c r="G713" s="6"/>
      <c r="H713" s="17"/>
      <c r="I713" s="49">
        <f t="shared" si="22"/>
        <v>0</v>
      </c>
      <c r="J713" s="13"/>
      <c r="K713" s="7"/>
      <c r="L713" s="5">
        <f t="shared" si="23"/>
        <v>0</v>
      </c>
    </row>
    <row r="714" spans="1:12" x14ac:dyDescent="0.25">
      <c r="A714" s="32"/>
      <c r="B714" s="21"/>
      <c r="C714" s="21"/>
      <c r="D714" s="6"/>
      <c r="E714" s="14"/>
      <c r="F714" s="6"/>
      <c r="G714" s="6"/>
      <c r="H714" s="17"/>
      <c r="I714" s="49">
        <f t="shared" si="22"/>
        <v>0</v>
      </c>
      <c r="J714" s="13"/>
      <c r="K714" s="7"/>
      <c r="L714" s="5">
        <f t="shared" si="23"/>
        <v>0</v>
      </c>
    </row>
    <row r="715" spans="1:12" x14ac:dyDescent="0.25">
      <c r="A715" s="32"/>
      <c r="B715" s="21"/>
      <c r="C715" s="21"/>
      <c r="D715" s="6"/>
      <c r="E715" s="14"/>
      <c r="F715" s="6"/>
      <c r="G715" s="6"/>
      <c r="H715" s="17"/>
      <c r="I715" s="49">
        <f t="shared" si="22"/>
        <v>0</v>
      </c>
      <c r="J715" s="13"/>
      <c r="K715" s="7"/>
      <c r="L715" s="5">
        <f t="shared" si="23"/>
        <v>0</v>
      </c>
    </row>
    <row r="716" spans="1:12" x14ac:dyDescent="0.25">
      <c r="A716" s="32"/>
      <c r="B716" s="21"/>
      <c r="C716" s="21"/>
      <c r="D716" s="6"/>
      <c r="E716" s="14"/>
      <c r="F716" s="6"/>
      <c r="G716" s="6"/>
      <c r="H716" s="17"/>
      <c r="I716" s="49">
        <f t="shared" si="22"/>
        <v>0</v>
      </c>
      <c r="J716" s="13"/>
      <c r="K716" s="7"/>
      <c r="L716" s="5">
        <f t="shared" si="23"/>
        <v>0</v>
      </c>
    </row>
    <row r="717" spans="1:12" x14ac:dyDescent="0.25">
      <c r="A717" s="32"/>
      <c r="B717" s="21"/>
      <c r="C717" s="21"/>
      <c r="D717" s="6"/>
      <c r="E717" s="14"/>
      <c r="F717" s="6"/>
      <c r="G717" s="6"/>
      <c r="H717" s="17"/>
      <c r="I717" s="49">
        <f t="shared" si="22"/>
        <v>0</v>
      </c>
      <c r="J717" s="13"/>
      <c r="K717" s="7"/>
      <c r="L717" s="5">
        <f t="shared" si="23"/>
        <v>0</v>
      </c>
    </row>
    <row r="718" spans="1:12" x14ac:dyDescent="0.25">
      <c r="A718" s="32"/>
      <c r="B718" s="21"/>
      <c r="C718" s="21"/>
      <c r="D718" s="6"/>
      <c r="E718" s="14"/>
      <c r="F718" s="6"/>
      <c r="G718" s="6"/>
      <c r="H718" s="17"/>
      <c r="I718" s="49">
        <f t="shared" si="22"/>
        <v>0</v>
      </c>
      <c r="J718" s="13"/>
      <c r="K718" s="7"/>
      <c r="L718" s="5">
        <f t="shared" si="23"/>
        <v>0</v>
      </c>
    </row>
    <row r="719" spans="1:12" x14ac:dyDescent="0.25">
      <c r="A719" s="32"/>
      <c r="B719" s="21"/>
      <c r="C719" s="21"/>
      <c r="D719" s="6"/>
      <c r="E719" s="14"/>
      <c r="F719" s="6"/>
      <c r="G719" s="6"/>
      <c r="H719" s="17"/>
      <c r="I719" s="49">
        <f t="shared" si="22"/>
        <v>0</v>
      </c>
      <c r="J719" s="13"/>
      <c r="K719" s="7"/>
      <c r="L719" s="5">
        <f t="shared" si="23"/>
        <v>0</v>
      </c>
    </row>
    <row r="720" spans="1:12" x14ac:dyDescent="0.25">
      <c r="A720" s="32"/>
      <c r="B720" s="21"/>
      <c r="C720" s="21"/>
      <c r="D720" s="6"/>
      <c r="E720" s="14"/>
      <c r="F720" s="6"/>
      <c r="G720" s="6"/>
      <c r="H720" s="17"/>
      <c r="I720" s="49">
        <f t="shared" si="22"/>
        <v>0</v>
      </c>
      <c r="J720" s="13"/>
      <c r="K720" s="7"/>
      <c r="L720" s="5">
        <f t="shared" si="23"/>
        <v>0</v>
      </c>
    </row>
    <row r="721" spans="1:12" x14ac:dyDescent="0.25">
      <c r="A721" s="32"/>
      <c r="B721" s="21"/>
      <c r="C721" s="21"/>
      <c r="D721" s="6"/>
      <c r="E721" s="14"/>
      <c r="F721" s="6"/>
      <c r="G721" s="6"/>
      <c r="H721" s="17"/>
      <c r="I721" s="49">
        <f t="shared" si="22"/>
        <v>0</v>
      </c>
      <c r="J721" s="13"/>
      <c r="K721" s="7"/>
      <c r="L721" s="5">
        <f t="shared" si="23"/>
        <v>0</v>
      </c>
    </row>
    <row r="722" spans="1:12" x14ac:dyDescent="0.25">
      <c r="A722" s="32"/>
      <c r="B722" s="21"/>
      <c r="C722" s="21"/>
      <c r="D722" s="6"/>
      <c r="E722" s="14"/>
      <c r="F722" s="6"/>
      <c r="G722" s="6"/>
      <c r="H722" s="17"/>
      <c r="I722" s="49">
        <f t="shared" si="22"/>
        <v>0</v>
      </c>
      <c r="J722" s="13"/>
      <c r="K722" s="7"/>
      <c r="L722" s="5">
        <f t="shared" si="23"/>
        <v>0</v>
      </c>
    </row>
    <row r="723" spans="1:12" x14ac:dyDescent="0.25">
      <c r="A723" s="32"/>
      <c r="B723" s="21"/>
      <c r="C723" s="21"/>
      <c r="D723" s="6"/>
      <c r="E723" s="14"/>
      <c r="F723" s="6"/>
      <c r="G723" s="6"/>
      <c r="H723" s="17"/>
      <c r="I723" s="49">
        <f t="shared" si="22"/>
        <v>0</v>
      </c>
      <c r="J723" s="13"/>
      <c r="K723" s="7"/>
      <c r="L723" s="5">
        <f t="shared" si="23"/>
        <v>0</v>
      </c>
    </row>
    <row r="724" spans="1:12" x14ac:dyDescent="0.25">
      <c r="A724" s="32"/>
      <c r="B724" s="21"/>
      <c r="C724" s="21"/>
      <c r="D724" s="6"/>
      <c r="E724" s="14"/>
      <c r="F724" s="6"/>
      <c r="G724" s="6"/>
      <c r="H724" s="17"/>
      <c r="I724" s="49">
        <f t="shared" si="22"/>
        <v>0</v>
      </c>
      <c r="J724" s="13"/>
      <c r="K724" s="7"/>
      <c r="L724" s="5">
        <f t="shared" si="23"/>
        <v>0</v>
      </c>
    </row>
    <row r="725" spans="1:12" x14ac:dyDescent="0.25">
      <c r="A725" s="32"/>
      <c r="B725" s="21"/>
      <c r="C725" s="21"/>
      <c r="D725" s="6"/>
      <c r="E725" s="14"/>
      <c r="F725" s="6"/>
      <c r="G725" s="6"/>
      <c r="H725" s="17"/>
      <c r="I725" s="49">
        <f t="shared" si="22"/>
        <v>0</v>
      </c>
      <c r="J725" s="13"/>
      <c r="K725" s="7"/>
      <c r="L725" s="5">
        <f t="shared" si="23"/>
        <v>0</v>
      </c>
    </row>
    <row r="726" spans="1:12" x14ac:dyDescent="0.25">
      <c r="A726" s="32"/>
      <c r="B726" s="21"/>
      <c r="C726" s="21"/>
      <c r="D726" s="6"/>
      <c r="E726" s="14"/>
      <c r="F726" s="6"/>
      <c r="G726" s="6"/>
      <c r="H726" s="17"/>
      <c r="I726" s="49">
        <f t="shared" si="22"/>
        <v>0</v>
      </c>
      <c r="J726" s="13"/>
      <c r="K726" s="7"/>
      <c r="L726" s="5">
        <f t="shared" si="23"/>
        <v>0</v>
      </c>
    </row>
    <row r="727" spans="1:12" x14ac:dyDescent="0.25">
      <c r="A727" s="32"/>
      <c r="B727" s="21"/>
      <c r="C727" s="21"/>
      <c r="D727" s="6"/>
      <c r="E727" s="14"/>
      <c r="F727" s="6"/>
      <c r="G727" s="6"/>
      <c r="H727" s="17"/>
      <c r="I727" s="49">
        <f t="shared" si="22"/>
        <v>0</v>
      </c>
      <c r="J727" s="13"/>
      <c r="K727" s="7"/>
      <c r="L727" s="5">
        <f t="shared" si="23"/>
        <v>0</v>
      </c>
    </row>
    <row r="728" spans="1:12" x14ac:dyDescent="0.25">
      <c r="A728" s="32"/>
      <c r="B728" s="21"/>
      <c r="C728" s="21"/>
      <c r="D728" s="6"/>
      <c r="E728" s="14"/>
      <c r="F728" s="6"/>
      <c r="G728" s="6"/>
      <c r="H728" s="17"/>
      <c r="I728" s="49">
        <f t="shared" si="22"/>
        <v>0</v>
      </c>
      <c r="J728" s="13"/>
      <c r="K728" s="7"/>
      <c r="L728" s="5">
        <f t="shared" si="23"/>
        <v>0</v>
      </c>
    </row>
    <row r="729" spans="1:12" x14ac:dyDescent="0.25">
      <c r="A729" s="32"/>
      <c r="B729" s="21"/>
      <c r="C729" s="21"/>
      <c r="D729" s="6"/>
      <c r="E729" s="14"/>
      <c r="F729" s="6"/>
      <c r="G729" s="6"/>
      <c r="H729" s="17"/>
      <c r="I729" s="49">
        <f t="shared" si="22"/>
        <v>0</v>
      </c>
      <c r="J729" s="13"/>
      <c r="K729" s="7"/>
      <c r="L729" s="5">
        <f t="shared" si="23"/>
        <v>0</v>
      </c>
    </row>
    <row r="730" spans="1:12" x14ac:dyDescent="0.25">
      <c r="A730" s="32"/>
      <c r="B730" s="21"/>
      <c r="C730" s="21"/>
      <c r="D730" s="6"/>
      <c r="E730" s="14"/>
      <c r="F730" s="6"/>
      <c r="G730" s="6"/>
      <c r="H730" s="17"/>
      <c r="I730" s="49">
        <f t="shared" si="22"/>
        <v>0</v>
      </c>
      <c r="J730" s="13"/>
      <c r="K730" s="7"/>
      <c r="L730" s="5">
        <f t="shared" si="23"/>
        <v>0</v>
      </c>
    </row>
    <row r="731" spans="1:12" x14ac:dyDescent="0.25">
      <c r="A731" s="32"/>
      <c r="B731" s="21"/>
      <c r="C731" s="21"/>
      <c r="D731" s="6"/>
      <c r="E731" s="14"/>
      <c r="F731" s="6"/>
      <c r="G731" s="6"/>
      <c r="H731" s="17"/>
      <c r="I731" s="49">
        <f t="shared" si="22"/>
        <v>0</v>
      </c>
      <c r="J731" s="13"/>
      <c r="K731" s="7"/>
      <c r="L731" s="5">
        <f t="shared" si="23"/>
        <v>0</v>
      </c>
    </row>
    <row r="732" spans="1:12" x14ac:dyDescent="0.25">
      <c r="A732" s="32"/>
      <c r="B732" s="21"/>
      <c r="C732" s="21"/>
      <c r="D732" s="6"/>
      <c r="E732" s="14"/>
      <c r="F732" s="6"/>
      <c r="G732" s="6"/>
      <c r="H732" s="17"/>
      <c r="I732" s="49">
        <f t="shared" si="22"/>
        <v>0</v>
      </c>
      <c r="J732" s="13"/>
      <c r="K732" s="7"/>
      <c r="L732" s="5">
        <f t="shared" si="23"/>
        <v>0</v>
      </c>
    </row>
    <row r="733" spans="1:12" x14ac:dyDescent="0.25">
      <c r="A733" s="32"/>
      <c r="B733" s="21"/>
      <c r="C733" s="21"/>
      <c r="D733" s="6"/>
      <c r="E733" s="14"/>
      <c r="F733" s="6"/>
      <c r="G733" s="6"/>
      <c r="H733" s="17"/>
      <c r="I733" s="49">
        <f t="shared" si="22"/>
        <v>0</v>
      </c>
      <c r="J733" s="13"/>
      <c r="K733" s="7"/>
      <c r="L733" s="5">
        <f t="shared" si="23"/>
        <v>0</v>
      </c>
    </row>
    <row r="734" spans="1:12" x14ac:dyDescent="0.25">
      <c r="A734" s="32"/>
      <c r="B734" s="21"/>
      <c r="C734" s="21"/>
      <c r="D734" s="6"/>
      <c r="E734" s="14"/>
      <c r="F734" s="6"/>
      <c r="G734" s="6"/>
      <c r="H734" s="17"/>
      <c r="I734" s="49">
        <f t="shared" si="22"/>
        <v>0</v>
      </c>
      <c r="J734" s="13"/>
      <c r="K734" s="7"/>
      <c r="L734" s="5">
        <f t="shared" si="23"/>
        <v>0</v>
      </c>
    </row>
    <row r="735" spans="1:12" x14ac:dyDescent="0.25">
      <c r="A735" s="32"/>
      <c r="B735" s="21"/>
      <c r="C735" s="21"/>
      <c r="D735" s="6"/>
      <c r="E735" s="14"/>
      <c r="F735" s="6"/>
      <c r="G735" s="6"/>
      <c r="H735" s="17"/>
      <c r="I735" s="49">
        <f t="shared" si="22"/>
        <v>0</v>
      </c>
      <c r="J735" s="13"/>
      <c r="K735" s="7"/>
      <c r="L735" s="5">
        <f t="shared" si="23"/>
        <v>0</v>
      </c>
    </row>
    <row r="736" spans="1:12" x14ac:dyDescent="0.25">
      <c r="A736" s="32"/>
      <c r="B736" s="21"/>
      <c r="C736" s="21"/>
      <c r="D736" s="6"/>
      <c r="E736" s="14"/>
      <c r="F736" s="6"/>
      <c r="G736" s="6"/>
      <c r="H736" s="17"/>
      <c r="I736" s="49">
        <f t="shared" si="22"/>
        <v>0</v>
      </c>
      <c r="J736" s="13"/>
      <c r="K736" s="7"/>
      <c r="L736" s="5">
        <f t="shared" si="23"/>
        <v>0</v>
      </c>
    </row>
    <row r="737" spans="1:12" x14ac:dyDescent="0.25">
      <c r="A737" s="32"/>
      <c r="B737" s="21"/>
      <c r="C737" s="21"/>
      <c r="D737" s="6"/>
      <c r="E737" s="14"/>
      <c r="F737" s="6"/>
      <c r="G737" s="6"/>
      <c r="H737" s="17"/>
      <c r="I737" s="49">
        <f t="shared" si="22"/>
        <v>0</v>
      </c>
      <c r="J737" s="13"/>
      <c r="K737" s="7"/>
      <c r="L737" s="5">
        <f t="shared" si="23"/>
        <v>0</v>
      </c>
    </row>
    <row r="738" spans="1:12" x14ac:dyDescent="0.25">
      <c r="A738" s="32"/>
      <c r="B738" s="21"/>
      <c r="C738" s="21"/>
      <c r="D738" s="6"/>
      <c r="E738" s="14"/>
      <c r="F738" s="6"/>
      <c r="G738" s="6"/>
      <c r="H738" s="17"/>
      <c r="I738" s="49">
        <f t="shared" si="22"/>
        <v>0</v>
      </c>
      <c r="J738" s="13"/>
      <c r="K738" s="7"/>
      <c r="L738" s="5">
        <f t="shared" si="23"/>
        <v>0</v>
      </c>
    </row>
    <row r="739" spans="1:12" x14ac:dyDescent="0.25">
      <c r="A739" s="32"/>
      <c r="B739" s="21"/>
      <c r="C739" s="21"/>
      <c r="D739" s="6"/>
      <c r="E739" s="14"/>
      <c r="F739" s="6"/>
      <c r="G739" s="6"/>
      <c r="H739" s="17"/>
      <c r="I739" s="49">
        <f t="shared" si="22"/>
        <v>0</v>
      </c>
      <c r="J739" s="13"/>
      <c r="K739" s="7"/>
      <c r="L739" s="5">
        <f t="shared" si="23"/>
        <v>0</v>
      </c>
    </row>
    <row r="740" spans="1:12" x14ac:dyDescent="0.25">
      <c r="A740" s="32"/>
      <c r="B740" s="21"/>
      <c r="C740" s="21"/>
      <c r="D740" s="6"/>
      <c r="E740" s="14"/>
      <c r="F740" s="6"/>
      <c r="G740" s="6"/>
      <c r="H740" s="17"/>
      <c r="I740" s="49">
        <f t="shared" si="22"/>
        <v>0</v>
      </c>
      <c r="J740" s="13"/>
      <c r="K740" s="7"/>
      <c r="L740" s="5">
        <f t="shared" si="23"/>
        <v>0</v>
      </c>
    </row>
    <row r="741" spans="1:12" x14ac:dyDescent="0.25">
      <c r="A741" s="32"/>
      <c r="B741" s="21"/>
      <c r="C741" s="21"/>
      <c r="D741" s="6"/>
      <c r="E741" s="14"/>
      <c r="F741" s="6"/>
      <c r="G741" s="6"/>
      <c r="H741" s="17"/>
      <c r="I741" s="49">
        <f t="shared" si="22"/>
        <v>0</v>
      </c>
      <c r="J741" s="13"/>
      <c r="K741" s="7"/>
      <c r="L741" s="5">
        <f t="shared" si="23"/>
        <v>0</v>
      </c>
    </row>
    <row r="742" spans="1:12" x14ac:dyDescent="0.25">
      <c r="A742" s="32"/>
      <c r="B742" s="21"/>
      <c r="C742" s="21"/>
      <c r="D742" s="6"/>
      <c r="E742" s="14"/>
      <c r="F742" s="6"/>
      <c r="G742" s="6"/>
      <c r="H742" s="17"/>
      <c r="I742" s="49">
        <f t="shared" si="22"/>
        <v>0</v>
      </c>
      <c r="J742" s="13"/>
      <c r="K742" s="7"/>
      <c r="L742" s="5">
        <f t="shared" si="23"/>
        <v>0</v>
      </c>
    </row>
    <row r="743" spans="1:12" x14ac:dyDescent="0.25">
      <c r="A743" s="32"/>
      <c r="B743" s="21"/>
      <c r="C743" s="21"/>
      <c r="D743" s="6"/>
      <c r="E743" s="14"/>
      <c r="F743" s="6"/>
      <c r="G743" s="6"/>
      <c r="H743" s="17"/>
      <c r="I743" s="49">
        <f t="shared" si="22"/>
        <v>0</v>
      </c>
      <c r="J743" s="13"/>
      <c r="K743" s="7"/>
      <c r="L743" s="5">
        <f t="shared" si="23"/>
        <v>0</v>
      </c>
    </row>
    <row r="744" spans="1:12" x14ac:dyDescent="0.25">
      <c r="A744" s="32"/>
      <c r="B744" s="21"/>
      <c r="C744" s="21"/>
      <c r="D744" s="6"/>
      <c r="E744" s="14"/>
      <c r="F744" s="6"/>
      <c r="G744" s="6"/>
      <c r="H744" s="17"/>
      <c r="I744" s="49">
        <f t="shared" si="22"/>
        <v>0</v>
      </c>
      <c r="J744" s="13"/>
      <c r="K744" s="7"/>
      <c r="L744" s="5">
        <f t="shared" si="23"/>
        <v>0</v>
      </c>
    </row>
    <row r="745" spans="1:12" x14ac:dyDescent="0.25">
      <c r="A745" s="32"/>
      <c r="B745" s="21"/>
      <c r="C745" s="21"/>
      <c r="D745" s="6"/>
      <c r="E745" s="14"/>
      <c r="F745" s="6"/>
      <c r="G745" s="6"/>
      <c r="H745" s="17"/>
      <c r="I745" s="49">
        <f t="shared" si="22"/>
        <v>0</v>
      </c>
      <c r="J745" s="13"/>
      <c r="K745" s="7"/>
      <c r="L745" s="5">
        <f t="shared" si="23"/>
        <v>0</v>
      </c>
    </row>
    <row r="746" spans="1:12" x14ac:dyDescent="0.25">
      <c r="A746" s="32"/>
      <c r="B746" s="21"/>
      <c r="C746" s="21"/>
      <c r="D746" s="6"/>
      <c r="E746" s="14"/>
      <c r="F746" s="6"/>
      <c r="G746" s="6"/>
      <c r="H746" s="17"/>
      <c r="I746" s="49">
        <f t="shared" si="22"/>
        <v>0</v>
      </c>
      <c r="J746" s="13"/>
      <c r="K746" s="7"/>
      <c r="L746" s="5">
        <f t="shared" si="23"/>
        <v>0</v>
      </c>
    </row>
    <row r="747" spans="1:12" x14ac:dyDescent="0.25">
      <c r="A747" s="32"/>
      <c r="B747" s="21"/>
      <c r="C747" s="21"/>
      <c r="D747" s="6"/>
      <c r="E747" s="14"/>
      <c r="F747" s="6"/>
      <c r="G747" s="6"/>
      <c r="H747" s="17"/>
      <c r="I747" s="49">
        <f t="shared" si="22"/>
        <v>0</v>
      </c>
      <c r="J747" s="13"/>
      <c r="K747" s="7"/>
      <c r="L747" s="5">
        <f t="shared" si="23"/>
        <v>0</v>
      </c>
    </row>
    <row r="748" spans="1:12" x14ac:dyDescent="0.25">
      <c r="A748" s="32"/>
      <c r="B748" s="21"/>
      <c r="C748" s="21"/>
      <c r="D748" s="6"/>
      <c r="E748" s="14"/>
      <c r="F748" s="6"/>
      <c r="G748" s="6"/>
      <c r="H748" s="17"/>
      <c r="I748" s="49">
        <f t="shared" si="22"/>
        <v>0</v>
      </c>
      <c r="J748" s="13"/>
      <c r="K748" s="7"/>
      <c r="L748" s="5">
        <f t="shared" si="23"/>
        <v>0</v>
      </c>
    </row>
    <row r="749" spans="1:12" x14ac:dyDescent="0.25">
      <c r="A749" s="32"/>
      <c r="B749" s="21"/>
      <c r="C749" s="21"/>
      <c r="D749" s="6"/>
      <c r="E749" s="14"/>
      <c r="F749" s="6"/>
      <c r="G749" s="6"/>
      <c r="H749" s="17"/>
      <c r="I749" s="49">
        <f t="shared" si="22"/>
        <v>0</v>
      </c>
      <c r="J749" s="13"/>
      <c r="K749" s="7"/>
      <c r="L749" s="5">
        <f t="shared" si="23"/>
        <v>0</v>
      </c>
    </row>
    <row r="750" spans="1:12" x14ac:dyDescent="0.25">
      <c r="A750" s="32"/>
      <c r="B750" s="21"/>
      <c r="C750" s="21"/>
      <c r="D750" s="6"/>
      <c r="E750" s="14"/>
      <c r="F750" s="6"/>
      <c r="G750" s="6"/>
      <c r="H750" s="17"/>
      <c r="I750" s="49">
        <f t="shared" si="22"/>
        <v>0</v>
      </c>
      <c r="J750" s="13"/>
      <c r="K750" s="7"/>
      <c r="L750" s="5">
        <f t="shared" si="23"/>
        <v>0</v>
      </c>
    </row>
    <row r="751" spans="1:12" x14ac:dyDescent="0.25">
      <c r="A751" s="32"/>
      <c r="B751" s="21"/>
      <c r="C751" s="21"/>
      <c r="D751" s="6"/>
      <c r="E751" s="14"/>
      <c r="F751" s="6"/>
      <c r="G751" s="6"/>
      <c r="H751" s="17"/>
      <c r="I751" s="49">
        <f t="shared" si="22"/>
        <v>0</v>
      </c>
      <c r="J751" s="13"/>
      <c r="K751" s="7"/>
      <c r="L751" s="5">
        <f t="shared" si="23"/>
        <v>0</v>
      </c>
    </row>
    <row r="752" spans="1:12" x14ac:dyDescent="0.25">
      <c r="A752" s="32"/>
      <c r="B752" s="21"/>
      <c r="C752" s="21"/>
      <c r="D752" s="6"/>
      <c r="E752" s="14"/>
      <c r="F752" s="6"/>
      <c r="G752" s="6"/>
      <c r="H752" s="17"/>
      <c r="I752" s="49">
        <f t="shared" si="22"/>
        <v>0</v>
      </c>
      <c r="J752" s="13"/>
      <c r="K752" s="7"/>
      <c r="L752" s="5">
        <f t="shared" si="23"/>
        <v>0</v>
      </c>
    </row>
    <row r="753" spans="1:12" x14ac:dyDescent="0.25">
      <c r="A753" s="32"/>
      <c r="B753" s="21"/>
      <c r="C753" s="21"/>
      <c r="D753" s="6"/>
      <c r="E753" s="14"/>
      <c r="F753" s="6"/>
      <c r="G753" s="6"/>
      <c r="H753" s="17"/>
      <c r="I753" s="49">
        <f t="shared" si="22"/>
        <v>0</v>
      </c>
      <c r="J753" s="13"/>
      <c r="K753" s="7"/>
      <c r="L753" s="5">
        <f t="shared" si="23"/>
        <v>0</v>
      </c>
    </row>
    <row r="754" spans="1:12" x14ac:dyDescent="0.25">
      <c r="A754" s="32"/>
      <c r="B754" s="21"/>
      <c r="C754" s="21"/>
      <c r="D754" s="6"/>
      <c r="E754" s="14"/>
      <c r="F754" s="6"/>
      <c r="G754" s="6"/>
      <c r="H754" s="17"/>
      <c r="I754" s="49">
        <f t="shared" si="22"/>
        <v>0</v>
      </c>
      <c r="J754" s="13"/>
      <c r="K754" s="7"/>
      <c r="L754" s="5">
        <f t="shared" si="23"/>
        <v>0</v>
      </c>
    </row>
    <row r="755" spans="1:12" x14ac:dyDescent="0.25">
      <c r="A755" s="32"/>
      <c r="B755" s="21"/>
      <c r="C755" s="21"/>
      <c r="D755" s="6"/>
      <c r="E755" s="14"/>
      <c r="F755" s="6"/>
      <c r="G755" s="6"/>
      <c r="H755" s="17"/>
      <c r="I755" s="49">
        <f t="shared" si="22"/>
        <v>0</v>
      </c>
      <c r="J755" s="13"/>
      <c r="K755" s="7"/>
      <c r="L755" s="5">
        <f t="shared" si="23"/>
        <v>0</v>
      </c>
    </row>
    <row r="756" spans="1:12" x14ac:dyDescent="0.25">
      <c r="A756" s="32"/>
      <c r="B756" s="21"/>
      <c r="C756" s="21"/>
      <c r="D756" s="6"/>
      <c r="E756" s="14"/>
      <c r="F756" s="6"/>
      <c r="G756" s="6"/>
      <c r="H756" s="17"/>
      <c r="I756" s="49">
        <f t="shared" si="22"/>
        <v>0</v>
      </c>
      <c r="J756" s="13"/>
      <c r="K756" s="7"/>
      <c r="L756" s="5">
        <f t="shared" si="23"/>
        <v>0</v>
      </c>
    </row>
    <row r="757" spans="1:12" x14ac:dyDescent="0.25">
      <c r="A757" s="32"/>
      <c r="B757" s="21"/>
      <c r="C757" s="21"/>
      <c r="D757" s="6"/>
      <c r="E757" s="14"/>
      <c r="F757" s="6"/>
      <c r="G757" s="6"/>
      <c r="H757" s="17"/>
      <c r="I757" s="49">
        <f t="shared" si="22"/>
        <v>0</v>
      </c>
      <c r="J757" s="13"/>
      <c r="K757" s="7"/>
      <c r="L757" s="5">
        <f t="shared" si="23"/>
        <v>0</v>
      </c>
    </row>
    <row r="758" spans="1:12" x14ac:dyDescent="0.25">
      <c r="A758" s="32"/>
      <c r="B758" s="21"/>
      <c r="C758" s="21"/>
      <c r="D758" s="6"/>
      <c r="E758" s="14"/>
      <c r="F758" s="6"/>
      <c r="G758" s="6"/>
      <c r="H758" s="17"/>
      <c r="I758" s="49">
        <f t="shared" si="22"/>
        <v>0</v>
      </c>
      <c r="J758" s="13"/>
      <c r="K758" s="7"/>
      <c r="L758" s="5">
        <f t="shared" si="23"/>
        <v>0</v>
      </c>
    </row>
    <row r="759" spans="1:12" x14ac:dyDescent="0.25">
      <c r="A759" s="32"/>
      <c r="B759" s="21"/>
      <c r="C759" s="21"/>
      <c r="D759" s="6"/>
      <c r="E759" s="14"/>
      <c r="F759" s="6"/>
      <c r="G759" s="6"/>
      <c r="H759" s="17"/>
      <c r="I759" s="49">
        <f t="shared" si="22"/>
        <v>0</v>
      </c>
      <c r="J759" s="13"/>
      <c r="K759" s="7"/>
      <c r="L759" s="5">
        <f t="shared" si="23"/>
        <v>0</v>
      </c>
    </row>
    <row r="760" spans="1:12" x14ac:dyDescent="0.25">
      <c r="A760" s="32"/>
      <c r="B760" s="21"/>
      <c r="C760" s="21"/>
      <c r="D760" s="6"/>
      <c r="E760" s="14"/>
      <c r="F760" s="6"/>
      <c r="G760" s="6"/>
      <c r="H760" s="17"/>
      <c r="I760" s="49">
        <f t="shared" si="22"/>
        <v>0</v>
      </c>
      <c r="J760" s="13"/>
      <c r="K760" s="7"/>
      <c r="L760" s="5">
        <f t="shared" si="23"/>
        <v>0</v>
      </c>
    </row>
    <row r="761" spans="1:12" x14ac:dyDescent="0.25">
      <c r="A761" s="32"/>
      <c r="B761" s="21"/>
      <c r="C761" s="21"/>
      <c r="D761" s="6"/>
      <c r="E761" s="14"/>
      <c r="F761" s="6"/>
      <c r="G761" s="6"/>
      <c r="H761" s="17"/>
      <c r="I761" s="49">
        <f t="shared" si="22"/>
        <v>0</v>
      </c>
      <c r="J761" s="13"/>
      <c r="K761" s="7"/>
      <c r="L761" s="5">
        <f t="shared" si="23"/>
        <v>0</v>
      </c>
    </row>
    <row r="762" spans="1:12" x14ac:dyDescent="0.25">
      <c r="A762" s="32"/>
      <c r="B762" s="21"/>
      <c r="C762" s="21"/>
      <c r="D762" s="6"/>
      <c r="E762" s="14"/>
      <c r="F762" s="6"/>
      <c r="G762" s="6"/>
      <c r="H762" s="17"/>
      <c r="I762" s="49">
        <f t="shared" si="22"/>
        <v>0</v>
      </c>
      <c r="J762" s="13"/>
      <c r="K762" s="7"/>
      <c r="L762" s="5">
        <f t="shared" si="23"/>
        <v>0</v>
      </c>
    </row>
    <row r="763" spans="1:12" x14ac:dyDescent="0.25">
      <c r="A763" s="32"/>
      <c r="B763" s="21"/>
      <c r="C763" s="21"/>
      <c r="D763" s="6"/>
      <c r="E763" s="14"/>
      <c r="F763" s="6"/>
      <c r="G763" s="6"/>
      <c r="H763" s="17"/>
      <c r="I763" s="49">
        <f t="shared" si="22"/>
        <v>0</v>
      </c>
      <c r="J763" s="13"/>
      <c r="K763" s="7"/>
      <c r="L763" s="5">
        <f t="shared" si="23"/>
        <v>0</v>
      </c>
    </row>
    <row r="764" spans="1:12" x14ac:dyDescent="0.25">
      <c r="A764" s="32"/>
      <c r="B764" s="21"/>
      <c r="C764" s="21"/>
      <c r="D764" s="6"/>
      <c r="E764" s="14"/>
      <c r="F764" s="6"/>
      <c r="G764" s="6"/>
      <c r="H764" s="17"/>
      <c r="I764" s="49">
        <f t="shared" si="22"/>
        <v>0</v>
      </c>
      <c r="J764" s="13"/>
      <c r="K764" s="7"/>
      <c r="L764" s="5">
        <f t="shared" si="23"/>
        <v>0</v>
      </c>
    </row>
    <row r="765" spans="1:12" x14ac:dyDescent="0.25">
      <c r="A765" s="32"/>
      <c r="B765" s="21"/>
      <c r="C765" s="21"/>
      <c r="D765" s="6"/>
      <c r="E765" s="14"/>
      <c r="F765" s="6"/>
      <c r="G765" s="6"/>
      <c r="H765" s="17"/>
      <c r="I765" s="49">
        <f t="shared" si="22"/>
        <v>0</v>
      </c>
      <c r="J765" s="13"/>
      <c r="K765" s="7"/>
      <c r="L765" s="5">
        <f t="shared" si="23"/>
        <v>0</v>
      </c>
    </row>
    <row r="766" spans="1:12" x14ac:dyDescent="0.25">
      <c r="A766" s="32"/>
      <c r="B766" s="21"/>
      <c r="C766" s="21"/>
      <c r="D766" s="6"/>
      <c r="E766" s="14"/>
      <c r="F766" s="6"/>
      <c r="G766" s="6"/>
      <c r="H766" s="17"/>
      <c r="I766" s="49">
        <f t="shared" si="22"/>
        <v>0</v>
      </c>
      <c r="J766" s="13"/>
      <c r="K766" s="7"/>
      <c r="L766" s="5">
        <f t="shared" si="23"/>
        <v>0</v>
      </c>
    </row>
    <row r="767" spans="1:12" x14ac:dyDescent="0.25">
      <c r="A767" s="32"/>
      <c r="B767" s="21"/>
      <c r="C767" s="21"/>
      <c r="D767" s="6"/>
      <c r="E767" s="14"/>
      <c r="F767" s="6"/>
      <c r="G767" s="6"/>
      <c r="H767" s="17"/>
      <c r="I767" s="49">
        <f t="shared" si="22"/>
        <v>0</v>
      </c>
      <c r="J767" s="13"/>
      <c r="K767" s="7"/>
      <c r="L767" s="5">
        <f t="shared" si="23"/>
        <v>0</v>
      </c>
    </row>
    <row r="768" spans="1:12" x14ac:dyDescent="0.25">
      <c r="A768" s="32"/>
      <c r="B768" s="21"/>
      <c r="C768" s="21"/>
      <c r="D768" s="6"/>
      <c r="E768" s="14"/>
      <c r="F768" s="6"/>
      <c r="G768" s="6"/>
      <c r="H768" s="17"/>
      <c r="I768" s="49">
        <f t="shared" si="22"/>
        <v>0</v>
      </c>
      <c r="J768" s="13"/>
      <c r="K768" s="7"/>
      <c r="L768" s="5">
        <f t="shared" si="23"/>
        <v>0</v>
      </c>
    </row>
    <row r="769" spans="1:12" x14ac:dyDescent="0.25">
      <c r="A769" s="32"/>
      <c r="B769" s="21"/>
      <c r="C769" s="21"/>
      <c r="D769" s="6"/>
      <c r="E769" s="14"/>
      <c r="F769" s="6"/>
      <c r="G769" s="6"/>
      <c r="H769" s="17"/>
      <c r="I769" s="49">
        <f t="shared" si="22"/>
        <v>0</v>
      </c>
      <c r="J769" s="13"/>
      <c r="K769" s="7"/>
      <c r="L769" s="5">
        <f t="shared" si="23"/>
        <v>0</v>
      </c>
    </row>
    <row r="770" spans="1:12" x14ac:dyDescent="0.25">
      <c r="A770" s="32"/>
      <c r="B770" s="21"/>
      <c r="C770" s="21"/>
      <c r="D770" s="6"/>
      <c r="E770" s="14"/>
      <c r="F770" s="6"/>
      <c r="G770" s="6"/>
      <c r="H770" s="17"/>
      <c r="I770" s="49">
        <f t="shared" si="22"/>
        <v>0</v>
      </c>
      <c r="J770" s="13"/>
      <c r="K770" s="7"/>
      <c r="L770" s="5">
        <f t="shared" si="23"/>
        <v>0</v>
      </c>
    </row>
    <row r="771" spans="1:12" x14ac:dyDescent="0.25">
      <c r="A771" s="32"/>
      <c r="B771" s="21"/>
      <c r="C771" s="21"/>
      <c r="D771" s="6"/>
      <c r="E771" s="14"/>
      <c r="F771" s="6"/>
      <c r="G771" s="6"/>
      <c r="H771" s="17"/>
      <c r="I771" s="49">
        <f t="shared" si="22"/>
        <v>0</v>
      </c>
      <c r="J771" s="13"/>
      <c r="K771" s="7"/>
      <c r="L771" s="5">
        <f t="shared" si="23"/>
        <v>0</v>
      </c>
    </row>
    <row r="772" spans="1:12" x14ac:dyDescent="0.25">
      <c r="A772" s="32"/>
      <c r="B772" s="21"/>
      <c r="C772" s="21"/>
      <c r="D772" s="6"/>
      <c r="E772" s="14"/>
      <c r="F772" s="6"/>
      <c r="G772" s="6"/>
      <c r="H772" s="17"/>
      <c r="I772" s="49">
        <f t="shared" si="22"/>
        <v>0</v>
      </c>
      <c r="J772" s="13"/>
      <c r="K772" s="7"/>
      <c r="L772" s="5">
        <f t="shared" si="23"/>
        <v>0</v>
      </c>
    </row>
    <row r="773" spans="1:12" x14ac:dyDescent="0.25">
      <c r="A773" s="32"/>
      <c r="B773" s="21"/>
      <c r="C773" s="21"/>
      <c r="D773" s="6"/>
      <c r="E773" s="14"/>
      <c r="F773" s="6"/>
      <c r="G773" s="6"/>
      <c r="H773" s="17"/>
      <c r="I773" s="49">
        <f t="shared" si="22"/>
        <v>0</v>
      </c>
      <c r="J773" s="13"/>
      <c r="K773" s="7"/>
      <c r="L773" s="5">
        <f t="shared" si="23"/>
        <v>0</v>
      </c>
    </row>
    <row r="774" spans="1:12" x14ac:dyDescent="0.25">
      <c r="A774" s="32"/>
      <c r="B774" s="21"/>
      <c r="C774" s="21"/>
      <c r="D774" s="6"/>
      <c r="E774" s="14"/>
      <c r="F774" s="6"/>
      <c r="G774" s="6"/>
      <c r="H774" s="17"/>
      <c r="I774" s="49">
        <f t="shared" si="22"/>
        <v>0</v>
      </c>
      <c r="J774" s="13"/>
      <c r="K774" s="7"/>
      <c r="L774" s="5">
        <f t="shared" si="23"/>
        <v>0</v>
      </c>
    </row>
    <row r="775" spans="1:12" x14ac:dyDescent="0.25">
      <c r="A775" s="32"/>
      <c r="B775" s="21"/>
      <c r="C775" s="21"/>
      <c r="D775" s="6"/>
      <c r="E775" s="14"/>
      <c r="F775" s="6"/>
      <c r="G775" s="6"/>
      <c r="H775" s="17"/>
      <c r="I775" s="49">
        <f t="shared" ref="I775:I838" si="24">F775*H775</f>
        <v>0</v>
      </c>
      <c r="J775" s="13"/>
      <c r="K775" s="7"/>
      <c r="L775" s="5">
        <f t="shared" ref="L775:L838" si="25">+I775+J775-K775</f>
        <v>0</v>
      </c>
    </row>
    <row r="776" spans="1:12" x14ac:dyDescent="0.25">
      <c r="A776" s="32"/>
      <c r="B776" s="21"/>
      <c r="C776" s="21"/>
      <c r="D776" s="6"/>
      <c r="E776" s="14"/>
      <c r="F776" s="6"/>
      <c r="G776" s="6"/>
      <c r="H776" s="17"/>
      <c r="I776" s="49">
        <f t="shared" si="24"/>
        <v>0</v>
      </c>
      <c r="J776" s="13"/>
      <c r="K776" s="7"/>
      <c r="L776" s="5">
        <f t="shared" si="25"/>
        <v>0</v>
      </c>
    </row>
    <row r="777" spans="1:12" x14ac:dyDescent="0.25">
      <c r="A777" s="32"/>
      <c r="B777" s="21"/>
      <c r="C777" s="21"/>
      <c r="D777" s="6"/>
      <c r="E777" s="14"/>
      <c r="F777" s="6"/>
      <c r="G777" s="6"/>
      <c r="H777" s="17"/>
      <c r="I777" s="49">
        <f t="shared" si="24"/>
        <v>0</v>
      </c>
      <c r="J777" s="13"/>
      <c r="K777" s="7"/>
      <c r="L777" s="5">
        <f t="shared" si="25"/>
        <v>0</v>
      </c>
    </row>
    <row r="778" spans="1:12" x14ac:dyDescent="0.25">
      <c r="A778" s="32"/>
      <c r="B778" s="21"/>
      <c r="C778" s="21"/>
      <c r="D778" s="6"/>
      <c r="E778" s="14"/>
      <c r="F778" s="6"/>
      <c r="G778" s="6"/>
      <c r="H778" s="17"/>
      <c r="I778" s="49">
        <f t="shared" si="24"/>
        <v>0</v>
      </c>
      <c r="J778" s="13"/>
      <c r="K778" s="7"/>
      <c r="L778" s="5">
        <f t="shared" si="25"/>
        <v>0</v>
      </c>
    </row>
    <row r="779" spans="1:12" x14ac:dyDescent="0.25">
      <c r="A779" s="32"/>
      <c r="B779" s="21"/>
      <c r="C779" s="21"/>
      <c r="D779" s="6"/>
      <c r="E779" s="14"/>
      <c r="F779" s="6"/>
      <c r="G779" s="6"/>
      <c r="H779" s="17"/>
      <c r="I779" s="49">
        <f t="shared" si="24"/>
        <v>0</v>
      </c>
      <c r="J779" s="13"/>
      <c r="K779" s="7"/>
      <c r="L779" s="5">
        <f t="shared" si="25"/>
        <v>0</v>
      </c>
    </row>
    <row r="780" spans="1:12" x14ac:dyDescent="0.25">
      <c r="A780" s="32"/>
      <c r="B780" s="21"/>
      <c r="C780" s="21"/>
      <c r="D780" s="6"/>
      <c r="E780" s="14"/>
      <c r="F780" s="6"/>
      <c r="G780" s="6"/>
      <c r="H780" s="17"/>
      <c r="I780" s="49">
        <f t="shared" si="24"/>
        <v>0</v>
      </c>
      <c r="J780" s="13"/>
      <c r="K780" s="7"/>
      <c r="L780" s="5">
        <f t="shared" si="25"/>
        <v>0</v>
      </c>
    </row>
    <row r="781" spans="1:12" x14ac:dyDescent="0.25">
      <c r="A781" s="32"/>
      <c r="B781" s="21"/>
      <c r="C781" s="21"/>
      <c r="D781" s="6"/>
      <c r="E781" s="14"/>
      <c r="F781" s="6"/>
      <c r="G781" s="6"/>
      <c r="H781" s="17"/>
      <c r="I781" s="49">
        <f t="shared" si="24"/>
        <v>0</v>
      </c>
      <c r="J781" s="13"/>
      <c r="K781" s="7"/>
      <c r="L781" s="5">
        <f t="shared" si="25"/>
        <v>0</v>
      </c>
    </row>
    <row r="782" spans="1:12" x14ac:dyDescent="0.25">
      <c r="A782" s="32"/>
      <c r="B782" s="21"/>
      <c r="C782" s="21"/>
      <c r="D782" s="6"/>
      <c r="E782" s="14"/>
      <c r="F782" s="6"/>
      <c r="G782" s="6"/>
      <c r="H782" s="17"/>
      <c r="I782" s="49">
        <f t="shared" si="24"/>
        <v>0</v>
      </c>
      <c r="J782" s="13"/>
      <c r="K782" s="7"/>
      <c r="L782" s="5">
        <f t="shared" si="25"/>
        <v>0</v>
      </c>
    </row>
    <row r="783" spans="1:12" x14ac:dyDescent="0.25">
      <c r="A783" s="32"/>
      <c r="B783" s="21"/>
      <c r="C783" s="21"/>
      <c r="D783" s="6"/>
      <c r="E783" s="14"/>
      <c r="F783" s="6"/>
      <c r="G783" s="6"/>
      <c r="H783" s="17"/>
      <c r="I783" s="49">
        <f t="shared" si="24"/>
        <v>0</v>
      </c>
      <c r="J783" s="13"/>
      <c r="K783" s="7"/>
      <c r="L783" s="5">
        <f t="shared" si="25"/>
        <v>0</v>
      </c>
    </row>
    <row r="784" spans="1:12" x14ac:dyDescent="0.25">
      <c r="A784" s="32"/>
      <c r="B784" s="21"/>
      <c r="C784" s="21"/>
      <c r="D784" s="6"/>
      <c r="E784" s="14"/>
      <c r="F784" s="6"/>
      <c r="G784" s="6"/>
      <c r="H784" s="17"/>
      <c r="I784" s="49">
        <f t="shared" si="24"/>
        <v>0</v>
      </c>
      <c r="J784" s="13"/>
      <c r="K784" s="7"/>
      <c r="L784" s="5">
        <f t="shared" si="25"/>
        <v>0</v>
      </c>
    </row>
    <row r="785" spans="1:12" x14ac:dyDescent="0.25">
      <c r="A785" s="32"/>
      <c r="B785" s="21"/>
      <c r="C785" s="21"/>
      <c r="D785" s="6"/>
      <c r="E785" s="14"/>
      <c r="F785" s="6"/>
      <c r="G785" s="6"/>
      <c r="H785" s="17"/>
      <c r="I785" s="49">
        <f t="shared" si="24"/>
        <v>0</v>
      </c>
      <c r="J785" s="13"/>
      <c r="K785" s="7"/>
      <c r="L785" s="5">
        <f t="shared" si="25"/>
        <v>0</v>
      </c>
    </row>
    <row r="786" spans="1:12" x14ac:dyDescent="0.25">
      <c r="A786" s="32"/>
      <c r="B786" s="21"/>
      <c r="C786" s="21"/>
      <c r="D786" s="6"/>
      <c r="E786" s="14"/>
      <c r="F786" s="6"/>
      <c r="G786" s="6"/>
      <c r="H786" s="17"/>
      <c r="I786" s="49">
        <f t="shared" si="24"/>
        <v>0</v>
      </c>
      <c r="J786" s="13"/>
      <c r="K786" s="7"/>
      <c r="L786" s="5">
        <f t="shared" si="25"/>
        <v>0</v>
      </c>
    </row>
    <row r="787" spans="1:12" x14ac:dyDescent="0.25">
      <c r="A787" s="32"/>
      <c r="B787" s="21"/>
      <c r="C787" s="21"/>
      <c r="D787" s="6"/>
      <c r="E787" s="14"/>
      <c r="F787" s="6"/>
      <c r="G787" s="6"/>
      <c r="H787" s="17"/>
      <c r="I787" s="49">
        <f t="shared" si="24"/>
        <v>0</v>
      </c>
      <c r="J787" s="13"/>
      <c r="K787" s="7"/>
      <c r="L787" s="5">
        <f t="shared" si="25"/>
        <v>0</v>
      </c>
    </row>
    <row r="788" spans="1:12" x14ac:dyDescent="0.25">
      <c r="A788" s="32"/>
      <c r="B788" s="21"/>
      <c r="C788" s="21"/>
      <c r="D788" s="6"/>
      <c r="E788" s="14"/>
      <c r="F788" s="6"/>
      <c r="G788" s="6"/>
      <c r="H788" s="17"/>
      <c r="I788" s="49">
        <f t="shared" si="24"/>
        <v>0</v>
      </c>
      <c r="J788" s="13"/>
      <c r="K788" s="7"/>
      <c r="L788" s="5">
        <f t="shared" si="25"/>
        <v>0</v>
      </c>
    </row>
    <row r="789" spans="1:12" x14ac:dyDescent="0.25">
      <c r="A789" s="32"/>
      <c r="B789" s="21"/>
      <c r="C789" s="21"/>
      <c r="D789" s="6"/>
      <c r="E789" s="14"/>
      <c r="F789" s="6"/>
      <c r="G789" s="6"/>
      <c r="H789" s="17"/>
      <c r="I789" s="49">
        <f t="shared" si="24"/>
        <v>0</v>
      </c>
      <c r="J789" s="13"/>
      <c r="K789" s="7"/>
      <c r="L789" s="5">
        <f t="shared" si="25"/>
        <v>0</v>
      </c>
    </row>
    <row r="790" spans="1:12" x14ac:dyDescent="0.25">
      <c r="A790" s="32"/>
      <c r="B790" s="21"/>
      <c r="C790" s="21"/>
      <c r="D790" s="6"/>
      <c r="E790" s="14"/>
      <c r="F790" s="6"/>
      <c r="G790" s="6"/>
      <c r="H790" s="17"/>
      <c r="I790" s="49">
        <f t="shared" si="24"/>
        <v>0</v>
      </c>
      <c r="J790" s="13"/>
      <c r="K790" s="7"/>
      <c r="L790" s="5">
        <f t="shared" si="25"/>
        <v>0</v>
      </c>
    </row>
    <row r="791" spans="1:12" x14ac:dyDescent="0.25">
      <c r="A791" s="32"/>
      <c r="B791" s="21"/>
      <c r="C791" s="21"/>
      <c r="D791" s="6"/>
      <c r="E791" s="14"/>
      <c r="F791" s="6"/>
      <c r="G791" s="6"/>
      <c r="H791" s="17"/>
      <c r="I791" s="49">
        <f t="shared" si="24"/>
        <v>0</v>
      </c>
      <c r="J791" s="13"/>
      <c r="K791" s="7"/>
      <c r="L791" s="5">
        <f t="shared" si="25"/>
        <v>0</v>
      </c>
    </row>
    <row r="792" spans="1:12" x14ac:dyDescent="0.25">
      <c r="A792" s="32"/>
      <c r="B792" s="21"/>
      <c r="C792" s="21"/>
      <c r="D792" s="6"/>
      <c r="E792" s="14"/>
      <c r="F792" s="6"/>
      <c r="G792" s="6"/>
      <c r="H792" s="17"/>
      <c r="I792" s="49">
        <f t="shared" si="24"/>
        <v>0</v>
      </c>
      <c r="J792" s="13"/>
      <c r="K792" s="7"/>
      <c r="L792" s="5">
        <f t="shared" si="25"/>
        <v>0</v>
      </c>
    </row>
    <row r="793" spans="1:12" x14ac:dyDescent="0.25">
      <c r="A793" s="32"/>
      <c r="B793" s="21"/>
      <c r="C793" s="21"/>
      <c r="D793" s="6"/>
      <c r="E793" s="14"/>
      <c r="F793" s="6"/>
      <c r="G793" s="6"/>
      <c r="H793" s="17"/>
      <c r="I793" s="49">
        <f t="shared" si="24"/>
        <v>0</v>
      </c>
      <c r="J793" s="13"/>
      <c r="K793" s="7"/>
      <c r="L793" s="5">
        <f t="shared" si="25"/>
        <v>0</v>
      </c>
    </row>
    <row r="794" spans="1:12" x14ac:dyDescent="0.25">
      <c r="A794" s="32"/>
      <c r="B794" s="21"/>
      <c r="C794" s="21"/>
      <c r="D794" s="6"/>
      <c r="E794" s="14"/>
      <c r="F794" s="6"/>
      <c r="G794" s="6"/>
      <c r="H794" s="17"/>
      <c r="I794" s="49">
        <f t="shared" si="24"/>
        <v>0</v>
      </c>
      <c r="J794" s="13"/>
      <c r="K794" s="7"/>
      <c r="L794" s="5">
        <f t="shared" si="25"/>
        <v>0</v>
      </c>
    </row>
    <row r="795" spans="1:12" x14ac:dyDescent="0.25">
      <c r="A795" s="32"/>
      <c r="B795" s="21"/>
      <c r="C795" s="21"/>
      <c r="D795" s="6"/>
      <c r="E795" s="14"/>
      <c r="F795" s="6"/>
      <c r="G795" s="6"/>
      <c r="H795" s="17"/>
      <c r="I795" s="49">
        <f t="shared" si="24"/>
        <v>0</v>
      </c>
      <c r="J795" s="13"/>
      <c r="K795" s="7"/>
      <c r="L795" s="5">
        <f t="shared" si="25"/>
        <v>0</v>
      </c>
    </row>
    <row r="796" spans="1:12" x14ac:dyDescent="0.25">
      <c r="A796" s="32"/>
      <c r="B796" s="21"/>
      <c r="C796" s="21"/>
      <c r="D796" s="6"/>
      <c r="E796" s="14"/>
      <c r="F796" s="6"/>
      <c r="G796" s="6"/>
      <c r="H796" s="17"/>
      <c r="I796" s="49">
        <f t="shared" si="24"/>
        <v>0</v>
      </c>
      <c r="J796" s="13"/>
      <c r="K796" s="7"/>
      <c r="L796" s="5">
        <f t="shared" si="25"/>
        <v>0</v>
      </c>
    </row>
    <row r="797" spans="1:12" x14ac:dyDescent="0.25">
      <c r="A797" s="32"/>
      <c r="B797" s="21"/>
      <c r="C797" s="21"/>
      <c r="D797" s="6"/>
      <c r="E797" s="14"/>
      <c r="F797" s="6"/>
      <c r="G797" s="6"/>
      <c r="H797" s="17"/>
      <c r="I797" s="49">
        <f t="shared" si="24"/>
        <v>0</v>
      </c>
      <c r="J797" s="13"/>
      <c r="K797" s="7"/>
      <c r="L797" s="5">
        <f t="shared" si="25"/>
        <v>0</v>
      </c>
    </row>
    <row r="798" spans="1:12" x14ac:dyDescent="0.25">
      <c r="A798" s="32"/>
      <c r="B798" s="21"/>
      <c r="C798" s="21"/>
      <c r="D798" s="6"/>
      <c r="E798" s="14"/>
      <c r="F798" s="6"/>
      <c r="G798" s="6"/>
      <c r="H798" s="17"/>
      <c r="I798" s="49">
        <f t="shared" si="24"/>
        <v>0</v>
      </c>
      <c r="J798" s="13"/>
      <c r="K798" s="7"/>
      <c r="L798" s="5">
        <f t="shared" si="25"/>
        <v>0</v>
      </c>
    </row>
    <row r="799" spans="1:12" x14ac:dyDescent="0.25">
      <c r="A799" s="32"/>
      <c r="B799" s="21"/>
      <c r="C799" s="21"/>
      <c r="D799" s="6"/>
      <c r="E799" s="14"/>
      <c r="F799" s="6"/>
      <c r="G799" s="6"/>
      <c r="H799" s="17"/>
      <c r="I799" s="49">
        <f t="shared" si="24"/>
        <v>0</v>
      </c>
      <c r="J799" s="13"/>
      <c r="K799" s="7"/>
      <c r="L799" s="5">
        <f t="shared" si="25"/>
        <v>0</v>
      </c>
    </row>
    <row r="800" spans="1:12" x14ac:dyDescent="0.25">
      <c r="A800" s="32"/>
      <c r="B800" s="21"/>
      <c r="C800" s="21"/>
      <c r="D800" s="6"/>
      <c r="E800" s="14"/>
      <c r="F800" s="6"/>
      <c r="G800" s="6"/>
      <c r="H800" s="17"/>
      <c r="I800" s="49">
        <f t="shared" si="24"/>
        <v>0</v>
      </c>
      <c r="J800" s="13"/>
      <c r="K800" s="7"/>
      <c r="L800" s="5">
        <f t="shared" si="25"/>
        <v>0</v>
      </c>
    </row>
    <row r="801" spans="1:12" x14ac:dyDescent="0.25">
      <c r="A801" s="32"/>
      <c r="B801" s="21"/>
      <c r="C801" s="21"/>
      <c r="D801" s="6"/>
      <c r="E801" s="14"/>
      <c r="F801" s="6"/>
      <c r="G801" s="6"/>
      <c r="H801" s="17"/>
      <c r="I801" s="49">
        <f t="shared" si="24"/>
        <v>0</v>
      </c>
      <c r="J801" s="13"/>
      <c r="K801" s="7"/>
      <c r="L801" s="5">
        <f t="shared" si="25"/>
        <v>0</v>
      </c>
    </row>
    <row r="802" spans="1:12" x14ac:dyDescent="0.25">
      <c r="A802" s="32"/>
      <c r="B802" s="21"/>
      <c r="C802" s="21"/>
      <c r="D802" s="6"/>
      <c r="E802" s="14"/>
      <c r="F802" s="6"/>
      <c r="G802" s="6"/>
      <c r="H802" s="17"/>
      <c r="I802" s="49">
        <f t="shared" si="24"/>
        <v>0</v>
      </c>
      <c r="J802" s="13"/>
      <c r="K802" s="7"/>
      <c r="L802" s="5">
        <f t="shared" si="25"/>
        <v>0</v>
      </c>
    </row>
    <row r="803" spans="1:12" x14ac:dyDescent="0.25">
      <c r="A803" s="32"/>
      <c r="B803" s="21"/>
      <c r="C803" s="21"/>
      <c r="D803" s="6"/>
      <c r="E803" s="14"/>
      <c r="F803" s="6"/>
      <c r="G803" s="6"/>
      <c r="H803" s="17"/>
      <c r="I803" s="49">
        <f t="shared" si="24"/>
        <v>0</v>
      </c>
      <c r="J803" s="13"/>
      <c r="K803" s="7"/>
      <c r="L803" s="5">
        <f t="shared" si="25"/>
        <v>0</v>
      </c>
    </row>
    <row r="804" spans="1:12" x14ac:dyDescent="0.25">
      <c r="A804" s="32"/>
      <c r="B804" s="21"/>
      <c r="C804" s="21"/>
      <c r="D804" s="6"/>
      <c r="E804" s="14"/>
      <c r="F804" s="6"/>
      <c r="G804" s="6"/>
      <c r="H804" s="17"/>
      <c r="I804" s="49">
        <f t="shared" si="24"/>
        <v>0</v>
      </c>
      <c r="J804" s="13"/>
      <c r="K804" s="7"/>
      <c r="L804" s="5">
        <f t="shared" si="25"/>
        <v>0</v>
      </c>
    </row>
    <row r="805" spans="1:12" x14ac:dyDescent="0.25">
      <c r="A805" s="32"/>
      <c r="B805" s="21"/>
      <c r="C805" s="21"/>
      <c r="D805" s="6"/>
      <c r="E805" s="14"/>
      <c r="F805" s="6"/>
      <c r="G805" s="6"/>
      <c r="H805" s="17"/>
      <c r="I805" s="49">
        <f t="shared" si="24"/>
        <v>0</v>
      </c>
      <c r="J805" s="13"/>
      <c r="K805" s="7"/>
      <c r="L805" s="5">
        <f t="shared" si="25"/>
        <v>0</v>
      </c>
    </row>
    <row r="806" spans="1:12" x14ac:dyDescent="0.25">
      <c r="A806" s="32"/>
      <c r="B806" s="21"/>
      <c r="C806" s="21"/>
      <c r="D806" s="6"/>
      <c r="E806" s="14"/>
      <c r="F806" s="6"/>
      <c r="G806" s="6"/>
      <c r="H806" s="17"/>
      <c r="I806" s="49">
        <f t="shared" si="24"/>
        <v>0</v>
      </c>
      <c r="J806" s="13"/>
      <c r="K806" s="7"/>
      <c r="L806" s="5">
        <f t="shared" si="25"/>
        <v>0</v>
      </c>
    </row>
    <row r="807" spans="1:12" x14ac:dyDescent="0.25">
      <c r="A807" s="32"/>
      <c r="B807" s="21"/>
      <c r="C807" s="21"/>
      <c r="D807" s="6"/>
      <c r="E807" s="14"/>
      <c r="F807" s="6"/>
      <c r="G807" s="6"/>
      <c r="H807" s="17"/>
      <c r="I807" s="49">
        <f t="shared" si="24"/>
        <v>0</v>
      </c>
      <c r="J807" s="13"/>
      <c r="K807" s="7"/>
      <c r="L807" s="5">
        <f t="shared" si="25"/>
        <v>0</v>
      </c>
    </row>
    <row r="808" spans="1:12" x14ac:dyDescent="0.25">
      <c r="A808" s="32"/>
      <c r="B808" s="21"/>
      <c r="C808" s="21"/>
      <c r="D808" s="6"/>
      <c r="E808" s="14"/>
      <c r="F808" s="6"/>
      <c r="G808" s="6"/>
      <c r="H808" s="17"/>
      <c r="I808" s="49">
        <f t="shared" si="24"/>
        <v>0</v>
      </c>
      <c r="J808" s="13"/>
      <c r="K808" s="7"/>
      <c r="L808" s="5">
        <f t="shared" si="25"/>
        <v>0</v>
      </c>
    </row>
    <row r="809" spans="1:12" x14ac:dyDescent="0.25">
      <c r="A809" s="32"/>
      <c r="B809" s="21"/>
      <c r="C809" s="21"/>
      <c r="D809" s="6"/>
      <c r="E809" s="14"/>
      <c r="F809" s="6"/>
      <c r="G809" s="6"/>
      <c r="H809" s="17"/>
      <c r="I809" s="49">
        <f t="shared" si="24"/>
        <v>0</v>
      </c>
      <c r="J809" s="13"/>
      <c r="K809" s="7"/>
      <c r="L809" s="5">
        <f t="shared" si="25"/>
        <v>0</v>
      </c>
    </row>
    <row r="810" spans="1:12" x14ac:dyDescent="0.25">
      <c r="A810" s="32"/>
      <c r="B810" s="21"/>
      <c r="C810" s="21"/>
      <c r="D810" s="6"/>
      <c r="E810" s="14"/>
      <c r="F810" s="6"/>
      <c r="G810" s="6"/>
      <c r="H810" s="17"/>
      <c r="I810" s="49">
        <f t="shared" si="24"/>
        <v>0</v>
      </c>
      <c r="J810" s="13"/>
      <c r="K810" s="7"/>
      <c r="L810" s="5">
        <f t="shared" si="25"/>
        <v>0</v>
      </c>
    </row>
    <row r="811" spans="1:12" x14ac:dyDescent="0.25">
      <c r="A811" s="32"/>
      <c r="B811" s="21"/>
      <c r="C811" s="21"/>
      <c r="D811" s="6"/>
      <c r="E811" s="14"/>
      <c r="F811" s="6"/>
      <c r="G811" s="6"/>
      <c r="H811" s="17"/>
      <c r="I811" s="49">
        <f t="shared" si="24"/>
        <v>0</v>
      </c>
      <c r="J811" s="13"/>
      <c r="K811" s="7"/>
      <c r="L811" s="5">
        <f t="shared" si="25"/>
        <v>0</v>
      </c>
    </row>
    <row r="812" spans="1:12" x14ac:dyDescent="0.25">
      <c r="A812" s="32"/>
      <c r="B812" s="21"/>
      <c r="C812" s="21"/>
      <c r="D812" s="6"/>
      <c r="E812" s="14"/>
      <c r="F812" s="6"/>
      <c r="G812" s="6"/>
      <c r="H812" s="17"/>
      <c r="I812" s="49">
        <f t="shared" si="24"/>
        <v>0</v>
      </c>
      <c r="J812" s="13"/>
      <c r="K812" s="7"/>
      <c r="L812" s="5">
        <f t="shared" si="25"/>
        <v>0</v>
      </c>
    </row>
    <row r="813" spans="1:12" x14ac:dyDescent="0.25">
      <c r="A813" s="32"/>
      <c r="B813" s="21"/>
      <c r="C813" s="21"/>
      <c r="D813" s="6"/>
      <c r="E813" s="14"/>
      <c r="F813" s="6"/>
      <c r="G813" s="6"/>
      <c r="H813" s="17"/>
      <c r="I813" s="49">
        <f t="shared" si="24"/>
        <v>0</v>
      </c>
      <c r="J813" s="13"/>
      <c r="K813" s="7"/>
      <c r="L813" s="5">
        <f t="shared" si="25"/>
        <v>0</v>
      </c>
    </row>
    <row r="814" spans="1:12" x14ac:dyDescent="0.25">
      <c r="A814" s="32"/>
      <c r="B814" s="21"/>
      <c r="C814" s="21"/>
      <c r="D814" s="6"/>
      <c r="E814" s="14"/>
      <c r="F814" s="6"/>
      <c r="G814" s="6"/>
      <c r="H814" s="17"/>
      <c r="I814" s="49">
        <f t="shared" si="24"/>
        <v>0</v>
      </c>
      <c r="J814" s="13"/>
      <c r="K814" s="7"/>
      <c r="L814" s="5">
        <f t="shared" si="25"/>
        <v>0</v>
      </c>
    </row>
    <row r="815" spans="1:12" x14ac:dyDescent="0.25">
      <c r="A815" s="32"/>
      <c r="B815" s="21"/>
      <c r="C815" s="21"/>
      <c r="D815" s="6"/>
      <c r="E815" s="14"/>
      <c r="F815" s="6"/>
      <c r="G815" s="6"/>
      <c r="H815" s="17"/>
      <c r="I815" s="49">
        <f t="shared" si="24"/>
        <v>0</v>
      </c>
      <c r="J815" s="13"/>
      <c r="K815" s="7"/>
      <c r="L815" s="5">
        <f t="shared" si="25"/>
        <v>0</v>
      </c>
    </row>
    <row r="816" spans="1:12" x14ac:dyDescent="0.25">
      <c r="A816" s="32"/>
      <c r="B816" s="21"/>
      <c r="C816" s="21"/>
      <c r="D816" s="6"/>
      <c r="E816" s="14"/>
      <c r="F816" s="6"/>
      <c r="G816" s="6"/>
      <c r="H816" s="17"/>
      <c r="I816" s="49">
        <f t="shared" si="24"/>
        <v>0</v>
      </c>
      <c r="J816" s="13"/>
      <c r="K816" s="7"/>
      <c r="L816" s="5">
        <f t="shared" si="25"/>
        <v>0</v>
      </c>
    </row>
    <row r="817" spans="1:12" x14ac:dyDescent="0.25">
      <c r="A817" s="32"/>
      <c r="B817" s="21"/>
      <c r="C817" s="21"/>
      <c r="D817" s="6"/>
      <c r="E817" s="14"/>
      <c r="F817" s="6"/>
      <c r="G817" s="6"/>
      <c r="H817" s="17"/>
      <c r="I817" s="49">
        <f t="shared" si="24"/>
        <v>0</v>
      </c>
      <c r="J817" s="13"/>
      <c r="K817" s="7"/>
      <c r="L817" s="5">
        <f t="shared" si="25"/>
        <v>0</v>
      </c>
    </row>
    <row r="818" spans="1:12" x14ac:dyDescent="0.25">
      <c r="A818" s="32"/>
      <c r="B818" s="21"/>
      <c r="C818" s="21"/>
      <c r="D818" s="6"/>
      <c r="E818" s="14"/>
      <c r="F818" s="6"/>
      <c r="G818" s="6"/>
      <c r="H818" s="17"/>
      <c r="I818" s="49">
        <f t="shared" si="24"/>
        <v>0</v>
      </c>
      <c r="J818" s="13"/>
      <c r="K818" s="7"/>
      <c r="L818" s="5">
        <f t="shared" si="25"/>
        <v>0</v>
      </c>
    </row>
    <row r="819" spans="1:12" x14ac:dyDescent="0.25">
      <c r="A819" s="32"/>
      <c r="B819" s="21"/>
      <c r="C819" s="21"/>
      <c r="D819" s="6"/>
      <c r="E819" s="14"/>
      <c r="F819" s="6"/>
      <c r="G819" s="6"/>
      <c r="H819" s="17"/>
      <c r="I819" s="49">
        <f t="shared" si="24"/>
        <v>0</v>
      </c>
      <c r="J819" s="13"/>
      <c r="K819" s="7"/>
      <c r="L819" s="5">
        <f t="shared" si="25"/>
        <v>0</v>
      </c>
    </row>
    <row r="820" spans="1:12" x14ac:dyDescent="0.25">
      <c r="A820" s="32"/>
      <c r="B820" s="21"/>
      <c r="C820" s="21"/>
      <c r="D820" s="6"/>
      <c r="E820" s="14"/>
      <c r="F820" s="6"/>
      <c r="G820" s="6"/>
      <c r="H820" s="17"/>
      <c r="I820" s="49">
        <f t="shared" si="24"/>
        <v>0</v>
      </c>
      <c r="J820" s="13"/>
      <c r="K820" s="7"/>
      <c r="L820" s="5">
        <f t="shared" si="25"/>
        <v>0</v>
      </c>
    </row>
    <row r="821" spans="1:12" x14ac:dyDescent="0.25">
      <c r="A821" s="32"/>
      <c r="B821" s="21"/>
      <c r="C821" s="21"/>
      <c r="D821" s="6"/>
      <c r="E821" s="14"/>
      <c r="F821" s="6"/>
      <c r="G821" s="6"/>
      <c r="H821" s="17"/>
      <c r="I821" s="49">
        <f t="shared" si="24"/>
        <v>0</v>
      </c>
      <c r="J821" s="13"/>
      <c r="K821" s="7"/>
      <c r="L821" s="5">
        <f t="shared" si="25"/>
        <v>0</v>
      </c>
    </row>
    <row r="822" spans="1:12" x14ac:dyDescent="0.25">
      <c r="A822" s="32"/>
      <c r="B822" s="21"/>
      <c r="C822" s="21"/>
      <c r="D822" s="6"/>
      <c r="E822" s="14"/>
      <c r="F822" s="6"/>
      <c r="G822" s="6"/>
      <c r="H822" s="17"/>
      <c r="I822" s="49">
        <f t="shared" si="24"/>
        <v>0</v>
      </c>
      <c r="J822" s="13"/>
      <c r="K822" s="7"/>
      <c r="L822" s="5">
        <f t="shared" si="25"/>
        <v>0</v>
      </c>
    </row>
    <row r="823" spans="1:12" x14ac:dyDescent="0.25">
      <c r="A823" s="32"/>
      <c r="B823" s="21"/>
      <c r="C823" s="21"/>
      <c r="D823" s="6"/>
      <c r="E823" s="14"/>
      <c r="F823" s="6"/>
      <c r="G823" s="6"/>
      <c r="H823" s="17"/>
      <c r="I823" s="49">
        <f t="shared" si="24"/>
        <v>0</v>
      </c>
      <c r="J823" s="13"/>
      <c r="K823" s="7"/>
      <c r="L823" s="5">
        <f t="shared" si="25"/>
        <v>0</v>
      </c>
    </row>
    <row r="824" spans="1:12" x14ac:dyDescent="0.25">
      <c r="A824" s="32"/>
      <c r="B824" s="21"/>
      <c r="C824" s="21"/>
      <c r="D824" s="6"/>
      <c r="E824" s="14"/>
      <c r="F824" s="6"/>
      <c r="G824" s="6"/>
      <c r="H824" s="17"/>
      <c r="I824" s="49">
        <f t="shared" si="24"/>
        <v>0</v>
      </c>
      <c r="J824" s="13"/>
      <c r="K824" s="7"/>
      <c r="L824" s="5">
        <f t="shared" si="25"/>
        <v>0</v>
      </c>
    </row>
    <row r="825" spans="1:12" x14ac:dyDescent="0.25">
      <c r="A825" s="32"/>
      <c r="B825" s="21"/>
      <c r="C825" s="21"/>
      <c r="D825" s="6"/>
      <c r="E825" s="14"/>
      <c r="F825" s="6"/>
      <c r="G825" s="6"/>
      <c r="H825" s="17"/>
      <c r="I825" s="49">
        <f t="shared" si="24"/>
        <v>0</v>
      </c>
      <c r="J825" s="13"/>
      <c r="K825" s="7"/>
      <c r="L825" s="5">
        <f t="shared" si="25"/>
        <v>0</v>
      </c>
    </row>
    <row r="826" spans="1:12" x14ac:dyDescent="0.25">
      <c r="A826" s="32"/>
      <c r="B826" s="21"/>
      <c r="C826" s="21"/>
      <c r="D826" s="6"/>
      <c r="E826" s="14"/>
      <c r="F826" s="6"/>
      <c r="G826" s="6"/>
      <c r="H826" s="17"/>
      <c r="I826" s="49">
        <f t="shared" si="24"/>
        <v>0</v>
      </c>
      <c r="J826" s="13"/>
      <c r="K826" s="7"/>
      <c r="L826" s="5">
        <f t="shared" si="25"/>
        <v>0</v>
      </c>
    </row>
    <row r="827" spans="1:12" x14ac:dyDescent="0.25">
      <c r="A827" s="32"/>
      <c r="B827" s="21"/>
      <c r="C827" s="21"/>
      <c r="D827" s="6"/>
      <c r="E827" s="14"/>
      <c r="F827" s="6"/>
      <c r="G827" s="6"/>
      <c r="H827" s="17"/>
      <c r="I827" s="49">
        <f t="shared" si="24"/>
        <v>0</v>
      </c>
      <c r="J827" s="13"/>
      <c r="K827" s="7"/>
      <c r="L827" s="5">
        <f t="shared" si="25"/>
        <v>0</v>
      </c>
    </row>
    <row r="828" spans="1:12" x14ac:dyDescent="0.25">
      <c r="A828" s="32"/>
      <c r="B828" s="21"/>
      <c r="C828" s="21"/>
      <c r="D828" s="6"/>
      <c r="E828" s="14"/>
      <c r="F828" s="6"/>
      <c r="G828" s="6"/>
      <c r="H828" s="17"/>
      <c r="I828" s="49">
        <f t="shared" si="24"/>
        <v>0</v>
      </c>
      <c r="J828" s="13"/>
      <c r="K828" s="7"/>
      <c r="L828" s="5">
        <f t="shared" si="25"/>
        <v>0</v>
      </c>
    </row>
    <row r="829" spans="1:12" x14ac:dyDescent="0.25">
      <c r="A829" s="32"/>
      <c r="B829" s="21"/>
      <c r="C829" s="21"/>
      <c r="D829" s="6"/>
      <c r="E829" s="14"/>
      <c r="F829" s="6"/>
      <c r="G829" s="6"/>
      <c r="H829" s="17"/>
      <c r="I829" s="49">
        <f t="shared" si="24"/>
        <v>0</v>
      </c>
      <c r="J829" s="13"/>
      <c r="K829" s="7"/>
      <c r="L829" s="5">
        <f t="shared" si="25"/>
        <v>0</v>
      </c>
    </row>
    <row r="830" spans="1:12" x14ac:dyDescent="0.25">
      <c r="A830" s="32"/>
      <c r="B830" s="21"/>
      <c r="C830" s="21"/>
      <c r="D830" s="6"/>
      <c r="E830" s="14"/>
      <c r="F830" s="6"/>
      <c r="G830" s="6"/>
      <c r="H830" s="17"/>
      <c r="I830" s="49">
        <f t="shared" si="24"/>
        <v>0</v>
      </c>
      <c r="J830" s="13"/>
      <c r="K830" s="7"/>
      <c r="L830" s="5">
        <f t="shared" si="25"/>
        <v>0</v>
      </c>
    </row>
    <row r="831" spans="1:12" x14ac:dyDescent="0.25">
      <c r="A831" s="32"/>
      <c r="B831" s="21"/>
      <c r="C831" s="21"/>
      <c r="D831" s="6"/>
      <c r="E831" s="14"/>
      <c r="F831" s="6"/>
      <c r="G831" s="6"/>
      <c r="H831" s="17"/>
      <c r="I831" s="49">
        <f t="shared" si="24"/>
        <v>0</v>
      </c>
      <c r="J831" s="13"/>
      <c r="K831" s="7"/>
      <c r="L831" s="5">
        <f t="shared" si="25"/>
        <v>0</v>
      </c>
    </row>
    <row r="832" spans="1:12" x14ac:dyDescent="0.25">
      <c r="A832" s="32"/>
      <c r="B832" s="21"/>
      <c r="C832" s="21"/>
      <c r="D832" s="6"/>
      <c r="E832" s="14"/>
      <c r="F832" s="6"/>
      <c r="G832" s="6"/>
      <c r="H832" s="17"/>
      <c r="I832" s="49">
        <f t="shared" si="24"/>
        <v>0</v>
      </c>
      <c r="J832" s="13"/>
      <c r="K832" s="7"/>
      <c r="L832" s="5">
        <f t="shared" si="25"/>
        <v>0</v>
      </c>
    </row>
    <row r="833" spans="1:12" x14ac:dyDescent="0.25">
      <c r="A833" s="32"/>
      <c r="B833" s="21"/>
      <c r="C833" s="21"/>
      <c r="D833" s="6"/>
      <c r="E833" s="14"/>
      <c r="F833" s="6"/>
      <c r="G833" s="6"/>
      <c r="H833" s="17"/>
      <c r="I833" s="49">
        <f t="shared" si="24"/>
        <v>0</v>
      </c>
      <c r="J833" s="13"/>
      <c r="K833" s="7"/>
      <c r="L833" s="5">
        <f t="shared" si="25"/>
        <v>0</v>
      </c>
    </row>
    <row r="834" spans="1:12" x14ac:dyDescent="0.25">
      <c r="A834" s="32"/>
      <c r="B834" s="21"/>
      <c r="C834" s="21"/>
      <c r="D834" s="6"/>
      <c r="E834" s="14"/>
      <c r="F834" s="6"/>
      <c r="G834" s="6"/>
      <c r="H834" s="17"/>
      <c r="I834" s="49">
        <f t="shared" si="24"/>
        <v>0</v>
      </c>
      <c r="J834" s="13"/>
      <c r="K834" s="7"/>
      <c r="L834" s="5">
        <f t="shared" si="25"/>
        <v>0</v>
      </c>
    </row>
    <row r="835" spans="1:12" x14ac:dyDescent="0.25">
      <c r="A835" s="32"/>
      <c r="B835" s="21"/>
      <c r="C835" s="21"/>
      <c r="D835" s="6"/>
      <c r="E835" s="14"/>
      <c r="F835" s="6"/>
      <c r="G835" s="6"/>
      <c r="H835" s="17"/>
      <c r="I835" s="49">
        <f t="shared" si="24"/>
        <v>0</v>
      </c>
      <c r="J835" s="13"/>
      <c r="K835" s="7"/>
      <c r="L835" s="5">
        <f t="shared" si="25"/>
        <v>0</v>
      </c>
    </row>
    <row r="836" spans="1:12" x14ac:dyDescent="0.25">
      <c r="A836" s="32"/>
      <c r="B836" s="21"/>
      <c r="C836" s="21"/>
      <c r="D836" s="6"/>
      <c r="E836" s="14"/>
      <c r="F836" s="6"/>
      <c r="G836" s="6"/>
      <c r="H836" s="17"/>
      <c r="I836" s="49">
        <f t="shared" si="24"/>
        <v>0</v>
      </c>
      <c r="J836" s="13"/>
      <c r="K836" s="7"/>
      <c r="L836" s="5">
        <f t="shared" si="25"/>
        <v>0</v>
      </c>
    </row>
    <row r="837" spans="1:12" x14ac:dyDescent="0.25">
      <c r="A837" s="32"/>
      <c r="B837" s="21"/>
      <c r="C837" s="21"/>
      <c r="D837" s="6"/>
      <c r="E837" s="14"/>
      <c r="F837" s="6"/>
      <c r="G837" s="6"/>
      <c r="H837" s="17"/>
      <c r="I837" s="49">
        <f t="shared" si="24"/>
        <v>0</v>
      </c>
      <c r="J837" s="13"/>
      <c r="K837" s="7"/>
      <c r="L837" s="5">
        <f t="shared" si="25"/>
        <v>0</v>
      </c>
    </row>
    <row r="838" spans="1:12" x14ac:dyDescent="0.25">
      <c r="A838" s="32"/>
      <c r="B838" s="21"/>
      <c r="C838" s="21"/>
      <c r="D838" s="6"/>
      <c r="E838" s="14"/>
      <c r="F838" s="6"/>
      <c r="G838" s="6"/>
      <c r="H838" s="17"/>
      <c r="I838" s="49">
        <f t="shared" si="24"/>
        <v>0</v>
      </c>
      <c r="J838" s="13"/>
      <c r="K838" s="7"/>
      <c r="L838" s="5">
        <f t="shared" si="25"/>
        <v>0</v>
      </c>
    </row>
    <row r="839" spans="1:12" x14ac:dyDescent="0.25">
      <c r="A839" s="32"/>
      <c r="B839" s="21"/>
      <c r="C839" s="21"/>
      <c r="D839" s="6"/>
      <c r="E839" s="14"/>
      <c r="F839" s="6"/>
      <c r="G839" s="6"/>
      <c r="H839" s="17"/>
      <c r="I839" s="49">
        <f t="shared" ref="I839:I878" si="26">F839*H839</f>
        <v>0</v>
      </c>
      <c r="J839" s="13"/>
      <c r="K839" s="7"/>
      <c r="L839" s="5">
        <f t="shared" ref="L839:L878" si="27">+I839+J839-K839</f>
        <v>0</v>
      </c>
    </row>
    <row r="840" spans="1:12" x14ac:dyDescent="0.25">
      <c r="A840" s="32"/>
      <c r="B840" s="21"/>
      <c r="C840" s="21"/>
      <c r="D840" s="6"/>
      <c r="E840" s="14"/>
      <c r="F840" s="6"/>
      <c r="G840" s="6"/>
      <c r="H840" s="17"/>
      <c r="I840" s="49">
        <f t="shared" si="26"/>
        <v>0</v>
      </c>
      <c r="J840" s="13"/>
      <c r="K840" s="7"/>
      <c r="L840" s="5">
        <f t="shared" si="27"/>
        <v>0</v>
      </c>
    </row>
    <row r="841" spans="1:12" x14ac:dyDescent="0.25">
      <c r="A841" s="32"/>
      <c r="B841" s="21"/>
      <c r="C841" s="21"/>
      <c r="D841" s="6"/>
      <c r="E841" s="14"/>
      <c r="F841" s="6"/>
      <c r="G841" s="6"/>
      <c r="H841" s="17"/>
      <c r="I841" s="49">
        <f t="shared" si="26"/>
        <v>0</v>
      </c>
      <c r="J841" s="13"/>
      <c r="K841" s="7"/>
      <c r="L841" s="5">
        <f t="shared" si="27"/>
        <v>0</v>
      </c>
    </row>
    <row r="842" spans="1:12" x14ac:dyDescent="0.25">
      <c r="A842" s="32"/>
      <c r="B842" s="21"/>
      <c r="C842" s="21"/>
      <c r="D842" s="6"/>
      <c r="E842" s="14"/>
      <c r="F842" s="6"/>
      <c r="G842" s="6"/>
      <c r="H842" s="17"/>
      <c r="I842" s="49">
        <f t="shared" si="26"/>
        <v>0</v>
      </c>
      <c r="J842" s="13"/>
      <c r="K842" s="7"/>
      <c r="L842" s="5">
        <f t="shared" si="27"/>
        <v>0</v>
      </c>
    </row>
    <row r="843" spans="1:12" x14ac:dyDescent="0.25">
      <c r="A843" s="32"/>
      <c r="B843" s="21"/>
      <c r="C843" s="21"/>
      <c r="D843" s="6"/>
      <c r="E843" s="14"/>
      <c r="F843" s="6"/>
      <c r="G843" s="6"/>
      <c r="H843" s="17"/>
      <c r="I843" s="49">
        <f t="shared" si="26"/>
        <v>0</v>
      </c>
      <c r="J843" s="13"/>
      <c r="K843" s="7"/>
      <c r="L843" s="5">
        <f t="shared" si="27"/>
        <v>0</v>
      </c>
    </row>
    <row r="844" spans="1:12" x14ac:dyDescent="0.25">
      <c r="A844" s="32"/>
      <c r="B844" s="21"/>
      <c r="C844" s="21"/>
      <c r="D844" s="6"/>
      <c r="E844" s="14"/>
      <c r="F844" s="6"/>
      <c r="G844" s="6"/>
      <c r="H844" s="17"/>
      <c r="I844" s="49">
        <f t="shared" si="26"/>
        <v>0</v>
      </c>
      <c r="J844" s="13"/>
      <c r="K844" s="7"/>
      <c r="L844" s="5">
        <f t="shared" si="27"/>
        <v>0</v>
      </c>
    </row>
    <row r="845" spans="1:12" x14ac:dyDescent="0.25">
      <c r="A845" s="32"/>
      <c r="B845" s="21"/>
      <c r="C845" s="21"/>
      <c r="D845" s="6"/>
      <c r="E845" s="14"/>
      <c r="F845" s="6"/>
      <c r="G845" s="6"/>
      <c r="H845" s="17"/>
      <c r="I845" s="49">
        <f t="shared" si="26"/>
        <v>0</v>
      </c>
      <c r="J845" s="13"/>
      <c r="K845" s="7"/>
      <c r="L845" s="5">
        <f t="shared" si="27"/>
        <v>0</v>
      </c>
    </row>
    <row r="846" spans="1:12" x14ac:dyDescent="0.25">
      <c r="A846" s="32"/>
      <c r="B846" s="21"/>
      <c r="C846" s="21"/>
      <c r="D846" s="6"/>
      <c r="E846" s="14"/>
      <c r="F846" s="6"/>
      <c r="G846" s="6"/>
      <c r="H846" s="17"/>
      <c r="I846" s="49">
        <f t="shared" si="26"/>
        <v>0</v>
      </c>
      <c r="J846" s="13"/>
      <c r="K846" s="7"/>
      <c r="L846" s="5">
        <f t="shared" si="27"/>
        <v>0</v>
      </c>
    </row>
    <row r="847" spans="1:12" x14ac:dyDescent="0.25">
      <c r="A847" s="32"/>
      <c r="B847" s="21"/>
      <c r="C847" s="21"/>
      <c r="D847" s="6"/>
      <c r="E847" s="14"/>
      <c r="F847" s="6"/>
      <c r="G847" s="6"/>
      <c r="H847" s="17"/>
      <c r="I847" s="49">
        <f t="shared" si="26"/>
        <v>0</v>
      </c>
      <c r="J847" s="13"/>
      <c r="K847" s="7"/>
      <c r="L847" s="5">
        <f t="shared" si="27"/>
        <v>0</v>
      </c>
    </row>
    <row r="848" spans="1:12" x14ac:dyDescent="0.25">
      <c r="A848" s="32"/>
      <c r="B848" s="21"/>
      <c r="C848" s="21"/>
      <c r="D848" s="6"/>
      <c r="E848" s="14"/>
      <c r="F848" s="6"/>
      <c r="G848" s="6"/>
      <c r="H848" s="17"/>
      <c r="I848" s="49">
        <f t="shared" si="26"/>
        <v>0</v>
      </c>
      <c r="J848" s="13"/>
      <c r="K848" s="7"/>
      <c r="L848" s="5">
        <f t="shared" si="27"/>
        <v>0</v>
      </c>
    </row>
    <row r="849" spans="1:12" x14ac:dyDescent="0.25">
      <c r="A849" s="32"/>
      <c r="B849" s="21"/>
      <c r="C849" s="21"/>
      <c r="D849" s="6"/>
      <c r="E849" s="14"/>
      <c r="F849" s="6"/>
      <c r="G849" s="6"/>
      <c r="H849" s="17"/>
      <c r="I849" s="49">
        <f t="shared" si="26"/>
        <v>0</v>
      </c>
      <c r="J849" s="13"/>
      <c r="K849" s="7"/>
      <c r="L849" s="5">
        <f t="shared" si="27"/>
        <v>0</v>
      </c>
    </row>
    <row r="850" spans="1:12" x14ac:dyDescent="0.25">
      <c r="A850" s="32"/>
      <c r="B850" s="21"/>
      <c r="C850" s="21"/>
      <c r="D850" s="6"/>
      <c r="E850" s="14"/>
      <c r="F850" s="6"/>
      <c r="G850" s="6"/>
      <c r="H850" s="17"/>
      <c r="I850" s="49">
        <f t="shared" si="26"/>
        <v>0</v>
      </c>
      <c r="J850" s="13"/>
      <c r="K850" s="7"/>
      <c r="L850" s="5">
        <f t="shared" si="27"/>
        <v>0</v>
      </c>
    </row>
    <row r="851" spans="1:12" x14ac:dyDescent="0.25">
      <c r="A851" s="32"/>
      <c r="B851" s="21"/>
      <c r="C851" s="21"/>
      <c r="D851" s="6"/>
      <c r="E851" s="14"/>
      <c r="F851" s="6"/>
      <c r="G851" s="6"/>
      <c r="H851" s="17"/>
      <c r="I851" s="49">
        <f t="shared" si="26"/>
        <v>0</v>
      </c>
      <c r="J851" s="13"/>
      <c r="K851" s="7"/>
      <c r="L851" s="5">
        <f t="shared" si="27"/>
        <v>0</v>
      </c>
    </row>
    <row r="852" spans="1:12" x14ac:dyDescent="0.25">
      <c r="A852" s="32"/>
      <c r="B852" s="21"/>
      <c r="C852" s="21"/>
      <c r="D852" s="6"/>
      <c r="E852" s="14"/>
      <c r="F852" s="6"/>
      <c r="G852" s="6"/>
      <c r="H852" s="17"/>
      <c r="I852" s="49">
        <f t="shared" si="26"/>
        <v>0</v>
      </c>
      <c r="J852" s="13"/>
      <c r="K852" s="7"/>
      <c r="L852" s="5">
        <f t="shared" si="27"/>
        <v>0</v>
      </c>
    </row>
    <row r="853" spans="1:12" x14ac:dyDescent="0.25">
      <c r="A853" s="32"/>
      <c r="B853" s="21"/>
      <c r="C853" s="21"/>
      <c r="D853" s="6"/>
      <c r="E853" s="14"/>
      <c r="F853" s="6"/>
      <c r="G853" s="6"/>
      <c r="H853" s="17"/>
      <c r="I853" s="49">
        <f t="shared" si="26"/>
        <v>0</v>
      </c>
      <c r="J853" s="13"/>
      <c r="K853" s="7"/>
      <c r="L853" s="5">
        <f t="shared" si="27"/>
        <v>0</v>
      </c>
    </row>
    <row r="854" spans="1:12" x14ac:dyDescent="0.25">
      <c r="A854" s="32"/>
      <c r="B854" s="21"/>
      <c r="C854" s="21"/>
      <c r="D854" s="6"/>
      <c r="E854" s="14"/>
      <c r="F854" s="6"/>
      <c r="G854" s="6"/>
      <c r="H854" s="17"/>
      <c r="I854" s="49">
        <f t="shared" si="26"/>
        <v>0</v>
      </c>
      <c r="J854" s="13"/>
      <c r="K854" s="7"/>
      <c r="L854" s="5">
        <f t="shared" si="27"/>
        <v>0</v>
      </c>
    </row>
    <row r="855" spans="1:12" x14ac:dyDescent="0.25">
      <c r="A855" s="32"/>
      <c r="B855" s="21"/>
      <c r="C855" s="21"/>
      <c r="D855" s="6"/>
      <c r="E855" s="14"/>
      <c r="F855" s="6"/>
      <c r="G855" s="6"/>
      <c r="H855" s="17"/>
      <c r="I855" s="49">
        <f t="shared" si="26"/>
        <v>0</v>
      </c>
      <c r="J855" s="13"/>
      <c r="K855" s="7"/>
      <c r="L855" s="5">
        <f t="shared" si="27"/>
        <v>0</v>
      </c>
    </row>
    <row r="856" spans="1:12" x14ac:dyDescent="0.25">
      <c r="A856" s="32"/>
      <c r="B856" s="21"/>
      <c r="C856" s="21"/>
      <c r="D856" s="6"/>
      <c r="E856" s="14"/>
      <c r="F856" s="6"/>
      <c r="G856" s="6"/>
      <c r="H856" s="17"/>
      <c r="I856" s="49">
        <f t="shared" si="26"/>
        <v>0</v>
      </c>
      <c r="J856" s="13"/>
      <c r="K856" s="7"/>
      <c r="L856" s="5">
        <f t="shared" si="27"/>
        <v>0</v>
      </c>
    </row>
    <row r="857" spans="1:12" x14ac:dyDescent="0.25">
      <c r="A857" s="32"/>
      <c r="B857" s="21"/>
      <c r="C857" s="21"/>
      <c r="D857" s="6"/>
      <c r="E857" s="14"/>
      <c r="F857" s="6"/>
      <c r="G857" s="6"/>
      <c r="H857" s="17"/>
      <c r="I857" s="49">
        <f t="shared" si="26"/>
        <v>0</v>
      </c>
      <c r="J857" s="13"/>
      <c r="K857" s="7"/>
      <c r="L857" s="5">
        <f t="shared" si="27"/>
        <v>0</v>
      </c>
    </row>
    <row r="858" spans="1:12" x14ac:dyDescent="0.25">
      <c r="A858" s="32"/>
      <c r="B858" s="21"/>
      <c r="C858" s="21"/>
      <c r="D858" s="6"/>
      <c r="E858" s="14"/>
      <c r="F858" s="6"/>
      <c r="G858" s="6"/>
      <c r="H858" s="17"/>
      <c r="I858" s="49">
        <f t="shared" si="26"/>
        <v>0</v>
      </c>
      <c r="J858" s="13"/>
      <c r="K858" s="7"/>
      <c r="L858" s="5">
        <f t="shared" si="27"/>
        <v>0</v>
      </c>
    </row>
    <row r="859" spans="1:12" x14ac:dyDescent="0.25">
      <c r="A859" s="32"/>
      <c r="B859" s="21"/>
      <c r="C859" s="21"/>
      <c r="D859" s="6"/>
      <c r="E859" s="14"/>
      <c r="F859" s="6"/>
      <c r="G859" s="6"/>
      <c r="H859" s="17"/>
      <c r="I859" s="49">
        <f t="shared" si="26"/>
        <v>0</v>
      </c>
      <c r="J859" s="13"/>
      <c r="K859" s="7"/>
      <c r="L859" s="5">
        <f t="shared" si="27"/>
        <v>0</v>
      </c>
    </row>
    <row r="860" spans="1:12" x14ac:dyDescent="0.25">
      <c r="A860" s="32"/>
      <c r="B860" s="21"/>
      <c r="C860" s="21"/>
      <c r="D860" s="6"/>
      <c r="E860" s="14"/>
      <c r="F860" s="6"/>
      <c r="G860" s="6"/>
      <c r="H860" s="17"/>
      <c r="I860" s="49">
        <f t="shared" si="26"/>
        <v>0</v>
      </c>
      <c r="J860" s="13"/>
      <c r="K860" s="7"/>
      <c r="L860" s="5">
        <f t="shared" si="27"/>
        <v>0</v>
      </c>
    </row>
    <row r="861" spans="1:12" x14ac:dyDescent="0.25">
      <c r="A861" s="32"/>
      <c r="B861" s="21"/>
      <c r="C861" s="21"/>
      <c r="D861" s="6"/>
      <c r="E861" s="14"/>
      <c r="F861" s="6"/>
      <c r="G861" s="6"/>
      <c r="H861" s="17"/>
      <c r="I861" s="49">
        <f t="shared" si="26"/>
        <v>0</v>
      </c>
      <c r="J861" s="13"/>
      <c r="K861" s="7"/>
      <c r="L861" s="5">
        <f t="shared" si="27"/>
        <v>0</v>
      </c>
    </row>
    <row r="862" spans="1:12" x14ac:dyDescent="0.25">
      <c r="A862" s="32"/>
      <c r="B862" s="21"/>
      <c r="C862" s="21"/>
      <c r="D862" s="6"/>
      <c r="E862" s="14"/>
      <c r="F862" s="6"/>
      <c r="G862" s="6"/>
      <c r="H862" s="17"/>
      <c r="I862" s="49">
        <f t="shared" si="26"/>
        <v>0</v>
      </c>
      <c r="J862" s="13"/>
      <c r="K862" s="7"/>
      <c r="L862" s="5">
        <f t="shared" si="27"/>
        <v>0</v>
      </c>
    </row>
    <row r="863" spans="1:12" x14ac:dyDescent="0.25">
      <c r="A863" s="32"/>
      <c r="B863" s="21"/>
      <c r="C863" s="21"/>
      <c r="D863" s="6"/>
      <c r="E863" s="14"/>
      <c r="F863" s="6"/>
      <c r="G863" s="6"/>
      <c r="H863" s="17"/>
      <c r="I863" s="49">
        <f t="shared" si="26"/>
        <v>0</v>
      </c>
      <c r="J863" s="13"/>
      <c r="K863" s="7"/>
      <c r="L863" s="5">
        <f t="shared" si="27"/>
        <v>0</v>
      </c>
    </row>
    <row r="864" spans="1:12" x14ac:dyDescent="0.25">
      <c r="A864" s="32"/>
      <c r="B864" s="21"/>
      <c r="C864" s="21"/>
      <c r="D864" s="6"/>
      <c r="E864" s="14"/>
      <c r="F864" s="6"/>
      <c r="G864" s="6"/>
      <c r="H864" s="17"/>
      <c r="I864" s="49">
        <f t="shared" si="26"/>
        <v>0</v>
      </c>
      <c r="J864" s="13"/>
      <c r="K864" s="7"/>
      <c r="L864" s="5">
        <f t="shared" si="27"/>
        <v>0</v>
      </c>
    </row>
    <row r="865" spans="1:12" x14ac:dyDescent="0.25">
      <c r="A865" s="32"/>
      <c r="B865" s="21"/>
      <c r="C865" s="21"/>
      <c r="D865" s="6"/>
      <c r="E865" s="14"/>
      <c r="F865" s="6"/>
      <c r="G865" s="6"/>
      <c r="H865" s="17"/>
      <c r="I865" s="49">
        <f t="shared" si="26"/>
        <v>0</v>
      </c>
      <c r="J865" s="13"/>
      <c r="K865" s="7"/>
      <c r="L865" s="5">
        <f t="shared" si="27"/>
        <v>0</v>
      </c>
    </row>
    <row r="866" spans="1:12" x14ac:dyDescent="0.25">
      <c r="A866" s="32"/>
      <c r="B866" s="21"/>
      <c r="C866" s="21"/>
      <c r="D866" s="6"/>
      <c r="E866" s="14"/>
      <c r="F866" s="6"/>
      <c r="G866" s="6"/>
      <c r="H866" s="17"/>
      <c r="I866" s="49">
        <f t="shared" si="26"/>
        <v>0</v>
      </c>
      <c r="J866" s="13"/>
      <c r="K866" s="7"/>
      <c r="L866" s="5">
        <f t="shared" si="27"/>
        <v>0</v>
      </c>
    </row>
    <row r="867" spans="1:12" x14ac:dyDescent="0.25">
      <c r="A867" s="32"/>
      <c r="B867" s="21"/>
      <c r="C867" s="21"/>
      <c r="D867" s="6"/>
      <c r="E867" s="14"/>
      <c r="F867" s="6"/>
      <c r="G867" s="6"/>
      <c r="H867" s="17"/>
      <c r="I867" s="49">
        <f t="shared" si="26"/>
        <v>0</v>
      </c>
      <c r="J867" s="13"/>
      <c r="K867" s="7"/>
      <c r="L867" s="5">
        <f t="shared" si="27"/>
        <v>0</v>
      </c>
    </row>
    <row r="868" spans="1:12" x14ac:dyDescent="0.25">
      <c r="A868" s="32"/>
      <c r="B868" s="21"/>
      <c r="C868" s="21"/>
      <c r="D868" s="6"/>
      <c r="E868" s="14"/>
      <c r="F868" s="6"/>
      <c r="G868" s="6"/>
      <c r="H868" s="17"/>
      <c r="I868" s="49">
        <f t="shared" si="26"/>
        <v>0</v>
      </c>
      <c r="J868" s="13"/>
      <c r="K868" s="7"/>
      <c r="L868" s="5">
        <f t="shared" si="27"/>
        <v>0</v>
      </c>
    </row>
    <row r="869" spans="1:12" x14ac:dyDescent="0.25">
      <c r="A869" s="32"/>
      <c r="B869" s="21"/>
      <c r="C869" s="21"/>
      <c r="D869" s="6"/>
      <c r="E869" s="14"/>
      <c r="F869" s="6"/>
      <c r="G869" s="6"/>
      <c r="H869" s="17"/>
      <c r="I869" s="49">
        <f t="shared" si="26"/>
        <v>0</v>
      </c>
      <c r="J869" s="13"/>
      <c r="K869" s="7"/>
      <c r="L869" s="5">
        <f t="shared" si="27"/>
        <v>0</v>
      </c>
    </row>
    <row r="870" spans="1:12" x14ac:dyDescent="0.25">
      <c r="A870" s="32"/>
      <c r="B870" s="21"/>
      <c r="C870" s="21"/>
      <c r="D870" s="6"/>
      <c r="E870" s="14"/>
      <c r="F870" s="6"/>
      <c r="G870" s="6"/>
      <c r="H870" s="17"/>
      <c r="I870" s="49">
        <f t="shared" si="26"/>
        <v>0</v>
      </c>
      <c r="J870" s="13"/>
      <c r="K870" s="7"/>
      <c r="L870" s="5">
        <f t="shared" si="27"/>
        <v>0</v>
      </c>
    </row>
    <row r="871" spans="1:12" x14ac:dyDescent="0.25">
      <c r="A871" s="32"/>
      <c r="B871" s="21"/>
      <c r="C871" s="21"/>
      <c r="D871" s="6"/>
      <c r="E871" s="14"/>
      <c r="F871" s="6"/>
      <c r="G871" s="6"/>
      <c r="H871" s="17"/>
      <c r="I871" s="49">
        <f t="shared" si="26"/>
        <v>0</v>
      </c>
      <c r="J871" s="13"/>
      <c r="K871" s="7"/>
      <c r="L871" s="5">
        <f t="shared" si="27"/>
        <v>0</v>
      </c>
    </row>
    <row r="872" spans="1:12" x14ac:dyDescent="0.25">
      <c r="A872" s="32"/>
      <c r="B872" s="21"/>
      <c r="C872" s="21"/>
      <c r="D872" s="6"/>
      <c r="E872" s="14"/>
      <c r="F872" s="6"/>
      <c r="G872" s="6"/>
      <c r="H872" s="17"/>
      <c r="I872" s="49">
        <f t="shared" si="26"/>
        <v>0</v>
      </c>
      <c r="J872" s="13"/>
      <c r="K872" s="7"/>
      <c r="L872" s="5">
        <f t="shared" si="27"/>
        <v>0</v>
      </c>
    </row>
    <row r="873" spans="1:12" x14ac:dyDescent="0.25">
      <c r="A873" s="32"/>
      <c r="B873" s="21"/>
      <c r="C873" s="21"/>
      <c r="D873" s="6"/>
      <c r="E873" s="14"/>
      <c r="F873" s="6"/>
      <c r="G873" s="6"/>
      <c r="H873" s="17"/>
      <c r="I873" s="49">
        <f t="shared" si="26"/>
        <v>0</v>
      </c>
      <c r="J873" s="13"/>
      <c r="K873" s="7"/>
      <c r="L873" s="5">
        <f t="shared" si="27"/>
        <v>0</v>
      </c>
    </row>
    <row r="874" spans="1:12" x14ac:dyDescent="0.25">
      <c r="A874" s="32"/>
      <c r="B874" s="21"/>
      <c r="C874" s="21"/>
      <c r="D874" s="6"/>
      <c r="E874" s="14"/>
      <c r="F874" s="6"/>
      <c r="G874" s="6"/>
      <c r="H874" s="17"/>
      <c r="I874" s="49">
        <f t="shared" si="26"/>
        <v>0</v>
      </c>
      <c r="J874" s="13"/>
      <c r="K874" s="7"/>
      <c r="L874" s="5">
        <f t="shared" si="27"/>
        <v>0</v>
      </c>
    </row>
    <row r="875" spans="1:12" x14ac:dyDescent="0.25">
      <c r="A875" s="32"/>
      <c r="B875" s="21"/>
      <c r="C875" s="21"/>
      <c r="D875" s="6"/>
      <c r="E875" s="14"/>
      <c r="F875" s="6"/>
      <c r="G875" s="6"/>
      <c r="H875" s="17"/>
      <c r="I875" s="49">
        <f t="shared" si="26"/>
        <v>0</v>
      </c>
      <c r="J875" s="13"/>
      <c r="K875" s="7"/>
      <c r="L875" s="5">
        <f t="shared" si="27"/>
        <v>0</v>
      </c>
    </row>
    <row r="876" spans="1:12" x14ac:dyDescent="0.25">
      <c r="A876" s="32"/>
      <c r="B876" s="21"/>
      <c r="C876" s="21"/>
      <c r="D876" s="6"/>
      <c r="E876" s="14"/>
      <c r="F876" s="6"/>
      <c r="G876" s="6"/>
      <c r="H876" s="17"/>
      <c r="I876" s="49">
        <f t="shared" si="26"/>
        <v>0</v>
      </c>
      <c r="J876" s="13"/>
      <c r="K876" s="7"/>
      <c r="L876" s="5">
        <f t="shared" si="27"/>
        <v>0</v>
      </c>
    </row>
    <row r="877" spans="1:12" x14ac:dyDescent="0.25">
      <c r="A877" s="32"/>
      <c r="B877" s="21"/>
      <c r="C877" s="21"/>
      <c r="D877" s="6"/>
      <c r="E877" s="14"/>
      <c r="F877" s="6"/>
      <c r="G877" s="6"/>
      <c r="H877" s="17"/>
      <c r="I877" s="49">
        <f t="shared" si="26"/>
        <v>0</v>
      </c>
      <c r="J877" s="13"/>
      <c r="K877" s="7"/>
      <c r="L877" s="5">
        <f t="shared" si="27"/>
        <v>0</v>
      </c>
    </row>
    <row r="878" spans="1:12" ht="15.75" thickBot="1" x14ac:dyDescent="0.3">
      <c r="A878" s="33"/>
      <c r="B878" s="22"/>
      <c r="C878" s="22"/>
      <c r="D878" s="9"/>
      <c r="E878" s="15"/>
      <c r="F878" s="9"/>
      <c r="G878" s="9"/>
      <c r="H878" s="18"/>
      <c r="I878" s="49">
        <f t="shared" si="26"/>
        <v>0</v>
      </c>
      <c r="J878" s="13"/>
      <c r="K878" s="7"/>
      <c r="L878" s="5">
        <f t="shared" si="27"/>
        <v>0</v>
      </c>
    </row>
    <row r="879" spans="1:12" s="38" customFormat="1" ht="15.75" thickBot="1" x14ac:dyDescent="0.3">
      <c r="A879" s="35"/>
      <c r="B879" s="36"/>
      <c r="C879" s="36"/>
      <c r="D879" s="19"/>
      <c r="E879" s="37"/>
      <c r="F879" s="19">
        <f>SUM(F6:F878)</f>
        <v>0</v>
      </c>
      <c r="G879" s="19"/>
      <c r="H879" s="19"/>
      <c r="I879" s="50">
        <f>SUM(I6:I878)</f>
        <v>0</v>
      </c>
      <c r="J879" s="10">
        <f>SUM(J6:J878)</f>
        <v>0</v>
      </c>
      <c r="K879" s="11">
        <f>SUM(K6:K878)</f>
        <v>0</v>
      </c>
      <c r="L879" s="12">
        <f>SUM(L6:L878)</f>
        <v>0</v>
      </c>
    </row>
  </sheetData>
  <autoFilter ref="A5:L879" xr:uid="{00000000-0009-0000-0000-00000A000000}">
    <filterColumn colId="3" showButton="0"/>
    <filterColumn colId="10" showButton="0"/>
  </autoFilter>
  <pageMargins left="0.25" right="0" top="2.25" bottom="1.2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6</vt:i4>
      </vt:variant>
    </vt:vector>
  </HeadingPairs>
  <TitlesOfParts>
    <vt:vector size="26" baseType="lpstr">
      <vt:lpstr>    </vt:lpstr>
      <vt:lpstr>JANUARY 2026</vt:lpstr>
      <vt:lpstr>FEBRUARY 2026</vt:lpstr>
      <vt:lpstr>MARCH 2026</vt:lpstr>
      <vt:lpstr>APRIL 2026</vt:lpstr>
      <vt:lpstr>MAY 2026-Printing</vt:lpstr>
      <vt:lpstr>MAY 2026-Convie</vt:lpstr>
      <vt:lpstr>May 2026- Unclaimed Raffle</vt:lpstr>
      <vt:lpstr>JUNE 2026-PRINTING</vt:lpstr>
      <vt:lpstr>JUNE 2026-Convie</vt:lpstr>
      <vt:lpstr>June 2026- Unclaimed Raffle</vt:lpstr>
      <vt:lpstr>JULY 2026-PRINTING</vt:lpstr>
      <vt:lpstr>JULY 2026-Convie</vt:lpstr>
      <vt:lpstr>July 2026- Unclaimed Raffle </vt:lpstr>
      <vt:lpstr>AUG 2026-PRINTING</vt:lpstr>
      <vt:lpstr>AUG 2026-Convie</vt:lpstr>
      <vt:lpstr>AUG 2026- Unclaimed Raffle</vt:lpstr>
      <vt:lpstr>Sheet2</vt:lpstr>
      <vt:lpstr>Sheet3</vt:lpstr>
      <vt:lpstr>WH GAPAN</vt:lpstr>
      <vt:lpstr>'APRIL 2026'!Print_Area</vt:lpstr>
      <vt:lpstr>'FEBRUARY 2026'!Print_Area</vt:lpstr>
      <vt:lpstr>'JANUARY 2026'!Print_Area</vt:lpstr>
      <vt:lpstr>'MARCH 2026'!Print_Area</vt:lpstr>
      <vt:lpstr>'MAY 2026-Printing'!Print_Area</vt:lpstr>
      <vt:lpstr>'WH GAPAN'!Print_Area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financial statements/trial balance</dc:title>
  <dc:creator>Alalay Sa Kaunlaran, Inc.</dc:creator>
  <cp:lastModifiedBy>Angelika Manucot</cp:lastModifiedBy>
  <cp:lastPrinted>2026-09-01T07:30:46Z</cp:lastPrinted>
  <dcterms:created xsi:type="dcterms:W3CDTF">1999-10-01T07:43:39Z</dcterms:created>
  <dcterms:modified xsi:type="dcterms:W3CDTF">2026-08-28T08:43:29Z</dcterms:modified>
</cp:coreProperties>
</file>